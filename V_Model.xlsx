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OneDrive\Desktop\Equity Research\Models\Financials\"/>
    </mc:Choice>
  </mc:AlternateContent>
  <xr:revisionPtr revIDLastSave="0" documentId="13_ncr:1_{9A21C057-AD5E-4FC7-B706-9C186B18F057}" xr6:coauthVersionLast="47" xr6:coauthVersionMax="47" xr10:uidLastSave="{00000000-0000-0000-0000-000000000000}"/>
  <bookViews>
    <workbookView xWindow="13290" yWindow="0" windowWidth="15615" windowHeight="15585" tabRatio="809" activeTab="1" xr2:uid="{00000000-000D-0000-FFFF-FFFF00000000}"/>
  </bookViews>
  <sheets>
    <sheet name="Main" sheetId="1" r:id="rId1"/>
    <sheet name="Model" sheetId="2" r:id="rId2"/>
    <sheet name="Notes | Quant Analysis" sheetId="3" r:id="rId3"/>
    <sheet name="Management" sheetId="6" r:id="rId4"/>
    <sheet name="IPO" sheetId="7" r:id="rId5"/>
    <sheet name="Formation | History" sheetId="8" r:id="rId6"/>
    <sheet name="Product Lines" sheetId="5" r:id="rId7"/>
    <sheet name="Table Formatting" sheetId="4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FC3" i="2"/>
  <c r="CU106" i="2"/>
  <c r="CU51" i="2"/>
  <c r="CU50" i="2"/>
  <c r="CU105" i="2"/>
  <c r="CT104" i="2"/>
  <c r="CS104" i="2"/>
  <c r="CR104" i="2"/>
  <c r="CQ104" i="2"/>
  <c r="CP104" i="2"/>
  <c r="CU104" i="2"/>
  <c r="CU103" i="2"/>
  <c r="CU102" i="2"/>
  <c r="CU97" i="2"/>
  <c r="CU96" i="2"/>
  <c r="CU95" i="2"/>
  <c r="CT99" i="2"/>
  <c r="CT98" i="2"/>
  <c r="CT97" i="2"/>
  <c r="CT96" i="2"/>
  <c r="CU93" i="2"/>
  <c r="CU92" i="2"/>
  <c r="CU91" i="2"/>
  <c r="CU90" i="2"/>
  <c r="CU89" i="2"/>
  <c r="CU88" i="2"/>
  <c r="CU87" i="2"/>
  <c r="CU86" i="2"/>
  <c r="CU85" i="2"/>
  <c r="CU84" i="2"/>
  <c r="CU83" i="2"/>
  <c r="CU82" i="2"/>
  <c r="CU81" i="2"/>
  <c r="CU80" i="2"/>
  <c r="CU78" i="2"/>
  <c r="CU77" i="2"/>
  <c r="CU76" i="2"/>
  <c r="CU75" i="2"/>
  <c r="CU74" i="2"/>
  <c r="CU73" i="2"/>
  <c r="CU72" i="2"/>
  <c r="CU71" i="2"/>
  <c r="CU70" i="2"/>
  <c r="CU69" i="2"/>
  <c r="CU68" i="2"/>
  <c r="CU67" i="2"/>
  <c r="CU66" i="2"/>
  <c r="CU65" i="2"/>
  <c r="CU64" i="2"/>
  <c r="DE45" i="2"/>
  <c r="DE42" i="2"/>
  <c r="DE41" i="2"/>
  <c r="DE40" i="2"/>
  <c r="DE39" i="2"/>
  <c r="DE38" i="2"/>
  <c r="DE37" i="2"/>
  <c r="DE36" i="2"/>
  <c r="DE43" i="2" s="1"/>
  <c r="DE8" i="2"/>
  <c r="DE7" i="2"/>
  <c r="DE6" i="2"/>
  <c r="DE5" i="2"/>
  <c r="DE4" i="2"/>
  <c r="DE9" i="2" s="1"/>
  <c r="CU33" i="2"/>
  <c r="CU32" i="2"/>
  <c r="CU30" i="2"/>
  <c r="CU29" i="2"/>
  <c r="CU28" i="2"/>
  <c r="CU26" i="2"/>
  <c r="CU25" i="2"/>
  <c r="CU24" i="2"/>
  <c r="CU22" i="2"/>
  <c r="CT22" i="2"/>
  <c r="CS22" i="2"/>
  <c r="CR22" i="2"/>
  <c r="CQ22" i="2"/>
  <c r="CU21" i="2"/>
  <c r="CT21" i="2"/>
  <c r="CS21" i="2"/>
  <c r="CR21" i="2"/>
  <c r="CQ21" i="2"/>
  <c r="CU20" i="2"/>
  <c r="CT20" i="2"/>
  <c r="CS20" i="2"/>
  <c r="CR20" i="2"/>
  <c r="CQ20" i="2"/>
  <c r="CU19" i="2"/>
  <c r="CT19" i="2"/>
  <c r="CS19" i="2"/>
  <c r="CR19" i="2"/>
  <c r="CQ19" i="2"/>
  <c r="CQ18" i="2"/>
  <c r="CR18" i="2"/>
  <c r="CS18" i="2"/>
  <c r="CT18" i="2"/>
  <c r="CU18" i="2"/>
  <c r="CU8" i="2"/>
  <c r="CU7" i="2"/>
  <c r="CU6" i="2"/>
  <c r="CU5" i="2"/>
  <c r="CU4" i="2"/>
  <c r="DE35" i="2" l="1"/>
  <c r="DE44" i="2" s="1"/>
  <c r="DE16" i="2"/>
  <c r="BT9" i="2"/>
  <c r="BT18" i="2" s="1"/>
  <c r="BT105" i="2"/>
  <c r="BT96" i="2"/>
  <c r="BT95" i="2"/>
  <c r="BT91" i="2"/>
  <c r="BT93" i="2" s="1"/>
  <c r="BT78" i="2"/>
  <c r="BT26" i="2"/>
  <c r="DE60" i="2" l="1"/>
  <c r="BT20" i="2"/>
  <c r="BT19" i="2"/>
  <c r="BT21" i="2"/>
  <c r="BT22" i="2"/>
  <c r="BT32" i="2"/>
  <c r="BT33" i="2"/>
  <c r="BT35" i="2"/>
  <c r="BT58" i="2" s="1"/>
  <c r="BT43" i="2"/>
  <c r="BT53" i="2" l="1"/>
  <c r="BT54" i="2"/>
  <c r="BT60" i="2"/>
  <c r="BT57" i="2"/>
  <c r="BT55" i="2"/>
  <c r="BT44" i="2"/>
  <c r="BT47" i="2" s="1"/>
  <c r="BT97" i="2"/>
  <c r="BT59" i="2"/>
  <c r="BT56" i="2"/>
  <c r="BT49" i="2" l="1"/>
  <c r="BT61" i="2"/>
  <c r="BT101" i="2" l="1"/>
  <c r="BT99" i="2"/>
  <c r="BT62" i="2"/>
  <c r="BT98" i="2"/>
  <c r="BT51" i="2"/>
  <c r="C7" i="1" l="1"/>
  <c r="C6" i="1"/>
  <c r="DE69" i="2" l="1"/>
  <c r="BS103" i="2" l="1"/>
  <c r="BT103" i="2" s="1"/>
  <c r="BS102" i="2"/>
  <c r="BT102" i="2" s="1"/>
  <c r="BT104" i="2" s="1"/>
  <c r="BT106" i="2" s="1"/>
  <c r="BS105" i="2"/>
  <c r="BS96" i="2"/>
  <c r="BS95" i="2"/>
  <c r="BS91" i="2"/>
  <c r="BS93" i="2" s="1"/>
  <c r="BS78" i="2"/>
  <c r="BS43" i="2"/>
  <c r="BS29" i="2"/>
  <c r="BS28" i="2"/>
  <c r="BS26" i="2"/>
  <c r="BS33" i="2" s="1"/>
  <c r="BS15" i="2"/>
  <c r="BS14" i="2"/>
  <c r="BS13" i="2"/>
  <c r="BS12" i="2"/>
  <c r="BS11" i="2"/>
  <c r="BS9" i="2"/>
  <c r="BS21" i="2" s="1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BR96" i="2"/>
  <c r="BR95" i="2"/>
  <c r="BS35" i="2" l="1"/>
  <c r="BS44" i="2"/>
  <c r="BS47" i="2" s="1"/>
  <c r="BS61" i="2" s="1"/>
  <c r="BS97" i="2"/>
  <c r="BS104" i="2"/>
  <c r="BS106" i="2"/>
  <c r="BS60" i="2"/>
  <c r="BS32" i="2"/>
  <c r="BS18" i="2"/>
  <c r="BS19" i="2"/>
  <c r="BS22" i="2"/>
  <c r="BS20" i="2"/>
  <c r="CR105" i="2"/>
  <c r="DE71" i="2"/>
  <c r="CS50" i="2"/>
  <c r="CS105" i="2" s="1"/>
  <c r="CR50" i="2"/>
  <c r="CQ50" i="2"/>
  <c r="CQ105" i="2" s="1"/>
  <c r="CP50" i="2"/>
  <c r="CP105" i="2" s="1"/>
  <c r="CT50" i="2"/>
  <c r="CT105" i="2" s="1"/>
  <c r="DE76" i="2"/>
  <c r="DE74" i="2"/>
  <c r="BS49" i="2" l="1"/>
  <c r="BS55" i="2"/>
  <c r="BS54" i="2"/>
  <c r="BS59" i="2"/>
  <c r="BS58" i="2"/>
  <c r="BS57" i="2"/>
  <c r="BS56" i="2"/>
  <c r="BS53" i="2"/>
  <c r="BS101" i="2"/>
  <c r="BS62" i="2"/>
  <c r="BS99" i="2"/>
  <c r="BS98" i="2"/>
  <c r="BS51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CO45" i="2"/>
  <c r="CN45" i="2"/>
  <c r="CM45" i="2"/>
  <c r="CL45" i="2"/>
  <c r="CK45" i="2"/>
  <c r="CJ45" i="2"/>
  <c r="CI45" i="2"/>
  <c r="CH45" i="2"/>
  <c r="CG45" i="2"/>
  <c r="CF45" i="2"/>
  <c r="CE45" i="2"/>
  <c r="CT103" i="2" l="1"/>
  <c r="CS103" i="2"/>
  <c r="CR103" i="2"/>
  <c r="CQ103" i="2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T102" i="2"/>
  <c r="CS102" i="2"/>
  <c r="CR102" i="2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BR105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CT92" i="2"/>
  <c r="CS92" i="2"/>
  <c r="CR92" i="2"/>
  <c r="CQ92" i="2"/>
  <c r="CP92" i="2"/>
  <c r="CT90" i="2"/>
  <c r="CS90" i="2"/>
  <c r="CR90" i="2"/>
  <c r="CQ90" i="2"/>
  <c r="CP90" i="2"/>
  <c r="CT89" i="2"/>
  <c r="CS89" i="2"/>
  <c r="CR89" i="2"/>
  <c r="CQ89" i="2"/>
  <c r="CP89" i="2"/>
  <c r="CT88" i="2"/>
  <c r="CS88" i="2"/>
  <c r="CR88" i="2"/>
  <c r="CQ88" i="2"/>
  <c r="CP88" i="2"/>
  <c r="CT87" i="2"/>
  <c r="CS87" i="2"/>
  <c r="CR87" i="2"/>
  <c r="CQ87" i="2"/>
  <c r="CP87" i="2"/>
  <c r="CT86" i="2"/>
  <c r="CS86" i="2"/>
  <c r="CR86" i="2"/>
  <c r="CQ86" i="2"/>
  <c r="CP86" i="2"/>
  <c r="CT85" i="2"/>
  <c r="CS85" i="2"/>
  <c r="CR85" i="2"/>
  <c r="CQ85" i="2"/>
  <c r="CP85" i="2"/>
  <c r="CT84" i="2"/>
  <c r="CS84" i="2"/>
  <c r="CR84" i="2"/>
  <c r="CQ84" i="2"/>
  <c r="CP84" i="2"/>
  <c r="CT83" i="2"/>
  <c r="CS83" i="2"/>
  <c r="CR83" i="2"/>
  <c r="CQ83" i="2"/>
  <c r="CP83" i="2"/>
  <c r="CT82" i="2"/>
  <c r="CS82" i="2"/>
  <c r="CR82" i="2"/>
  <c r="CQ82" i="2"/>
  <c r="CP82" i="2"/>
  <c r="CT81" i="2"/>
  <c r="CS81" i="2"/>
  <c r="CR81" i="2"/>
  <c r="CQ81" i="2"/>
  <c r="CP81" i="2"/>
  <c r="CT80" i="2"/>
  <c r="CS80" i="2"/>
  <c r="CR80" i="2"/>
  <c r="CQ80" i="2"/>
  <c r="CP80" i="2"/>
  <c r="CT77" i="2"/>
  <c r="CS77" i="2"/>
  <c r="CR77" i="2"/>
  <c r="CQ77" i="2"/>
  <c r="CP77" i="2"/>
  <c r="CT76" i="2"/>
  <c r="CS76" i="2"/>
  <c r="CR76" i="2"/>
  <c r="CQ76" i="2"/>
  <c r="CP76" i="2"/>
  <c r="CT75" i="2"/>
  <c r="CS75" i="2"/>
  <c r="CR75" i="2"/>
  <c r="CQ75" i="2"/>
  <c r="CP75" i="2"/>
  <c r="CT74" i="2"/>
  <c r="CS74" i="2"/>
  <c r="CR74" i="2"/>
  <c r="CQ74" i="2"/>
  <c r="CP74" i="2"/>
  <c r="CT73" i="2"/>
  <c r="CS73" i="2"/>
  <c r="CR73" i="2"/>
  <c r="CQ73" i="2"/>
  <c r="CP73" i="2"/>
  <c r="CT72" i="2"/>
  <c r="CS72" i="2"/>
  <c r="CR72" i="2"/>
  <c r="CQ72" i="2"/>
  <c r="CP72" i="2"/>
  <c r="CT71" i="2"/>
  <c r="CS71" i="2"/>
  <c r="CR71" i="2"/>
  <c r="CQ71" i="2"/>
  <c r="CP71" i="2"/>
  <c r="CT70" i="2"/>
  <c r="CS70" i="2"/>
  <c r="CR70" i="2"/>
  <c r="CQ70" i="2"/>
  <c r="CP70" i="2"/>
  <c r="CT69" i="2"/>
  <c r="CS69" i="2"/>
  <c r="CR69" i="2"/>
  <c r="CQ69" i="2"/>
  <c r="CP69" i="2"/>
  <c r="CT68" i="2"/>
  <c r="CS68" i="2"/>
  <c r="CR68" i="2"/>
  <c r="CQ68" i="2"/>
  <c r="CP68" i="2"/>
  <c r="CT67" i="2"/>
  <c r="CS67" i="2"/>
  <c r="CR67" i="2"/>
  <c r="CQ67" i="2"/>
  <c r="CP67" i="2"/>
  <c r="CT66" i="2"/>
  <c r="CS66" i="2"/>
  <c r="CR66" i="2"/>
  <c r="CQ66" i="2"/>
  <c r="CP66" i="2"/>
  <c r="CT65" i="2"/>
  <c r="CS65" i="2"/>
  <c r="CR65" i="2"/>
  <c r="CQ65" i="2"/>
  <c r="CP65" i="2"/>
  <c r="CP64" i="2"/>
  <c r="CQ64" i="2"/>
  <c r="CR64" i="2"/>
  <c r="CS64" i="2"/>
  <c r="CT64" i="2"/>
  <c r="BR91" i="2"/>
  <c r="BR93" i="2" s="1"/>
  <c r="BQ91" i="2"/>
  <c r="BQ93" i="2" s="1"/>
  <c r="BP91" i="2"/>
  <c r="BP93" i="2" s="1"/>
  <c r="CT93" i="2" s="1"/>
  <c r="BO91" i="2"/>
  <c r="BO93" i="2" s="1"/>
  <c r="BN91" i="2"/>
  <c r="BN93" i="2" s="1"/>
  <c r="BM91" i="2"/>
  <c r="BM93" i="2" s="1"/>
  <c r="BL91" i="2"/>
  <c r="BL93" i="2" s="1"/>
  <c r="CS93" i="2" s="1"/>
  <c r="BK91" i="2"/>
  <c r="BK93" i="2" s="1"/>
  <c r="BJ91" i="2"/>
  <c r="BJ93" i="2" s="1"/>
  <c r="BI91" i="2"/>
  <c r="BI93" i="2" s="1"/>
  <c r="BH91" i="2"/>
  <c r="BH93" i="2" s="1"/>
  <c r="CR93" i="2" s="1"/>
  <c r="BG91" i="2"/>
  <c r="BG93" i="2" s="1"/>
  <c r="BF91" i="2"/>
  <c r="BF93" i="2" s="1"/>
  <c r="BE91" i="2"/>
  <c r="BE93" i="2" s="1"/>
  <c r="BD91" i="2"/>
  <c r="BD93" i="2" s="1"/>
  <c r="CQ93" i="2" s="1"/>
  <c r="BC91" i="2"/>
  <c r="BC93" i="2" s="1"/>
  <c r="BB91" i="2"/>
  <c r="BB93" i="2" s="1"/>
  <c r="BA91" i="2"/>
  <c r="BA93" i="2" s="1"/>
  <c r="AZ91" i="2"/>
  <c r="AZ93" i="2" s="1"/>
  <c r="CP93" i="2" s="1"/>
  <c r="BR78" i="2"/>
  <c r="BQ78" i="2"/>
  <c r="BP78" i="2"/>
  <c r="CT78" i="2" s="1"/>
  <c r="BO78" i="2"/>
  <c r="BN78" i="2"/>
  <c r="BM78" i="2"/>
  <c r="BL78" i="2"/>
  <c r="CS78" i="2" s="1"/>
  <c r="BK78" i="2"/>
  <c r="BJ78" i="2"/>
  <c r="BI78" i="2"/>
  <c r="BH78" i="2"/>
  <c r="CR78" i="2" s="1"/>
  <c r="BG78" i="2"/>
  <c r="BF78" i="2"/>
  <c r="BE78" i="2"/>
  <c r="BD78" i="2"/>
  <c r="CQ78" i="2" s="1"/>
  <c r="BC78" i="2"/>
  <c r="BB78" i="2"/>
  <c r="BA78" i="2"/>
  <c r="AZ78" i="2"/>
  <c r="CP78" i="2" s="1"/>
  <c r="AZ48" i="2"/>
  <c r="AZ46" i="2"/>
  <c r="CP46" i="2" s="1"/>
  <c r="AZ45" i="2"/>
  <c r="CP45" i="2" s="1"/>
  <c r="AZ42" i="2"/>
  <c r="AZ41" i="2"/>
  <c r="AZ40" i="2"/>
  <c r="AZ39" i="2"/>
  <c r="AZ38" i="2"/>
  <c r="AZ37" i="2"/>
  <c r="BD48" i="2"/>
  <c r="BD46" i="2"/>
  <c r="BD45" i="2"/>
  <c r="CQ45" i="2" s="1"/>
  <c r="BD42" i="2"/>
  <c r="BD41" i="2"/>
  <c r="BD40" i="2"/>
  <c r="BD39" i="2"/>
  <c r="BD38" i="2"/>
  <c r="BD37" i="2"/>
  <c r="BH48" i="2"/>
  <c r="BH46" i="2"/>
  <c r="CR46" i="2" s="1"/>
  <c r="BH45" i="2"/>
  <c r="CR45" i="2" s="1"/>
  <c r="BH42" i="2"/>
  <c r="BH41" i="2"/>
  <c r="BH40" i="2"/>
  <c r="BH39" i="2"/>
  <c r="BH38" i="2"/>
  <c r="BH37" i="2"/>
  <c r="BP37" i="2"/>
  <c r="BP36" i="2"/>
  <c r="BL48" i="2"/>
  <c r="BL46" i="2"/>
  <c r="CS46" i="2" s="1"/>
  <c r="BL45" i="2"/>
  <c r="CS45" i="2" s="1"/>
  <c r="BL42" i="2"/>
  <c r="BL41" i="2"/>
  <c r="BL40" i="2"/>
  <c r="BL39" i="2"/>
  <c r="BL38" i="2"/>
  <c r="BL37" i="2"/>
  <c r="BP48" i="2"/>
  <c r="BP46" i="2"/>
  <c r="CT46" i="2" s="1"/>
  <c r="BP45" i="2"/>
  <c r="CT45" i="2" s="1"/>
  <c r="CU45" i="2" s="1"/>
  <c r="CV45" i="2" s="1"/>
  <c r="CW45" i="2" s="1"/>
  <c r="CX45" i="2" s="1"/>
  <c r="CY45" i="2" s="1"/>
  <c r="CZ45" i="2" s="1"/>
  <c r="DA45" i="2" s="1"/>
  <c r="DB45" i="2" s="1"/>
  <c r="DC45" i="2" s="1"/>
  <c r="DD45" i="2" s="1"/>
  <c r="BP42" i="2"/>
  <c r="BP41" i="2"/>
  <c r="BP40" i="2"/>
  <c r="BP39" i="2"/>
  <c r="BP38" i="2"/>
  <c r="CO41" i="2"/>
  <c r="CO39" i="2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BQ29" i="2"/>
  <c r="BO29" i="2"/>
  <c r="BN29" i="2"/>
  <c r="BM29" i="2"/>
  <c r="BK29" i="2"/>
  <c r="BJ29" i="2"/>
  <c r="BI29" i="2"/>
  <c r="BG29" i="2"/>
  <c r="BF29" i="2"/>
  <c r="BE29" i="2"/>
  <c r="BC29" i="2"/>
  <c r="BB29" i="2"/>
  <c r="BA29" i="2"/>
  <c r="BQ28" i="2"/>
  <c r="BO28" i="2"/>
  <c r="BN28" i="2"/>
  <c r="BM28" i="2"/>
  <c r="BK28" i="2"/>
  <c r="BJ28" i="2"/>
  <c r="BI28" i="2"/>
  <c r="BG28" i="2"/>
  <c r="BF28" i="2"/>
  <c r="BE28" i="2"/>
  <c r="BC28" i="2"/>
  <c r="BB28" i="2"/>
  <c r="BA28" i="2"/>
  <c r="BR29" i="2"/>
  <c r="BR28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CO48" i="2"/>
  <c r="CN48" i="2"/>
  <c r="CM48" i="2"/>
  <c r="CL48" i="2"/>
  <c r="CK48" i="2"/>
  <c r="CJ48" i="2"/>
  <c r="CI48" i="2"/>
  <c r="CH48" i="2"/>
  <c r="CG48" i="2"/>
  <c r="CF48" i="2"/>
  <c r="CE48" i="2"/>
  <c r="CQ46" i="2"/>
  <c r="CO46" i="2"/>
  <c r="CN46" i="2"/>
  <c r="CM46" i="2"/>
  <c r="CL46" i="2"/>
  <c r="CK46" i="2"/>
  <c r="CJ46" i="2"/>
  <c r="CI46" i="2"/>
  <c r="CH46" i="2"/>
  <c r="CG46" i="2"/>
  <c r="CF46" i="2"/>
  <c r="CE46" i="2"/>
  <c r="CO43" i="2"/>
  <c r="CN43" i="2"/>
  <c r="CM43" i="2"/>
  <c r="CL43" i="2"/>
  <c r="CK43" i="2"/>
  <c r="CJ43" i="2"/>
  <c r="CI43" i="2"/>
  <c r="CH43" i="2"/>
  <c r="CG43" i="2"/>
  <c r="CF43" i="2"/>
  <c r="CE43" i="2"/>
  <c r="CO42" i="2"/>
  <c r="CN42" i="2"/>
  <c r="CM42" i="2"/>
  <c r="CL42" i="2"/>
  <c r="CK42" i="2"/>
  <c r="CJ42" i="2"/>
  <c r="CI42" i="2"/>
  <c r="CH42" i="2"/>
  <c r="CG42" i="2"/>
  <c r="CF42" i="2"/>
  <c r="CE42" i="2"/>
  <c r="CN41" i="2"/>
  <c r="CM41" i="2"/>
  <c r="CL41" i="2"/>
  <c r="CK41" i="2"/>
  <c r="CJ41" i="2"/>
  <c r="CI41" i="2"/>
  <c r="CH41" i="2"/>
  <c r="CG41" i="2"/>
  <c r="CF41" i="2"/>
  <c r="CE41" i="2"/>
  <c r="CO40" i="2"/>
  <c r="CN40" i="2"/>
  <c r="CM40" i="2"/>
  <c r="CL40" i="2"/>
  <c r="CK40" i="2"/>
  <c r="CJ40" i="2"/>
  <c r="CI40" i="2"/>
  <c r="CH40" i="2"/>
  <c r="CG40" i="2"/>
  <c r="CF40" i="2"/>
  <c r="CE40" i="2"/>
  <c r="CS39" i="2"/>
  <c r="CN39" i="2"/>
  <c r="CM39" i="2"/>
  <c r="CL39" i="2"/>
  <c r="CK39" i="2"/>
  <c r="CJ39" i="2"/>
  <c r="CI39" i="2"/>
  <c r="CH39" i="2"/>
  <c r="CG39" i="2"/>
  <c r="CF39" i="2"/>
  <c r="CE39" i="2"/>
  <c r="CO38" i="2"/>
  <c r="CN38" i="2"/>
  <c r="CM38" i="2"/>
  <c r="CL38" i="2"/>
  <c r="CK38" i="2"/>
  <c r="CJ38" i="2"/>
  <c r="CI38" i="2"/>
  <c r="CH38" i="2"/>
  <c r="CG38" i="2"/>
  <c r="CF38" i="2"/>
  <c r="CE38" i="2"/>
  <c r="CS37" i="2"/>
  <c r="CO37" i="2"/>
  <c r="CN37" i="2"/>
  <c r="CM37" i="2"/>
  <c r="CL37" i="2"/>
  <c r="CK37" i="2"/>
  <c r="CJ37" i="2"/>
  <c r="CI37" i="2"/>
  <c r="CH37" i="2"/>
  <c r="CG37" i="2"/>
  <c r="CF37" i="2"/>
  <c r="CE37" i="2"/>
  <c r="CS36" i="2"/>
  <c r="CR36" i="2"/>
  <c r="CQ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O35" i="2"/>
  <c r="CN35" i="2"/>
  <c r="CM35" i="2"/>
  <c r="CL35" i="2"/>
  <c r="CK35" i="2"/>
  <c r="CJ35" i="2"/>
  <c r="CI35" i="2"/>
  <c r="CH35" i="2"/>
  <c r="CG35" i="2"/>
  <c r="CF35" i="2"/>
  <c r="CE35" i="2"/>
  <c r="BQ15" i="2"/>
  <c r="BO15" i="2"/>
  <c r="BN15" i="2"/>
  <c r="BM15" i="2"/>
  <c r="BK15" i="2"/>
  <c r="BJ15" i="2"/>
  <c r="BI15" i="2"/>
  <c r="BG15" i="2"/>
  <c r="BF15" i="2"/>
  <c r="BE15" i="2"/>
  <c r="BC15" i="2"/>
  <c r="BB15" i="2"/>
  <c r="BA15" i="2"/>
  <c r="BQ14" i="2"/>
  <c r="BO14" i="2"/>
  <c r="BN14" i="2"/>
  <c r="BM14" i="2"/>
  <c r="BK14" i="2"/>
  <c r="BJ14" i="2"/>
  <c r="BI14" i="2"/>
  <c r="BG14" i="2"/>
  <c r="BF14" i="2"/>
  <c r="BE14" i="2"/>
  <c r="BC14" i="2"/>
  <c r="BB14" i="2"/>
  <c r="BA14" i="2"/>
  <c r="BQ13" i="2"/>
  <c r="BO13" i="2"/>
  <c r="BN13" i="2"/>
  <c r="BM13" i="2"/>
  <c r="BK13" i="2"/>
  <c r="BJ13" i="2"/>
  <c r="BI13" i="2"/>
  <c r="BG13" i="2"/>
  <c r="BF13" i="2"/>
  <c r="BE13" i="2"/>
  <c r="BC13" i="2"/>
  <c r="BB13" i="2"/>
  <c r="BA13" i="2"/>
  <c r="BQ12" i="2"/>
  <c r="BO12" i="2"/>
  <c r="BN12" i="2"/>
  <c r="BM12" i="2"/>
  <c r="BK12" i="2"/>
  <c r="BJ12" i="2"/>
  <c r="BI12" i="2"/>
  <c r="BG12" i="2"/>
  <c r="BF12" i="2"/>
  <c r="BE12" i="2"/>
  <c r="BC12" i="2"/>
  <c r="BB12" i="2"/>
  <c r="BA12" i="2"/>
  <c r="BQ11" i="2"/>
  <c r="BO11" i="2"/>
  <c r="BN11" i="2"/>
  <c r="BM11" i="2"/>
  <c r="BK11" i="2"/>
  <c r="BJ11" i="2"/>
  <c r="BI11" i="2"/>
  <c r="BG11" i="2"/>
  <c r="BF11" i="2"/>
  <c r="BE11" i="2"/>
  <c r="BC11" i="2"/>
  <c r="BB11" i="2"/>
  <c r="BA11" i="2"/>
  <c r="BR15" i="2"/>
  <c r="BR14" i="2"/>
  <c r="BR13" i="2"/>
  <c r="BR12" i="2"/>
  <c r="BR11" i="2"/>
  <c r="CQ42" i="2" l="1"/>
  <c r="CR42" i="2"/>
  <c r="CP96" i="2"/>
  <c r="CP95" i="2"/>
  <c r="CP42" i="2"/>
  <c r="CT42" i="2"/>
  <c r="CT95" i="2"/>
  <c r="CU46" i="2"/>
  <c r="CV46" i="2" s="1"/>
  <c r="CW46" i="2" s="1"/>
  <c r="CX46" i="2" s="1"/>
  <c r="CY46" i="2" s="1"/>
  <c r="CZ46" i="2" s="1"/>
  <c r="DA46" i="2" s="1"/>
  <c r="DB46" i="2" s="1"/>
  <c r="DC46" i="2" s="1"/>
  <c r="DD46" i="2" s="1"/>
  <c r="DE46" i="2" s="1"/>
  <c r="DE47" i="2" s="1"/>
  <c r="DE48" i="2" s="1"/>
  <c r="DE49" i="2" s="1"/>
  <c r="DE62" i="2" s="1"/>
  <c r="CS42" i="2"/>
  <c r="CS95" i="2"/>
  <c r="CS96" i="2"/>
  <c r="CY68" i="2"/>
  <c r="CR95" i="2"/>
  <c r="CR96" i="2"/>
  <c r="CZ68" i="2"/>
  <c r="DB68" i="2" s="1"/>
  <c r="CQ96" i="2"/>
  <c r="CQ95" i="2"/>
  <c r="CQ48" i="2"/>
  <c r="CR39" i="2"/>
  <c r="CQ38" i="2"/>
  <c r="CP37" i="2"/>
  <c r="CP48" i="2"/>
  <c r="CQ37" i="2"/>
  <c r="CR40" i="2"/>
  <c r="CQ39" i="2"/>
  <c r="CP38" i="2"/>
  <c r="CT48" i="2"/>
  <c r="CQ40" i="2"/>
  <c r="CP39" i="2"/>
  <c r="CT38" i="2"/>
  <c r="CS48" i="2"/>
  <c r="CQ41" i="2"/>
  <c r="CP40" i="2"/>
  <c r="CT39" i="2"/>
  <c r="CS38" i="2"/>
  <c r="CT36" i="2"/>
  <c r="CR38" i="2"/>
  <c r="CT40" i="2"/>
  <c r="CT37" i="2"/>
  <c r="CT41" i="2"/>
  <c r="CS40" i="2"/>
  <c r="CR37" i="2"/>
  <c r="CR48" i="2"/>
  <c r="BD106" i="2"/>
  <c r="BL106" i="2"/>
  <c r="CG104" i="2"/>
  <c r="BC106" i="2"/>
  <c r="BN106" i="2"/>
  <c r="BK106" i="2"/>
  <c r="BR106" i="2"/>
  <c r="CR41" i="2"/>
  <c r="BA106" i="2"/>
  <c r="BI106" i="2"/>
  <c r="BQ106" i="2"/>
  <c r="CH104" i="2"/>
  <c r="CJ104" i="2"/>
  <c r="CL104" i="2"/>
  <c r="CP106" i="2"/>
  <c r="CR106" i="2"/>
  <c r="CT106" i="2"/>
  <c r="AX106" i="2"/>
  <c r="BF106" i="2"/>
  <c r="AY106" i="2"/>
  <c r="BG106" i="2"/>
  <c r="BO106" i="2"/>
  <c r="CF104" i="2"/>
  <c r="CN104" i="2"/>
  <c r="AZ106" i="2"/>
  <c r="BH106" i="2"/>
  <c r="BP106" i="2"/>
  <c r="CE104" i="2"/>
  <c r="CI104" i="2"/>
  <c r="CK104" i="2"/>
  <c r="CM104" i="2"/>
  <c r="CO104" i="2"/>
  <c r="BB106" i="2"/>
  <c r="BJ106" i="2"/>
  <c r="CP91" i="2"/>
  <c r="AW106" i="2"/>
  <c r="BE106" i="2"/>
  <c r="BM106" i="2"/>
  <c r="CQ91" i="2"/>
  <c r="CQ106" i="2"/>
  <c r="CR91" i="2"/>
  <c r="CS91" i="2"/>
  <c r="CS106" i="2"/>
  <c r="CT91" i="2"/>
  <c r="CH60" i="2"/>
  <c r="CL60" i="2"/>
  <c r="CE60" i="2"/>
  <c r="CM60" i="2"/>
  <c r="CO60" i="2"/>
  <c r="CP41" i="2"/>
  <c r="CS41" i="2"/>
  <c r="CF60" i="2"/>
  <c r="CG60" i="2"/>
  <c r="CK60" i="2"/>
  <c r="CN60" i="2"/>
  <c r="CI60" i="2"/>
  <c r="CJ60" i="2"/>
  <c r="BR43" i="2" l="1"/>
  <c r="AV44" i="2"/>
  <c r="AV47" i="2" s="1"/>
  <c r="AU44" i="2"/>
  <c r="AU47" i="2" s="1"/>
  <c r="AT44" i="2"/>
  <c r="AT47" i="2" s="1"/>
  <c r="AS44" i="2"/>
  <c r="AR44" i="2"/>
  <c r="AR47" i="2" s="1"/>
  <c r="AQ44" i="2"/>
  <c r="AQ47" i="2" s="1"/>
  <c r="AP44" i="2"/>
  <c r="AP47" i="2" s="1"/>
  <c r="AO44" i="2"/>
  <c r="AN44" i="2"/>
  <c r="AN47" i="2" s="1"/>
  <c r="AM44" i="2"/>
  <c r="AM47" i="2" s="1"/>
  <c r="AL44" i="2"/>
  <c r="AL47" i="2" s="1"/>
  <c r="AK44" i="2"/>
  <c r="AJ44" i="2"/>
  <c r="AJ47" i="2" s="1"/>
  <c r="AI44" i="2"/>
  <c r="AI47" i="2" s="1"/>
  <c r="AH44" i="2"/>
  <c r="AH47" i="2" s="1"/>
  <c r="AG44" i="2"/>
  <c r="AF44" i="2"/>
  <c r="AF47" i="2" s="1"/>
  <c r="AE44" i="2"/>
  <c r="AE47" i="2" s="1"/>
  <c r="AD44" i="2"/>
  <c r="AD47" i="2" s="1"/>
  <c r="AC44" i="2"/>
  <c r="AB44" i="2"/>
  <c r="AB47" i="2" s="1"/>
  <c r="AA44" i="2"/>
  <c r="AA47" i="2" s="1"/>
  <c r="Z44" i="2"/>
  <c r="Z47" i="2" s="1"/>
  <c r="Y44" i="2"/>
  <c r="X44" i="2"/>
  <c r="X47" i="2" s="1"/>
  <c r="W44" i="2"/>
  <c r="W47" i="2" s="1"/>
  <c r="V44" i="2"/>
  <c r="V47" i="2" s="1"/>
  <c r="U44" i="2"/>
  <c r="T44" i="2"/>
  <c r="T47" i="2" s="1"/>
  <c r="S44" i="2"/>
  <c r="S47" i="2" s="1"/>
  <c r="R44" i="2"/>
  <c r="R47" i="2" s="1"/>
  <c r="Q44" i="2"/>
  <c r="P44" i="2"/>
  <c r="P47" i="2" s="1"/>
  <c r="O44" i="2"/>
  <c r="O47" i="2" s="1"/>
  <c r="N44" i="2"/>
  <c r="N47" i="2" s="1"/>
  <c r="M44" i="2"/>
  <c r="L44" i="2"/>
  <c r="L47" i="2" s="1"/>
  <c r="K44" i="2"/>
  <c r="K47" i="2" s="1"/>
  <c r="J44" i="2"/>
  <c r="J47" i="2" s="1"/>
  <c r="I44" i="2"/>
  <c r="H44" i="2"/>
  <c r="H47" i="2" s="1"/>
  <c r="G44" i="2"/>
  <c r="G47" i="2" s="1"/>
  <c r="F44" i="2"/>
  <c r="F47" i="2" s="1"/>
  <c r="E44" i="2"/>
  <c r="D44" i="2"/>
  <c r="D47" i="2" s="1"/>
  <c r="C44" i="2"/>
  <c r="C47" i="2" s="1"/>
  <c r="AZ25" i="2"/>
  <c r="AZ24" i="2"/>
  <c r="BD25" i="2"/>
  <c r="BD24" i="2"/>
  <c r="BH25" i="2"/>
  <c r="BH24" i="2"/>
  <c r="BL25" i="2"/>
  <c r="BL24" i="2"/>
  <c r="BP25" i="2"/>
  <c r="BT29" i="2" s="1"/>
  <c r="BP24" i="2"/>
  <c r="BT28" i="2" s="1"/>
  <c r="AZ8" i="2"/>
  <c r="AZ7" i="2"/>
  <c r="AZ6" i="2"/>
  <c r="AZ5" i="2"/>
  <c r="AZ4" i="2"/>
  <c r="BD8" i="2"/>
  <c r="BD7" i="2"/>
  <c r="BD6" i="2"/>
  <c r="BD5" i="2"/>
  <c r="BD4" i="2"/>
  <c r="BH8" i="2"/>
  <c r="BH7" i="2"/>
  <c r="BH6" i="2"/>
  <c r="BH5" i="2"/>
  <c r="BH4" i="2"/>
  <c r="BL8" i="2"/>
  <c r="BL7" i="2"/>
  <c r="BL6" i="2"/>
  <c r="BL5" i="2"/>
  <c r="BL4" i="2"/>
  <c r="BP8" i="2"/>
  <c r="BT15" i="2" s="1"/>
  <c r="BP7" i="2"/>
  <c r="BT14" i="2" s="1"/>
  <c r="BP6" i="2"/>
  <c r="BT13" i="2" s="1"/>
  <c r="BP5" i="2"/>
  <c r="BT12" i="2" s="1"/>
  <c r="BP4" i="2"/>
  <c r="BT11" i="2" s="1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W26" i="2"/>
  <c r="AW9" i="2"/>
  <c r="AW35" i="2" s="1"/>
  <c r="AW57" i="2" l="1"/>
  <c r="AW55" i="2"/>
  <c r="AW54" i="2"/>
  <c r="AW53" i="2"/>
  <c r="AW59" i="2"/>
  <c r="AW56" i="2"/>
  <c r="AW58" i="2"/>
  <c r="AW44" i="2"/>
  <c r="AW47" i="2" s="1"/>
  <c r="AW61" i="2" s="1"/>
  <c r="AW60" i="2"/>
  <c r="CT8" i="2"/>
  <c r="CV8" i="2" s="1"/>
  <c r="CW8" i="2" s="1"/>
  <c r="CX8" i="2" s="1"/>
  <c r="CY8" i="2" s="1"/>
  <c r="CZ8" i="2" s="1"/>
  <c r="DA8" i="2" s="1"/>
  <c r="DB8" i="2" s="1"/>
  <c r="DC8" i="2" s="1"/>
  <c r="DD8" i="2" s="1"/>
  <c r="CP4" i="2"/>
  <c r="D49" i="2"/>
  <c r="D101" i="2" s="1"/>
  <c r="D61" i="2"/>
  <c r="T49" i="2"/>
  <c r="T101" i="2" s="1"/>
  <c r="T61" i="2"/>
  <c r="AJ49" i="2"/>
  <c r="AJ101" i="2" s="1"/>
  <c r="AJ61" i="2"/>
  <c r="CS4" i="2"/>
  <c r="CP5" i="2"/>
  <c r="M47" i="2"/>
  <c r="CG44" i="2"/>
  <c r="AF49" i="2"/>
  <c r="AF101" i="2" s="1"/>
  <c r="AF61" i="2"/>
  <c r="AV49" i="2"/>
  <c r="AV101" i="2" s="1"/>
  <c r="AV61" i="2"/>
  <c r="CT5" i="2"/>
  <c r="CV5" i="2" s="1"/>
  <c r="CW5" i="2" s="1"/>
  <c r="CX5" i="2" s="1"/>
  <c r="CY5" i="2" s="1"/>
  <c r="CZ5" i="2" s="1"/>
  <c r="DA5" i="2" s="1"/>
  <c r="DB5" i="2" s="1"/>
  <c r="DC5" i="2" s="1"/>
  <c r="DD5" i="2" s="1"/>
  <c r="CQ6" i="2"/>
  <c r="Y47" i="2"/>
  <c r="CJ44" i="2"/>
  <c r="CQ7" i="2"/>
  <c r="CR6" i="2"/>
  <c r="CS25" i="2"/>
  <c r="BL29" i="2"/>
  <c r="L49" i="2"/>
  <c r="L101" i="2" s="1"/>
  <c r="L61" i="2"/>
  <c r="AB49" i="2"/>
  <c r="AB101" i="2" s="1"/>
  <c r="AB61" i="2"/>
  <c r="AR49" i="2"/>
  <c r="AR101" i="2" s="1"/>
  <c r="AR61" i="2"/>
  <c r="CR7" i="2"/>
  <c r="CR24" i="2"/>
  <c r="BH28" i="2"/>
  <c r="E47" i="2"/>
  <c r="CE44" i="2"/>
  <c r="U47" i="2"/>
  <c r="CI44" i="2"/>
  <c r="AC47" i="2"/>
  <c r="CK44" i="2"/>
  <c r="CK47" i="2" s="1"/>
  <c r="AK47" i="2"/>
  <c r="CM44" i="2"/>
  <c r="AS47" i="2"/>
  <c r="CO44" i="2"/>
  <c r="CS5" i="2"/>
  <c r="CR8" i="2"/>
  <c r="CP6" i="2"/>
  <c r="BH29" i="2"/>
  <c r="CR25" i="2"/>
  <c r="F49" i="2"/>
  <c r="F101" i="2" s="1"/>
  <c r="F61" i="2"/>
  <c r="N49" i="2"/>
  <c r="N101" i="2" s="1"/>
  <c r="N61" i="2"/>
  <c r="V49" i="2"/>
  <c r="V101" i="2" s="1"/>
  <c r="V61" i="2"/>
  <c r="AD49" i="2"/>
  <c r="AD101" i="2" s="1"/>
  <c r="AD61" i="2"/>
  <c r="AL49" i="2"/>
  <c r="AL101" i="2" s="1"/>
  <c r="AL61" i="2"/>
  <c r="AT49" i="2"/>
  <c r="AT101" i="2" s="1"/>
  <c r="AT61" i="2"/>
  <c r="CS6" i="2"/>
  <c r="CQ4" i="2"/>
  <c r="CP7" i="2"/>
  <c r="CQ24" i="2"/>
  <c r="BD28" i="2"/>
  <c r="G49" i="2"/>
  <c r="G101" i="2" s="1"/>
  <c r="G61" i="2"/>
  <c r="O49" i="2"/>
  <c r="O101" i="2" s="1"/>
  <c r="O61" i="2"/>
  <c r="W49" i="2"/>
  <c r="W101" i="2" s="1"/>
  <c r="W61" i="2"/>
  <c r="AE49" i="2"/>
  <c r="AE101" i="2" s="1"/>
  <c r="AE61" i="2"/>
  <c r="AM49" i="2"/>
  <c r="AM101" i="2" s="1"/>
  <c r="AM61" i="2"/>
  <c r="AU49" i="2"/>
  <c r="AU101" i="2" s="1"/>
  <c r="AU61" i="2"/>
  <c r="CT4" i="2"/>
  <c r="CS7" i="2"/>
  <c r="CQ5" i="2"/>
  <c r="CP8" i="2"/>
  <c r="CQ25" i="2"/>
  <c r="BD29" i="2"/>
  <c r="H49" i="2"/>
  <c r="H101" i="2" s="1"/>
  <c r="H61" i="2"/>
  <c r="P49" i="2"/>
  <c r="P101" i="2" s="1"/>
  <c r="P61" i="2"/>
  <c r="X49" i="2"/>
  <c r="X101" i="2" s="1"/>
  <c r="X61" i="2"/>
  <c r="AN49" i="2"/>
  <c r="AN101" i="2" s="1"/>
  <c r="AN61" i="2"/>
  <c r="AW19" i="2"/>
  <c r="AW22" i="2"/>
  <c r="AW18" i="2"/>
  <c r="AW21" i="2"/>
  <c r="AW20" i="2"/>
  <c r="CS8" i="2"/>
  <c r="CT24" i="2"/>
  <c r="BP28" i="2"/>
  <c r="CP24" i="2"/>
  <c r="I47" i="2"/>
  <c r="CF44" i="2"/>
  <c r="Q47" i="2"/>
  <c r="CH44" i="2"/>
  <c r="AG47" i="2"/>
  <c r="CL44" i="2"/>
  <c r="AO47" i="2"/>
  <c r="CN44" i="2"/>
  <c r="AW33" i="2"/>
  <c r="AW32" i="2"/>
  <c r="CT6" i="2"/>
  <c r="CV6" i="2" s="1"/>
  <c r="CW6" i="2" s="1"/>
  <c r="CX6" i="2" s="1"/>
  <c r="CY6" i="2" s="1"/>
  <c r="CZ6" i="2" s="1"/>
  <c r="DA6" i="2" s="1"/>
  <c r="DB6" i="2" s="1"/>
  <c r="DC6" i="2" s="1"/>
  <c r="DD6" i="2" s="1"/>
  <c r="CR4" i="2"/>
  <c r="CT25" i="2"/>
  <c r="BP29" i="2"/>
  <c r="CP25" i="2"/>
  <c r="J49" i="2"/>
  <c r="J101" i="2" s="1"/>
  <c r="J61" i="2"/>
  <c r="R49" i="2"/>
  <c r="R101" i="2" s="1"/>
  <c r="R61" i="2"/>
  <c r="Z49" i="2"/>
  <c r="Z101" i="2" s="1"/>
  <c r="Z61" i="2"/>
  <c r="AH49" i="2"/>
  <c r="AH101" i="2" s="1"/>
  <c r="AH61" i="2"/>
  <c r="AP49" i="2"/>
  <c r="AP101" i="2" s="1"/>
  <c r="AP61" i="2"/>
  <c r="CT7" i="2"/>
  <c r="CV7" i="2" s="1"/>
  <c r="CR5" i="2"/>
  <c r="CQ8" i="2"/>
  <c r="CS24" i="2"/>
  <c r="BL28" i="2"/>
  <c r="C49" i="2"/>
  <c r="C101" i="2" s="1"/>
  <c r="C61" i="2"/>
  <c r="K49" i="2"/>
  <c r="K101" i="2" s="1"/>
  <c r="K61" i="2"/>
  <c r="S49" i="2"/>
  <c r="S101" i="2" s="1"/>
  <c r="S61" i="2"/>
  <c r="AA49" i="2"/>
  <c r="AA101" i="2" s="1"/>
  <c r="AA61" i="2"/>
  <c r="AI49" i="2"/>
  <c r="AI101" i="2" s="1"/>
  <c r="AI61" i="2"/>
  <c r="AQ49" i="2"/>
  <c r="AQ101" i="2" s="1"/>
  <c r="AQ61" i="2"/>
  <c r="CQ43" i="2"/>
  <c r="CS43" i="2"/>
  <c r="CP43" i="2"/>
  <c r="CR43" i="2"/>
  <c r="CT43" i="2"/>
  <c r="BH13" i="2"/>
  <c r="BL11" i="2"/>
  <c r="BL13" i="2"/>
  <c r="BD11" i="2"/>
  <c r="BP12" i="2"/>
  <c r="BP15" i="2"/>
  <c r="BP11" i="2"/>
  <c r="BL14" i="2"/>
  <c r="BD12" i="2"/>
  <c r="BL15" i="2"/>
  <c r="BP13" i="2"/>
  <c r="BH11" i="2"/>
  <c r="BD14" i="2"/>
  <c r="BH14" i="2"/>
  <c r="BL12" i="2"/>
  <c r="BH15" i="2"/>
  <c r="BD13" i="2"/>
  <c r="BP14" i="2"/>
  <c r="BH12" i="2"/>
  <c r="BD15" i="2"/>
  <c r="CW7" i="2" l="1"/>
  <c r="CX7" i="2" s="1"/>
  <c r="CY7" i="2" s="1"/>
  <c r="CZ7" i="2" s="1"/>
  <c r="DA7" i="2" s="1"/>
  <c r="DB7" i="2" s="1"/>
  <c r="DC7" i="2" s="1"/>
  <c r="DD7" i="2" s="1"/>
  <c r="CV4" i="2"/>
  <c r="CW4" i="2" s="1"/>
  <c r="CU9" i="2"/>
  <c r="CT28" i="2"/>
  <c r="CQ29" i="2"/>
  <c r="CS28" i="2"/>
  <c r="CT29" i="2"/>
  <c r="CQ28" i="2"/>
  <c r="CR29" i="2"/>
  <c r="CR28" i="2"/>
  <c r="CS29" i="2"/>
  <c r="C62" i="2"/>
  <c r="AD62" i="2"/>
  <c r="W62" i="2"/>
  <c r="Z62" i="2"/>
  <c r="AR62" i="2"/>
  <c r="AF62" i="2"/>
  <c r="T62" i="2"/>
  <c r="P62" i="2"/>
  <c r="AQ62" i="2"/>
  <c r="AP62" i="2"/>
  <c r="J62" i="2"/>
  <c r="H62" i="2"/>
  <c r="AU62" i="2"/>
  <c r="O62" i="2"/>
  <c r="S62" i="2"/>
  <c r="R62" i="2"/>
  <c r="AI62" i="2"/>
  <c r="AT62" i="2"/>
  <c r="N62" i="2"/>
  <c r="AB62" i="2"/>
  <c r="D62" i="2"/>
  <c r="X62" i="2"/>
  <c r="AH62" i="2"/>
  <c r="AN62" i="2"/>
  <c r="AM62" i="2"/>
  <c r="G62" i="2"/>
  <c r="AE62" i="2"/>
  <c r="AJ62" i="2"/>
  <c r="K62" i="2"/>
  <c r="V62" i="2"/>
  <c r="AA62" i="2"/>
  <c r="AL62" i="2"/>
  <c r="F62" i="2"/>
  <c r="L62" i="2"/>
  <c r="AV62" i="2"/>
  <c r="CS12" i="2"/>
  <c r="M49" i="2"/>
  <c r="CG47" i="2"/>
  <c r="CG61" i="2" s="1"/>
  <c r="M61" i="2"/>
  <c r="CR11" i="2"/>
  <c r="CQ11" i="2"/>
  <c r="CR12" i="2"/>
  <c r="I49" i="2"/>
  <c r="I61" i="2"/>
  <c r="CF47" i="2"/>
  <c r="CF61" i="2" s="1"/>
  <c r="CQ13" i="2"/>
  <c r="U49" i="2"/>
  <c r="U61" i="2"/>
  <c r="CI47" i="2"/>
  <c r="CI61" i="2" s="1"/>
  <c r="CT14" i="2"/>
  <c r="AO49" i="2"/>
  <c r="AO61" i="2"/>
  <c r="CN47" i="2"/>
  <c r="CN61" i="2" s="1"/>
  <c r="CQ12" i="2"/>
  <c r="CR13" i="2"/>
  <c r="AS49" i="2"/>
  <c r="CO47" i="2"/>
  <c r="CO61" i="2" s="1"/>
  <c r="AS61" i="2"/>
  <c r="E49" i="2"/>
  <c r="CE47" i="2"/>
  <c r="CE61" i="2" s="1"/>
  <c r="E61" i="2"/>
  <c r="CT12" i="2"/>
  <c r="CT13" i="2"/>
  <c r="AG49" i="2"/>
  <c r="AG61" i="2"/>
  <c r="CL47" i="2"/>
  <c r="CL61" i="2" s="1"/>
  <c r="CS14" i="2"/>
  <c r="CS13" i="2"/>
  <c r="CQ14" i="2"/>
  <c r="CS11" i="2"/>
  <c r="AK49" i="2"/>
  <c r="AK61" i="2"/>
  <c r="CM47" i="2"/>
  <c r="CM61" i="2" s="1"/>
  <c r="CQ15" i="2"/>
  <c r="Q49" i="2"/>
  <c r="Q61" i="2"/>
  <c r="CH47" i="2"/>
  <c r="CH61" i="2" s="1"/>
  <c r="CK61" i="2"/>
  <c r="CK49" i="2"/>
  <c r="CK62" i="2" s="1"/>
  <c r="CS15" i="2"/>
  <c r="CT11" i="2"/>
  <c r="CR15" i="2"/>
  <c r="AC49" i="2"/>
  <c r="AC101" i="2" s="1"/>
  <c r="CK101" i="2" s="1"/>
  <c r="AC61" i="2"/>
  <c r="CR14" i="2"/>
  <c r="Y49" i="2"/>
  <c r="Y61" i="2"/>
  <c r="CJ47" i="2"/>
  <c r="CJ61" i="2" s="1"/>
  <c r="CT15" i="2"/>
  <c r="BQ26" i="2"/>
  <c r="BP26" i="2"/>
  <c r="BT30" i="2" s="1"/>
  <c r="BO26" i="2"/>
  <c r="BS30" i="2" s="1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BR26" i="2"/>
  <c r="BP9" i="2"/>
  <c r="BO9" i="2"/>
  <c r="BN9" i="2"/>
  <c r="BN35" i="2" s="1"/>
  <c r="BK9" i="2"/>
  <c r="BK35" i="2" s="1"/>
  <c r="BJ9" i="2"/>
  <c r="BJ35" i="2" s="1"/>
  <c r="BG9" i="2"/>
  <c r="BG35" i="2" s="1"/>
  <c r="BF9" i="2"/>
  <c r="BF35" i="2" s="1"/>
  <c r="BC9" i="2"/>
  <c r="BC35" i="2" s="1"/>
  <c r="BB9" i="2"/>
  <c r="BB35" i="2" s="1"/>
  <c r="AZ9" i="2"/>
  <c r="AZ35" i="2" s="1"/>
  <c r="AY9" i="2"/>
  <c r="AY35" i="2" s="1"/>
  <c r="AX9" i="2"/>
  <c r="AX35" i="2" s="1"/>
  <c r="BR9" i="2"/>
  <c r="BR35" i="2" s="1"/>
  <c r="CT9" i="2"/>
  <c r="CS9" i="2"/>
  <c r="CR9" i="2"/>
  <c r="CQ9" i="2"/>
  <c r="CP9" i="2"/>
  <c r="BC97" i="2" l="1"/>
  <c r="BC55" i="2"/>
  <c r="BC54" i="2"/>
  <c r="BC57" i="2"/>
  <c r="BC58" i="2"/>
  <c r="BC56" i="2"/>
  <c r="BC59" i="2"/>
  <c r="BC53" i="2"/>
  <c r="BC44" i="2"/>
  <c r="BC47" i="2" s="1"/>
  <c r="BC60" i="2"/>
  <c r="BJ97" i="2"/>
  <c r="BJ54" i="2"/>
  <c r="BJ57" i="2"/>
  <c r="BJ53" i="2"/>
  <c r="BJ55" i="2"/>
  <c r="BJ58" i="2"/>
  <c r="BJ59" i="2"/>
  <c r="BJ56" i="2"/>
  <c r="BJ44" i="2"/>
  <c r="BJ47" i="2" s="1"/>
  <c r="BJ60" i="2"/>
  <c r="BO35" i="2"/>
  <c r="BS16" i="2"/>
  <c r="AZ97" i="2"/>
  <c r="AZ53" i="2"/>
  <c r="AZ58" i="2"/>
  <c r="AZ54" i="2"/>
  <c r="AZ59" i="2"/>
  <c r="AZ57" i="2"/>
  <c r="AZ56" i="2"/>
  <c r="AZ55" i="2"/>
  <c r="AZ44" i="2"/>
  <c r="AZ47" i="2" s="1"/>
  <c r="AZ60" i="2"/>
  <c r="BB97" i="2"/>
  <c r="BB53" i="2"/>
  <c r="BB55" i="2"/>
  <c r="BB58" i="2"/>
  <c r="BB54" i="2"/>
  <c r="BB56" i="2"/>
  <c r="BB57" i="2"/>
  <c r="BB59" i="2"/>
  <c r="BB60" i="2"/>
  <c r="BB44" i="2"/>
  <c r="BB47" i="2" s="1"/>
  <c r="BT16" i="2"/>
  <c r="BP35" i="2"/>
  <c r="AX57" i="2"/>
  <c r="AX53" i="2"/>
  <c r="AX54" i="2"/>
  <c r="AX59" i="2"/>
  <c r="AX58" i="2"/>
  <c r="AX56" i="2"/>
  <c r="AX55" i="2"/>
  <c r="AX60" i="2"/>
  <c r="CP35" i="2"/>
  <c r="AX44" i="2"/>
  <c r="AY54" i="2"/>
  <c r="AY59" i="2"/>
  <c r="AY56" i="2"/>
  <c r="AY57" i="2"/>
  <c r="AY58" i="2"/>
  <c r="AY53" i="2"/>
  <c r="AY55" i="2"/>
  <c r="AY44" i="2"/>
  <c r="AY47" i="2" s="1"/>
  <c r="AY60" i="2"/>
  <c r="BK97" i="2"/>
  <c r="BK57" i="2"/>
  <c r="BK54" i="2"/>
  <c r="BK56" i="2"/>
  <c r="BK55" i="2"/>
  <c r="BK59" i="2"/>
  <c r="BK53" i="2"/>
  <c r="BK58" i="2"/>
  <c r="BK60" i="2"/>
  <c r="BK44" i="2"/>
  <c r="BK47" i="2" s="1"/>
  <c r="BN97" i="2"/>
  <c r="BN55" i="2"/>
  <c r="BN58" i="2"/>
  <c r="BN59" i="2"/>
  <c r="BN53" i="2"/>
  <c r="BN56" i="2"/>
  <c r="BN54" i="2"/>
  <c r="BN57" i="2"/>
  <c r="BN44" i="2"/>
  <c r="BN47" i="2" s="1"/>
  <c r="BN60" i="2"/>
  <c r="BF97" i="2"/>
  <c r="BF58" i="2"/>
  <c r="BF56" i="2"/>
  <c r="BF59" i="2"/>
  <c r="BF53" i="2"/>
  <c r="BF54" i="2"/>
  <c r="BF57" i="2"/>
  <c r="BF55" i="2"/>
  <c r="BF60" i="2"/>
  <c r="BF44" i="2"/>
  <c r="BF47" i="2" s="1"/>
  <c r="BG97" i="2"/>
  <c r="BG56" i="2"/>
  <c r="BG59" i="2"/>
  <c r="BG53" i="2"/>
  <c r="BG54" i="2"/>
  <c r="BG57" i="2"/>
  <c r="BG55" i="2"/>
  <c r="BG58" i="2"/>
  <c r="BG44" i="2"/>
  <c r="BG47" i="2" s="1"/>
  <c r="BG60" i="2"/>
  <c r="BR97" i="2"/>
  <c r="BR58" i="2"/>
  <c r="BR59" i="2"/>
  <c r="BR57" i="2"/>
  <c r="BR56" i="2"/>
  <c r="BR55" i="2"/>
  <c r="BR54" i="2"/>
  <c r="BR53" i="2"/>
  <c r="BR44" i="2"/>
  <c r="BR47" i="2" s="1"/>
  <c r="BR60" i="2"/>
  <c r="CU35" i="2"/>
  <c r="CU16" i="2"/>
  <c r="CX4" i="2"/>
  <c r="CW9" i="2"/>
  <c r="CV9" i="2"/>
  <c r="M101" i="2"/>
  <c r="CG101" i="2" s="1"/>
  <c r="Q101" i="2"/>
  <c r="CH101" i="2" s="1"/>
  <c r="E101" i="2"/>
  <c r="CE101" i="2" s="1"/>
  <c r="AO101" i="2"/>
  <c r="CN101" i="2" s="1"/>
  <c r="I101" i="2"/>
  <c r="CF101" i="2" s="1"/>
  <c r="AG101" i="2"/>
  <c r="CL101" i="2" s="1"/>
  <c r="AS101" i="2"/>
  <c r="CO101" i="2" s="1"/>
  <c r="Y101" i="2"/>
  <c r="CJ101" i="2" s="1"/>
  <c r="AK101" i="2"/>
  <c r="CM101" i="2" s="1"/>
  <c r="U101" i="2"/>
  <c r="CI101" i="2" s="1"/>
  <c r="AC62" i="2"/>
  <c r="BR21" i="2"/>
  <c r="BR20" i="2"/>
  <c r="BR19" i="2"/>
  <c r="BR22" i="2"/>
  <c r="BR18" i="2"/>
  <c r="AZ33" i="2"/>
  <c r="AZ32" i="2"/>
  <c r="BP30" i="2"/>
  <c r="BP33" i="2"/>
  <c r="BP32" i="2"/>
  <c r="CE49" i="2"/>
  <c r="CE62" i="2" s="1"/>
  <c r="E62" i="2"/>
  <c r="BK16" i="2"/>
  <c r="BK18" i="2"/>
  <c r="BK21" i="2"/>
  <c r="BK19" i="2"/>
  <c r="BK22" i="2"/>
  <c r="BK20" i="2"/>
  <c r="BI30" i="2"/>
  <c r="BI32" i="2"/>
  <c r="CS26" i="2"/>
  <c r="BI33" i="2"/>
  <c r="BQ30" i="2"/>
  <c r="BQ32" i="2"/>
  <c r="BQ33" i="2"/>
  <c r="Q62" i="2"/>
  <c r="CH49" i="2"/>
  <c r="CH62" i="2" s="1"/>
  <c r="CL49" i="2"/>
  <c r="CL62" i="2" s="1"/>
  <c r="AG62" i="2"/>
  <c r="BN16" i="2"/>
  <c r="BN19" i="2"/>
  <c r="BN22" i="2"/>
  <c r="BN21" i="2"/>
  <c r="BN18" i="2"/>
  <c r="BN20" i="2"/>
  <c r="BJ32" i="2"/>
  <c r="BJ33" i="2"/>
  <c r="BJ30" i="2"/>
  <c r="CJ49" i="2"/>
  <c r="CJ62" i="2" s="1"/>
  <c r="Y62" i="2"/>
  <c r="AZ21" i="2"/>
  <c r="AZ20" i="2"/>
  <c r="AZ18" i="2"/>
  <c r="AZ19" i="2"/>
  <c r="AZ22" i="2"/>
  <c r="BC33" i="2"/>
  <c r="BC30" i="2"/>
  <c r="BC32" i="2"/>
  <c r="BK33" i="2"/>
  <c r="BK32" i="2"/>
  <c r="BK30" i="2"/>
  <c r="AS62" i="2"/>
  <c r="CO49" i="2"/>
  <c r="CO62" i="2" s="1"/>
  <c r="BB16" i="2"/>
  <c r="BB18" i="2"/>
  <c r="BB21" i="2"/>
  <c r="BB19" i="2"/>
  <c r="BB22" i="2"/>
  <c r="BB20" i="2"/>
  <c r="BD30" i="2"/>
  <c r="BD33" i="2"/>
  <c r="BD32" i="2"/>
  <c r="CF49" i="2"/>
  <c r="CF62" i="2" s="1"/>
  <c r="I62" i="2"/>
  <c r="CR16" i="2"/>
  <c r="BR32" i="2"/>
  <c r="BR30" i="2"/>
  <c r="BR33" i="2"/>
  <c r="BF19" i="2"/>
  <c r="BF22" i="2"/>
  <c r="BF20" i="2"/>
  <c r="BF21" i="2"/>
  <c r="BF18" i="2"/>
  <c r="BJ18" i="2"/>
  <c r="BJ21" i="2"/>
  <c r="BJ22" i="2"/>
  <c r="BJ19" i="2"/>
  <c r="BJ20" i="2"/>
  <c r="BH30" i="2"/>
  <c r="BH32" i="2"/>
  <c r="BH33" i="2"/>
  <c r="AX19" i="2"/>
  <c r="AX22" i="2"/>
  <c r="AX18" i="2"/>
  <c r="AX21" i="2"/>
  <c r="AX20" i="2"/>
  <c r="BA30" i="2"/>
  <c r="BA32" i="2"/>
  <c r="BA33" i="2"/>
  <c r="CQ26" i="2"/>
  <c r="AY22" i="2"/>
  <c r="AY20" i="2"/>
  <c r="AY21" i="2"/>
  <c r="AY19" i="2"/>
  <c r="AY18" i="2"/>
  <c r="BB32" i="2"/>
  <c r="BB30" i="2"/>
  <c r="BB33" i="2"/>
  <c r="CN49" i="2"/>
  <c r="CN62" i="2" s="1"/>
  <c r="AO62" i="2"/>
  <c r="BO22" i="2"/>
  <c r="BO20" i="2"/>
  <c r="BO19" i="2"/>
  <c r="BO21" i="2"/>
  <c r="BO18" i="2"/>
  <c r="CQ16" i="2"/>
  <c r="BP22" i="2"/>
  <c r="BP18" i="2"/>
  <c r="BP20" i="2"/>
  <c r="BP19" i="2"/>
  <c r="BP21" i="2"/>
  <c r="BL30" i="2"/>
  <c r="BL32" i="2"/>
  <c r="BL33" i="2"/>
  <c r="BC16" i="2"/>
  <c r="BC18" i="2"/>
  <c r="BC21" i="2"/>
  <c r="BC22" i="2"/>
  <c r="BC20" i="2"/>
  <c r="BC19" i="2"/>
  <c r="BE33" i="2"/>
  <c r="BE32" i="2"/>
  <c r="BE30" i="2"/>
  <c r="CR26" i="2"/>
  <c r="BM33" i="2"/>
  <c r="CT26" i="2"/>
  <c r="BM30" i="2"/>
  <c r="BM32" i="2"/>
  <c r="CG49" i="2"/>
  <c r="CG62" i="2" s="1"/>
  <c r="M62" i="2"/>
  <c r="CS16" i="2"/>
  <c r="AX33" i="2"/>
  <c r="AX32" i="2"/>
  <c r="CP26" i="2"/>
  <c r="BF32" i="2"/>
  <c r="BF33" i="2"/>
  <c r="BF30" i="2"/>
  <c r="BN30" i="2"/>
  <c r="BN32" i="2"/>
  <c r="BN33" i="2"/>
  <c r="CM49" i="2"/>
  <c r="CM62" i="2" s="1"/>
  <c r="AK62" i="2"/>
  <c r="CT16" i="2"/>
  <c r="BG22" i="2"/>
  <c r="BG20" i="2"/>
  <c r="BG18" i="2"/>
  <c r="BG21" i="2"/>
  <c r="BG19" i="2"/>
  <c r="AY33" i="2"/>
  <c r="AY32" i="2"/>
  <c r="BG30" i="2"/>
  <c r="BG33" i="2"/>
  <c r="BG32" i="2"/>
  <c r="BO30" i="2"/>
  <c r="BO32" i="2"/>
  <c r="BO33" i="2"/>
  <c r="CI49" i="2"/>
  <c r="CI62" i="2" s="1"/>
  <c r="U62" i="2"/>
  <c r="AW49" i="2"/>
  <c r="AW62" i="2" s="1"/>
  <c r="BF16" i="2"/>
  <c r="BG16" i="2"/>
  <c r="BR16" i="2"/>
  <c r="BJ16" i="2"/>
  <c r="BO16" i="2"/>
  <c r="BD9" i="2"/>
  <c r="BD35" i="2" s="1"/>
  <c r="BE9" i="2"/>
  <c r="BE35" i="2" s="1"/>
  <c r="BA9" i="2"/>
  <c r="BA35" i="2" s="1"/>
  <c r="BM9" i="2"/>
  <c r="BM35" i="2" s="1"/>
  <c r="BQ9" i="2"/>
  <c r="BQ35" i="2" s="1"/>
  <c r="AZ61" i="2" l="1"/>
  <c r="AZ49" i="2"/>
  <c r="BA97" i="2"/>
  <c r="BA57" i="2"/>
  <c r="BA54" i="2"/>
  <c r="BA55" i="2"/>
  <c r="BA56" i="2"/>
  <c r="BA58" i="2"/>
  <c r="BA59" i="2"/>
  <c r="BA53" i="2"/>
  <c r="CQ35" i="2"/>
  <c r="BA60" i="2"/>
  <c r="BA44" i="2"/>
  <c r="BE97" i="2"/>
  <c r="BE58" i="2"/>
  <c r="BE56" i="2"/>
  <c r="BE57" i="2"/>
  <c r="BE59" i="2"/>
  <c r="BE53" i="2"/>
  <c r="BE54" i="2"/>
  <c r="BE55" i="2"/>
  <c r="BE44" i="2"/>
  <c r="BE60" i="2"/>
  <c r="CU42" i="2"/>
  <c r="CU41" i="2"/>
  <c r="CU38" i="2"/>
  <c r="CU37" i="2"/>
  <c r="CU40" i="2"/>
  <c r="CU39" i="2"/>
  <c r="CU36" i="2"/>
  <c r="BG61" i="2"/>
  <c r="BG49" i="2"/>
  <c r="AY61" i="2"/>
  <c r="AY49" i="2"/>
  <c r="AX47" i="2"/>
  <c r="CP44" i="2"/>
  <c r="BF61" i="2"/>
  <c r="BF49" i="2"/>
  <c r="CP53" i="2"/>
  <c r="CP97" i="2"/>
  <c r="CP59" i="2"/>
  <c r="CP57" i="2"/>
  <c r="CP55" i="2"/>
  <c r="CP54" i="2"/>
  <c r="CP56" i="2"/>
  <c r="CP58" i="2"/>
  <c r="CP60" i="2"/>
  <c r="BO97" i="2"/>
  <c r="BO58" i="2"/>
  <c r="BO59" i="2"/>
  <c r="BO53" i="2"/>
  <c r="BO56" i="2"/>
  <c r="BO55" i="2"/>
  <c r="BO54" i="2"/>
  <c r="BO57" i="2"/>
  <c r="BO44" i="2"/>
  <c r="BO47" i="2" s="1"/>
  <c r="BO60" i="2"/>
  <c r="BD97" i="2"/>
  <c r="BD53" i="2"/>
  <c r="BD59" i="2"/>
  <c r="BD54" i="2"/>
  <c r="BD58" i="2"/>
  <c r="BD57" i="2"/>
  <c r="BD55" i="2"/>
  <c r="BD56" i="2"/>
  <c r="BD60" i="2"/>
  <c r="BD44" i="2"/>
  <c r="BD47" i="2" s="1"/>
  <c r="BP97" i="2"/>
  <c r="BP57" i="2"/>
  <c r="BP54" i="2"/>
  <c r="BP59" i="2"/>
  <c r="BP53" i="2"/>
  <c r="BP58" i="2"/>
  <c r="BP55" i="2"/>
  <c r="BP56" i="2"/>
  <c r="BP44" i="2"/>
  <c r="BP47" i="2" s="1"/>
  <c r="BP60" i="2"/>
  <c r="BJ61" i="2"/>
  <c r="BJ49" i="2"/>
  <c r="BQ97" i="2"/>
  <c r="BQ53" i="2"/>
  <c r="BQ59" i="2"/>
  <c r="BQ56" i="2"/>
  <c r="BQ54" i="2"/>
  <c r="BQ57" i="2"/>
  <c r="BQ55" i="2"/>
  <c r="BQ58" i="2"/>
  <c r="BQ44" i="2"/>
  <c r="BQ47" i="2" s="1"/>
  <c r="BQ60" i="2"/>
  <c r="BM97" i="2"/>
  <c r="BM55" i="2"/>
  <c r="BM54" i="2"/>
  <c r="BM58" i="2"/>
  <c r="BM59" i="2"/>
  <c r="BM53" i="2"/>
  <c r="BM57" i="2"/>
  <c r="BM56" i="2"/>
  <c r="CT35" i="2"/>
  <c r="BM60" i="2"/>
  <c r="BM44" i="2"/>
  <c r="BN61" i="2"/>
  <c r="BN49" i="2"/>
  <c r="BB61" i="2"/>
  <c r="BB49" i="2"/>
  <c r="BK61" i="2"/>
  <c r="BK49" i="2"/>
  <c r="BC61" i="2"/>
  <c r="BC49" i="2"/>
  <c r="BR49" i="2"/>
  <c r="BR61" i="2"/>
  <c r="CV35" i="2"/>
  <c r="CV16" i="2"/>
  <c r="CW16" i="2"/>
  <c r="CW35" i="2"/>
  <c r="CY4" i="2"/>
  <c r="CX9" i="2"/>
  <c r="AW51" i="2"/>
  <c r="AW101" i="2"/>
  <c r="CP32" i="2"/>
  <c r="CP33" i="2"/>
  <c r="CS30" i="2"/>
  <c r="CS33" i="2"/>
  <c r="CS32" i="2"/>
  <c r="CT30" i="2"/>
  <c r="CT32" i="2"/>
  <c r="CT33" i="2"/>
  <c r="CR30" i="2"/>
  <c r="CR32" i="2"/>
  <c r="CR33" i="2"/>
  <c r="CQ30" i="2"/>
  <c r="CQ32" i="2"/>
  <c r="CQ33" i="2"/>
  <c r="BE22" i="2"/>
  <c r="BE19" i="2"/>
  <c r="BE20" i="2"/>
  <c r="BE21" i="2"/>
  <c r="BE18" i="2"/>
  <c r="BD16" i="2"/>
  <c r="BD21" i="2"/>
  <c r="BD22" i="2"/>
  <c r="BD19" i="2"/>
  <c r="BD20" i="2"/>
  <c r="BD18" i="2"/>
  <c r="BQ20" i="2"/>
  <c r="BQ18" i="2"/>
  <c r="BQ22" i="2"/>
  <c r="BQ19" i="2"/>
  <c r="BQ21" i="2"/>
  <c r="BM19" i="2"/>
  <c r="BM22" i="2"/>
  <c r="BM21" i="2"/>
  <c r="BM20" i="2"/>
  <c r="BM18" i="2"/>
  <c r="BA16" i="2"/>
  <c r="BA20" i="2"/>
  <c r="BA18" i="2"/>
  <c r="BA19" i="2"/>
  <c r="BA22" i="2"/>
  <c r="BA21" i="2"/>
  <c r="BE16" i="2"/>
  <c r="BQ16" i="2"/>
  <c r="BH9" i="2"/>
  <c r="BH35" i="2" s="1"/>
  <c r="CR35" i="2" s="1"/>
  <c r="CF3" i="2"/>
  <c r="CG3" i="2" s="1"/>
  <c r="CH3" i="2" s="1"/>
  <c r="CI3" i="2" s="1"/>
  <c r="CJ3" i="2" s="1"/>
  <c r="CK3" i="2" s="1"/>
  <c r="CL3" i="2" s="1"/>
  <c r="CM3" i="2" s="1"/>
  <c r="CN3" i="2" s="1"/>
  <c r="CO3" i="2" s="1"/>
  <c r="CP3" i="2" s="1"/>
  <c r="CQ3" i="2" s="1"/>
  <c r="CR3" i="2" s="1"/>
  <c r="CS3" i="2" s="1"/>
  <c r="CT3" i="2" s="1"/>
  <c r="CU3" i="2" s="1"/>
  <c r="CV3" i="2" s="1"/>
  <c r="CW3" i="2" s="1"/>
  <c r="CX3" i="2" s="1"/>
  <c r="CY3" i="2" s="1"/>
  <c r="CZ3" i="2" s="1"/>
  <c r="DA3" i="2" s="1"/>
  <c r="DB3" i="2" s="1"/>
  <c r="DC3" i="2" s="1"/>
  <c r="DD3" i="2" s="1"/>
  <c r="DE3" i="2" s="1"/>
  <c r="DF3" i="2" s="1"/>
  <c r="DG3" i="2" s="1"/>
  <c r="DH3" i="2" s="1"/>
  <c r="DI3" i="2" s="1"/>
  <c r="DJ3" i="2" s="1"/>
  <c r="DK3" i="2" s="1"/>
  <c r="DL3" i="2" s="1"/>
  <c r="DM3" i="2" s="1"/>
  <c r="DN3" i="2" s="1"/>
  <c r="DO3" i="2" s="1"/>
  <c r="DP3" i="2" s="1"/>
  <c r="DQ3" i="2" s="1"/>
  <c r="DR3" i="2" s="1"/>
  <c r="DS3" i="2" s="1"/>
  <c r="DT3" i="2" s="1"/>
  <c r="DU3" i="2" s="1"/>
  <c r="DV3" i="2" s="1"/>
  <c r="DW3" i="2" s="1"/>
  <c r="DX3" i="2" s="1"/>
  <c r="DY3" i="2" s="1"/>
  <c r="DZ3" i="2" s="1"/>
  <c r="EA3" i="2" s="1"/>
  <c r="EB3" i="2" s="1"/>
  <c r="EC3" i="2" s="1"/>
  <c r="ED3" i="2" s="1"/>
  <c r="EE3" i="2" s="1"/>
  <c r="EF3" i="2" s="1"/>
  <c r="EG3" i="2" s="1"/>
  <c r="EH3" i="2" s="1"/>
  <c r="EI3" i="2" s="1"/>
  <c r="EJ3" i="2" s="1"/>
  <c r="EK3" i="2" s="1"/>
  <c r="EL3" i="2" s="1"/>
  <c r="EM3" i="2" s="1"/>
  <c r="EN3" i="2" s="1"/>
  <c r="EO3" i="2" s="1"/>
  <c r="EP3" i="2" s="1"/>
  <c r="EQ3" i="2" s="1"/>
  <c r="ER3" i="2" s="1"/>
  <c r="ES3" i="2" s="1"/>
  <c r="ET3" i="2" s="1"/>
  <c r="EU3" i="2" s="1"/>
  <c r="EV3" i="2" s="1"/>
  <c r="EW3" i="2" s="1"/>
  <c r="EX3" i="2" s="1"/>
  <c r="EY3" i="2" s="1"/>
  <c r="EZ3" i="2" s="1"/>
  <c r="FA3" i="2" s="1"/>
  <c r="FB3" i="2" s="1"/>
  <c r="G211" i="3"/>
  <c r="C5" i="1"/>
  <c r="C8" i="1" s="1"/>
  <c r="CR97" i="2" l="1"/>
  <c r="CR53" i="2"/>
  <c r="CR54" i="2"/>
  <c r="CR59" i="2"/>
  <c r="CR58" i="2"/>
  <c r="CR55" i="2"/>
  <c r="CR57" i="2"/>
  <c r="CR56" i="2"/>
  <c r="CR60" i="2"/>
  <c r="BJ101" i="2"/>
  <c r="BJ62" i="2"/>
  <c r="BJ99" i="2"/>
  <c r="BJ51" i="2"/>
  <c r="BJ98" i="2"/>
  <c r="BF98" i="2"/>
  <c r="BF62" i="2"/>
  <c r="BF51" i="2"/>
  <c r="BF99" i="2"/>
  <c r="BF101" i="2"/>
  <c r="BC98" i="2"/>
  <c r="BC62" i="2"/>
  <c r="BC51" i="2"/>
  <c r="BC99" i="2"/>
  <c r="BC101" i="2"/>
  <c r="BM47" i="2"/>
  <c r="CT44" i="2"/>
  <c r="BP61" i="2"/>
  <c r="BP49" i="2"/>
  <c r="BA47" i="2"/>
  <c r="CQ44" i="2"/>
  <c r="BH97" i="2"/>
  <c r="BH53" i="2"/>
  <c r="BH58" i="2"/>
  <c r="BH54" i="2"/>
  <c r="BH56" i="2"/>
  <c r="BH57" i="2"/>
  <c r="BH59" i="2"/>
  <c r="BH55" i="2"/>
  <c r="BH60" i="2"/>
  <c r="BH44" i="2"/>
  <c r="BH47" i="2" s="1"/>
  <c r="CV36" i="2"/>
  <c r="CV42" i="2"/>
  <c r="CV38" i="2"/>
  <c r="CV41" i="2"/>
  <c r="CV40" i="2"/>
  <c r="CV39" i="2"/>
  <c r="CV37" i="2"/>
  <c r="BD61" i="2"/>
  <c r="BD49" i="2"/>
  <c r="AX61" i="2"/>
  <c r="AX49" i="2"/>
  <c r="CP47" i="2"/>
  <c r="CP61" i="2" s="1"/>
  <c r="BN99" i="2"/>
  <c r="BN98" i="2"/>
  <c r="BN51" i="2"/>
  <c r="BN101" i="2"/>
  <c r="BN62" i="2"/>
  <c r="BK99" i="2"/>
  <c r="BK101" i="2"/>
  <c r="BK98" i="2"/>
  <c r="BK62" i="2"/>
  <c r="BK51" i="2"/>
  <c r="CT59" i="2"/>
  <c r="CT58" i="2"/>
  <c r="CT55" i="2"/>
  <c r="CT53" i="2"/>
  <c r="CT56" i="2"/>
  <c r="CT54" i="2"/>
  <c r="CT57" i="2"/>
  <c r="CT60" i="2"/>
  <c r="AY62" i="2"/>
  <c r="AY51" i="2"/>
  <c r="AY101" i="2"/>
  <c r="CQ58" i="2"/>
  <c r="CQ53" i="2"/>
  <c r="CQ97" i="2"/>
  <c r="CQ59" i="2"/>
  <c r="CQ56" i="2"/>
  <c r="CQ55" i="2"/>
  <c r="CQ54" i="2"/>
  <c r="CQ57" i="2"/>
  <c r="CQ60" i="2"/>
  <c r="BE47" i="2"/>
  <c r="CR44" i="2"/>
  <c r="AZ98" i="2"/>
  <c r="AZ101" i="2"/>
  <c r="AZ62" i="2"/>
  <c r="AZ99" i="2"/>
  <c r="AZ51" i="2"/>
  <c r="BB99" i="2"/>
  <c r="BB51" i="2"/>
  <c r="BB62" i="2"/>
  <c r="BB98" i="2"/>
  <c r="BB101" i="2"/>
  <c r="BQ61" i="2"/>
  <c r="BQ49" i="2"/>
  <c r="BO61" i="2"/>
  <c r="BO49" i="2"/>
  <c r="BG51" i="2"/>
  <c r="BG62" i="2"/>
  <c r="BG99" i="2"/>
  <c r="BG101" i="2"/>
  <c r="BG98" i="2"/>
  <c r="BR62" i="2"/>
  <c r="BR51" i="2"/>
  <c r="BR99" i="2"/>
  <c r="BR101" i="2"/>
  <c r="BR98" i="2"/>
  <c r="K198" i="3"/>
  <c r="K202" i="3"/>
  <c r="K203" i="3" s="1"/>
  <c r="K201" i="3"/>
  <c r="K200" i="3"/>
  <c r="K199" i="3"/>
  <c r="CW41" i="2"/>
  <c r="CW40" i="2"/>
  <c r="CW36" i="2"/>
  <c r="CW39" i="2"/>
  <c r="CW38" i="2"/>
  <c r="CW37" i="2"/>
  <c r="CW42" i="2"/>
  <c r="CX16" i="2"/>
  <c r="CX35" i="2"/>
  <c r="CY9" i="2"/>
  <c r="CZ4" i="2"/>
  <c r="BH16" i="2"/>
  <c r="BH19" i="2"/>
  <c r="BH22" i="2"/>
  <c r="BH20" i="2"/>
  <c r="BH18" i="2"/>
  <c r="BH21" i="2"/>
  <c r="BL9" i="2"/>
  <c r="BL35" i="2" s="1"/>
  <c r="BI9" i="2"/>
  <c r="BI35" i="2" s="1"/>
  <c r="BA61" i="2" l="1"/>
  <c r="CQ47" i="2"/>
  <c r="CQ61" i="2" s="1"/>
  <c r="BA49" i="2"/>
  <c r="BI97" i="2"/>
  <c r="BI54" i="2"/>
  <c r="BI57" i="2"/>
  <c r="BI58" i="2"/>
  <c r="BI53" i="2"/>
  <c r="BI55" i="2"/>
  <c r="BI56" i="2"/>
  <c r="BI59" i="2"/>
  <c r="CS35" i="2"/>
  <c r="BI44" i="2"/>
  <c r="BI60" i="2"/>
  <c r="AX62" i="2"/>
  <c r="AX101" i="2"/>
  <c r="CP101" i="2" s="1"/>
  <c r="AX51" i="2"/>
  <c r="CP51" i="2" s="1"/>
  <c r="CP49" i="2"/>
  <c r="BP51" i="2"/>
  <c r="BP99" i="2"/>
  <c r="BP101" i="2"/>
  <c r="BP98" i="2"/>
  <c r="BP62" i="2"/>
  <c r="BO99" i="2"/>
  <c r="BO101" i="2"/>
  <c r="BO98" i="2"/>
  <c r="BO62" i="2"/>
  <c r="BO51" i="2"/>
  <c r="BQ98" i="2"/>
  <c r="BQ101" i="2"/>
  <c r="BQ62" i="2"/>
  <c r="BQ51" i="2"/>
  <c r="BQ99" i="2"/>
  <c r="BD99" i="2"/>
  <c r="BD62" i="2"/>
  <c r="BD98" i="2"/>
  <c r="BD101" i="2"/>
  <c r="BD51" i="2"/>
  <c r="BE61" i="2"/>
  <c r="BE49" i="2"/>
  <c r="CR47" i="2"/>
  <c r="CR61" i="2" s="1"/>
  <c r="BL97" i="2"/>
  <c r="BL53" i="2"/>
  <c r="BL59" i="2"/>
  <c r="BL55" i="2"/>
  <c r="BL54" i="2"/>
  <c r="BL58" i="2"/>
  <c r="BL56" i="2"/>
  <c r="BL57" i="2"/>
  <c r="BL44" i="2"/>
  <c r="BL47" i="2" s="1"/>
  <c r="BL60" i="2"/>
  <c r="BM61" i="2"/>
  <c r="CT47" i="2"/>
  <c r="CT61" i="2" s="1"/>
  <c r="BM49" i="2"/>
  <c r="BH61" i="2"/>
  <c r="BH49" i="2"/>
  <c r="M210" i="3"/>
  <c r="M218" i="3"/>
  <c r="M226" i="3"/>
  <c r="M234" i="3"/>
  <c r="M242" i="3"/>
  <c r="M221" i="3"/>
  <c r="M231" i="3"/>
  <c r="M232" i="3"/>
  <c r="M225" i="3"/>
  <c r="M211" i="3"/>
  <c r="M219" i="3"/>
  <c r="M227" i="3"/>
  <c r="M235" i="3"/>
  <c r="M243" i="3"/>
  <c r="M213" i="3"/>
  <c r="M237" i="3"/>
  <c r="M216" i="3"/>
  <c r="M217" i="3"/>
  <c r="M212" i="3"/>
  <c r="M220" i="3"/>
  <c r="M228" i="3"/>
  <c r="M236" i="3"/>
  <c r="M209" i="3"/>
  <c r="M229" i="3"/>
  <c r="M224" i="3"/>
  <c r="M241" i="3"/>
  <c r="M214" i="3"/>
  <c r="M222" i="3"/>
  <c r="M230" i="3"/>
  <c r="M238" i="3"/>
  <c r="M215" i="3"/>
  <c r="M223" i="3"/>
  <c r="M239" i="3"/>
  <c r="M240" i="3"/>
  <c r="M233" i="3"/>
  <c r="P220" i="3"/>
  <c r="CX42" i="2"/>
  <c r="CY42" i="2" s="1"/>
  <c r="CZ42" i="2" s="1"/>
  <c r="DA42" i="2" s="1"/>
  <c r="DB42" i="2" s="1"/>
  <c r="DC42" i="2" s="1"/>
  <c r="DD42" i="2" s="1"/>
  <c r="CX41" i="2"/>
  <c r="CY41" i="2" s="1"/>
  <c r="CZ41" i="2" s="1"/>
  <c r="DA41" i="2" s="1"/>
  <c r="DB41" i="2" s="1"/>
  <c r="DC41" i="2" s="1"/>
  <c r="DD41" i="2" s="1"/>
  <c r="CX40" i="2"/>
  <c r="CY40" i="2" s="1"/>
  <c r="CZ40" i="2" s="1"/>
  <c r="DA40" i="2" s="1"/>
  <c r="DB40" i="2" s="1"/>
  <c r="DC40" i="2" s="1"/>
  <c r="DD40" i="2" s="1"/>
  <c r="CX39" i="2"/>
  <c r="CY39" i="2" s="1"/>
  <c r="CZ39" i="2" s="1"/>
  <c r="DA39" i="2" s="1"/>
  <c r="DB39" i="2" s="1"/>
  <c r="DC39" i="2" s="1"/>
  <c r="DD39" i="2" s="1"/>
  <c r="CX38" i="2"/>
  <c r="CY38" i="2" s="1"/>
  <c r="CZ38" i="2" s="1"/>
  <c r="DA38" i="2" s="1"/>
  <c r="DB38" i="2" s="1"/>
  <c r="DC38" i="2" s="1"/>
  <c r="DD38" i="2" s="1"/>
  <c r="CX37" i="2"/>
  <c r="CY37" i="2" s="1"/>
  <c r="CZ37" i="2" s="1"/>
  <c r="DA37" i="2" s="1"/>
  <c r="DB37" i="2" s="1"/>
  <c r="DC37" i="2" s="1"/>
  <c r="DD37" i="2" s="1"/>
  <c r="CX36" i="2"/>
  <c r="CY36" i="2" s="1"/>
  <c r="CZ36" i="2" s="1"/>
  <c r="DA36" i="2" s="1"/>
  <c r="DB36" i="2" s="1"/>
  <c r="DC36" i="2" s="1"/>
  <c r="DD36" i="2" s="1"/>
  <c r="DA4" i="2"/>
  <c r="CZ9" i="2"/>
  <c r="CY35" i="2"/>
  <c r="CY16" i="2"/>
  <c r="P215" i="3"/>
  <c r="P210" i="3"/>
  <c r="P209" i="3"/>
  <c r="P212" i="3"/>
  <c r="P219" i="3"/>
  <c r="P222" i="3"/>
  <c r="P211" i="3"/>
  <c r="P214" i="3"/>
  <c r="P218" i="3"/>
  <c r="P221" i="3"/>
  <c r="P217" i="3"/>
  <c r="P213" i="3"/>
  <c r="P216" i="3"/>
  <c r="BL22" i="2"/>
  <c r="BL18" i="2"/>
  <c r="BL21" i="2"/>
  <c r="BL20" i="2"/>
  <c r="BL19" i="2"/>
  <c r="BI20" i="2"/>
  <c r="BI18" i="2"/>
  <c r="BI21" i="2"/>
  <c r="BI22" i="2"/>
  <c r="BI19" i="2"/>
  <c r="BI16" i="2"/>
  <c r="BM16" i="2"/>
  <c r="BL16" i="2"/>
  <c r="BP16" i="2"/>
  <c r="BE98" i="2" l="1"/>
  <c r="BE99" i="2"/>
  <c r="BE51" i="2"/>
  <c r="CR51" i="2" s="1"/>
  <c r="BE101" i="2"/>
  <c r="CR101" i="2" s="1"/>
  <c r="CR49" i="2"/>
  <c r="BE62" i="2"/>
  <c r="BI47" i="2"/>
  <c r="CS44" i="2"/>
  <c r="BH51" i="2"/>
  <c r="BH99" i="2"/>
  <c r="BH101" i="2"/>
  <c r="BH98" i="2"/>
  <c r="BH62" i="2"/>
  <c r="CS53" i="2"/>
  <c r="CS56" i="2"/>
  <c r="CS97" i="2"/>
  <c r="CS59" i="2"/>
  <c r="CS54" i="2"/>
  <c r="CS55" i="2"/>
  <c r="CS57" i="2"/>
  <c r="CS60" i="2"/>
  <c r="CT49" i="2"/>
  <c r="BM51" i="2"/>
  <c r="CT51" i="2" s="1"/>
  <c r="BM98" i="2"/>
  <c r="BM101" i="2"/>
  <c r="CT101" i="2" s="1"/>
  <c r="BM62" i="2"/>
  <c r="BM99" i="2"/>
  <c r="BA62" i="2"/>
  <c r="BA101" i="2"/>
  <c r="CQ101" i="2" s="1"/>
  <c r="BA99" i="2"/>
  <c r="BA98" i="2"/>
  <c r="BA51" i="2"/>
  <c r="CQ51" i="2" s="1"/>
  <c r="CQ49" i="2"/>
  <c r="BL61" i="2"/>
  <c r="BL49" i="2"/>
  <c r="CP98" i="2"/>
  <c r="CP99" i="2"/>
  <c r="CP62" i="2"/>
  <c r="CZ16" i="2"/>
  <c r="CZ35" i="2"/>
  <c r="DB4" i="2"/>
  <c r="DA9" i="2"/>
  <c r="BI61" i="2" l="1"/>
  <c r="BI49" i="2"/>
  <c r="CS47" i="2"/>
  <c r="CS61" i="2" s="1"/>
  <c r="CR99" i="2"/>
  <c r="CR62" i="2"/>
  <c r="CR98" i="2"/>
  <c r="CT62" i="2"/>
  <c r="BL98" i="2"/>
  <c r="BL101" i="2"/>
  <c r="BL51" i="2"/>
  <c r="BL99" i="2"/>
  <c r="BL62" i="2"/>
  <c r="CQ62" i="2"/>
  <c r="CQ98" i="2"/>
  <c r="CQ99" i="2"/>
  <c r="DA35" i="2"/>
  <c r="DA16" i="2"/>
  <c r="DC4" i="2"/>
  <c r="DB9" i="2"/>
  <c r="BI62" i="2" l="1"/>
  <c r="BI51" i="2"/>
  <c r="CS51" i="2" s="1"/>
  <c r="CS49" i="2"/>
  <c r="BI99" i="2"/>
  <c r="BI101" i="2"/>
  <c r="CS101" i="2" s="1"/>
  <c r="BI98" i="2"/>
  <c r="DB35" i="2"/>
  <c r="DB16" i="2"/>
  <c r="DD4" i="2"/>
  <c r="DD9" i="2" s="1"/>
  <c r="DC9" i="2"/>
  <c r="CS62" i="2" l="1"/>
  <c r="CS99" i="2"/>
  <c r="CS98" i="2"/>
  <c r="DC35" i="2"/>
  <c r="DC16" i="2"/>
  <c r="DD35" i="2"/>
  <c r="DD16" i="2"/>
  <c r="CU43" i="2" l="1"/>
  <c r="CU44" i="2" s="1"/>
  <c r="CU60" i="2" s="1"/>
  <c r="CV43" i="2"/>
  <c r="CV44" i="2" s="1"/>
  <c r="CV60" i="2" s="1"/>
  <c r="CW68" i="2" l="1"/>
  <c r="CW69" i="2" s="1"/>
  <c r="CW43" i="2"/>
  <c r="CW44" i="2" s="1"/>
  <c r="CW60" i="2" s="1"/>
  <c r="CX43" i="2" l="1"/>
  <c r="CX44" i="2" s="1"/>
  <c r="CX60" i="2" s="1"/>
  <c r="CY43" i="2" l="1"/>
  <c r="CY44" i="2" s="1"/>
  <c r="CY60" i="2" s="1"/>
  <c r="CZ43" i="2" l="1"/>
  <c r="CZ44" i="2" s="1"/>
  <c r="CZ60" i="2" s="1"/>
  <c r="DA43" i="2" l="1"/>
  <c r="DA44" i="2" s="1"/>
  <c r="DA60" i="2" s="1"/>
  <c r="DB43" i="2" l="1"/>
  <c r="DB44" i="2" s="1"/>
  <c r="DB60" i="2" s="1"/>
  <c r="DD43" i="2" l="1"/>
  <c r="DD44" i="2" s="1"/>
  <c r="DD60" i="2" s="1"/>
  <c r="DC43" i="2"/>
  <c r="DC44" i="2" s="1"/>
  <c r="DC60" i="2" s="1"/>
  <c r="CV47" i="2" l="1"/>
  <c r="CU47" i="2"/>
  <c r="CU48" i="2" l="1"/>
  <c r="CU49" i="2" s="1"/>
  <c r="CV48" i="2"/>
  <c r="CV49" i="2" s="1"/>
  <c r="CV62" i="2" s="1"/>
  <c r="CU101" i="2" l="1"/>
  <c r="CU98" i="2"/>
  <c r="CU99" i="2"/>
  <c r="CU62" i="2"/>
  <c r="CV64" i="2"/>
  <c r="CW47" i="2" s="1"/>
  <c r="CW48" i="2" l="1"/>
  <c r="CW49" i="2" s="1"/>
  <c r="CW62" i="2" l="1"/>
  <c r="CW64" i="2"/>
  <c r="CX47" i="2" s="1"/>
  <c r="CX48" i="2" s="1"/>
  <c r="CX49" i="2" s="1"/>
  <c r="CX62" i="2" s="1"/>
  <c r="CX64" i="2" l="1"/>
  <c r="CY47" i="2" l="1"/>
  <c r="CY48" i="2" l="1"/>
  <c r="CY49" i="2" s="1"/>
  <c r="CY62" i="2" l="1"/>
  <c r="CY64" i="2"/>
  <c r="CZ47" i="2" l="1"/>
  <c r="CZ48" i="2" s="1"/>
  <c r="CZ49" i="2" s="1"/>
  <c r="CZ62" i="2" s="1"/>
  <c r="CZ64" i="2" l="1"/>
  <c r="DA47" i="2" l="1"/>
  <c r="DA48" i="2" l="1"/>
  <c r="DA49" i="2" s="1"/>
  <c r="DA62" i="2" l="1"/>
  <c r="DA64" i="2"/>
  <c r="DB47" i="2" l="1"/>
  <c r="DB48" i="2" s="1"/>
  <c r="DB49" i="2" s="1"/>
  <c r="DB62" i="2" s="1"/>
  <c r="DB64" i="2" l="1"/>
  <c r="DC47" i="2" l="1"/>
  <c r="DC48" i="2" s="1"/>
  <c r="DC49" i="2" s="1"/>
  <c r="DC62" i="2" s="1"/>
  <c r="DC64" i="2" l="1"/>
  <c r="DD47" i="2"/>
  <c r="DD48" i="2" s="1"/>
  <c r="DD49" i="2" s="1"/>
  <c r="DD62" i="2" l="1"/>
  <c r="DF49" i="2"/>
  <c r="DD64" i="2"/>
  <c r="DE64" i="2" s="1"/>
  <c r="DG49" i="2" l="1"/>
  <c r="DH49" i="2" s="1"/>
  <c r="DI49" i="2" s="1"/>
  <c r="DJ49" i="2" s="1"/>
  <c r="DK49" i="2" s="1"/>
  <c r="DL49" i="2" s="1"/>
  <c r="DM49" i="2" s="1"/>
  <c r="DN49" i="2" s="1"/>
  <c r="DO49" i="2" s="1"/>
  <c r="DP49" i="2" s="1"/>
  <c r="DQ49" i="2" s="1"/>
  <c r="DR49" i="2" s="1"/>
  <c r="DS49" i="2" s="1"/>
  <c r="DT49" i="2" s="1"/>
  <c r="DU49" i="2" s="1"/>
  <c r="DV49" i="2" s="1"/>
  <c r="DW49" i="2" s="1"/>
  <c r="DX49" i="2" s="1"/>
  <c r="DY49" i="2" s="1"/>
  <c r="DZ49" i="2" s="1"/>
  <c r="EA49" i="2" s="1"/>
  <c r="EB49" i="2" s="1"/>
  <c r="EC49" i="2" s="1"/>
  <c r="ED49" i="2" s="1"/>
  <c r="EE49" i="2" s="1"/>
  <c r="EF49" i="2" s="1"/>
  <c r="EG49" i="2" s="1"/>
  <c r="EH49" i="2" s="1"/>
  <c r="EI49" i="2" s="1"/>
  <c r="EJ49" i="2" s="1"/>
  <c r="EK49" i="2" s="1"/>
  <c r="EL49" i="2" s="1"/>
  <c r="EM49" i="2" s="1"/>
  <c r="EN49" i="2" s="1"/>
  <c r="EO49" i="2" s="1"/>
  <c r="EP49" i="2" s="1"/>
  <c r="EQ49" i="2" s="1"/>
  <c r="ER49" i="2" s="1"/>
  <c r="ES49" i="2" s="1"/>
  <c r="ET49" i="2" s="1"/>
  <c r="EU49" i="2" s="1"/>
  <c r="EV49" i="2" s="1"/>
  <c r="EW49" i="2" s="1"/>
  <c r="EX49" i="2" s="1"/>
  <c r="EY49" i="2" s="1"/>
  <c r="EZ49" i="2" s="1"/>
  <c r="FA49" i="2" s="1"/>
  <c r="FB49" i="2" s="1"/>
  <c r="FC49" i="2" l="1"/>
  <c r="DE73" i="2" s="1"/>
  <c r="DE75" i="2" s="1"/>
  <c r="DE77" i="2" s="1"/>
  <c r="DF77" i="2" l="1"/>
  <c r="DD78" i="2" a="1"/>
  <c r="DD7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tc={FE2DB1E6-9025-443F-AC65-638F728F65EB}</author>
  </authors>
  <commentList>
    <comment ref="CV49" authorId="0" shapeId="0" xr:uid="{FE2DB1E6-9025-443F-AC65-638F728F65EB}">
      <text>
        <t>[Threaded comment]
Your version of Excel allows you to read this threaded comment; however, any edits to it will get removed if the file is opened in a newer version of Excel. Learn more: https://go.microsoft.com/fwlink/?linkid=870924
Comment:
    FYE: 24320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<sst xmlns="http://schemas.openxmlformats.org/spreadsheetml/2006/main" count="1663" uniqueCount="1556">
  <si>
    <t>Master</t>
  </si>
  <si>
    <t xml:space="preserve">Price </t>
  </si>
  <si>
    <t>SO</t>
  </si>
  <si>
    <t>MC</t>
  </si>
  <si>
    <t>Cash</t>
  </si>
  <si>
    <t>Debt</t>
  </si>
  <si>
    <t>EV</t>
  </si>
  <si>
    <t>Investor Relations Contact:</t>
  </si>
  <si>
    <t>SEC filings</t>
  </si>
  <si>
    <t>Godel Terminal</t>
  </si>
  <si>
    <t>Company Overview:</t>
  </si>
  <si>
    <t>[Bold Title]</t>
  </si>
  <si>
    <t>Line Titles</t>
  </si>
  <si>
    <t>&lt;-- General</t>
  </si>
  <si>
    <t>&lt;-- Info</t>
  </si>
  <si>
    <t>Notes:</t>
  </si>
  <si>
    <t>[X]</t>
  </si>
  <si>
    <t>[Y]</t>
  </si>
  <si>
    <t>[Z]</t>
  </si>
  <si>
    <t>Total Revenues, Net Income, FCF</t>
  </si>
  <si>
    <t>Close</t>
  </si>
  <si>
    <t>High</t>
  </si>
  <si>
    <t>Low</t>
  </si>
  <si>
    <t>Open</t>
  </si>
  <si>
    <t>Volume</t>
  </si>
  <si>
    <t>UTC Date</t>
  </si>
  <si>
    <t>Change</t>
  </si>
  <si>
    <t>Min</t>
  </si>
  <si>
    <t>Max</t>
  </si>
  <si>
    <t>Mean μ</t>
  </si>
  <si>
    <t>Median</t>
  </si>
  <si>
    <t>SD σ</t>
  </si>
  <si>
    <t xml:space="preserve">  3σ 1-Day Δ: ±</t>
  </si>
  <si>
    <t>β (1-year avg.)</t>
  </si>
  <si>
    <t>&lt;- Sortino Ratio (Downside Risk Adjusted Return)</t>
  </si>
  <si>
    <r>
      <rPr>
        <i/>
        <sz val="11"/>
        <color theme="1"/>
        <rFont val="Calibre"/>
      </rPr>
      <t>n</t>
    </r>
    <r>
      <rPr>
        <sz val="11"/>
        <color theme="1"/>
        <rFont val="Calibre"/>
      </rPr>
      <t xml:space="preserve"> =</t>
    </r>
  </si>
  <si>
    <t>Histogram Data</t>
  </si>
  <si>
    <t>Distribution Overlay</t>
  </si>
  <si>
    <t>SD Lines</t>
  </si>
  <si>
    <t>Bin</t>
  </si>
  <si>
    <t>Frequency</t>
  </si>
  <si>
    <r>
      <t xml:space="preserve"> (X) 1-Day</t>
    </r>
    <r>
      <rPr>
        <b/>
        <i/>
        <sz val="11"/>
        <color theme="1"/>
        <rFont val="Calibri"/>
        <family val="2"/>
        <scheme val="minor"/>
      </rPr>
      <t xml:space="preserve"> Δ </t>
    </r>
    <r>
      <rPr>
        <i/>
        <sz val="11"/>
        <color theme="1"/>
        <rFont val="Calibri"/>
        <family val="2"/>
        <scheme val="minor"/>
      </rPr>
      <t xml:space="preserve"> </t>
    </r>
  </si>
  <si>
    <t xml:space="preserve">(Y) Pop. Density </t>
  </si>
  <si>
    <t>X</t>
  </si>
  <si>
    <t>Y</t>
  </si>
  <si>
    <t>Q3 2008</t>
  </si>
  <si>
    <t>Q1 2009</t>
  </si>
  <si>
    <t>Q2 2009</t>
  </si>
  <si>
    <t>Q3 2009</t>
  </si>
  <si>
    <t>Q4 2009</t>
  </si>
  <si>
    <t>Q1 2010</t>
  </si>
  <si>
    <t>Q2 2010</t>
  </si>
  <si>
    <t>Q3 2010</t>
  </si>
  <si>
    <t>Q4 2010</t>
  </si>
  <si>
    <t>Q1 2011</t>
  </si>
  <si>
    <t>Q2 2011</t>
  </si>
  <si>
    <t>Q3 2011</t>
  </si>
  <si>
    <t>Q4 2011</t>
  </si>
  <si>
    <t>Q1 2012</t>
  </si>
  <si>
    <t>Q2 2012</t>
  </si>
  <si>
    <t>Q3 2012</t>
  </si>
  <si>
    <t>Q4 2012</t>
  </si>
  <si>
    <t>Q1 2013</t>
  </si>
  <si>
    <t>Q2 2013</t>
  </si>
  <si>
    <t>Q3 2013</t>
  </si>
  <si>
    <t>Q4 2013</t>
  </si>
  <si>
    <t>Q1 2014</t>
  </si>
  <si>
    <t>Q2 2014</t>
  </si>
  <si>
    <t>Q3 2014</t>
  </si>
  <si>
    <t>Q4 2014</t>
  </si>
  <si>
    <t>Q1 2015</t>
  </si>
  <si>
    <t>Q2 2015</t>
  </si>
  <si>
    <t>Q3 2015</t>
  </si>
  <si>
    <t>Q4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</si>
  <si>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</si>
  <si>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</si>
  <si>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</si>
  <si>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</si>
  <si>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</si>
  <si>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</si>
  <si>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</si>
  <si>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</si>
  <si>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</si>
  <si>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</si>
  <si>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</si>
  <si>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</si>
  <si>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</si>
  <si>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</si>
  <si>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</si>
  <si>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</si>
  <si>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</si>
  <si>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</si>
  <si>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</si>
  <si>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</si>
  <si>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</si>
  <si>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</si>
  <si>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</si>
  <si>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</si>
  <si>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</si>
  <si>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</si>
  <si>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</si>
  <si>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</si>
  <si>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</si>
  <si>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</si>
  <si>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</si>
  <si>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</si>
  <si>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</si>
  <si>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</si>
  <si>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</si>
  <si>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</si>
  <si>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</si>
  <si>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</si>
  <si>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</si>
  <si>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</si>
  <si>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</t>
  </si>
  <si>
    <t>Q2 2026</t>
  </si>
  <si>
    <t>Q3 2026</t>
  </si>
  <si>
    <t>Q4 2026</t>
  </si>
  <si>
    <t>Quarterly</t>
  </si>
  <si>
    <t>Revenues</t>
  </si>
  <si>
    <t>Ttl Revenues</t>
  </si>
  <si>
    <t>Q1 2008</t>
  </si>
  <si>
    <t>Q4 2008</t>
  </si>
  <si>
    <t>U.S. Revenues</t>
  </si>
  <si>
    <t>U.S. % of Revenues</t>
  </si>
  <si>
    <t>U.S. Revenue Growth Y/y</t>
  </si>
  <si>
    <t>Operating Profit Margin</t>
  </si>
  <si>
    <t>Effective Tax Rate</t>
  </si>
  <si>
    <t>Net Profit Margin</t>
  </si>
  <si>
    <t xml:space="preserve">Cash &amp; CEs </t>
  </si>
  <si>
    <t>ST Investments</t>
  </si>
  <si>
    <t>Current Ratio</t>
  </si>
  <si>
    <t>Cash Ratio</t>
  </si>
  <si>
    <t>Ttl Asset Turnover</t>
  </si>
  <si>
    <t>Return on Assets</t>
  </si>
  <si>
    <t>Return on Equity</t>
  </si>
  <si>
    <t>Net Income</t>
  </si>
  <si>
    <t>CFFO</t>
  </si>
  <si>
    <t>CapEx, net</t>
  </si>
  <si>
    <t>FCF</t>
  </si>
  <si>
    <t>SC</t>
  </si>
  <si>
    <t>FCF per Share</t>
  </si>
  <si>
    <t>General Notes/Observations (Updated Q1'25)</t>
  </si>
  <si>
    <t>Financial Stmts. Notes/Observations (Updated Q1'25)</t>
  </si>
  <si>
    <t>Revenues:</t>
  </si>
  <si>
    <t>[Godel Snapshot of projected sales]</t>
  </si>
  <si>
    <t>Earnings Scope:</t>
  </si>
  <si>
    <t>[Godel Snapshot of projected earnings/EPS]</t>
  </si>
  <si>
    <t>Balance Sheet Scope:</t>
  </si>
  <si>
    <t>[Godel Snapshot of projected balances (assets, liabilities, equity)]</t>
  </si>
  <si>
    <t>[Equity Preformance Compared to Peers]</t>
  </si>
  <si>
    <t>Use Godel CMS command</t>
  </si>
  <si>
    <t>Mean</t>
  </si>
  <si>
    <t>-3σ</t>
  </si>
  <si>
    <t>-2σ</t>
  </si>
  <si>
    <t>-1σ</t>
  </si>
  <si>
    <t>1σ</t>
  </si>
  <si>
    <t>2σ</t>
  </si>
  <si>
    <t>3σ</t>
  </si>
  <si>
    <t>Phone:</t>
  </si>
  <si>
    <t xml:space="preserve">Email: </t>
  </si>
  <si>
    <t>&lt;- Sharpe Ratio (Risk Adjusted Return)</t>
  </si>
  <si>
    <t>Earnings Calls</t>
  </si>
  <si>
    <t>Equity Analysis</t>
  </si>
  <si>
    <t>https://app.godelterminal.com/</t>
  </si>
  <si>
    <t>Address:</t>
  </si>
  <si>
    <t>Investors Relation Department</t>
  </si>
  <si>
    <t>Business Segments and Geographical Info:</t>
  </si>
  <si>
    <t xml:space="preserve">[Begin researching fundamentals / core business … begin with SEC filings, but expand and use all public resources available] </t>
  </si>
  <si>
    <t>Visa, Inc.</t>
  </si>
  <si>
    <t>V</t>
  </si>
  <si>
    <t>Founder(s): Dee Hock</t>
  </si>
  <si>
    <t>Founded: 1958</t>
  </si>
  <si>
    <t>Headquarters: San Fransisco, CA</t>
  </si>
  <si>
    <t>Current CEO: Ryan M. McInerney</t>
  </si>
  <si>
    <t>Employees: 28,800</t>
  </si>
  <si>
    <t xml:space="preserve">IPO: Mar 19, 2008 -- $464B valuation </t>
  </si>
  <si>
    <t>(Really cool IPO history … Visa's IPO provided critically necessary liquidity during the GFC downturn)</t>
  </si>
  <si>
    <t>Sector: Financials</t>
  </si>
  <si>
    <t>https://www.sec.gov/edgar/browse/?CIK=1403161&amp;owner=exclude</t>
  </si>
  <si>
    <t>Visa Homepage</t>
  </si>
  <si>
    <t>https://seekingalpha.com/symbol/V/earnings/transcripts</t>
  </si>
  <si>
    <t>https://stockanalysis.com/stocks/v/company/</t>
  </si>
  <si>
    <t>Macrotrends</t>
  </si>
  <si>
    <t>https://www.macrotrends.net/stocks/charts/V/visa/balance-sheet</t>
  </si>
  <si>
    <t>ROIC / WACC</t>
  </si>
  <si>
    <t>https://www.gurufocus.com/term/wacc/V</t>
  </si>
  <si>
    <t>https://usa.visa.com/</t>
  </si>
  <si>
    <t>Registered Exchange: NYSE</t>
  </si>
  <si>
    <t>P.O. Box 8999 San Francisco, CA</t>
  </si>
  <si>
    <t>Industry: Credit Services</t>
  </si>
  <si>
    <t>Visa Inc. operates as a payment technology company in the United States and internationally</t>
  </si>
  <si>
    <t>The company operates VisaNet, a transaction processing network that enables authorization, clearing, and settlement of payment transactions</t>
  </si>
  <si>
    <t>It also offers credit, debit, and prepaid card products; tap to pay, tokenization, and click to pay services; Visa Direct, a solution that facilitates the delivery of funds to eligible cards, bank accounts, and digital wallets; Visa B2B Connect, a multilateral business-to-business cross-border payments network</t>
  </si>
  <si>
    <t>Visa Cross-Border Solution, a cross-border consumer payments solution; and Visa DPS that provides a range of value-added services, including fraud mitigation, dispute management, data analytics, campaign management, a suite of digital solutions, and contact center services</t>
  </si>
  <si>
    <t>The company also provides acceptance solutions, which include Cybersource and Authorize.net that provides new and enhanced payment integrations with ecommerce platforms, enabling sellers and acquirers to offer tailored commerce experiences</t>
  </si>
  <si>
    <t>risk and identity solutions, such as Visa Advanced Authorization, Visa Secure, Visa Consumer Authentication Service, Visa Protect Authentication Intelligence, and Visa Provisioning Intelligence; and Visa Consulting and Analytics, a payment consulting advisory services</t>
  </si>
  <si>
    <t>It provides its services under the Visa, Visa Electron, Interlink, V PAY, and PLUS brands. The company serves merchants, financial institutions, and government entities</t>
  </si>
  <si>
    <t>Visa Inc. was founded in 1958 and is headquartered in San Francisco, California</t>
  </si>
  <si>
    <t>Service Revenues</t>
  </si>
  <si>
    <t>Data Processing Revenues</t>
  </si>
  <si>
    <t>International Transaction Revenues</t>
  </si>
  <si>
    <t>Other Revenues</t>
  </si>
  <si>
    <t>Client Incentives</t>
  </si>
  <si>
    <t>Ttl Revenue Growth Y/y</t>
  </si>
  <si>
    <t>International Revenues</t>
  </si>
  <si>
    <t>International Revenue Growth Y/y</t>
  </si>
  <si>
    <t>International % of Revenues</t>
  </si>
  <si>
    <t>Service Growth Y/y</t>
  </si>
  <si>
    <t>Data Processing Growth Y/y</t>
  </si>
  <si>
    <t>International Growth Y/y</t>
  </si>
  <si>
    <t>Other Growth Y/y</t>
  </si>
  <si>
    <t>Incentive Growth Y/y</t>
  </si>
  <si>
    <t>Total Revenue Growth Y/y</t>
  </si>
  <si>
    <t>Service % of Ttl Revenues</t>
  </si>
  <si>
    <t>Data % of Ttl Revenues</t>
  </si>
  <si>
    <t>International % of Ttl Revenues</t>
  </si>
  <si>
    <t>Incentives % of Ttl Revenues</t>
  </si>
  <si>
    <t>Other % of Ttl Revenues</t>
  </si>
  <si>
    <t>Personnel Expenses</t>
  </si>
  <si>
    <t>Marketing Expenses</t>
  </si>
  <si>
    <t>Professional Fees</t>
  </si>
  <si>
    <t>Network and Processing</t>
  </si>
  <si>
    <t>Depreciation and Amortization</t>
  </si>
  <si>
    <t>G&amp;A</t>
  </si>
  <si>
    <t>Litigation Provisions</t>
  </si>
  <si>
    <t>Ttl Operating Expenses</t>
  </si>
  <si>
    <t>Operating Income</t>
  </si>
  <si>
    <t>Pretax Income</t>
  </si>
  <si>
    <t>Taxes</t>
  </si>
  <si>
    <t xml:space="preserve">SC </t>
  </si>
  <si>
    <t>EPS</t>
  </si>
  <si>
    <t>Investment Income</t>
  </si>
  <si>
    <t>Interest Income</t>
  </si>
  <si>
    <t>Total Revenue by Segment</t>
  </si>
  <si>
    <t>Y/y Total Revenues, Net Income, FCF</t>
  </si>
  <si>
    <t>Employee Scope</t>
  </si>
  <si>
    <t>Institutional Ownership Snapshot (6/23/2025)</t>
  </si>
  <si>
    <t>Mon, 23 Jun 2025 00:00:00 GMT</t>
  </si>
  <si>
    <t>Fri, 20 Jun 2025 00:00:00 GMT</t>
  </si>
  <si>
    <t>Wed, 18 Jun 2025 00:00:00 GMT</t>
  </si>
  <si>
    <t>Tue, 17 Jun 2025 00:00:00 GMT</t>
  </si>
  <si>
    <t>Mon, 16 Jun 2025 00:00:00 GMT</t>
  </si>
  <si>
    <t>Fri, 13 Jun 2025 00:00:00 GMT</t>
  </si>
  <si>
    <t>Thu, 12 Jun 2025 00:00:00 GMT</t>
  </si>
  <si>
    <t>Wed, 11 Jun 2025 00:00:00 GMT</t>
  </si>
  <si>
    <t>Tue, 10 Jun 2025 00:00:00 GMT</t>
  </si>
  <si>
    <t>Mon, 09 Jun 2025 00:00:00 GMT</t>
  </si>
  <si>
    <t>Fri, 06 Jun 2025 00:00:00 GMT</t>
  </si>
  <si>
    <t>Thu, 05 Jun 2025 00:00:00 GMT</t>
  </si>
  <si>
    <t>Wed, 04 Jun 2025 00:00:00 GMT</t>
  </si>
  <si>
    <t>Tue, 03 Jun 2025 00:00:00 GMT</t>
  </si>
  <si>
    <t>Mon, 02 Jun 2025 00:00:00 GMT</t>
  </si>
  <si>
    <t>Fri, 30 May 2025 00:00:00 GMT</t>
  </si>
  <si>
    <t>Thu, 29 May 2025 00:00:00 GMT</t>
  </si>
  <si>
    <t>Wed, 28 May 2025 00:00:00 GMT</t>
  </si>
  <si>
    <t>Tue, 27 May 2025 00:00:00 GMT</t>
  </si>
  <si>
    <t>Fri, 23 May 2025 00:00:00 GMT</t>
  </si>
  <si>
    <t>Thu, 22 May 2025 00:00:00 GMT</t>
  </si>
  <si>
    <t>Wed, 21 May 2025 00:00:00 GMT</t>
  </si>
  <si>
    <t>Tue, 20 May 2025 00:00:00 GMT</t>
  </si>
  <si>
    <t>Mon, 19 May 2025 00:00:00 GMT</t>
  </si>
  <si>
    <t>Fri, 16 May 2025 00:00:00 GMT</t>
  </si>
  <si>
    <t>Thu, 15 May 2025 00:00:00 GMT</t>
  </si>
  <si>
    <t>Wed, 14 May 2025 00:00:00 GMT</t>
  </si>
  <si>
    <t>Tue, 13 May 2025 00:00:00 GMT</t>
  </si>
  <si>
    <t>Mon, 12 May 2025 00:00:00 GMT</t>
  </si>
  <si>
    <t>Fri, 09 May 2025 00:00:00 GMT</t>
  </si>
  <si>
    <t>Thu, 08 May 2025 00:00:00 GMT</t>
  </si>
  <si>
    <t>Wed, 07 May 2025 00:00:00 GMT</t>
  </si>
  <si>
    <t>Tue, 06 May 2025 00:00:00 GMT</t>
  </si>
  <si>
    <t>Mon, 05 May 2025 00:00:00 GMT</t>
  </si>
  <si>
    <t>Fri, 02 May 2025 00:00:00 GMT</t>
  </si>
  <si>
    <t>Thu, 01 May 2025 00:00:00 GMT</t>
  </si>
  <si>
    <t>Wed, 30 Apr 2025 00:00:00 GMT</t>
  </si>
  <si>
    <t>Tue, 29 Apr 2025 00:00:00 GMT</t>
  </si>
  <si>
    <t>Mon, 28 Apr 2025 00:00:00 GMT</t>
  </si>
  <si>
    <t>Fri, 25 Apr 2025 00:00:00 GMT</t>
  </si>
  <si>
    <t>Thu, 24 Apr 2025 00:00:00 GMT</t>
  </si>
  <si>
    <t>Wed, 23 Apr 2025 00:00:00 GMT</t>
  </si>
  <si>
    <t>Tue, 22 Apr 2025 00:00:00 GMT</t>
  </si>
  <si>
    <t>Mon, 21 Apr 2025 00:00:00 GMT</t>
  </si>
  <si>
    <t>Thu, 17 Apr 2025 00:00:00 GMT</t>
  </si>
  <si>
    <t>Wed, 16 Apr 2025 00:00:00 GMT</t>
  </si>
  <si>
    <t>Tue, 15 Apr 2025 00:00:00 GMT</t>
  </si>
  <si>
    <t>Mon, 14 Apr 2025 00:00:00 GMT</t>
  </si>
  <si>
    <t>Fri, 11 Apr 2025 00:00:00 GMT</t>
  </si>
  <si>
    <t>Thu, 10 Apr 2025 00:00:00 GMT</t>
  </si>
  <si>
    <t>Wed, 09 Apr 2025 00:00:00 GMT</t>
  </si>
  <si>
    <t>Tue, 08 Apr 2025 00:00:00 GMT</t>
  </si>
  <si>
    <t>Mon, 07 Apr 2025 00:00:00 GMT</t>
  </si>
  <si>
    <t>Fri, 04 Apr 2025 00:00:00 GMT</t>
  </si>
  <si>
    <t>Thu, 03 Apr 2025 00:00:00 GMT</t>
  </si>
  <si>
    <t>Wed, 02 Apr 2025 00:00:00 GMT</t>
  </si>
  <si>
    <t>Tue, 01 Apr 2025 00:00:00 GMT</t>
  </si>
  <si>
    <t>Mon, 31 Mar 2025 00:00:00 GMT</t>
  </si>
  <si>
    <t>Fri, 28 Mar 2025 00:00:00 GMT</t>
  </si>
  <si>
    <t>Thu, 27 Mar 2025 00:00:00 GMT</t>
  </si>
  <si>
    <t>Wed, 26 Mar 2025 00:00:00 GMT</t>
  </si>
  <si>
    <t>Tue, 25 Mar 2025 00:00:00 GMT</t>
  </si>
  <si>
    <t>Mon, 24 Mar 2025 00:00:00 GMT</t>
  </si>
  <si>
    <t>Fri, 21 Mar 2025 00:00:00 GMT</t>
  </si>
  <si>
    <t>Thu, 20 Mar 2025 00:00:00 GMT</t>
  </si>
  <si>
    <t>Wed, 19 Mar 2025 00:00:00 GMT</t>
  </si>
  <si>
    <t>Tue, 18 Mar 2025 00:00:00 GMT</t>
  </si>
  <si>
    <t>Mon, 17 Mar 2025 00:00:00 GMT</t>
  </si>
  <si>
    <t>Fri, 14 Mar 2025 00:00:00 GMT</t>
  </si>
  <si>
    <t>Thu, 13 Mar 2025 00:00:00 GMT</t>
  </si>
  <si>
    <t>Wed, 12 Mar 2025 00:00:00 GMT</t>
  </si>
  <si>
    <t>Tue, 11 Mar 2025 00:00:00 GMT</t>
  </si>
  <si>
    <t>Mon, 10 Mar 2025 00:00:00 GMT</t>
  </si>
  <si>
    <t>Fri, 07 Mar 2025 00:00:00 GMT</t>
  </si>
  <si>
    <t>Thu, 06 Mar 2025 00:00:00 GMT</t>
  </si>
  <si>
    <t>Wed, 05 Mar 2025 00:00:00 GMT</t>
  </si>
  <si>
    <t>Tue, 04 Mar 2025 00:00:00 GMT</t>
  </si>
  <si>
    <t>Mon, 03 Mar 2025 00:00:00 GMT</t>
  </si>
  <si>
    <t>Fri, 28 Feb 2025 00:00:00 GMT</t>
  </si>
  <si>
    <t>Thu, 27 Feb 2025 00:00:00 GMT</t>
  </si>
  <si>
    <t>Wed, 26 Feb 2025 00:00:00 GMT</t>
  </si>
  <si>
    <t>Tue, 25 Feb 2025 00:00:00 GMT</t>
  </si>
  <si>
    <t>Mon, 24 Feb 2025 00:00:00 GMT</t>
  </si>
  <si>
    <t>Fri, 21 Feb 2025 00:00:00 GMT</t>
  </si>
  <si>
    <t>Thu, 20 Feb 2025 00:00:00 GMT</t>
  </si>
  <si>
    <t>Wed, 19 Feb 2025 00:00:00 GMT</t>
  </si>
  <si>
    <t>Tue, 18 Feb 2025 00:00:00 GMT</t>
  </si>
  <si>
    <t>Fri, 14 Feb 2025 00:00:00 GMT</t>
  </si>
  <si>
    <t>Thu, 13 Feb 2025 00:00:00 GMT</t>
  </si>
  <si>
    <t>Wed, 12 Feb 2025 00:00:00 GMT</t>
  </si>
  <si>
    <t>Tue, 11 Feb 2025 00:00:00 GMT</t>
  </si>
  <si>
    <t>Mon, 10 Feb 2025 00:00:00 GMT</t>
  </si>
  <si>
    <t>Fri, 07 Feb 2025 00:00:00 GMT</t>
  </si>
  <si>
    <t>Thu, 06 Feb 2025 00:00:00 GMT</t>
  </si>
  <si>
    <t>Wed, 05 Feb 2025 00:00:00 GMT</t>
  </si>
  <si>
    <t>Tue, 04 Feb 2025 00:00:00 GMT</t>
  </si>
  <si>
    <t>Mon, 03 Feb 2025 00:00:00 GMT</t>
  </si>
  <si>
    <t>Fri, 31 Jan 2025 00:00:00 GMT</t>
  </si>
  <si>
    <t>Thu, 30 Jan 2025 00:00:00 GMT</t>
  </si>
  <si>
    <t>Wed, 29 Jan 2025 00:00:00 GMT</t>
  </si>
  <si>
    <t>Tue, 28 Jan 2025 00:00:00 GMT</t>
  </si>
  <si>
    <t>Mon, 27 Jan 2025 00:00:00 GMT</t>
  </si>
  <si>
    <t>Fri, 24 Jan 2025 00:00:00 GMT</t>
  </si>
  <si>
    <t>Thu, 23 Jan 2025 00:00:00 GMT</t>
  </si>
  <si>
    <t>Wed, 22 Jan 2025 00:00:00 GMT</t>
  </si>
  <si>
    <t>Tue, 21 Jan 2025 00:00:00 GMT</t>
  </si>
  <si>
    <t>Fri, 17 Jan 2025 00:00:00 GMT</t>
  </si>
  <si>
    <t>Thu, 16 Jan 2025 00:00:00 GMT</t>
  </si>
  <si>
    <t>Wed, 15 Jan 2025 00:00:00 GMT</t>
  </si>
  <si>
    <t>Tue, 14 Jan 2025 00:00:00 GMT</t>
  </si>
  <si>
    <t>Mon, 13 Jan 2025 00:00:00 GMT</t>
  </si>
  <si>
    <t>Fri, 10 Jan 2025 00:00:00 GMT</t>
  </si>
  <si>
    <t>Wed, 08 Jan 2025 00:00:00 GMT</t>
  </si>
  <si>
    <t>Tue, 07 Jan 2025 00:00:00 GMT</t>
  </si>
  <si>
    <t>Mon, 06 Jan 2025 00:00:00 GMT</t>
  </si>
  <si>
    <t>Fri, 03 Jan 2025 00:00:00 GMT</t>
  </si>
  <si>
    <t>Thu, 02 Jan 2025 00:00:00 GMT</t>
  </si>
  <si>
    <t>Tue, 31 Dec 2024 00:00:00 GMT</t>
  </si>
  <si>
    <t>Mon, 30 Dec 2024 00:00:00 GMT</t>
  </si>
  <si>
    <t>Fri, 27 Dec 2024 00:00:00 GMT</t>
  </si>
  <si>
    <t>Thu, 26 Dec 2024 00:00:00 GMT</t>
  </si>
  <si>
    <t>Tue, 24 Dec 2024 00:00:00 GMT</t>
  </si>
  <si>
    <t>Mon, 23 Dec 2024 00:00:00 GMT</t>
  </si>
  <si>
    <t>Fri, 20 Dec 2024 00:00:00 GMT</t>
  </si>
  <si>
    <t>Thu, 19 Dec 2024 00:00:00 GMT</t>
  </si>
  <si>
    <t>Wed, 18 Dec 2024 00:00:00 GMT</t>
  </si>
  <si>
    <t>Tue, 17 Dec 2024 00:00:00 GMT</t>
  </si>
  <si>
    <t>Mon, 16 Dec 2024 00:00:00 GMT</t>
  </si>
  <si>
    <t>Fri, 13 Dec 2024 00:00:00 GMT</t>
  </si>
  <si>
    <t>Thu, 12 Dec 2024 00:00:00 GMT</t>
  </si>
  <si>
    <t>Wed, 11 Dec 2024 00:00:00 GMT</t>
  </si>
  <si>
    <t>Tue, 10 Dec 2024 00:00:00 GMT</t>
  </si>
  <si>
    <t>Mon, 09 Dec 2024 00:00:00 GMT</t>
  </si>
  <si>
    <t>Fri, 06 Dec 2024 00:00:00 GMT</t>
  </si>
  <si>
    <t>Thu, 05 Dec 2024 00:00:00 GMT</t>
  </si>
  <si>
    <t>Wed, 04 Dec 2024 00:00:00 GMT</t>
  </si>
  <si>
    <t>Tue, 03 Dec 2024 00:00:00 GMT</t>
  </si>
  <si>
    <t>Mon, 02 Dec 2024 00:00:00 GMT</t>
  </si>
  <si>
    <t>Fri, 29 Nov 2024 00:00:00 GMT</t>
  </si>
  <si>
    <t>Wed, 27 Nov 2024 00:00:00 GMT</t>
  </si>
  <si>
    <t>Tue, 26 Nov 2024 00:00:00 GMT</t>
  </si>
  <si>
    <t>Mon, 25 Nov 2024 00:00:00 GMT</t>
  </si>
  <si>
    <t>Fri, 22 Nov 2024 00:00:00 GMT</t>
  </si>
  <si>
    <t>Thu, 21 Nov 2024 00:00:00 GMT</t>
  </si>
  <si>
    <t>Wed, 20 Nov 2024 00:00:00 GMT</t>
  </si>
  <si>
    <t>Tue, 19 Nov 2024 00:00:00 GMT</t>
  </si>
  <si>
    <t>Mon, 18 Nov 2024 00:00:00 GMT</t>
  </si>
  <si>
    <t>Fri, 15 Nov 2024 00:00:00 GMT</t>
  </si>
  <si>
    <t>Thu, 14 Nov 2024 00:00:00 GMT</t>
  </si>
  <si>
    <t>Wed, 13 Nov 2024 00:00:00 GMT</t>
  </si>
  <si>
    <t>Tue, 12 Nov 2024 00:00:00 GMT</t>
  </si>
  <si>
    <t>Mon, 11 Nov 2024 00:00:00 GMT</t>
  </si>
  <si>
    <t>Fri, 08 Nov 2024 00:00:00 GMT</t>
  </si>
  <si>
    <t>Thu, 07 Nov 2024 00:00:00 GMT</t>
  </si>
  <si>
    <t>Wed, 06 Nov 2024 00:00:00 GMT</t>
  </si>
  <si>
    <t>Tue, 05 Nov 2024 00:00:00 GMT</t>
  </si>
  <si>
    <t>Mon, 04 Nov 2024 00:00:00 GMT</t>
  </si>
  <si>
    <t>Fri, 01 Nov 2024 00:00:00 GMT</t>
  </si>
  <si>
    <t>Thu, 31 Oct 2024 00:00:00 GMT</t>
  </si>
  <si>
    <t>Wed, 30 Oct 2024 00:00:00 GMT</t>
  </si>
  <si>
    <t>Tue, 29 Oct 2024 00:00:00 GMT</t>
  </si>
  <si>
    <t>Mon, 28 Oct 2024 00:00:00 GMT</t>
  </si>
  <si>
    <t>Fri, 25 Oct 2024 00:00:00 GMT</t>
  </si>
  <si>
    <t>Thu, 24 Oct 2024 00:00:00 GMT</t>
  </si>
  <si>
    <t>Wed, 23 Oct 2024 00:00:00 GMT</t>
  </si>
  <si>
    <t>Tue, 22 Oct 2024 00:00:00 GMT</t>
  </si>
  <si>
    <t>Mon, 21 Oct 2024 00:00:00 GMT</t>
  </si>
  <si>
    <t>Fri, 18 Oct 2024 00:00:00 GMT</t>
  </si>
  <si>
    <t>Thu, 17 Oct 2024 00:00:00 GMT</t>
  </si>
  <si>
    <t>Wed, 16 Oct 2024 00:00:00 GMT</t>
  </si>
  <si>
    <t>Tue, 15 Oct 2024 00:00:00 GMT</t>
  </si>
  <si>
    <t>Mon, 14 Oct 2024 00:00:00 GMT</t>
  </si>
  <si>
    <t>Fri, 11 Oct 2024 00:00:00 GMT</t>
  </si>
  <si>
    <t>Thu, 10 Oct 2024 00:00:00 GMT</t>
  </si>
  <si>
    <t>Wed, 09 Oct 2024 00:00:00 GMT</t>
  </si>
  <si>
    <t>Tue, 08 Oct 2024 00:00:00 GMT</t>
  </si>
  <si>
    <t>Mon, 07 Oct 2024 00:00:00 GMT</t>
  </si>
  <si>
    <t>Fri, 04 Oct 2024 00:00:00 GMT</t>
  </si>
  <si>
    <t>Thu, 03 Oct 2024 00:00:00 GMT</t>
  </si>
  <si>
    <t>Wed, 02 Oct 2024 00:00:00 GMT</t>
  </si>
  <si>
    <t>Tue, 01 Oct 2024 00:00:00 GMT</t>
  </si>
  <si>
    <t>Mon, 30 Sep 2024 00:00:00 GMT</t>
  </si>
  <si>
    <t>Fri, 27 Sep 2024 00:00:00 GMT</t>
  </si>
  <si>
    <t>Thu, 26 Sep 2024 00:00:00 GMT</t>
  </si>
  <si>
    <t>Wed, 25 Sep 2024 00:00:00 GMT</t>
  </si>
  <si>
    <t>Tue, 24 Sep 2024 00:00:00 GMT</t>
  </si>
  <si>
    <t>Mon, 23 Sep 2024 00:00:00 GMT</t>
  </si>
  <si>
    <t>Fri, 20 Sep 2024 00:00:00 GMT</t>
  </si>
  <si>
    <t>Thu, 19 Sep 2024 00:00:00 GMT</t>
  </si>
  <si>
    <t>Wed, 18 Sep 2024 00:00:00 GMT</t>
  </si>
  <si>
    <t>Tue, 17 Sep 2024 00:00:00 GMT</t>
  </si>
  <si>
    <t>Mon, 16 Sep 2024 00:00:00 GMT</t>
  </si>
  <si>
    <t>Fri, 13 Sep 2024 00:00:00 GMT</t>
  </si>
  <si>
    <t>Thu, 12 Sep 2024 00:00:00 GMT</t>
  </si>
  <si>
    <t>Wed, 11 Sep 2024 00:00:00 GMT</t>
  </si>
  <si>
    <t>Tue, 10 Sep 2024 00:00:00 GMT</t>
  </si>
  <si>
    <t>Mon, 09 Sep 2024 00:00:00 GMT</t>
  </si>
  <si>
    <t>Fri, 06 Sep 2024 00:00:00 GMT</t>
  </si>
  <si>
    <t>Thu, 05 Sep 2024 00:00:00 GMT</t>
  </si>
  <si>
    <t>Wed, 04 Sep 2024 00:00:00 GMT</t>
  </si>
  <si>
    <t>Tue, 03 Sep 2024 00:00:00 GMT</t>
  </si>
  <si>
    <t>Fri, 30 Aug 2024 00:00:00 GMT</t>
  </si>
  <si>
    <t>Thu, 29 Aug 2024 00:00:00 GMT</t>
  </si>
  <si>
    <t>Wed, 28 Aug 2024 00:00:00 GMT</t>
  </si>
  <si>
    <t>Tue, 27 Aug 2024 00:00:00 GMT</t>
  </si>
  <si>
    <t>Mon, 26 Aug 2024 00:00:00 GMT</t>
  </si>
  <si>
    <t>Fri, 23 Aug 2024 00:00:00 GMT</t>
  </si>
  <si>
    <t>Thu, 22 Aug 2024 00:00:00 GMT</t>
  </si>
  <si>
    <t>Wed, 21 Aug 2024 00:00:00 GMT</t>
  </si>
  <si>
    <t>Tue, 20 Aug 2024 00:00:00 GMT</t>
  </si>
  <si>
    <t>Mon, 19 Aug 2024 00:00:00 GMT</t>
  </si>
  <si>
    <t>Fri, 16 Aug 2024 00:00:00 GMT</t>
  </si>
  <si>
    <t>Thu, 15 Aug 2024 00:00:00 GMT</t>
  </si>
  <si>
    <t>Wed, 14 Aug 2024 00:00:00 GMT</t>
  </si>
  <si>
    <t>Tue, 13 Aug 2024 00:00:00 GMT</t>
  </si>
  <si>
    <t>Mon, 12 Aug 2024 00:00:00 GMT</t>
  </si>
  <si>
    <t>Fri, 09 Aug 2024 00:00:00 GMT</t>
  </si>
  <si>
    <t>Thu, 08 Aug 2024 00:00:00 GMT</t>
  </si>
  <si>
    <t>Wed, 07 Aug 2024 00:00:00 GMT</t>
  </si>
  <si>
    <t>Tue, 06 Aug 2024 00:00:00 GMT</t>
  </si>
  <si>
    <t>Mon, 05 Aug 2024 00:00:00 GMT</t>
  </si>
  <si>
    <t>Fri, 02 Aug 2024 00:00:00 GMT</t>
  </si>
  <si>
    <t>Thu, 01 Aug 2024 00:00:00 GMT</t>
  </si>
  <si>
    <t>Wed, 31 Jul 2024 00:00:00 GMT</t>
  </si>
  <si>
    <t>Tue, 30 Jul 2024 00:00:00 GMT</t>
  </si>
  <si>
    <t>Mon, 29 Jul 2024 00:00:00 GMT</t>
  </si>
  <si>
    <t>Fri, 26 Jul 2024 00:00:00 GMT</t>
  </si>
  <si>
    <t>Thu, 25 Jul 2024 00:00:00 GMT</t>
  </si>
  <si>
    <t>Wed, 24 Jul 2024 00:00:00 GMT</t>
  </si>
  <si>
    <t>Tue, 23 Jul 2024 00:00:00 GMT</t>
  </si>
  <si>
    <t>Mon, 22 Jul 2024 00:00:00 GMT</t>
  </si>
  <si>
    <t>Fri, 19 Jul 2024 00:00:00 GMT</t>
  </si>
  <si>
    <t>Thu, 18 Jul 2024 00:00:00 GMT</t>
  </si>
  <si>
    <t>Wed, 17 Jul 2024 00:00:00 GMT</t>
  </si>
  <si>
    <t>Tue, 16 Jul 2024 00:00:00 GMT</t>
  </si>
  <si>
    <t>Mon, 15 Jul 2024 00:00:00 GMT</t>
  </si>
  <si>
    <t>Fri, 12 Jul 2024 00:00:00 GMT</t>
  </si>
  <si>
    <t>Thu, 11 Jul 2024 00:00:00 GMT</t>
  </si>
  <si>
    <t>Wed, 10 Jul 2024 00:00:00 GMT</t>
  </si>
  <si>
    <t>Tue, 09 Jul 2024 00:00:00 GMT</t>
  </si>
  <si>
    <t>Mon, 08 Jul 2024 00:00:00 GMT</t>
  </si>
  <si>
    <t>Fri, 05 Jul 2024 00:00:00 GMT</t>
  </si>
  <si>
    <t>Wed, 03 Jul 2024 00:00:00 GMT</t>
  </si>
  <si>
    <t>Tue, 02 Jul 2024 00:00:00 GMT</t>
  </si>
  <si>
    <t>Mon, 01 Jul 2024 00:00:00 GMT</t>
  </si>
  <si>
    <t>Fri, 28 Jun 2024 00:00:00 GMT</t>
  </si>
  <si>
    <t>Thu, 27 Jun 2024 00:00:00 GMT</t>
  </si>
  <si>
    <t>Wed, 26 Jun 2024 00:00:00 GMT</t>
  </si>
  <si>
    <t>Tue, 25 Jun 2024 00:00:00 GMT</t>
  </si>
  <si>
    <t>Mon, 24 Jun 2024 00:00:00 GMT</t>
  </si>
  <si>
    <t>Fri, 21 Jun 2024 00:00:00 GMT</t>
  </si>
  <si>
    <t>Thu, 20 Jun 2024 00:00:00 GMT</t>
  </si>
  <si>
    <t>Tue, 18 Jun 2024 00:00:00 GMT</t>
  </si>
  <si>
    <t>Mon, 17 Jun 2024 00:00:00 GMT</t>
  </si>
  <si>
    <t>Fri, 14 Jun 2024 00:00:00 GMT</t>
  </si>
  <si>
    <t>Thu, 13 Jun 2024 00:00:00 GMT</t>
  </si>
  <si>
    <t>Wed, 12 Jun 2024 00:00:00 GMT</t>
  </si>
  <si>
    <t>Tue, 11 Jun 2024 00:00:00 GMT</t>
  </si>
  <si>
    <t>Mon, 10 Jun 2024 00:00:00 GMT</t>
  </si>
  <si>
    <t>Fri, 07 Jun 2024 00:00:00 GMT</t>
  </si>
  <si>
    <t>Thu, 06 Jun 2024 00:00:00 GMT</t>
  </si>
  <si>
    <t>Wed, 05 Jun 2024 00:00:00 GMT</t>
  </si>
  <si>
    <t>Tue, 04 Jun 2024 00:00:00 GMT</t>
  </si>
  <si>
    <t>Mon, 03 Jun 2024 00:00:00 GMT</t>
  </si>
  <si>
    <t>Fri, 31 May 2024 00:00:00 GMT</t>
  </si>
  <si>
    <t>Thu, 30 May 2024 00:00:00 GMT</t>
  </si>
  <si>
    <t>Wed, 29 May 2024 00:00:00 GMT</t>
  </si>
  <si>
    <t>Tue, 28 May 2024 00:00:00 GMT</t>
  </si>
  <si>
    <t>Fri, 24 May 2024 00:00:00 GMT</t>
  </si>
  <si>
    <t>Thu, 23 May 2024 00:00:00 GMT</t>
  </si>
  <si>
    <t>Wed, 22 May 2024 00:00:00 GMT</t>
  </si>
  <si>
    <t>Tue, 21 May 2024 00:00:00 GMT</t>
  </si>
  <si>
    <t>Mon, 20 May 2024 00:00:00 GMT</t>
  </si>
  <si>
    <t>Fri, 17 May 2024 00:00:00 GMT</t>
  </si>
  <si>
    <t>Thu, 16 May 2024 00:00:00 GMT</t>
  </si>
  <si>
    <t>Wed, 15 May 2024 00:00:00 GMT</t>
  </si>
  <si>
    <t>Tue, 14 May 2024 00:00:00 GMT</t>
  </si>
  <si>
    <t>Mon, 13 May 2024 00:00:00 GMT</t>
  </si>
  <si>
    <t>Fri, 10 May 2024 00:00:00 GMT</t>
  </si>
  <si>
    <t>Thu, 09 May 2024 00:00:00 GMT</t>
  </si>
  <si>
    <t>Wed, 08 May 2024 00:00:00 GMT</t>
  </si>
  <si>
    <t>Tue, 07 May 2024 00:00:00 GMT</t>
  </si>
  <si>
    <t>Mon, 06 May 2024 00:00:00 GMT</t>
  </si>
  <si>
    <t>Fri, 03 May 2024 00:00:00 GMT</t>
  </si>
  <si>
    <t>Thu, 02 May 2024 00:00:00 GMT</t>
  </si>
  <si>
    <t>Wed, 01 May 2024 00:00:00 GMT</t>
  </si>
  <si>
    <t>Tue, 30 Apr 2024 00:00:00 GMT</t>
  </si>
  <si>
    <t>Mon, 29 Apr 2024 00:00:00 GMT</t>
  </si>
  <si>
    <t>Fri, 26 Apr 2024 00:00:00 GMT</t>
  </si>
  <si>
    <t>Thu, 25 Apr 2024 00:00:00 GMT</t>
  </si>
  <si>
    <t>Wed, 24 Apr 2024 00:00:00 GMT</t>
  </si>
  <si>
    <t>Tue, 23 Apr 2024 00:00:00 GMT</t>
  </si>
  <si>
    <t>Mon, 22 Apr 2024 00:00:00 GMT</t>
  </si>
  <si>
    <t>Fri, 19 Apr 2024 00:00:00 GMT</t>
  </si>
  <si>
    <t>Thu, 18 Apr 2024 00:00:00 GMT</t>
  </si>
  <si>
    <t>Wed, 17 Apr 2024 00:00:00 GMT</t>
  </si>
  <si>
    <t>Tue, 16 Apr 2024 00:00:00 GMT</t>
  </si>
  <si>
    <t>Mon, 15 Apr 2024 00:00:00 GMT</t>
  </si>
  <si>
    <t>Fri, 12 Apr 2024 00:00:00 GMT</t>
  </si>
  <si>
    <t>Thu, 11 Apr 2024 00:00:00 GMT</t>
  </si>
  <si>
    <t>Wed, 10 Apr 2024 00:00:00 GMT</t>
  </si>
  <si>
    <t>Tue, 09 Apr 2024 00:00:00 GMT</t>
  </si>
  <si>
    <t>Mon, 08 Apr 2024 00:00:00 GMT</t>
  </si>
  <si>
    <t>Fri, 05 Apr 2024 00:00:00 GMT</t>
  </si>
  <si>
    <t>Thu, 04 Apr 2024 00:00:00 GMT</t>
  </si>
  <si>
    <t>Wed, 03 Apr 2024 00:00:00 GMT</t>
  </si>
  <si>
    <t>Tue, 02 Apr 2024 00:00:00 GMT</t>
  </si>
  <si>
    <t>Mon, 01 Apr 2024 00:00:00 GMT</t>
  </si>
  <si>
    <t>Thu, 28 Mar 2024 00:00:00 GMT</t>
  </si>
  <si>
    <t>Wed, 27 Mar 2024 00:00:00 GMT</t>
  </si>
  <si>
    <t>Tue, 26 Mar 2024 00:00:00 GMT</t>
  </si>
  <si>
    <t>Mon, 25 Mar 2024 00:00:00 GMT</t>
  </si>
  <si>
    <t>Fri, 22 Mar 2024 00:00:00 GMT</t>
  </si>
  <si>
    <t>Thu, 21 Mar 2024 00:00:00 GMT</t>
  </si>
  <si>
    <t>Wed, 20 Mar 2024 00:00:00 GMT</t>
  </si>
  <si>
    <t>Tue, 19 Mar 2024 00:00:00 GMT</t>
  </si>
  <si>
    <t>Mon, 18 Mar 2024 00:00:00 GMT</t>
  </si>
  <si>
    <t>Fri, 15 Mar 2024 00:00:00 GMT</t>
  </si>
  <si>
    <t>Thu, 14 Mar 2024 00:00:00 GMT</t>
  </si>
  <si>
    <t>Wed, 13 Mar 2024 00:00:00 GMT</t>
  </si>
  <si>
    <t>Tue, 12 Mar 2024 00:00:00 GMT</t>
  </si>
  <si>
    <t>Mon, 11 Mar 2024 00:00:00 GMT</t>
  </si>
  <si>
    <t>Fri, 08 Mar 2024 00:00:00 GMT</t>
  </si>
  <si>
    <t>Thu, 07 Mar 2024 00:00:00 GMT</t>
  </si>
  <si>
    <t>Wed, 06 Mar 2024 00:00:00 GMT</t>
  </si>
  <si>
    <t>Tue, 05 Mar 2024 00:00:00 GMT</t>
  </si>
  <si>
    <t>Mon, 04 Mar 2024 00:00:00 GMT</t>
  </si>
  <si>
    <t>Fri, 01 Mar 2024 00:00:00 GMT</t>
  </si>
  <si>
    <t>Thu, 29 Feb 2024 00:00:00 GMT</t>
  </si>
  <si>
    <t>Wed, 28 Feb 2024 00:00:00 GMT</t>
  </si>
  <si>
    <t>Tue, 27 Feb 2024 00:00:00 GMT</t>
  </si>
  <si>
    <t>Mon, 26 Feb 2024 00:00:00 GMT</t>
  </si>
  <si>
    <t>Fri, 23 Feb 2024 00:00:00 GMT</t>
  </si>
  <si>
    <t>Thu, 22 Feb 2024 00:00:00 GMT</t>
  </si>
  <si>
    <t>Wed, 21 Feb 2024 00:00:00 GMT</t>
  </si>
  <si>
    <t>Tue, 20 Feb 2024 00:00:00 GMT</t>
  </si>
  <si>
    <t>Fri, 16 Feb 2024 00:00:00 GMT</t>
  </si>
  <si>
    <t>Thu, 15 Feb 2024 00:00:00 GMT</t>
  </si>
  <si>
    <t>Wed, 14 Feb 2024 00:00:00 GMT</t>
  </si>
  <si>
    <t>Tue, 13 Feb 2024 00:00:00 GMT</t>
  </si>
  <si>
    <t>Mon, 12 Feb 2024 00:00:00 GMT</t>
  </si>
  <si>
    <t>Fri, 09 Feb 2024 00:00:00 GMT</t>
  </si>
  <si>
    <t>Thu, 08 Feb 2024 00:00:00 GMT</t>
  </si>
  <si>
    <t>Wed, 07 Feb 2024 00:00:00 GMT</t>
  </si>
  <si>
    <t>Tue, 06 Feb 2024 00:00:00 GMT</t>
  </si>
  <si>
    <t>Mon, 05 Feb 2024 00:00:00 GMT</t>
  </si>
  <si>
    <t>Fri, 02 Feb 2024 00:00:00 GMT</t>
  </si>
  <si>
    <t>Thu, 01 Feb 2024 00:00:00 GMT</t>
  </si>
  <si>
    <t>Wed, 31 Jan 2024 00:00:00 GMT</t>
  </si>
  <si>
    <t>Tue, 30 Jan 2024 00:00:00 GMT</t>
  </si>
  <si>
    <t>Mon, 29 Jan 2024 00:00:00 GMT</t>
  </si>
  <si>
    <t>Fri, 26 Jan 2024 00:00:00 GMT</t>
  </si>
  <si>
    <t>Thu, 25 Jan 2024 00:00:00 GMT</t>
  </si>
  <si>
    <t>Wed, 24 Jan 2024 00:00:00 GMT</t>
  </si>
  <si>
    <t>Tue, 23 Jan 2024 00:00:00 GMT</t>
  </si>
  <si>
    <t>Mon, 22 Jan 2024 00:00:00 GMT</t>
  </si>
  <si>
    <t>Fri, 19 Jan 2024 00:00:00 GMT</t>
  </si>
  <si>
    <t>Thu, 18 Jan 2024 00:00:00 GMT</t>
  </si>
  <si>
    <t>Wed, 17 Jan 2024 00:00:00 GMT</t>
  </si>
  <si>
    <t>Tue, 16 Jan 2024 00:00:00 GMT</t>
  </si>
  <si>
    <t>Fri, 12 Jan 2024 00:00:00 GMT</t>
  </si>
  <si>
    <t>Thu, 11 Jan 2024 00:00:00 GMT</t>
  </si>
  <si>
    <t>Wed, 10 Jan 2024 00:00:00 GMT</t>
  </si>
  <si>
    <t>Tue, 09 Jan 2024 00:00:00 GMT</t>
  </si>
  <si>
    <t>Mon, 08 Jan 2024 00:00:00 GMT</t>
  </si>
  <si>
    <t>Fri, 05 Jan 2024 00:00:00 GMT</t>
  </si>
  <si>
    <t>Thu, 04 Jan 2024 00:00:00 GMT</t>
  </si>
  <si>
    <t>Wed, 03 Jan 2024 00:00:00 GMT</t>
  </si>
  <si>
    <t>Tue, 02 Jan 2024 00:00:00 GMT</t>
  </si>
  <si>
    <t>Fri, 29 Dec 2023 00:00:00 GMT</t>
  </si>
  <si>
    <t>Thu, 28 Dec 2023 00:00:00 GMT</t>
  </si>
  <si>
    <t>Wed, 27 Dec 2023 00:00:00 GMT</t>
  </si>
  <si>
    <t>Tue, 26 Dec 2023 00:00:00 GMT</t>
  </si>
  <si>
    <t>Fri, 22 Dec 2023 00:00:00 GMT</t>
  </si>
  <si>
    <t>Thu, 21 Dec 2023 00:00:00 GMT</t>
  </si>
  <si>
    <t>Wed, 20 Dec 2023 00:00:00 GMT</t>
  </si>
  <si>
    <t>Tue, 19 Dec 2023 00:00:00 GMT</t>
  </si>
  <si>
    <t>Mon, 18 Dec 2023 00:00:00 GMT</t>
  </si>
  <si>
    <t>Fri, 15 Dec 2023 00:00:00 GMT</t>
  </si>
  <si>
    <t>Thu, 14 Dec 2023 00:00:00 GMT</t>
  </si>
  <si>
    <t>Wed, 13 Dec 2023 00:00:00 GMT</t>
  </si>
  <si>
    <t>Tue, 12 Dec 2023 00:00:00 GMT</t>
  </si>
  <si>
    <t>Mon, 11 Dec 2023 00:00:00 GMT</t>
  </si>
  <si>
    <t>Fri, 08 Dec 2023 00:00:00 GMT</t>
  </si>
  <si>
    <t>Thu, 07 Dec 2023 00:00:00 GMT</t>
  </si>
  <si>
    <t>Wed, 06 Dec 2023 00:00:00 GMT</t>
  </si>
  <si>
    <t>Tue, 05 Dec 2023 00:00:00 GMT</t>
  </si>
  <si>
    <t>Mon, 04 Dec 2023 00:00:00 GMT</t>
  </si>
  <si>
    <t>Fri, 01 Dec 2023 00:00:00 GMT</t>
  </si>
  <si>
    <t>Thu, 30 Nov 2023 00:00:00 GMT</t>
  </si>
  <si>
    <t>Wed, 29 Nov 2023 00:00:00 GMT</t>
  </si>
  <si>
    <t>Tue, 28 Nov 2023 00:00:00 GMT</t>
  </si>
  <si>
    <t>Mon, 27 Nov 2023 00:00:00 GMT</t>
  </si>
  <si>
    <t>Fri, 24 Nov 2023 00:00:00 GMT</t>
  </si>
  <si>
    <t>Wed, 22 Nov 2023 00:00:00 GMT</t>
  </si>
  <si>
    <t>Tue, 21 Nov 2023 00:00:00 GMT</t>
  </si>
  <si>
    <t>Mon, 20 Nov 2023 00:00:00 GMT</t>
  </si>
  <si>
    <t>Fri, 17 Nov 2023 00:00:00 GMT</t>
  </si>
  <si>
    <t>Thu, 16 Nov 2023 00:00:00 GMT</t>
  </si>
  <si>
    <t>Wed, 15 Nov 2023 00:00:00 GMT</t>
  </si>
  <si>
    <t>Tue, 14 Nov 2023 00:00:00 GMT</t>
  </si>
  <si>
    <t>Mon, 13 Nov 2023 00:00:00 GMT</t>
  </si>
  <si>
    <t>Fri, 10 Nov 2023 00:00:00 GMT</t>
  </si>
  <si>
    <t>Thu, 09 Nov 2023 00:00:00 GMT</t>
  </si>
  <si>
    <t>Wed, 08 Nov 2023 00:00:00 GMT</t>
  </si>
  <si>
    <t>Tue, 07 Nov 2023 00:00:00 GMT</t>
  </si>
  <si>
    <t>Mon, 06 Nov 2023 00:00:00 GMT</t>
  </si>
  <si>
    <t>Fri, 03 Nov 2023 00:00:00 GMT</t>
  </si>
  <si>
    <t>Thu, 02 Nov 2023 00:00:00 GMT</t>
  </si>
  <si>
    <t>Wed, 01 Nov 2023 00:00:00 GMT</t>
  </si>
  <si>
    <t>Tue, 31 Oct 2023 00:00:00 GMT</t>
  </si>
  <si>
    <t>Mon, 30 Oct 2023 00:00:00 GMT</t>
  </si>
  <si>
    <t>Fri, 27 Oct 2023 00:00:00 GMT</t>
  </si>
  <si>
    <t>Thu, 26 Oct 2023 00:00:00 GMT</t>
  </si>
  <si>
    <t>Wed, 25 Oct 2023 00:00:00 GMT</t>
  </si>
  <si>
    <t>Tue, 24 Oct 2023 00:00:00 GMT</t>
  </si>
  <si>
    <t>Mon, 23 Oct 2023 00:00:00 GMT</t>
  </si>
  <si>
    <t>Fri, 20 Oct 2023 00:00:00 GMT</t>
  </si>
  <si>
    <t>Thu, 19 Oct 2023 00:00:00 GMT</t>
  </si>
  <si>
    <t>Wed, 18 Oct 2023 00:00:00 GMT</t>
  </si>
  <si>
    <t>Tue, 17 Oct 2023 00:00:00 GMT</t>
  </si>
  <si>
    <t>Mon, 16 Oct 2023 00:00:00 GMT</t>
  </si>
  <si>
    <t>Fri, 13 Oct 2023 00:00:00 GMT</t>
  </si>
  <si>
    <t>Thu, 12 Oct 2023 00:00:00 GMT</t>
  </si>
  <si>
    <t>Wed, 11 Oct 2023 00:00:00 GMT</t>
  </si>
  <si>
    <t>Tue, 10 Oct 2023 00:00:00 GMT</t>
  </si>
  <si>
    <t>Mon, 09 Oct 2023 00:00:00 GMT</t>
  </si>
  <si>
    <t>Fri, 06 Oct 2023 00:00:00 GMT</t>
  </si>
  <si>
    <t>Thu, 05 Oct 2023 00:00:00 GMT</t>
  </si>
  <si>
    <t>Wed, 04 Oct 2023 00:00:00 GMT</t>
  </si>
  <si>
    <t>Tue, 03 Oct 2023 00:00:00 GMT</t>
  </si>
  <si>
    <t>Mon, 02 Oct 2023 00:00:00 GMT</t>
  </si>
  <si>
    <t>Fri, 29 Sep 2023 00:00:00 GMT</t>
  </si>
  <si>
    <t>Thu, 28 Sep 2023 00:00:00 GMT</t>
  </si>
  <si>
    <t>Wed, 27 Sep 2023 00:00:00 GMT</t>
  </si>
  <si>
    <t>Tue, 26 Sep 2023 00:00:00 GMT</t>
  </si>
  <si>
    <t>Mon, 25 Sep 2023 00:00:00 GMT</t>
  </si>
  <si>
    <t>Fri, 22 Sep 2023 00:00:00 GMT</t>
  </si>
  <si>
    <t>Thu, 21 Sep 2023 00:00:00 GMT</t>
  </si>
  <si>
    <t>Wed, 20 Sep 2023 00:00:00 GMT</t>
  </si>
  <si>
    <t>Tue, 19 Sep 2023 00:00:00 GMT</t>
  </si>
  <si>
    <t>Mon, 18 Sep 2023 00:00:00 GMT</t>
  </si>
  <si>
    <t>Fri, 15 Sep 2023 00:00:00 GMT</t>
  </si>
  <si>
    <t>Thu, 14 Sep 2023 00:00:00 GMT</t>
  </si>
  <si>
    <t>Wed, 13 Sep 2023 00:00:00 GMT</t>
  </si>
  <si>
    <t>Tue, 12 Sep 2023 00:00:00 GMT</t>
  </si>
  <si>
    <t>Mon, 11 Sep 2023 00:00:00 GMT</t>
  </si>
  <si>
    <t>Fri, 08 Sep 2023 00:00:00 GMT</t>
  </si>
  <si>
    <t>Thu, 07 Sep 2023 00:00:00 GMT</t>
  </si>
  <si>
    <t>Wed, 06 Sep 2023 00:00:00 GMT</t>
  </si>
  <si>
    <t>Tue, 05 Sep 2023 00:00:00 GMT</t>
  </si>
  <si>
    <t>Fri, 01 Sep 2023 00:00:00 GMT</t>
  </si>
  <si>
    <t>Thu, 31 Aug 2023 00:00:00 GMT</t>
  </si>
  <si>
    <t>Wed, 30 Aug 2023 00:00:00 GMT</t>
  </si>
  <si>
    <t>Tue, 29 Aug 2023 00:00:00 GMT</t>
  </si>
  <si>
    <t>Mon, 28 Aug 2023 00:00:00 GMT</t>
  </si>
  <si>
    <t>Fri, 25 Aug 2023 00:00:00 GMT</t>
  </si>
  <si>
    <t>Thu, 24 Aug 2023 00:00:00 GMT</t>
  </si>
  <si>
    <t>Wed, 23 Aug 2023 00:00:00 GMT</t>
  </si>
  <si>
    <t>Tue, 22 Aug 2023 00:00:00 GMT</t>
  </si>
  <si>
    <t>Mon, 21 Aug 2023 00:00:00 GMT</t>
  </si>
  <si>
    <t>Fri, 18 Aug 2023 00:00:00 GMT</t>
  </si>
  <si>
    <t>Thu, 17 Aug 2023 00:00:00 GMT</t>
  </si>
  <si>
    <t>Wed, 16 Aug 2023 00:00:00 GMT</t>
  </si>
  <si>
    <t>Tue, 15 Aug 2023 00:00:00 GMT</t>
  </si>
  <si>
    <t>Mon, 14 Aug 2023 00:00:00 GMT</t>
  </si>
  <si>
    <t>Fri, 11 Aug 2023 00:00:00 GMT</t>
  </si>
  <si>
    <t>Thu, 10 Aug 2023 00:00:00 GMT</t>
  </si>
  <si>
    <t>Wed, 09 Aug 2023 00:00:00 GMT</t>
  </si>
  <si>
    <t>Tue, 08 Aug 2023 00:00:00 GMT</t>
  </si>
  <si>
    <t>Mon, 07 Aug 2023 00:00:00 GMT</t>
  </si>
  <si>
    <t>Fri, 04 Aug 2023 00:00:00 GMT</t>
  </si>
  <si>
    <t>Thu, 03 Aug 2023 00:00:00 GMT</t>
  </si>
  <si>
    <t>Wed, 02 Aug 2023 00:00:00 GMT</t>
  </si>
  <si>
    <t>Tue, 01 Aug 2023 00:00:00 GMT</t>
  </si>
  <si>
    <t>Mon, 31 Jul 2023 00:00:00 GMT</t>
  </si>
  <si>
    <t>Fri, 28 Jul 2023 00:00:00 GMT</t>
  </si>
  <si>
    <t>Thu, 27 Jul 2023 00:00:00 GMT</t>
  </si>
  <si>
    <t>Wed, 26 Jul 2023 00:00:00 GMT</t>
  </si>
  <si>
    <t>Tue, 25 Jul 2023 00:00:00 GMT</t>
  </si>
  <si>
    <t>Mon, 24 Jul 2023 00:00:00 GMT</t>
  </si>
  <si>
    <t>Fri, 21 Jul 2023 00:00:00 GMT</t>
  </si>
  <si>
    <t>Thu, 20 Jul 2023 00:00:00 GMT</t>
  </si>
  <si>
    <t>Wed, 19 Jul 2023 00:00:00 GMT</t>
  </si>
  <si>
    <t>Tue, 18 Jul 2023 00:00:00 GMT</t>
  </si>
  <si>
    <t>Mon, 17 Jul 2023 00:00:00 GMT</t>
  </si>
  <si>
    <t>Fri, 14 Jul 2023 00:00:00 GMT</t>
  </si>
  <si>
    <t>Thu, 13 Jul 2023 00:00:00 GMT</t>
  </si>
  <si>
    <t>Wed, 12 Jul 2023 00:00:00 GMT</t>
  </si>
  <si>
    <t>Tue, 11 Jul 2023 00:00:00 GMT</t>
  </si>
  <si>
    <t>Mon, 10 Jul 2023 00:00:00 GMT</t>
  </si>
  <si>
    <t>Fri, 07 Jul 2023 00:00:00 GMT</t>
  </si>
  <si>
    <t>Thu, 06 Jul 2023 00:00:00 GMT</t>
  </si>
  <si>
    <t>Wed, 05 Jul 2023 00:00:00 GMT</t>
  </si>
  <si>
    <t>Mon, 03 Jul 2023 00:00:00 GMT</t>
  </si>
  <si>
    <t>Fri, 30 Jun 2023 00:00:00 GMT</t>
  </si>
  <si>
    <t>Thu, 29 Jun 2023 00:00:00 GMT</t>
  </si>
  <si>
    <t>Wed, 28 Jun 2023 00:00:00 GMT</t>
  </si>
  <si>
    <t>Tue, 27 Jun 2023 00:00:00 GMT</t>
  </si>
  <si>
    <t>Mon, 26 Jun 2023 00:00:00 GMT</t>
  </si>
  <si>
    <t>Fri, 23 Jun 2023 00:00:00 GMT</t>
  </si>
  <si>
    <t>Thu, 22 Jun 2023 00:00:00 GMT</t>
  </si>
  <si>
    <t>Wed, 21 Jun 2023 00:00:00 GMT</t>
  </si>
  <si>
    <t>Tue, 20 Jun 2023 00:00:00 GMT</t>
  </si>
  <si>
    <t>Fri, 16 Jun 2023 00:00:00 GMT</t>
  </si>
  <si>
    <t>Thu, 15 Jun 2023 00:00:00 GMT</t>
  </si>
  <si>
    <t>Wed, 14 Jun 2023 00:00:00 GMT</t>
  </si>
  <si>
    <t>Tue, 13 Jun 2023 00:00:00 GMT</t>
  </si>
  <si>
    <t>Mon, 12 Jun 2023 00:00:00 GMT</t>
  </si>
  <si>
    <t>Fri, 09 Jun 2023 00:00:00 GMT</t>
  </si>
  <si>
    <t>Thu, 08 Jun 2023 00:00:00 GMT</t>
  </si>
  <si>
    <t>Wed, 07 Jun 2023 00:00:00 GMT</t>
  </si>
  <si>
    <t>Tue, 06 Jun 2023 00:00:00 GMT</t>
  </si>
  <si>
    <t>Mon, 05 Jun 2023 00:00:00 GMT</t>
  </si>
  <si>
    <t>Fri, 02 Jun 2023 00:00:00 GMT</t>
  </si>
  <si>
    <t>Thu, 01 Jun 2023 00:00:00 GMT</t>
  </si>
  <si>
    <t>Wed, 31 May 2023 00:00:00 GMT</t>
  </si>
  <si>
    <t>Tue, 30 May 2023 00:00:00 GMT</t>
  </si>
  <si>
    <t>Fri, 26 May 2023 00:00:00 GMT</t>
  </si>
  <si>
    <t>Thu, 25 May 2023 00:00:00 GMT</t>
  </si>
  <si>
    <t>Wed, 24 May 2023 00:00:00 GMT</t>
  </si>
  <si>
    <t>Tue, 23 May 2023 00:00:00 GMT</t>
  </si>
  <si>
    <t>Mon, 22 May 2023 00:00:00 GMT</t>
  </si>
  <si>
    <t>Fri, 19 May 2023 00:00:00 GMT</t>
  </si>
  <si>
    <t>Thu, 18 May 2023 00:00:00 GMT</t>
  </si>
  <si>
    <t>Wed, 17 May 2023 00:00:00 GMT</t>
  </si>
  <si>
    <t>Tue, 16 May 2023 00:00:00 GMT</t>
  </si>
  <si>
    <t>Mon, 15 May 2023 00:00:00 GMT</t>
  </si>
  <si>
    <t>Fri, 12 May 2023 00:00:00 GMT</t>
  </si>
  <si>
    <t>Thu, 11 May 2023 00:00:00 GMT</t>
  </si>
  <si>
    <t>Wed, 10 May 2023 00:00:00 GMT</t>
  </si>
  <si>
    <t>Tue, 09 May 2023 00:00:00 GMT</t>
  </si>
  <si>
    <t>Mon, 08 May 2023 00:00:00 GMT</t>
  </si>
  <si>
    <t>Fri, 05 May 2023 00:00:00 GMT</t>
  </si>
  <si>
    <t>Thu, 04 May 2023 00:00:00 GMT</t>
  </si>
  <si>
    <t>Wed, 03 May 2023 00:00:00 GMT</t>
  </si>
  <si>
    <t>Tue, 02 May 2023 00:00:00 GMT</t>
  </si>
  <si>
    <t>Mon, 01 May 2023 00:00:00 GMT</t>
  </si>
  <si>
    <t>Fri, 28 Apr 2023 00:00:00 GMT</t>
  </si>
  <si>
    <t>Thu, 27 Apr 2023 00:00:00 GMT</t>
  </si>
  <si>
    <t>Wed, 26 Apr 2023 00:00:00 GMT</t>
  </si>
  <si>
    <t>Tue, 25 Apr 2023 00:00:00 GMT</t>
  </si>
  <si>
    <t>Mon, 24 Apr 2023 00:00:00 GMT</t>
  </si>
  <si>
    <t>Fri, 21 Apr 2023 00:00:00 GMT</t>
  </si>
  <si>
    <t>Thu, 20 Apr 2023 00:00:00 GMT</t>
  </si>
  <si>
    <t>Wed, 19 Apr 2023 00:00:00 GMT</t>
  </si>
  <si>
    <t>Tue, 18 Apr 2023 00:00:00 GMT</t>
  </si>
  <si>
    <t>Mon, 17 Apr 2023 00:00:00 GMT</t>
  </si>
  <si>
    <t>Fri, 14 Apr 2023 00:00:00 GMT</t>
  </si>
  <si>
    <t>Thu, 13 Apr 2023 00:00:00 GMT</t>
  </si>
  <si>
    <t>Wed, 12 Apr 2023 00:00:00 GMT</t>
  </si>
  <si>
    <t>Tue, 11 Apr 2023 00:00:00 GMT</t>
  </si>
  <si>
    <t>Mon, 10 Apr 2023 00:00:00 GMT</t>
  </si>
  <si>
    <t>Thu, 06 Apr 2023 00:00:00 GMT</t>
  </si>
  <si>
    <t>Wed, 05 Apr 2023 00:00:00 GMT</t>
  </si>
  <si>
    <t>Tue, 04 Apr 2023 00:00:00 GMT</t>
  </si>
  <si>
    <t>Mon, 03 Apr 2023 00:00:00 GMT</t>
  </si>
  <si>
    <t>Fri, 31 Mar 2023 00:00:00 GMT</t>
  </si>
  <si>
    <t>Thu, 30 Mar 2023 00:00:00 GMT</t>
  </si>
  <si>
    <t>Wed, 29 Mar 2023 00:00:00 GMT</t>
  </si>
  <si>
    <t>Tue, 28 Mar 2023 00:00:00 GMT</t>
  </si>
  <si>
    <t>Mon, 27 Mar 2023 00:00:00 GMT</t>
  </si>
  <si>
    <t>Fri, 24 Mar 2023 00:00:00 GMT</t>
  </si>
  <si>
    <t>Thu, 23 Mar 2023 00:00:00 GMT</t>
  </si>
  <si>
    <t>Wed, 22 Mar 2023 00:00:00 GMT</t>
  </si>
  <si>
    <t>Tue, 21 Mar 2023 00:00:00 GMT</t>
  </si>
  <si>
    <t>Mon, 20 Mar 2023 00:00:00 GMT</t>
  </si>
  <si>
    <t>Fri, 17 Mar 2023 00:00:00 GMT</t>
  </si>
  <si>
    <t>Thu, 16 Mar 2023 00:00:00 GMT</t>
  </si>
  <si>
    <t>Wed, 15 Mar 2023 00:00:00 GMT</t>
  </si>
  <si>
    <t>Tue, 14 Mar 2023 00:00:00 GMT</t>
  </si>
  <si>
    <t>Mon, 13 Mar 2023 00:00:00 GMT</t>
  </si>
  <si>
    <t>Fri, 10 Mar 2023 00:00:00 GMT</t>
  </si>
  <si>
    <t>Thu, 09 Mar 2023 00:00:00 GMT</t>
  </si>
  <si>
    <t>Wed, 08 Mar 2023 00:00:00 GMT</t>
  </si>
  <si>
    <t>Tue, 07 Mar 2023 00:00:00 GMT</t>
  </si>
  <si>
    <t>Mon, 06 Mar 2023 00:00:00 GMT</t>
  </si>
  <si>
    <t>Fri, 03 Mar 2023 00:00:00 GMT</t>
  </si>
  <si>
    <t>Thu, 02 Mar 2023 00:00:00 GMT</t>
  </si>
  <si>
    <t>Wed, 01 Mar 2023 00:00:00 GMT</t>
  </si>
  <si>
    <t>Tue, 28 Feb 2023 00:00:00 GMT</t>
  </si>
  <si>
    <t>Mon, 27 Feb 2023 00:00:00 GMT</t>
  </si>
  <si>
    <t>Fri, 24 Feb 2023 00:00:00 GMT</t>
  </si>
  <si>
    <t>Thu, 23 Feb 2023 00:00:00 GMT</t>
  </si>
  <si>
    <t>Wed, 22 Feb 2023 00:00:00 GMT</t>
  </si>
  <si>
    <t>Tue, 21 Feb 2023 00:00:00 GMT</t>
  </si>
  <si>
    <t>Fri, 17 Feb 2023 00:00:00 GMT</t>
  </si>
  <si>
    <t>Thu, 16 Feb 2023 00:00:00 GMT</t>
  </si>
  <si>
    <t>Wed, 15 Feb 2023 00:00:00 GMT</t>
  </si>
  <si>
    <t>Tue, 14 Feb 2023 00:00:00 GMT</t>
  </si>
  <si>
    <t>Mon, 13 Feb 2023 00:00:00 GMT</t>
  </si>
  <si>
    <t>Fri, 10 Feb 2023 00:00:00 GMT</t>
  </si>
  <si>
    <t>Thu, 09 Feb 2023 00:00:00 GMT</t>
  </si>
  <si>
    <t>Wed, 08 Feb 2023 00:00:00 GMT</t>
  </si>
  <si>
    <t>Tue, 07 Feb 2023 00:00:00 GMT</t>
  </si>
  <si>
    <t>Mon, 06 Feb 2023 00:00:00 GMT</t>
  </si>
  <si>
    <t>Fri, 03 Feb 2023 00:00:00 GMT</t>
  </si>
  <si>
    <t>Thu, 02 Feb 2023 00:00:00 GMT</t>
  </si>
  <si>
    <t>Wed, 01 Feb 2023 00:00:00 GMT</t>
  </si>
  <si>
    <t>Tue, 31 Jan 2023 00:00:00 GMT</t>
  </si>
  <si>
    <t>Mon, 30 Jan 2023 00:00:00 GMT</t>
  </si>
  <si>
    <t>Fri, 27 Jan 2023 00:00:00 GMT</t>
  </si>
  <si>
    <t>Thu, 26 Jan 2023 00:00:00 GMT</t>
  </si>
  <si>
    <t>Wed, 25 Jan 2023 00:00:00 GMT</t>
  </si>
  <si>
    <t>Tue, 24 Jan 2023 00:00:00 GMT</t>
  </si>
  <si>
    <t>Mon, 23 Jan 2023 00:00:00 GMT</t>
  </si>
  <si>
    <t>Fri, 20 Jan 2023 00:00:00 GMT</t>
  </si>
  <si>
    <t>Thu, 19 Jan 2023 00:00:00 GMT</t>
  </si>
  <si>
    <t>Wed, 18 Jan 2023 00:00:00 GMT</t>
  </si>
  <si>
    <t>Tue, 17 Jan 2023 00:00:00 GMT</t>
  </si>
  <si>
    <t>Fri, 13 Jan 2023 00:00:00 GMT</t>
  </si>
  <si>
    <t>Thu, 12 Jan 2023 00:00:00 GMT</t>
  </si>
  <si>
    <t>Wed, 11 Jan 2023 00:00:00 GMT</t>
  </si>
  <si>
    <t>Tue, 10 Jan 2023 00:00:00 GMT</t>
  </si>
  <si>
    <t>Mon, 09 Jan 2023 00:00:00 GMT</t>
  </si>
  <si>
    <t>Fri, 06 Jan 2023 00:00:00 GMT</t>
  </si>
  <si>
    <t>Thu, 05 Jan 2023 00:00:00 GMT</t>
  </si>
  <si>
    <t>Wed, 04 Jan 2023 00:00:00 GMT</t>
  </si>
  <si>
    <t>Tue, 03 Jan 2023 00:00:00 GMT</t>
  </si>
  <si>
    <t>Fri, 30 Dec 2022 00:00:00 GMT</t>
  </si>
  <si>
    <t>Thu, 29 Dec 2022 00:00:00 GMT</t>
  </si>
  <si>
    <t>Wed, 28 Dec 2022 00:00:00 GMT</t>
  </si>
  <si>
    <t>Tue, 27 Dec 2022 00:00:00 GMT</t>
  </si>
  <si>
    <t>Fri, 23 Dec 2022 00:00:00 GMT</t>
  </si>
  <si>
    <t>Thu, 22 Dec 2022 00:00:00 GMT</t>
  </si>
  <si>
    <t>Wed, 21 Dec 2022 00:00:00 GMT</t>
  </si>
  <si>
    <t>Tue, 20 Dec 2022 00:00:00 GMT</t>
  </si>
  <si>
    <t>Mon, 19 Dec 2022 00:00:00 GMT</t>
  </si>
  <si>
    <t>Fri, 16 Dec 2022 00:00:00 GMT</t>
  </si>
  <si>
    <t>Thu, 15 Dec 2022 00:00:00 GMT</t>
  </si>
  <si>
    <t>Wed, 14 Dec 2022 00:00:00 GMT</t>
  </si>
  <si>
    <t>Tue, 13 Dec 2022 00:00:00 GMT</t>
  </si>
  <si>
    <t>Mon, 12 Dec 2022 00:00:00 GMT</t>
  </si>
  <si>
    <t>Fri, 09 Dec 2022 00:00:00 GMT</t>
  </si>
  <si>
    <t>Thu, 08 Dec 2022 00:00:00 GMT</t>
  </si>
  <si>
    <t>Wed, 07 Dec 2022 00:00:00 GMT</t>
  </si>
  <si>
    <t>Tue, 06 Dec 2022 00:00:00 GMT</t>
  </si>
  <si>
    <t>Mon, 05 Dec 2022 00:00:00 GMT</t>
  </si>
  <si>
    <t>Fri, 02 Dec 2022 00:00:00 GMT</t>
  </si>
  <si>
    <t>Thu, 01 Dec 2022 00:00:00 GMT</t>
  </si>
  <si>
    <t>Wed, 30 Nov 2022 00:00:00 GMT</t>
  </si>
  <si>
    <t>Tue, 29 Nov 2022 00:00:00 GMT</t>
  </si>
  <si>
    <t>Mon, 28 Nov 2022 00:00:00 GMT</t>
  </si>
  <si>
    <t>Fri, 25 Nov 2022 00:00:00 GMT</t>
  </si>
  <si>
    <t>Wed, 23 Nov 2022 00:00:00 GMT</t>
  </si>
  <si>
    <t>Tue, 22 Nov 2022 00:00:00 GMT</t>
  </si>
  <si>
    <t>Mon, 21 Nov 2022 00:00:00 GMT</t>
  </si>
  <si>
    <t>Fri, 18 Nov 2022 00:00:00 GMT</t>
  </si>
  <si>
    <t>Thu, 17 Nov 2022 00:00:00 GMT</t>
  </si>
  <si>
    <t>Wed, 16 Nov 2022 00:00:00 GMT</t>
  </si>
  <si>
    <t>Tue, 15 Nov 2022 00:00:00 GMT</t>
  </si>
  <si>
    <t>Mon, 14 Nov 2022 00:00:00 GMT</t>
  </si>
  <si>
    <t>Fri, 11 Nov 2022 00:00:00 GMT</t>
  </si>
  <si>
    <t>Thu, 10 Nov 2022 00:00:00 GMT</t>
  </si>
  <si>
    <t>Wed, 09 Nov 2022 00:00:00 GMT</t>
  </si>
  <si>
    <t>Tue, 08 Nov 2022 00:00:00 GMT</t>
  </si>
  <si>
    <t>Mon, 07 Nov 2022 00:00:00 GMT</t>
  </si>
  <si>
    <t>Fri, 04 Nov 2022 00:00:00 GMT</t>
  </si>
  <si>
    <t>Thu, 03 Nov 2022 00:00:00 GMT</t>
  </si>
  <si>
    <t>Wed, 02 Nov 2022 00:00:00 GMT</t>
  </si>
  <si>
    <t>Tue, 01 Nov 2022 00:00:00 GMT</t>
  </si>
  <si>
    <t>Mon, 31 Oct 2022 00:00:00 GMT</t>
  </si>
  <si>
    <t>Fri, 28 Oct 2022 00:00:00 GMT</t>
  </si>
  <si>
    <t>Thu, 27 Oct 2022 00:00:00 GMT</t>
  </si>
  <si>
    <t>Wed, 26 Oct 2022 00:00:00 GMT</t>
  </si>
  <si>
    <t>Tue, 25 Oct 2022 00:00:00 GMT</t>
  </si>
  <si>
    <t>Mon, 24 Oct 2022 00:00:00 GMT</t>
  </si>
  <si>
    <t>Fri, 21 Oct 2022 00:00:00 GMT</t>
  </si>
  <si>
    <t>Thu, 20 Oct 2022 00:00:00 GMT</t>
  </si>
  <si>
    <t>Wed, 19 Oct 2022 00:00:00 GMT</t>
  </si>
  <si>
    <t>Tue, 18 Oct 2022 00:00:00 GMT</t>
  </si>
  <si>
    <t>Mon, 17 Oct 2022 00:00:00 GMT</t>
  </si>
  <si>
    <t>Fri, 14 Oct 2022 00:00:00 GMT</t>
  </si>
  <si>
    <t>Thu, 13 Oct 2022 00:00:00 GMT</t>
  </si>
  <si>
    <t>Wed, 12 Oct 2022 00:00:00 GMT</t>
  </si>
  <si>
    <t>Tue, 11 Oct 2022 00:00:00 GMT</t>
  </si>
  <si>
    <t>Mon, 10 Oct 2022 00:00:00 GMT</t>
  </si>
  <si>
    <t>Fri, 07 Oct 2022 00:00:00 GMT</t>
  </si>
  <si>
    <t>Thu, 06 Oct 2022 00:00:00 GMT</t>
  </si>
  <si>
    <t>Wed, 05 Oct 2022 00:00:00 GMT</t>
  </si>
  <si>
    <t>Tue, 04 Oct 2022 00:00:00 GMT</t>
  </si>
  <si>
    <t>Mon, 03 Oct 2022 00:00:00 GMT</t>
  </si>
  <si>
    <t>Fri, 30 Sep 2022 00:00:00 GMT</t>
  </si>
  <si>
    <t>Thu, 29 Sep 2022 00:00:00 GMT</t>
  </si>
  <si>
    <t>Wed, 28 Sep 2022 00:00:00 GMT</t>
  </si>
  <si>
    <t>Tue, 27 Sep 2022 00:00:00 GMT</t>
  </si>
  <si>
    <t>Mon, 26 Sep 2022 00:00:00 GMT</t>
  </si>
  <si>
    <t>Fri, 23 Sep 2022 00:00:00 GMT</t>
  </si>
  <si>
    <t>Thu, 22 Sep 2022 00:00:00 GMT</t>
  </si>
  <si>
    <t>Wed, 21 Sep 2022 00:00:00 GMT</t>
  </si>
  <si>
    <t>Tue, 20 Sep 2022 00:00:00 GMT</t>
  </si>
  <si>
    <t>Mon, 19 Sep 2022 00:00:00 GMT</t>
  </si>
  <si>
    <t>Fri, 16 Sep 2022 00:00:00 GMT</t>
  </si>
  <si>
    <t>Thu, 15 Sep 2022 00:00:00 GMT</t>
  </si>
  <si>
    <t>Wed, 14 Sep 2022 00:00:00 GMT</t>
  </si>
  <si>
    <t>Tue, 13 Sep 2022 00:00:00 GMT</t>
  </si>
  <si>
    <t>Mon, 12 Sep 2022 00:00:00 GMT</t>
  </si>
  <si>
    <t>Fri, 09 Sep 2022 00:00:00 GMT</t>
  </si>
  <si>
    <t>Thu, 08 Sep 2022 00:00:00 GMT</t>
  </si>
  <si>
    <t>Wed, 07 Sep 2022 00:00:00 GMT</t>
  </si>
  <si>
    <t>Tue, 06 Sep 2022 00:00:00 GMT</t>
  </si>
  <si>
    <t>Fri, 02 Sep 2022 00:00:00 GMT</t>
  </si>
  <si>
    <t>Thu, 01 Sep 2022 00:00:00 GMT</t>
  </si>
  <si>
    <t>Wed, 31 Aug 2022 00:00:00 GMT</t>
  </si>
  <si>
    <t>Tue, 30 Aug 2022 00:00:00 GMT</t>
  </si>
  <si>
    <t>Mon, 29 Aug 2022 00:00:00 GMT</t>
  </si>
  <si>
    <t>Fri, 26 Aug 2022 00:00:00 GMT</t>
  </si>
  <si>
    <t>Thu, 25 Aug 2022 00:00:00 GMT</t>
  </si>
  <si>
    <t>Wed, 24 Aug 2022 00:00:00 GMT</t>
  </si>
  <si>
    <t>Tue, 23 Aug 2022 00:00:00 GMT</t>
  </si>
  <si>
    <t>Mon, 22 Aug 2022 00:00:00 GMT</t>
  </si>
  <si>
    <t>Fri, 19 Aug 2022 00:00:00 GMT</t>
  </si>
  <si>
    <t>Thu, 18 Aug 2022 00:00:00 GMT</t>
  </si>
  <si>
    <t>Wed, 17 Aug 2022 00:00:00 GMT</t>
  </si>
  <si>
    <t>Tue, 16 Aug 2022 00:00:00 GMT</t>
  </si>
  <si>
    <t>Mon, 15 Aug 2022 00:00:00 GMT</t>
  </si>
  <si>
    <t>Fri, 12 Aug 2022 00:00:00 GMT</t>
  </si>
  <si>
    <t>Thu, 11 Aug 2022 00:00:00 GMT</t>
  </si>
  <si>
    <t>Wed, 10 Aug 2022 00:00:00 GMT</t>
  </si>
  <si>
    <t>Tue, 09 Aug 2022 00:00:00 GMT</t>
  </si>
  <si>
    <t>Mon, 08 Aug 2022 00:00:00 GMT</t>
  </si>
  <si>
    <t>Fri, 05 Aug 2022 00:00:00 GMT</t>
  </si>
  <si>
    <t>Thu, 04 Aug 2022 00:00:00 GMT</t>
  </si>
  <si>
    <t>Wed, 03 Aug 2022 00:00:00 GMT</t>
  </si>
  <si>
    <t>Tue, 02 Aug 2022 00:00:00 GMT</t>
  </si>
  <si>
    <t>Mon, 01 Aug 2022 00:00:00 GMT</t>
  </si>
  <si>
    <t>Fri, 29 Jul 2022 00:00:00 GMT</t>
  </si>
  <si>
    <t>Thu, 28 Jul 2022 00:00:00 GMT</t>
  </si>
  <si>
    <t>Wed, 27 Jul 2022 00:00:00 GMT</t>
  </si>
  <si>
    <t>Tue, 26 Jul 2022 00:00:00 GMT</t>
  </si>
  <si>
    <t>Mon, 25 Jul 2022 00:00:00 GMT</t>
  </si>
  <si>
    <t>Fri, 22 Jul 2022 00:00:00 GMT</t>
  </si>
  <si>
    <t>Thu, 21 Jul 2022 00:00:00 GMT</t>
  </si>
  <si>
    <t>Wed, 20 Jul 2022 00:00:00 GMT</t>
  </si>
  <si>
    <t>Tue, 19 Jul 2022 00:00:00 GMT</t>
  </si>
  <si>
    <t>Mon, 18 Jul 2022 00:00:00 GMT</t>
  </si>
  <si>
    <t>Fri, 15 Jul 2022 00:00:00 GMT</t>
  </si>
  <si>
    <t>Thu, 14 Jul 2022 00:00:00 GMT</t>
  </si>
  <si>
    <t>Wed, 13 Jul 2022 00:00:00 GMT</t>
  </si>
  <si>
    <t>Tue, 12 Jul 2022 00:00:00 GMT</t>
  </si>
  <si>
    <t>Mon, 11 Jul 2022 00:00:00 GMT</t>
  </si>
  <si>
    <t>Fri, 08 Jul 2022 00:00:00 GMT</t>
  </si>
  <si>
    <t>Thu, 07 Jul 2022 00:00:00 GMT</t>
  </si>
  <si>
    <t>Wed, 06 Jul 2022 00:00:00 GMT</t>
  </si>
  <si>
    <t>Tue, 05 Jul 2022 00:00:00 GMT</t>
  </si>
  <si>
    <t>Fri, 01 Jul 2022 00:00:00 GMT</t>
  </si>
  <si>
    <t>Thu, 30 Jun 2022 00:00:00 GMT</t>
  </si>
  <si>
    <t>Wed, 29 Jun 2022 00:00:00 GMT</t>
  </si>
  <si>
    <t>Tue, 28 Jun 2022 00:00:00 GMT</t>
  </si>
  <si>
    <t>Mon, 27 Jun 2022 00:00:00 GMT</t>
  </si>
  <si>
    <t>Fri, 24 Jun 2022 00:00:00 GMT</t>
  </si>
  <si>
    <t>Thu, 23 Jun 2022 00:00:00 GMT</t>
  </si>
  <si>
    <t>Wed, 22 Jun 2022 00:00:00 GMT</t>
  </si>
  <si>
    <t>Tue, 21 Jun 2022 00:00:00 GMT</t>
  </si>
  <si>
    <t>Fri, 17 Jun 2022 00:00:00 GMT</t>
  </si>
  <si>
    <t>Thu, 16 Jun 2022 00:00:00 GMT</t>
  </si>
  <si>
    <t>Wed, 15 Jun 2022 00:00:00 GMT</t>
  </si>
  <si>
    <t>Tue, 14 Jun 2022 00:00:00 GMT</t>
  </si>
  <si>
    <t>Mon, 13 Jun 2022 00:00:00 GMT</t>
  </si>
  <si>
    <t>Fri, 10 Jun 2022 00:00:00 GMT</t>
  </si>
  <si>
    <t>Thu, 09 Jun 2022 00:00:00 GMT</t>
  </si>
  <si>
    <t>Wed, 08 Jun 2022 00:00:00 GMT</t>
  </si>
  <si>
    <t>Tue, 07 Jun 2022 00:00:00 GMT</t>
  </si>
  <si>
    <t>Mon, 06 Jun 2022 00:00:00 GMT</t>
  </si>
  <si>
    <t>Fri, 03 Jun 2022 00:00:00 GMT</t>
  </si>
  <si>
    <t>Thu, 02 Jun 2022 00:00:00 GMT</t>
  </si>
  <si>
    <t>Wed, 01 Jun 2022 00:00:00 GMT</t>
  </si>
  <si>
    <t>Tue, 31 May 2022 00:00:00 GMT</t>
  </si>
  <si>
    <t>Fri, 27 May 2022 00:00:00 GMT</t>
  </si>
  <si>
    <t>Thu, 26 May 2022 00:00:00 GMT</t>
  </si>
  <si>
    <t>Wed, 25 May 2022 00:00:00 GMT</t>
  </si>
  <si>
    <t>Tue, 24 May 2022 00:00:00 GMT</t>
  </si>
  <si>
    <t>Mon, 23 May 2022 00:00:00 GMT</t>
  </si>
  <si>
    <t>Fri, 20 May 2022 00:00:00 GMT</t>
  </si>
  <si>
    <t>Thu, 19 May 2022 00:00:00 GMT</t>
  </si>
  <si>
    <t>Wed, 18 May 2022 00:00:00 GMT</t>
  </si>
  <si>
    <t>Tue, 17 May 2022 00:00:00 GMT</t>
  </si>
  <si>
    <t>Mon, 16 May 2022 00:00:00 GMT</t>
  </si>
  <si>
    <t>Fri, 13 May 2022 00:00:00 GMT</t>
  </si>
  <si>
    <t>Thu, 12 May 2022 00:00:00 GMT</t>
  </si>
  <si>
    <t>Wed, 11 May 2022 00:00:00 GMT</t>
  </si>
  <si>
    <t>Tue, 10 May 2022 00:00:00 GMT</t>
  </si>
  <si>
    <t>Mon, 09 May 2022 00:00:00 GMT</t>
  </si>
  <si>
    <t>Fri, 06 May 2022 00:00:00 GMT</t>
  </si>
  <si>
    <t>Thu, 05 May 2022 00:00:00 GMT</t>
  </si>
  <si>
    <t>Wed, 04 May 2022 00:00:00 GMT</t>
  </si>
  <si>
    <t>Tue, 03 May 2022 00:00:00 GMT</t>
  </si>
  <si>
    <t>Mon, 02 May 2022 00:00:00 GMT</t>
  </si>
  <si>
    <t>Fri, 29 Apr 2022 00:00:00 GMT</t>
  </si>
  <si>
    <t>Thu, 28 Apr 2022 00:00:00 GMT</t>
  </si>
  <si>
    <t>Wed, 27 Apr 2022 00:00:00 GMT</t>
  </si>
  <si>
    <t>Tue, 26 Apr 2022 00:00:00 GMT</t>
  </si>
  <si>
    <t>Mon, 25 Apr 2022 00:00:00 GMT</t>
  </si>
  <si>
    <t>Fri, 22 Apr 2022 00:00:00 GMT</t>
  </si>
  <si>
    <t>Thu, 21 Apr 2022 00:00:00 GMT</t>
  </si>
  <si>
    <t>Wed, 20 Apr 2022 00:00:00 GMT</t>
  </si>
  <si>
    <t>Tue, 19 Apr 2022 00:00:00 GMT</t>
  </si>
  <si>
    <t>Mon, 18 Apr 2022 00:00:00 GMT</t>
  </si>
  <si>
    <t>Thu, 14 Apr 2022 00:00:00 GMT</t>
  </si>
  <si>
    <t>Wed, 13 Apr 2022 00:00:00 GMT</t>
  </si>
  <si>
    <t>Tue, 12 Apr 2022 00:00:00 GMT</t>
  </si>
  <si>
    <t>Mon, 11 Apr 2022 00:00:00 GMT</t>
  </si>
  <si>
    <t>Fri, 08 Apr 2022 00:00:00 GMT</t>
  </si>
  <si>
    <t>Thu, 07 Apr 2022 00:00:00 GMT</t>
  </si>
  <si>
    <t>Wed, 06 Apr 2022 00:00:00 GMT</t>
  </si>
  <si>
    <t>Tue, 05 Apr 2022 00:00:00 GMT</t>
  </si>
  <si>
    <t>Mon, 04 Apr 2022 00:00:00 GMT</t>
  </si>
  <si>
    <t>Fri, 01 Apr 2022 00:00:00 GMT</t>
  </si>
  <si>
    <t>Thu, 31 Mar 2022 00:00:00 GMT</t>
  </si>
  <si>
    <t>Wed, 30 Mar 2022 00:00:00 GMT</t>
  </si>
  <si>
    <t>Tue, 29 Mar 2022 00:00:00 GMT</t>
  </si>
  <si>
    <t>Mon, 28 Mar 2022 00:00:00 GMT</t>
  </si>
  <si>
    <t>Fri, 25 Mar 2022 00:00:00 GMT</t>
  </si>
  <si>
    <t>Thu, 24 Mar 2022 00:00:00 GMT</t>
  </si>
  <si>
    <t>Wed, 23 Mar 2022 00:00:00 GMT</t>
  </si>
  <si>
    <t>Tue, 22 Mar 2022 00:00:00 GMT</t>
  </si>
  <si>
    <t>Mon, 21 Mar 2022 00:00:00 GMT</t>
  </si>
  <si>
    <t>Fri, 18 Mar 2022 00:00:00 GMT</t>
  </si>
  <si>
    <t>Thu, 17 Mar 2022 00:00:00 GMT</t>
  </si>
  <si>
    <t>Wed, 16 Mar 2022 00:00:00 GMT</t>
  </si>
  <si>
    <t>Tue, 15 Mar 2022 00:00:00 GMT</t>
  </si>
  <si>
    <t>Mon, 14 Mar 2022 00:00:00 GMT</t>
  </si>
  <si>
    <t>Fri, 11 Mar 2022 00:00:00 GMT</t>
  </si>
  <si>
    <t>Thu, 10 Mar 2022 00:00:00 GMT</t>
  </si>
  <si>
    <t>Wed, 09 Mar 2022 00:00:00 GMT</t>
  </si>
  <si>
    <t>Tue, 08 Mar 2022 00:00:00 GMT</t>
  </si>
  <si>
    <t>Mon, 07 Mar 2022 00:00:00 GMT</t>
  </si>
  <si>
    <t>Fri, 04 Mar 2022 00:00:00 GMT</t>
  </si>
  <si>
    <t>Thu, 03 Mar 2022 00:00:00 GMT</t>
  </si>
  <si>
    <t>Wed, 02 Mar 2022 00:00:00 GMT</t>
  </si>
  <si>
    <t>Tue, 01 Mar 2022 00:00:00 GMT</t>
  </si>
  <si>
    <t>Mon, 28 Feb 2022 00:00:00 GMT</t>
  </si>
  <si>
    <t>Fri, 25 Feb 2022 00:00:00 GMT</t>
  </si>
  <si>
    <t>Thu, 24 Feb 2022 00:00:00 GMT</t>
  </si>
  <si>
    <t>Wed, 23 Feb 2022 00:00:00 GMT</t>
  </si>
  <si>
    <t>Tue, 22 Feb 2022 00:00:00 GMT</t>
  </si>
  <si>
    <t>Fri, 18 Feb 2022 00:00:00 GMT</t>
  </si>
  <si>
    <t>Thu, 17 Feb 2022 00:00:00 GMT</t>
  </si>
  <si>
    <t>Wed, 16 Feb 2022 00:00:00 GMT</t>
  </si>
  <si>
    <t>Tue, 15 Feb 2022 00:00:00 GMT</t>
  </si>
  <si>
    <t>Mon, 14 Feb 2022 00:00:00 GMT</t>
  </si>
  <si>
    <t>Fri, 11 Feb 2022 00:00:00 GMT</t>
  </si>
  <si>
    <t>Thu, 10 Feb 2022 00:00:00 GMT</t>
  </si>
  <si>
    <t>Wed, 09 Feb 2022 00:00:00 GMT</t>
  </si>
  <si>
    <t>Tue, 08 Feb 2022 00:00:00 GMT</t>
  </si>
  <si>
    <t>Mon, 07 Feb 2022 00:00:00 GMT</t>
  </si>
  <si>
    <t>Fri, 04 Feb 2022 00:00:00 GMT</t>
  </si>
  <si>
    <t>Thu, 03 Feb 2022 00:00:00 GMT</t>
  </si>
  <si>
    <t>Wed, 02 Feb 2022 00:00:00 GMT</t>
  </si>
  <si>
    <t>Tue, 01 Feb 2022 00:00:00 GMT</t>
  </si>
  <si>
    <t>Mon, 31 Jan 2022 00:00:00 GMT</t>
  </si>
  <si>
    <t>Fri, 28 Jan 2022 00:00:00 GMT</t>
  </si>
  <si>
    <t>Thu, 27 Jan 2022 00:00:00 GMT</t>
  </si>
  <si>
    <t>Wed, 26 Jan 2022 00:00:00 GMT</t>
  </si>
  <si>
    <t>Tue, 25 Jan 2022 00:00:00 GMT</t>
  </si>
  <si>
    <t>Mon, 24 Jan 2022 00:00:00 GMT</t>
  </si>
  <si>
    <t>Fri, 21 Jan 2022 00:00:00 GMT</t>
  </si>
  <si>
    <t>Thu, 20 Jan 2022 00:00:00 GMT</t>
  </si>
  <si>
    <t>Wed, 19 Jan 2022 00:00:00 GMT</t>
  </si>
  <si>
    <t>Tue, 18 Jan 2022 00:00:00 GMT</t>
  </si>
  <si>
    <t>Fri, 14 Jan 2022 00:00:00 GMT</t>
  </si>
  <si>
    <t>Thu, 13 Jan 2022 00:00:00 GMT</t>
  </si>
  <si>
    <t>Wed, 12 Jan 2022 00:00:00 GMT</t>
  </si>
  <si>
    <t>Tue, 11 Jan 2022 00:00:00 GMT</t>
  </si>
  <si>
    <t>Mon, 10 Jan 2022 00:00:00 GMT</t>
  </si>
  <si>
    <t>Fri, 07 Jan 2022 00:00:00 GMT</t>
  </si>
  <si>
    <t>Thu, 06 Jan 2022 00:00:00 GMT</t>
  </si>
  <si>
    <t>Wed, 05 Jan 2022 00:00:00 GMT</t>
  </si>
  <si>
    <t>Tue, 04 Jan 2022 00:00:00 GMT</t>
  </si>
  <si>
    <t>Mon, 03 Jan 2022 00:00:00 GMT</t>
  </si>
  <si>
    <t>Fri, 31 Dec 2021 00:00:00 GMT</t>
  </si>
  <si>
    <t>Thu, 30 Dec 2021 00:00:00 GMT</t>
  </si>
  <si>
    <t>Wed, 29 Dec 2021 00:00:00 GMT</t>
  </si>
  <si>
    <t>Tue, 28 Dec 2021 00:00:00 GMT</t>
  </si>
  <si>
    <t>Mon, 27 Dec 2021 00:00:00 GMT</t>
  </si>
  <si>
    <t>Thu, 23 Dec 2021 00:00:00 GMT</t>
  </si>
  <si>
    <t>Wed, 22 Dec 2021 00:00:00 GMT</t>
  </si>
  <si>
    <t>Tue, 21 Dec 2021 00:00:00 GMT</t>
  </si>
  <si>
    <t>Mon, 20 Dec 2021 00:00:00 GMT</t>
  </si>
  <si>
    <t>Fri, 17 Dec 2021 00:00:00 GMT</t>
  </si>
  <si>
    <t>Thu, 16 Dec 2021 00:00:00 GMT</t>
  </si>
  <si>
    <t>Wed, 15 Dec 2021 00:00:00 GMT</t>
  </si>
  <si>
    <t>Tue, 14 Dec 2021 00:00:00 GMT</t>
  </si>
  <si>
    <t>Mon, 13 Dec 2021 00:00:00 GMT</t>
  </si>
  <si>
    <t>Fri, 10 Dec 2021 00:00:00 GMT</t>
  </si>
  <si>
    <t>Thu, 09 Dec 2021 00:00:00 GMT</t>
  </si>
  <si>
    <t>Wed, 08 Dec 2021 00:00:00 GMT</t>
  </si>
  <si>
    <t>Tue, 07 Dec 2021 00:00:00 GMT</t>
  </si>
  <si>
    <t>Mon, 06 Dec 2021 00:00:00 GMT</t>
  </si>
  <si>
    <t>Fri, 03 Dec 2021 00:00:00 GMT</t>
  </si>
  <si>
    <t>Thu, 02 Dec 2021 00:00:00 GMT</t>
  </si>
  <si>
    <t>Wed, 01 Dec 2021 00:00:00 GMT</t>
  </si>
  <si>
    <t>Tue, 30 Nov 2021 00:00:00 GMT</t>
  </si>
  <si>
    <t>Mon, 29 Nov 2021 00:00:00 GMT</t>
  </si>
  <si>
    <t>Fri, 26 Nov 2021 00:00:00 GMT</t>
  </si>
  <si>
    <t>Wed, 24 Nov 2021 00:00:00 GMT</t>
  </si>
  <si>
    <t>Tue, 23 Nov 2021 00:00:00 GMT</t>
  </si>
  <si>
    <t>Mon, 22 Nov 2021 00:00:00 GMT</t>
  </si>
  <si>
    <t>Fri, 19 Nov 2021 00:00:00 GMT</t>
  </si>
  <si>
    <t>Thu, 18 Nov 2021 00:00:00 GMT</t>
  </si>
  <si>
    <t>Wed, 17 Nov 2021 00:00:00 GMT</t>
  </si>
  <si>
    <t>Tue, 16 Nov 2021 00:00:00 GMT</t>
  </si>
  <si>
    <t>Mon, 15 Nov 2021 00:00:00 GMT</t>
  </si>
  <si>
    <t>Fri, 12 Nov 2021 00:00:00 GMT</t>
  </si>
  <si>
    <t>Thu, 11 Nov 2021 00:00:00 GMT</t>
  </si>
  <si>
    <t>Wed, 10 Nov 2021 00:00:00 GMT</t>
  </si>
  <si>
    <t>Tue, 09 Nov 2021 00:00:00 GMT</t>
  </si>
  <si>
    <t>Mon, 08 Nov 2021 00:00:00 GMT</t>
  </si>
  <si>
    <t>Fri, 05 Nov 2021 00:00:00 GMT</t>
  </si>
  <si>
    <t>Thu, 04 Nov 2021 00:00:00 GMT</t>
  </si>
  <si>
    <t>Wed, 03 Nov 2021 00:00:00 GMT</t>
  </si>
  <si>
    <t>Tue, 02 Nov 2021 00:00:00 GMT</t>
  </si>
  <si>
    <t>Mon, 01 Nov 2021 00:00:00 GMT</t>
  </si>
  <si>
    <t>Fri, 29 Oct 2021 00:00:00 GMT</t>
  </si>
  <si>
    <t>Thu, 28 Oct 2021 00:00:00 GMT</t>
  </si>
  <si>
    <t>Wed, 27 Oct 2021 00:00:00 GMT</t>
  </si>
  <si>
    <t>Tue, 26 Oct 2021 00:00:00 GMT</t>
  </si>
  <si>
    <t>Mon, 25 Oct 2021 00:00:00 GMT</t>
  </si>
  <si>
    <t>Fri, 22 Oct 2021 00:00:00 GMT</t>
  </si>
  <si>
    <t>Thu, 21 Oct 2021 00:00:00 GMT</t>
  </si>
  <si>
    <t>Wed, 20 Oct 2021 00:00:00 GMT</t>
  </si>
  <si>
    <t>Tue, 19 Oct 2021 00:00:00 GMT</t>
  </si>
  <si>
    <t>Mon, 18 Oct 2021 00:00:00 GMT</t>
  </si>
  <si>
    <t>Fri, 15 Oct 2021 00:00:00 GMT</t>
  </si>
  <si>
    <t>Thu, 14 Oct 2021 00:00:00 GMT</t>
  </si>
  <si>
    <t>Wed, 13 Oct 2021 00:00:00 GMT</t>
  </si>
  <si>
    <t>Tue, 12 Oct 2021 00:00:00 GMT</t>
  </si>
  <si>
    <t>Mon, 11 Oct 2021 00:00:00 GMT</t>
  </si>
  <si>
    <t>Fri, 08 Oct 2021 00:00:00 GMT</t>
  </si>
  <si>
    <t>Thu, 07 Oct 2021 00:00:00 GMT</t>
  </si>
  <si>
    <t>Wed, 06 Oct 2021 00:00:00 GMT</t>
  </si>
  <si>
    <t>Tue, 05 Oct 2021 00:00:00 GMT</t>
  </si>
  <si>
    <t>Mon, 04 Oct 2021 00:00:00 GMT</t>
  </si>
  <si>
    <t>Fri, 01 Oct 2021 00:00:00 GMT</t>
  </si>
  <si>
    <t>Thu, 30 Sep 2021 00:00:00 GMT</t>
  </si>
  <si>
    <t>Wed, 29 Sep 2021 00:00:00 GMT</t>
  </si>
  <si>
    <t>Tue, 28 Sep 2021 00:00:00 GMT</t>
  </si>
  <si>
    <t>Mon, 27 Sep 2021 00:00:00 GMT</t>
  </si>
  <si>
    <t>Fri, 24 Sep 2021 00:00:00 GMT</t>
  </si>
  <si>
    <t>Thu, 23 Sep 2021 00:00:00 GMT</t>
  </si>
  <si>
    <t>Wed, 22 Sep 2021 00:00:00 GMT</t>
  </si>
  <si>
    <t>Tue, 21 Sep 2021 00:00:00 GMT</t>
  </si>
  <si>
    <t>Mon, 20 Sep 2021 00:00:00 GMT</t>
  </si>
  <si>
    <t>Fri, 17 Sep 2021 00:00:00 GMT</t>
  </si>
  <si>
    <t>Thu, 16 Sep 2021 00:00:00 GMT</t>
  </si>
  <si>
    <t>Wed, 15 Sep 2021 00:00:00 GMT</t>
  </si>
  <si>
    <t>Tue, 14 Sep 2021 00:00:00 GMT</t>
  </si>
  <si>
    <t>Mon, 13 Sep 2021 00:00:00 GMT</t>
  </si>
  <si>
    <t>Fri, 10 Sep 2021 00:00:00 GMT</t>
  </si>
  <si>
    <t>Thu, 09 Sep 2021 00:00:00 GMT</t>
  </si>
  <si>
    <t>Wed, 08 Sep 2021 00:00:00 GMT</t>
  </si>
  <si>
    <t>Tue, 07 Sep 2021 00:00:00 GMT</t>
  </si>
  <si>
    <t>Fri, 03 Sep 2021 00:00:00 GMT</t>
  </si>
  <si>
    <t>Thu, 02 Sep 2021 00:00:00 GMT</t>
  </si>
  <si>
    <t>Wed, 01 Sep 2021 00:00:00 GMT</t>
  </si>
  <si>
    <t>Tue, 31 Aug 2021 00:00:00 GMT</t>
  </si>
  <si>
    <t>Mon, 30 Aug 2021 00:00:00 GMT</t>
  </si>
  <si>
    <t>Fri, 27 Aug 2021 00:00:00 GMT</t>
  </si>
  <si>
    <t>Thu, 26 Aug 2021 00:00:00 GMT</t>
  </si>
  <si>
    <t>Wed, 25 Aug 2021 00:00:00 GMT</t>
  </si>
  <si>
    <t>Tue, 24 Aug 2021 00:00:00 GMT</t>
  </si>
  <si>
    <t>Mon, 23 Aug 2021 00:00:00 GMT</t>
  </si>
  <si>
    <t>Fri, 20 Aug 2021 00:00:00 GMT</t>
  </si>
  <si>
    <t>Thu, 19 Aug 2021 00:00:00 GMT</t>
  </si>
  <si>
    <t>Wed, 18 Aug 2021 00:00:00 GMT</t>
  </si>
  <si>
    <t>Tue, 17 Aug 2021 00:00:00 GMT</t>
  </si>
  <si>
    <t>Mon, 16 Aug 2021 00:00:00 GMT</t>
  </si>
  <si>
    <t>Fri, 13 Aug 2021 00:00:00 GMT</t>
  </si>
  <si>
    <t>Thu, 12 Aug 2021 00:00:00 GMT</t>
  </si>
  <si>
    <t>Wed, 11 Aug 2021 00:00:00 GMT</t>
  </si>
  <si>
    <t>Tue, 10 Aug 2021 00:00:00 GMT</t>
  </si>
  <si>
    <t>Mon, 09 Aug 2021 00:00:00 GMT</t>
  </si>
  <si>
    <t>Fri, 06 Aug 2021 00:00:00 GMT</t>
  </si>
  <si>
    <t>Thu, 05 Aug 2021 00:00:00 GMT</t>
  </si>
  <si>
    <t>Wed, 04 Aug 2021 00:00:00 GMT</t>
  </si>
  <si>
    <t>Tue, 03 Aug 2021 00:00:00 GMT</t>
  </si>
  <si>
    <t>Mon, 02 Aug 2021 00:00:00 GMT</t>
  </si>
  <si>
    <t>Fri, 30 Jul 2021 00:00:00 GMT</t>
  </si>
  <si>
    <t>Thu, 29 Jul 2021 00:00:00 GMT</t>
  </si>
  <si>
    <t>Wed, 28 Jul 2021 00:00:00 GMT</t>
  </si>
  <si>
    <t>Tue, 27 Jul 2021 00:00:00 GMT</t>
  </si>
  <si>
    <t>Mon, 26 Jul 2021 00:00:00 GMT</t>
  </si>
  <si>
    <t>Fri, 23 Jul 2021 00:00:00 GMT</t>
  </si>
  <si>
    <t>Thu, 22 Jul 2021 00:00:00 GMT</t>
  </si>
  <si>
    <t>Wed, 21 Jul 2021 00:00:00 GMT</t>
  </si>
  <si>
    <t>Tue, 20 Jul 2021 00:00:00 GMT</t>
  </si>
  <si>
    <t>Mon, 19 Jul 2021 00:00:00 GMT</t>
  </si>
  <si>
    <t>Fri, 16 Jul 2021 00:00:00 GMT</t>
  </si>
  <si>
    <t>Thu, 15 Jul 2021 00:00:00 GMT</t>
  </si>
  <si>
    <t>Wed, 14 Jul 2021 00:00:00 GMT</t>
  </si>
  <si>
    <t>Tue, 13 Jul 2021 00:00:00 GMT</t>
  </si>
  <si>
    <t>Mon, 12 Jul 2021 00:00:00 GMT</t>
  </si>
  <si>
    <t>Fri, 09 Jul 2021 00:00:00 GMT</t>
  </si>
  <si>
    <t>Thu, 08 Jul 2021 00:00:00 GMT</t>
  </si>
  <si>
    <t>Wed, 07 Jul 2021 00:00:00 GMT</t>
  </si>
  <si>
    <t>Tue, 06 Jul 2021 00:00:00 GMT</t>
  </si>
  <si>
    <t>Fri, 02 Jul 2021 00:00:00 GMT</t>
  </si>
  <si>
    <t>Thu, 01 Jul 2021 00:00:00 GMT</t>
  </si>
  <si>
    <t>Wed, 30 Jun 2021 00:00:00 GMT</t>
  </si>
  <si>
    <t>Tue, 29 Jun 2021 00:00:00 GMT</t>
  </si>
  <si>
    <t>Mon, 28 Jun 2021 00:00:00 GMT</t>
  </si>
  <si>
    <t>Fri, 25 Jun 2021 00:00:00 GMT</t>
  </si>
  <si>
    <t>Thu, 24 Jun 2021 00:00:00 GMT</t>
  </si>
  <si>
    <t>Wed, 23 Jun 2021 00:00:00 GMT</t>
  </si>
  <si>
    <t>Tue, 22 Jun 2021 00:00:00 GMT</t>
  </si>
  <si>
    <t>Mon, 21 Jun 2021 00:00:00 GMT</t>
  </si>
  <si>
    <t>Fri, 18 Jun 2021 00:00:00 GMT</t>
  </si>
  <si>
    <t>Thu, 17 Jun 2021 00:00:00 GMT</t>
  </si>
  <si>
    <t>Wed, 16 Jun 2021 00:00:00 GMT</t>
  </si>
  <si>
    <t>Tue, 15 Jun 2021 00:00:00 GMT</t>
  </si>
  <si>
    <t>Mon, 14 Jun 2021 00:00:00 GMT</t>
  </si>
  <si>
    <t>Fri, 11 Jun 2021 00:00:00 GMT</t>
  </si>
  <si>
    <t>Thu, 10 Jun 2021 00:00:00 GMT</t>
  </si>
  <si>
    <t>Wed, 09 Jun 2021 00:00:00 GMT</t>
  </si>
  <si>
    <t>Tue, 08 Jun 2021 00:00:00 GMT</t>
  </si>
  <si>
    <t>Mon, 07 Jun 2021 00:00:00 GMT</t>
  </si>
  <si>
    <t>Fri, 04 Jun 2021 00:00:00 GMT</t>
  </si>
  <si>
    <t>Thu, 03 Jun 2021 00:00:00 GMT</t>
  </si>
  <si>
    <t>Wed, 02 Jun 2021 00:00:00 GMT</t>
  </si>
  <si>
    <t>Tue, 01 Jun 2021 00:00:00 GMT</t>
  </si>
  <si>
    <t>Fri, 28 May 2021 00:00:00 GMT</t>
  </si>
  <si>
    <t>Thu, 27 May 2021 00:00:00 GMT</t>
  </si>
  <si>
    <t>Wed, 26 May 2021 00:00:00 GMT</t>
  </si>
  <si>
    <t>Tue, 25 May 2021 00:00:00 GMT</t>
  </si>
  <si>
    <t>Mon, 24 May 2021 00:00:00 GMT</t>
  </si>
  <si>
    <t>Fri, 21 May 2021 00:00:00 GMT</t>
  </si>
  <si>
    <t>Thu, 20 May 2021 00:00:00 GMT</t>
  </si>
  <si>
    <t>Wed, 19 May 2021 00:00:00 GMT</t>
  </si>
  <si>
    <t>Tue, 18 May 2021 00:00:00 GMT</t>
  </si>
  <si>
    <t>Mon, 17 May 2021 00:00:00 GMT</t>
  </si>
  <si>
    <t>Fri, 14 May 2021 00:00:00 GMT</t>
  </si>
  <si>
    <t>Thu, 13 May 2021 00:00:00 GMT</t>
  </si>
  <si>
    <t>Wed, 12 May 2021 00:00:00 GMT</t>
  </si>
  <si>
    <t>Tue, 11 May 2021 00:00:00 GMT</t>
  </si>
  <si>
    <t>Mon, 10 May 2021 00:00:00 GMT</t>
  </si>
  <si>
    <t>Fri, 07 May 2021 00:00:00 GMT</t>
  </si>
  <si>
    <t>Thu, 06 May 2021 00:00:00 GMT</t>
  </si>
  <si>
    <t>Wed, 05 May 2021 00:00:00 GMT</t>
  </si>
  <si>
    <t>Tue, 04 May 2021 00:00:00 GMT</t>
  </si>
  <si>
    <t>Mon, 03 May 2021 00:00:00 GMT</t>
  </si>
  <si>
    <t>Fri, 30 Apr 2021 00:00:00 GMT</t>
  </si>
  <si>
    <t>Thu, 29 Apr 2021 00:00:00 GMT</t>
  </si>
  <si>
    <t>Wed, 28 Apr 2021 00:00:00 GMT</t>
  </si>
  <si>
    <t>Tue, 27 Apr 2021 00:00:00 GMT</t>
  </si>
  <si>
    <t>Mon, 26 Apr 2021 00:00:00 GMT</t>
  </si>
  <si>
    <t>Fri, 23 Apr 2021 00:00:00 GMT</t>
  </si>
  <si>
    <t>Thu, 22 Apr 2021 00:00:00 GMT</t>
  </si>
  <si>
    <t>Wed, 21 Apr 2021 00:00:00 GMT</t>
  </si>
  <si>
    <t>Tue, 20 Apr 2021 00:00:00 GMT</t>
  </si>
  <si>
    <t>Mon, 19 Apr 2021 00:00:00 GMT</t>
  </si>
  <si>
    <t>Fri, 16 Apr 2021 00:00:00 GMT</t>
  </si>
  <si>
    <t>Thu, 15 Apr 2021 00:00:00 GMT</t>
  </si>
  <si>
    <t>Wed, 14 Apr 2021 00:00:00 GMT</t>
  </si>
  <si>
    <t>Tue, 13 Apr 2021 00:00:00 GMT</t>
  </si>
  <si>
    <t>Mon, 12 Apr 2021 00:00:00 GMT</t>
  </si>
  <si>
    <t>Fri, 09 Apr 2021 00:00:00 GMT</t>
  </si>
  <si>
    <t>Thu, 08 Apr 2021 00:00:00 GMT</t>
  </si>
  <si>
    <t>Wed, 07 Apr 2021 00:00:00 GMT</t>
  </si>
  <si>
    <t>Tue, 06 Apr 2021 00:00:00 GMT</t>
  </si>
  <si>
    <t>Mon, 05 Apr 2021 00:00:00 GMT</t>
  </si>
  <si>
    <t>Thu, 01 Apr 2021 00:00:00 GMT</t>
  </si>
  <si>
    <t>Wed, 31 Mar 2021 00:00:00 GMT</t>
  </si>
  <si>
    <t>Tue, 30 Mar 2021 00:00:00 GMT</t>
  </si>
  <si>
    <t>Mon, 29 Mar 2021 00:00:00 GMT</t>
  </si>
  <si>
    <t>Fri, 26 Mar 2021 00:00:00 GMT</t>
  </si>
  <si>
    <t>Thu, 25 Mar 2021 00:00:00 GMT</t>
  </si>
  <si>
    <t>Wed, 24 Mar 2021 00:00:00 GMT</t>
  </si>
  <si>
    <t>Tue, 23 Mar 2021 00:00:00 GMT</t>
  </si>
  <si>
    <t>Mon, 22 Mar 2021 00:00:00 GMT</t>
  </si>
  <si>
    <t>Fri, 19 Mar 2021 00:00:00 GMT</t>
  </si>
  <si>
    <t>Thu, 18 Mar 2021 00:00:00 GMT</t>
  </si>
  <si>
    <t>Wed, 17 Mar 2021 00:00:00 GMT</t>
  </si>
  <si>
    <t>Tue, 16 Mar 2021 00:00:00 GMT</t>
  </si>
  <si>
    <t>Mon, 15 Mar 2021 00:00:00 GMT</t>
  </si>
  <si>
    <t>Fri, 12 Mar 2021 00:00:00 GMT</t>
  </si>
  <si>
    <t>Thu, 11 Mar 2021 00:00:00 GMT</t>
  </si>
  <si>
    <t>Wed, 10 Mar 2021 00:00:00 GMT</t>
  </si>
  <si>
    <t>Tue, 09 Mar 2021 00:00:00 GMT</t>
  </si>
  <si>
    <t>Mon, 08 Mar 2021 00:00:00 GMT</t>
  </si>
  <si>
    <t>Fri, 05 Mar 2021 00:00:00 GMT</t>
  </si>
  <si>
    <t>Thu, 04 Mar 2021 00:00:00 GMT</t>
  </si>
  <si>
    <t>Wed, 03 Mar 2021 00:00:00 GMT</t>
  </si>
  <si>
    <t>Tue, 02 Mar 2021 00:00:00 GMT</t>
  </si>
  <si>
    <t>Mon, 01 Mar 2021 00:00:00 GMT</t>
  </si>
  <si>
    <t>Fri, 26 Feb 2021 00:00:00 GMT</t>
  </si>
  <si>
    <t>Thu, 25 Feb 2021 00:00:00 GMT</t>
  </si>
  <si>
    <t>Wed, 24 Feb 2021 00:00:00 GMT</t>
  </si>
  <si>
    <t>Tue, 23 Feb 2021 00:00:00 GMT</t>
  </si>
  <si>
    <t>Mon, 22 Feb 2021 00:00:00 GMT</t>
  </si>
  <si>
    <t>Fri, 19 Feb 2021 00:00:00 GMT</t>
  </si>
  <si>
    <t>Thu, 18 Feb 2021 00:00:00 GMT</t>
  </si>
  <si>
    <t>Wed, 17 Feb 2021 00:00:00 GMT</t>
  </si>
  <si>
    <t>Tue, 16 Feb 2021 00:00:00 GMT</t>
  </si>
  <si>
    <t>Fri, 12 Feb 2021 00:00:00 GMT</t>
  </si>
  <si>
    <t>Thu, 11 Feb 2021 00:00:00 GMT</t>
  </si>
  <si>
    <t>Wed, 10 Feb 2021 00:00:00 GMT</t>
  </si>
  <si>
    <t>Tue, 09 Feb 2021 00:00:00 GMT</t>
  </si>
  <si>
    <t>Mon, 08 Feb 2021 00:00:00 GMT</t>
  </si>
  <si>
    <t>Fri, 05 Feb 2021 00:00:00 GMT</t>
  </si>
  <si>
    <t>Thu, 04 Feb 2021 00:00:00 GMT</t>
  </si>
  <si>
    <t>Wed, 03 Feb 2021 00:00:00 GMT</t>
  </si>
  <si>
    <t>Tue, 02 Feb 2021 00:00:00 GMT</t>
  </si>
  <si>
    <t>Mon, 01 Feb 2021 00:00:00 GMT</t>
  </si>
  <si>
    <t>Fri, 29 Jan 2021 00:00:00 GMT</t>
  </si>
  <si>
    <t>Thu, 28 Jan 2021 00:00:00 GMT</t>
  </si>
  <si>
    <t>Wed, 27 Jan 2021 00:00:00 GMT</t>
  </si>
  <si>
    <t>Tue, 26 Jan 2021 00:00:00 GMT</t>
  </si>
  <si>
    <t>Mon, 25 Jan 2021 00:00:00 GMT</t>
  </si>
  <si>
    <t>Fri, 22 Jan 2021 00:00:00 GMT</t>
  </si>
  <si>
    <t>Thu, 21 Jan 2021 00:00:00 GMT</t>
  </si>
  <si>
    <t>Wed, 20 Jan 2021 00:00:00 GMT</t>
  </si>
  <si>
    <t>Tue, 19 Jan 2021 00:00:00 GMT</t>
  </si>
  <si>
    <t>Fri, 15 Jan 2021 00:00:00 GMT</t>
  </si>
  <si>
    <t>Thu, 14 Jan 2021 00:00:00 GMT</t>
  </si>
  <si>
    <t>Wed, 13 Jan 2021 00:00:00 GMT</t>
  </si>
  <si>
    <t>Tue, 12 Jan 2021 00:00:00 GMT</t>
  </si>
  <si>
    <t>Mon, 11 Jan 2021 00:00:00 GMT</t>
  </si>
  <si>
    <t>Fri, 08 Jan 2021 00:00:00 GMT</t>
  </si>
  <si>
    <t>Thu, 07 Jan 2021 00:00:00 GMT</t>
  </si>
  <si>
    <t>Wed, 06 Jan 2021 00:00:00 GMT</t>
  </si>
  <si>
    <t>Tue, 05 Jan 2021 00:00:00 GMT</t>
  </si>
  <si>
    <t>Mon, 04 Jan 2021 00:00:00 GMT</t>
  </si>
  <si>
    <t>Thu, 31 Dec 2020 00:00:00 GMT</t>
  </si>
  <si>
    <t>Wed, 30 Dec 2020 00:00:00 GMT</t>
  </si>
  <si>
    <t>Tue, 29 Dec 2020 00:00:00 GMT</t>
  </si>
  <si>
    <t>Mon, 28 Dec 2020 00:00:00 GMT</t>
  </si>
  <si>
    <t>Thu, 24 Dec 2020 00:00:00 GMT</t>
  </si>
  <si>
    <t>Wed, 23 Dec 2020 00:00:00 GMT</t>
  </si>
  <si>
    <t>Tue, 22 Dec 2020 00:00:00 GMT</t>
  </si>
  <si>
    <t>Mon, 21 Dec 2020 00:00:00 GMT</t>
  </si>
  <si>
    <t>Fri, 18 Dec 2020 00:00:00 GMT</t>
  </si>
  <si>
    <t>Thu, 17 Dec 2020 00:00:00 GMT</t>
  </si>
  <si>
    <t>Wed, 16 Dec 2020 00:00:00 GMT</t>
  </si>
  <si>
    <t>Tue, 15 Dec 2020 00:00:00 GMT</t>
  </si>
  <si>
    <t>Mon, 14 Dec 2020 00:00:00 GMT</t>
  </si>
  <si>
    <t>Fri, 11 Dec 2020 00:00:00 GMT</t>
  </si>
  <si>
    <t>Thu, 10 Dec 2020 00:00:00 GMT</t>
  </si>
  <si>
    <t>Wed, 09 Dec 2020 00:00:00 GMT</t>
  </si>
  <si>
    <t>Tue, 08 Dec 2020 00:00:00 GMT</t>
  </si>
  <si>
    <t>Mon, 07 Dec 2020 00:00:00 GMT</t>
  </si>
  <si>
    <t>Fri, 04 Dec 2020 00:00:00 GMT</t>
  </si>
  <si>
    <t>Thu, 03 Dec 2020 00:00:00 GMT</t>
  </si>
  <si>
    <t>Wed, 02 Dec 2020 00:00:00 GMT</t>
  </si>
  <si>
    <t>Tue, 01 Dec 2020 00:00:00 GMT</t>
  </si>
  <si>
    <t>Mon, 30 Nov 2020 00:00:00 GMT</t>
  </si>
  <si>
    <t>Fri, 27 Nov 2020 00:00:00 GMT</t>
  </si>
  <si>
    <t>Wed, 25 Nov 2020 00:00:00 GMT</t>
  </si>
  <si>
    <t>Tue, 24 Nov 2020 00:00:00 GMT</t>
  </si>
  <si>
    <t>Mon, 23 Nov 2020 00:00:00 GMT</t>
  </si>
  <si>
    <t>Fri, 20 Nov 2020 00:00:00 GMT</t>
  </si>
  <si>
    <t>Thu, 19 Nov 2020 00:00:00 GMT</t>
  </si>
  <si>
    <t>Wed, 18 Nov 2020 00:00:00 GMT</t>
  </si>
  <si>
    <t>Tue, 17 Nov 2020 00:00:00 GMT</t>
  </si>
  <si>
    <t>Mon, 16 Nov 2020 00:00:00 GMT</t>
  </si>
  <si>
    <t>Fri, 13 Nov 2020 00:00:00 GMT</t>
  </si>
  <si>
    <t>Thu, 12 Nov 2020 00:00:00 GMT</t>
  </si>
  <si>
    <t>Wed, 11 Nov 2020 00:00:00 GMT</t>
  </si>
  <si>
    <t>Tue, 10 Nov 2020 00:00:00 GMT</t>
  </si>
  <si>
    <t>Mon, 09 Nov 2020 00:00:00 GMT</t>
  </si>
  <si>
    <t>Fri, 06 Nov 2020 00:00:00 GMT</t>
  </si>
  <si>
    <t>Thu, 05 Nov 2020 00:00:00 GMT</t>
  </si>
  <si>
    <t>Wed, 04 Nov 2020 00:00:00 GMT</t>
  </si>
  <si>
    <t>Tue, 03 Nov 2020 00:00:00 GMT</t>
  </si>
  <si>
    <t>Mon, 02 Nov 2020 00:00:00 GMT</t>
  </si>
  <si>
    <t>Fri, 30 Oct 2020 00:00:00 GMT</t>
  </si>
  <si>
    <t>Thu, 29 Oct 2020 00:00:00 GMT</t>
  </si>
  <si>
    <t>Wed, 28 Oct 2020 00:00:00 GMT</t>
  </si>
  <si>
    <t>Tue, 27 Oct 2020 00:00:00 GMT</t>
  </si>
  <si>
    <t>Mon, 26 Oct 2020 00:00:00 GMT</t>
  </si>
  <si>
    <t>Fri, 23 Oct 2020 00:00:00 GMT</t>
  </si>
  <si>
    <t>Thu, 22 Oct 2020 00:00:00 GMT</t>
  </si>
  <si>
    <t>Wed, 21 Oct 2020 00:00:00 GMT</t>
  </si>
  <si>
    <t>Tue, 20 Oct 2020 00:00:00 GMT</t>
  </si>
  <si>
    <t>Mon, 19 Oct 2020 00:00:00 GMT</t>
  </si>
  <si>
    <t>Fri, 16 Oct 2020 00:00:00 GMT</t>
  </si>
  <si>
    <t>Thu, 15 Oct 2020 00:00:00 GMT</t>
  </si>
  <si>
    <t>Wed, 14 Oct 2020 00:00:00 GMT</t>
  </si>
  <si>
    <t>Tue, 13 Oct 2020 00:00:00 GMT</t>
  </si>
  <si>
    <t>Mon, 12 Oct 2020 00:00:00 GMT</t>
  </si>
  <si>
    <t>Fri, 09 Oct 2020 00:00:00 GMT</t>
  </si>
  <si>
    <t>Thu, 08 Oct 2020 00:00:00 GMT</t>
  </si>
  <si>
    <t>Wed, 07 Oct 2020 00:00:00 GMT</t>
  </si>
  <si>
    <t>Tue, 06 Oct 2020 00:00:00 GMT</t>
  </si>
  <si>
    <t>Mon, 05 Oct 2020 00:00:00 GMT</t>
  </si>
  <si>
    <t>Fri, 02 Oct 2020 00:00:00 GMT</t>
  </si>
  <si>
    <t>Thu, 01 Oct 2020 00:00:00 GMT</t>
  </si>
  <si>
    <t>Wed, 30 Sep 2020 00:00:00 GMT</t>
  </si>
  <si>
    <t>Tue, 29 Sep 2020 00:00:00 GMT</t>
  </si>
  <si>
    <t>Mon, 28 Sep 2020 00:00:00 GMT</t>
  </si>
  <si>
    <t>Fri, 25 Sep 2020 00:00:00 GMT</t>
  </si>
  <si>
    <t>Thu, 24 Sep 2020 00:00:00 GMT</t>
  </si>
  <si>
    <t>Wed, 23 Sep 2020 00:00:00 GMT</t>
  </si>
  <si>
    <t>Tue, 22 Sep 2020 00:00:00 GMT</t>
  </si>
  <si>
    <t>Mon, 21 Sep 2020 00:00:00 GMT</t>
  </si>
  <si>
    <t>Fri, 18 Sep 2020 00:00:00 GMT</t>
  </si>
  <si>
    <t>Thu, 17 Sep 2020 00:00:00 GMT</t>
  </si>
  <si>
    <t>Wed, 16 Sep 2020 00:00:00 GMT</t>
  </si>
  <si>
    <t>Tue, 15 Sep 2020 00:00:00 GMT</t>
  </si>
  <si>
    <t>Mon, 14 Sep 2020 00:00:00 GMT</t>
  </si>
  <si>
    <t>Fri, 11 Sep 2020 00:00:00 GMT</t>
  </si>
  <si>
    <t>Thu, 10 Sep 2020 00:00:00 GMT</t>
  </si>
  <si>
    <t>Wed, 09 Sep 2020 00:00:00 GMT</t>
  </si>
  <si>
    <t>Tue, 08 Sep 2020 00:00:00 GMT</t>
  </si>
  <si>
    <t>Fri, 04 Sep 2020 00:00:00 GMT</t>
  </si>
  <si>
    <t>Thu, 03 Sep 2020 00:00:00 GMT</t>
  </si>
  <si>
    <t>Wed, 02 Sep 2020 00:00:00 GMT</t>
  </si>
  <si>
    <t>Tue, 01 Sep 2020 00:00:00 GMT</t>
  </si>
  <si>
    <t>Mon, 31 Aug 2020 00:00:00 GMT</t>
  </si>
  <si>
    <t>Fri, 28 Aug 2020 00:00:00 GMT</t>
  </si>
  <si>
    <t>Thu, 27 Aug 2020 00:00:00 GMT</t>
  </si>
  <si>
    <t>Wed, 26 Aug 2020 00:00:00 GMT</t>
  </si>
  <si>
    <t>Tue, 25 Aug 2020 00:00:00 GMT</t>
  </si>
  <si>
    <t>Mon, 24 Aug 2020 00:00:00 GMT</t>
  </si>
  <si>
    <t>Fri, 21 Aug 2020 00:00:00 GMT</t>
  </si>
  <si>
    <t>Thu, 20 Aug 2020 00:00:00 GMT</t>
  </si>
  <si>
    <t>Wed, 19 Aug 2020 00:00:00 GMT</t>
  </si>
  <si>
    <t>Tue, 18 Aug 2020 00:00:00 GMT</t>
  </si>
  <si>
    <t>Mon, 17 Aug 2020 00:00:00 GMT</t>
  </si>
  <si>
    <t>Fri, 14 Aug 2020 00:00:00 GMT</t>
  </si>
  <si>
    <t>Thu, 13 Aug 2020 00:00:00 GMT</t>
  </si>
  <si>
    <t>Wed, 12 Aug 2020 00:00:00 GMT</t>
  </si>
  <si>
    <t>Tue, 11 Aug 2020 00:00:00 GMT</t>
  </si>
  <si>
    <t>Mon, 10 Aug 2020 00:00:00 GMT</t>
  </si>
  <si>
    <t>Fri, 07 Aug 2020 00:00:00 GMT</t>
  </si>
  <si>
    <t>Thu, 06 Aug 2020 00:00:00 GMT</t>
  </si>
  <si>
    <t>Wed, 05 Aug 2020 00:00:00 GMT</t>
  </si>
  <si>
    <t>Tue, 04 Aug 2020 00:00:00 GMT</t>
  </si>
  <si>
    <t>Mon, 03 Aug 2020 00:00:00 GMT</t>
  </si>
  <si>
    <t>Fri, 31 Jul 2020 00:00:00 GMT</t>
  </si>
  <si>
    <t>Thu, 30 Jul 2020 00:00:00 GMT</t>
  </si>
  <si>
    <t>Wed, 29 Jul 2020 00:00:00 GMT</t>
  </si>
  <si>
    <t>Tue, 28 Jul 2020 00:00:00 GMT</t>
  </si>
  <si>
    <t>Mon, 27 Jul 2020 00:00:00 GMT</t>
  </si>
  <si>
    <t>Fri, 24 Jul 2020 00:00:00 GMT</t>
  </si>
  <si>
    <t>Thu, 23 Jul 2020 00:00:00 GMT</t>
  </si>
  <si>
    <t>Wed, 22 Jul 2020 00:00:00 GMT</t>
  </si>
  <si>
    <t>Tue, 21 Jul 2020 00:00:00 GMT</t>
  </si>
  <si>
    <t>Mon, 20 Jul 2020 00:00:00 GMT</t>
  </si>
  <si>
    <t>Fri, 17 Jul 2020 00:00:00 GMT</t>
  </si>
  <si>
    <t>Thu, 16 Jul 2020 00:00:00 GMT</t>
  </si>
  <si>
    <t>Wed, 15 Jul 2020 00:00:00 GMT</t>
  </si>
  <si>
    <t>Tue, 14 Jul 2020 00:00:00 GMT</t>
  </si>
  <si>
    <t>Mon, 13 Jul 2020 00:00:00 GMT</t>
  </si>
  <si>
    <t>Fri, 10 Jul 2020 00:00:00 GMT</t>
  </si>
  <si>
    <t>Thu, 09 Jul 2020 00:00:00 GMT</t>
  </si>
  <si>
    <t>Wed, 08 Jul 2020 00:00:00 GMT</t>
  </si>
  <si>
    <t>Tue, 07 Jul 2020 00:00:00 GMT</t>
  </si>
  <si>
    <t>Mon, 06 Jul 2020 00:00:00 GMT</t>
  </si>
  <si>
    <t>Thu, 02 Jul 2020 00:00:00 GMT</t>
  </si>
  <si>
    <t>Wed, 01 Jul 2020 00:00:00 GMT</t>
  </si>
  <si>
    <t>Tue, 30 Jun 2020 00:00:00 GMT</t>
  </si>
  <si>
    <t>Mon, 29 Jun 2020 00:00:00 GMT</t>
  </si>
  <si>
    <t>Fri, 26 Jun 2020 00:00:00 GMT</t>
  </si>
  <si>
    <t>Thu, 25 Jun 2020 00:00:00 GMT</t>
  </si>
  <si>
    <t>Wed, 24 Jun 2020 00:00:00 GMT</t>
  </si>
  <si>
    <t>Tue, 23 Jun 2020 00:00:00 GMT</t>
  </si>
  <si>
    <r>
      <t xml:space="preserve">1256 Trading Days? (From: </t>
    </r>
    <r>
      <rPr>
        <i/>
        <sz val="11"/>
        <color theme="1"/>
        <rFont val="Calibre"/>
      </rPr>
      <t>6/23/20 - 6/23/25</t>
    </r>
    <r>
      <rPr>
        <sz val="11"/>
        <color theme="1"/>
        <rFont val="Calibre"/>
      </rPr>
      <t>)</t>
    </r>
  </si>
  <si>
    <t>Founder: Dee Hock (Personal hero)</t>
  </si>
  <si>
    <t>Restricted Cash</t>
  </si>
  <si>
    <t>Settlement Recieveable</t>
  </si>
  <si>
    <t>A/R</t>
  </si>
  <si>
    <t>Customer Collateral</t>
  </si>
  <si>
    <t>Current Portion of Client Incentives</t>
  </si>
  <si>
    <t>Prepaid Expenses</t>
  </si>
  <si>
    <t>LT Investments</t>
  </si>
  <si>
    <t>LT Client Incentives</t>
  </si>
  <si>
    <t>PP&amp;E</t>
  </si>
  <si>
    <t>Goodwill</t>
  </si>
  <si>
    <t>Intangible Assets</t>
  </si>
  <si>
    <t>Other Assets</t>
  </si>
  <si>
    <t>Ttl Assets</t>
  </si>
  <si>
    <t>A/P</t>
  </si>
  <si>
    <t>Settlements Payable</t>
  </si>
  <si>
    <t>Accrued Compensation</t>
  </si>
  <si>
    <t>Accrued Liabilities</t>
  </si>
  <si>
    <t>Current Debt</t>
  </si>
  <si>
    <t>ST Litigation Liabilities</t>
  </si>
  <si>
    <t>LT Debt</t>
  </si>
  <si>
    <t>Deferred Tax Liabilities</t>
  </si>
  <si>
    <t>Other Liabilities</t>
  </si>
  <si>
    <t>Ttl Liabilities</t>
  </si>
  <si>
    <t>Ttl L + SE</t>
  </si>
  <si>
    <t>SE</t>
  </si>
  <si>
    <t>Dec.</t>
  </si>
  <si>
    <t>Mar.</t>
  </si>
  <si>
    <t>Sept.</t>
  </si>
  <si>
    <t>June</t>
  </si>
  <si>
    <t>October - September</t>
  </si>
  <si>
    <t>More</t>
  </si>
  <si>
    <t>Personnel % of Revenues</t>
  </si>
  <si>
    <t>Marketing % of Revenue</t>
  </si>
  <si>
    <t>Network % of Revenue</t>
  </si>
  <si>
    <t>Professional % of Revenue</t>
  </si>
  <si>
    <t>Dep. &amp; Am. % of Revenue</t>
  </si>
  <si>
    <t>G&amp;A as % of Revenue</t>
  </si>
  <si>
    <t>Litigation % of Revenues</t>
  </si>
  <si>
    <t>ROIC</t>
  </si>
  <si>
    <t>Terminal</t>
  </si>
  <si>
    <t>RFR (10-year yield)</t>
  </si>
  <si>
    <t>ERP 
(Avg. market return - (less) RFR)</t>
  </si>
  <si>
    <t>Equity β (1-year avg.)</t>
  </si>
  <si>
    <t>Discount (Cost of Equity)</t>
  </si>
  <si>
    <t>NPV</t>
  </si>
  <si>
    <t>FV</t>
  </si>
  <si>
    <t>CP</t>
  </si>
  <si>
    <t>Change Δ:</t>
  </si>
  <si>
    <t xml:space="preserve">[V] Historical Return Histogram (5/23/25) </t>
  </si>
  <si>
    <t>Visa IR Page</t>
  </si>
  <si>
    <t>July</t>
  </si>
  <si>
    <t>Projected ROIC:</t>
  </si>
  <si>
    <t>Invested Capital</t>
  </si>
  <si>
    <t>AVG Invested Capital</t>
  </si>
  <si>
    <t>2023-2024</t>
  </si>
  <si>
    <t>investorrelations@visa.com</t>
  </si>
  <si>
    <t>(650) 432-7644</t>
  </si>
  <si>
    <t>https://investor.visa.com/</t>
  </si>
  <si>
    <t>Q3'25</t>
  </si>
  <si>
    <t>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</si>
</sst>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0.0"/>
    <numFmt numFmtId="166" formatCode="_(* #,##0_);_(* \(#,##0\);_(* &quot;-&quot;??_);_(@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e"/>
    </font>
    <font>
      <b/>
      <sz val="11"/>
      <color theme="1"/>
      <name val="Calibre"/>
    </font>
    <font>
      <b/>
      <sz val="11"/>
      <color theme="0"/>
      <name val="Calibre"/>
    </font>
    <font>
      <sz val="11"/>
      <color theme="0"/>
      <name val="Calibre"/>
    </font>
    <font>
      <b/>
      <sz val="10"/>
      <name val="Arial"/>
      <family val="2"/>
    </font>
    <font>
      <i/>
      <sz val="11"/>
      <color theme="1"/>
      <name val="Calibre"/>
    </font>
    <font>
      <b/>
      <sz val="10"/>
      <name val="Calibre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e"/>
    </font>
    <font>
      <b/>
      <sz val="11"/>
      <color rgb="FF0070C0"/>
      <name val="Calibre"/>
    </font>
    <font>
      <sz val="11"/>
      <color rgb="FF0070C0"/>
      <name val="Calibre"/>
    </font>
    <font>
      <sz val="11"/>
      <name val="Calibre"/>
    </font>
    <font>
      <u/>
      <sz val="11"/>
      <color theme="10"/>
      <name val="Calibri"/>
      <family val="2"/>
      <scheme val="minor"/>
    </font>
    <font>
      <u/>
      <sz val="11"/>
      <color rgb="FF00B0F0"/>
      <name val="Calibre"/>
    </font>
    <font>
      <sz val="10"/>
      <name val="Arial"/>
      <family val="2"/>
    </font>
    <font>
      <sz val="11"/>
      <color theme="4" tint="-0.249977111117893"/>
      <name val="Calibre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5F5F5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10" fontId="2" fillId="4" borderId="6" xfId="0" applyNumberFormat="1" applyFont="1" applyFill="1" applyBorder="1"/>
    <xf numFmtId="10" fontId="2" fillId="4" borderId="7" xfId="0" applyNumberFormat="1" applyFont="1" applyFill="1" applyBorder="1"/>
    <xf numFmtId="0" fontId="4" fillId="3" borderId="8" xfId="0" applyFont="1" applyFill="1" applyBorder="1" applyAlignment="1">
      <alignment horizontal="left"/>
    </xf>
    <xf numFmtId="0" fontId="5" fillId="3" borderId="0" xfId="0" applyFont="1" applyFill="1" applyAlignment="1">
      <alignment horizontal="center"/>
    </xf>
    <xf numFmtId="0" fontId="5" fillId="3" borderId="9" xfId="0" applyFont="1" applyFill="1" applyBorder="1" applyAlignment="1">
      <alignment horizontal="center"/>
    </xf>
    <xf numFmtId="10" fontId="2" fillId="0" borderId="10" xfId="0" applyNumberFormat="1" applyFont="1" applyBorder="1"/>
    <xf numFmtId="10" fontId="2" fillId="0" borderId="11" xfId="0" applyNumberFormat="1" applyFont="1" applyBorder="1"/>
    <xf numFmtId="10" fontId="2" fillId="4" borderId="10" xfId="0" applyNumberFormat="1" applyFont="1" applyFill="1" applyBorder="1"/>
    <xf numFmtId="10" fontId="2" fillId="4" borderId="11" xfId="0" applyNumberFormat="1" applyFont="1" applyFill="1" applyBorder="1"/>
    <xf numFmtId="0" fontId="4" fillId="3" borderId="12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10" fontId="2" fillId="0" borderId="15" xfId="0" applyNumberFormat="1" applyFont="1" applyBorder="1"/>
    <xf numFmtId="10" fontId="2" fillId="0" borderId="16" xfId="0" applyNumberFormat="1" applyFont="1" applyBorder="1"/>
    <xf numFmtId="0" fontId="6" fillId="5" borderId="0" xfId="0" applyFont="1" applyFill="1" applyAlignment="1">
      <alignment horizontal="center" vertical="center"/>
    </xf>
    <xf numFmtId="10" fontId="2" fillId="0" borderId="0" xfId="0" applyNumberFormat="1" applyFont="1"/>
    <xf numFmtId="0" fontId="8" fillId="5" borderId="0" xfId="0" applyFont="1" applyFill="1" applyAlignment="1">
      <alignment horizontal="center" vertical="center"/>
    </xf>
    <xf numFmtId="10" fontId="8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right" vertical="center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7" xfId="0" applyFont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/>
    <xf numFmtId="0" fontId="14" fillId="0" borderId="0" xfId="0" applyFont="1" applyAlignment="1">
      <alignment horizontal="left"/>
    </xf>
    <xf numFmtId="2" fontId="2" fillId="0" borderId="0" xfId="1" quotePrefix="1" applyNumberFormat="1" applyFont="1"/>
    <xf numFmtId="2" fontId="2" fillId="0" borderId="0" xfId="0" applyNumberFormat="1" applyFont="1"/>
    <xf numFmtId="2" fontId="2" fillId="0" borderId="0" xfId="0" quotePrefix="1" applyNumberFormat="1" applyFont="1"/>
    <xf numFmtId="0" fontId="2" fillId="0" borderId="0" xfId="1" applyNumberFormat="1" applyFont="1"/>
    <xf numFmtId="49" fontId="2" fillId="0" borderId="0" xfId="0" applyNumberFormat="1" applyFont="1"/>
    <xf numFmtId="0" fontId="16" fillId="0" borderId="0" xfId="2" applyFont="1"/>
    <xf numFmtId="14" fontId="2" fillId="0" borderId="0" xfId="0" applyNumberFormat="1" applyFont="1"/>
    <xf numFmtId="1" fontId="2" fillId="0" borderId="0" xfId="0" applyNumberFormat="1" applyFont="1"/>
    <xf numFmtId="1" fontId="3" fillId="0" borderId="0" xfId="0" applyNumberFormat="1" applyFont="1"/>
    <xf numFmtId="164" fontId="2" fillId="0" borderId="0" xfId="1" applyNumberFormat="1" applyFont="1"/>
    <xf numFmtId="164" fontId="3" fillId="0" borderId="0" xfId="1" applyNumberFormat="1" applyFont="1"/>
    <xf numFmtId="0" fontId="17" fillId="0" borderId="0" xfId="0" applyFont="1"/>
    <xf numFmtId="10" fontId="0" fillId="0" borderId="0" xfId="0" applyNumberFormat="1"/>
    <xf numFmtId="0" fontId="0" fillId="0" borderId="18" xfId="0" applyBorder="1"/>
    <xf numFmtId="0" fontId="9" fillId="0" borderId="17" xfId="0" applyFont="1" applyBorder="1" applyAlignment="1">
      <alignment horizontal="center"/>
    </xf>
    <xf numFmtId="1" fontId="12" fillId="0" borderId="0" xfId="0" applyNumberFormat="1" applyFont="1"/>
    <xf numFmtId="1" fontId="13" fillId="0" borderId="0" xfId="0" applyNumberFormat="1" applyFont="1"/>
    <xf numFmtId="164" fontId="13" fillId="0" borderId="0" xfId="1" applyNumberFormat="1" applyFont="1"/>
    <xf numFmtId="164" fontId="12" fillId="0" borderId="0" xfId="1" applyNumberFormat="1" applyFont="1"/>
    <xf numFmtId="0" fontId="13" fillId="0" borderId="0" xfId="0" applyFont="1" applyAlignment="1">
      <alignment horizontal="right"/>
    </xf>
    <xf numFmtId="0" fontId="13" fillId="0" borderId="0" xfId="0" applyFont="1" applyAlignment="1">
      <alignment vertical="top" wrapText="1"/>
    </xf>
    <xf numFmtId="10" fontId="13" fillId="0" borderId="0" xfId="1" applyNumberFormat="1" applyFont="1"/>
    <xf numFmtId="10" fontId="13" fillId="0" borderId="0" xfId="0" applyNumberFormat="1" applyFont="1"/>
    <xf numFmtId="2" fontId="13" fillId="0" borderId="0" xfId="0" applyNumberFormat="1" applyFont="1"/>
    <xf numFmtId="0" fontId="6" fillId="0" borderId="0" xfId="0" applyFont="1"/>
    <xf numFmtId="0" fontId="13" fillId="0" borderId="0" xfId="0" applyFont="1" applyAlignment="1">
      <alignment horizontal="right"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vertical="top"/>
    </xf>
    <xf numFmtId="165" fontId="13" fillId="0" borderId="0" xfId="0" applyNumberFormat="1" applyFont="1" applyAlignment="1">
      <alignment vertical="top"/>
    </xf>
    <xf numFmtId="164" fontId="13" fillId="0" borderId="0" xfId="1" applyNumberFormat="1" applyFont="1" applyAlignment="1">
      <alignment vertical="top"/>
    </xf>
    <xf numFmtId="166" fontId="2" fillId="0" borderId="0" xfId="3" applyNumberFormat="1" applyFont="1" applyAlignment="1">
      <alignment horizontal="right" indent="1"/>
    </xf>
    <xf numFmtId="166" fontId="2" fillId="0" borderId="0" xfId="3" applyNumberFormat="1" applyFont="1" applyAlignment="1">
      <alignment horizontal="left" indent="3"/>
    </xf>
    <xf numFmtId="2" fontId="2" fillId="0" borderId="0" xfId="0" applyNumberFormat="1" applyFont="1" applyAlignment="1">
      <alignment horizontal="right"/>
    </xf>
    <xf numFmtId="0" fontId="18" fillId="0" borderId="0" xfId="0" applyFont="1" applyAlignment="1">
      <alignment horizontal="center"/>
    </xf>
  </cellXfs>
  <cellStyles count="4">
    <cellStyle name="Comma" xfId="3" builtinId="3"/>
    <cellStyle name="Hyperlink" xfId="2" builtinId="8"/>
    <cellStyle name="Normal" xfId="0" builtinId="0"/>
    <cellStyle name="Percent" xfId="1" builtinId="5"/>
  </cellStyles>
  <dxfs count="5">
    <dxf>
      <font>
        <b/>
        <i val="0"/>
        <color theme="0"/>
      </font>
      <fill>
        <patternFill>
          <bgColor rgb="FF5A8C38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6D6D"/>
        </patternFill>
      </fill>
    </dxf>
    <dxf>
      <font>
        <b/>
        <i val="0"/>
        <color theme="0"/>
      </font>
      <fill>
        <patternFill>
          <bgColor rgb="FFF20000"/>
        </patternFill>
      </fill>
    </dxf>
  </dxfs>
  <tableStyles count="0" defaultTableStyle="TableStyleMedium2" defaultPivotStyle="PivotStyleLight16"/>
  <colors>
    <mruColors>
      <color rgb="FFFF4747"/>
      <color rgb="FFFF6565"/>
      <color rgb="FFFF5050"/>
      <color rgb="FFFFCF37"/>
      <color rgb="FF7F9ED7"/>
      <color rgb="FF9C5BCD"/>
      <color rgb="FFDA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(V) Historical Return Histogram + Normal Distribution Overlay</a:t>
            </a:r>
          </a:p>
        </c:rich>
      </c:tx>
      <c:layout>
        <c:manualLayout>
          <c:xMode val="edge"/>
          <c:yMode val="edge"/>
          <c:x val="0.25390277777777776"/>
          <c:y val="2.50156347717323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'Notes | Quant Analysis'!$I$207</c:f>
              <c:strCache>
                <c:ptCount val="1"/>
                <c:pt idx="0">
                  <c:v>Histogram Data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254000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'Notes | Quant Analysis'!$I$209:$I$241</c:f>
              <c:numCache>
                <c:formatCode>0.00%</c:formatCode>
                <c:ptCount val="33"/>
                <c:pt idx="0">
                  <c:v>-0.04</c:v>
                </c:pt>
                <c:pt idx="1">
                  <c:v>-3.7499999999999999E-2</c:v>
                </c:pt>
                <c:pt idx="2">
                  <c:v>-3.5000000000000003E-2</c:v>
                </c:pt>
                <c:pt idx="3">
                  <c:v>-3.2500000000000001E-2</c:v>
                </c:pt>
                <c:pt idx="4">
                  <c:v>-0.03</c:v>
                </c:pt>
                <c:pt idx="5">
                  <c:v>-2.75E-2</c:v>
                </c:pt>
                <c:pt idx="6">
                  <c:v>-2.5000000000000001E-2</c:v>
                </c:pt>
                <c:pt idx="7">
                  <c:v>-2.2499999999999999E-2</c:v>
                </c:pt>
                <c:pt idx="8">
                  <c:v>-0.02</c:v>
                </c:pt>
                <c:pt idx="9">
                  <c:v>-1.7500000000000002E-2</c:v>
                </c:pt>
                <c:pt idx="10">
                  <c:v>-1.4999999999999999E-2</c:v>
                </c:pt>
                <c:pt idx="11">
                  <c:v>-1.2500000000000001E-2</c:v>
                </c:pt>
                <c:pt idx="12">
                  <c:v>-0.01</c:v>
                </c:pt>
                <c:pt idx="13">
                  <c:v>-7.4999999999999997E-3</c:v>
                </c:pt>
                <c:pt idx="14">
                  <c:v>-5.0000000000000001E-3</c:v>
                </c:pt>
                <c:pt idx="15">
                  <c:v>-2.5000000000000001E-3</c:v>
                </c:pt>
                <c:pt idx="16">
                  <c:v>0</c:v>
                </c:pt>
                <c:pt idx="17">
                  <c:v>2.5000000000000001E-3</c:v>
                </c:pt>
                <c:pt idx="18">
                  <c:v>5.0000000000000001E-3</c:v>
                </c:pt>
                <c:pt idx="19">
                  <c:v>7.4999999999999997E-3</c:v>
                </c:pt>
                <c:pt idx="20">
                  <c:v>0.01</c:v>
                </c:pt>
                <c:pt idx="21">
                  <c:v>1.2500000000000001E-2</c:v>
                </c:pt>
                <c:pt idx="22">
                  <c:v>1.4999999999999999E-2</c:v>
                </c:pt>
                <c:pt idx="23">
                  <c:v>1.7500000000000002E-2</c:v>
                </c:pt>
                <c:pt idx="24">
                  <c:v>0.02</c:v>
                </c:pt>
                <c:pt idx="25">
                  <c:v>2.2499999999999999E-2</c:v>
                </c:pt>
                <c:pt idx="26">
                  <c:v>2.5000000000000001E-2</c:v>
                </c:pt>
                <c:pt idx="27">
                  <c:v>2.75E-2</c:v>
                </c:pt>
                <c:pt idx="28">
                  <c:v>0.03</c:v>
                </c:pt>
                <c:pt idx="29">
                  <c:v>3.2500000000000001E-2</c:v>
                </c:pt>
                <c:pt idx="30">
                  <c:v>3.5000000000000003E-2</c:v>
                </c:pt>
                <c:pt idx="31">
                  <c:v>3.7499999999999999E-2</c:v>
                </c:pt>
                <c:pt idx="32">
                  <c:v>0.04</c:v>
                </c:pt>
              </c:numCache>
            </c:numRef>
          </c:xVal>
          <c:yVal>
            <c:numRef>
              <c:f>'Notes | Quant Analysis'!$J$209:$J$241</c:f>
              <c:numCache>
                <c:formatCode>General</c:formatCode>
                <c:ptCount val="33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9</c:v>
                </c:pt>
                <c:pt idx="6">
                  <c:v>11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22</c:v>
                </c:pt>
                <c:pt idx="11">
                  <c:v>43</c:v>
                </c:pt>
                <c:pt idx="12">
                  <c:v>46</c:v>
                </c:pt>
                <c:pt idx="13">
                  <c:v>75</c:v>
                </c:pt>
                <c:pt idx="14">
                  <c:v>90</c:v>
                </c:pt>
                <c:pt idx="15">
                  <c:v>105</c:v>
                </c:pt>
                <c:pt idx="16">
                  <c:v>126</c:v>
                </c:pt>
                <c:pt idx="17">
                  <c:v>121</c:v>
                </c:pt>
                <c:pt idx="18">
                  <c:v>124</c:v>
                </c:pt>
                <c:pt idx="19">
                  <c:v>119</c:v>
                </c:pt>
                <c:pt idx="20">
                  <c:v>90</c:v>
                </c:pt>
                <c:pt idx="21">
                  <c:v>62</c:v>
                </c:pt>
                <c:pt idx="22">
                  <c:v>51</c:v>
                </c:pt>
                <c:pt idx="23">
                  <c:v>40</c:v>
                </c:pt>
                <c:pt idx="24">
                  <c:v>14</c:v>
                </c:pt>
                <c:pt idx="25">
                  <c:v>10</c:v>
                </c:pt>
                <c:pt idx="26">
                  <c:v>12</c:v>
                </c:pt>
                <c:pt idx="27">
                  <c:v>4</c:v>
                </c:pt>
                <c:pt idx="28">
                  <c:v>6</c:v>
                </c:pt>
                <c:pt idx="29">
                  <c:v>1</c:v>
                </c:pt>
                <c:pt idx="30">
                  <c:v>8</c:v>
                </c:pt>
                <c:pt idx="31">
                  <c:v>1</c:v>
                </c:pt>
                <c:pt idx="3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E0-4241-B9E2-C6C1132A9B06}"/>
            </c:ext>
          </c:extLst>
        </c:ser>
        <c:ser>
          <c:idx val="1"/>
          <c:order val="1"/>
          <c:tx>
            <c:strRef>
              <c:f>'Notes | Quant Analysis'!$L$207</c:f>
              <c:strCache>
                <c:ptCount val="1"/>
                <c:pt idx="0">
                  <c:v>Distribution Overlay</c:v>
                </c:pt>
              </c:strCache>
            </c:strRef>
          </c:tx>
          <c:spPr>
            <a:ln w="254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114300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'Notes | Quant Analysis'!$L$209:$L$243</c:f>
              <c:numCache>
                <c:formatCode>0.00%</c:formatCode>
                <c:ptCount val="35"/>
                <c:pt idx="0">
                  <c:v>-4.2500000000000003E-2</c:v>
                </c:pt>
                <c:pt idx="1">
                  <c:v>-0.04</c:v>
                </c:pt>
                <c:pt idx="2">
                  <c:v>-3.7499999999999999E-2</c:v>
                </c:pt>
                <c:pt idx="3">
                  <c:v>-3.5000000000000003E-2</c:v>
                </c:pt>
                <c:pt idx="4">
                  <c:v>-3.2500000000000001E-2</c:v>
                </c:pt>
                <c:pt idx="5">
                  <c:v>-0.03</c:v>
                </c:pt>
                <c:pt idx="6">
                  <c:v>-2.75E-2</c:v>
                </c:pt>
                <c:pt idx="7">
                  <c:v>-2.5000000000000001E-2</c:v>
                </c:pt>
                <c:pt idx="8">
                  <c:v>-2.2499999999999999E-2</c:v>
                </c:pt>
                <c:pt idx="9">
                  <c:v>-0.02</c:v>
                </c:pt>
                <c:pt idx="10">
                  <c:v>-1.7500000000000002E-2</c:v>
                </c:pt>
                <c:pt idx="11">
                  <c:v>-1.4999999999999999E-2</c:v>
                </c:pt>
                <c:pt idx="12">
                  <c:v>-1.2500000000000001E-2</c:v>
                </c:pt>
                <c:pt idx="13">
                  <c:v>-0.01</c:v>
                </c:pt>
                <c:pt idx="14">
                  <c:v>-7.4999999999999997E-3</c:v>
                </c:pt>
                <c:pt idx="15">
                  <c:v>-5.0000000000000001E-3</c:v>
                </c:pt>
                <c:pt idx="16">
                  <c:v>-2.5000000000000001E-3</c:v>
                </c:pt>
                <c:pt idx="17">
                  <c:v>0</c:v>
                </c:pt>
                <c:pt idx="18">
                  <c:v>2.5000000000000001E-3</c:v>
                </c:pt>
                <c:pt idx="19">
                  <c:v>5.0000000000000001E-3</c:v>
                </c:pt>
                <c:pt idx="20">
                  <c:v>7.4999999999999997E-3</c:v>
                </c:pt>
                <c:pt idx="21">
                  <c:v>0.01</c:v>
                </c:pt>
                <c:pt idx="22">
                  <c:v>1.2500000000000001E-2</c:v>
                </c:pt>
                <c:pt idx="23">
                  <c:v>1.4999999999999999E-2</c:v>
                </c:pt>
                <c:pt idx="24">
                  <c:v>1.7500000000000002E-2</c:v>
                </c:pt>
                <c:pt idx="25">
                  <c:v>0.02</c:v>
                </c:pt>
                <c:pt idx="26">
                  <c:v>2.2499999999999999E-2</c:v>
                </c:pt>
                <c:pt idx="27">
                  <c:v>2.5000000000000001E-2</c:v>
                </c:pt>
                <c:pt idx="28">
                  <c:v>2.75E-2</c:v>
                </c:pt>
                <c:pt idx="29">
                  <c:v>0.03</c:v>
                </c:pt>
                <c:pt idx="30">
                  <c:v>3.2500000000000001E-2</c:v>
                </c:pt>
                <c:pt idx="31">
                  <c:v>3.5000000000000003E-2</c:v>
                </c:pt>
                <c:pt idx="32">
                  <c:v>3.7499999999999999E-2</c:v>
                </c:pt>
                <c:pt idx="33">
                  <c:v>0.04</c:v>
                </c:pt>
                <c:pt idx="34">
                  <c:v>4.2500000000000003E-2</c:v>
                </c:pt>
              </c:numCache>
            </c:numRef>
          </c:xVal>
          <c:yVal>
            <c:numRef>
              <c:f>'Notes | Quant Analysis'!$M$209:$M$243</c:f>
              <c:numCache>
                <c:formatCode>General</c:formatCode>
                <c:ptCount val="35"/>
                <c:pt idx="0">
                  <c:v>6.9964307778737023E-2</c:v>
                </c:pt>
                <c:pt idx="1">
                  <c:v>0.14027116510092255</c:v>
                </c:pt>
                <c:pt idx="2">
                  <c:v>0.26972353231337459</c:v>
                </c:pt>
                <c:pt idx="3">
                  <c:v>0.49742527020168037</c:v>
                </c:pt>
                <c:pt idx="4">
                  <c:v>0.87982322517800482</c:v>
                </c:pt>
                <c:pt idx="5">
                  <c:v>1.4925248520927807</c:v>
                </c:pt>
                <c:pt idx="6">
                  <c:v>2.4283220989275822</c:v>
                </c:pt>
                <c:pt idx="7">
                  <c:v>3.7892179387513614</c:v>
                </c:pt>
                <c:pt idx="8">
                  <c:v>5.6708929452610652</c:v>
                </c:pt>
                <c:pt idx="9">
                  <c:v>8.1397653339995735</c:v>
                </c:pt>
                <c:pt idx="10">
                  <c:v>11.205491021250451</c:v>
                </c:pt>
                <c:pt idx="11">
                  <c:v>14.794778618251756</c:v>
                </c:pt>
                <c:pt idx="12">
                  <c:v>18.734608484649627</c:v>
                </c:pt>
                <c:pt idx="13">
                  <c:v>22.753035475887955</c:v>
                </c:pt>
                <c:pt idx="14">
                  <c:v>26.502853621123453</c:v>
                </c:pt>
                <c:pt idx="15">
                  <c:v>29.607688537770137</c:v>
                </c:pt>
                <c:pt idx="16">
                  <c:v>31.723050364261919</c:v>
                </c:pt>
                <c:pt idx="17">
                  <c:v>32.59897535114667</c:v>
                </c:pt>
                <c:pt idx="18">
                  <c:v>32.128579909463184</c:v>
                </c:pt>
                <c:pt idx="19">
                  <c:v>30.369502824392285</c:v>
                </c:pt>
                <c:pt idx="20">
                  <c:v>27.532294475243976</c:v>
                </c:pt>
                <c:pt idx="21">
                  <c:v>23.938983277708964</c:v>
                </c:pt>
                <c:pt idx="22">
                  <c:v>19.963080976514274</c:v>
                </c:pt>
                <c:pt idx="23">
                  <c:v>15.966436830326174</c:v>
                </c:pt>
                <c:pt idx="24">
                  <c:v>12.247487853086181</c:v>
                </c:pt>
                <c:pt idx="25">
                  <c:v>9.0104109596731572</c:v>
                </c:pt>
                <c:pt idx="26">
                  <c:v>6.357710567711429</c:v>
                </c:pt>
                <c:pt idx="27">
                  <c:v>4.3024464949883692</c:v>
                </c:pt>
                <c:pt idx="28">
                  <c:v>2.7924716648400252</c:v>
                </c:pt>
                <c:pt idx="29">
                  <c:v>1.7382836429712119</c:v>
                </c:pt>
                <c:pt idx="30">
                  <c:v>1.0377938283630355</c:v>
                </c:pt>
                <c:pt idx="31">
                  <c:v>0.59423755539808221</c:v>
                </c:pt>
                <c:pt idx="32">
                  <c:v>0.32633802349710139</c:v>
                </c:pt>
                <c:pt idx="33">
                  <c:v>0.1718833596663486</c:v>
                </c:pt>
                <c:pt idx="34">
                  <c:v>8.6827752689608226E-2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3E0-4241-B9E2-C6C1132A9B06}"/>
            </c:ext>
          </c:extLst>
        </c:ser>
        <c:ser>
          <c:idx val="2"/>
          <c:order val="2"/>
          <c:tx>
            <c:strRef>
              <c:f>'Notes | Quant Analysis'!$O$209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5.737128171478565E-2"/>
                  <c:y val="-7.3743136704534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831780402449694"/>
                      <c:h val="0.143784550383359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A3E0-4241-B9E2-C6C1132A9B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Analysis'!$P$209:$P$210</c:f>
              <c:numCache>
                <c:formatCode>0.00%</c:formatCode>
                <c:ptCount val="2"/>
                <c:pt idx="0">
                  <c:v>3.8010990926577764E-4</c:v>
                </c:pt>
                <c:pt idx="1">
                  <c:v>3.8010990926577764E-4</c:v>
                </c:pt>
              </c:numCache>
            </c:numRef>
          </c:xVal>
          <c:yVal>
            <c:numRef>
              <c:f>'Notes | Quant Analysis'!$Q$209:$Q$210</c:f>
              <c:numCache>
                <c:formatCode>General</c:formatCode>
                <c:ptCount val="2"/>
                <c:pt idx="0">
                  <c:v>0</c:v>
                </c:pt>
                <c:pt idx="1">
                  <c:v>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3E0-4241-B9E2-C6C1132A9B06}"/>
            </c:ext>
          </c:extLst>
        </c:ser>
        <c:ser>
          <c:idx val="3"/>
          <c:order val="3"/>
          <c:tx>
            <c:strRef>
              <c:f>'Notes | Quant Analysis'!$O$211</c:f>
              <c:strCache>
                <c:ptCount val="1"/>
                <c:pt idx="0">
                  <c:v>-3σ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3E0-4241-B9E2-C6C1132A9B06}"/>
                </c:ext>
              </c:extLst>
            </c:dLbl>
            <c:dLbl>
              <c:idx val="1"/>
              <c:layout>
                <c:manualLayout>
                  <c:x val="-6.5548009623797032E-2"/>
                  <c:y val="-5.91334150773367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385542432195976"/>
                      <c:h val="6.726546611317112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3-A3E0-4241-B9E2-C6C1132A9B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Analysis'!$P$211:$P$212</c:f>
              <c:numCache>
                <c:formatCode>0.00%</c:formatCode>
                <c:ptCount val="2"/>
                <c:pt idx="0">
                  <c:v>-3.631580160884882E-2</c:v>
                </c:pt>
                <c:pt idx="1">
                  <c:v>-3.631580160884882E-2</c:v>
                </c:pt>
              </c:numCache>
            </c:numRef>
          </c:xVal>
          <c:yVal>
            <c:numRef>
              <c:f>'Notes | Quant Analysis'!$Q$211:$Q$212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3E0-4241-B9E2-C6C1132A9B06}"/>
            </c:ext>
          </c:extLst>
        </c:ser>
        <c:ser>
          <c:idx val="4"/>
          <c:order val="4"/>
          <c:tx>
            <c:strRef>
              <c:f>'Notes | Quant Analysis'!$O$213</c:f>
              <c:strCache>
                <c:ptCount val="1"/>
                <c:pt idx="0">
                  <c:v>-2σ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3E0-4241-B9E2-C6C1132A9B06}"/>
                </c:ext>
              </c:extLst>
            </c:dLbl>
            <c:dLbl>
              <c:idx val="1"/>
              <c:layout>
                <c:manualLayout>
                  <c:x val="-6.1419181977252872E-2"/>
                  <c:y val="-4.5038582184731599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3E0-4241-B9E2-C6C1132A9B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Analysis'!$P$213:$P$214</c:f>
              <c:numCache>
                <c:formatCode>0.00%</c:formatCode>
                <c:ptCount val="2"/>
                <c:pt idx="0">
                  <c:v>-2.4083831102810621E-2</c:v>
                </c:pt>
                <c:pt idx="1">
                  <c:v>-2.4083831102810621E-2</c:v>
                </c:pt>
              </c:numCache>
            </c:numRef>
          </c:xVal>
          <c:yVal>
            <c:numRef>
              <c:f>'Notes | Quant Analysis'!$Q$213:$Q$214</c:f>
              <c:numCache>
                <c:formatCode>General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3E0-4241-B9E2-C6C1132A9B06}"/>
            </c:ext>
          </c:extLst>
        </c:ser>
        <c:ser>
          <c:idx val="5"/>
          <c:order val="5"/>
          <c:tx>
            <c:strRef>
              <c:f>'Notes | Quant Analysis'!$O$215</c:f>
              <c:strCache>
                <c:ptCount val="1"/>
                <c:pt idx="0">
                  <c:v>-1σ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rgbClr val="FFC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A3E0-4241-B9E2-C6C1132A9B06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3E0-4241-B9E2-C6C1132A9B06}"/>
                </c:ext>
              </c:extLst>
            </c:dLbl>
            <c:dLbl>
              <c:idx val="1"/>
              <c:layout>
                <c:manualLayout>
                  <c:x val="-6.3778051181102413E-2"/>
                  <c:y val="-2.838900296937554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5803477690288699E-2"/>
                      <c:h val="7.82890881604152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A3E0-4241-B9E2-C6C1132A9B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Analysis'!$P$215:$P$216</c:f>
              <c:numCache>
                <c:formatCode>0.00%</c:formatCode>
                <c:ptCount val="2"/>
                <c:pt idx="0">
                  <c:v>-1.1851860596772422E-2</c:v>
                </c:pt>
                <c:pt idx="1">
                  <c:v>-1.1851860596772422E-2</c:v>
                </c:pt>
              </c:numCache>
            </c:numRef>
          </c:xVal>
          <c:yVal>
            <c:numRef>
              <c:f>'Notes | Quant Analysis'!$Q$215:$Q$216</c:f>
              <c:numCache>
                <c:formatCode>General</c:formatCode>
                <c:ptCount val="2"/>
                <c:pt idx="0">
                  <c:v>0</c:v>
                </c:pt>
                <c:pt idx="1">
                  <c:v>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3E0-4241-B9E2-C6C1132A9B06}"/>
            </c:ext>
          </c:extLst>
        </c:ser>
        <c:ser>
          <c:idx val="6"/>
          <c:order val="6"/>
          <c:tx>
            <c:strRef>
              <c:f>'Notes | Quant Analysis'!$O$217</c:f>
              <c:strCache>
                <c:ptCount val="1"/>
                <c:pt idx="0">
                  <c:v>1σ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3E0-4241-B9E2-C6C1132A9B06}"/>
                </c:ext>
              </c:extLst>
            </c:dLbl>
            <c:dLbl>
              <c:idx val="1"/>
              <c:layout>
                <c:manualLayout>
                  <c:x val="-4.441201881014873E-2"/>
                  <c:y val="-3.524171110881317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9604834875401149E-2"/>
                      <c:h val="0.1140668276498150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A3E0-4241-B9E2-C6C1132A9B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Analysis'!$P$217:$P$218</c:f>
              <c:numCache>
                <c:formatCode>0.00%</c:formatCode>
                <c:ptCount val="2"/>
                <c:pt idx="0">
                  <c:v>1.2612080415303976E-2</c:v>
                </c:pt>
                <c:pt idx="1">
                  <c:v>1.2612080415303976E-2</c:v>
                </c:pt>
              </c:numCache>
            </c:numRef>
          </c:xVal>
          <c:yVal>
            <c:numRef>
              <c:f>'Notes | Quant Analysis'!$Q$217:$Q$218</c:f>
              <c:numCache>
                <c:formatCode>General</c:formatCode>
                <c:ptCount val="2"/>
                <c:pt idx="0">
                  <c:v>0</c:v>
                </c:pt>
                <c:pt idx="1">
                  <c:v>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3E0-4241-B9E2-C6C1132A9B06}"/>
            </c:ext>
          </c:extLst>
        </c:ser>
        <c:ser>
          <c:idx val="7"/>
          <c:order val="7"/>
          <c:tx>
            <c:strRef>
              <c:f>'Notes | Quant Analysis'!$O$219</c:f>
              <c:strCache>
                <c:ptCount val="1"/>
                <c:pt idx="0">
                  <c:v>2σ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3E0-4241-B9E2-C6C1132A9B06}"/>
                </c:ext>
              </c:extLst>
            </c:dLbl>
            <c:dLbl>
              <c:idx val="1"/>
              <c:layout>
                <c:manualLayout>
                  <c:x val="-4.2520559930008854E-2"/>
                  <c:y val="-4.1768625075711781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3E0-4241-B9E2-C6C1132A9B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Analysis'!$P$219:$P$220</c:f>
              <c:numCache>
                <c:formatCode>0.00%</c:formatCode>
                <c:ptCount val="2"/>
                <c:pt idx="0">
                  <c:v>2.4844050921342176E-2</c:v>
                </c:pt>
                <c:pt idx="1">
                  <c:v>2.4844050921342176E-2</c:v>
                </c:pt>
              </c:numCache>
            </c:numRef>
          </c:xVal>
          <c:yVal>
            <c:numRef>
              <c:f>'Notes | Quant Analysis'!$Q$219:$Q$220</c:f>
              <c:numCache>
                <c:formatCode>General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3E0-4241-B9E2-C6C1132A9B06}"/>
            </c:ext>
          </c:extLst>
        </c:ser>
        <c:ser>
          <c:idx val="8"/>
          <c:order val="8"/>
          <c:tx>
            <c:strRef>
              <c:f>'Notes | Quant Analysis'!$O$221</c:f>
              <c:strCache>
                <c:ptCount val="1"/>
                <c:pt idx="0">
                  <c:v>3σ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3E0-4241-B9E2-C6C1132A9B06}"/>
                </c:ext>
              </c:extLst>
            </c:dLbl>
            <c:dLbl>
              <c:idx val="1"/>
              <c:layout>
                <c:manualLayout>
                  <c:x val="-3.9948116061716263E-2"/>
                  <c:y val="-6.7443670744693249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A3E0-4241-B9E2-C6C1132A9B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Analysis'!$P$221:$P$222</c:f>
              <c:numCache>
                <c:formatCode>0.00%</c:formatCode>
                <c:ptCount val="2"/>
                <c:pt idx="0">
                  <c:v>3.7076021427380375E-2</c:v>
                </c:pt>
                <c:pt idx="1">
                  <c:v>3.7076021427380375E-2</c:v>
                </c:pt>
              </c:numCache>
            </c:numRef>
          </c:xVal>
          <c:yVal>
            <c:numRef>
              <c:f>'Notes | Quant Analysis'!$Q$221:$Q$222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3E0-4241-B9E2-C6C1132A9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3242783"/>
        <c:axId val="1953240383"/>
      </c:scatterChart>
      <c:valAx>
        <c:axId val="1953242783"/>
        <c:scaling>
          <c:orientation val="minMax"/>
          <c:max val="5.000000000000001E-2"/>
          <c:min val="-5.000000000000001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240383"/>
        <c:crosses val="autoZero"/>
        <c:crossBetween val="midCat"/>
        <c:majorUnit val="5.000000000000001E-3"/>
      </c:valAx>
      <c:valAx>
        <c:axId val="195324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242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(V) Revenue by Segment (in $ millions)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109587501048507E-2"/>
          <c:y val="0.16630261573867286"/>
          <c:w val="0.91646860416323306"/>
          <c:h val="0.74917903495450422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Model!$B$4</c:f>
              <c:strCache>
                <c:ptCount val="1"/>
                <c:pt idx="0">
                  <c:v>Service Revenues</c:v>
                </c:pt>
              </c:strCache>
            </c:strRef>
          </c:tx>
          <c:spPr>
            <a:solidFill>
              <a:srgbClr val="70AD47">
                <a:lumMod val="60000"/>
                <a:lumOff val="40000"/>
              </a:srgbClr>
            </a:solidFill>
            <a:ln>
              <a:noFill/>
            </a:ln>
            <a:effectLst/>
          </c:spPr>
          <c:invertIfNegative val="0"/>
          <c:cat>
            <c:strRef>
              <c:f>Model!$AW$1:$BT$1</c:f>
              <c:strCache>
                <c:ptCount val="21"/>
                <c:pt idx="0">
                  <c:v>Q1 2019</c:v>
                </c:pt>
                <c:pt idx="4">
                  <c:v>Q1 2020</c:v>
                </c:pt>
                <c:pt idx="8">
                  <c:v>Q1 2021</c:v>
                </c:pt>
                <c:pt idx="12">
                  <c:v>Q1 2022</c:v>
                </c:pt>
                <c:pt idx="16">
                  <c:v>Q1 2023</c:v>
                </c:pt>
                <c:pt idx="20">
                  <c:v>Q1 2024</c:v>
                </c:pt>
              </c:strCache>
            </c:strRef>
          </c:cat>
          <c:val>
            <c:numRef>
              <c:f>Model!$AW$4:$BT$4</c:f>
              <c:numCache>
                <c:formatCode>General</c:formatCode>
                <c:ptCount val="24"/>
                <c:pt idx="0">
                  <c:v>2555</c:v>
                </c:pt>
                <c:pt idx="1">
                  <c:v>2623</c:v>
                </c:pt>
                <c:pt idx="2">
                  <c:v>2409</c:v>
                </c:pt>
                <c:pt idx="3">
                  <c:v>2217</c:v>
                </c:pt>
                <c:pt idx="4">
                  <c:v>2677</c:v>
                </c:pt>
                <c:pt idx="5">
                  <c:v>2845</c:v>
                </c:pt>
                <c:pt idx="6">
                  <c:v>2828</c:v>
                </c:pt>
                <c:pt idx="7">
                  <c:v>3125</c:v>
                </c:pt>
                <c:pt idx="8">
                  <c:v>3193</c:v>
                </c:pt>
                <c:pt idx="9">
                  <c:v>3521</c:v>
                </c:pt>
                <c:pt idx="10">
                  <c:v>3189</c:v>
                </c:pt>
                <c:pt idx="11">
                  <c:v>3458</c:v>
                </c:pt>
                <c:pt idx="12">
                  <c:v>3511</c:v>
                </c:pt>
                <c:pt idx="13">
                  <c:v>3771</c:v>
                </c:pt>
                <c:pt idx="14">
                  <c:v>3668</c:v>
                </c:pt>
                <c:pt idx="15">
                  <c:v>3876</c:v>
                </c:pt>
                <c:pt idx="16">
                  <c:v>3915</c:v>
                </c:pt>
                <c:pt idx="17">
                  <c:v>4033</c:v>
                </c:pt>
                <c:pt idx="18">
                  <c:v>3967</c:v>
                </c:pt>
                <c:pt idx="19">
                  <c:v>4199</c:v>
                </c:pt>
                <c:pt idx="20">
                  <c:v>4208</c:v>
                </c:pt>
                <c:pt idx="21" formatCode="0">
                  <c:v>4399</c:v>
                </c:pt>
                <c:pt idx="22" formatCode="0">
                  <c:v>4330</c:v>
                </c:pt>
                <c:pt idx="23">
                  <c:v>4602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0A-450C-B4E9-DECD1D58ABA5}"/>
            </c:ext>
          </c:extLst>
        </c:ser>
        <c:ser>
          <c:idx val="3"/>
          <c:order val="1"/>
          <c:tx>
            <c:strRef>
              <c:f>Model!$B$5</c:f>
              <c:strCache>
                <c:ptCount val="1"/>
                <c:pt idx="0">
                  <c:v>Data Processing Revenues</c:v>
                </c:pt>
              </c:strCache>
            </c:strRef>
          </c:tx>
          <c:spPr>
            <a:solidFill>
              <a:srgbClr val="7F9ED7"/>
            </a:solidFill>
            <a:ln>
              <a:noFill/>
            </a:ln>
            <a:effectLst/>
          </c:spPr>
          <c:invertIfNegative val="0"/>
          <c:cat>
            <c:strRef>
              <c:f>Model!$AW$1:$BT$1</c:f>
              <c:strCache>
                <c:ptCount val="21"/>
                <c:pt idx="0">
                  <c:v>Q1 2019</c:v>
                </c:pt>
                <c:pt idx="4">
                  <c:v>Q1 2020</c:v>
                </c:pt>
                <c:pt idx="8">
                  <c:v>Q1 2021</c:v>
                </c:pt>
                <c:pt idx="12">
                  <c:v>Q1 2022</c:v>
                </c:pt>
                <c:pt idx="16">
                  <c:v>Q1 2023</c:v>
                </c:pt>
                <c:pt idx="20">
                  <c:v>Q1 2024</c:v>
                </c:pt>
              </c:strCache>
            </c:strRef>
          </c:cat>
          <c:val>
            <c:numRef>
              <c:f>Model!$AW$5:$BT$5</c:f>
              <c:numCache>
                <c:formatCode>General</c:formatCode>
                <c:ptCount val="24"/>
                <c:pt idx="0">
                  <c:v>2864</c:v>
                </c:pt>
                <c:pt idx="1">
                  <c:v>2711</c:v>
                </c:pt>
                <c:pt idx="2">
                  <c:v>2525</c:v>
                </c:pt>
                <c:pt idx="3">
                  <c:v>2875</c:v>
                </c:pt>
                <c:pt idx="4">
                  <c:v>3033</c:v>
                </c:pt>
                <c:pt idx="5">
                  <c:v>2996</c:v>
                </c:pt>
                <c:pt idx="6">
                  <c:v>3327</c:v>
                </c:pt>
                <c:pt idx="7">
                  <c:v>3436</c:v>
                </c:pt>
                <c:pt idx="8">
                  <c:v>3614</c:v>
                </c:pt>
                <c:pt idx="9">
                  <c:v>3480</c:v>
                </c:pt>
                <c:pt idx="10">
                  <c:v>3579</c:v>
                </c:pt>
                <c:pt idx="11">
                  <c:v>3765</c:v>
                </c:pt>
                <c:pt idx="12">
                  <c:v>3827</c:v>
                </c:pt>
                <c:pt idx="13">
                  <c:v>3819</c:v>
                </c:pt>
                <c:pt idx="14">
                  <c:v>4105</c:v>
                </c:pt>
                <c:pt idx="15">
                  <c:v>4256</c:v>
                </c:pt>
                <c:pt idx="16">
                  <c:v>4356</c:v>
                </c:pt>
                <c:pt idx="17">
                  <c:v>4259</c:v>
                </c:pt>
                <c:pt idx="18">
                  <c:v>4489</c:v>
                </c:pt>
                <c:pt idx="19">
                  <c:v>4610</c:v>
                </c:pt>
                <c:pt idx="20">
                  <c:v>4745</c:v>
                </c:pt>
                <c:pt idx="21" formatCode="0">
                  <c:v>4701</c:v>
                </c:pt>
                <c:pt idx="22" formatCode="0">
                  <c:v>5153</c:v>
                </c:pt>
                <c:pt idx="23">
                  <c:v>5394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0A-450C-B4E9-DECD1D58ABA5}"/>
            </c:ext>
          </c:extLst>
        </c:ser>
        <c:ser>
          <c:idx val="4"/>
          <c:order val="2"/>
          <c:tx>
            <c:strRef>
              <c:f>Model!$B$6</c:f>
              <c:strCache>
                <c:ptCount val="1"/>
                <c:pt idx="0">
                  <c:v>International Transaction Revenues</c:v>
                </c:pt>
              </c:strCache>
            </c:strRef>
          </c:tx>
          <c:spPr>
            <a:solidFill>
              <a:srgbClr val="FFCF37"/>
            </a:solidFill>
            <a:ln>
              <a:noFill/>
            </a:ln>
            <a:effectLst/>
          </c:spPr>
          <c:invertIfNegative val="0"/>
          <c:cat>
            <c:strRef>
              <c:f>Model!$AW$1:$BT$1</c:f>
              <c:strCache>
                <c:ptCount val="21"/>
                <c:pt idx="0">
                  <c:v>Q1 2019</c:v>
                </c:pt>
                <c:pt idx="4">
                  <c:v>Q1 2020</c:v>
                </c:pt>
                <c:pt idx="8">
                  <c:v>Q1 2021</c:v>
                </c:pt>
                <c:pt idx="12">
                  <c:v>Q1 2022</c:v>
                </c:pt>
                <c:pt idx="16">
                  <c:v>Q1 2023</c:v>
                </c:pt>
                <c:pt idx="20">
                  <c:v>Q1 2024</c:v>
                </c:pt>
              </c:strCache>
            </c:strRef>
          </c:cat>
          <c:val>
            <c:numRef>
              <c:f>Model!$AW$6:$BT$6</c:f>
              <c:numCache>
                <c:formatCode>General</c:formatCode>
                <c:ptCount val="24"/>
                <c:pt idx="0">
                  <c:v>2018</c:v>
                </c:pt>
                <c:pt idx="1">
                  <c:v>1833</c:v>
                </c:pt>
                <c:pt idx="2">
                  <c:v>1102</c:v>
                </c:pt>
                <c:pt idx="3">
                  <c:v>1346</c:v>
                </c:pt>
                <c:pt idx="4">
                  <c:v>1451</c:v>
                </c:pt>
                <c:pt idx="5">
                  <c:v>1488</c:v>
                </c:pt>
                <c:pt idx="6">
                  <c:v>1696</c:v>
                </c:pt>
                <c:pt idx="7">
                  <c:v>1895</c:v>
                </c:pt>
                <c:pt idx="8">
                  <c:v>2174</c:v>
                </c:pt>
                <c:pt idx="9">
                  <c:v>2208</c:v>
                </c:pt>
                <c:pt idx="10">
                  <c:v>2560</c:v>
                </c:pt>
                <c:pt idx="11">
                  <c:v>2873</c:v>
                </c:pt>
                <c:pt idx="12">
                  <c:v>2797</c:v>
                </c:pt>
                <c:pt idx="13">
                  <c:v>2749</c:v>
                </c:pt>
                <c:pt idx="14">
                  <c:v>2920</c:v>
                </c:pt>
                <c:pt idx="15">
                  <c:v>3172</c:v>
                </c:pt>
                <c:pt idx="16">
                  <c:v>3019</c:v>
                </c:pt>
                <c:pt idx="17">
                  <c:v>2984</c:v>
                </c:pt>
                <c:pt idx="18">
                  <c:v>3194</c:v>
                </c:pt>
                <c:pt idx="19">
                  <c:v>3468</c:v>
                </c:pt>
                <c:pt idx="20">
                  <c:v>3442</c:v>
                </c:pt>
                <c:pt idx="21" formatCode="0">
                  <c:v>3291</c:v>
                </c:pt>
                <c:pt idx="22" formatCode="0">
                  <c:v>3633</c:v>
                </c:pt>
                <c:pt idx="23">
                  <c:v>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0A-450C-B4E9-DECD1D58ABA5}"/>
            </c:ext>
          </c:extLst>
        </c:ser>
        <c:ser>
          <c:idx val="7"/>
          <c:order val="3"/>
          <c:tx>
            <c:strRef>
              <c:f>Model!$B$7</c:f>
              <c:strCache>
                <c:ptCount val="1"/>
                <c:pt idx="0">
                  <c:v>Other Revenues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Model!$AW$1:$BT$1</c:f>
              <c:strCache>
                <c:ptCount val="21"/>
                <c:pt idx="0">
                  <c:v>Q1 2019</c:v>
                </c:pt>
                <c:pt idx="4">
                  <c:v>Q1 2020</c:v>
                </c:pt>
                <c:pt idx="8">
                  <c:v>Q1 2021</c:v>
                </c:pt>
                <c:pt idx="12">
                  <c:v>Q1 2022</c:v>
                </c:pt>
                <c:pt idx="16">
                  <c:v>Q1 2023</c:v>
                </c:pt>
                <c:pt idx="20">
                  <c:v>Q1 2024</c:v>
                </c:pt>
              </c:strCache>
            </c:strRef>
          </c:cat>
          <c:val>
            <c:numRef>
              <c:f>Model!$AW$7:$BT$7</c:f>
              <c:numCache>
                <c:formatCode>General</c:formatCode>
                <c:ptCount val="24"/>
                <c:pt idx="0">
                  <c:v>365</c:v>
                </c:pt>
                <c:pt idx="1">
                  <c:v>392</c:v>
                </c:pt>
                <c:pt idx="2">
                  <c:v>314</c:v>
                </c:pt>
                <c:pt idx="3">
                  <c:v>361</c:v>
                </c:pt>
                <c:pt idx="4">
                  <c:v>384</c:v>
                </c:pt>
                <c:pt idx="5">
                  <c:v>392</c:v>
                </c:pt>
                <c:pt idx="6">
                  <c:v>409</c:v>
                </c:pt>
                <c:pt idx="7">
                  <c:v>490</c:v>
                </c:pt>
                <c:pt idx="8">
                  <c:v>449</c:v>
                </c:pt>
                <c:pt idx="9">
                  <c:v>474</c:v>
                </c:pt>
                <c:pt idx="10">
                  <c:v>517</c:v>
                </c:pt>
                <c:pt idx="11">
                  <c:v>551</c:v>
                </c:pt>
                <c:pt idx="12">
                  <c:v>587</c:v>
                </c:pt>
                <c:pt idx="13">
                  <c:v>551</c:v>
                </c:pt>
                <c:pt idx="14">
                  <c:v>597</c:v>
                </c:pt>
                <c:pt idx="15">
                  <c:v>744</c:v>
                </c:pt>
                <c:pt idx="16">
                  <c:v>692</c:v>
                </c:pt>
                <c:pt idx="17">
                  <c:v>756</c:v>
                </c:pt>
                <c:pt idx="18">
                  <c:v>780</c:v>
                </c:pt>
                <c:pt idx="19">
                  <c:v>969</c:v>
                </c:pt>
                <c:pt idx="20">
                  <c:v>912</c:v>
                </c:pt>
                <c:pt idx="21" formatCode="0">
                  <c:v>937</c:v>
                </c:pt>
                <c:pt idx="22" formatCode="0">
                  <c:v>1028</c:v>
                </c:pt>
                <c:pt idx="23">
                  <c:v>1176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0A-450C-B4E9-DECD1D58ABA5}"/>
            </c:ext>
          </c:extLst>
        </c:ser>
        <c:ser>
          <c:idx val="9"/>
          <c:order val="4"/>
          <c:tx>
            <c:strRef>
              <c:f>Model!$B$8</c:f>
              <c:strCache>
                <c:ptCount val="1"/>
                <c:pt idx="0">
                  <c:v>Client Incentives</c:v>
                </c:pt>
              </c:strCache>
            </c:strRef>
          </c:tx>
          <c:spPr>
            <a:solidFill>
              <a:srgbClr val="FF4747"/>
            </a:solidFill>
            <a:ln>
              <a:noFill/>
            </a:ln>
            <a:effectLst/>
          </c:spPr>
          <c:invertIfNegative val="0"/>
          <c:cat>
            <c:strRef>
              <c:f>Model!$AW$1:$BT$1</c:f>
              <c:strCache>
                <c:ptCount val="21"/>
                <c:pt idx="0">
                  <c:v>Q1 2019</c:v>
                </c:pt>
                <c:pt idx="4">
                  <c:v>Q1 2020</c:v>
                </c:pt>
                <c:pt idx="8">
                  <c:v>Q1 2021</c:v>
                </c:pt>
                <c:pt idx="12">
                  <c:v>Q1 2022</c:v>
                </c:pt>
                <c:pt idx="16">
                  <c:v>Q1 2023</c:v>
                </c:pt>
                <c:pt idx="20">
                  <c:v>Q1 2024</c:v>
                </c:pt>
              </c:strCache>
            </c:strRef>
          </c:cat>
          <c:val>
            <c:numRef>
              <c:f>Model!$AW$8:$BT$8</c:f>
              <c:numCache>
                <c:formatCode>General</c:formatCode>
                <c:ptCount val="24"/>
                <c:pt idx="0">
                  <c:v>-1748</c:v>
                </c:pt>
                <c:pt idx="1">
                  <c:v>-1705</c:v>
                </c:pt>
                <c:pt idx="2">
                  <c:v>-1513</c:v>
                </c:pt>
                <c:pt idx="3">
                  <c:v>-1698</c:v>
                </c:pt>
                <c:pt idx="4">
                  <c:v>-1858</c:v>
                </c:pt>
                <c:pt idx="5">
                  <c:v>-1992</c:v>
                </c:pt>
                <c:pt idx="6">
                  <c:v>-2130</c:v>
                </c:pt>
                <c:pt idx="7">
                  <c:v>-2387</c:v>
                </c:pt>
                <c:pt idx="8">
                  <c:v>-2371</c:v>
                </c:pt>
                <c:pt idx="9">
                  <c:v>-2494</c:v>
                </c:pt>
                <c:pt idx="10">
                  <c:v>-2570</c:v>
                </c:pt>
                <c:pt idx="11">
                  <c:v>-2860</c:v>
                </c:pt>
                <c:pt idx="12">
                  <c:v>-2786</c:v>
                </c:pt>
                <c:pt idx="13">
                  <c:v>-2905</c:v>
                </c:pt>
                <c:pt idx="14">
                  <c:v>-3167</c:v>
                </c:pt>
                <c:pt idx="15">
                  <c:v>-3439</c:v>
                </c:pt>
                <c:pt idx="16">
                  <c:v>-3348</c:v>
                </c:pt>
                <c:pt idx="17">
                  <c:v>-3257</c:v>
                </c:pt>
                <c:pt idx="18">
                  <c:v>-3530</c:v>
                </c:pt>
                <c:pt idx="19">
                  <c:v>-3629</c:v>
                </c:pt>
                <c:pt idx="20">
                  <c:v>-3797</c:v>
                </c:pt>
                <c:pt idx="21" formatCode="0">
                  <c:v>-3734</c:v>
                </c:pt>
                <c:pt idx="22" formatCode="0">
                  <c:v>-3972</c:v>
                </c:pt>
                <c:pt idx="23">
                  <c:v>-4248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0A-450C-B4E9-DECD1D58A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"/>
        <c:overlap val="100"/>
        <c:axId val="826587039"/>
        <c:axId val="826586079"/>
      </c:barChart>
      <c:catAx>
        <c:axId val="82658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6079"/>
        <c:crossesAt val="-10000"/>
        <c:auto val="1"/>
        <c:lblAlgn val="ctr"/>
        <c:lblOffset val="100"/>
        <c:noMultiLvlLbl val="0"/>
      </c:catAx>
      <c:valAx>
        <c:axId val="82658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2.6388888888888889E-2"/>
          <c:y val="5.2058346839546202E-2"/>
          <c:w val="0.95416666666666672"/>
          <c:h val="0.107383538159836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(V) Quarterly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</c:spPr>
          <c:invertIfNegative val="0"/>
          <c:cat>
            <c:strRef>
              <c:f>[1]Model!$AW$3:$BQ$3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Model!$AW$49:$BT$49</c:f>
              <c:numCache>
                <c:formatCode>General</c:formatCode>
                <c:ptCount val="24"/>
                <c:pt idx="0">
                  <c:v>3272</c:v>
                </c:pt>
                <c:pt idx="1">
                  <c:v>3084</c:v>
                </c:pt>
                <c:pt idx="2">
                  <c:v>2373</c:v>
                </c:pt>
                <c:pt idx="3">
                  <c:v>2137</c:v>
                </c:pt>
                <c:pt idx="4">
                  <c:v>3126</c:v>
                </c:pt>
                <c:pt idx="5">
                  <c:v>3026</c:v>
                </c:pt>
                <c:pt idx="6">
                  <c:v>2575</c:v>
                </c:pt>
                <c:pt idx="7">
                  <c:v>3584</c:v>
                </c:pt>
                <c:pt idx="8">
                  <c:v>3959</c:v>
                </c:pt>
                <c:pt idx="9">
                  <c:v>3647</c:v>
                </c:pt>
                <c:pt idx="10">
                  <c:v>3411</c:v>
                </c:pt>
                <c:pt idx="11">
                  <c:v>3940</c:v>
                </c:pt>
                <c:pt idx="12">
                  <c:v>4179</c:v>
                </c:pt>
                <c:pt idx="13">
                  <c:v>4257</c:v>
                </c:pt>
                <c:pt idx="14">
                  <c:v>4156</c:v>
                </c:pt>
                <c:pt idx="15">
                  <c:v>4681</c:v>
                </c:pt>
                <c:pt idx="16">
                  <c:v>4890</c:v>
                </c:pt>
                <c:pt idx="17">
                  <c:v>4663</c:v>
                </c:pt>
                <c:pt idx="18">
                  <c:v>4872</c:v>
                </c:pt>
                <c:pt idx="19">
                  <c:v>5318</c:v>
                </c:pt>
                <c:pt idx="20">
                  <c:v>5119</c:v>
                </c:pt>
                <c:pt idx="21">
                  <c:v>4577</c:v>
                </c:pt>
                <c:pt idx="22">
                  <c:v>5272</c:v>
                </c:pt>
                <c:pt idx="23">
                  <c:v>5090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FC-4195-B080-DADFEB451DF2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</c:spPr>
          <c:invertIfNegative val="0"/>
          <c:cat>
            <c:strRef>
              <c:f>[1]Model!$AW$3:$BQ$3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Model!$AW$104:$BT$104</c:f>
              <c:numCache>
                <c:formatCode>General</c:formatCode>
                <c:ptCount val="24"/>
                <c:pt idx="0">
                  <c:v>3684</c:v>
                </c:pt>
                <c:pt idx="1">
                  <c:v>1251</c:v>
                </c:pt>
                <c:pt idx="2">
                  <c:v>2841</c:v>
                </c:pt>
                <c:pt idx="3">
                  <c:v>1928</c:v>
                </c:pt>
                <c:pt idx="4">
                  <c:v>3353</c:v>
                </c:pt>
                <c:pt idx="5">
                  <c:v>3171</c:v>
                </c:pt>
                <c:pt idx="6">
                  <c:v>4235</c:v>
                </c:pt>
                <c:pt idx="7">
                  <c:v>3763</c:v>
                </c:pt>
                <c:pt idx="8">
                  <c:v>4059</c:v>
                </c:pt>
                <c:pt idx="9">
                  <c:v>3222</c:v>
                </c:pt>
                <c:pt idx="10">
                  <c:v>5017</c:v>
                </c:pt>
                <c:pt idx="11">
                  <c:v>5581</c:v>
                </c:pt>
                <c:pt idx="12">
                  <c:v>3922</c:v>
                </c:pt>
                <c:pt idx="13">
                  <c:v>3650</c:v>
                </c:pt>
                <c:pt idx="14">
                  <c:v>5502</c:v>
                </c:pt>
                <c:pt idx="15">
                  <c:v>6622</c:v>
                </c:pt>
                <c:pt idx="16">
                  <c:v>3347</c:v>
                </c:pt>
                <c:pt idx="17">
                  <c:v>4317</c:v>
                </c:pt>
                <c:pt idx="18">
                  <c:v>4674</c:v>
                </c:pt>
                <c:pt idx="19">
                  <c:v>6355</c:v>
                </c:pt>
                <c:pt idx="20">
                  <c:v>5051</c:v>
                </c:pt>
                <c:pt idx="21">
                  <c:v>4392</c:v>
                </c:pt>
                <c:pt idx="22">
                  <c:v>6285</c:v>
                </c:pt>
                <c:pt idx="23">
                  <c:v>6299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FC-4195-B080-DADFEB451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5400">
              <a:solidFill>
                <a:srgbClr val="00B0F0"/>
              </a:solidFill>
            </a:ln>
          </c:spPr>
          <c:marker>
            <c:symbol val="none"/>
          </c:marker>
          <c:cat>
            <c:strRef>
              <c:f>Model!$AW$1:$BR$1</c:f>
              <c:strCache>
                <c:ptCount val="21"/>
                <c:pt idx="0">
                  <c:v>Q1 2019</c:v>
                </c:pt>
                <c:pt idx="4">
                  <c:v>Q1 2020</c:v>
                </c:pt>
                <c:pt idx="8">
                  <c:v>Q1 2021</c:v>
                </c:pt>
                <c:pt idx="12">
                  <c:v>Q1 2022</c:v>
                </c:pt>
                <c:pt idx="16">
                  <c:v>Q1 2023</c:v>
                </c:pt>
                <c:pt idx="20">
                  <c:v>Q1 2024</c:v>
                </c:pt>
              </c:strCache>
            </c:strRef>
          </c:cat>
          <c:val>
            <c:numRef>
              <c:f>Model!$AW$35:$BT$35</c:f>
              <c:numCache>
                <c:formatCode>0</c:formatCode>
                <c:ptCount val="24"/>
                <c:pt idx="0">
                  <c:v>6054</c:v>
                </c:pt>
                <c:pt idx="1">
                  <c:v>5854</c:v>
                </c:pt>
                <c:pt idx="2">
                  <c:v>4837</c:v>
                </c:pt>
                <c:pt idx="3">
                  <c:v>5101</c:v>
                </c:pt>
                <c:pt idx="4">
                  <c:v>5687</c:v>
                </c:pt>
                <c:pt idx="5">
                  <c:v>5729</c:v>
                </c:pt>
                <c:pt idx="6">
                  <c:v>6130</c:v>
                </c:pt>
                <c:pt idx="7">
                  <c:v>6559</c:v>
                </c:pt>
                <c:pt idx="8">
                  <c:v>7059</c:v>
                </c:pt>
                <c:pt idx="9">
                  <c:v>7189</c:v>
                </c:pt>
                <c:pt idx="10">
                  <c:v>7275</c:v>
                </c:pt>
                <c:pt idx="11">
                  <c:v>7787</c:v>
                </c:pt>
                <c:pt idx="12">
                  <c:v>7936</c:v>
                </c:pt>
                <c:pt idx="13">
                  <c:v>7985</c:v>
                </c:pt>
                <c:pt idx="14">
                  <c:v>8123</c:v>
                </c:pt>
                <c:pt idx="15">
                  <c:v>8609</c:v>
                </c:pt>
                <c:pt idx="16">
                  <c:v>8634</c:v>
                </c:pt>
                <c:pt idx="17">
                  <c:v>8775</c:v>
                </c:pt>
                <c:pt idx="18">
                  <c:v>8900</c:v>
                </c:pt>
                <c:pt idx="19">
                  <c:v>9617</c:v>
                </c:pt>
                <c:pt idx="20">
                  <c:v>9510</c:v>
                </c:pt>
                <c:pt idx="21">
                  <c:v>9594</c:v>
                </c:pt>
                <c:pt idx="22">
                  <c:v>10172</c:v>
                </c:pt>
                <c:pt idx="23">
                  <c:v>10724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FC-4195-B080-DADFEB451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(V) Annualized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Model!$B$49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</c:spPr>
          <c:invertIfNegative val="0"/>
          <c:cat>
            <c:strRef>
              <c:f>[1]Model!$AW$3:$BQ$3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Model!$CE$49:$CT$49</c:f>
              <c:numCache>
                <c:formatCode>0</c:formatCode>
                <c:ptCount val="16"/>
                <c:pt idx="0">
                  <c:v>2354</c:v>
                </c:pt>
                <c:pt idx="1">
                  <c:v>2964</c:v>
                </c:pt>
                <c:pt idx="2">
                  <c:v>3646</c:v>
                </c:pt>
                <c:pt idx="3">
                  <c:v>2142</c:v>
                </c:pt>
                <c:pt idx="4">
                  <c:v>4980</c:v>
                </c:pt>
                <c:pt idx="5">
                  <c:v>5438</c:v>
                </c:pt>
                <c:pt idx="6">
                  <c:v>6328</c:v>
                </c:pt>
                <c:pt idx="7">
                  <c:v>5991</c:v>
                </c:pt>
                <c:pt idx="8">
                  <c:v>6699</c:v>
                </c:pt>
                <c:pt idx="9">
                  <c:v>10301</c:v>
                </c:pt>
                <c:pt idx="10">
                  <c:v>12080</c:v>
                </c:pt>
                <c:pt idx="11">
                  <c:v>10866</c:v>
                </c:pt>
                <c:pt idx="12">
                  <c:v>12311</c:v>
                </c:pt>
                <c:pt idx="13">
                  <c:v>14957</c:v>
                </c:pt>
                <c:pt idx="14">
                  <c:v>17273</c:v>
                </c:pt>
                <c:pt idx="15" formatCode="General">
                  <c:v>19743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F2-4A01-9DEC-CFCDC39C486D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  <a:ln>
              <a:noFill/>
            </a:ln>
          </c:spPr>
          <c:invertIfNegative val="0"/>
          <c:cat>
            <c:strRef>
              <c:f>[1]Model!$AW$3:$BQ$3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Model!$CE$104:$CT$104</c:f>
              <c:numCache>
                <c:formatCode>0</c:formatCode>
                <c:ptCount val="16"/>
                <c:pt idx="0">
                  <c:v>168</c:v>
                </c:pt>
                <c:pt idx="1">
                  <c:v>2453</c:v>
                </c:pt>
                <c:pt idx="2">
                  <c:v>3519</c:v>
                </c:pt>
                <c:pt idx="3">
                  <c:v>4635</c:v>
                </c:pt>
                <c:pt idx="4">
                  <c:v>2548</c:v>
                </c:pt>
                <c:pt idx="5">
                  <c:v>6652</c:v>
                </c:pt>
                <c:pt idx="6">
                  <c:v>6170</c:v>
                </c:pt>
                <c:pt idx="7">
                  <c:v>5051</c:v>
                </c:pt>
                <c:pt idx="8">
                  <c:v>8610</c:v>
                </c:pt>
                <c:pt idx="9">
                  <c:v>12223</c:v>
                </c:pt>
                <c:pt idx="10">
                  <c:v>12028</c:v>
                </c:pt>
                <c:pt idx="11" formatCode="General">
                  <c:v>9704</c:v>
                </c:pt>
                <c:pt idx="12" formatCode="General">
                  <c:v>14522</c:v>
                </c:pt>
                <c:pt idx="13" formatCode="General">
                  <c:v>17879</c:v>
                </c:pt>
                <c:pt idx="14" formatCode="General">
                  <c:v>19696</c:v>
                </c:pt>
                <c:pt idx="15" formatCode="General">
                  <c:v>18693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F2-4A01-9DEC-CFCDC39C4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strRef>
              <c:f>Model!$B$35</c:f>
              <c:strCache>
                <c:ptCount val="1"/>
                <c:pt idx="0">
                  <c:v>Revenues</c:v>
                </c:pt>
              </c:strCache>
            </c:strRef>
          </c:tx>
          <c:spPr>
            <a:ln w="25400"/>
          </c:spPr>
          <c:marker>
            <c:symbol val="none"/>
          </c:marker>
          <c:cat>
            <c:numRef>
              <c:f>Model!$CE$3:$CT$3</c:f>
              <c:numCache>
                <c:formatCode>General</c:formatCode>
                <c:ptCount val="1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</c:numCache>
            </c:numRef>
          </c:cat>
          <c:val>
            <c:numRef>
              <c:f>Model!$CE$35:$CT$35</c:f>
              <c:numCache>
                <c:formatCode>0</c:formatCode>
                <c:ptCount val="16"/>
                <c:pt idx="0">
                  <c:v>6911</c:v>
                </c:pt>
                <c:pt idx="1">
                  <c:v>8065</c:v>
                </c:pt>
                <c:pt idx="2">
                  <c:v>9188</c:v>
                </c:pt>
                <c:pt idx="3">
                  <c:v>10421</c:v>
                </c:pt>
                <c:pt idx="4">
                  <c:v>11778</c:v>
                </c:pt>
                <c:pt idx="5">
                  <c:v>12702</c:v>
                </c:pt>
                <c:pt idx="6">
                  <c:v>13880</c:v>
                </c:pt>
                <c:pt idx="7">
                  <c:v>15082</c:v>
                </c:pt>
                <c:pt idx="8">
                  <c:v>18358</c:v>
                </c:pt>
                <c:pt idx="9">
                  <c:v>20609</c:v>
                </c:pt>
                <c:pt idx="10">
                  <c:v>22977</c:v>
                </c:pt>
                <c:pt idx="11">
                  <c:v>21846</c:v>
                </c:pt>
                <c:pt idx="12">
                  <c:v>24105</c:v>
                </c:pt>
                <c:pt idx="13">
                  <c:v>29310</c:v>
                </c:pt>
                <c:pt idx="14">
                  <c:v>32653</c:v>
                </c:pt>
                <c:pt idx="15" formatCode="General">
                  <c:v>35926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F2-4A01-9DEC-CFCDC39C4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4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11207</xdr:colOff>
      <xdr:row>2</xdr:row>
      <xdr:rowOff>11205</xdr:rowOff>
    </xdr:from>
    <xdr:to>
      <xdr:col>8</xdr:col>
      <xdr:colOff>4976</xdr:colOff>
      <xdr:row>8</xdr:row>
      <xdr:rowOff>11206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AC2229-608C-CBD6-BABE-EDA5F93A8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02325" y="380999"/>
          <a:ext cx="1809122" cy="10869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72</xdr:col>
      <xdr:colOff>0</xdr:colOff>
      <xdr:row>0</xdr:row>
      <xdr:rowOff>0</xdr:rowOff>
    </xdr:from>
    <xdr:to>
      <xdr:col>72</xdr:col>
      <xdr:colOff>0</xdr:colOff>
      <xdr:row>121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D82459E-58B3-42DB-9684-9D533E1F9712}"/>
            </a:ext>
          </a:extLst>
        </xdr:cNvPr>
        <xdr:cNvCxnSpPr/>
      </xdr:nvCxnSpPr>
      <xdr:spPr>
        <a:xfrm>
          <a:off x="44991618" y="0"/>
          <a:ext cx="0" cy="2226160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99</xdr:col>
      <xdr:colOff>0</xdr:colOff>
      <xdr:row>0</xdr:row>
      <xdr:rowOff>0</xdr:rowOff>
    </xdr:from>
    <xdr:to>
      <xdr:col>99</xdr:col>
      <xdr:colOff>0</xdr:colOff>
      <xdr:row>120</xdr:row>
      <xdr:rowOff>76200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001E5F4-1B9E-487D-83F1-747CF5EB542B}"/>
            </a:ext>
          </a:extLst>
        </xdr:cNvPr>
        <xdr:cNvCxnSpPr/>
      </xdr:nvCxnSpPr>
      <xdr:spPr>
        <a:xfrm>
          <a:off x="61329794" y="0"/>
          <a:ext cx="0" cy="2200611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168</xdr:row>
      <xdr:rowOff>0</xdr:rowOff>
    </xdr:from>
    <xdr:to>
      <xdr:col>23</xdr:col>
      <xdr:colOff>0</xdr:colOff>
      <xdr:row>196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74BBAA-4B76-40FC-A8E5-A62056E8D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66</xdr:row>
      <xdr:rowOff>0</xdr:rowOff>
    </xdr:from>
    <xdr:to>
      <xdr:col>23</xdr:col>
      <xdr:colOff>0</xdr:colOff>
      <xdr:row>97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5C2A260-00A5-4EA7-A8E6-D591EB2ECF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102</xdr:row>
      <xdr:rowOff>0</xdr:rowOff>
    </xdr:from>
    <xdr:to>
      <xdr:col>23</xdr:col>
      <xdr:colOff>0</xdr:colOff>
      <xdr:row>130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2914DCA-8369-4FCE-9AF4-9A34BED601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135</xdr:row>
      <xdr:rowOff>0</xdr:rowOff>
    </xdr:from>
    <xdr:to>
      <xdr:col>23</xdr:col>
      <xdr:colOff>0</xdr:colOff>
      <xdr:row>163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8B0EC96-F8AC-470B-9313-E72971990F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9525</xdr:colOff>
      <xdr:row>2</xdr:row>
      <xdr:rowOff>9525</xdr:rowOff>
    </xdr:from>
    <xdr:to>
      <xdr:col>17</xdr:col>
      <xdr:colOff>1</xdr:colOff>
      <xdr:row>26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41730C1-4F2F-E8F4-E9AB-86BAC4BB1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9075" y="381000"/>
          <a:ext cx="5476876" cy="4333875"/>
        </a:xfrm>
        <a:prstGeom prst="rect">
          <a:avLst/>
        </a:prstGeom>
      </xdr:spPr>
    </xdr:pic>
    <xdr:clientData/>
  </xdr:twoCellAnchor>
  <xdr:twoCellAnchor editAs="oneCell">
    <xdr:from>
      <xdr:col>17</xdr:col>
      <xdr:colOff>9526</xdr:colOff>
      <xdr:row>2</xdr:row>
      <xdr:rowOff>9525</xdr:rowOff>
    </xdr:from>
    <xdr:to>
      <xdr:col>26</xdr:col>
      <xdr:colOff>600076</xdr:colOff>
      <xdr:row>30</xdr:row>
      <xdr:rowOff>171450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2981B08-EA99-BB3E-8A95-CC1C3785E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705476" y="381000"/>
          <a:ext cx="6076950" cy="52292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16</xdr:col>
      <xdr:colOff>0</xdr:colOff>
      <xdr:row>61</xdr:row>
      <xdr:rowOff>9525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40F559B-EF11-6553-5051-36654E46E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9550" y="6724650"/>
          <a:ext cx="4876800" cy="43719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BSX_Model.xlsx" TargetMode="External"/><Relationship Id="rId1" Type="http://schemas.openxmlformats.org/officeDocument/2006/relationships/externalLinkPath" Target="file:///C:\Users\User\Desktop\Equity%20Research\Models\Health%20Care\MedTech\BSX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 | Overview"/>
      <sheetName val="Model"/>
      <sheetName val="Notes | Quant Analysis"/>
      <sheetName val="M&amp;A Scope"/>
      <sheetName val="Markets | Product Lines"/>
      <sheetName val="Management"/>
      <sheetName val="Debt Schedule"/>
      <sheetName val="Clinical Trial Channel"/>
    </sheetNames>
    <sheetDataSet>
      <sheetData sheetId="0"/>
      <sheetData sheetId="1">
        <row r="3">
          <cell r="AW3" t="str">
            <v>Q1 2020</v>
          </cell>
          <cell r="AX3" t="str">
            <v>Q2 2020</v>
          </cell>
          <cell r="AY3" t="str">
            <v>Q3 2020</v>
          </cell>
          <cell r="AZ3" t="str">
            <v>Q4 2020</v>
          </cell>
          <cell r="BA3" t="str">
            <v>Q1 2021</v>
          </cell>
          <cell r="BB3" t="str">
            <v>Q2 2021</v>
          </cell>
          <cell r="BC3" t="str">
            <v>Q3 2021</v>
          </cell>
          <cell r="BD3" t="str">
            <v>Q4 2021</v>
          </cell>
          <cell r="BE3" t="str">
            <v>Q1 2022</v>
          </cell>
          <cell r="BF3" t="str">
            <v>Q2 2022</v>
          </cell>
          <cell r="BG3" t="str">
            <v>Q3 2022</v>
          </cell>
          <cell r="BH3" t="str">
            <v>Q4 2022</v>
          </cell>
          <cell r="BI3" t="str">
            <v>Q1 2023</v>
          </cell>
          <cell r="BJ3" t="str">
            <v>Q2 2023</v>
          </cell>
          <cell r="BK3" t="str">
            <v>Q3 2023</v>
          </cell>
          <cell r="BL3" t="str">
            <v>Q4 2023</v>
          </cell>
          <cell r="BM3" t="str">
            <v>Q1 2024</v>
          </cell>
          <cell r="BN3" t="str">
            <v>Q2 2024</v>
          </cell>
          <cell r="BO3" t="str">
            <v>Q3 2024</v>
          </cell>
          <cell r="BP3" t="str">
            <v>Q4 2024</v>
          </cell>
          <cell r="BQ3" t="str">
            <v>Q1 2025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acob H" id="{DD7FDCAC-54A4-4482-B4DC-D252DA6C0A66}" userId="6fdd6cd1f6a5d55a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V49" dT="2025-06-25T02:39:05.89" personId="{DD7FDCAC-54A4-4482-B4DC-D252DA6C0A66}" id="{FE2DB1E6-9025-443F-AC65-638F728F65EB}">
    <text>FYE: 24320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sa.visa.com/" TargetMode="External"/><Relationship Id="rId3" Type="http://schemas.openxmlformats.org/officeDocument/2006/relationships/hyperlink" Target="000%20Fin-Tech%20Master%20List%20000.xlsx" TargetMode="External"/><Relationship Id="rId7" Type="http://schemas.openxmlformats.org/officeDocument/2006/relationships/hyperlink" Target="https://www.gurufocus.com/term/wacc/V" TargetMode="External"/><Relationship Id="rId2" Type="http://schemas.openxmlformats.org/officeDocument/2006/relationships/hyperlink" Target="https://app.godelterminal.com/" TargetMode="External"/><Relationship Id="rId1" Type="http://schemas.openxmlformats.org/officeDocument/2006/relationships/hyperlink" Target="https://www.sec.gov/edgar/browse/?CIK=1403161&amp;owner=exclude" TargetMode="External"/><Relationship Id="rId6" Type="http://schemas.openxmlformats.org/officeDocument/2006/relationships/hyperlink" Target="https://www.macrotrends.net/stocks/charts/V/visa/balance-sheet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stockanalysis.com/stocks/v/company/" TargetMode="External"/><Relationship Id="rId10" Type="http://schemas.openxmlformats.org/officeDocument/2006/relationships/hyperlink" Target="https://investor.visa.com/" TargetMode="External"/><Relationship Id="rId4" Type="http://schemas.openxmlformats.org/officeDocument/2006/relationships/hyperlink" Target="https://seekingalpha.com/symbol/V/earnings/transcripts" TargetMode="External"/><Relationship Id="rId9" Type="http://schemas.openxmlformats.org/officeDocument/2006/relationships/hyperlink" Target="mailto:investorrelations@visa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zoomScale="85" zoomScaleNormal="85" workbookViewId="0">
      <selection activeCell="D4" sqref="D4"/>
    </sheetView>
  </sheetViews>
  <sheetFormatPr defaultRowHeight="14.25"/>
  <cols>
    <col min="1" max="1" width="3.42578125" style="1" customWidth="1"/>
    <col min="2" max="2" width="9.140625" style="1" customWidth="1"/>
    <col min="3" max="3" width="11.85546875" style="1" customWidth="1"/>
    <col min="4" max="4" width="9.140625" style="1" customWidth="1"/>
    <col min="5" max="16384" width="9.140625" style="1"/>
  </cols>
  <sheetData>
    <row r="1" spans="1:16">
      <c r="A1" s="44" t="s">
        <v>0</v>
      </c>
    </row>
    <row r="2" spans="1:16" ht="15">
      <c r="B2" s="2" t="s">
        <v>170</v>
      </c>
    </row>
    <row r="3" spans="1:16" ht="15">
      <c r="B3" s="1" t="s">
        <v>1</v>
      </c>
      <c r="C3" s="72">
        <v>350.28</v>
      </c>
      <c r="D3" s="43" t="s">
        <v>1555</v>
      </c>
      <c r="F3"/>
    </row>
    <row r="4" spans="1:16">
      <c r="B4" s="1" t="s">
        <v>2</v>
      </c>
      <c r="C4" s="71">
        <f>1696+5+120+9</f>
        <v>1830</v>
      </c>
      <c r="D4" s="45" t="s">
        <v>1554</v>
      </c>
    </row>
    <row r="5" spans="1:16">
      <c r="B5" s="1" t="s">
        <v>3</v>
      </c>
      <c r="C5" s="70">
        <f>C3*C4</f>
        <v>641012.39999999991</v>
      </c>
    </row>
    <row r="6" spans="1:16">
      <c r="B6" s="1" t="s">
        <v>4</v>
      </c>
      <c r="C6" s="70">
        <f>11734+2926+2017</f>
        <v>16677</v>
      </c>
      <c r="D6" s="45" t="s">
        <v>1554</v>
      </c>
    </row>
    <row r="7" spans="1:16">
      <c r="B7" s="1" t="s">
        <v>5</v>
      </c>
      <c r="C7" s="70">
        <f>3948+16814</f>
        <v>20762</v>
      </c>
      <c r="D7" s="45" t="s">
        <v>1554</v>
      </c>
    </row>
    <row r="8" spans="1:16">
      <c r="B8" s="1" t="s">
        <v>6</v>
      </c>
      <c r="C8" s="70">
        <f>C5-C6+C7</f>
        <v>645097.39999999991</v>
      </c>
      <c r="D8" s="45"/>
    </row>
    <row r="10" spans="1:16" ht="15">
      <c r="B10" s="2" t="s">
        <v>169</v>
      </c>
    </row>
    <row r="12" spans="1:16">
      <c r="B12" s="1" t="s">
        <v>171</v>
      </c>
      <c r="F12" s="1" t="s">
        <v>188</v>
      </c>
      <c r="M12" s="1" t="s">
        <v>8</v>
      </c>
      <c r="O12" s="44" t="s">
        <v>179</v>
      </c>
    </row>
    <row r="13" spans="1:16">
      <c r="B13" s="1" t="s">
        <v>172</v>
      </c>
      <c r="F13" s="1" t="s">
        <v>165</v>
      </c>
      <c r="G13" s="1" t="s">
        <v>189</v>
      </c>
      <c r="M13" s="1" t="s">
        <v>180</v>
      </c>
      <c r="O13" s="44" t="s">
        <v>187</v>
      </c>
    </row>
    <row r="14" spans="1:16">
      <c r="B14" s="1" t="s">
        <v>173</v>
      </c>
      <c r="F14" s="1" t="s">
        <v>7</v>
      </c>
      <c r="N14" s="1" t="s">
        <v>1545</v>
      </c>
      <c r="P14" s="44" t="s">
        <v>1553</v>
      </c>
    </row>
    <row r="15" spans="1:16">
      <c r="B15" s="1" t="s">
        <v>174</v>
      </c>
      <c r="F15" s="1" t="s">
        <v>166</v>
      </c>
      <c r="M15" s="1" t="s">
        <v>162</v>
      </c>
      <c r="O15" s="44" t="s">
        <v>181</v>
      </c>
    </row>
    <row r="16" spans="1:16">
      <c r="B16" s="1" t="s">
        <v>175</v>
      </c>
      <c r="F16" s="1" t="s">
        <v>159</v>
      </c>
      <c r="G16" s="1" t="s">
        <v>1552</v>
      </c>
      <c r="I16" s="1" t="s">
        <v>160</v>
      </c>
      <c r="J16" s="44" t="s">
        <v>1551</v>
      </c>
      <c r="M16" s="1" t="s">
        <v>163</v>
      </c>
      <c r="O16" s="44" t="s">
        <v>182</v>
      </c>
    </row>
    <row r="17" spans="1:15">
      <c r="B17" s="1" t="s">
        <v>178</v>
      </c>
      <c r="M17" s="1" t="s">
        <v>183</v>
      </c>
      <c r="O17" s="44" t="s">
        <v>184</v>
      </c>
    </row>
    <row r="18" spans="1:15">
      <c r="B18" s="1" t="s">
        <v>190</v>
      </c>
      <c r="M18" s="1" t="s">
        <v>9</v>
      </c>
      <c r="O18" s="44" t="s">
        <v>164</v>
      </c>
    </row>
    <row r="19" spans="1:15">
      <c r="B19" s="1" t="s">
        <v>176</v>
      </c>
      <c r="M19" s="1" t="s">
        <v>185</v>
      </c>
      <c r="O19" s="44" t="s">
        <v>186</v>
      </c>
    </row>
    <row r="20" spans="1:15" ht="15">
      <c r="C20" s="1" t="s">
        <v>177</v>
      </c>
      <c r="N20" s="2"/>
    </row>
    <row r="22" spans="1:15" ht="15">
      <c r="A22" s="2" t="s">
        <v>10</v>
      </c>
    </row>
    <row r="23" spans="1:15">
      <c r="B23" s="1" t="s">
        <v>191</v>
      </c>
    </row>
    <row r="24" spans="1:15">
      <c r="B24" s="1" t="s">
        <v>192</v>
      </c>
    </row>
    <row r="25" spans="1:15">
      <c r="B25" s="1" t="s">
        <v>193</v>
      </c>
    </row>
    <row r="26" spans="1:15">
      <c r="C26" s="1" t="s">
        <v>194</v>
      </c>
    </row>
    <row r="27" spans="1:15">
      <c r="B27" s="1" t="s">
        <v>195</v>
      </c>
    </row>
    <row r="28" spans="1:15">
      <c r="C28" s="1" t="s">
        <v>196</v>
      </c>
    </row>
    <row r="29" spans="1:15">
      <c r="B29" s="1" t="s">
        <v>197</v>
      </c>
    </row>
    <row r="30" spans="1:15">
      <c r="B30" s="1" t="s">
        <v>198</v>
      </c>
    </row>
    <row r="32" spans="1:15" ht="15">
      <c r="A32" s="2" t="s">
        <v>167</v>
      </c>
    </row>
    <row r="33" spans="2:2">
      <c r="B33" s="1" t="s">
        <v>168</v>
      </c>
    </row>
  </sheetData>
  <hyperlinks>
    <hyperlink ref="O12" r:id="rId1" xr:uid="{739BC0F6-DDEA-409E-BAA0-CED0EC3FAC10}"/>
    <hyperlink ref="O18" r:id="rId2" xr:uid="{14375537-5C3D-4253-9650-337AB6789785}"/>
    <hyperlink ref="A1" r:id="rId3" xr:uid="{533195D0-5C63-4B38-BF22-81B65ECDAD32}"/>
    <hyperlink ref="O15" r:id="rId4" xr:uid="{04A9F240-1C71-41E5-8EE4-A29C8E1C4E82}"/>
    <hyperlink ref="O16" r:id="rId5" xr:uid="{B3642016-AA73-4851-AF5E-5CA41D777165}"/>
    <hyperlink ref="O17" r:id="rId6" xr:uid="{40E551C1-1388-4072-9424-45FD050DE942}"/>
    <hyperlink ref="O19" r:id="rId7" xr:uid="{A27FCC3A-475E-47FA-B9C3-4A457D101FCD}"/>
    <hyperlink ref="O13" r:id="rId8" xr:uid="{7ADEFF7D-C98F-498F-A436-146BC30C002C}"/>
    <hyperlink ref="J16" r:id="rId9" xr:uid="{B38F0E24-64B8-4789-A687-2F5D2969D5C3}"/>
    <hyperlink ref="P14" r:id="rId10" xr:uid="{D110F9B5-7883-4A29-B3AC-181BD2D2FFD0}"/>
  </hyperlinks>
  <pageMargins left="0.7" right="0.7" top="0.75" bottom="0.75" header="0.3" footer="0.3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7957-A42B-4AB7-A411-12A70E029F5D}">
  <dimension ref="B1:FE106"/>
  <sheetViews>
    <sheetView tabSelected="1" zoomScale="85" zoomScaleNormal="85" workbookViewId="0">
      <pane xSplit="2" ySplit="3" topLeftCell="DA48" activePane="bottomRight" state="frozen"/>
      <selection pane="topRight" activeCell="C1" sqref="C1"/>
      <selection pane="bottomLeft" activeCell="A4" sqref="A4"/>
      <selection pane="bottomRight" activeCell="DF74" sqref="DF74"/>
    </sheetView>
  </sheetViews>
  <sheetFormatPr defaultRowHeight="14.25"/>
  <cols>
    <col min="1" max="1" width="3" style="1" customWidth="1"/>
    <col min="2" max="2" width="36.42578125" style="1" customWidth="1"/>
    <col min="3" max="3" width="9.140625" style="1" customWidth="1"/>
    <col min="4" max="71" width="9.140625" style="1"/>
    <col min="72" max="78" width="9.140625" style="35"/>
    <col min="79" max="99" width="9.140625" style="1"/>
    <col min="100" max="160" width="9.140625" style="35"/>
    <col min="161" max="16384" width="9.140625" style="1"/>
  </cols>
  <sheetData>
    <row r="1" spans="2:161" ht="15">
      <c r="B1" s="1" t="s">
        <v>1525</v>
      </c>
      <c r="AW1" s="33" t="s">
        <v>86</v>
      </c>
      <c r="BA1" s="33" t="s">
        <v>90</v>
      </c>
      <c r="BE1" s="33" t="s">
        <v>94</v>
      </c>
      <c r="BI1" s="33" t="s">
        <v>98</v>
      </c>
      <c r="BM1" s="33" t="s">
        <v>102</v>
      </c>
      <c r="BQ1" s="33" t="s">
        <v>106</v>
      </c>
      <c r="BR1" s="33"/>
      <c r="BS1" s="33"/>
      <c r="BU1" s="33" t="s">
        <v>110</v>
      </c>
    </row>
    <row r="2" spans="2:161">
      <c r="B2" s="1" t="s">
        <v>118</v>
      </c>
      <c r="C2" s="1" t="s">
        <v>1524</v>
      </c>
      <c r="D2" s="1" t="s">
        <v>1523</v>
      </c>
      <c r="E2" s="1" t="s">
        <v>1521</v>
      </c>
      <c r="F2" s="1" t="s">
        <v>1522</v>
      </c>
      <c r="G2" s="1" t="s">
        <v>1524</v>
      </c>
      <c r="H2" s="1" t="s">
        <v>1523</v>
      </c>
      <c r="I2" s="1" t="s">
        <v>1521</v>
      </c>
      <c r="J2" s="1" t="s">
        <v>1522</v>
      </c>
      <c r="K2" s="1" t="s">
        <v>1524</v>
      </c>
      <c r="L2" s="1" t="s">
        <v>1523</v>
      </c>
      <c r="M2" s="1" t="s">
        <v>1521</v>
      </c>
      <c r="N2" s="1" t="s">
        <v>1522</v>
      </c>
      <c r="O2" s="1" t="s">
        <v>1524</v>
      </c>
      <c r="P2" s="1" t="s">
        <v>1523</v>
      </c>
      <c r="Q2" s="1" t="s">
        <v>1521</v>
      </c>
      <c r="R2" s="1" t="s">
        <v>1522</v>
      </c>
      <c r="S2" s="1" t="s">
        <v>1524</v>
      </c>
      <c r="T2" s="1" t="s">
        <v>1523</v>
      </c>
      <c r="U2" s="1" t="s">
        <v>1521</v>
      </c>
      <c r="V2" s="1" t="s">
        <v>1522</v>
      </c>
      <c r="W2" s="1" t="s">
        <v>1524</v>
      </c>
      <c r="X2" s="1" t="s">
        <v>1523</v>
      </c>
      <c r="Y2" s="1" t="s">
        <v>1521</v>
      </c>
      <c r="Z2" s="1" t="s">
        <v>1522</v>
      </c>
      <c r="AA2" s="1" t="s">
        <v>1524</v>
      </c>
      <c r="AB2" s="1" t="s">
        <v>1523</v>
      </c>
      <c r="AC2" s="1" t="s">
        <v>1521</v>
      </c>
      <c r="AD2" s="1" t="s">
        <v>1522</v>
      </c>
      <c r="AE2" s="1" t="s">
        <v>1524</v>
      </c>
      <c r="AF2" s="1" t="s">
        <v>1523</v>
      </c>
      <c r="AG2" s="1" t="s">
        <v>1521</v>
      </c>
      <c r="AH2" s="1" t="s">
        <v>1522</v>
      </c>
      <c r="AI2" s="1" t="s">
        <v>1524</v>
      </c>
      <c r="AJ2" s="1" t="s">
        <v>1523</v>
      </c>
      <c r="AK2" s="1" t="s">
        <v>1521</v>
      </c>
      <c r="AL2" s="1" t="s">
        <v>1522</v>
      </c>
      <c r="AM2" s="1" t="s">
        <v>1524</v>
      </c>
      <c r="AN2" s="1" t="s">
        <v>1523</v>
      </c>
      <c r="AO2" s="1" t="s">
        <v>1521</v>
      </c>
      <c r="AP2" s="1" t="s">
        <v>1522</v>
      </c>
      <c r="AQ2" s="1" t="s">
        <v>1524</v>
      </c>
      <c r="AR2" s="1" t="s">
        <v>1523</v>
      </c>
      <c r="AS2" s="1" t="s">
        <v>1521</v>
      </c>
      <c r="AT2" s="1" t="s">
        <v>1522</v>
      </c>
      <c r="AU2" s="1" t="s">
        <v>1524</v>
      </c>
      <c r="AV2" s="1" t="s">
        <v>1523</v>
      </c>
      <c r="AW2" s="1" t="s">
        <v>1521</v>
      </c>
      <c r="AX2" s="1" t="s">
        <v>1522</v>
      </c>
      <c r="AY2" s="1" t="s">
        <v>1524</v>
      </c>
      <c r="AZ2" s="1" t="s">
        <v>1523</v>
      </c>
      <c r="BA2" s="1" t="s">
        <v>1521</v>
      </c>
      <c r="BB2" s="1" t="s">
        <v>1522</v>
      </c>
      <c r="BC2" s="1" t="s">
        <v>1524</v>
      </c>
      <c r="BD2" s="1" t="s">
        <v>1523</v>
      </c>
      <c r="BE2" s="1" t="s">
        <v>1521</v>
      </c>
      <c r="BF2" s="1" t="s">
        <v>1522</v>
      </c>
      <c r="BG2" s="1" t="s">
        <v>1524</v>
      </c>
      <c r="BH2" s="1" t="s">
        <v>1523</v>
      </c>
      <c r="BI2" s="1" t="s">
        <v>1521</v>
      </c>
      <c r="BJ2" s="1" t="s">
        <v>1522</v>
      </c>
      <c r="BK2" s="1" t="s">
        <v>1524</v>
      </c>
      <c r="BL2" s="1" t="s">
        <v>1523</v>
      </c>
      <c r="BM2" s="1" t="s">
        <v>1521</v>
      </c>
      <c r="BN2" s="1" t="s">
        <v>1522</v>
      </c>
      <c r="BO2" s="1" t="s">
        <v>1524</v>
      </c>
      <c r="BP2" s="1" t="s">
        <v>1523</v>
      </c>
      <c r="BQ2" s="1" t="s">
        <v>1521</v>
      </c>
      <c r="BR2" s="1" t="s">
        <v>1522</v>
      </c>
      <c r="BS2" s="1" t="s">
        <v>1546</v>
      </c>
      <c r="BT2" s="1" t="s">
        <v>1523</v>
      </c>
    </row>
    <row r="3" spans="2:161" ht="15">
      <c r="B3" s="2" t="s">
        <v>119</v>
      </c>
      <c r="C3" s="33" t="s">
        <v>45</v>
      </c>
      <c r="D3" s="33" t="s">
        <v>122</v>
      </c>
      <c r="E3" s="33" t="s">
        <v>121</v>
      </c>
      <c r="F3" s="33" t="s">
        <v>47</v>
      </c>
      <c r="G3" s="33" t="s">
        <v>48</v>
      </c>
      <c r="H3" s="33" t="s">
        <v>49</v>
      </c>
      <c r="I3" s="33" t="s">
        <v>46</v>
      </c>
      <c r="J3" s="33" t="s">
        <v>51</v>
      </c>
      <c r="K3" s="33" t="s">
        <v>52</v>
      </c>
      <c r="L3" s="33" t="s">
        <v>53</v>
      </c>
      <c r="M3" s="33" t="s">
        <v>50</v>
      </c>
      <c r="N3" s="33" t="s">
        <v>55</v>
      </c>
      <c r="O3" s="33" t="s">
        <v>56</v>
      </c>
      <c r="P3" s="33" t="s">
        <v>57</v>
      </c>
      <c r="Q3" s="33" t="s">
        <v>54</v>
      </c>
      <c r="R3" s="33" t="s">
        <v>59</v>
      </c>
      <c r="S3" s="33" t="s">
        <v>60</v>
      </c>
      <c r="T3" s="33" t="s">
        <v>61</v>
      </c>
      <c r="U3" s="33" t="s">
        <v>58</v>
      </c>
      <c r="V3" s="33" t="s">
        <v>63</v>
      </c>
      <c r="W3" s="33" t="s">
        <v>64</v>
      </c>
      <c r="X3" s="33" t="s">
        <v>65</v>
      </c>
      <c r="Y3" s="33" t="s">
        <v>62</v>
      </c>
      <c r="Z3" s="33" t="s">
        <v>67</v>
      </c>
      <c r="AA3" s="33" t="s">
        <v>68</v>
      </c>
      <c r="AB3" s="33" t="s">
        <v>69</v>
      </c>
      <c r="AC3" s="33" t="s">
        <v>66</v>
      </c>
      <c r="AD3" s="33" t="s">
        <v>71</v>
      </c>
      <c r="AE3" s="33" t="s">
        <v>72</v>
      </c>
      <c r="AF3" s="33" t="s">
        <v>73</v>
      </c>
      <c r="AG3" s="33" t="s">
        <v>70</v>
      </c>
      <c r="AH3" s="33" t="s">
        <v>75</v>
      </c>
      <c r="AI3" s="33" t="s">
        <v>76</v>
      </c>
      <c r="AJ3" s="33" t="s">
        <v>77</v>
      </c>
      <c r="AK3" s="33" t="s">
        <v>74</v>
      </c>
      <c r="AL3" s="33" t="s">
        <v>79</v>
      </c>
      <c r="AM3" s="33" t="s">
        <v>80</v>
      </c>
      <c r="AN3" s="33" t="s">
        <v>81</v>
      </c>
      <c r="AO3" s="33" t="s">
        <v>78</v>
      </c>
      <c r="AP3" s="33" t="s">
        <v>83</v>
      </c>
      <c r="AQ3" s="33" t="s">
        <v>84</v>
      </c>
      <c r="AR3" s="33" t="s">
        <v>85</v>
      </c>
      <c r="AS3" s="33" t="s">
        <v>82</v>
      </c>
      <c r="AT3" s="33" t="s">
        <v>87</v>
      </c>
      <c r="AU3" s="33" t="s">
        <v>88</v>
      </c>
      <c r="AV3" s="33" t="s">
        <v>89</v>
      </c>
      <c r="AW3" s="33" t="s">
        <v>86</v>
      </c>
      <c r="AX3" s="33" t="s">
        <v>91</v>
      </c>
      <c r="AY3" s="33" t="s">
        <v>92</v>
      </c>
      <c r="AZ3" s="33" t="s">
        <v>93</v>
      </c>
      <c r="BA3" s="33" t="s">
        <v>90</v>
      </c>
      <c r="BB3" s="33" t="s">
        <v>95</v>
      </c>
      <c r="BC3" s="33" t="s">
        <v>96</v>
      </c>
      <c r="BD3" s="33" t="s">
        <v>97</v>
      </c>
      <c r="BE3" s="33" t="s">
        <v>94</v>
      </c>
      <c r="BF3" s="33" t="s">
        <v>99</v>
      </c>
      <c r="BG3" s="33" t="s">
        <v>100</v>
      </c>
      <c r="BH3" s="33" t="s">
        <v>101</v>
      </c>
      <c r="BI3" s="33" t="s">
        <v>98</v>
      </c>
      <c r="BJ3" s="33" t="s">
        <v>103</v>
      </c>
      <c r="BK3" s="33" t="s">
        <v>104</v>
      </c>
      <c r="BL3" s="33" t="s">
        <v>105</v>
      </c>
      <c r="BM3" s="33" t="s">
        <v>102</v>
      </c>
      <c r="BN3" s="33" t="s">
        <v>107</v>
      </c>
      <c r="BO3" s="33" t="s">
        <v>108</v>
      </c>
      <c r="BP3" s="33" t="s">
        <v>109</v>
      </c>
      <c r="BQ3" s="33" t="s">
        <v>106</v>
      </c>
      <c r="BR3" s="33" t="s">
        <v>111</v>
      </c>
      <c r="BS3" s="33" t="s">
        <v>112</v>
      </c>
      <c r="BT3" s="2" t="s">
        <v>113</v>
      </c>
      <c r="BU3" s="34" t="s">
        <v>110</v>
      </c>
      <c r="BV3" s="34" t="s">
        <v>111</v>
      </c>
      <c r="BW3" s="34" t="s">
        <v>116</v>
      </c>
      <c r="BX3" s="34" t="s">
        <v>117</v>
      </c>
      <c r="BY3" s="34" t="s">
        <v>114</v>
      </c>
      <c r="BZ3" s="34" t="s">
        <v>115</v>
      </c>
      <c r="CE3" s="2">
        <v>2009</v>
      </c>
      <c r="CF3" s="2">
        <f t="shared" ref="CF3:EQ3" si="0">CE3+1</f>
        <v>2010</v>
      </c>
      <c r="CG3" s="2">
        <f t="shared" si="0"/>
        <v>2011</v>
      </c>
      <c r="CH3" s="2">
        <f t="shared" si="0"/>
        <v>2012</v>
      </c>
      <c r="CI3" s="2">
        <f t="shared" si="0"/>
        <v>2013</v>
      </c>
      <c r="CJ3" s="2">
        <f t="shared" si="0"/>
        <v>2014</v>
      </c>
      <c r="CK3" s="2">
        <f t="shared" si="0"/>
        <v>2015</v>
      </c>
      <c r="CL3" s="2">
        <f t="shared" si="0"/>
        <v>2016</v>
      </c>
      <c r="CM3" s="2">
        <f t="shared" si="0"/>
        <v>2017</v>
      </c>
      <c r="CN3" s="2">
        <f t="shared" si="0"/>
        <v>2018</v>
      </c>
      <c r="CO3" s="2">
        <f t="shared" si="0"/>
        <v>2019</v>
      </c>
      <c r="CP3" s="2">
        <f t="shared" si="0"/>
        <v>2020</v>
      </c>
      <c r="CQ3" s="2">
        <f t="shared" si="0"/>
        <v>2021</v>
      </c>
      <c r="CR3" s="2">
        <f t="shared" si="0"/>
        <v>2022</v>
      </c>
      <c r="CS3" s="2">
        <f t="shared" si="0"/>
        <v>2023</v>
      </c>
      <c r="CT3" s="2">
        <f t="shared" si="0"/>
        <v>2024</v>
      </c>
      <c r="CU3" s="2">
        <f t="shared" si="0"/>
        <v>2025</v>
      </c>
      <c r="CV3" s="34">
        <f t="shared" si="0"/>
        <v>2026</v>
      </c>
      <c r="CW3" s="34">
        <f t="shared" si="0"/>
        <v>2027</v>
      </c>
      <c r="CX3" s="34">
        <f t="shared" si="0"/>
        <v>2028</v>
      </c>
      <c r="CY3" s="34">
        <f t="shared" si="0"/>
        <v>2029</v>
      </c>
      <c r="CZ3" s="34">
        <f t="shared" si="0"/>
        <v>2030</v>
      </c>
      <c r="DA3" s="34">
        <f t="shared" si="0"/>
        <v>2031</v>
      </c>
      <c r="DB3" s="34">
        <f t="shared" si="0"/>
        <v>2032</v>
      </c>
      <c r="DC3" s="34">
        <f t="shared" si="0"/>
        <v>2033</v>
      </c>
      <c r="DD3" s="34">
        <f t="shared" si="0"/>
        <v>2034</v>
      </c>
      <c r="DE3" s="34">
        <f t="shared" si="0"/>
        <v>2035</v>
      </c>
      <c r="DF3" s="34">
        <f t="shared" si="0"/>
        <v>2036</v>
      </c>
      <c r="DG3" s="34">
        <f t="shared" si="0"/>
        <v>2037</v>
      </c>
      <c r="DH3" s="34">
        <f t="shared" si="0"/>
        <v>2038</v>
      </c>
      <c r="DI3" s="34">
        <f t="shared" si="0"/>
        <v>2039</v>
      </c>
      <c r="DJ3" s="34">
        <f t="shared" si="0"/>
        <v>2040</v>
      </c>
      <c r="DK3" s="34">
        <f t="shared" si="0"/>
        <v>2041</v>
      </c>
      <c r="DL3" s="34">
        <f t="shared" si="0"/>
        <v>2042</v>
      </c>
      <c r="DM3" s="34">
        <f t="shared" si="0"/>
        <v>2043</v>
      </c>
      <c r="DN3" s="34">
        <f t="shared" si="0"/>
        <v>2044</v>
      </c>
      <c r="DO3" s="34">
        <f t="shared" si="0"/>
        <v>2045</v>
      </c>
      <c r="DP3" s="34">
        <f t="shared" si="0"/>
        <v>2046</v>
      </c>
      <c r="DQ3" s="34">
        <f t="shared" si="0"/>
        <v>2047</v>
      </c>
      <c r="DR3" s="34">
        <f t="shared" si="0"/>
        <v>2048</v>
      </c>
      <c r="DS3" s="34">
        <f t="shared" si="0"/>
        <v>2049</v>
      </c>
      <c r="DT3" s="34">
        <f t="shared" si="0"/>
        <v>2050</v>
      </c>
      <c r="DU3" s="34">
        <f t="shared" si="0"/>
        <v>2051</v>
      </c>
      <c r="DV3" s="34">
        <f t="shared" si="0"/>
        <v>2052</v>
      </c>
      <c r="DW3" s="34">
        <f t="shared" si="0"/>
        <v>2053</v>
      </c>
      <c r="DX3" s="34">
        <f t="shared" si="0"/>
        <v>2054</v>
      </c>
      <c r="DY3" s="34">
        <f t="shared" si="0"/>
        <v>2055</v>
      </c>
      <c r="DZ3" s="34">
        <f t="shared" si="0"/>
        <v>2056</v>
      </c>
      <c r="EA3" s="34">
        <f t="shared" si="0"/>
        <v>2057</v>
      </c>
      <c r="EB3" s="34">
        <f t="shared" si="0"/>
        <v>2058</v>
      </c>
      <c r="EC3" s="34">
        <f t="shared" si="0"/>
        <v>2059</v>
      </c>
      <c r="ED3" s="34">
        <f t="shared" si="0"/>
        <v>2060</v>
      </c>
      <c r="EE3" s="34">
        <f t="shared" si="0"/>
        <v>2061</v>
      </c>
      <c r="EF3" s="34">
        <f t="shared" si="0"/>
        <v>2062</v>
      </c>
      <c r="EG3" s="34">
        <f t="shared" si="0"/>
        <v>2063</v>
      </c>
      <c r="EH3" s="34">
        <f t="shared" si="0"/>
        <v>2064</v>
      </c>
      <c r="EI3" s="34">
        <f t="shared" si="0"/>
        <v>2065</v>
      </c>
      <c r="EJ3" s="34">
        <f t="shared" si="0"/>
        <v>2066</v>
      </c>
      <c r="EK3" s="34">
        <f t="shared" si="0"/>
        <v>2067</v>
      </c>
      <c r="EL3" s="34">
        <f t="shared" si="0"/>
        <v>2068</v>
      </c>
      <c r="EM3" s="34">
        <f t="shared" si="0"/>
        <v>2069</v>
      </c>
      <c r="EN3" s="34">
        <f t="shared" si="0"/>
        <v>2070</v>
      </c>
      <c r="EO3" s="34">
        <f t="shared" si="0"/>
        <v>2071</v>
      </c>
      <c r="EP3" s="34">
        <f t="shared" si="0"/>
        <v>2072</v>
      </c>
      <c r="EQ3" s="34">
        <f t="shared" si="0"/>
        <v>2073</v>
      </c>
      <c r="ER3" s="34">
        <f t="shared" ref="ER3:FC3" si="1">EQ3+1</f>
        <v>2074</v>
      </c>
      <c r="ES3" s="34">
        <f t="shared" si="1"/>
        <v>2075</v>
      </c>
      <c r="ET3" s="34">
        <f t="shared" si="1"/>
        <v>2076</v>
      </c>
      <c r="EU3" s="34">
        <f t="shared" si="1"/>
        <v>2077</v>
      </c>
      <c r="EV3" s="34">
        <f t="shared" si="1"/>
        <v>2078</v>
      </c>
      <c r="EW3" s="34">
        <f t="shared" si="1"/>
        <v>2079</v>
      </c>
      <c r="EX3" s="34">
        <f t="shared" si="1"/>
        <v>2080</v>
      </c>
      <c r="EY3" s="34">
        <f t="shared" si="1"/>
        <v>2081</v>
      </c>
      <c r="EZ3" s="34">
        <f t="shared" si="1"/>
        <v>2082</v>
      </c>
      <c r="FA3" s="34">
        <f t="shared" si="1"/>
        <v>2083</v>
      </c>
      <c r="FB3" s="34">
        <f t="shared" si="1"/>
        <v>2084</v>
      </c>
      <c r="FC3" s="34">
        <f t="shared" si="1"/>
        <v>2085</v>
      </c>
      <c r="FD3" s="34"/>
      <c r="FE3" s="2"/>
    </row>
    <row r="4" spans="2:161">
      <c r="B4" s="36" t="s">
        <v>199</v>
      </c>
      <c r="AW4" s="1">
        <v>2555</v>
      </c>
      <c r="AX4" s="1">
        <v>2623</v>
      </c>
      <c r="AY4" s="1">
        <v>2409</v>
      </c>
      <c r="AZ4" s="1">
        <f>9804-SUM(AW4:AY4)</f>
        <v>2217</v>
      </c>
      <c r="BA4" s="1">
        <v>2677</v>
      </c>
      <c r="BB4" s="1">
        <v>2845</v>
      </c>
      <c r="BC4" s="1">
        <v>2828</v>
      </c>
      <c r="BD4" s="1">
        <f>11475-SUM(BA4:BC4)</f>
        <v>3125</v>
      </c>
      <c r="BE4" s="1">
        <v>3193</v>
      </c>
      <c r="BF4" s="1">
        <v>3521</v>
      </c>
      <c r="BG4" s="1">
        <v>3189</v>
      </c>
      <c r="BH4" s="1">
        <f>13361-SUM(BE4:BG4)</f>
        <v>3458</v>
      </c>
      <c r="BI4" s="1">
        <v>3511</v>
      </c>
      <c r="BJ4" s="1">
        <v>3771</v>
      </c>
      <c r="BK4" s="1">
        <v>3668</v>
      </c>
      <c r="BL4" s="1">
        <f>14826-SUM(BI4:BK4)</f>
        <v>3876</v>
      </c>
      <c r="BM4" s="1">
        <v>3915</v>
      </c>
      <c r="BN4" s="1">
        <v>4033</v>
      </c>
      <c r="BO4" s="1">
        <v>3967</v>
      </c>
      <c r="BP4" s="1">
        <f>16114-SUM(BM4:BO4)</f>
        <v>4199</v>
      </c>
      <c r="BQ4" s="1">
        <v>4208</v>
      </c>
      <c r="BR4" s="46">
        <v>4399</v>
      </c>
      <c r="BS4" s="46">
        <v>4330</v>
      </c>
      <c r="BT4" s="1">
        <v>4602</v>
      </c>
      <c r="CA4" s="46"/>
      <c r="CB4" s="46"/>
      <c r="CC4" s="46"/>
      <c r="CD4" s="46"/>
      <c r="CE4" s="46"/>
      <c r="CF4" s="46"/>
      <c r="CG4" s="46"/>
      <c r="CH4" s="46"/>
      <c r="CI4" s="46"/>
      <c r="CJ4" s="46"/>
      <c r="CK4" s="46"/>
      <c r="CL4" s="46"/>
      <c r="CM4" s="46"/>
      <c r="CN4" s="46"/>
      <c r="CO4" s="46"/>
      <c r="CP4" s="46">
        <f>SUM(AW4:AZ4)</f>
        <v>9804</v>
      </c>
      <c r="CQ4" s="46">
        <f>SUM(BA4:BD4)</f>
        <v>11475</v>
      </c>
      <c r="CR4" s="46">
        <f>SUM(BE4:BH4)</f>
        <v>13361</v>
      </c>
      <c r="CS4" s="46">
        <f>SUM(BI4:BL4)</f>
        <v>14826</v>
      </c>
      <c r="CT4" s="1">
        <f>SUM(BM4:BP4)</f>
        <v>16114</v>
      </c>
      <c r="CU4" s="1">
        <f>SUM(BQ4:BT4)</f>
        <v>17539</v>
      </c>
      <c r="CV4" s="55">
        <f t="shared" ref="CV4:DE4" si="2">CU4*(1+CV11)</f>
        <v>19187.666000000001</v>
      </c>
      <c r="CW4" s="55">
        <f t="shared" si="2"/>
        <v>20928.971667245227</v>
      </c>
      <c r="CX4" s="55">
        <f t="shared" si="2"/>
        <v>22828.303090555852</v>
      </c>
      <c r="CY4" s="55">
        <f t="shared" si="2"/>
        <v>24860.022065615321</v>
      </c>
      <c r="CZ4" s="55">
        <f t="shared" si="2"/>
        <v>27116.101429864069</v>
      </c>
      <c r="DA4" s="55">
        <f t="shared" si="2"/>
        <v>29576.922933293339</v>
      </c>
      <c r="DB4" s="55">
        <f t="shared" si="2"/>
        <v>32261.067191558985</v>
      </c>
      <c r="DC4" s="55">
        <f t="shared" si="2"/>
        <v>35188.801035375145</v>
      </c>
      <c r="DD4" s="55">
        <f t="shared" si="2"/>
        <v>38382.230536725823</v>
      </c>
      <c r="DE4" s="55">
        <f t="shared" si="2"/>
        <v>41865.467922404387</v>
      </c>
    </row>
    <row r="5" spans="2:161">
      <c r="B5" s="36" t="s">
        <v>200</v>
      </c>
      <c r="AW5" s="1">
        <v>2864</v>
      </c>
      <c r="AX5" s="1">
        <v>2711</v>
      </c>
      <c r="AY5" s="1">
        <v>2525</v>
      </c>
      <c r="AZ5" s="1">
        <f>10975-SUM(AW5:AY5)</f>
        <v>2875</v>
      </c>
      <c r="BA5" s="1">
        <v>3033</v>
      </c>
      <c r="BB5" s="1">
        <v>2996</v>
      </c>
      <c r="BC5" s="1">
        <v>3327</v>
      </c>
      <c r="BD5" s="1">
        <f>12792-SUM(BA5:BC5)</f>
        <v>3436</v>
      </c>
      <c r="BE5" s="1">
        <v>3614</v>
      </c>
      <c r="BF5" s="1">
        <v>3480</v>
      </c>
      <c r="BG5" s="1">
        <v>3579</v>
      </c>
      <c r="BH5" s="1">
        <f>14438-SUM(BE5:BG5)</f>
        <v>3765</v>
      </c>
      <c r="BI5" s="1">
        <v>3827</v>
      </c>
      <c r="BJ5" s="1">
        <v>3819</v>
      </c>
      <c r="BK5" s="1">
        <v>4105</v>
      </c>
      <c r="BL5" s="1">
        <f>16007-SUM(BI5:BK5)</f>
        <v>4256</v>
      </c>
      <c r="BM5" s="1">
        <v>4356</v>
      </c>
      <c r="BN5" s="1">
        <v>4259</v>
      </c>
      <c r="BO5" s="1">
        <v>4489</v>
      </c>
      <c r="BP5" s="1">
        <f>17714-SUM(BM5:BO5)</f>
        <v>4610</v>
      </c>
      <c r="BQ5" s="1">
        <v>4745</v>
      </c>
      <c r="BR5" s="46">
        <v>4701</v>
      </c>
      <c r="BS5" s="46">
        <v>5153</v>
      </c>
      <c r="BT5" s="1">
        <v>5394</v>
      </c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>
        <f>SUM(AW5:AZ5)</f>
        <v>10975</v>
      </c>
      <c r="CQ5" s="46">
        <f>SUM(BA5:BD5)</f>
        <v>12792</v>
      </c>
      <c r="CR5" s="46">
        <f>SUM(BE5:BH5)</f>
        <v>14438</v>
      </c>
      <c r="CS5" s="46">
        <f>SUM(BI5:BL5)</f>
        <v>16007</v>
      </c>
      <c r="CT5" s="1">
        <f>SUM(BM5:BP5)</f>
        <v>17714</v>
      </c>
      <c r="CU5" s="1">
        <f t="shared" ref="CU5:CU8" si="3">SUM(BQ5:BT5)</f>
        <v>19993</v>
      </c>
      <c r="CV5" s="55">
        <f t="shared" ref="CV5:DE8" si="4">CU5*(1+CV12)</f>
        <v>22092.264999999999</v>
      </c>
      <c r="CW5" s="55">
        <f t="shared" si="4"/>
        <v>24323.583764999999</v>
      </c>
      <c r="CX5" s="55">
        <f t="shared" si="4"/>
        <v>26695.133182087498</v>
      </c>
      <c r="CY5" s="55">
        <f t="shared" si="4"/>
        <v>29164.433001430592</v>
      </c>
      <c r="CZ5" s="55">
        <f t="shared" si="4"/>
        <v>31716.320889055765</v>
      </c>
      <c r="DA5" s="55">
        <f t="shared" si="4"/>
        <v>35007.847968877941</v>
      </c>
      <c r="DB5" s="55">
        <f t="shared" si="4"/>
        <v>38640.970486427614</v>
      </c>
      <c r="DC5" s="55">
        <f t="shared" si="4"/>
        <v>42651.139294833578</v>
      </c>
      <c r="DD5" s="55">
        <f t="shared" si="4"/>
        <v>47077.48434491962</v>
      </c>
      <c r="DE5" s="55">
        <f t="shared" si="4"/>
        <v>51963.196502809849</v>
      </c>
    </row>
    <row r="6" spans="2:161">
      <c r="B6" s="36" t="s">
        <v>201</v>
      </c>
      <c r="AW6" s="1">
        <v>2018</v>
      </c>
      <c r="AX6" s="1">
        <v>1833</v>
      </c>
      <c r="AY6" s="1">
        <v>1102</v>
      </c>
      <c r="AZ6" s="1">
        <f>6299-SUM(AW6:AY6)</f>
        <v>1346</v>
      </c>
      <c r="BA6" s="1">
        <v>1451</v>
      </c>
      <c r="BB6" s="1">
        <v>1488</v>
      </c>
      <c r="BC6" s="1">
        <v>1696</v>
      </c>
      <c r="BD6" s="1">
        <f>6530-SUM(BA6:BC6)</f>
        <v>1895</v>
      </c>
      <c r="BE6" s="1">
        <v>2174</v>
      </c>
      <c r="BF6" s="1">
        <v>2208</v>
      </c>
      <c r="BG6" s="1">
        <v>2560</v>
      </c>
      <c r="BH6" s="1">
        <f>9815-SUM(BE6:BG6)</f>
        <v>2873</v>
      </c>
      <c r="BI6" s="1">
        <v>2797</v>
      </c>
      <c r="BJ6" s="1">
        <v>2749</v>
      </c>
      <c r="BK6" s="1">
        <v>2920</v>
      </c>
      <c r="BL6" s="1">
        <f>11638-SUM(BI6:BK6)</f>
        <v>3172</v>
      </c>
      <c r="BM6" s="1">
        <v>3019</v>
      </c>
      <c r="BN6" s="1">
        <v>2984</v>
      </c>
      <c r="BO6" s="1">
        <v>3194</v>
      </c>
      <c r="BP6" s="1">
        <f>12665-SUM(BM6:BO6)</f>
        <v>3468</v>
      </c>
      <c r="BQ6" s="1">
        <v>3442</v>
      </c>
      <c r="BR6" s="46">
        <v>3291</v>
      </c>
      <c r="BS6" s="46">
        <v>3633</v>
      </c>
      <c r="BT6" s="1">
        <v>3800</v>
      </c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>
        <f>SUM(AW6:AZ6)</f>
        <v>6299</v>
      </c>
      <c r="CQ6" s="46">
        <f>SUM(BA6:BD6)</f>
        <v>6530</v>
      </c>
      <c r="CR6" s="46">
        <f>SUM(BE6:BH6)</f>
        <v>9815</v>
      </c>
      <c r="CS6" s="46">
        <f>SUM(BI6:BL6)</f>
        <v>11638</v>
      </c>
      <c r="CT6" s="1">
        <f>SUM(BM6:BP6)</f>
        <v>12665</v>
      </c>
      <c r="CU6" s="1">
        <f t="shared" si="3"/>
        <v>14166</v>
      </c>
      <c r="CV6" s="55">
        <f t="shared" si="4"/>
        <v>15623.426943699731</v>
      </c>
      <c r="CW6" s="55">
        <f t="shared" si="4"/>
        <v>17230.79694092353</v>
      </c>
      <c r="CX6" s="55">
        <f t="shared" si="4"/>
        <v>18436.952726788179</v>
      </c>
      <c r="CY6" s="55">
        <f t="shared" si="4"/>
        <v>19681.44703584638</v>
      </c>
      <c r="CZ6" s="55">
        <f t="shared" si="4"/>
        <v>20960.741093176395</v>
      </c>
      <c r="DA6" s="55">
        <f t="shared" si="4"/>
        <v>22218.385558766979</v>
      </c>
      <c r="DB6" s="55">
        <f t="shared" si="4"/>
        <v>23551.488692292998</v>
      </c>
      <c r="DC6" s="55">
        <f t="shared" si="4"/>
        <v>24964.578013830578</v>
      </c>
      <c r="DD6" s="55">
        <f t="shared" si="4"/>
        <v>26462.452694660413</v>
      </c>
      <c r="DE6" s="55">
        <f t="shared" si="4"/>
        <v>28050.199856340038</v>
      </c>
    </row>
    <row r="7" spans="2:161">
      <c r="B7" s="36" t="s">
        <v>202</v>
      </c>
      <c r="AW7" s="1">
        <v>365</v>
      </c>
      <c r="AX7" s="1">
        <v>392</v>
      </c>
      <c r="AY7" s="1">
        <v>314</v>
      </c>
      <c r="AZ7" s="1">
        <f>1432-SUM(AW7:AY7)</f>
        <v>361</v>
      </c>
      <c r="BA7" s="1">
        <v>384</v>
      </c>
      <c r="BB7" s="1">
        <v>392</v>
      </c>
      <c r="BC7" s="1">
        <v>409</v>
      </c>
      <c r="BD7" s="1">
        <f>1675-SUM(BA7:BC7)</f>
        <v>490</v>
      </c>
      <c r="BE7" s="1">
        <v>449</v>
      </c>
      <c r="BF7" s="1">
        <v>474</v>
      </c>
      <c r="BG7" s="1">
        <v>517</v>
      </c>
      <c r="BH7" s="1">
        <f>1991-SUM(BE7:BG7)</f>
        <v>551</v>
      </c>
      <c r="BI7" s="1">
        <v>587</v>
      </c>
      <c r="BJ7" s="1">
        <v>551</v>
      </c>
      <c r="BK7" s="1">
        <v>597</v>
      </c>
      <c r="BL7" s="1">
        <f>2479-SUM(BI7:BK7)</f>
        <v>744</v>
      </c>
      <c r="BM7" s="1">
        <v>692</v>
      </c>
      <c r="BN7" s="1">
        <v>756</v>
      </c>
      <c r="BO7" s="1">
        <v>780</v>
      </c>
      <c r="BP7" s="1">
        <f>3197-SUM(BM7:BO7)</f>
        <v>969</v>
      </c>
      <c r="BQ7" s="1">
        <v>912</v>
      </c>
      <c r="BR7" s="46">
        <v>937</v>
      </c>
      <c r="BS7" s="46">
        <v>1028</v>
      </c>
      <c r="BT7" s="1">
        <v>1176</v>
      </c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>
        <f>SUM(AW7:AZ7)</f>
        <v>1432</v>
      </c>
      <c r="CQ7" s="46">
        <f>SUM(BA7:BD7)</f>
        <v>1675</v>
      </c>
      <c r="CR7" s="46">
        <f>SUM(BE7:BH7)</f>
        <v>1991</v>
      </c>
      <c r="CS7" s="46">
        <f>SUM(BI7:BL7)</f>
        <v>2479</v>
      </c>
      <c r="CT7" s="1">
        <f>SUM(BM7:BP7)</f>
        <v>3197</v>
      </c>
      <c r="CU7" s="1">
        <f t="shared" si="3"/>
        <v>4053</v>
      </c>
      <c r="CV7" s="55">
        <f t="shared" si="4"/>
        <v>5015.5875000000005</v>
      </c>
      <c r="CW7" s="55">
        <f t="shared" si="4"/>
        <v>6144.0946875000009</v>
      </c>
      <c r="CX7" s="55">
        <f t="shared" si="4"/>
        <v>7480.4352820312515</v>
      </c>
      <c r="CY7" s="55">
        <f t="shared" si="4"/>
        <v>8864.3158092070335</v>
      </c>
      <c r="CZ7" s="55">
        <f t="shared" si="4"/>
        <v>10371.249496772229</v>
      </c>
      <c r="DA7" s="55">
        <f t="shared" si="4"/>
        <v>12030.649416255785</v>
      </c>
      <c r="DB7" s="55">
        <f t="shared" si="4"/>
        <v>13534.480593287757</v>
      </c>
      <c r="DC7" s="55">
        <f t="shared" si="4"/>
        <v>15293.963070415164</v>
      </c>
      <c r="DD7" s="55">
        <f t="shared" si="4"/>
        <v>17129.238638864987</v>
      </c>
      <c r="DE7" s="55">
        <f t="shared" si="4"/>
        <v>19184.747275528785</v>
      </c>
    </row>
    <row r="8" spans="2:161">
      <c r="B8" s="36" t="s">
        <v>203</v>
      </c>
      <c r="AW8" s="1">
        <v>-1748</v>
      </c>
      <c r="AX8" s="1">
        <v>-1705</v>
      </c>
      <c r="AY8" s="1">
        <v>-1513</v>
      </c>
      <c r="AZ8" s="1">
        <f>-6664-SUM(AW8:AY8)</f>
        <v>-1698</v>
      </c>
      <c r="BA8" s="1">
        <v>-1858</v>
      </c>
      <c r="BB8" s="1">
        <v>-1992</v>
      </c>
      <c r="BC8" s="1">
        <v>-2130</v>
      </c>
      <c r="BD8" s="1">
        <f>-8367-SUM(BA8:BC8)</f>
        <v>-2387</v>
      </c>
      <c r="BE8" s="1">
        <v>-2371</v>
      </c>
      <c r="BF8" s="1">
        <v>-2494</v>
      </c>
      <c r="BG8" s="1">
        <v>-2570</v>
      </c>
      <c r="BH8" s="1">
        <f>-10295-SUM(BE8:BG8)</f>
        <v>-2860</v>
      </c>
      <c r="BI8" s="1">
        <v>-2786</v>
      </c>
      <c r="BJ8" s="1">
        <v>-2905</v>
      </c>
      <c r="BK8" s="1">
        <v>-3167</v>
      </c>
      <c r="BL8" s="1">
        <f>-12297-SUM(BI8:BK8)</f>
        <v>-3439</v>
      </c>
      <c r="BM8" s="1">
        <v>-3348</v>
      </c>
      <c r="BN8" s="1">
        <v>-3257</v>
      </c>
      <c r="BO8" s="1">
        <v>-3530</v>
      </c>
      <c r="BP8" s="1">
        <f>-13764-SUM(BM8:BO8)</f>
        <v>-3629</v>
      </c>
      <c r="BQ8" s="1">
        <v>-3797</v>
      </c>
      <c r="BR8" s="46">
        <v>-3734</v>
      </c>
      <c r="BS8" s="46">
        <v>-3972</v>
      </c>
      <c r="BT8" s="1">
        <v>-4248</v>
      </c>
      <c r="CA8" s="46"/>
      <c r="CB8" s="46"/>
      <c r="CC8" s="46"/>
      <c r="CD8" s="46"/>
      <c r="CE8" s="46"/>
      <c r="CF8" s="46"/>
      <c r="CG8" s="46"/>
      <c r="CH8" s="46"/>
      <c r="CI8" s="46"/>
      <c r="CJ8" s="46"/>
      <c r="CK8" s="46"/>
      <c r="CL8" s="46"/>
      <c r="CM8" s="46"/>
      <c r="CN8" s="46"/>
      <c r="CO8" s="46"/>
      <c r="CP8" s="46">
        <f>SUM(AW8:AZ8)</f>
        <v>-6664</v>
      </c>
      <c r="CQ8" s="46">
        <f>SUM(BA8:BD8)</f>
        <v>-8367</v>
      </c>
      <c r="CR8" s="46">
        <f>SUM(BE8:BH8)</f>
        <v>-10295</v>
      </c>
      <c r="CS8" s="46">
        <f>SUM(BI8:BL8)</f>
        <v>-12297</v>
      </c>
      <c r="CT8" s="1">
        <f>SUM(BM8:BP8)</f>
        <v>-13764</v>
      </c>
      <c r="CU8" s="1">
        <f t="shared" si="3"/>
        <v>-15751</v>
      </c>
      <c r="CV8" s="55">
        <f t="shared" si="4"/>
        <v>-17877.384999999998</v>
      </c>
      <c r="CW8" s="55">
        <f t="shared" si="4"/>
        <v>-20156.751587499999</v>
      </c>
      <c r="CX8" s="55">
        <f t="shared" si="4"/>
        <v>-22777.129293874998</v>
      </c>
      <c r="CY8" s="55">
        <f t="shared" si="4"/>
        <v>-25624.270455609374</v>
      </c>
      <c r="CZ8" s="55">
        <f t="shared" si="4"/>
        <v>-29134.795508027859</v>
      </c>
      <c r="DA8" s="55">
        <f t="shared" si="4"/>
        <v>-33140.82989038169</v>
      </c>
      <c r="DB8" s="55">
        <f t="shared" si="4"/>
        <v>-37994.430092319693</v>
      </c>
      <c r="DC8" s="55">
        <f t="shared" si="4"/>
        <v>-43558.858447872808</v>
      </c>
      <c r="DD8" s="55">
        <f t="shared" si="4"/>
        <v>-49938.218435479605</v>
      </c>
      <c r="DE8" s="55">
        <f t="shared" si="4"/>
        <v>-57251.859882738972</v>
      </c>
    </row>
    <row r="9" spans="2:161" s="2" customFormat="1" ht="15">
      <c r="B9" s="33" t="s">
        <v>120</v>
      </c>
      <c r="AW9" s="47">
        <f t="shared" ref="AW9:AX9" si="5">SUM(AW4:AW8)</f>
        <v>6054</v>
      </c>
      <c r="AX9" s="47">
        <f t="shared" si="5"/>
        <v>5854</v>
      </c>
      <c r="AY9" s="47">
        <f t="shared" ref="AY9" si="6">SUM(AY4:AY8)</f>
        <v>4837</v>
      </c>
      <c r="AZ9" s="47">
        <f t="shared" ref="AZ9" si="7">SUM(AZ4:AZ8)</f>
        <v>5101</v>
      </c>
      <c r="BA9" s="47">
        <f t="shared" ref="BA9" si="8">SUM(BA4:BA8)</f>
        <v>5687</v>
      </c>
      <c r="BB9" s="47">
        <f t="shared" ref="BB9" si="9">SUM(BB4:BB8)</f>
        <v>5729</v>
      </c>
      <c r="BC9" s="47">
        <f t="shared" ref="BC9" si="10">SUM(BC4:BC8)</f>
        <v>6130</v>
      </c>
      <c r="BD9" s="47">
        <f t="shared" ref="BD9" si="11">SUM(BD4:BD8)</f>
        <v>6559</v>
      </c>
      <c r="BE9" s="47">
        <f t="shared" ref="BE9" si="12">SUM(BE4:BE8)</f>
        <v>7059</v>
      </c>
      <c r="BF9" s="47">
        <f t="shared" ref="BF9" si="13">SUM(BF4:BF8)</f>
        <v>7189</v>
      </c>
      <c r="BG9" s="47">
        <f t="shared" ref="BG9" si="14">SUM(BG4:BG8)</f>
        <v>7275</v>
      </c>
      <c r="BH9" s="47">
        <f t="shared" ref="BH9" si="15">SUM(BH4:BH8)</f>
        <v>7787</v>
      </c>
      <c r="BI9" s="47">
        <f t="shared" ref="BI9" si="16">SUM(BI4:BI8)</f>
        <v>7936</v>
      </c>
      <c r="BJ9" s="47">
        <f t="shared" ref="BJ9" si="17">SUM(BJ4:BJ8)</f>
        <v>7985</v>
      </c>
      <c r="BK9" s="47">
        <f t="shared" ref="BK9" si="18">SUM(BK4:BK8)</f>
        <v>8123</v>
      </c>
      <c r="BL9" s="47">
        <f t="shared" ref="BL9" si="19">SUM(BL4:BL8)</f>
        <v>8609</v>
      </c>
      <c r="BM9" s="47">
        <f t="shared" ref="BM9" si="20">SUM(BM4:BM8)</f>
        <v>8634</v>
      </c>
      <c r="BN9" s="47">
        <f t="shared" ref="BN9" si="21">SUM(BN4:BN8)</f>
        <v>8775</v>
      </c>
      <c r="BO9" s="47">
        <f t="shared" ref="BO9" si="22">SUM(BO4:BO8)</f>
        <v>8900</v>
      </c>
      <c r="BP9" s="47">
        <f t="shared" ref="BP9" si="23">SUM(BP4:BP8)</f>
        <v>9617</v>
      </c>
      <c r="BQ9" s="47">
        <f t="shared" ref="BQ9" si="24">SUM(BQ4:BQ8)</f>
        <v>9510</v>
      </c>
      <c r="BR9" s="47">
        <f t="shared" ref="BR9:BS9" si="25">SUM(BR4:BR8)</f>
        <v>9594</v>
      </c>
      <c r="BS9" s="47">
        <f t="shared" si="25"/>
        <v>10172</v>
      </c>
      <c r="BT9" s="47">
        <f>SUM(BT4:BT8)</f>
        <v>10724</v>
      </c>
      <c r="BU9" s="34"/>
      <c r="BV9" s="34"/>
      <c r="BW9" s="34"/>
      <c r="BX9" s="34"/>
      <c r="BY9" s="34"/>
      <c r="BZ9" s="34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>
        <f t="shared" ref="CP9:CT9" si="26">SUM(CP4:CP8)</f>
        <v>21846</v>
      </c>
      <c r="CQ9" s="47">
        <f t="shared" si="26"/>
        <v>24105</v>
      </c>
      <c r="CR9" s="47">
        <f t="shared" si="26"/>
        <v>29310</v>
      </c>
      <c r="CS9" s="47">
        <f t="shared" si="26"/>
        <v>32653</v>
      </c>
      <c r="CT9" s="47">
        <f t="shared" si="26"/>
        <v>35926</v>
      </c>
      <c r="CU9" s="47">
        <f>SUM(CU4:CU8)</f>
        <v>40000</v>
      </c>
      <c r="CV9" s="54">
        <f t="shared" ref="CV9:DD9" si="27">SUM(CV4:CV8)</f>
        <v>44041.560443699724</v>
      </c>
      <c r="CW9" s="54">
        <f t="shared" si="27"/>
        <v>48470.695473168758</v>
      </c>
      <c r="CX9" s="54">
        <f t="shared" si="27"/>
        <v>52663.694987587776</v>
      </c>
      <c r="CY9" s="54">
        <f t="shared" si="27"/>
        <v>56945.94745648995</v>
      </c>
      <c r="CZ9" s="54">
        <f t="shared" si="27"/>
        <v>61029.617400840609</v>
      </c>
      <c r="DA9" s="54">
        <f t="shared" si="27"/>
        <v>65692.975986812351</v>
      </c>
      <c r="DB9" s="54">
        <f t="shared" si="27"/>
        <v>69993.576871247671</v>
      </c>
      <c r="DC9" s="54">
        <f t="shared" si="27"/>
        <v>74539.622966581665</v>
      </c>
      <c r="DD9" s="54">
        <f t="shared" si="27"/>
        <v>79113.187779691245</v>
      </c>
      <c r="DE9" s="54">
        <f t="shared" ref="DE9" si="28">SUM(DE4:DE8)</f>
        <v>83811.751674344094</v>
      </c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</row>
    <row r="10" spans="2:161">
      <c r="B10" s="36"/>
      <c r="BT10" s="1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46"/>
    </row>
    <row r="11" spans="2:161">
      <c r="B11" s="37" t="s">
        <v>208</v>
      </c>
      <c r="BA11" s="48">
        <f t="shared" ref="BA11:BQ16" si="29">BA4/AW4-1</f>
        <v>4.7749510763209324E-2</v>
      </c>
      <c r="BB11" s="48">
        <f t="shared" si="29"/>
        <v>8.4635913076629876E-2</v>
      </c>
      <c r="BC11" s="48">
        <f t="shared" si="29"/>
        <v>0.17393109173931087</v>
      </c>
      <c r="BD11" s="48">
        <f t="shared" si="29"/>
        <v>0.40956247180875049</v>
      </c>
      <c r="BE11" s="48">
        <f t="shared" si="29"/>
        <v>0.19275308180799411</v>
      </c>
      <c r="BF11" s="48">
        <f t="shared" si="29"/>
        <v>0.23760984182776812</v>
      </c>
      <c r="BG11" s="48">
        <f t="shared" si="29"/>
        <v>0.1276520509193777</v>
      </c>
      <c r="BH11" s="48">
        <f t="shared" si="29"/>
        <v>0.10655999999999999</v>
      </c>
      <c r="BI11" s="48">
        <f t="shared" si="29"/>
        <v>9.9592859379893595E-2</v>
      </c>
      <c r="BJ11" s="48">
        <f t="shared" si="29"/>
        <v>7.1002556092019331E-2</v>
      </c>
      <c r="BK11" s="48">
        <f t="shared" si="29"/>
        <v>0.15020382565067414</v>
      </c>
      <c r="BL11" s="48">
        <f t="shared" si="29"/>
        <v>0.12087912087912089</v>
      </c>
      <c r="BM11" s="48">
        <f t="shared" si="29"/>
        <v>0.11506693249786393</v>
      </c>
      <c r="BN11" s="48">
        <f t="shared" si="29"/>
        <v>6.9477592150623213E-2</v>
      </c>
      <c r="BO11" s="48">
        <f t="shared" si="29"/>
        <v>8.1515812431842916E-2</v>
      </c>
      <c r="BP11" s="48">
        <f t="shared" si="29"/>
        <v>8.3333333333333259E-2</v>
      </c>
      <c r="BQ11" s="48">
        <f t="shared" si="29"/>
        <v>7.4840357598978224E-2</v>
      </c>
      <c r="BR11" s="48">
        <f>BR4/BN4-1</f>
        <v>9.0751301760475966E-2</v>
      </c>
      <c r="BS11" s="48">
        <f>BS4/BO4-1</f>
        <v>9.1504915553314747E-2</v>
      </c>
      <c r="BT11" s="48">
        <f>BT4/BP4-1</f>
        <v>9.5975232198142413E-2</v>
      </c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8">
        <f t="shared" ref="CQ11:CS16" si="30">CQ4/CP4-1</f>
        <v>0.17044063647490826</v>
      </c>
      <c r="CR11" s="48">
        <f t="shared" si="30"/>
        <v>0.16435729847494551</v>
      </c>
      <c r="CS11" s="48">
        <f t="shared" si="30"/>
        <v>0.10964748147593739</v>
      </c>
      <c r="CT11" s="48">
        <f>CT4/CS4-1</f>
        <v>8.6874409820585363E-2</v>
      </c>
      <c r="CU11" s="48">
        <v>9.2999999999999999E-2</v>
      </c>
      <c r="CV11" s="56">
        <v>9.4E-2</v>
      </c>
      <c r="CW11" s="56">
        <v>9.0751301760475966E-2</v>
      </c>
      <c r="CX11" s="56">
        <v>9.0751301760475966E-2</v>
      </c>
      <c r="CY11" s="56">
        <v>8.8999999999999996E-2</v>
      </c>
      <c r="CZ11" s="56">
        <v>9.0751301760475966E-2</v>
      </c>
      <c r="DA11" s="56">
        <v>9.0751301760475966E-2</v>
      </c>
      <c r="DB11" s="56">
        <v>9.0751301760475966E-2</v>
      </c>
      <c r="DC11" s="56">
        <v>9.0751301760475966E-2</v>
      </c>
      <c r="DD11" s="56">
        <v>9.0751301760475966E-2</v>
      </c>
      <c r="DE11" s="56">
        <v>9.0751301760475966E-2</v>
      </c>
    </row>
    <row r="12" spans="2:161">
      <c r="B12" s="37" t="s">
        <v>209</v>
      </c>
      <c r="BA12" s="48">
        <f t="shared" si="29"/>
        <v>5.9008379888268125E-2</v>
      </c>
      <c r="BB12" s="48">
        <f t="shared" si="29"/>
        <v>0.10512725931390632</v>
      </c>
      <c r="BC12" s="48">
        <f t="shared" si="29"/>
        <v>0.31762376237623768</v>
      </c>
      <c r="BD12" s="48">
        <f t="shared" si="29"/>
        <v>0.19513043478260861</v>
      </c>
      <c r="BE12" s="48">
        <f t="shared" si="29"/>
        <v>0.19155951203428945</v>
      </c>
      <c r="BF12" s="48">
        <f t="shared" si="29"/>
        <v>0.16154873164218952</v>
      </c>
      <c r="BG12" s="48">
        <f t="shared" si="29"/>
        <v>7.5743913435527555E-2</v>
      </c>
      <c r="BH12" s="48">
        <f t="shared" si="29"/>
        <v>9.5750873108265466E-2</v>
      </c>
      <c r="BI12" s="48">
        <f t="shared" si="29"/>
        <v>5.8937465412285617E-2</v>
      </c>
      <c r="BJ12" s="48">
        <f t="shared" si="29"/>
        <v>9.7413793103448221E-2</v>
      </c>
      <c r="BK12" s="48">
        <f t="shared" si="29"/>
        <v>0.14696842693489809</v>
      </c>
      <c r="BL12" s="48">
        <f t="shared" si="29"/>
        <v>0.13041168658698532</v>
      </c>
      <c r="BM12" s="48">
        <f t="shared" si="29"/>
        <v>0.13822837731904891</v>
      </c>
      <c r="BN12" s="48">
        <f t="shared" si="29"/>
        <v>0.11521340665095581</v>
      </c>
      <c r="BO12" s="48">
        <f t="shared" si="29"/>
        <v>9.3544457978075535E-2</v>
      </c>
      <c r="BP12" s="48">
        <f t="shared" si="29"/>
        <v>8.3176691729323293E-2</v>
      </c>
      <c r="BQ12" s="48">
        <f t="shared" si="29"/>
        <v>8.930211202938465E-2</v>
      </c>
      <c r="BR12" s="48">
        <f t="shared" ref="BR12:BT16" si="31">BR5/BN5-1</f>
        <v>0.10378023010096271</v>
      </c>
      <c r="BS12" s="48">
        <f t="shared" si="31"/>
        <v>0.14791713076409008</v>
      </c>
      <c r="BT12" s="48">
        <f t="shared" si="31"/>
        <v>0.17006507592190889</v>
      </c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8">
        <f t="shared" si="30"/>
        <v>0.16555808656036453</v>
      </c>
      <c r="CR12" s="48">
        <f t="shared" si="30"/>
        <v>0.12867417135709824</v>
      </c>
      <c r="CS12" s="48">
        <f t="shared" si="30"/>
        <v>0.1086715611580551</v>
      </c>
      <c r="CT12" s="48">
        <f t="shared" ref="CT12:CT16" si="32">CT5/CS5-1</f>
        <v>0.10664084463047407</v>
      </c>
      <c r="CU12" s="48">
        <v>0.14499999999999999</v>
      </c>
      <c r="CV12" s="56">
        <v>0.105</v>
      </c>
      <c r="CW12" s="56">
        <v>0.10100000000000001</v>
      </c>
      <c r="CX12" s="56">
        <v>9.7500000000000003E-2</v>
      </c>
      <c r="CY12" s="56">
        <v>9.2499999999999999E-2</v>
      </c>
      <c r="CZ12" s="56">
        <v>8.7499999999999994E-2</v>
      </c>
      <c r="DA12" s="56">
        <v>0.10378023010096271</v>
      </c>
      <c r="DB12" s="56">
        <v>0.10378023010096271</v>
      </c>
      <c r="DC12" s="56">
        <v>0.10378023010096271</v>
      </c>
      <c r="DD12" s="56">
        <v>0.10378023010096271</v>
      </c>
      <c r="DE12" s="56">
        <v>0.10378023010096271</v>
      </c>
    </row>
    <row r="13" spans="2:161">
      <c r="B13" s="37" t="s">
        <v>210</v>
      </c>
      <c r="BA13" s="48">
        <f t="shared" si="29"/>
        <v>-0.28097125867195238</v>
      </c>
      <c r="BB13" s="48">
        <f t="shared" si="29"/>
        <v>-0.18821603927986907</v>
      </c>
      <c r="BC13" s="48">
        <f t="shared" si="29"/>
        <v>0.53901996370235938</v>
      </c>
      <c r="BD13" s="48">
        <f t="shared" si="29"/>
        <v>0.40787518573551274</v>
      </c>
      <c r="BE13" s="48">
        <f t="shared" si="29"/>
        <v>0.49827705031013103</v>
      </c>
      <c r="BF13" s="48">
        <f t="shared" si="29"/>
        <v>0.4838709677419355</v>
      </c>
      <c r="BG13" s="48">
        <f t="shared" si="29"/>
        <v>0.50943396226415105</v>
      </c>
      <c r="BH13" s="48">
        <f t="shared" si="29"/>
        <v>0.51609498680738786</v>
      </c>
      <c r="BI13" s="48">
        <f t="shared" si="29"/>
        <v>0.28656853725850961</v>
      </c>
      <c r="BJ13" s="48">
        <f t="shared" si="29"/>
        <v>0.24501811594202905</v>
      </c>
      <c r="BK13" s="48">
        <f t="shared" si="29"/>
        <v>0.140625</v>
      </c>
      <c r="BL13" s="48">
        <f t="shared" si="29"/>
        <v>0.10407239819004532</v>
      </c>
      <c r="BM13" s="48">
        <f t="shared" si="29"/>
        <v>7.9370754379692432E-2</v>
      </c>
      <c r="BN13" s="48">
        <f t="shared" si="29"/>
        <v>8.5485631138595863E-2</v>
      </c>
      <c r="BO13" s="48">
        <f t="shared" si="29"/>
        <v>9.3835616438356251E-2</v>
      </c>
      <c r="BP13" s="48">
        <f t="shared" si="29"/>
        <v>9.331651954602771E-2</v>
      </c>
      <c r="BQ13" s="48">
        <f t="shared" si="29"/>
        <v>0.14011262007287173</v>
      </c>
      <c r="BR13" s="48">
        <f t="shared" si="31"/>
        <v>0.10288203753351199</v>
      </c>
      <c r="BS13" s="48">
        <f t="shared" si="31"/>
        <v>0.13744520976831565</v>
      </c>
      <c r="BT13" s="48">
        <f t="shared" si="31"/>
        <v>9.5732410611303331E-2</v>
      </c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8">
        <f t="shared" si="30"/>
        <v>3.6672487696459699E-2</v>
      </c>
      <c r="CR13" s="48">
        <f t="shared" si="30"/>
        <v>0.50306278713629404</v>
      </c>
      <c r="CS13" s="48">
        <f t="shared" si="30"/>
        <v>0.18573611818644942</v>
      </c>
      <c r="CT13" s="48">
        <f t="shared" si="32"/>
        <v>8.8245402990204447E-2</v>
      </c>
      <c r="CU13" s="48">
        <v>0.11749999999999999</v>
      </c>
      <c r="CV13" s="56">
        <v>0.10288203753351199</v>
      </c>
      <c r="CW13" s="56">
        <v>0.10288203753351199</v>
      </c>
      <c r="CX13" s="56">
        <v>7.0000000000000007E-2</v>
      </c>
      <c r="CY13" s="56">
        <v>6.7500000000000004E-2</v>
      </c>
      <c r="CZ13" s="56">
        <v>6.5000000000000002E-2</v>
      </c>
      <c r="DA13" s="56">
        <v>0.06</v>
      </c>
      <c r="DB13" s="56">
        <v>0.06</v>
      </c>
      <c r="DC13" s="56">
        <v>0.06</v>
      </c>
      <c r="DD13" s="56">
        <v>0.06</v>
      </c>
      <c r="DE13" s="56">
        <v>0.06</v>
      </c>
    </row>
    <row r="14" spans="2:161">
      <c r="B14" s="37" t="s">
        <v>211</v>
      </c>
      <c r="BA14" s="48">
        <f t="shared" si="29"/>
        <v>5.2054794520547842E-2</v>
      </c>
      <c r="BB14" s="48">
        <f t="shared" si="29"/>
        <v>0</v>
      </c>
      <c r="BC14" s="48">
        <f t="shared" si="29"/>
        <v>0.30254777070063699</v>
      </c>
      <c r="BD14" s="48">
        <f t="shared" si="29"/>
        <v>0.35734072022160657</v>
      </c>
      <c r="BE14" s="48">
        <f t="shared" si="29"/>
        <v>0.16927083333333326</v>
      </c>
      <c r="BF14" s="48">
        <f t="shared" si="29"/>
        <v>0.20918367346938771</v>
      </c>
      <c r="BG14" s="48">
        <f t="shared" si="29"/>
        <v>0.26405867970660157</v>
      </c>
      <c r="BH14" s="48">
        <f t="shared" si="29"/>
        <v>0.12448979591836729</v>
      </c>
      <c r="BI14" s="48">
        <f t="shared" si="29"/>
        <v>0.30734966592427626</v>
      </c>
      <c r="BJ14" s="48">
        <f t="shared" si="29"/>
        <v>0.16244725738396615</v>
      </c>
      <c r="BK14" s="48">
        <f t="shared" si="29"/>
        <v>0.15473887814313336</v>
      </c>
      <c r="BL14" s="48">
        <f t="shared" si="29"/>
        <v>0.35027223230490012</v>
      </c>
      <c r="BM14" s="48">
        <f t="shared" si="29"/>
        <v>0.17887563884156732</v>
      </c>
      <c r="BN14" s="48">
        <f t="shared" si="29"/>
        <v>0.37205081669691475</v>
      </c>
      <c r="BO14" s="48">
        <f t="shared" si="29"/>
        <v>0.30653266331658302</v>
      </c>
      <c r="BP14" s="48">
        <f t="shared" si="29"/>
        <v>0.30241935483870974</v>
      </c>
      <c r="BQ14" s="48">
        <f t="shared" si="29"/>
        <v>0.31791907514450868</v>
      </c>
      <c r="BR14" s="48">
        <f t="shared" si="31"/>
        <v>0.23941798941798931</v>
      </c>
      <c r="BS14" s="48">
        <f t="shared" si="31"/>
        <v>0.31794871794871793</v>
      </c>
      <c r="BT14" s="48">
        <f t="shared" si="31"/>
        <v>0.21362229102167185</v>
      </c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8">
        <f t="shared" si="30"/>
        <v>0.16969273743016755</v>
      </c>
      <c r="CR14" s="48">
        <f t="shared" si="30"/>
        <v>0.18865671641791049</v>
      </c>
      <c r="CS14" s="48">
        <f t="shared" si="30"/>
        <v>0.24510296333500747</v>
      </c>
      <c r="CT14" s="48">
        <f t="shared" si="32"/>
        <v>0.28963291649858824</v>
      </c>
      <c r="CU14" s="48">
        <v>0.26500000000000001</v>
      </c>
      <c r="CV14" s="56">
        <v>0.23749999999999999</v>
      </c>
      <c r="CW14" s="56">
        <v>0.22500000000000001</v>
      </c>
      <c r="CX14" s="56">
        <v>0.2175</v>
      </c>
      <c r="CY14" s="56">
        <v>0.185</v>
      </c>
      <c r="CZ14" s="56">
        <v>0.17</v>
      </c>
      <c r="DA14" s="56">
        <v>0.16</v>
      </c>
      <c r="DB14" s="56">
        <v>0.125</v>
      </c>
      <c r="DC14" s="56">
        <v>0.13</v>
      </c>
      <c r="DD14" s="56">
        <v>0.12</v>
      </c>
      <c r="DE14" s="56">
        <v>0.12</v>
      </c>
    </row>
    <row r="15" spans="2:161">
      <c r="B15" s="37" t="s">
        <v>212</v>
      </c>
      <c r="BA15" s="48">
        <f t="shared" si="29"/>
        <v>6.2929061784896989E-2</v>
      </c>
      <c r="BB15" s="48">
        <f t="shared" si="29"/>
        <v>0.16832844574780048</v>
      </c>
      <c r="BC15" s="48">
        <f t="shared" si="29"/>
        <v>0.40779907468605425</v>
      </c>
      <c r="BD15" s="48">
        <f t="shared" si="29"/>
        <v>0.40577149587750294</v>
      </c>
      <c r="BE15" s="48">
        <f t="shared" si="29"/>
        <v>0.27610333692142097</v>
      </c>
      <c r="BF15" s="48">
        <f t="shared" si="29"/>
        <v>0.25200803212851408</v>
      </c>
      <c r="BG15" s="48">
        <f t="shared" si="29"/>
        <v>0.20657276995305174</v>
      </c>
      <c r="BH15" s="48">
        <f t="shared" si="29"/>
        <v>0.19815668202764969</v>
      </c>
      <c r="BI15" s="48">
        <f t="shared" si="29"/>
        <v>0.1750316322226908</v>
      </c>
      <c r="BJ15" s="48">
        <f t="shared" si="29"/>
        <v>0.16479550922213315</v>
      </c>
      <c r="BK15" s="48">
        <f t="shared" si="29"/>
        <v>0.23229571984435804</v>
      </c>
      <c r="BL15" s="48">
        <f t="shared" si="29"/>
        <v>0.20244755244755241</v>
      </c>
      <c r="BM15" s="48">
        <f t="shared" si="29"/>
        <v>0.20172290021536243</v>
      </c>
      <c r="BN15" s="48">
        <f t="shared" si="29"/>
        <v>0.12117039586919098</v>
      </c>
      <c r="BO15" s="48">
        <f t="shared" si="29"/>
        <v>0.11461951373539625</v>
      </c>
      <c r="BP15" s="48">
        <f t="shared" si="29"/>
        <v>5.5248618784530468E-2</v>
      </c>
      <c r="BQ15" s="48">
        <f t="shared" si="29"/>
        <v>0.13410991636798086</v>
      </c>
      <c r="BR15" s="48">
        <f t="shared" si="31"/>
        <v>0.14645379183297513</v>
      </c>
      <c r="BS15" s="48">
        <f t="shared" si="31"/>
        <v>0.12521246458923518</v>
      </c>
      <c r="BT15" s="48">
        <f t="shared" si="31"/>
        <v>0.17057040507026722</v>
      </c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8">
        <f t="shared" si="30"/>
        <v>0.25555222088835539</v>
      </c>
      <c r="CR15" s="48">
        <f t="shared" si="30"/>
        <v>0.23042906657105289</v>
      </c>
      <c r="CS15" s="48">
        <f t="shared" si="30"/>
        <v>0.19446333171442443</v>
      </c>
      <c r="CT15" s="48">
        <f t="shared" si="32"/>
        <v>0.11929738960722136</v>
      </c>
      <c r="CU15" s="48">
        <v>0.15</v>
      </c>
      <c r="CV15" s="56">
        <v>0.13500000000000001</v>
      </c>
      <c r="CW15" s="56">
        <v>0.1275</v>
      </c>
      <c r="CX15" s="56">
        <v>0.13</v>
      </c>
      <c r="CY15" s="56">
        <v>0.125</v>
      </c>
      <c r="CZ15" s="56">
        <v>0.13700000000000001</v>
      </c>
      <c r="DA15" s="56">
        <v>0.13750000000000001</v>
      </c>
      <c r="DB15" s="56">
        <v>0.14645379183297513</v>
      </c>
      <c r="DC15" s="56">
        <v>0.14645379183297513</v>
      </c>
      <c r="DD15" s="56">
        <v>0.14645379183297513</v>
      </c>
      <c r="DE15" s="56">
        <v>0.14645379183297513</v>
      </c>
    </row>
    <row r="16" spans="2:161" s="2" customFormat="1" ht="15">
      <c r="B16" s="33" t="s">
        <v>213</v>
      </c>
      <c r="BA16" s="49">
        <f t="shared" si="29"/>
        <v>-6.0621076973901511E-2</v>
      </c>
      <c r="BB16" s="49">
        <f t="shared" si="29"/>
        <v>-2.1352921079603737E-2</v>
      </c>
      <c r="BC16" s="49">
        <f t="shared" si="29"/>
        <v>0.26731445110605745</v>
      </c>
      <c r="BD16" s="49">
        <f t="shared" si="29"/>
        <v>0.28582630856694768</v>
      </c>
      <c r="BE16" s="49">
        <f t="shared" si="29"/>
        <v>0.24125197819588529</v>
      </c>
      <c r="BF16" s="49">
        <f t="shared" si="29"/>
        <v>0.25484377727352059</v>
      </c>
      <c r="BG16" s="49">
        <f t="shared" si="29"/>
        <v>0.18678629690048942</v>
      </c>
      <c r="BH16" s="49">
        <f t="shared" si="29"/>
        <v>0.18722366214361941</v>
      </c>
      <c r="BI16" s="49">
        <f t="shared" si="29"/>
        <v>0.12423856070264905</v>
      </c>
      <c r="BJ16" s="49">
        <f t="shared" si="29"/>
        <v>0.11072471831965514</v>
      </c>
      <c r="BK16" s="49">
        <f t="shared" si="29"/>
        <v>0.11656357388316141</v>
      </c>
      <c r="BL16" s="49">
        <f t="shared" si="29"/>
        <v>0.1055605496340053</v>
      </c>
      <c r="BM16" s="49">
        <f t="shared" si="29"/>
        <v>8.7953629032258007E-2</v>
      </c>
      <c r="BN16" s="49">
        <f t="shared" si="29"/>
        <v>9.8935504070131408E-2</v>
      </c>
      <c r="BO16" s="49">
        <f t="shared" si="29"/>
        <v>9.5654314908285132E-2</v>
      </c>
      <c r="BP16" s="49">
        <f t="shared" si="29"/>
        <v>0.11708676965965847</v>
      </c>
      <c r="BQ16" s="49">
        <f t="shared" si="29"/>
        <v>0.10145934676858936</v>
      </c>
      <c r="BR16" s="49">
        <f t="shared" si="31"/>
        <v>9.3333333333333268E-2</v>
      </c>
      <c r="BS16" s="49">
        <f t="shared" si="31"/>
        <v>0.14292134831460679</v>
      </c>
      <c r="BT16" s="49">
        <f t="shared" ref="BT16" si="33">BT9/BP9-1</f>
        <v>0.11510866174482692</v>
      </c>
      <c r="BU16" s="34"/>
      <c r="BV16" s="34"/>
      <c r="BW16" s="34"/>
      <c r="BX16" s="34"/>
      <c r="BY16" s="34"/>
      <c r="BZ16" s="34"/>
      <c r="CA16" s="47"/>
      <c r="CB16" s="47"/>
      <c r="CC16" s="47"/>
      <c r="CD16" s="47"/>
      <c r="CE16" s="47"/>
      <c r="CF16" s="47"/>
      <c r="CG16" s="47"/>
      <c r="CH16" s="47"/>
      <c r="CI16" s="47"/>
      <c r="CJ16" s="47"/>
      <c r="CK16" s="47"/>
      <c r="CL16" s="47"/>
      <c r="CM16" s="47"/>
      <c r="CN16" s="47"/>
      <c r="CO16" s="47"/>
      <c r="CP16" s="47"/>
      <c r="CQ16" s="49">
        <f t="shared" si="30"/>
        <v>0.10340565778632249</v>
      </c>
      <c r="CR16" s="49">
        <f t="shared" si="30"/>
        <v>0.21593030491599263</v>
      </c>
      <c r="CS16" s="49">
        <f t="shared" si="30"/>
        <v>0.11405663596042315</v>
      </c>
      <c r="CT16" s="49">
        <f t="shared" si="32"/>
        <v>0.10023581294214923</v>
      </c>
      <c r="CU16" s="49">
        <f>CU9/CT9-1</f>
        <v>0.11339976618604908</v>
      </c>
      <c r="CV16" s="57">
        <f t="shared" ref="CV16:DE16" si="34">CV9/CU9-1</f>
        <v>0.10103901109249303</v>
      </c>
      <c r="CW16" s="57">
        <f t="shared" si="34"/>
        <v>0.10056716848466341</v>
      </c>
      <c r="CX16" s="57">
        <f t="shared" si="34"/>
        <v>8.6505866554773769E-2</v>
      </c>
      <c r="CY16" s="57">
        <f t="shared" si="34"/>
        <v>8.1313179219791865E-2</v>
      </c>
      <c r="CZ16" s="57">
        <f t="shared" si="34"/>
        <v>7.1711335516382757E-2</v>
      </c>
      <c r="DA16" s="57">
        <f t="shared" si="34"/>
        <v>7.6411401292964864E-2</v>
      </c>
      <c r="DB16" s="57">
        <f t="shared" si="34"/>
        <v>6.5465155442168577E-2</v>
      </c>
      <c r="DC16" s="57">
        <f t="shared" si="34"/>
        <v>6.4949475345378982E-2</v>
      </c>
      <c r="DD16" s="57">
        <f t="shared" si="34"/>
        <v>6.1357498617346629E-2</v>
      </c>
      <c r="DE16" s="57">
        <f t="shared" si="34"/>
        <v>5.9390400343076521E-2</v>
      </c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  <c r="EY16" s="34"/>
      <c r="EZ16" s="34"/>
      <c r="FA16" s="34"/>
      <c r="FB16" s="34"/>
      <c r="FC16" s="34"/>
      <c r="FD16" s="34"/>
    </row>
    <row r="17" spans="2:160">
      <c r="BT17" s="1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</row>
    <row r="18" spans="2:160">
      <c r="B18" s="37" t="s">
        <v>214</v>
      </c>
      <c r="AW18" s="48">
        <f t="shared" ref="AW18:BQ18" si="35">AW4/AW9</f>
        <v>0.4220350181698051</v>
      </c>
      <c r="AX18" s="48">
        <f t="shared" si="35"/>
        <v>0.44806969593440382</v>
      </c>
      <c r="AY18" s="48">
        <f t="shared" si="35"/>
        <v>0.49803597271035766</v>
      </c>
      <c r="AZ18" s="48">
        <f t="shared" si="35"/>
        <v>0.43462066261517351</v>
      </c>
      <c r="BA18" s="48">
        <f t="shared" si="35"/>
        <v>0.47072270089678214</v>
      </c>
      <c r="BB18" s="48">
        <f t="shared" si="35"/>
        <v>0.49659626461860706</v>
      </c>
      <c r="BC18" s="48">
        <f t="shared" si="35"/>
        <v>0.46133768352365417</v>
      </c>
      <c r="BD18" s="48">
        <f t="shared" si="35"/>
        <v>0.47644457996645828</v>
      </c>
      <c r="BE18" s="48">
        <f t="shared" si="35"/>
        <v>0.45233035840770647</v>
      </c>
      <c r="BF18" s="48">
        <f t="shared" si="35"/>
        <v>0.48977604673807207</v>
      </c>
      <c r="BG18" s="48">
        <f t="shared" si="35"/>
        <v>0.43835051546391751</v>
      </c>
      <c r="BH18" s="48">
        <f t="shared" si="35"/>
        <v>0.44407345575959933</v>
      </c>
      <c r="BI18" s="48">
        <f t="shared" si="35"/>
        <v>0.44241431451612906</v>
      </c>
      <c r="BJ18" s="48">
        <f t="shared" si="35"/>
        <v>0.47226048841577961</v>
      </c>
      <c r="BK18" s="48">
        <f t="shared" si="35"/>
        <v>0.45155730641388647</v>
      </c>
      <c r="BL18" s="48">
        <f t="shared" si="35"/>
        <v>0.45022650714368684</v>
      </c>
      <c r="BM18" s="48">
        <f t="shared" si="35"/>
        <v>0.4534398888116748</v>
      </c>
      <c r="BN18" s="48">
        <f t="shared" si="35"/>
        <v>0.45960113960113957</v>
      </c>
      <c r="BO18" s="48">
        <f t="shared" si="35"/>
        <v>0.44573033707865167</v>
      </c>
      <c r="BP18" s="48">
        <f t="shared" si="35"/>
        <v>0.4366226473952376</v>
      </c>
      <c r="BQ18" s="48">
        <f t="shared" si="35"/>
        <v>0.44248159831756045</v>
      </c>
      <c r="BR18" s="48">
        <f>BR4/BR9</f>
        <v>0.45851573900354387</v>
      </c>
      <c r="BS18" s="48">
        <f>BS4/BS9</f>
        <v>0.42567833267793942</v>
      </c>
      <c r="BT18" s="48">
        <f>BT4/BT9</f>
        <v>0.4291309212980231</v>
      </c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8">
        <f>CQ4/$CQ$9</f>
        <v>0.47604231487243309</v>
      </c>
      <c r="CR18" s="48">
        <f>CR4/$CR$9</f>
        <v>0.45585124530876836</v>
      </c>
      <c r="CS18" s="48">
        <f>CS4/$CS$9</f>
        <v>0.454047101338315</v>
      </c>
      <c r="CT18" s="48">
        <f>CT4/$CT$9</f>
        <v>0.4485330958080499</v>
      </c>
      <c r="CU18" s="48">
        <f>CU4/$CU$9</f>
        <v>0.438475</v>
      </c>
    </row>
    <row r="19" spans="2:160">
      <c r="B19" s="37" t="s">
        <v>215</v>
      </c>
      <c r="AW19" s="48">
        <f t="shared" ref="AW19:BQ19" si="36">AW5/AW9</f>
        <v>0.47307565246118272</v>
      </c>
      <c r="AX19" s="48">
        <f t="shared" si="36"/>
        <v>0.4631021523744448</v>
      </c>
      <c r="AY19" s="48">
        <f t="shared" si="36"/>
        <v>0.52201777961546414</v>
      </c>
      <c r="AZ19" s="48">
        <f t="shared" si="36"/>
        <v>0.5636149774554009</v>
      </c>
      <c r="BA19" s="48">
        <f t="shared" si="36"/>
        <v>0.53332161069104977</v>
      </c>
      <c r="BB19" s="48">
        <f t="shared" si="36"/>
        <v>0.52295339500785476</v>
      </c>
      <c r="BC19" s="48">
        <f t="shared" si="36"/>
        <v>0.54274061990212075</v>
      </c>
      <c r="BD19" s="48">
        <f t="shared" si="36"/>
        <v>0.52386034456472019</v>
      </c>
      <c r="BE19" s="48">
        <f t="shared" si="36"/>
        <v>0.51197053406998161</v>
      </c>
      <c r="BF19" s="48">
        <f t="shared" si="36"/>
        <v>0.4840728891361803</v>
      </c>
      <c r="BG19" s="48">
        <f t="shared" si="36"/>
        <v>0.49195876288659796</v>
      </c>
      <c r="BH19" s="48">
        <f t="shared" si="36"/>
        <v>0.483498137922178</v>
      </c>
      <c r="BI19" s="48">
        <f t="shared" si="36"/>
        <v>0.48223286290322581</v>
      </c>
      <c r="BJ19" s="48">
        <f t="shared" si="36"/>
        <v>0.47827175954915468</v>
      </c>
      <c r="BK19" s="48">
        <f t="shared" si="36"/>
        <v>0.5053551643481472</v>
      </c>
      <c r="BL19" s="48">
        <f t="shared" si="36"/>
        <v>0.49436636078522478</v>
      </c>
      <c r="BM19" s="48">
        <f t="shared" si="36"/>
        <v>0.50451702571230017</v>
      </c>
      <c r="BN19" s="48">
        <f t="shared" si="36"/>
        <v>0.48535612535612538</v>
      </c>
      <c r="BO19" s="48">
        <f t="shared" si="36"/>
        <v>0.50438202247191011</v>
      </c>
      <c r="BP19" s="48">
        <f t="shared" si="36"/>
        <v>0.47935946760944159</v>
      </c>
      <c r="BQ19" s="48">
        <f t="shared" si="36"/>
        <v>0.4989484752891693</v>
      </c>
      <c r="BR19" s="48">
        <f>BR5/BR9</f>
        <v>0.48999374609130708</v>
      </c>
      <c r="BS19" s="48">
        <f>BS5/BS9</f>
        <v>0.50658670861187571</v>
      </c>
      <c r="BT19" s="48">
        <f>BT5/BT9</f>
        <v>0.5029839612085043</v>
      </c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8">
        <f t="shared" ref="CQ19:CQ22" si="37">CQ5/$CQ$9</f>
        <v>0.53067828251400129</v>
      </c>
      <c r="CR19" s="48">
        <f t="shared" ref="CR19:CR22" si="38">CR5/$CR$9</f>
        <v>0.49259638348686458</v>
      </c>
      <c r="CS19" s="48">
        <f t="shared" ref="CS19:CS22" si="39">CS5/$CS$9</f>
        <v>0.49021529415367654</v>
      </c>
      <c r="CT19" s="48">
        <f t="shared" ref="CT19:CT22" si="40">CT5/$CT$9</f>
        <v>0.49306908645549186</v>
      </c>
      <c r="CU19" s="48">
        <f t="shared" ref="CU19:CU22" si="41">CU5/$CU$9</f>
        <v>0.49982500000000002</v>
      </c>
    </row>
    <row r="20" spans="2:160">
      <c r="B20" s="37" t="s">
        <v>216</v>
      </c>
      <c r="AW20" s="48">
        <f t="shared" ref="AW20:BQ20" si="42">AW6/AW9</f>
        <v>0.33333333333333331</v>
      </c>
      <c r="AX20" s="48">
        <f t="shared" si="42"/>
        <v>0.31311923471130848</v>
      </c>
      <c r="AY20" s="48">
        <f t="shared" si="42"/>
        <v>0.22782716559851146</v>
      </c>
      <c r="AZ20" s="48">
        <f t="shared" si="42"/>
        <v>0.26386982944520682</v>
      </c>
      <c r="BA20" s="48">
        <f t="shared" si="42"/>
        <v>0.25514330930191664</v>
      </c>
      <c r="BB20" s="48">
        <f t="shared" si="42"/>
        <v>0.25973119218013613</v>
      </c>
      <c r="BC20" s="48">
        <f t="shared" si="42"/>
        <v>0.27667210440456769</v>
      </c>
      <c r="BD20" s="48">
        <f t="shared" si="42"/>
        <v>0.28891599329166029</v>
      </c>
      <c r="BE20" s="48">
        <f t="shared" si="42"/>
        <v>0.30797563394248478</v>
      </c>
      <c r="BF20" s="48">
        <f t="shared" si="42"/>
        <v>0.30713590207261093</v>
      </c>
      <c r="BG20" s="48">
        <f t="shared" si="42"/>
        <v>0.35189003436426119</v>
      </c>
      <c r="BH20" s="48">
        <f t="shared" si="42"/>
        <v>0.36894824707846413</v>
      </c>
      <c r="BI20" s="48">
        <f t="shared" si="42"/>
        <v>0.35244455645161288</v>
      </c>
      <c r="BJ20" s="48">
        <f t="shared" si="42"/>
        <v>0.34427050720100189</v>
      </c>
      <c r="BK20" s="48">
        <f t="shared" si="42"/>
        <v>0.35947310107103286</v>
      </c>
      <c r="BL20" s="48">
        <f t="shared" si="42"/>
        <v>0.36845162039725871</v>
      </c>
      <c r="BM20" s="48">
        <f t="shared" si="42"/>
        <v>0.34966411860088026</v>
      </c>
      <c r="BN20" s="48">
        <f t="shared" si="42"/>
        <v>0.34005698005698004</v>
      </c>
      <c r="BO20" s="48">
        <f t="shared" si="42"/>
        <v>0.35887640449438202</v>
      </c>
      <c r="BP20" s="48">
        <f t="shared" si="42"/>
        <v>0.36061141728189666</v>
      </c>
      <c r="BQ20" s="48">
        <f t="shared" si="42"/>
        <v>0.3619348054679285</v>
      </c>
      <c r="BR20" s="48">
        <f>BR6/BR9</f>
        <v>0.34302689180737961</v>
      </c>
      <c r="BS20" s="48">
        <f>BS6/BS9</f>
        <v>0.35715690129767991</v>
      </c>
      <c r="BT20" s="48">
        <f>BT6/BT9</f>
        <v>0.35434539350988437</v>
      </c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8">
        <f t="shared" si="37"/>
        <v>0.27089815390997718</v>
      </c>
      <c r="CR20" s="48">
        <f t="shared" si="38"/>
        <v>0.33486864551347661</v>
      </c>
      <c r="CS20" s="48">
        <f t="shared" si="39"/>
        <v>0.3564144182770343</v>
      </c>
      <c r="CT20" s="48">
        <f t="shared" si="40"/>
        <v>0.35253020096865778</v>
      </c>
      <c r="CU20" s="48">
        <f t="shared" si="41"/>
        <v>0.35415000000000002</v>
      </c>
    </row>
    <row r="21" spans="2:160">
      <c r="B21" s="37" t="s">
        <v>218</v>
      </c>
      <c r="AW21" s="48">
        <f t="shared" ref="AW21:BQ21" si="43">AW7/AW9</f>
        <v>6.0290716881400724E-2</v>
      </c>
      <c r="AX21" s="48">
        <f t="shared" si="43"/>
        <v>6.6962760505637167E-2</v>
      </c>
      <c r="AY21" s="48">
        <f t="shared" si="43"/>
        <v>6.4916270415546831E-2</v>
      </c>
      <c r="AZ21" s="48">
        <f t="shared" si="43"/>
        <v>7.0770437169182507E-2</v>
      </c>
      <c r="BA21" s="48">
        <f t="shared" si="43"/>
        <v>6.7522419553367324E-2</v>
      </c>
      <c r="BB21" s="48">
        <f t="shared" si="43"/>
        <v>6.8423808692616508E-2</v>
      </c>
      <c r="BC21" s="48">
        <f t="shared" si="43"/>
        <v>6.6721044045676997E-2</v>
      </c>
      <c r="BD21" s="48">
        <f t="shared" si="43"/>
        <v>7.4706510138740662E-2</v>
      </c>
      <c r="BE21" s="48">
        <f t="shared" si="43"/>
        <v>6.3606743164754218E-2</v>
      </c>
      <c r="BF21" s="48">
        <f t="shared" si="43"/>
        <v>6.5934065934065936E-2</v>
      </c>
      <c r="BG21" s="48">
        <f t="shared" si="43"/>
        <v>7.1065292096219937E-2</v>
      </c>
      <c r="BH21" s="48">
        <f t="shared" si="43"/>
        <v>7.0758957236419673E-2</v>
      </c>
      <c r="BI21" s="48">
        <f t="shared" si="43"/>
        <v>7.3966733870967735E-2</v>
      </c>
      <c r="BJ21" s="48">
        <f t="shared" si="43"/>
        <v>6.9004383218534748E-2</v>
      </c>
      <c r="BK21" s="48">
        <f t="shared" si="43"/>
        <v>7.3495014157331034E-2</v>
      </c>
      <c r="BL21" s="48">
        <f t="shared" si="43"/>
        <v>8.6421187129747945E-2</v>
      </c>
      <c r="BM21" s="48">
        <f t="shared" si="43"/>
        <v>8.0148251100301132E-2</v>
      </c>
      <c r="BN21" s="48">
        <f t="shared" si="43"/>
        <v>8.615384615384615E-2</v>
      </c>
      <c r="BO21" s="48">
        <f t="shared" si="43"/>
        <v>8.7640449438202248E-2</v>
      </c>
      <c r="BP21" s="48">
        <f t="shared" si="43"/>
        <v>0.10075907247582407</v>
      </c>
      <c r="BQ21" s="48">
        <f t="shared" si="43"/>
        <v>9.5899053627760258E-2</v>
      </c>
      <c r="BR21" s="48">
        <f>BR7/BR9</f>
        <v>9.7665207421304981E-2</v>
      </c>
      <c r="BS21" s="48">
        <f>BS7/BS9</f>
        <v>0.10106173810460087</v>
      </c>
      <c r="BT21" s="48">
        <f>BT7/BT9</f>
        <v>0.10966057441253264</v>
      </c>
      <c r="CA21" s="46"/>
      <c r="CB21" s="46"/>
      <c r="CC21" s="46"/>
      <c r="CD21" s="46"/>
      <c r="CE21" s="46"/>
      <c r="CF21" s="46"/>
      <c r="CG21" s="46"/>
      <c r="CH21" s="46"/>
      <c r="CI21" s="46"/>
      <c r="CJ21" s="46"/>
      <c r="CK21" s="46"/>
      <c r="CL21" s="46"/>
      <c r="CM21" s="46"/>
      <c r="CN21" s="46"/>
      <c r="CO21" s="46"/>
      <c r="CP21" s="46"/>
      <c r="CQ21" s="48">
        <f t="shared" si="37"/>
        <v>6.9487658162207006E-2</v>
      </c>
      <c r="CR21" s="48">
        <f t="shared" si="38"/>
        <v>6.7929034459228932E-2</v>
      </c>
      <c r="CS21" s="48">
        <f t="shared" si="39"/>
        <v>7.5919517349095036E-2</v>
      </c>
      <c r="CT21" s="48">
        <f t="shared" si="40"/>
        <v>8.8988476312419976E-2</v>
      </c>
      <c r="CU21" s="48">
        <f t="shared" si="41"/>
        <v>0.101325</v>
      </c>
    </row>
    <row r="22" spans="2:160">
      <c r="B22" s="37" t="s">
        <v>217</v>
      </c>
      <c r="AW22" s="48">
        <f t="shared" ref="AW22:BQ22" si="44">AW8/AW9</f>
        <v>-0.28873472084572183</v>
      </c>
      <c r="AX22" s="48">
        <f t="shared" si="44"/>
        <v>-0.29125384352579431</v>
      </c>
      <c r="AY22" s="48">
        <f t="shared" si="44"/>
        <v>-0.31279718833988007</v>
      </c>
      <c r="AZ22" s="48">
        <f t="shared" si="44"/>
        <v>-0.33287590668496375</v>
      </c>
      <c r="BA22" s="48">
        <f t="shared" si="44"/>
        <v>-0.32671004044311586</v>
      </c>
      <c r="BB22" s="48">
        <f t="shared" si="44"/>
        <v>-0.3477046604992145</v>
      </c>
      <c r="BC22" s="48">
        <f t="shared" si="44"/>
        <v>-0.34747145187601958</v>
      </c>
      <c r="BD22" s="48">
        <f t="shared" si="44"/>
        <v>-0.36392742796157951</v>
      </c>
      <c r="BE22" s="48">
        <f t="shared" si="44"/>
        <v>-0.33588326958492704</v>
      </c>
      <c r="BF22" s="48">
        <f t="shared" si="44"/>
        <v>-0.34691890388092922</v>
      </c>
      <c r="BG22" s="48">
        <f t="shared" si="44"/>
        <v>-0.35326460481099659</v>
      </c>
      <c r="BH22" s="48">
        <f t="shared" si="44"/>
        <v>-0.36727879799666108</v>
      </c>
      <c r="BI22" s="48">
        <f t="shared" si="44"/>
        <v>-0.3510584677419355</v>
      </c>
      <c r="BJ22" s="48">
        <f t="shared" si="44"/>
        <v>-0.36380713838447087</v>
      </c>
      <c r="BK22" s="48">
        <f t="shared" si="44"/>
        <v>-0.38988058599039765</v>
      </c>
      <c r="BL22" s="48">
        <f t="shared" si="44"/>
        <v>-0.39946567545591821</v>
      </c>
      <c r="BM22" s="48">
        <f t="shared" si="44"/>
        <v>-0.38776928422515639</v>
      </c>
      <c r="BN22" s="48">
        <f t="shared" si="44"/>
        <v>-0.37116809116809119</v>
      </c>
      <c r="BO22" s="48">
        <f t="shared" si="44"/>
        <v>-0.39662921348314606</v>
      </c>
      <c r="BP22" s="48">
        <f t="shared" si="44"/>
        <v>-0.3773526047623999</v>
      </c>
      <c r="BQ22" s="48">
        <f t="shared" si="44"/>
        <v>-0.3992639327024185</v>
      </c>
      <c r="BR22" s="48">
        <f>BR8/BR9</f>
        <v>-0.38920158432353552</v>
      </c>
      <c r="BS22" s="48">
        <f>BS8/BS9</f>
        <v>-0.39048368069209594</v>
      </c>
      <c r="BT22" s="48">
        <f>BT8/BT9</f>
        <v>-0.3961208504289444</v>
      </c>
      <c r="CA22" s="46"/>
      <c r="CB22" s="46"/>
      <c r="CC22" s="46"/>
      <c r="CD22" s="46"/>
      <c r="CE22" s="46"/>
      <c r="CF22" s="46"/>
      <c r="CG22" s="46"/>
      <c r="CH22" s="46"/>
      <c r="CI22" s="46"/>
      <c r="CJ22" s="46"/>
      <c r="CK22" s="46"/>
      <c r="CL22" s="46"/>
      <c r="CM22" s="46"/>
      <c r="CN22" s="46"/>
      <c r="CO22" s="46"/>
      <c r="CP22" s="46"/>
      <c r="CQ22" s="48">
        <f t="shared" si="37"/>
        <v>-0.34710640945861854</v>
      </c>
      <c r="CR22" s="48">
        <f t="shared" si="38"/>
        <v>-0.35124530876833843</v>
      </c>
      <c r="CS22" s="48">
        <f t="shared" si="39"/>
        <v>-0.37659633111812085</v>
      </c>
      <c r="CT22" s="48">
        <f t="shared" si="40"/>
        <v>-0.3831208595446195</v>
      </c>
      <c r="CU22" s="48">
        <f t="shared" si="41"/>
        <v>-0.39377499999999999</v>
      </c>
    </row>
    <row r="23" spans="2:160">
      <c r="BT23" s="1"/>
      <c r="CA23" s="46"/>
      <c r="CB23" s="46"/>
      <c r="CC23" s="46"/>
      <c r="CD23" s="46"/>
      <c r="CE23" s="46"/>
      <c r="CF23" s="46"/>
      <c r="CG23" s="46"/>
      <c r="CH23" s="46"/>
      <c r="CI23" s="46"/>
      <c r="CJ23" s="46"/>
      <c r="CK23" s="46"/>
      <c r="CL23" s="46"/>
      <c r="CM23" s="46"/>
      <c r="CN23" s="46"/>
      <c r="CO23" s="46"/>
      <c r="CP23" s="46"/>
      <c r="CQ23" s="46"/>
      <c r="CR23" s="46"/>
      <c r="CS23" s="46"/>
      <c r="CT23" s="46"/>
    </row>
    <row r="24" spans="2:160">
      <c r="B24" s="1" t="s">
        <v>123</v>
      </c>
      <c r="AW24" s="1">
        <v>2717</v>
      </c>
      <c r="AX24" s="1">
        <v>2650</v>
      </c>
      <c r="AY24" s="1">
        <v>2380</v>
      </c>
      <c r="AZ24" s="1">
        <f>10125-SUM(AW24:AY24)</f>
        <v>2378</v>
      </c>
      <c r="BA24" s="1">
        <v>2667</v>
      </c>
      <c r="BB24" s="1">
        <v>2683</v>
      </c>
      <c r="BC24" s="1">
        <v>2806</v>
      </c>
      <c r="BD24" s="1">
        <f>11160-SUM(BA24:BC24)</f>
        <v>3004</v>
      </c>
      <c r="BE24" s="1">
        <v>3178</v>
      </c>
      <c r="BF24" s="1">
        <v>3079</v>
      </c>
      <c r="BG24" s="1">
        <v>3170</v>
      </c>
      <c r="BH24" s="1">
        <f>12851-SUM(BE24:BG24)</f>
        <v>3424</v>
      </c>
      <c r="BI24" s="1">
        <v>3567</v>
      </c>
      <c r="BJ24" s="1">
        <v>3540</v>
      </c>
      <c r="BK24" s="1">
        <v>3443</v>
      </c>
      <c r="BL24" s="1">
        <f>14138-SUM(BI24:BK24)</f>
        <v>3588</v>
      </c>
      <c r="BM24" s="1">
        <v>3645</v>
      </c>
      <c r="BN24" s="1">
        <v>3643</v>
      </c>
      <c r="BO24" s="1">
        <v>3621</v>
      </c>
      <c r="BP24" s="1">
        <f>14780-SUM(BM24:BO24)</f>
        <v>3871</v>
      </c>
      <c r="BQ24" s="1">
        <v>3738</v>
      </c>
      <c r="BR24" s="1">
        <v>3811</v>
      </c>
      <c r="BS24" s="1">
        <v>3927</v>
      </c>
      <c r="BT24" s="1"/>
      <c r="CA24" s="46"/>
      <c r="CB24" s="46"/>
      <c r="CC24" s="46"/>
      <c r="CD24" s="46"/>
      <c r="CE24" s="46"/>
      <c r="CF24" s="46"/>
      <c r="CG24" s="46"/>
      <c r="CH24" s="46"/>
      <c r="CI24" s="46"/>
      <c r="CJ24" s="46"/>
      <c r="CK24" s="46"/>
      <c r="CL24" s="46"/>
      <c r="CM24" s="46"/>
      <c r="CN24" s="46"/>
      <c r="CO24" s="46"/>
      <c r="CP24" s="46">
        <f>SUM(AW24:AZ24)</f>
        <v>10125</v>
      </c>
      <c r="CQ24" s="46">
        <f>SUM(BA24:BD24)</f>
        <v>11160</v>
      </c>
      <c r="CR24" s="46">
        <f>SUM(BE24:BH24)</f>
        <v>12851</v>
      </c>
      <c r="CS24" s="46">
        <f>SUM(BI24:BL24)</f>
        <v>14138</v>
      </c>
      <c r="CT24" s="1">
        <f>SUM(BM24:BP24)</f>
        <v>14780</v>
      </c>
      <c r="CU24" s="1">
        <f t="shared" ref="CU24:CU25" si="45">SUM(BQ24:BT24)</f>
        <v>11476</v>
      </c>
    </row>
    <row r="25" spans="2:160">
      <c r="B25" s="1" t="s">
        <v>205</v>
      </c>
      <c r="AW25" s="1">
        <v>3337</v>
      </c>
      <c r="AX25" s="1">
        <v>3204</v>
      </c>
      <c r="AY25" s="1">
        <v>2457</v>
      </c>
      <c r="AZ25" s="1">
        <f>11721-SUM(AW25:AY25)</f>
        <v>2723</v>
      </c>
      <c r="BA25" s="1">
        <v>3020</v>
      </c>
      <c r="BB25" s="1">
        <v>3046</v>
      </c>
      <c r="BC25" s="1">
        <v>3324</v>
      </c>
      <c r="BD25" s="1">
        <f>12945-SUM(BA25:BC25)</f>
        <v>3555</v>
      </c>
      <c r="BE25" s="1">
        <v>3881</v>
      </c>
      <c r="BF25" s="1">
        <v>4110</v>
      </c>
      <c r="BG25" s="1">
        <v>4105</v>
      </c>
      <c r="BH25" s="1">
        <f>16459-SUM(BE25:BG25)</f>
        <v>4363</v>
      </c>
      <c r="BI25" s="1">
        <v>4369</v>
      </c>
      <c r="BJ25" s="1">
        <v>4445</v>
      </c>
      <c r="BK25" s="1">
        <v>4680</v>
      </c>
      <c r="BL25" s="1">
        <f>18515-SUM(BI25:BK25)</f>
        <v>5021</v>
      </c>
      <c r="BM25" s="1">
        <v>4989</v>
      </c>
      <c r="BN25" s="1">
        <v>5132</v>
      </c>
      <c r="BO25" s="1">
        <v>5279</v>
      </c>
      <c r="BP25" s="1">
        <f>21146-SUM(BM25:BO25)</f>
        <v>5746</v>
      </c>
      <c r="BQ25" s="1">
        <v>5772</v>
      </c>
      <c r="BR25" s="1">
        <v>5783</v>
      </c>
      <c r="BS25" s="1">
        <v>6245</v>
      </c>
      <c r="BT25" s="1"/>
      <c r="CA25" s="46"/>
      <c r="CB25" s="46"/>
      <c r="CC25" s="46"/>
      <c r="CD25" s="46"/>
      <c r="CE25" s="46"/>
      <c r="CF25" s="46"/>
      <c r="CG25" s="46"/>
      <c r="CH25" s="46"/>
      <c r="CI25" s="46"/>
      <c r="CJ25" s="46"/>
      <c r="CK25" s="46"/>
      <c r="CL25" s="46"/>
      <c r="CM25" s="46"/>
      <c r="CN25" s="46"/>
      <c r="CO25" s="46"/>
      <c r="CP25" s="46">
        <f>SUM(AW25:AZ25)</f>
        <v>11721</v>
      </c>
      <c r="CQ25" s="46">
        <f>SUM(BA25:BD25)</f>
        <v>12945</v>
      </c>
      <c r="CR25" s="46">
        <f>SUM(BE25:BH25)</f>
        <v>16459</v>
      </c>
      <c r="CS25" s="46">
        <f>SUM(BI25:BL25)</f>
        <v>18515</v>
      </c>
      <c r="CT25" s="1">
        <f>SUM(BM25:BP25)</f>
        <v>21146</v>
      </c>
      <c r="CU25" s="1">
        <f t="shared" si="45"/>
        <v>17800</v>
      </c>
    </row>
    <row r="26" spans="2:160" s="2" customFormat="1" ht="15">
      <c r="B26" s="2" t="s">
        <v>120</v>
      </c>
      <c r="AW26" s="2">
        <f t="shared" ref="AW26:BQ26" si="46">SUM(AW24:AW25)</f>
        <v>6054</v>
      </c>
      <c r="AX26" s="2">
        <f t="shared" si="46"/>
        <v>5854</v>
      </c>
      <c r="AY26" s="2">
        <f t="shared" si="46"/>
        <v>4837</v>
      </c>
      <c r="AZ26" s="2">
        <f t="shared" si="46"/>
        <v>5101</v>
      </c>
      <c r="BA26" s="2">
        <f t="shared" si="46"/>
        <v>5687</v>
      </c>
      <c r="BB26" s="2">
        <f t="shared" si="46"/>
        <v>5729</v>
      </c>
      <c r="BC26" s="2">
        <f t="shared" si="46"/>
        <v>6130</v>
      </c>
      <c r="BD26" s="2">
        <f t="shared" si="46"/>
        <v>6559</v>
      </c>
      <c r="BE26" s="2">
        <f t="shared" si="46"/>
        <v>7059</v>
      </c>
      <c r="BF26" s="2">
        <f t="shared" si="46"/>
        <v>7189</v>
      </c>
      <c r="BG26" s="2">
        <f t="shared" si="46"/>
        <v>7275</v>
      </c>
      <c r="BH26" s="2">
        <f t="shared" si="46"/>
        <v>7787</v>
      </c>
      <c r="BI26" s="2">
        <f t="shared" si="46"/>
        <v>7936</v>
      </c>
      <c r="BJ26" s="2">
        <f t="shared" si="46"/>
        <v>7985</v>
      </c>
      <c r="BK26" s="2">
        <f t="shared" si="46"/>
        <v>8123</v>
      </c>
      <c r="BL26" s="2">
        <f t="shared" si="46"/>
        <v>8609</v>
      </c>
      <c r="BM26" s="2">
        <f t="shared" si="46"/>
        <v>8634</v>
      </c>
      <c r="BN26" s="2">
        <f t="shared" si="46"/>
        <v>8775</v>
      </c>
      <c r="BO26" s="2">
        <f t="shared" si="46"/>
        <v>8900</v>
      </c>
      <c r="BP26" s="2">
        <f t="shared" si="46"/>
        <v>9617</v>
      </c>
      <c r="BQ26" s="2">
        <f t="shared" si="46"/>
        <v>9510</v>
      </c>
      <c r="BR26" s="2">
        <f>SUM(BR24:BR25)</f>
        <v>9594</v>
      </c>
      <c r="BS26" s="2">
        <f>SUM(BS24:BS25)</f>
        <v>10172</v>
      </c>
      <c r="BT26" s="2">
        <f t="shared" ref="BT26" si="47">SUM(BT24:BT25)</f>
        <v>0</v>
      </c>
      <c r="BU26" s="34"/>
      <c r="BV26" s="34"/>
      <c r="BW26" s="34"/>
      <c r="BX26" s="34"/>
      <c r="BY26" s="34"/>
      <c r="BZ26" s="34"/>
      <c r="CA26" s="47"/>
      <c r="CB26" s="47"/>
      <c r="CC26" s="47"/>
      <c r="CD26" s="47"/>
      <c r="CE26" s="47"/>
      <c r="CF26" s="47"/>
      <c r="CG26" s="47"/>
      <c r="CH26" s="47"/>
      <c r="CI26" s="47"/>
      <c r="CJ26" s="47"/>
      <c r="CK26" s="47"/>
      <c r="CL26" s="47"/>
      <c r="CM26" s="47"/>
      <c r="CN26" s="47"/>
      <c r="CO26" s="47"/>
      <c r="CP26" s="47">
        <f>SUM(AW26:AZ26)</f>
        <v>21846</v>
      </c>
      <c r="CQ26" s="47">
        <f>SUM(BA26:BD26)</f>
        <v>24105</v>
      </c>
      <c r="CR26" s="47">
        <f>SUM(BE26:BH26)</f>
        <v>29310</v>
      </c>
      <c r="CS26" s="47">
        <f>SUM(BI26:BL26)</f>
        <v>32653</v>
      </c>
      <c r="CT26" s="2">
        <f>SUM(BM26:BP26)</f>
        <v>35926</v>
      </c>
      <c r="CU26" s="47">
        <f>SUM(CU21:CU25)</f>
        <v>29275.707549999999</v>
      </c>
      <c r="CV26" s="34"/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  <c r="EY26" s="34"/>
      <c r="EZ26" s="34"/>
      <c r="FA26" s="34"/>
      <c r="FB26" s="34"/>
      <c r="FC26" s="34"/>
      <c r="FD26" s="34"/>
    </row>
    <row r="27" spans="2:160">
      <c r="BT27" s="1"/>
      <c r="CA27" s="46"/>
      <c r="CB27" s="46"/>
      <c r="CC27" s="46"/>
      <c r="CD27" s="46"/>
      <c r="CE27" s="46"/>
      <c r="CF27" s="46"/>
      <c r="CG27" s="46"/>
      <c r="CH27" s="46"/>
      <c r="CI27" s="46"/>
      <c r="CJ27" s="46"/>
      <c r="CK27" s="46"/>
      <c r="CL27" s="46"/>
      <c r="CM27" s="46"/>
      <c r="CN27" s="46"/>
      <c r="CO27" s="46"/>
      <c r="CP27" s="46"/>
      <c r="CQ27" s="46"/>
      <c r="CR27" s="46"/>
      <c r="CS27" s="46"/>
      <c r="CT27" s="46"/>
    </row>
    <row r="28" spans="2:160">
      <c r="B28" s="1" t="s">
        <v>125</v>
      </c>
      <c r="BA28" s="48">
        <f t="shared" ref="BA28:BQ30" si="48">BA24/AW24-1</f>
        <v>-1.8402649981597352E-2</v>
      </c>
      <c r="BB28" s="48">
        <f t="shared" si="48"/>
        <v>1.2452830188679265E-2</v>
      </c>
      <c r="BC28" s="48">
        <f t="shared" si="48"/>
        <v>0.17899159663865549</v>
      </c>
      <c r="BD28" s="48">
        <f t="shared" si="48"/>
        <v>0.26324642556770406</v>
      </c>
      <c r="BE28" s="48">
        <f t="shared" si="48"/>
        <v>0.19160104986876636</v>
      </c>
      <c r="BF28" s="48">
        <f t="shared" si="48"/>
        <v>0.14759597465523666</v>
      </c>
      <c r="BG28" s="48">
        <f t="shared" si="48"/>
        <v>0.12972202423378465</v>
      </c>
      <c r="BH28" s="48">
        <f t="shared" si="48"/>
        <v>0.13981358189081217</v>
      </c>
      <c r="BI28" s="48">
        <f t="shared" si="48"/>
        <v>0.12240402769037129</v>
      </c>
      <c r="BJ28" s="48">
        <f t="shared" si="48"/>
        <v>0.14972393634296854</v>
      </c>
      <c r="BK28" s="48">
        <f t="shared" si="48"/>
        <v>8.6119873817034787E-2</v>
      </c>
      <c r="BL28" s="48">
        <f t="shared" si="48"/>
        <v>4.7897196261682318E-2</v>
      </c>
      <c r="BM28" s="48">
        <f t="shared" si="48"/>
        <v>2.1867115222876432E-2</v>
      </c>
      <c r="BN28" s="48">
        <f t="shared" si="48"/>
        <v>2.9096045197740006E-2</v>
      </c>
      <c r="BO28" s="48">
        <f t="shared" si="48"/>
        <v>5.1699099622422251E-2</v>
      </c>
      <c r="BP28" s="48">
        <f t="shared" si="48"/>
        <v>7.8874024526198516E-2</v>
      </c>
      <c r="BQ28" s="48">
        <f t="shared" si="48"/>
        <v>2.551440329218102E-2</v>
      </c>
      <c r="BR28" s="48">
        <f>BR24/BN24-1</f>
        <v>4.6115838594565028E-2</v>
      </c>
      <c r="BS28" s="48">
        <f>BS24/BO24-1</f>
        <v>8.4507042253521236E-2</v>
      </c>
      <c r="BT28" s="48">
        <f t="shared" ref="BT28:BT30" si="49">BT24/BP24-1</f>
        <v>-1</v>
      </c>
      <c r="CA28" s="46"/>
      <c r="CB28" s="46"/>
      <c r="CC28" s="46"/>
      <c r="CD28" s="46"/>
      <c r="CE28" s="46"/>
      <c r="CF28" s="46"/>
      <c r="CG28" s="46"/>
      <c r="CH28" s="46"/>
      <c r="CI28" s="46"/>
      <c r="CJ28" s="46"/>
      <c r="CK28" s="46"/>
      <c r="CL28" s="46"/>
      <c r="CM28" s="46"/>
      <c r="CN28" s="46"/>
      <c r="CO28" s="46"/>
      <c r="CP28" s="46"/>
      <c r="CQ28" s="48">
        <f t="shared" ref="CQ28:CS28" si="50">CQ24/CP24-1</f>
        <v>0.10222222222222221</v>
      </c>
      <c r="CR28" s="48">
        <f t="shared" si="50"/>
        <v>0.15152329749103943</v>
      </c>
      <c r="CS28" s="48">
        <f t="shared" si="50"/>
        <v>0.10014784841646573</v>
      </c>
      <c r="CT28" s="48">
        <f t="shared" ref="CT28:CU30" si="51">CT24/CS24-1</f>
        <v>4.5409534587636191E-2</v>
      </c>
      <c r="CU28" s="48">
        <f t="shared" si="51"/>
        <v>-0.22354533152909339</v>
      </c>
    </row>
    <row r="29" spans="2:160">
      <c r="B29" s="1" t="s">
        <v>206</v>
      </c>
      <c r="BA29" s="48">
        <f t="shared" si="48"/>
        <v>-9.4995504944560993E-2</v>
      </c>
      <c r="BB29" s="48">
        <f t="shared" si="48"/>
        <v>-4.9313358302122356E-2</v>
      </c>
      <c r="BC29" s="48">
        <f t="shared" si="48"/>
        <v>0.35286935286935295</v>
      </c>
      <c r="BD29" s="48">
        <f t="shared" si="48"/>
        <v>0.30554535438854202</v>
      </c>
      <c r="BE29" s="48">
        <f t="shared" si="48"/>
        <v>0.28509933774834439</v>
      </c>
      <c r="BF29" s="48">
        <f t="shared" si="48"/>
        <v>0.34931057124097187</v>
      </c>
      <c r="BG29" s="48">
        <f t="shared" si="48"/>
        <v>0.23495788206979551</v>
      </c>
      <c r="BH29" s="48">
        <f t="shared" si="48"/>
        <v>0.22728551336146263</v>
      </c>
      <c r="BI29" s="48">
        <f t="shared" si="48"/>
        <v>0.12574078845658332</v>
      </c>
      <c r="BJ29" s="48">
        <f t="shared" si="48"/>
        <v>8.1508515815085225E-2</v>
      </c>
      <c r="BK29" s="48">
        <f t="shared" si="48"/>
        <v>0.1400730816077953</v>
      </c>
      <c r="BL29" s="48">
        <f t="shared" si="48"/>
        <v>0.15081366032546417</v>
      </c>
      <c r="BM29" s="48">
        <f t="shared" si="48"/>
        <v>0.14190890363927666</v>
      </c>
      <c r="BN29" s="48">
        <f t="shared" si="48"/>
        <v>0.15455568053993241</v>
      </c>
      <c r="BO29" s="48">
        <f t="shared" si="48"/>
        <v>0.12799145299145298</v>
      </c>
      <c r="BP29" s="48">
        <f t="shared" si="48"/>
        <v>0.14439354710217089</v>
      </c>
      <c r="BQ29" s="48">
        <f t="shared" si="48"/>
        <v>0.15694527961515337</v>
      </c>
      <c r="BR29" s="48">
        <f t="shared" ref="BR29:BS30" si="52">BR25/BN25-1</f>
        <v>0.12685113016367877</v>
      </c>
      <c r="BS29" s="48">
        <f t="shared" si="52"/>
        <v>0.18298920250047357</v>
      </c>
      <c r="BT29" s="48">
        <f t="shared" si="49"/>
        <v>-1</v>
      </c>
      <c r="CA29" s="46"/>
      <c r="CB29" s="46"/>
      <c r="CC29" s="46"/>
      <c r="CD29" s="46"/>
      <c r="CE29" s="46"/>
      <c r="CF29" s="46"/>
      <c r="CG29" s="46"/>
      <c r="CH29" s="46"/>
      <c r="CI29" s="46"/>
      <c r="CJ29" s="46"/>
      <c r="CK29" s="46"/>
      <c r="CL29" s="46"/>
      <c r="CM29" s="46"/>
      <c r="CN29" s="46"/>
      <c r="CO29" s="46"/>
      <c r="CP29" s="46"/>
      <c r="CQ29" s="48">
        <f t="shared" ref="CQ29:CS29" si="53">CQ25/CP25-1</f>
        <v>0.10442794983363202</v>
      </c>
      <c r="CR29" s="48">
        <f t="shared" si="53"/>
        <v>0.27145616067979916</v>
      </c>
      <c r="CS29" s="48">
        <f t="shared" si="53"/>
        <v>0.1249164590801386</v>
      </c>
      <c r="CT29" s="48">
        <f t="shared" si="51"/>
        <v>0.14210099918984609</v>
      </c>
      <c r="CU29" s="48">
        <f t="shared" si="51"/>
        <v>-0.15823323560011349</v>
      </c>
    </row>
    <row r="30" spans="2:160" s="2" customFormat="1" ht="15">
      <c r="B30" s="2" t="s">
        <v>204</v>
      </c>
      <c r="BA30" s="49">
        <f t="shared" si="48"/>
        <v>-6.0621076973901511E-2</v>
      </c>
      <c r="BB30" s="49">
        <f t="shared" si="48"/>
        <v>-2.1352921079603737E-2</v>
      </c>
      <c r="BC30" s="49">
        <f t="shared" si="48"/>
        <v>0.26731445110605745</v>
      </c>
      <c r="BD30" s="49">
        <f t="shared" si="48"/>
        <v>0.28582630856694768</v>
      </c>
      <c r="BE30" s="49">
        <f t="shared" si="48"/>
        <v>0.24125197819588529</v>
      </c>
      <c r="BF30" s="49">
        <f t="shared" si="48"/>
        <v>0.25484377727352059</v>
      </c>
      <c r="BG30" s="49">
        <f t="shared" si="48"/>
        <v>0.18678629690048942</v>
      </c>
      <c r="BH30" s="49">
        <f t="shared" si="48"/>
        <v>0.18722366214361941</v>
      </c>
      <c r="BI30" s="49">
        <f t="shared" si="48"/>
        <v>0.12423856070264905</v>
      </c>
      <c r="BJ30" s="49">
        <f t="shared" si="48"/>
        <v>0.11072471831965514</v>
      </c>
      <c r="BK30" s="49">
        <f t="shared" si="48"/>
        <v>0.11656357388316141</v>
      </c>
      <c r="BL30" s="49">
        <f t="shared" si="48"/>
        <v>0.1055605496340053</v>
      </c>
      <c r="BM30" s="49">
        <f t="shared" si="48"/>
        <v>8.7953629032258007E-2</v>
      </c>
      <c r="BN30" s="49">
        <f t="shared" si="48"/>
        <v>9.8935504070131408E-2</v>
      </c>
      <c r="BO30" s="49">
        <f t="shared" si="48"/>
        <v>9.5654314908285132E-2</v>
      </c>
      <c r="BP30" s="49">
        <f t="shared" si="48"/>
        <v>0.11708676965965847</v>
      </c>
      <c r="BQ30" s="49">
        <f t="shared" si="48"/>
        <v>0.10145934676858936</v>
      </c>
      <c r="BR30" s="49">
        <f t="shared" si="52"/>
        <v>9.3333333333333268E-2</v>
      </c>
      <c r="BS30" s="49">
        <f t="shared" si="52"/>
        <v>0.14292134831460679</v>
      </c>
      <c r="BT30" s="49">
        <f t="shared" si="49"/>
        <v>-1</v>
      </c>
      <c r="BU30" s="34"/>
      <c r="BV30" s="34"/>
      <c r="BW30" s="34"/>
      <c r="BX30" s="34"/>
      <c r="BY30" s="34"/>
      <c r="BZ30" s="34"/>
      <c r="CA30" s="47"/>
      <c r="CB30" s="47"/>
      <c r="CC30" s="47"/>
      <c r="CD30" s="47"/>
      <c r="CE30" s="47"/>
      <c r="CF30" s="47"/>
      <c r="CG30" s="47"/>
      <c r="CH30" s="47"/>
      <c r="CI30" s="47"/>
      <c r="CJ30" s="47"/>
      <c r="CK30" s="47"/>
      <c r="CL30" s="47"/>
      <c r="CM30" s="47"/>
      <c r="CN30" s="47"/>
      <c r="CO30" s="47"/>
      <c r="CP30" s="47"/>
      <c r="CQ30" s="49">
        <f t="shared" ref="CQ30:CS30" si="54">CQ26/CP26-1</f>
        <v>0.10340565778632249</v>
      </c>
      <c r="CR30" s="49">
        <f t="shared" si="54"/>
        <v>0.21593030491599263</v>
      </c>
      <c r="CS30" s="49">
        <f t="shared" si="54"/>
        <v>0.11405663596042315</v>
      </c>
      <c r="CT30" s="49">
        <f t="shared" si="51"/>
        <v>0.10023581294214923</v>
      </c>
      <c r="CU30" s="49">
        <f t="shared" si="51"/>
        <v>-0.18511085147247119</v>
      </c>
      <c r="CV30" s="34"/>
      <c r="CW30" s="34"/>
      <c r="CX30" s="34"/>
      <c r="CY30" s="34"/>
      <c r="CZ30" s="34"/>
      <c r="DA30" s="34"/>
      <c r="DB30" s="34"/>
      <c r="DC30" s="34"/>
      <c r="DD30" s="34"/>
      <c r="DE30" s="34"/>
      <c r="DF30" s="34"/>
      <c r="DG30" s="34"/>
      <c r="DH30" s="34"/>
      <c r="DI30" s="34"/>
      <c r="DJ30" s="34"/>
      <c r="DK30" s="34"/>
      <c r="DL30" s="34"/>
      <c r="DM30" s="34"/>
      <c r="DN30" s="34"/>
      <c r="DO30" s="34"/>
      <c r="DP30" s="34"/>
      <c r="DQ30" s="34"/>
      <c r="DR30" s="34"/>
      <c r="DS30" s="34"/>
      <c r="DT30" s="34"/>
      <c r="DU30" s="34"/>
      <c r="DV30" s="34"/>
      <c r="DW30" s="34"/>
      <c r="DX30" s="34"/>
      <c r="DY30" s="34"/>
      <c r="DZ30" s="34"/>
      <c r="EA30" s="34"/>
      <c r="EB30" s="34"/>
      <c r="EC30" s="34"/>
      <c r="ED30" s="34"/>
      <c r="EE30" s="34"/>
      <c r="EF30" s="34"/>
      <c r="EG30" s="34"/>
      <c r="EH30" s="34"/>
      <c r="EI30" s="34"/>
      <c r="EJ30" s="34"/>
      <c r="EK30" s="34"/>
      <c r="EL30" s="34"/>
      <c r="EM30" s="34"/>
      <c r="EN30" s="34"/>
      <c r="EO30" s="34"/>
      <c r="EP30" s="34"/>
      <c r="EQ30" s="34"/>
      <c r="ER30" s="34"/>
      <c r="ES30" s="34"/>
      <c r="ET30" s="34"/>
      <c r="EU30" s="34"/>
      <c r="EV30" s="34"/>
      <c r="EW30" s="34"/>
      <c r="EX30" s="34"/>
      <c r="EY30" s="34"/>
      <c r="EZ30" s="34"/>
      <c r="FA30" s="34"/>
      <c r="FB30" s="34"/>
      <c r="FC30" s="34"/>
      <c r="FD30" s="34"/>
    </row>
    <row r="31" spans="2:160">
      <c r="BT31" s="1"/>
      <c r="CA31" s="46"/>
      <c r="CB31" s="46"/>
      <c r="CC31" s="46"/>
      <c r="CD31" s="46"/>
      <c r="CE31" s="46"/>
      <c r="CF31" s="46"/>
      <c r="CG31" s="46"/>
      <c r="CH31" s="46"/>
      <c r="CI31" s="46"/>
      <c r="CJ31" s="46"/>
      <c r="CK31" s="46"/>
      <c r="CL31" s="46"/>
      <c r="CM31" s="46"/>
      <c r="CN31" s="46"/>
      <c r="CO31" s="46"/>
      <c r="CP31" s="46"/>
      <c r="CQ31" s="46"/>
      <c r="CR31" s="46"/>
      <c r="CS31" s="46"/>
      <c r="CT31" s="48"/>
    </row>
    <row r="32" spans="2:160">
      <c r="B32" s="38" t="s">
        <v>124</v>
      </c>
      <c r="AW32" s="48">
        <f t="shared" ref="AW32:BQ32" si="55">AW24/AW26</f>
        <v>0.448794185662372</v>
      </c>
      <c r="AX32" s="48">
        <f t="shared" si="55"/>
        <v>0.45268192688759823</v>
      </c>
      <c r="AY32" s="48">
        <f t="shared" si="55"/>
        <v>0.49204052098408102</v>
      </c>
      <c r="AZ32" s="48">
        <f t="shared" si="55"/>
        <v>0.46618310135267593</v>
      </c>
      <c r="BA32" s="48">
        <f t="shared" si="55"/>
        <v>0.46896430455424654</v>
      </c>
      <c r="BB32" s="48">
        <f t="shared" si="55"/>
        <v>0.46831907837318903</v>
      </c>
      <c r="BC32" s="48">
        <f t="shared" si="55"/>
        <v>0.45774877650897228</v>
      </c>
      <c r="BD32" s="48">
        <f t="shared" si="55"/>
        <v>0.45799664583015703</v>
      </c>
      <c r="BE32" s="48">
        <f t="shared" si="55"/>
        <v>0.45020541153137839</v>
      </c>
      <c r="BF32" s="48">
        <f t="shared" si="55"/>
        <v>0.42829322576158019</v>
      </c>
      <c r="BG32" s="48">
        <f t="shared" si="55"/>
        <v>0.43573883161512028</v>
      </c>
      <c r="BH32" s="48">
        <f t="shared" si="55"/>
        <v>0.4397072043148838</v>
      </c>
      <c r="BI32" s="48">
        <f t="shared" si="55"/>
        <v>0.44947076612903225</v>
      </c>
      <c r="BJ32" s="48">
        <f t="shared" si="55"/>
        <v>0.443331246086412</v>
      </c>
      <c r="BK32" s="48">
        <f t="shared" si="55"/>
        <v>0.42385818047519391</v>
      </c>
      <c r="BL32" s="48">
        <f t="shared" si="55"/>
        <v>0.41677314438378443</v>
      </c>
      <c r="BM32" s="48">
        <f t="shared" si="55"/>
        <v>0.42216817234190412</v>
      </c>
      <c r="BN32" s="48">
        <f t="shared" si="55"/>
        <v>0.41515669515669518</v>
      </c>
      <c r="BO32" s="48">
        <f t="shared" si="55"/>
        <v>0.40685393258426966</v>
      </c>
      <c r="BP32" s="48">
        <f t="shared" si="55"/>
        <v>0.40251637724862221</v>
      </c>
      <c r="BQ32" s="48">
        <f t="shared" si="55"/>
        <v>0.39305993690851737</v>
      </c>
      <c r="BR32" s="48">
        <f>BR24/BR26</f>
        <v>0.39722743381279968</v>
      </c>
      <c r="BS32" s="48">
        <f>BS24/BS26</f>
        <v>0.38605977192292568</v>
      </c>
      <c r="BT32" s="48" t="e">
        <f t="shared" ref="BT32" si="56">BT24/BT26</f>
        <v>#DIV/0!</v>
      </c>
      <c r="CA32" s="46"/>
      <c r="CB32" s="46"/>
      <c r="CC32" s="46"/>
      <c r="CD32" s="46"/>
      <c r="CE32" s="46"/>
      <c r="CF32" s="46"/>
      <c r="CG32" s="46"/>
      <c r="CH32" s="46"/>
      <c r="CI32" s="46"/>
      <c r="CJ32" s="46"/>
      <c r="CK32" s="46"/>
      <c r="CL32" s="46"/>
      <c r="CM32" s="46"/>
      <c r="CN32" s="46"/>
      <c r="CO32" s="46"/>
      <c r="CP32" s="48">
        <f t="shared" ref="CP32:CS32" si="57">CP24/CP26</f>
        <v>0.46347157374347708</v>
      </c>
      <c r="CQ32" s="48">
        <f t="shared" si="57"/>
        <v>0.46297448662103297</v>
      </c>
      <c r="CR32" s="48">
        <f t="shared" si="57"/>
        <v>0.43845104060047763</v>
      </c>
      <c r="CS32" s="48">
        <f t="shared" si="57"/>
        <v>0.43297706183199092</v>
      </c>
      <c r="CT32" s="48">
        <f>CT24/CT26</f>
        <v>0.41140121360574516</v>
      </c>
      <c r="CU32" s="48">
        <f>CU24/CU26</f>
        <v>0.39199735754977511</v>
      </c>
    </row>
    <row r="33" spans="2:160">
      <c r="B33" s="1" t="s">
        <v>207</v>
      </c>
      <c r="AW33" s="48">
        <f t="shared" ref="AW33:BQ33" si="58">AW25/AW26</f>
        <v>0.55120581433762805</v>
      </c>
      <c r="AX33" s="48">
        <f t="shared" si="58"/>
        <v>0.54731807311240177</v>
      </c>
      <c r="AY33" s="48">
        <f t="shared" si="58"/>
        <v>0.50795947901591898</v>
      </c>
      <c r="AZ33" s="48">
        <f t="shared" si="58"/>
        <v>0.53381689864732407</v>
      </c>
      <c r="BA33" s="48">
        <f t="shared" si="58"/>
        <v>0.53103569544575346</v>
      </c>
      <c r="BB33" s="48">
        <f t="shared" si="58"/>
        <v>0.53168092162681091</v>
      </c>
      <c r="BC33" s="48">
        <f t="shared" si="58"/>
        <v>0.54225122349102772</v>
      </c>
      <c r="BD33" s="48">
        <f t="shared" si="58"/>
        <v>0.54200335416984291</v>
      </c>
      <c r="BE33" s="48">
        <f t="shared" si="58"/>
        <v>0.54979458846862161</v>
      </c>
      <c r="BF33" s="48">
        <f t="shared" si="58"/>
        <v>0.57170677423841976</v>
      </c>
      <c r="BG33" s="48">
        <f t="shared" si="58"/>
        <v>0.56426116838487972</v>
      </c>
      <c r="BH33" s="48">
        <f t="shared" si="58"/>
        <v>0.56029279568511625</v>
      </c>
      <c r="BI33" s="48">
        <f t="shared" si="58"/>
        <v>0.55052923387096775</v>
      </c>
      <c r="BJ33" s="48">
        <f t="shared" si="58"/>
        <v>0.55666875391358794</v>
      </c>
      <c r="BK33" s="48">
        <f t="shared" si="58"/>
        <v>0.57614181952480614</v>
      </c>
      <c r="BL33" s="48">
        <f t="shared" si="58"/>
        <v>0.58322685561621557</v>
      </c>
      <c r="BM33" s="48">
        <f t="shared" si="58"/>
        <v>0.57783182765809593</v>
      </c>
      <c r="BN33" s="48">
        <f t="shared" si="58"/>
        <v>0.58484330484330482</v>
      </c>
      <c r="BO33" s="48">
        <f t="shared" si="58"/>
        <v>0.59314606741573028</v>
      </c>
      <c r="BP33" s="48">
        <f t="shared" si="58"/>
        <v>0.59748362275137779</v>
      </c>
      <c r="BQ33" s="48">
        <f t="shared" si="58"/>
        <v>0.60694006309148263</v>
      </c>
      <c r="BR33" s="48">
        <f>BR25/BR26</f>
        <v>0.60277256618720032</v>
      </c>
      <c r="BS33" s="48">
        <f>BS25/BS26</f>
        <v>0.61394022807707427</v>
      </c>
      <c r="BT33" s="48" t="e">
        <f t="shared" ref="BT33" si="59">BT25/BT26</f>
        <v>#DIV/0!</v>
      </c>
      <c r="CA33" s="46"/>
      <c r="CB33" s="46"/>
      <c r="CC33" s="46"/>
      <c r="CD33" s="46"/>
      <c r="CE33" s="46"/>
      <c r="CF33" s="46"/>
      <c r="CG33" s="46"/>
      <c r="CH33" s="46"/>
      <c r="CI33" s="46"/>
      <c r="CJ33" s="46"/>
      <c r="CK33" s="46"/>
      <c r="CL33" s="46"/>
      <c r="CM33" s="46"/>
      <c r="CN33" s="46"/>
      <c r="CO33" s="46"/>
      <c r="CP33" s="48">
        <f t="shared" ref="CP33:CS33" si="60">CP25/CP26</f>
        <v>0.53652842625652297</v>
      </c>
      <c r="CQ33" s="48">
        <f t="shared" si="60"/>
        <v>0.53702551337896698</v>
      </c>
      <c r="CR33" s="48">
        <f t="shared" si="60"/>
        <v>0.56154895939952232</v>
      </c>
      <c r="CS33" s="48">
        <f t="shared" si="60"/>
        <v>0.56702293816800908</v>
      </c>
      <c r="CT33" s="48">
        <f>CT25/CT26</f>
        <v>0.58859878639425489</v>
      </c>
      <c r="CU33" s="48">
        <f>CU25/CU26</f>
        <v>0.60801263196113597</v>
      </c>
    </row>
    <row r="34" spans="2:160">
      <c r="BT34" s="1"/>
      <c r="CA34" s="46"/>
      <c r="CB34" s="46"/>
      <c r="CC34" s="46"/>
      <c r="CD34" s="46"/>
      <c r="CE34" s="46"/>
      <c r="CF34" s="46"/>
      <c r="CG34" s="46"/>
      <c r="CH34" s="46"/>
      <c r="CI34" s="46"/>
      <c r="CJ34" s="46"/>
      <c r="CK34" s="46"/>
      <c r="CL34" s="46"/>
      <c r="CM34" s="46"/>
      <c r="CN34" s="46"/>
      <c r="CO34" s="46"/>
      <c r="CP34" s="46"/>
      <c r="CQ34" s="46"/>
      <c r="CR34" s="46"/>
      <c r="CS34" s="46"/>
      <c r="CT34" s="46"/>
    </row>
    <row r="35" spans="2:160" s="2" customFormat="1" ht="15">
      <c r="B35" s="2" t="s">
        <v>119</v>
      </c>
      <c r="C35" s="2">
        <v>1739</v>
      </c>
      <c r="D35" s="2">
        <v>1613</v>
      </c>
      <c r="E35" s="2">
        <v>1960</v>
      </c>
      <c r="F35" s="2">
        <v>1647</v>
      </c>
      <c r="G35" s="2">
        <v>1646</v>
      </c>
      <c r="H35" s="2">
        <v>1658</v>
      </c>
      <c r="I35" s="2">
        <v>1960</v>
      </c>
      <c r="J35" s="2">
        <v>1959</v>
      </c>
      <c r="K35" s="2">
        <v>2029</v>
      </c>
      <c r="L35" s="2">
        <v>2117</v>
      </c>
      <c r="M35" s="2">
        <v>2238</v>
      </c>
      <c r="N35" s="2">
        <v>2245</v>
      </c>
      <c r="O35" s="2">
        <v>2322</v>
      </c>
      <c r="P35" s="2">
        <v>2383</v>
      </c>
      <c r="Q35" s="2">
        <v>2547</v>
      </c>
      <c r="R35" s="2">
        <v>2578</v>
      </c>
      <c r="S35" s="2">
        <v>2565</v>
      </c>
      <c r="T35" s="2">
        <v>2731</v>
      </c>
      <c r="U35" s="2">
        <v>2846</v>
      </c>
      <c r="V35" s="2">
        <v>2958</v>
      </c>
      <c r="W35" s="2">
        <v>3001</v>
      </c>
      <c r="X35" s="2">
        <v>2973</v>
      </c>
      <c r="Y35" s="2">
        <v>3155</v>
      </c>
      <c r="Z35" s="2">
        <v>3163</v>
      </c>
      <c r="AA35" s="2">
        <v>3155</v>
      </c>
      <c r="AB35" s="2">
        <v>3229</v>
      </c>
      <c r="AC35" s="2">
        <v>3382</v>
      </c>
      <c r="AD35" s="2">
        <v>3409</v>
      </c>
      <c r="AE35" s="2">
        <v>3518</v>
      </c>
      <c r="AF35" s="2">
        <v>3571</v>
      </c>
      <c r="AG35" s="2">
        <v>3565</v>
      </c>
      <c r="AH35" s="2">
        <v>3626</v>
      </c>
      <c r="AI35" s="2">
        <v>3630</v>
      </c>
      <c r="AJ35" s="2">
        <v>4261</v>
      </c>
      <c r="AK35" s="2">
        <v>4461</v>
      </c>
      <c r="AL35" s="2">
        <v>4477</v>
      </c>
      <c r="AM35" s="2">
        <v>4565</v>
      </c>
      <c r="AN35" s="2">
        <v>4855</v>
      </c>
      <c r="AO35" s="2">
        <v>4862</v>
      </c>
      <c r="AP35" s="2">
        <v>5073</v>
      </c>
      <c r="AQ35" s="2">
        <v>5240</v>
      </c>
      <c r="AR35" s="2">
        <v>5434</v>
      </c>
      <c r="AS35" s="2">
        <v>5506</v>
      </c>
      <c r="AT35" s="2">
        <v>5494</v>
      </c>
      <c r="AU35" s="2">
        <v>5840</v>
      </c>
      <c r="AV35" s="2">
        <v>6137</v>
      </c>
      <c r="AW35" s="47">
        <f t="shared" ref="AW35:BR35" si="61">AW9</f>
        <v>6054</v>
      </c>
      <c r="AX35" s="47">
        <f t="shared" si="61"/>
        <v>5854</v>
      </c>
      <c r="AY35" s="47">
        <f t="shared" si="61"/>
        <v>4837</v>
      </c>
      <c r="AZ35" s="47">
        <f t="shared" si="61"/>
        <v>5101</v>
      </c>
      <c r="BA35" s="47">
        <f t="shared" si="61"/>
        <v>5687</v>
      </c>
      <c r="BB35" s="47">
        <f t="shared" si="61"/>
        <v>5729</v>
      </c>
      <c r="BC35" s="47">
        <f t="shared" si="61"/>
        <v>6130</v>
      </c>
      <c r="BD35" s="47">
        <f t="shared" si="61"/>
        <v>6559</v>
      </c>
      <c r="BE35" s="47">
        <f t="shared" si="61"/>
        <v>7059</v>
      </c>
      <c r="BF35" s="47">
        <f t="shared" si="61"/>
        <v>7189</v>
      </c>
      <c r="BG35" s="47">
        <f t="shared" si="61"/>
        <v>7275</v>
      </c>
      <c r="BH35" s="47">
        <f t="shared" si="61"/>
        <v>7787</v>
      </c>
      <c r="BI35" s="47">
        <f t="shared" si="61"/>
        <v>7936</v>
      </c>
      <c r="BJ35" s="47">
        <f t="shared" si="61"/>
        <v>7985</v>
      </c>
      <c r="BK35" s="47">
        <f t="shared" si="61"/>
        <v>8123</v>
      </c>
      <c r="BL35" s="47">
        <f t="shared" si="61"/>
        <v>8609</v>
      </c>
      <c r="BM35" s="47">
        <f t="shared" si="61"/>
        <v>8634</v>
      </c>
      <c r="BN35" s="47">
        <f t="shared" si="61"/>
        <v>8775</v>
      </c>
      <c r="BO35" s="47">
        <f t="shared" si="61"/>
        <v>8900</v>
      </c>
      <c r="BP35" s="47">
        <f t="shared" si="61"/>
        <v>9617</v>
      </c>
      <c r="BQ35" s="47">
        <f t="shared" si="61"/>
        <v>9510</v>
      </c>
      <c r="BR35" s="47">
        <f t="shared" si="61"/>
        <v>9594</v>
      </c>
      <c r="BS35" s="47">
        <f>BS9</f>
        <v>10172</v>
      </c>
      <c r="BT35" s="47">
        <f t="shared" ref="BT35" si="62">BT9</f>
        <v>10724</v>
      </c>
      <c r="BU35" s="34">
        <v>10540</v>
      </c>
      <c r="BV35" s="34">
        <v>1060</v>
      </c>
      <c r="BW35" s="34">
        <v>1090</v>
      </c>
      <c r="BX35" s="34">
        <v>1172</v>
      </c>
      <c r="BY35" s="34">
        <v>1163</v>
      </c>
      <c r="BZ35" s="34">
        <v>1160</v>
      </c>
      <c r="CA35" s="47"/>
      <c r="CB35" s="47"/>
      <c r="CC35" s="47"/>
      <c r="CD35" s="47"/>
      <c r="CE35" s="47">
        <f t="shared" ref="CE35:CE45" si="63">SUM(E35:H35)</f>
        <v>6911</v>
      </c>
      <c r="CF35" s="47">
        <f t="shared" ref="CF35:CF45" si="64">SUM(I35:L35)</f>
        <v>8065</v>
      </c>
      <c r="CG35" s="47">
        <f t="shared" ref="CG35:CG45" si="65">SUM(M35:P35)</f>
        <v>9188</v>
      </c>
      <c r="CH35" s="47">
        <f t="shared" ref="CH35:CH45" si="66">SUM(Q35:T35)</f>
        <v>10421</v>
      </c>
      <c r="CI35" s="47">
        <f t="shared" ref="CI35:CI45" si="67">SUM(U35:X35)</f>
        <v>11778</v>
      </c>
      <c r="CJ35" s="47">
        <f t="shared" ref="CJ35:CJ45" si="68">SUM(Y35:AB35)</f>
        <v>12702</v>
      </c>
      <c r="CK35" s="47">
        <f t="shared" ref="CK35:CK45" si="69">SUM(AC35:AF35)</f>
        <v>13880</v>
      </c>
      <c r="CL35" s="47">
        <f t="shared" ref="CL35:CL45" si="70">SUM(AG35:AJ35)</f>
        <v>15082</v>
      </c>
      <c r="CM35" s="47">
        <f t="shared" ref="CM35:CM45" si="71">SUM(AK35:AN35)</f>
        <v>18358</v>
      </c>
      <c r="CN35" s="47">
        <f t="shared" ref="CN35:CN45" si="72">SUM(AO35:AR35)</f>
        <v>20609</v>
      </c>
      <c r="CO35" s="47">
        <f t="shared" ref="CO35:CO45" si="73">SUM(AS35:AV35)</f>
        <v>22977</v>
      </c>
      <c r="CP35" s="47">
        <f t="shared" ref="CP35:CP49" si="74">SUM(AW35:AZ35)</f>
        <v>21846</v>
      </c>
      <c r="CQ35" s="47">
        <f t="shared" ref="CQ35:CQ49" si="75">SUM(BA35:BD35)</f>
        <v>24105</v>
      </c>
      <c r="CR35" s="47">
        <f t="shared" ref="CR35:CR49" si="76">SUM(BE35:BH35)</f>
        <v>29310</v>
      </c>
      <c r="CS35" s="47">
        <f t="shared" ref="CS35:CS49" si="77">SUM(BI35:BL35)</f>
        <v>32653</v>
      </c>
      <c r="CT35" s="2">
        <f t="shared" ref="CT35:CT49" si="78">SUM(BM35:BP35)</f>
        <v>35926</v>
      </c>
      <c r="CU35" s="47">
        <f>CU9</f>
        <v>40000</v>
      </c>
      <c r="CV35" s="54">
        <f t="shared" ref="CV35:DD35" si="79">CV9</f>
        <v>44041.560443699724</v>
      </c>
      <c r="CW35" s="54">
        <f t="shared" si="79"/>
        <v>48470.695473168758</v>
      </c>
      <c r="CX35" s="54">
        <f t="shared" si="79"/>
        <v>52663.694987587776</v>
      </c>
      <c r="CY35" s="54">
        <f t="shared" si="79"/>
        <v>56945.94745648995</v>
      </c>
      <c r="CZ35" s="54">
        <f t="shared" si="79"/>
        <v>61029.617400840609</v>
      </c>
      <c r="DA35" s="54">
        <f t="shared" si="79"/>
        <v>65692.975986812351</v>
      </c>
      <c r="DB35" s="54">
        <f t="shared" si="79"/>
        <v>69993.576871247671</v>
      </c>
      <c r="DC35" s="54">
        <f t="shared" si="79"/>
        <v>74539.622966581665</v>
      </c>
      <c r="DD35" s="54">
        <f t="shared" si="79"/>
        <v>79113.187779691245</v>
      </c>
      <c r="DE35" s="54">
        <f t="shared" ref="DE35" si="80">DE9</f>
        <v>83811.751674344094</v>
      </c>
      <c r="DF35" s="34"/>
      <c r="DG35" s="34"/>
      <c r="DH35" s="34"/>
      <c r="DI35" s="34"/>
      <c r="DJ35" s="34"/>
      <c r="DK35" s="34"/>
      <c r="DL35" s="34"/>
      <c r="DM35" s="34"/>
      <c r="DN35" s="34"/>
      <c r="DO35" s="34"/>
      <c r="DP35" s="34"/>
      <c r="DQ35" s="34"/>
      <c r="DR35" s="34"/>
      <c r="DS35" s="34"/>
      <c r="DT35" s="34"/>
      <c r="DU35" s="34"/>
      <c r="DV35" s="34"/>
      <c r="DW35" s="34"/>
      <c r="DX35" s="34"/>
      <c r="DY35" s="34"/>
      <c r="DZ35" s="34"/>
      <c r="EA35" s="34"/>
      <c r="EB35" s="34"/>
      <c r="EC35" s="34"/>
      <c r="ED35" s="34"/>
      <c r="EE35" s="34"/>
      <c r="EF35" s="34"/>
      <c r="EG35" s="34"/>
      <c r="EH35" s="34"/>
      <c r="EI35" s="34"/>
      <c r="EJ35" s="34"/>
      <c r="EK35" s="34"/>
      <c r="EL35" s="34"/>
      <c r="EM35" s="34"/>
      <c r="EN35" s="34"/>
      <c r="EO35" s="34"/>
      <c r="EP35" s="34"/>
      <c r="EQ35" s="34"/>
      <c r="ER35" s="34"/>
      <c r="ES35" s="34"/>
      <c r="ET35" s="34"/>
      <c r="EU35" s="34"/>
      <c r="EV35" s="34"/>
      <c r="EW35" s="34"/>
      <c r="EX35" s="34"/>
      <c r="EY35" s="34"/>
      <c r="EZ35" s="34"/>
      <c r="FA35" s="34"/>
      <c r="FB35" s="34"/>
      <c r="FC35" s="34"/>
      <c r="FD35" s="34"/>
    </row>
    <row r="36" spans="2:160">
      <c r="B36" s="1" t="s">
        <v>219</v>
      </c>
      <c r="C36" s="1">
        <v>299</v>
      </c>
      <c r="D36" s="1">
        <v>310</v>
      </c>
      <c r="E36" s="1">
        <v>274</v>
      </c>
      <c r="F36" s="1">
        <v>292</v>
      </c>
      <c r="G36" s="1">
        <v>282</v>
      </c>
      <c r="H36" s="1">
        <v>380</v>
      </c>
      <c r="I36" s="1">
        <v>274</v>
      </c>
      <c r="J36" s="1">
        <v>310</v>
      </c>
      <c r="K36" s="1">
        <v>285</v>
      </c>
      <c r="L36" s="1">
        <v>353</v>
      </c>
      <c r="M36" s="1">
        <v>357</v>
      </c>
      <c r="N36" s="1">
        <v>351</v>
      </c>
      <c r="O36" s="1">
        <v>363</v>
      </c>
      <c r="P36" s="1">
        <v>388</v>
      </c>
      <c r="Q36" s="1">
        <v>389</v>
      </c>
      <c r="R36" s="1">
        <v>431</v>
      </c>
      <c r="S36" s="1">
        <v>435</v>
      </c>
      <c r="T36" s="1">
        <v>471</v>
      </c>
      <c r="U36" s="1">
        <v>454</v>
      </c>
      <c r="V36" s="1">
        <v>486</v>
      </c>
      <c r="W36" s="1">
        <v>493</v>
      </c>
      <c r="X36" s="1">
        <v>499</v>
      </c>
      <c r="Y36" s="1">
        <v>470</v>
      </c>
      <c r="Z36" s="1">
        <v>446</v>
      </c>
      <c r="AA36" s="1">
        <v>463</v>
      </c>
      <c r="AB36" s="1">
        <v>496</v>
      </c>
      <c r="AC36" s="1">
        <v>509</v>
      </c>
      <c r="AD36" s="1">
        <v>483</v>
      </c>
      <c r="AE36" s="1">
        <v>566</v>
      </c>
      <c r="AF36" s="1">
        <v>521</v>
      </c>
      <c r="AG36" s="1">
        <v>499</v>
      </c>
      <c r="AH36" s="1">
        <v>528</v>
      </c>
      <c r="AI36" s="1">
        <v>509</v>
      </c>
      <c r="AJ36" s="1">
        <v>690</v>
      </c>
      <c r="AK36" s="1">
        <v>571</v>
      </c>
      <c r="AL36" s="1">
        <v>704</v>
      </c>
      <c r="AM36" s="1">
        <v>698</v>
      </c>
      <c r="AN36" s="1">
        <v>655</v>
      </c>
      <c r="AO36" s="1">
        <v>679</v>
      </c>
      <c r="AP36" s="1">
        <v>824</v>
      </c>
      <c r="AQ36" s="1">
        <v>852</v>
      </c>
      <c r="AR36" s="1">
        <v>815</v>
      </c>
      <c r="AS36" s="1">
        <v>807</v>
      </c>
      <c r="AT36" s="1">
        <v>894</v>
      </c>
      <c r="AU36" s="1">
        <v>872</v>
      </c>
      <c r="AV36" s="1">
        <v>871</v>
      </c>
      <c r="AW36" s="1">
        <v>982</v>
      </c>
      <c r="AX36" s="1">
        <v>940</v>
      </c>
      <c r="AY36" s="1">
        <v>941</v>
      </c>
      <c r="AZ36" s="1">
        <v>922</v>
      </c>
      <c r="BA36" s="1">
        <v>981</v>
      </c>
      <c r="BB36" s="1">
        <v>1114</v>
      </c>
      <c r="BC36" s="1">
        <v>1098</v>
      </c>
      <c r="BD36" s="1">
        <v>1047</v>
      </c>
      <c r="BE36" s="1">
        <v>1125</v>
      </c>
      <c r="BF36" s="1">
        <v>1226</v>
      </c>
      <c r="BG36" s="1">
        <v>1283</v>
      </c>
      <c r="BH36" s="1">
        <v>1356</v>
      </c>
      <c r="BI36" s="1">
        <v>1337</v>
      </c>
      <c r="BJ36" s="1">
        <v>1515</v>
      </c>
      <c r="BK36" s="1">
        <v>1481</v>
      </c>
      <c r="BL36" s="1">
        <v>1498</v>
      </c>
      <c r="BM36" s="1">
        <v>1479</v>
      </c>
      <c r="BN36" s="1">
        <v>1603</v>
      </c>
      <c r="BO36" s="1">
        <v>1573</v>
      </c>
      <c r="BP36" s="1">
        <f>6264-SUM(BM36:BO36)</f>
        <v>1609</v>
      </c>
      <c r="BQ36" s="1">
        <v>1813</v>
      </c>
      <c r="BR36" s="1">
        <v>1657</v>
      </c>
      <c r="BS36" s="1">
        <v>1749</v>
      </c>
      <c r="BT36" s="1">
        <v>1742</v>
      </c>
      <c r="CA36" s="46"/>
      <c r="CB36" s="46"/>
      <c r="CC36" s="46"/>
      <c r="CD36" s="46"/>
      <c r="CE36" s="46">
        <f t="shared" si="63"/>
        <v>1228</v>
      </c>
      <c r="CF36" s="46">
        <f t="shared" si="64"/>
        <v>1222</v>
      </c>
      <c r="CG36" s="46">
        <f t="shared" si="65"/>
        <v>1459</v>
      </c>
      <c r="CH36" s="46">
        <f t="shared" si="66"/>
        <v>1726</v>
      </c>
      <c r="CI36" s="46">
        <f t="shared" si="67"/>
        <v>1932</v>
      </c>
      <c r="CJ36" s="46">
        <f t="shared" si="68"/>
        <v>1875</v>
      </c>
      <c r="CK36" s="46">
        <f t="shared" si="69"/>
        <v>2079</v>
      </c>
      <c r="CL36" s="46">
        <f t="shared" si="70"/>
        <v>2226</v>
      </c>
      <c r="CM36" s="46">
        <f t="shared" si="71"/>
        <v>2628</v>
      </c>
      <c r="CN36" s="46">
        <f t="shared" si="72"/>
        <v>3170</v>
      </c>
      <c r="CO36" s="46">
        <f t="shared" si="73"/>
        <v>3444</v>
      </c>
      <c r="CP36" s="46">
        <f t="shared" si="74"/>
        <v>3785</v>
      </c>
      <c r="CQ36" s="46">
        <f t="shared" si="75"/>
        <v>4240</v>
      </c>
      <c r="CR36" s="46">
        <f t="shared" si="76"/>
        <v>4990</v>
      </c>
      <c r="CS36" s="46">
        <f t="shared" si="77"/>
        <v>5831</v>
      </c>
      <c r="CT36" s="1">
        <f t="shared" si="78"/>
        <v>6264</v>
      </c>
      <c r="CU36" s="46">
        <f>$CU$35*CU53</f>
        <v>6760</v>
      </c>
      <c r="CV36" s="55">
        <f>$CV$35*CV53</f>
        <v>7531.1068358726534</v>
      </c>
      <c r="CW36" s="55">
        <f>$CW$35*CW53</f>
        <v>8240.018230438689</v>
      </c>
      <c r="CX36" s="55">
        <f>$CX$35*CX53</f>
        <v>9400.4695552844169</v>
      </c>
      <c r="CY36" s="55">
        <f t="shared" ref="CY36:DE36" si="81">CX36*(CY53+1)</f>
        <v>11022.050553570978</v>
      </c>
      <c r="CZ36" s="55">
        <f t="shared" si="81"/>
        <v>12895.799147678044</v>
      </c>
      <c r="DA36" s="55">
        <f t="shared" si="81"/>
        <v>15055.845504914116</v>
      </c>
      <c r="DB36" s="55">
        <f t="shared" si="81"/>
        <v>17540.060013224946</v>
      </c>
      <c r="DC36" s="55">
        <f t="shared" si="81"/>
        <v>20390.319765374003</v>
      </c>
      <c r="DD36" s="55">
        <f t="shared" si="81"/>
        <v>23652.770927833841</v>
      </c>
      <c r="DE36" s="55">
        <f t="shared" si="81"/>
        <v>27437.214276287254</v>
      </c>
    </row>
    <row r="37" spans="2:160">
      <c r="B37" s="1" t="s">
        <v>220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274</v>
      </c>
      <c r="AX37" s="1">
        <v>235</v>
      </c>
      <c r="AY37" s="1">
        <v>174</v>
      </c>
      <c r="AZ37" s="1">
        <f>971-SUM(AW37:AY37)</f>
        <v>288</v>
      </c>
      <c r="BA37" s="1">
        <v>205</v>
      </c>
      <c r="BB37" s="1">
        <v>206</v>
      </c>
      <c r="BC37" s="1">
        <v>268</v>
      </c>
      <c r="BD37" s="1">
        <f>1136-SUM(BA37:BC37)</f>
        <v>457</v>
      </c>
      <c r="BE37" s="1">
        <v>280</v>
      </c>
      <c r="BF37" s="1">
        <v>314</v>
      </c>
      <c r="BG37" s="1">
        <v>313</v>
      </c>
      <c r="BH37" s="1">
        <f>1336-SUM(BE37:BG37)</f>
        <v>429</v>
      </c>
      <c r="BI37" s="1">
        <v>332</v>
      </c>
      <c r="BJ37" s="1">
        <v>309</v>
      </c>
      <c r="BK37" s="1">
        <v>297</v>
      </c>
      <c r="BL37" s="1">
        <f>1341-SUM(BI37:BK37)</f>
        <v>403</v>
      </c>
      <c r="BM37" s="1">
        <v>293</v>
      </c>
      <c r="BN37" s="1">
        <v>338</v>
      </c>
      <c r="BO37" s="1">
        <v>378</v>
      </c>
      <c r="BP37" s="1">
        <f>1560-SUM(BM37:BO37)</f>
        <v>551</v>
      </c>
      <c r="BQ37" s="1">
        <v>306</v>
      </c>
      <c r="BR37" s="1">
        <v>381</v>
      </c>
      <c r="BS37" s="1">
        <v>421</v>
      </c>
      <c r="BT37" s="1">
        <v>576</v>
      </c>
      <c r="CA37" s="46"/>
      <c r="CB37" s="46"/>
      <c r="CC37" s="46"/>
      <c r="CD37" s="46"/>
      <c r="CE37" s="46">
        <f t="shared" si="63"/>
        <v>0</v>
      </c>
      <c r="CF37" s="46">
        <f t="shared" si="64"/>
        <v>0</v>
      </c>
      <c r="CG37" s="46">
        <f t="shared" si="65"/>
        <v>0</v>
      </c>
      <c r="CH37" s="46">
        <f t="shared" si="66"/>
        <v>0</v>
      </c>
      <c r="CI37" s="46">
        <f t="shared" si="67"/>
        <v>0</v>
      </c>
      <c r="CJ37" s="46">
        <f t="shared" si="68"/>
        <v>0</v>
      </c>
      <c r="CK37" s="46">
        <f t="shared" si="69"/>
        <v>0</v>
      </c>
      <c r="CL37" s="46">
        <f t="shared" si="70"/>
        <v>0</v>
      </c>
      <c r="CM37" s="46">
        <f t="shared" si="71"/>
        <v>0</v>
      </c>
      <c r="CN37" s="46">
        <f t="shared" si="72"/>
        <v>0</v>
      </c>
      <c r="CO37" s="46">
        <f t="shared" si="73"/>
        <v>0</v>
      </c>
      <c r="CP37" s="46">
        <f t="shared" si="74"/>
        <v>971</v>
      </c>
      <c r="CQ37" s="46">
        <f t="shared" si="75"/>
        <v>1136</v>
      </c>
      <c r="CR37" s="46">
        <f t="shared" si="76"/>
        <v>1336</v>
      </c>
      <c r="CS37" s="46">
        <f t="shared" si="77"/>
        <v>1341</v>
      </c>
      <c r="CT37" s="1">
        <f t="shared" si="78"/>
        <v>1560</v>
      </c>
      <c r="CU37" s="46">
        <f t="shared" ref="CU37:CU42" si="82">$CU$35*CU54</f>
        <v>1840</v>
      </c>
      <c r="CV37" s="55">
        <f t="shared" ref="CV37:CV42" si="83">$CV$35*CV54</f>
        <v>1937.8286595227878</v>
      </c>
      <c r="CW37" s="55">
        <f t="shared" ref="CW37:CW42" si="84">$CW$35*CW54</f>
        <v>2104.7231792613497</v>
      </c>
      <c r="CX37" s="55">
        <f t="shared" ref="CX37:CX42" si="85">$CX$35*CX54</f>
        <v>2211.8751894786869</v>
      </c>
      <c r="CY37" s="55">
        <f t="shared" ref="CY37:DE37" si="86">CX37*(CY54+1)</f>
        <v>2302.5620722473132</v>
      </c>
      <c r="CZ37" s="55">
        <f t="shared" si="86"/>
        <v>2394.6645551372058</v>
      </c>
      <c r="DA37" s="55">
        <f t="shared" si="86"/>
        <v>2488.0564727875567</v>
      </c>
      <c r="DB37" s="55">
        <f t="shared" si="86"/>
        <v>2582.602618753484</v>
      </c>
      <c r="DC37" s="55">
        <f t="shared" si="86"/>
        <v>2678.1589156473628</v>
      </c>
      <c r="DD37" s="55">
        <f t="shared" si="86"/>
        <v>2774.5726366106678</v>
      </c>
      <c r="DE37" s="55">
        <f t="shared" si="86"/>
        <v>2874.4572515286518</v>
      </c>
    </row>
    <row r="38" spans="2:160">
      <c r="B38" s="1" t="s">
        <v>222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181</v>
      </c>
      <c r="AX38" s="1">
        <v>183</v>
      </c>
      <c r="AY38" s="1">
        <v>172</v>
      </c>
      <c r="AZ38" s="1">
        <f>727-SUM(AW38:AY38)</f>
        <v>191</v>
      </c>
      <c r="BA38" s="1">
        <v>173</v>
      </c>
      <c r="BB38" s="1">
        <v>179</v>
      </c>
      <c r="BC38" s="1">
        <v>186</v>
      </c>
      <c r="BD38" s="1">
        <f>730-SUM(BA38:BC38)</f>
        <v>192</v>
      </c>
      <c r="BE38" s="1">
        <v>190</v>
      </c>
      <c r="BF38" s="1">
        <v>190</v>
      </c>
      <c r="BG38" s="1">
        <v>178</v>
      </c>
      <c r="BH38" s="1">
        <f>743-SUM(BE38:BG38)</f>
        <v>185</v>
      </c>
      <c r="BI38" s="1">
        <v>178</v>
      </c>
      <c r="BJ38" s="1">
        <v>179</v>
      </c>
      <c r="BK38" s="1">
        <v>182</v>
      </c>
      <c r="BL38" s="1">
        <f>736-SUM(BI38:BK38)</f>
        <v>197</v>
      </c>
      <c r="BM38" s="1">
        <v>181</v>
      </c>
      <c r="BN38" s="1">
        <v>189</v>
      </c>
      <c r="BO38" s="1">
        <v>200</v>
      </c>
      <c r="BP38" s="1">
        <f>778-SUM(BM38:BO38)</f>
        <v>208</v>
      </c>
      <c r="BQ38" s="1">
        <v>207</v>
      </c>
      <c r="BR38" s="1">
        <v>224</v>
      </c>
      <c r="BS38" s="1">
        <v>224</v>
      </c>
      <c r="BT38" s="1">
        <v>239</v>
      </c>
      <c r="CA38" s="46"/>
      <c r="CB38" s="46"/>
      <c r="CC38" s="46"/>
      <c r="CD38" s="46"/>
      <c r="CE38" s="46">
        <f t="shared" si="63"/>
        <v>0</v>
      </c>
      <c r="CF38" s="46">
        <f t="shared" si="64"/>
        <v>0</v>
      </c>
      <c r="CG38" s="46">
        <f t="shared" si="65"/>
        <v>0</v>
      </c>
      <c r="CH38" s="46">
        <f t="shared" si="66"/>
        <v>0</v>
      </c>
      <c r="CI38" s="46">
        <f t="shared" si="67"/>
        <v>0</v>
      </c>
      <c r="CJ38" s="46">
        <f t="shared" si="68"/>
        <v>0</v>
      </c>
      <c r="CK38" s="46">
        <f t="shared" si="69"/>
        <v>0</v>
      </c>
      <c r="CL38" s="46">
        <f t="shared" si="70"/>
        <v>0</v>
      </c>
      <c r="CM38" s="46">
        <f t="shared" si="71"/>
        <v>0</v>
      </c>
      <c r="CN38" s="46">
        <f t="shared" si="72"/>
        <v>0</v>
      </c>
      <c r="CO38" s="46">
        <f t="shared" si="73"/>
        <v>0</v>
      </c>
      <c r="CP38" s="46">
        <f t="shared" si="74"/>
        <v>727</v>
      </c>
      <c r="CQ38" s="46">
        <f t="shared" si="75"/>
        <v>730</v>
      </c>
      <c r="CR38" s="46">
        <f t="shared" si="76"/>
        <v>743</v>
      </c>
      <c r="CS38" s="46">
        <f t="shared" si="77"/>
        <v>736</v>
      </c>
      <c r="CT38" s="1">
        <f t="shared" si="78"/>
        <v>778</v>
      </c>
      <c r="CU38" s="46">
        <f t="shared" si="82"/>
        <v>920</v>
      </c>
      <c r="CV38" s="55">
        <f t="shared" si="83"/>
        <v>953.74753730441421</v>
      </c>
      <c r="CW38" s="55">
        <f t="shared" si="84"/>
        <v>1049.6632265803401</v>
      </c>
      <c r="CX38" s="55">
        <f t="shared" si="85"/>
        <v>1140.4652535863522</v>
      </c>
      <c r="CY38" s="55">
        <f t="shared" ref="CY38:DE38" si="87">CX38*(CY55+1)</f>
        <v>1165.1627419594017</v>
      </c>
      <c r="CZ38" s="55">
        <f t="shared" si="87"/>
        <v>1190.3950698902711</v>
      </c>
      <c r="DA38" s="55">
        <f t="shared" si="87"/>
        <v>1216.1738196641013</v>
      </c>
      <c r="DB38" s="55">
        <f t="shared" si="87"/>
        <v>1242.5108243876628</v>
      </c>
      <c r="DC38" s="55">
        <f t="shared" si="87"/>
        <v>1269.4181734210536</v>
      </c>
      <c r="DD38" s="55">
        <f t="shared" si="87"/>
        <v>1296.9082179270263</v>
      </c>
      <c r="DE38" s="55">
        <f t="shared" si="87"/>
        <v>1324.993576540488</v>
      </c>
    </row>
    <row r="39" spans="2:160">
      <c r="B39" s="1" t="s">
        <v>221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106</v>
      </c>
      <c r="AX39" s="1">
        <v>103</v>
      </c>
      <c r="AY39" s="1">
        <v>95</v>
      </c>
      <c r="AZ39" s="1">
        <f>408-SUM(AW39:AY39)</f>
        <v>104</v>
      </c>
      <c r="BA39" s="1">
        <v>83</v>
      </c>
      <c r="BB39" s="1">
        <v>82</v>
      </c>
      <c r="BC39" s="1">
        <v>108</v>
      </c>
      <c r="BD39" s="1">
        <f>403-SUM(BA39:BC39)</f>
        <v>130</v>
      </c>
      <c r="BE39" s="1">
        <v>100</v>
      </c>
      <c r="BF39" s="1">
        <v>125</v>
      </c>
      <c r="BG39" s="1">
        <v>117</v>
      </c>
      <c r="BH39" s="1">
        <f>505-SUM(BE39:BG39)</f>
        <v>163</v>
      </c>
      <c r="BI39" s="1">
        <v>109</v>
      </c>
      <c r="BJ39" s="1">
        <v>130</v>
      </c>
      <c r="BK39" s="1">
        <v>133</v>
      </c>
      <c r="BL39" s="1">
        <f>545-SUM(BI39:BK39)</f>
        <v>173</v>
      </c>
      <c r="BM39" s="1">
        <v>131</v>
      </c>
      <c r="BN39" s="1">
        <v>160</v>
      </c>
      <c r="BO39" s="1">
        <v>152</v>
      </c>
      <c r="BP39" s="1">
        <f>635-SUM(BM39:BO39)</f>
        <v>192</v>
      </c>
      <c r="BQ39" s="1">
        <v>143</v>
      </c>
      <c r="BR39" s="1">
        <v>173</v>
      </c>
      <c r="BS39" s="1">
        <v>187</v>
      </c>
      <c r="BT39" s="1">
        <v>256</v>
      </c>
      <c r="CA39" s="46"/>
      <c r="CB39" s="46"/>
      <c r="CC39" s="46"/>
      <c r="CD39" s="46"/>
      <c r="CE39" s="46">
        <f t="shared" si="63"/>
        <v>0</v>
      </c>
      <c r="CF39" s="46">
        <f t="shared" si="64"/>
        <v>0</v>
      </c>
      <c r="CG39" s="46">
        <f t="shared" si="65"/>
        <v>0</v>
      </c>
      <c r="CH39" s="46">
        <f t="shared" si="66"/>
        <v>0</v>
      </c>
      <c r="CI39" s="46">
        <f t="shared" si="67"/>
        <v>0</v>
      </c>
      <c r="CJ39" s="46">
        <f t="shared" si="68"/>
        <v>0</v>
      </c>
      <c r="CK39" s="46">
        <f t="shared" si="69"/>
        <v>0</v>
      </c>
      <c r="CL39" s="46">
        <f t="shared" si="70"/>
        <v>0</v>
      </c>
      <c r="CM39" s="46">
        <f t="shared" si="71"/>
        <v>0</v>
      </c>
      <c r="CN39" s="46">
        <f t="shared" si="72"/>
        <v>0</v>
      </c>
      <c r="CO39" s="46">
        <f t="shared" si="73"/>
        <v>0</v>
      </c>
      <c r="CP39" s="46">
        <f t="shared" si="74"/>
        <v>408</v>
      </c>
      <c r="CQ39" s="46">
        <f t="shared" si="75"/>
        <v>403</v>
      </c>
      <c r="CR39" s="46">
        <f t="shared" si="76"/>
        <v>505</v>
      </c>
      <c r="CS39" s="46">
        <f t="shared" si="77"/>
        <v>545</v>
      </c>
      <c r="CT39" s="1">
        <f t="shared" si="78"/>
        <v>635</v>
      </c>
      <c r="CU39" s="46">
        <f t="shared" si="82"/>
        <v>840</v>
      </c>
      <c r="CV39" s="55">
        <f t="shared" si="83"/>
        <v>836.78964843029473</v>
      </c>
      <c r="CW39" s="55">
        <f t="shared" si="84"/>
        <v>856.73026848138284</v>
      </c>
      <c r="CX39" s="55">
        <f t="shared" si="85"/>
        <v>930.84246276006888</v>
      </c>
      <c r="CY39" s="55">
        <f t="shared" ref="CY39:DE39" si="88">CX39*(CY56+1)</f>
        <v>947.29530927380938</v>
      </c>
      <c r="CZ39" s="55">
        <f t="shared" si="88"/>
        <v>964.03896349050103</v>
      </c>
      <c r="DA39" s="55">
        <f t="shared" si="88"/>
        <v>981.07856550064594</v>
      </c>
      <c r="DB39" s="55">
        <f t="shared" si="88"/>
        <v>998.41934624698308</v>
      </c>
      <c r="DC39" s="55">
        <f t="shared" si="88"/>
        <v>1016.0666291303219</v>
      </c>
      <c r="DD39" s="55">
        <f t="shared" si="88"/>
        <v>1034.0258316437591</v>
      </c>
      <c r="DE39" s="55">
        <f t="shared" si="88"/>
        <v>1052.3024670357811</v>
      </c>
    </row>
    <row r="40" spans="2:160">
      <c r="B40" s="1" t="s">
        <v>223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182</v>
      </c>
      <c r="AX40" s="1">
        <v>192</v>
      </c>
      <c r="AY40" s="1">
        <v>197</v>
      </c>
      <c r="AZ40" s="1">
        <f>767-SUM(AW40:AY40)</f>
        <v>196</v>
      </c>
      <c r="BA40" s="1">
        <v>197</v>
      </c>
      <c r="BB40" s="1">
        <v>201</v>
      </c>
      <c r="BC40" s="1">
        <v>204</v>
      </c>
      <c r="BD40" s="1">
        <f>804-SUM(BA40:BC40)</f>
        <v>202</v>
      </c>
      <c r="BE40" s="1">
        <v>198</v>
      </c>
      <c r="BF40" s="1">
        <v>207</v>
      </c>
      <c r="BG40" s="1">
        <v>230</v>
      </c>
      <c r="BH40" s="1">
        <f>861-SUM(BE40:BG40)</f>
        <v>226</v>
      </c>
      <c r="BI40" s="1">
        <v>227</v>
      </c>
      <c r="BJ40" s="1">
        <v>234</v>
      </c>
      <c r="BK40" s="1">
        <v>235</v>
      </c>
      <c r="BL40" s="1">
        <f>943-SUM(BI40:BK40)</f>
        <v>247</v>
      </c>
      <c r="BM40" s="1">
        <v>247</v>
      </c>
      <c r="BN40" s="1">
        <v>249</v>
      </c>
      <c r="BO40" s="1">
        <v>264</v>
      </c>
      <c r="BP40" s="1">
        <f>1034-SUM(BM40:BO40)</f>
        <v>274</v>
      </c>
      <c r="BQ40" s="1">
        <v>282</v>
      </c>
      <c r="BR40" s="1">
        <v>305</v>
      </c>
      <c r="BS40" s="1">
        <v>317</v>
      </c>
      <c r="BT40" s="1">
        <v>316</v>
      </c>
      <c r="CA40" s="46"/>
      <c r="CB40" s="46"/>
      <c r="CC40" s="46"/>
      <c r="CD40" s="46"/>
      <c r="CE40" s="46">
        <f t="shared" si="63"/>
        <v>0</v>
      </c>
      <c r="CF40" s="46">
        <f t="shared" si="64"/>
        <v>0</v>
      </c>
      <c r="CG40" s="46">
        <f t="shared" si="65"/>
        <v>0</v>
      </c>
      <c r="CH40" s="46">
        <f t="shared" si="66"/>
        <v>0</v>
      </c>
      <c r="CI40" s="46">
        <f t="shared" si="67"/>
        <v>0</v>
      </c>
      <c r="CJ40" s="46">
        <f t="shared" si="68"/>
        <v>0</v>
      </c>
      <c r="CK40" s="46">
        <f t="shared" si="69"/>
        <v>0</v>
      </c>
      <c r="CL40" s="46">
        <f t="shared" si="70"/>
        <v>0</v>
      </c>
      <c r="CM40" s="46">
        <f t="shared" si="71"/>
        <v>0</v>
      </c>
      <c r="CN40" s="46">
        <f t="shared" si="72"/>
        <v>0</v>
      </c>
      <c r="CO40" s="46">
        <f t="shared" si="73"/>
        <v>0</v>
      </c>
      <c r="CP40" s="46">
        <f t="shared" si="74"/>
        <v>767</v>
      </c>
      <c r="CQ40" s="46">
        <f t="shared" si="75"/>
        <v>804</v>
      </c>
      <c r="CR40" s="46">
        <f t="shared" si="76"/>
        <v>861</v>
      </c>
      <c r="CS40" s="46">
        <f t="shared" si="77"/>
        <v>943</v>
      </c>
      <c r="CT40" s="1">
        <f t="shared" si="78"/>
        <v>1034</v>
      </c>
      <c r="CU40" s="46">
        <f t="shared" si="82"/>
        <v>1151.2553582363748</v>
      </c>
      <c r="CV40" s="55">
        <f t="shared" si="83"/>
        <v>1233.1636924235922</v>
      </c>
      <c r="CW40" s="55">
        <f t="shared" si="84"/>
        <v>1395.0536970232283</v>
      </c>
      <c r="CX40" s="55">
        <f t="shared" si="85"/>
        <v>1515.7340259746636</v>
      </c>
      <c r="CY40" s="55">
        <f t="shared" ref="CY40:DE40" si="89">CX40*(CY57+1)</f>
        <v>1559.3589489512769</v>
      </c>
      <c r="CZ40" s="55">
        <f t="shared" si="89"/>
        <v>1604.2394575861269</v>
      </c>
      <c r="DA40" s="55">
        <f t="shared" si="89"/>
        <v>1650.4116893721332</v>
      </c>
      <c r="DB40" s="55">
        <f t="shared" si="89"/>
        <v>1697.9128218892738</v>
      </c>
      <c r="DC40" s="55">
        <f t="shared" si="89"/>
        <v>1746.7811027397306</v>
      </c>
      <c r="DD40" s="55">
        <f t="shared" si="89"/>
        <v>1797.0558803446097</v>
      </c>
      <c r="DE40" s="55">
        <f t="shared" si="89"/>
        <v>1848.7776356270329</v>
      </c>
    </row>
    <row r="41" spans="2:160">
      <c r="B41" s="1" t="s">
        <v>224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313</v>
      </c>
      <c r="AX41" s="1">
        <v>269</v>
      </c>
      <c r="AY41" s="1">
        <v>258</v>
      </c>
      <c r="AZ41" s="1">
        <f>1096-SUM(AW41:AY41)</f>
        <v>256</v>
      </c>
      <c r="BA41" s="1">
        <v>203</v>
      </c>
      <c r="BB41" s="1">
        <v>363</v>
      </c>
      <c r="BC41" s="1">
        <v>204</v>
      </c>
      <c r="BD41" s="1">
        <f>985-SUM(BA41:BC41)</f>
        <v>215</v>
      </c>
      <c r="BE41" s="1">
        <v>242</v>
      </c>
      <c r="BF41" s="1">
        <v>325</v>
      </c>
      <c r="BG41" s="1">
        <v>289</v>
      </c>
      <c r="BH41" s="1">
        <f>1194-SUM(BE41:BG41)</f>
        <v>338</v>
      </c>
      <c r="BI41" s="1">
        <v>322</v>
      </c>
      <c r="BJ41" s="1">
        <v>282</v>
      </c>
      <c r="BK41" s="1">
        <v>314</v>
      </c>
      <c r="BL41" s="1">
        <f>1330-SUM(BI41:BK41)</f>
        <v>412</v>
      </c>
      <c r="BM41" s="1">
        <v>340</v>
      </c>
      <c r="BN41" s="1">
        <v>452</v>
      </c>
      <c r="BO41" s="1">
        <v>382</v>
      </c>
      <c r="BP41" s="1">
        <f>1598-SUM(BM41:BO41)</f>
        <v>424</v>
      </c>
      <c r="BQ41" s="1">
        <v>481</v>
      </c>
      <c r="BR41" s="1">
        <v>419</v>
      </c>
      <c r="BS41" s="1">
        <v>482</v>
      </c>
      <c r="BT41" s="1">
        <v>544</v>
      </c>
      <c r="CE41" s="46">
        <f t="shared" si="63"/>
        <v>0</v>
      </c>
      <c r="CF41" s="46">
        <f t="shared" si="64"/>
        <v>0</v>
      </c>
      <c r="CG41" s="46">
        <f t="shared" si="65"/>
        <v>0</v>
      </c>
      <c r="CH41" s="46">
        <f t="shared" si="66"/>
        <v>0</v>
      </c>
      <c r="CI41" s="46">
        <f t="shared" si="67"/>
        <v>0</v>
      </c>
      <c r="CJ41" s="46">
        <f t="shared" si="68"/>
        <v>0</v>
      </c>
      <c r="CK41" s="46">
        <f t="shared" si="69"/>
        <v>0</v>
      </c>
      <c r="CL41" s="46">
        <f t="shared" si="70"/>
        <v>0</v>
      </c>
      <c r="CM41" s="46">
        <f t="shared" si="71"/>
        <v>0</v>
      </c>
      <c r="CN41" s="46">
        <f t="shared" si="72"/>
        <v>0</v>
      </c>
      <c r="CO41" s="46">
        <f t="shared" si="73"/>
        <v>0</v>
      </c>
      <c r="CP41" s="46">
        <f t="shared" si="74"/>
        <v>1096</v>
      </c>
      <c r="CQ41" s="46">
        <f t="shared" si="75"/>
        <v>985</v>
      </c>
      <c r="CR41" s="46">
        <f t="shared" si="76"/>
        <v>1194</v>
      </c>
      <c r="CS41" s="46">
        <f t="shared" si="77"/>
        <v>1330</v>
      </c>
      <c r="CT41" s="1">
        <f t="shared" si="78"/>
        <v>1598</v>
      </c>
      <c r="CU41" s="46">
        <f t="shared" si="82"/>
        <v>1960</v>
      </c>
      <c r="CV41" s="55">
        <f t="shared" si="83"/>
        <v>2091.974121075737</v>
      </c>
      <c r="CW41" s="55">
        <f t="shared" si="84"/>
        <v>2278.1226872389316</v>
      </c>
      <c r="CX41" s="55">
        <f t="shared" si="85"/>
        <v>2422.5299694290375</v>
      </c>
      <c r="CY41" s="55">
        <f t="shared" ref="CY41:DE41" si="90">CX41*(CY58+1)</f>
        <v>2531.5438180533438</v>
      </c>
      <c r="CZ41" s="55">
        <f t="shared" si="90"/>
        <v>2644.1476988430013</v>
      </c>
      <c r="DA41" s="55">
        <f t="shared" si="90"/>
        <v>2761.7602363576457</v>
      </c>
      <c r="DB41" s="55">
        <f t="shared" si="90"/>
        <v>2884.6042172544758</v>
      </c>
      <c r="DC41" s="55">
        <f t="shared" si="90"/>
        <v>3012.912337812641</v>
      </c>
      <c r="DD41" s="55">
        <f t="shared" si="90"/>
        <v>3146.9276447164043</v>
      </c>
      <c r="DE41" s="55">
        <f t="shared" si="90"/>
        <v>3286.9039954444788</v>
      </c>
    </row>
    <row r="42" spans="2:160">
      <c r="B42" s="1" t="s">
        <v>225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8</v>
      </c>
      <c r="AY42" s="1">
        <v>1</v>
      </c>
      <c r="AZ42" s="1">
        <f>11-SUM(AW42:AY42)</f>
        <v>2</v>
      </c>
      <c r="BA42" s="1">
        <v>1</v>
      </c>
      <c r="BB42" s="1">
        <v>3</v>
      </c>
      <c r="BC42" s="1">
        <v>-2</v>
      </c>
      <c r="BD42" s="1">
        <f>3-SUM(BA42:BC42)</f>
        <v>1</v>
      </c>
      <c r="BE42" s="1">
        <v>148</v>
      </c>
      <c r="BF42" s="1">
        <v>0</v>
      </c>
      <c r="BG42" s="1">
        <v>717</v>
      </c>
      <c r="BH42" s="1">
        <f>868-SUM(BE42:BG42)</f>
        <v>3</v>
      </c>
      <c r="BI42" s="1">
        <v>341</v>
      </c>
      <c r="BJ42" s="1">
        <v>0</v>
      </c>
      <c r="BK42" s="1">
        <v>457</v>
      </c>
      <c r="BL42" s="1">
        <f>927-SUM(BI42:BK42)</f>
        <v>129</v>
      </c>
      <c r="BM42" s="1">
        <v>9</v>
      </c>
      <c r="BN42" s="1">
        <v>430</v>
      </c>
      <c r="BO42" s="1">
        <v>13</v>
      </c>
      <c r="BP42" s="1">
        <f>462-SUM(BM42:BO42)</f>
        <v>10</v>
      </c>
      <c r="BQ42" s="1">
        <v>44</v>
      </c>
      <c r="BR42" s="1">
        <v>1000</v>
      </c>
      <c r="BS42" s="1">
        <v>615</v>
      </c>
      <c r="BT42" s="1">
        <v>903</v>
      </c>
      <c r="CE42" s="46">
        <f t="shared" si="63"/>
        <v>0</v>
      </c>
      <c r="CF42" s="46">
        <f t="shared" si="64"/>
        <v>0</v>
      </c>
      <c r="CG42" s="46">
        <f t="shared" si="65"/>
        <v>0</v>
      </c>
      <c r="CH42" s="46">
        <f t="shared" si="66"/>
        <v>0</v>
      </c>
      <c r="CI42" s="46">
        <f t="shared" si="67"/>
        <v>0</v>
      </c>
      <c r="CJ42" s="46">
        <f t="shared" si="68"/>
        <v>0</v>
      </c>
      <c r="CK42" s="46">
        <f t="shared" si="69"/>
        <v>0</v>
      </c>
      <c r="CL42" s="46">
        <f t="shared" si="70"/>
        <v>0</v>
      </c>
      <c r="CM42" s="46">
        <f t="shared" si="71"/>
        <v>0</v>
      </c>
      <c r="CN42" s="46">
        <f t="shared" si="72"/>
        <v>0</v>
      </c>
      <c r="CO42" s="46">
        <f t="shared" si="73"/>
        <v>0</v>
      </c>
      <c r="CP42" s="46">
        <f t="shared" si="74"/>
        <v>11</v>
      </c>
      <c r="CQ42" s="46">
        <f t="shared" si="75"/>
        <v>3</v>
      </c>
      <c r="CR42" s="46">
        <f t="shared" si="76"/>
        <v>868</v>
      </c>
      <c r="CS42" s="46">
        <f t="shared" si="77"/>
        <v>927</v>
      </c>
      <c r="CT42" s="1">
        <f t="shared" si="78"/>
        <v>462</v>
      </c>
      <c r="CU42" s="46">
        <f t="shared" si="82"/>
        <v>3200</v>
      </c>
      <c r="CV42" s="55">
        <f t="shared" si="83"/>
        <v>3082.9092310589808</v>
      </c>
      <c r="CW42" s="55">
        <f t="shared" si="84"/>
        <v>623.32186462739992</v>
      </c>
      <c r="CX42" s="55">
        <f t="shared" si="85"/>
        <v>677.2428626695305</v>
      </c>
      <c r="CY42" s="55">
        <f t="shared" ref="CY42:DE42" si="91">CX42*(CY59+1)</f>
        <v>685.95204828867327</v>
      </c>
      <c r="CZ42" s="55">
        <f t="shared" si="91"/>
        <v>694.77323200824594</v>
      </c>
      <c r="DA42" s="55">
        <f t="shared" si="91"/>
        <v>703.70785409775795</v>
      </c>
      <c r="DB42" s="55">
        <f t="shared" si="91"/>
        <v>712.75737334824964</v>
      </c>
      <c r="DC42" s="55">
        <f t="shared" si="91"/>
        <v>721.92326731047444</v>
      </c>
      <c r="DD42" s="55">
        <f t="shared" si="91"/>
        <v>731.20703253614488</v>
      </c>
      <c r="DE42" s="55">
        <f t="shared" si="91"/>
        <v>740.61018482228019</v>
      </c>
    </row>
    <row r="43" spans="2:160">
      <c r="B43" s="1" t="s">
        <v>226</v>
      </c>
      <c r="C43" s="1">
        <v>474</v>
      </c>
      <c r="D43" s="1">
        <v>655</v>
      </c>
      <c r="E43" s="1">
        <v>469</v>
      </c>
      <c r="F43" s="1">
        <v>474</v>
      </c>
      <c r="G43" s="1">
        <v>542</v>
      </c>
      <c r="H43" s="1">
        <v>658</v>
      </c>
      <c r="I43" s="1">
        <v>469</v>
      </c>
      <c r="J43" s="1">
        <v>527</v>
      </c>
      <c r="K43" s="1">
        <v>607</v>
      </c>
      <c r="L43" s="1">
        <v>651</v>
      </c>
      <c r="M43" s="1">
        <v>515</v>
      </c>
      <c r="N43" s="1">
        <v>511</v>
      </c>
      <c r="O43" s="1">
        <v>614</v>
      </c>
      <c r="P43" s="1">
        <v>633</v>
      </c>
      <c r="Q43" s="1">
        <v>540</v>
      </c>
      <c r="R43" s="1">
        <v>541</v>
      </c>
      <c r="S43" s="1">
        <v>4737</v>
      </c>
      <c r="T43" s="1">
        <v>738</v>
      </c>
      <c r="U43" s="1">
        <v>592</v>
      </c>
      <c r="V43" s="1">
        <v>612</v>
      </c>
      <c r="W43" s="1">
        <v>680</v>
      </c>
      <c r="X43" s="1">
        <v>723</v>
      </c>
      <c r="Y43" s="1">
        <v>608</v>
      </c>
      <c r="Z43" s="1">
        <v>669</v>
      </c>
      <c r="AA43" s="1">
        <v>672</v>
      </c>
      <c r="AB43" s="1">
        <v>1181</v>
      </c>
      <c r="AC43" s="1">
        <v>635</v>
      </c>
      <c r="AD43" s="1">
        <v>645</v>
      </c>
      <c r="AE43" s="1">
        <v>690</v>
      </c>
      <c r="AF43" s="1">
        <v>767</v>
      </c>
      <c r="AG43" s="1">
        <v>670</v>
      </c>
      <c r="AH43" s="1">
        <v>664</v>
      </c>
      <c r="AI43" s="1">
        <v>2693</v>
      </c>
      <c r="AJ43" s="1">
        <v>946</v>
      </c>
      <c r="AK43" s="1">
        <v>790</v>
      </c>
      <c r="AL43" s="1">
        <v>965</v>
      </c>
      <c r="AM43" s="1">
        <v>843</v>
      </c>
      <c r="AN43" s="1">
        <v>988</v>
      </c>
      <c r="AO43" s="1">
        <v>856</v>
      </c>
      <c r="AP43" s="1">
        <v>913</v>
      </c>
      <c r="AQ43" s="1">
        <v>1503</v>
      </c>
      <c r="AR43" s="1">
        <v>1213</v>
      </c>
      <c r="AS43" s="1">
        <v>982</v>
      </c>
      <c r="AT43" s="1">
        <v>959</v>
      </c>
      <c r="AU43" s="1">
        <v>1060</v>
      </c>
      <c r="AV43" s="1">
        <v>1531</v>
      </c>
      <c r="AW43" s="1">
        <f t="shared" ref="AW43:BQ43" si="92">SUM(AW36:AW42)</f>
        <v>2038</v>
      </c>
      <c r="AX43" s="1">
        <f t="shared" si="92"/>
        <v>1930</v>
      </c>
      <c r="AY43" s="1">
        <f t="shared" si="92"/>
        <v>1838</v>
      </c>
      <c r="AZ43" s="1">
        <f t="shared" si="92"/>
        <v>1959</v>
      </c>
      <c r="BA43" s="1">
        <f t="shared" si="92"/>
        <v>1843</v>
      </c>
      <c r="BB43" s="1">
        <f t="shared" si="92"/>
        <v>2148</v>
      </c>
      <c r="BC43" s="1">
        <f t="shared" si="92"/>
        <v>2066</v>
      </c>
      <c r="BD43" s="1">
        <f t="shared" si="92"/>
        <v>2244</v>
      </c>
      <c r="BE43" s="1">
        <f t="shared" si="92"/>
        <v>2283</v>
      </c>
      <c r="BF43" s="1">
        <f t="shared" si="92"/>
        <v>2387</v>
      </c>
      <c r="BG43" s="1">
        <f t="shared" si="92"/>
        <v>3127</v>
      </c>
      <c r="BH43" s="1">
        <f t="shared" si="92"/>
        <v>2700</v>
      </c>
      <c r="BI43" s="1">
        <f t="shared" si="92"/>
        <v>2846</v>
      </c>
      <c r="BJ43" s="1">
        <f t="shared" si="92"/>
        <v>2649</v>
      </c>
      <c r="BK43" s="1">
        <f t="shared" si="92"/>
        <v>3099</v>
      </c>
      <c r="BL43" s="1">
        <f t="shared" si="92"/>
        <v>3059</v>
      </c>
      <c r="BM43" s="1">
        <f t="shared" si="92"/>
        <v>2680</v>
      </c>
      <c r="BN43" s="1">
        <f t="shared" si="92"/>
        <v>3421</v>
      </c>
      <c r="BO43" s="1">
        <f t="shared" si="92"/>
        <v>2962</v>
      </c>
      <c r="BP43" s="1">
        <f t="shared" si="92"/>
        <v>3268</v>
      </c>
      <c r="BQ43" s="1">
        <f t="shared" si="92"/>
        <v>3276</v>
      </c>
      <c r="BR43" s="1">
        <f>SUM(BR36:BR42)</f>
        <v>4159</v>
      </c>
      <c r="BS43" s="1">
        <f>SUM(BS36:BS42)</f>
        <v>3995</v>
      </c>
      <c r="BT43" s="1">
        <f t="shared" ref="BT43" si="93">SUM(BT36:BT42)</f>
        <v>4576</v>
      </c>
      <c r="CE43" s="46">
        <f t="shared" si="63"/>
        <v>2143</v>
      </c>
      <c r="CF43" s="46">
        <f t="shared" si="64"/>
        <v>2254</v>
      </c>
      <c r="CG43" s="46">
        <f t="shared" si="65"/>
        <v>2273</v>
      </c>
      <c r="CH43" s="46">
        <f t="shared" si="66"/>
        <v>6556</v>
      </c>
      <c r="CI43" s="46">
        <f t="shared" si="67"/>
        <v>2607</v>
      </c>
      <c r="CJ43" s="46">
        <f t="shared" si="68"/>
        <v>3130</v>
      </c>
      <c r="CK43" s="46">
        <f t="shared" si="69"/>
        <v>2737</v>
      </c>
      <c r="CL43" s="46">
        <f t="shared" si="70"/>
        <v>4973</v>
      </c>
      <c r="CM43" s="46">
        <f t="shared" si="71"/>
        <v>3586</v>
      </c>
      <c r="CN43" s="46">
        <f t="shared" si="72"/>
        <v>4485</v>
      </c>
      <c r="CO43" s="46">
        <f t="shared" si="73"/>
        <v>4532</v>
      </c>
      <c r="CP43" s="46">
        <f t="shared" si="74"/>
        <v>7765</v>
      </c>
      <c r="CQ43" s="46">
        <f t="shared" si="75"/>
        <v>8301</v>
      </c>
      <c r="CR43" s="46">
        <f t="shared" si="76"/>
        <v>10497</v>
      </c>
      <c r="CS43" s="46">
        <f t="shared" si="77"/>
        <v>11653</v>
      </c>
      <c r="CT43" s="1">
        <f t="shared" si="78"/>
        <v>12331</v>
      </c>
      <c r="CU43" s="46">
        <f>SUM(CU36:CU42)</f>
        <v>16671.255358236376</v>
      </c>
      <c r="CV43" s="55">
        <f t="shared" ref="CV43:DD43" si="94">SUM(CV36:CV42)</f>
        <v>17667.51972568846</v>
      </c>
      <c r="CW43" s="55">
        <f t="shared" si="94"/>
        <v>16547.633153651321</v>
      </c>
      <c r="CX43" s="55">
        <f t="shared" si="94"/>
        <v>18299.159319182756</v>
      </c>
      <c r="CY43" s="55">
        <f t="shared" si="94"/>
        <v>20213.925492344795</v>
      </c>
      <c r="CZ43" s="55">
        <f t="shared" si="94"/>
        <v>22388.058124633393</v>
      </c>
      <c r="DA43" s="55">
        <f t="shared" si="94"/>
        <v>24857.034142693956</v>
      </c>
      <c r="DB43" s="55">
        <f t="shared" si="94"/>
        <v>27658.867215105078</v>
      </c>
      <c r="DC43" s="55">
        <f t="shared" si="94"/>
        <v>30835.580191435587</v>
      </c>
      <c r="DD43" s="55">
        <f t="shared" si="94"/>
        <v>34433.468171612447</v>
      </c>
      <c r="DE43" s="55">
        <f t="shared" ref="DE43" si="95">SUM(DE36:DE42)</f>
        <v>38565.259387285972</v>
      </c>
    </row>
    <row r="44" spans="2:160">
      <c r="B44" s="1" t="s">
        <v>227</v>
      </c>
      <c r="C44" s="1">
        <f>C35-SUM(C36:C43)</f>
        <v>966</v>
      </c>
      <c r="D44" s="1">
        <f t="shared" ref="D44:AV44" si="96">D35-SUM(D36:D43)</f>
        <v>648</v>
      </c>
      <c r="E44" s="1">
        <f t="shared" si="96"/>
        <v>1217</v>
      </c>
      <c r="F44" s="1">
        <f t="shared" si="96"/>
        <v>881</v>
      </c>
      <c r="G44" s="1">
        <f t="shared" si="96"/>
        <v>822</v>
      </c>
      <c r="H44" s="1">
        <f t="shared" si="96"/>
        <v>620</v>
      </c>
      <c r="I44" s="1">
        <f t="shared" si="96"/>
        <v>1217</v>
      </c>
      <c r="J44" s="1">
        <f t="shared" si="96"/>
        <v>1122</v>
      </c>
      <c r="K44" s="1">
        <f t="shared" si="96"/>
        <v>1137</v>
      </c>
      <c r="L44" s="1">
        <f t="shared" si="96"/>
        <v>1113</v>
      </c>
      <c r="M44" s="1">
        <f t="shared" si="96"/>
        <v>1366</v>
      </c>
      <c r="N44" s="1">
        <f t="shared" si="96"/>
        <v>1383</v>
      </c>
      <c r="O44" s="1">
        <f t="shared" si="96"/>
        <v>1345</v>
      </c>
      <c r="P44" s="1">
        <f t="shared" si="96"/>
        <v>1362</v>
      </c>
      <c r="Q44" s="1">
        <f t="shared" si="96"/>
        <v>1618</v>
      </c>
      <c r="R44" s="1">
        <f t="shared" si="96"/>
        <v>1606</v>
      </c>
      <c r="S44" s="1">
        <f t="shared" si="96"/>
        <v>-2607</v>
      </c>
      <c r="T44" s="1">
        <f t="shared" si="96"/>
        <v>1522</v>
      </c>
      <c r="U44" s="1">
        <f t="shared" si="96"/>
        <v>1800</v>
      </c>
      <c r="V44" s="1">
        <f t="shared" si="96"/>
        <v>1860</v>
      </c>
      <c r="W44" s="1">
        <f t="shared" si="96"/>
        <v>1828</v>
      </c>
      <c r="X44" s="1">
        <f t="shared" si="96"/>
        <v>1751</v>
      </c>
      <c r="Y44" s="1">
        <f t="shared" si="96"/>
        <v>2077</v>
      </c>
      <c r="Z44" s="1">
        <f t="shared" si="96"/>
        <v>2048</v>
      </c>
      <c r="AA44" s="1">
        <f t="shared" si="96"/>
        <v>2020</v>
      </c>
      <c r="AB44" s="1">
        <f t="shared" si="96"/>
        <v>1552</v>
      </c>
      <c r="AC44" s="1">
        <f t="shared" si="96"/>
        <v>2238</v>
      </c>
      <c r="AD44" s="1">
        <f t="shared" si="96"/>
        <v>2281</v>
      </c>
      <c r="AE44" s="1">
        <f t="shared" si="96"/>
        <v>2262</v>
      </c>
      <c r="AF44" s="1">
        <f t="shared" si="96"/>
        <v>2283</v>
      </c>
      <c r="AG44" s="1">
        <f t="shared" si="96"/>
        <v>2396</v>
      </c>
      <c r="AH44" s="1">
        <f t="shared" si="96"/>
        <v>2434</v>
      </c>
      <c r="AI44" s="1">
        <f t="shared" si="96"/>
        <v>428</v>
      </c>
      <c r="AJ44" s="1">
        <f t="shared" si="96"/>
        <v>2625</v>
      </c>
      <c r="AK44" s="1">
        <f t="shared" si="96"/>
        <v>3100</v>
      </c>
      <c r="AL44" s="1">
        <f t="shared" si="96"/>
        <v>2808</v>
      </c>
      <c r="AM44" s="1">
        <f t="shared" si="96"/>
        <v>3024</v>
      </c>
      <c r="AN44" s="1">
        <f t="shared" si="96"/>
        <v>3212</v>
      </c>
      <c r="AO44" s="1">
        <f t="shared" si="96"/>
        <v>3327</v>
      </c>
      <c r="AP44" s="1">
        <f t="shared" si="96"/>
        <v>3336</v>
      </c>
      <c r="AQ44" s="1">
        <f t="shared" si="96"/>
        <v>2885</v>
      </c>
      <c r="AR44" s="1">
        <f t="shared" si="96"/>
        <v>3406</v>
      </c>
      <c r="AS44" s="1">
        <f t="shared" si="96"/>
        <v>3717</v>
      </c>
      <c r="AT44" s="1">
        <f t="shared" si="96"/>
        <v>3641</v>
      </c>
      <c r="AU44" s="1">
        <f t="shared" si="96"/>
        <v>3908</v>
      </c>
      <c r="AV44" s="1">
        <f t="shared" si="96"/>
        <v>3735</v>
      </c>
      <c r="AW44" s="1">
        <f t="shared" ref="AW44:BQ44" si="97">AW35-AW43</f>
        <v>4016</v>
      </c>
      <c r="AX44" s="1">
        <f t="shared" si="97"/>
        <v>3924</v>
      </c>
      <c r="AY44" s="1">
        <f t="shared" si="97"/>
        <v>2999</v>
      </c>
      <c r="AZ44" s="1">
        <f t="shared" si="97"/>
        <v>3142</v>
      </c>
      <c r="BA44" s="1">
        <f t="shared" si="97"/>
        <v>3844</v>
      </c>
      <c r="BB44" s="1">
        <f t="shared" si="97"/>
        <v>3581</v>
      </c>
      <c r="BC44" s="1">
        <f t="shared" si="97"/>
        <v>4064</v>
      </c>
      <c r="BD44" s="1">
        <f t="shared" si="97"/>
        <v>4315</v>
      </c>
      <c r="BE44" s="1">
        <f t="shared" si="97"/>
        <v>4776</v>
      </c>
      <c r="BF44" s="1">
        <f t="shared" si="97"/>
        <v>4802</v>
      </c>
      <c r="BG44" s="1">
        <f t="shared" si="97"/>
        <v>4148</v>
      </c>
      <c r="BH44" s="1">
        <f t="shared" si="97"/>
        <v>5087</v>
      </c>
      <c r="BI44" s="1">
        <f t="shared" si="97"/>
        <v>5090</v>
      </c>
      <c r="BJ44" s="1">
        <f t="shared" si="97"/>
        <v>5336</v>
      </c>
      <c r="BK44" s="1">
        <f t="shared" si="97"/>
        <v>5024</v>
      </c>
      <c r="BL44" s="1">
        <f t="shared" si="97"/>
        <v>5550</v>
      </c>
      <c r="BM44" s="1">
        <f t="shared" si="97"/>
        <v>5954</v>
      </c>
      <c r="BN44" s="1">
        <f t="shared" si="97"/>
        <v>5354</v>
      </c>
      <c r="BO44" s="1">
        <f t="shared" si="97"/>
        <v>5938</v>
      </c>
      <c r="BP44" s="1">
        <f t="shared" si="97"/>
        <v>6349</v>
      </c>
      <c r="BQ44" s="1">
        <f t="shared" si="97"/>
        <v>6234</v>
      </c>
      <c r="BR44" s="1">
        <f>BR35-BR43</f>
        <v>5435</v>
      </c>
      <c r="BS44" s="1">
        <f>BS35-BS43</f>
        <v>6177</v>
      </c>
      <c r="BT44" s="1">
        <f t="shared" ref="BT44" si="98">BT35-BT43</f>
        <v>6148</v>
      </c>
      <c r="CE44" s="46">
        <f t="shared" si="63"/>
        <v>3540</v>
      </c>
      <c r="CF44" s="46">
        <f t="shared" si="64"/>
        <v>4589</v>
      </c>
      <c r="CG44" s="46">
        <f t="shared" si="65"/>
        <v>5456</v>
      </c>
      <c r="CH44" s="46">
        <f t="shared" si="66"/>
        <v>2139</v>
      </c>
      <c r="CI44" s="46">
        <f t="shared" si="67"/>
        <v>7239</v>
      </c>
      <c r="CJ44" s="46">
        <f t="shared" si="68"/>
        <v>7697</v>
      </c>
      <c r="CK44" s="46">
        <f t="shared" si="69"/>
        <v>9064</v>
      </c>
      <c r="CL44" s="46">
        <f t="shared" si="70"/>
        <v>7883</v>
      </c>
      <c r="CM44" s="46">
        <f t="shared" si="71"/>
        <v>12144</v>
      </c>
      <c r="CN44" s="46">
        <f t="shared" si="72"/>
        <v>12954</v>
      </c>
      <c r="CO44" s="46">
        <f t="shared" si="73"/>
        <v>15001</v>
      </c>
      <c r="CP44" s="46">
        <f t="shared" si="74"/>
        <v>14081</v>
      </c>
      <c r="CQ44" s="46">
        <f t="shared" si="75"/>
        <v>15804</v>
      </c>
      <c r="CR44" s="46">
        <f t="shared" si="76"/>
        <v>18813</v>
      </c>
      <c r="CS44" s="46">
        <f t="shared" si="77"/>
        <v>21000</v>
      </c>
      <c r="CT44" s="1">
        <f t="shared" si="78"/>
        <v>23595</v>
      </c>
      <c r="CU44" s="46">
        <f>CU35-CU43</f>
        <v>23328.744641763624</v>
      </c>
      <c r="CV44" s="55">
        <f t="shared" ref="CV44:DD44" si="99">CV35-CV43</f>
        <v>26374.040718011263</v>
      </c>
      <c r="CW44" s="55">
        <f t="shared" si="99"/>
        <v>31923.062319517438</v>
      </c>
      <c r="CX44" s="55">
        <f t="shared" si="99"/>
        <v>34364.53566840502</v>
      </c>
      <c r="CY44" s="55">
        <f t="shared" si="99"/>
        <v>36732.021964145155</v>
      </c>
      <c r="CZ44" s="55">
        <f t="shared" si="99"/>
        <v>38641.559276207219</v>
      </c>
      <c r="DA44" s="55">
        <f t="shared" si="99"/>
        <v>40835.941844118395</v>
      </c>
      <c r="DB44" s="55">
        <f t="shared" si="99"/>
        <v>42334.709656142593</v>
      </c>
      <c r="DC44" s="55">
        <f t="shared" si="99"/>
        <v>43704.042775146081</v>
      </c>
      <c r="DD44" s="55">
        <f t="shared" si="99"/>
        <v>44679.719608078798</v>
      </c>
      <c r="DE44" s="55">
        <f t="shared" ref="DE44" si="100">DE35-DE43</f>
        <v>45246.492287058121</v>
      </c>
    </row>
    <row r="45" spans="2:160">
      <c r="B45" s="1" t="s">
        <v>233</v>
      </c>
      <c r="C45" s="1">
        <v>-13</v>
      </c>
      <c r="D45" s="1">
        <v>66</v>
      </c>
      <c r="E45" s="1">
        <v>-9</v>
      </c>
      <c r="F45" s="1">
        <v>12</v>
      </c>
      <c r="G45" s="1">
        <v>475</v>
      </c>
      <c r="H45" s="1">
        <v>-16</v>
      </c>
      <c r="I45" s="1">
        <v>-9</v>
      </c>
      <c r="J45" s="1">
        <v>-9</v>
      </c>
      <c r="K45" s="1">
        <v>-15</v>
      </c>
      <c r="L45" s="1">
        <v>82</v>
      </c>
      <c r="M45" s="1">
        <v>16</v>
      </c>
      <c r="N45" s="1">
        <v>-6</v>
      </c>
      <c r="O45" s="1">
        <v>198</v>
      </c>
      <c r="P45" s="1">
        <v>-8</v>
      </c>
      <c r="Q45" s="1">
        <v>-1</v>
      </c>
      <c r="R45" s="1">
        <v>3</v>
      </c>
      <c r="S45" s="1">
        <v>0</v>
      </c>
      <c r="T45" s="1">
        <v>66</v>
      </c>
      <c r="U45" s="1">
        <v>1</v>
      </c>
      <c r="V45" s="1">
        <v>-3</v>
      </c>
      <c r="W45" s="1">
        <v>5</v>
      </c>
      <c r="X45" s="1">
        <v>15</v>
      </c>
      <c r="Y45" s="1">
        <v>6</v>
      </c>
      <c r="Z45" s="1">
        <v>13</v>
      </c>
      <c r="AA45" s="1">
        <v>10</v>
      </c>
      <c r="AB45" s="1">
        <v>-2</v>
      </c>
      <c r="AC45" s="1">
        <v>24</v>
      </c>
      <c r="AD45" s="1">
        <v>1</v>
      </c>
      <c r="AE45" s="1">
        <v>-94</v>
      </c>
      <c r="AF45" s="1">
        <v>0</v>
      </c>
      <c r="AG45" s="1">
        <v>243</v>
      </c>
      <c r="AH45" s="1">
        <v>7</v>
      </c>
      <c r="AI45" s="1">
        <v>-6</v>
      </c>
      <c r="AJ45" s="1">
        <v>-115</v>
      </c>
      <c r="AK45" s="1">
        <v>-121</v>
      </c>
      <c r="AL45" s="1">
        <v>-106</v>
      </c>
      <c r="AM45" s="1">
        <v>-110</v>
      </c>
      <c r="AN45" s="1">
        <v>-113</v>
      </c>
      <c r="AO45" s="1">
        <v>-88</v>
      </c>
      <c r="AP45" s="1">
        <v>-119</v>
      </c>
      <c r="AQ45" s="1">
        <v>-73</v>
      </c>
      <c r="AR45" s="1">
        <v>132</v>
      </c>
      <c r="AS45" s="1">
        <v>-87</v>
      </c>
      <c r="AT45" s="1">
        <v>36</v>
      </c>
      <c r="AU45" s="1">
        <v>-42</v>
      </c>
      <c r="AV45" s="1">
        <v>-24</v>
      </c>
      <c r="AW45" s="1">
        <v>-111</v>
      </c>
      <c r="AX45" s="1">
        <v>-118</v>
      </c>
      <c r="AY45" s="1">
        <v>-142</v>
      </c>
      <c r="AZ45" s="1">
        <f>-516-SUM(AW45:AY45)</f>
        <v>-145</v>
      </c>
      <c r="BA45" s="1">
        <v>-136</v>
      </c>
      <c r="BB45" s="1">
        <v>-121</v>
      </c>
      <c r="BC45" s="1">
        <v>-131</v>
      </c>
      <c r="BD45" s="1">
        <f>-513-SUM(BA45:BC45)</f>
        <v>-125</v>
      </c>
      <c r="BE45" s="1">
        <v>-134</v>
      </c>
      <c r="BF45" s="1">
        <v>-134</v>
      </c>
      <c r="BG45" s="1">
        <v>-111</v>
      </c>
      <c r="BH45" s="1">
        <f>-538-SUM(BE45:BG45)</f>
        <v>-159</v>
      </c>
      <c r="BI45" s="1">
        <v>-137</v>
      </c>
      <c r="BJ45" s="1">
        <v>-142</v>
      </c>
      <c r="BK45" s="1">
        <v>-182</v>
      </c>
      <c r="BL45" s="1">
        <f>-644-SUM(BI45:BK45)</f>
        <v>-183</v>
      </c>
      <c r="BM45" s="1">
        <v>-187</v>
      </c>
      <c r="BN45" s="1">
        <v>-82</v>
      </c>
      <c r="BO45" s="1">
        <v>-196</v>
      </c>
      <c r="BP45" s="1">
        <f>-641-SUM(BM45:BO45)</f>
        <v>-176</v>
      </c>
      <c r="BQ45" s="1">
        <v>-182</v>
      </c>
      <c r="BR45" s="1">
        <v>-158</v>
      </c>
      <c r="BS45" s="1">
        <v>-39</v>
      </c>
      <c r="BT45" s="1">
        <v>-210</v>
      </c>
      <c r="CE45" s="46">
        <f t="shared" si="63"/>
        <v>462</v>
      </c>
      <c r="CF45" s="46">
        <f t="shared" si="64"/>
        <v>49</v>
      </c>
      <c r="CG45" s="46">
        <f t="shared" si="65"/>
        <v>200</v>
      </c>
      <c r="CH45" s="46">
        <f t="shared" si="66"/>
        <v>68</v>
      </c>
      <c r="CI45" s="46">
        <f t="shared" si="67"/>
        <v>18</v>
      </c>
      <c r="CJ45" s="46">
        <f t="shared" si="68"/>
        <v>27</v>
      </c>
      <c r="CK45" s="46">
        <f t="shared" si="69"/>
        <v>-69</v>
      </c>
      <c r="CL45" s="46">
        <f t="shared" si="70"/>
        <v>129</v>
      </c>
      <c r="CM45" s="46">
        <f t="shared" si="71"/>
        <v>-450</v>
      </c>
      <c r="CN45" s="46">
        <f t="shared" si="72"/>
        <v>-148</v>
      </c>
      <c r="CO45" s="46">
        <f t="shared" si="73"/>
        <v>-117</v>
      </c>
      <c r="CP45" s="46">
        <f t="shared" si="74"/>
        <v>-516</v>
      </c>
      <c r="CQ45" s="46">
        <f t="shared" si="75"/>
        <v>-513</v>
      </c>
      <c r="CR45" s="46">
        <f t="shared" si="76"/>
        <v>-538</v>
      </c>
      <c r="CS45" s="46">
        <f t="shared" si="77"/>
        <v>-644</v>
      </c>
      <c r="CT45" s="1">
        <f t="shared" si="78"/>
        <v>-641</v>
      </c>
      <c r="CU45" s="46">
        <f>CT45*0.9</f>
        <v>-576.9</v>
      </c>
      <c r="CV45" s="55">
        <f>CU45*0.95</f>
        <v>-548.05499999999995</v>
      </c>
      <c r="CW45" s="55">
        <f t="shared" ref="CW45:CX45" si="101">CV45*0.95</f>
        <v>-520.65224999999998</v>
      </c>
      <c r="CX45" s="55">
        <f t="shared" si="101"/>
        <v>-494.61963749999995</v>
      </c>
      <c r="CY45" s="55">
        <f>CX45*0.97</f>
        <v>-479.78104837499995</v>
      </c>
      <c r="CZ45" s="55">
        <f t="shared" ref="CZ45:DE45" si="102">CY45*0.97</f>
        <v>-465.38761692374993</v>
      </c>
      <c r="DA45" s="55">
        <f t="shared" si="102"/>
        <v>-451.4259884160374</v>
      </c>
      <c r="DB45" s="55">
        <f t="shared" si="102"/>
        <v>-437.88320876355624</v>
      </c>
      <c r="DC45" s="55">
        <f t="shared" si="102"/>
        <v>-424.74671250064955</v>
      </c>
      <c r="DD45" s="55">
        <f t="shared" si="102"/>
        <v>-412.00431112563007</v>
      </c>
      <c r="DE45" s="55">
        <f t="shared" si="102"/>
        <v>-399.64418179186117</v>
      </c>
    </row>
    <row r="46" spans="2:160">
      <c r="B46" s="1" t="s">
        <v>232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69</v>
      </c>
      <c r="AX46" s="1">
        <v>23</v>
      </c>
      <c r="AY46" s="1">
        <v>75</v>
      </c>
      <c r="AZ46" s="1">
        <f>225-SUM(AW46:AY46)</f>
        <v>58</v>
      </c>
      <c r="BA46" s="1">
        <v>40</v>
      </c>
      <c r="BB46" s="1">
        <v>168</v>
      </c>
      <c r="BC46" s="1">
        <v>456</v>
      </c>
      <c r="BD46" s="1">
        <f>772-SUM(BA46:BC46)</f>
        <v>108</v>
      </c>
      <c r="BE46" s="1">
        <v>255</v>
      </c>
      <c r="BF46" s="1">
        <v>-126</v>
      </c>
      <c r="BG46" s="1">
        <v>-208</v>
      </c>
      <c r="BH46" s="1">
        <f>-139-SUM(BE46:BG46)</f>
        <v>-60</v>
      </c>
      <c r="BI46" s="1">
        <v>24</v>
      </c>
      <c r="BJ46" s="1">
        <v>84</v>
      </c>
      <c r="BK46" s="1">
        <v>304</v>
      </c>
      <c r="BL46" s="1">
        <f>681-SUM(BI46:BK46)</f>
        <v>269</v>
      </c>
      <c r="BM46" s="1">
        <v>275</v>
      </c>
      <c r="BN46" s="1">
        <v>241</v>
      </c>
      <c r="BO46" s="1">
        <v>247</v>
      </c>
      <c r="BP46" s="1">
        <f>962-SUM(BM46:BO46)</f>
        <v>199</v>
      </c>
      <c r="BQ46" s="1">
        <v>148</v>
      </c>
      <c r="BR46" s="1">
        <v>161</v>
      </c>
      <c r="BS46" s="1">
        <v>195</v>
      </c>
      <c r="BT46" s="1">
        <v>285</v>
      </c>
      <c r="CE46" s="46">
        <f>SUM(E45:H45)</f>
        <v>462</v>
      </c>
      <c r="CF46" s="46">
        <f>SUM(I45:L45)</f>
        <v>49</v>
      </c>
      <c r="CG46" s="46">
        <f>SUM(M45:P45)</f>
        <v>200</v>
      </c>
      <c r="CH46" s="46">
        <f>SUM(Q45:T45)</f>
        <v>68</v>
      </c>
      <c r="CI46" s="46">
        <f>SUM(U45:X45)</f>
        <v>18</v>
      </c>
      <c r="CJ46" s="46">
        <f>SUM(Y45:AB45)</f>
        <v>27</v>
      </c>
      <c r="CK46" s="46">
        <f>SUM(AC45:AF45)</f>
        <v>-69</v>
      </c>
      <c r="CL46" s="46">
        <f>SUM(AG45:AJ45)</f>
        <v>129</v>
      </c>
      <c r="CM46" s="46">
        <f>SUM(AK45:AN45)</f>
        <v>-450</v>
      </c>
      <c r="CN46" s="46">
        <f>SUM(AO45:AR45)</f>
        <v>-148</v>
      </c>
      <c r="CO46" s="46">
        <f>SUM(AS45:AV45)</f>
        <v>-117</v>
      </c>
      <c r="CP46" s="46">
        <f t="shared" si="74"/>
        <v>225</v>
      </c>
      <c r="CQ46" s="46">
        <f t="shared" si="75"/>
        <v>772</v>
      </c>
      <c r="CR46" s="46">
        <f t="shared" si="76"/>
        <v>-139</v>
      </c>
      <c r="CS46" s="46">
        <f t="shared" si="77"/>
        <v>681</v>
      </c>
      <c r="CT46" s="1">
        <f t="shared" si="78"/>
        <v>962</v>
      </c>
      <c r="CU46" s="46">
        <f>CT64*$DE$66</f>
        <v>3053.625</v>
      </c>
      <c r="CV46" s="55">
        <f>CU46*(1+DE66)</f>
        <v>3832.2993749999996</v>
      </c>
      <c r="CW46" s="55">
        <f t="shared" ref="CW46:DE46" si="103">CV46*(1+$DE$66)</f>
        <v>4809.5357156249993</v>
      </c>
      <c r="CX46" s="55">
        <f t="shared" si="103"/>
        <v>6035.9673231093739</v>
      </c>
      <c r="CY46" s="55">
        <f t="shared" si="103"/>
        <v>7575.1389905022634</v>
      </c>
      <c r="CZ46" s="55">
        <f t="shared" si="103"/>
        <v>9506.7994330803394</v>
      </c>
      <c r="DA46" s="55">
        <f t="shared" si="103"/>
        <v>11931.033288515824</v>
      </c>
      <c r="DB46" s="55">
        <f t="shared" si="103"/>
        <v>14973.446777087358</v>
      </c>
      <c r="DC46" s="55">
        <f t="shared" si="103"/>
        <v>18791.675705244634</v>
      </c>
      <c r="DD46" s="55">
        <f t="shared" si="103"/>
        <v>23583.553010082014</v>
      </c>
      <c r="DE46" s="55">
        <f t="shared" si="103"/>
        <v>29597.359027652925</v>
      </c>
    </row>
    <row r="47" spans="2:160">
      <c r="B47" s="1" t="s">
        <v>228</v>
      </c>
      <c r="C47" s="1">
        <f t="shared" ref="C47:AV47" si="104">C44+C45</f>
        <v>953</v>
      </c>
      <c r="D47" s="1">
        <f t="shared" si="104"/>
        <v>714</v>
      </c>
      <c r="E47" s="1">
        <f t="shared" si="104"/>
        <v>1208</v>
      </c>
      <c r="F47" s="1">
        <f t="shared" si="104"/>
        <v>893</v>
      </c>
      <c r="G47" s="1">
        <f t="shared" si="104"/>
        <v>1297</v>
      </c>
      <c r="H47" s="1">
        <f t="shared" si="104"/>
        <v>604</v>
      </c>
      <c r="I47" s="1">
        <f t="shared" si="104"/>
        <v>1208</v>
      </c>
      <c r="J47" s="1">
        <f t="shared" si="104"/>
        <v>1113</v>
      </c>
      <c r="K47" s="1">
        <f t="shared" si="104"/>
        <v>1122</v>
      </c>
      <c r="L47" s="1">
        <f t="shared" si="104"/>
        <v>1195</v>
      </c>
      <c r="M47" s="1">
        <f t="shared" si="104"/>
        <v>1382</v>
      </c>
      <c r="N47" s="1">
        <f t="shared" si="104"/>
        <v>1377</v>
      </c>
      <c r="O47" s="1">
        <f t="shared" si="104"/>
        <v>1543</v>
      </c>
      <c r="P47" s="1">
        <f t="shared" si="104"/>
        <v>1354</v>
      </c>
      <c r="Q47" s="1">
        <f t="shared" si="104"/>
        <v>1617</v>
      </c>
      <c r="R47" s="1">
        <f t="shared" si="104"/>
        <v>1609</v>
      </c>
      <c r="S47" s="1">
        <f t="shared" si="104"/>
        <v>-2607</v>
      </c>
      <c r="T47" s="1">
        <f t="shared" si="104"/>
        <v>1588</v>
      </c>
      <c r="U47" s="1">
        <f t="shared" si="104"/>
        <v>1801</v>
      </c>
      <c r="V47" s="1">
        <f t="shared" si="104"/>
        <v>1857</v>
      </c>
      <c r="W47" s="1">
        <f t="shared" si="104"/>
        <v>1833</v>
      </c>
      <c r="X47" s="1">
        <f t="shared" si="104"/>
        <v>1766</v>
      </c>
      <c r="Y47" s="1">
        <f t="shared" si="104"/>
        <v>2083</v>
      </c>
      <c r="Z47" s="1">
        <f t="shared" si="104"/>
        <v>2061</v>
      </c>
      <c r="AA47" s="1">
        <f t="shared" si="104"/>
        <v>2030</v>
      </c>
      <c r="AB47" s="1">
        <f t="shared" si="104"/>
        <v>1550</v>
      </c>
      <c r="AC47" s="1">
        <f t="shared" si="104"/>
        <v>2262</v>
      </c>
      <c r="AD47" s="1">
        <f t="shared" si="104"/>
        <v>2282</v>
      </c>
      <c r="AE47" s="1">
        <f t="shared" si="104"/>
        <v>2168</v>
      </c>
      <c r="AF47" s="1">
        <f t="shared" si="104"/>
        <v>2283</v>
      </c>
      <c r="AG47" s="1">
        <f t="shared" si="104"/>
        <v>2639</v>
      </c>
      <c r="AH47" s="1">
        <f t="shared" si="104"/>
        <v>2441</v>
      </c>
      <c r="AI47" s="1">
        <f t="shared" si="104"/>
        <v>422</v>
      </c>
      <c r="AJ47" s="1">
        <f t="shared" si="104"/>
        <v>2510</v>
      </c>
      <c r="AK47" s="1">
        <f t="shared" si="104"/>
        <v>2979</v>
      </c>
      <c r="AL47" s="1">
        <f t="shared" si="104"/>
        <v>2702</v>
      </c>
      <c r="AM47" s="1">
        <f t="shared" si="104"/>
        <v>2914</v>
      </c>
      <c r="AN47" s="1">
        <f t="shared" si="104"/>
        <v>3099</v>
      </c>
      <c r="AO47" s="1">
        <f t="shared" si="104"/>
        <v>3239</v>
      </c>
      <c r="AP47" s="1">
        <f t="shared" si="104"/>
        <v>3217</v>
      </c>
      <c r="AQ47" s="1">
        <f t="shared" si="104"/>
        <v>2812</v>
      </c>
      <c r="AR47" s="1">
        <f t="shared" si="104"/>
        <v>3538</v>
      </c>
      <c r="AS47" s="1">
        <f t="shared" si="104"/>
        <v>3630</v>
      </c>
      <c r="AT47" s="1">
        <f t="shared" si="104"/>
        <v>3677</v>
      </c>
      <c r="AU47" s="1">
        <f t="shared" si="104"/>
        <v>3866</v>
      </c>
      <c r="AV47" s="1">
        <f t="shared" si="104"/>
        <v>3711</v>
      </c>
      <c r="AW47" s="1">
        <f t="shared" ref="AW47:BQ47" si="105">AW44+SUM(AW45:AW46)</f>
        <v>3974</v>
      </c>
      <c r="AX47" s="1">
        <f t="shared" si="105"/>
        <v>3829</v>
      </c>
      <c r="AY47" s="1">
        <f t="shared" si="105"/>
        <v>2932</v>
      </c>
      <c r="AZ47" s="1">
        <f t="shared" si="105"/>
        <v>3055</v>
      </c>
      <c r="BA47" s="1">
        <f t="shared" si="105"/>
        <v>3748</v>
      </c>
      <c r="BB47" s="1">
        <f t="shared" si="105"/>
        <v>3628</v>
      </c>
      <c r="BC47" s="1">
        <f t="shared" si="105"/>
        <v>4389</v>
      </c>
      <c r="BD47" s="1">
        <f t="shared" si="105"/>
        <v>4298</v>
      </c>
      <c r="BE47" s="1">
        <f t="shared" si="105"/>
        <v>4897</v>
      </c>
      <c r="BF47" s="1">
        <f t="shared" si="105"/>
        <v>4542</v>
      </c>
      <c r="BG47" s="1">
        <f t="shared" si="105"/>
        <v>3829</v>
      </c>
      <c r="BH47" s="1">
        <f t="shared" si="105"/>
        <v>4868</v>
      </c>
      <c r="BI47" s="1">
        <f t="shared" si="105"/>
        <v>4977</v>
      </c>
      <c r="BJ47" s="1">
        <f t="shared" si="105"/>
        <v>5278</v>
      </c>
      <c r="BK47" s="1">
        <f t="shared" si="105"/>
        <v>5146</v>
      </c>
      <c r="BL47" s="1">
        <f t="shared" si="105"/>
        <v>5636</v>
      </c>
      <c r="BM47" s="1">
        <f t="shared" si="105"/>
        <v>6042</v>
      </c>
      <c r="BN47" s="1">
        <f t="shared" si="105"/>
        <v>5513</v>
      </c>
      <c r="BO47" s="1">
        <f t="shared" si="105"/>
        <v>5989</v>
      </c>
      <c r="BP47" s="1">
        <f t="shared" si="105"/>
        <v>6372</v>
      </c>
      <c r="BQ47" s="1">
        <f t="shared" si="105"/>
        <v>6200</v>
      </c>
      <c r="BR47" s="1">
        <f>BR44+SUM(BR45:BR46)</f>
        <v>5438</v>
      </c>
      <c r="BS47" s="1">
        <f>BS44+SUM(BS45:BS46)</f>
        <v>6333</v>
      </c>
      <c r="BT47" s="1">
        <f t="shared" ref="BT47" si="106">BT44+SUM(BT45:BT46)</f>
        <v>6223</v>
      </c>
      <c r="CE47" s="46">
        <f>SUM(E47:H47)</f>
        <v>4002</v>
      </c>
      <c r="CF47" s="46">
        <f>SUM(I47:L47)</f>
        <v>4638</v>
      </c>
      <c r="CG47" s="46">
        <f>SUM(M47:P47)</f>
        <v>5656</v>
      </c>
      <c r="CH47" s="46">
        <f>SUM(Q47:T47)</f>
        <v>2207</v>
      </c>
      <c r="CI47" s="46">
        <f>SUM(U47:X47)</f>
        <v>7257</v>
      </c>
      <c r="CJ47" s="46">
        <f>SUM(Y47:AB47)</f>
        <v>7724</v>
      </c>
      <c r="CK47" s="46">
        <f>CK44+CK46</f>
        <v>8995</v>
      </c>
      <c r="CL47" s="46">
        <f>SUM(AG47:AJ47)</f>
        <v>8012</v>
      </c>
      <c r="CM47" s="46">
        <f>SUM(AK47:AN47)</f>
        <v>11694</v>
      </c>
      <c r="CN47" s="46">
        <f>SUM(AO47:AR47)</f>
        <v>12806</v>
      </c>
      <c r="CO47" s="46">
        <f>SUM(AS47:AV47)</f>
        <v>14884</v>
      </c>
      <c r="CP47" s="46">
        <f t="shared" si="74"/>
        <v>13790</v>
      </c>
      <c r="CQ47" s="46">
        <f t="shared" si="75"/>
        <v>16063</v>
      </c>
      <c r="CR47" s="46">
        <f t="shared" si="76"/>
        <v>18136</v>
      </c>
      <c r="CS47" s="46">
        <f t="shared" si="77"/>
        <v>21037</v>
      </c>
      <c r="CT47" s="1">
        <f t="shared" si="78"/>
        <v>23916</v>
      </c>
      <c r="CU47" s="46">
        <f>CU44+SUM(CU45:CU46)</f>
        <v>25805.469641763622</v>
      </c>
      <c r="CV47" s="55">
        <f t="shared" ref="CV47:DD47" si="107">CV44+SUM(CV45:CV46)</f>
        <v>29658.285093011262</v>
      </c>
      <c r="CW47" s="55">
        <f t="shared" si="107"/>
        <v>36211.945785142438</v>
      </c>
      <c r="CX47" s="55">
        <f t="shared" si="107"/>
        <v>39905.883354014397</v>
      </c>
      <c r="CY47" s="55">
        <f t="shared" si="107"/>
        <v>43827.379906272421</v>
      </c>
      <c r="CZ47" s="55">
        <f t="shared" si="107"/>
        <v>47682.971092363805</v>
      </c>
      <c r="DA47" s="55">
        <f t="shared" si="107"/>
        <v>52315.549144218181</v>
      </c>
      <c r="DB47" s="55">
        <f t="shared" si="107"/>
        <v>56870.273224466393</v>
      </c>
      <c r="DC47" s="55">
        <f t="shared" si="107"/>
        <v>62070.971767890063</v>
      </c>
      <c r="DD47" s="55">
        <f t="shared" si="107"/>
        <v>67851.268307035178</v>
      </c>
      <c r="DE47" s="55">
        <f t="shared" ref="DE47" si="108">DE44+SUM(DE45:DE46)</f>
        <v>74444.207132919182</v>
      </c>
    </row>
    <row r="48" spans="2:160">
      <c r="B48" s="1" t="s">
        <v>229</v>
      </c>
      <c r="C48" s="1">
        <v>379</v>
      </c>
      <c r="D48" s="1">
        <v>292</v>
      </c>
      <c r="E48" s="1">
        <v>445</v>
      </c>
      <c r="F48" s="1">
        <v>352</v>
      </c>
      <c r="G48" s="1">
        <v>568</v>
      </c>
      <c r="H48" s="1">
        <v>283</v>
      </c>
      <c r="I48" s="1">
        <v>445</v>
      </c>
      <c r="J48" s="1">
        <v>401</v>
      </c>
      <c r="K48" s="1">
        <v>406</v>
      </c>
      <c r="L48" s="1">
        <v>422</v>
      </c>
      <c r="M48" s="1">
        <v>498</v>
      </c>
      <c r="N48" s="1">
        <v>497</v>
      </c>
      <c r="O48" s="1">
        <v>539</v>
      </c>
      <c r="P48" s="1">
        <v>476</v>
      </c>
      <c r="Q48" s="1">
        <v>590</v>
      </c>
      <c r="R48" s="1">
        <v>317</v>
      </c>
      <c r="S48" s="1">
        <v>-768</v>
      </c>
      <c r="T48" s="1">
        <v>-74</v>
      </c>
      <c r="U48" s="1">
        <v>508</v>
      </c>
      <c r="V48" s="1">
        <v>587</v>
      </c>
      <c r="W48" s="1">
        <v>608</v>
      </c>
      <c r="X48" s="1">
        <v>574</v>
      </c>
      <c r="Y48" s="1">
        <v>676</v>
      </c>
      <c r="Z48" s="1">
        <v>463</v>
      </c>
      <c r="AA48" s="1">
        <v>670</v>
      </c>
      <c r="AB48" s="1">
        <v>477</v>
      </c>
      <c r="AC48" s="1">
        <v>693</v>
      </c>
      <c r="AD48" s="1">
        <v>732</v>
      </c>
      <c r="AE48" s="1">
        <v>471</v>
      </c>
      <c r="AF48" s="1">
        <v>771</v>
      </c>
      <c r="AG48" s="1">
        <v>698</v>
      </c>
      <c r="AH48" s="1">
        <v>734</v>
      </c>
      <c r="AI48" s="1">
        <v>10</v>
      </c>
      <c r="AJ48" s="1">
        <v>579</v>
      </c>
      <c r="AK48" s="1">
        <v>909</v>
      </c>
      <c r="AL48" s="1">
        <v>2272</v>
      </c>
      <c r="AM48" s="1">
        <v>855</v>
      </c>
      <c r="AN48" s="1">
        <v>959</v>
      </c>
      <c r="AO48" s="1">
        <v>717</v>
      </c>
      <c r="AP48" s="1">
        <v>612</v>
      </c>
      <c r="AQ48" s="1">
        <v>483</v>
      </c>
      <c r="AR48" s="1">
        <v>693</v>
      </c>
      <c r="AS48" s="1">
        <v>653</v>
      </c>
      <c r="AT48" s="1">
        <v>700</v>
      </c>
      <c r="AU48" s="1">
        <v>765</v>
      </c>
      <c r="AV48" s="1">
        <v>686</v>
      </c>
      <c r="AW48" s="1">
        <v>702</v>
      </c>
      <c r="AX48" s="1">
        <v>745</v>
      </c>
      <c r="AY48" s="1">
        <v>559</v>
      </c>
      <c r="AZ48" s="1">
        <f>2924-SUM(AW48:AY48)</f>
        <v>918</v>
      </c>
      <c r="BA48" s="1">
        <v>622</v>
      </c>
      <c r="BB48" s="1">
        <v>602</v>
      </c>
      <c r="BC48" s="1">
        <v>1814</v>
      </c>
      <c r="BD48" s="1">
        <f>3752-SUM(BA48:BC48)</f>
        <v>714</v>
      </c>
      <c r="BE48" s="1">
        <v>938</v>
      </c>
      <c r="BF48" s="1">
        <v>895</v>
      </c>
      <c r="BG48" s="1">
        <v>418</v>
      </c>
      <c r="BH48" s="1">
        <f>3179-SUM(BE48:BG48)</f>
        <v>928</v>
      </c>
      <c r="BI48" s="1">
        <v>798</v>
      </c>
      <c r="BJ48" s="1">
        <v>1021</v>
      </c>
      <c r="BK48" s="1">
        <v>990</v>
      </c>
      <c r="BL48" s="1">
        <f>3764-SUM(BI48:BK48)</f>
        <v>955</v>
      </c>
      <c r="BM48" s="1">
        <v>1152</v>
      </c>
      <c r="BN48" s="1">
        <v>850</v>
      </c>
      <c r="BO48" s="1">
        <v>1117</v>
      </c>
      <c r="BP48" s="1">
        <f>4173-SUM(BM48:BO48)</f>
        <v>1054</v>
      </c>
      <c r="BQ48" s="1">
        <v>1081</v>
      </c>
      <c r="BR48" s="1">
        <v>861</v>
      </c>
      <c r="BS48" s="1">
        <v>1061</v>
      </c>
      <c r="BT48" s="1">
        <v>1133</v>
      </c>
      <c r="CE48" s="46">
        <f>SUM(E48:H48)</f>
        <v>1648</v>
      </c>
      <c r="CF48" s="46">
        <f>SUM(I48:L48)</f>
        <v>1674</v>
      </c>
      <c r="CG48" s="46">
        <f>SUM(M48:P48)</f>
        <v>2010</v>
      </c>
      <c r="CH48" s="46">
        <f>SUM(Q48:T48)</f>
        <v>65</v>
      </c>
      <c r="CI48" s="46">
        <f>SUM(U48:X48)</f>
        <v>2277</v>
      </c>
      <c r="CJ48" s="46">
        <f>SUM(Y48:AB48)</f>
        <v>2286</v>
      </c>
      <c r="CK48" s="46">
        <f>SUM(AC48:AF48)</f>
        <v>2667</v>
      </c>
      <c r="CL48" s="46">
        <f>SUM(AG48:AJ48)</f>
        <v>2021</v>
      </c>
      <c r="CM48" s="46">
        <f>SUM(AK48:AN48)</f>
        <v>4995</v>
      </c>
      <c r="CN48" s="46">
        <f>SUM(AO48:AR48)</f>
        <v>2505</v>
      </c>
      <c r="CO48" s="46">
        <f>SUM(AS48:AV48)</f>
        <v>2804</v>
      </c>
      <c r="CP48" s="46">
        <f t="shared" si="74"/>
        <v>2924</v>
      </c>
      <c r="CQ48" s="46">
        <f t="shared" si="75"/>
        <v>3752</v>
      </c>
      <c r="CR48" s="46">
        <f t="shared" si="76"/>
        <v>3179</v>
      </c>
      <c r="CS48" s="46">
        <f t="shared" si="77"/>
        <v>3764</v>
      </c>
      <c r="CT48" s="1">
        <f t="shared" si="78"/>
        <v>4173</v>
      </c>
      <c r="CU48" s="46">
        <f>CU47*CU61</f>
        <v>4464.3462480251064</v>
      </c>
      <c r="CV48" s="55">
        <f t="shared" ref="CV48:DD48" si="109">CV47*CV61</f>
        <v>5190.1998912769704</v>
      </c>
      <c r="CW48" s="55">
        <f t="shared" si="109"/>
        <v>6427.620376862782</v>
      </c>
      <c r="CX48" s="55">
        <f t="shared" si="109"/>
        <v>7083.294295337555</v>
      </c>
      <c r="CY48" s="55">
        <f t="shared" si="109"/>
        <v>7779.3599333633547</v>
      </c>
      <c r="CZ48" s="55">
        <f t="shared" si="109"/>
        <v>8463.7273688945752</v>
      </c>
      <c r="DA48" s="55">
        <f t="shared" si="109"/>
        <v>9286.0099730987258</v>
      </c>
      <c r="DB48" s="55">
        <f t="shared" si="109"/>
        <v>10094.473497342784</v>
      </c>
      <c r="DC48" s="55">
        <f t="shared" si="109"/>
        <v>11017.597488800486</v>
      </c>
      <c r="DD48" s="55">
        <f t="shared" si="109"/>
        <v>12043.600124498744</v>
      </c>
      <c r="DE48" s="55">
        <f t="shared" ref="DE48" si="110">DE47*DE61</f>
        <v>13213.846766093155</v>
      </c>
    </row>
    <row r="49" spans="2:160" s="2" customFormat="1" ht="15">
      <c r="B49" s="2" t="s">
        <v>136</v>
      </c>
      <c r="C49" s="2">
        <f>C47-C48</f>
        <v>574</v>
      </c>
      <c r="D49" s="2">
        <f t="shared" ref="D49:BO49" si="111">D47-D48</f>
        <v>422</v>
      </c>
      <c r="E49" s="2">
        <f t="shared" si="111"/>
        <v>763</v>
      </c>
      <c r="F49" s="2">
        <f t="shared" si="111"/>
        <v>541</v>
      </c>
      <c r="G49" s="2">
        <f t="shared" si="111"/>
        <v>729</v>
      </c>
      <c r="H49" s="2">
        <f t="shared" si="111"/>
        <v>321</v>
      </c>
      <c r="I49" s="2">
        <f t="shared" si="111"/>
        <v>763</v>
      </c>
      <c r="J49" s="2">
        <f t="shared" si="111"/>
        <v>712</v>
      </c>
      <c r="K49" s="2">
        <f t="shared" si="111"/>
        <v>716</v>
      </c>
      <c r="L49" s="2">
        <f t="shared" si="111"/>
        <v>773</v>
      </c>
      <c r="M49" s="2">
        <f t="shared" si="111"/>
        <v>884</v>
      </c>
      <c r="N49" s="2">
        <f t="shared" si="111"/>
        <v>880</v>
      </c>
      <c r="O49" s="2">
        <f t="shared" si="111"/>
        <v>1004</v>
      </c>
      <c r="P49" s="2">
        <f t="shared" si="111"/>
        <v>878</v>
      </c>
      <c r="Q49" s="2">
        <f t="shared" si="111"/>
        <v>1027</v>
      </c>
      <c r="R49" s="2">
        <f t="shared" si="111"/>
        <v>1292</v>
      </c>
      <c r="S49" s="2">
        <f t="shared" si="111"/>
        <v>-1839</v>
      </c>
      <c r="T49" s="2">
        <f t="shared" si="111"/>
        <v>1662</v>
      </c>
      <c r="U49" s="2">
        <f t="shared" si="111"/>
        <v>1293</v>
      </c>
      <c r="V49" s="2">
        <f t="shared" si="111"/>
        <v>1270</v>
      </c>
      <c r="W49" s="2">
        <f t="shared" si="111"/>
        <v>1225</v>
      </c>
      <c r="X49" s="2">
        <f t="shared" si="111"/>
        <v>1192</v>
      </c>
      <c r="Y49" s="2">
        <f t="shared" si="111"/>
        <v>1407</v>
      </c>
      <c r="Z49" s="2">
        <f t="shared" si="111"/>
        <v>1598</v>
      </c>
      <c r="AA49" s="2">
        <f t="shared" si="111"/>
        <v>1360</v>
      </c>
      <c r="AB49" s="2">
        <f t="shared" si="111"/>
        <v>1073</v>
      </c>
      <c r="AC49" s="2">
        <f t="shared" si="111"/>
        <v>1569</v>
      </c>
      <c r="AD49" s="2">
        <f t="shared" si="111"/>
        <v>1550</v>
      </c>
      <c r="AE49" s="2">
        <f t="shared" si="111"/>
        <v>1697</v>
      </c>
      <c r="AF49" s="2">
        <f t="shared" si="111"/>
        <v>1512</v>
      </c>
      <c r="AG49" s="2">
        <f t="shared" si="111"/>
        <v>1941</v>
      </c>
      <c r="AH49" s="2">
        <f t="shared" si="111"/>
        <v>1707</v>
      </c>
      <c r="AI49" s="2">
        <f t="shared" si="111"/>
        <v>412</v>
      </c>
      <c r="AJ49" s="2">
        <f t="shared" si="111"/>
        <v>1931</v>
      </c>
      <c r="AK49" s="2">
        <f t="shared" si="111"/>
        <v>2070</v>
      </c>
      <c r="AL49" s="2">
        <f t="shared" si="111"/>
        <v>430</v>
      </c>
      <c r="AM49" s="2">
        <f t="shared" si="111"/>
        <v>2059</v>
      </c>
      <c r="AN49" s="2">
        <f t="shared" si="111"/>
        <v>2140</v>
      </c>
      <c r="AO49" s="2">
        <f t="shared" si="111"/>
        <v>2522</v>
      </c>
      <c r="AP49" s="2">
        <f t="shared" si="111"/>
        <v>2605</v>
      </c>
      <c r="AQ49" s="2">
        <f t="shared" si="111"/>
        <v>2329</v>
      </c>
      <c r="AR49" s="2">
        <f t="shared" si="111"/>
        <v>2845</v>
      </c>
      <c r="AS49" s="2">
        <f t="shared" si="111"/>
        <v>2977</v>
      </c>
      <c r="AT49" s="2">
        <f t="shared" si="111"/>
        <v>2977</v>
      </c>
      <c r="AU49" s="2">
        <f t="shared" si="111"/>
        <v>3101</v>
      </c>
      <c r="AV49" s="2">
        <f t="shared" si="111"/>
        <v>3025</v>
      </c>
      <c r="AW49" s="2">
        <f t="shared" si="111"/>
        <v>3272</v>
      </c>
      <c r="AX49" s="2">
        <f t="shared" si="111"/>
        <v>3084</v>
      </c>
      <c r="AY49" s="2">
        <f t="shared" si="111"/>
        <v>2373</v>
      </c>
      <c r="AZ49" s="2">
        <f t="shared" si="111"/>
        <v>2137</v>
      </c>
      <c r="BA49" s="2">
        <f t="shared" si="111"/>
        <v>3126</v>
      </c>
      <c r="BB49" s="2">
        <f t="shared" si="111"/>
        <v>3026</v>
      </c>
      <c r="BC49" s="2">
        <f t="shared" si="111"/>
        <v>2575</v>
      </c>
      <c r="BD49" s="2">
        <f t="shared" si="111"/>
        <v>3584</v>
      </c>
      <c r="BE49" s="2">
        <f t="shared" si="111"/>
        <v>3959</v>
      </c>
      <c r="BF49" s="2">
        <f t="shared" si="111"/>
        <v>3647</v>
      </c>
      <c r="BG49" s="2">
        <f t="shared" si="111"/>
        <v>3411</v>
      </c>
      <c r="BH49" s="2">
        <f t="shared" si="111"/>
        <v>3940</v>
      </c>
      <c r="BI49" s="2">
        <f t="shared" si="111"/>
        <v>4179</v>
      </c>
      <c r="BJ49" s="2">
        <f t="shared" si="111"/>
        <v>4257</v>
      </c>
      <c r="BK49" s="2">
        <f t="shared" si="111"/>
        <v>4156</v>
      </c>
      <c r="BL49" s="2">
        <f t="shared" si="111"/>
        <v>4681</v>
      </c>
      <c r="BM49" s="2">
        <f t="shared" si="111"/>
        <v>4890</v>
      </c>
      <c r="BN49" s="2">
        <f t="shared" si="111"/>
        <v>4663</v>
      </c>
      <c r="BO49" s="2">
        <f t="shared" si="111"/>
        <v>4872</v>
      </c>
      <c r="BP49" s="2">
        <f t="shared" ref="BP49:BR49" si="112">BP47-BP48</f>
        <v>5318</v>
      </c>
      <c r="BQ49" s="2">
        <f t="shared" si="112"/>
        <v>5119</v>
      </c>
      <c r="BR49" s="2">
        <f t="shared" si="112"/>
        <v>4577</v>
      </c>
      <c r="BS49" s="2">
        <f t="shared" ref="BS49:BT49" si="113">BS47-BS48</f>
        <v>5272</v>
      </c>
      <c r="BT49" s="2">
        <f t="shared" si="113"/>
        <v>5090</v>
      </c>
      <c r="BU49" s="34">
        <v>5910</v>
      </c>
      <c r="BV49" s="34">
        <v>5940</v>
      </c>
      <c r="BW49" s="34">
        <v>6080</v>
      </c>
      <c r="BX49" s="34">
        <v>6540</v>
      </c>
      <c r="BY49" s="34">
        <v>6680</v>
      </c>
      <c r="BZ49" s="34">
        <v>6630</v>
      </c>
      <c r="CE49" s="47">
        <f>SUM(E49:H49)</f>
        <v>2354</v>
      </c>
      <c r="CF49" s="47">
        <f>SUM(I49:L49)</f>
        <v>2964</v>
      </c>
      <c r="CG49" s="47">
        <f>SUM(M49:P49)</f>
        <v>3646</v>
      </c>
      <c r="CH49" s="47">
        <f>SUM(Q49:T49)</f>
        <v>2142</v>
      </c>
      <c r="CI49" s="47">
        <f>SUM(U49:X49)</f>
        <v>4980</v>
      </c>
      <c r="CJ49" s="47">
        <f>SUM(Y49:AB49)</f>
        <v>5438</v>
      </c>
      <c r="CK49" s="47">
        <f>CK47-CK48</f>
        <v>6328</v>
      </c>
      <c r="CL49" s="47">
        <f>SUM(AG49:AJ49)</f>
        <v>5991</v>
      </c>
      <c r="CM49" s="47">
        <f>SUM(AK49:AN49)</f>
        <v>6699</v>
      </c>
      <c r="CN49" s="47">
        <f>SUM(AO49:AR49)</f>
        <v>10301</v>
      </c>
      <c r="CO49" s="47">
        <f>SUM(AS49:AV49)</f>
        <v>12080</v>
      </c>
      <c r="CP49" s="47">
        <f t="shared" si="74"/>
        <v>10866</v>
      </c>
      <c r="CQ49" s="47">
        <f t="shared" si="75"/>
        <v>12311</v>
      </c>
      <c r="CR49" s="47">
        <f t="shared" si="76"/>
        <v>14957</v>
      </c>
      <c r="CS49" s="47">
        <f t="shared" si="77"/>
        <v>17273</v>
      </c>
      <c r="CT49" s="2">
        <f t="shared" si="78"/>
        <v>19743</v>
      </c>
      <c r="CU49" s="47">
        <f>CU47-CU48</f>
        <v>21341.123393738515</v>
      </c>
      <c r="CV49" s="54">
        <f>CV47-CV48</f>
        <v>24468.085201734291</v>
      </c>
      <c r="CW49" s="54">
        <f>CW47-CW48</f>
        <v>29784.325408279656</v>
      </c>
      <c r="CX49" s="54">
        <f t="shared" ref="CX49:DD49" si="114">CX47-CX48</f>
        <v>32822.589058676844</v>
      </c>
      <c r="CY49" s="54">
        <f t="shared" si="114"/>
        <v>36048.019972909067</v>
      </c>
      <c r="CZ49" s="54">
        <f t="shared" si="114"/>
        <v>39219.243723469233</v>
      </c>
      <c r="DA49" s="54">
        <f t="shared" si="114"/>
        <v>43029.539171119453</v>
      </c>
      <c r="DB49" s="54">
        <f t="shared" si="114"/>
        <v>46775.799727123609</v>
      </c>
      <c r="DC49" s="54">
        <f t="shared" si="114"/>
        <v>51053.374279089578</v>
      </c>
      <c r="DD49" s="54">
        <f t="shared" si="114"/>
        <v>55807.668182536436</v>
      </c>
      <c r="DE49" s="54">
        <f t="shared" ref="DE49" si="115">DE47-DE48</f>
        <v>61230.360366826026</v>
      </c>
      <c r="DF49" s="54">
        <f t="shared" ref="DF49:EK49" si="116">DE49*(1+$DE$67)</f>
        <v>62761.11937599667</v>
      </c>
      <c r="DG49" s="54">
        <f t="shared" si="116"/>
        <v>64330.147360396579</v>
      </c>
      <c r="DH49" s="54">
        <f t="shared" si="116"/>
        <v>65938.401044406492</v>
      </c>
      <c r="DI49" s="54">
        <f t="shared" si="116"/>
        <v>67586.86107051665</v>
      </c>
      <c r="DJ49" s="54">
        <f t="shared" si="116"/>
        <v>69276.532597279554</v>
      </c>
      <c r="DK49" s="54">
        <f t="shared" si="116"/>
        <v>71008.445912211537</v>
      </c>
      <c r="DL49" s="54">
        <f t="shared" si="116"/>
        <v>72783.65706001682</v>
      </c>
      <c r="DM49" s="54">
        <f t="shared" si="116"/>
        <v>74603.24848651723</v>
      </c>
      <c r="DN49" s="54">
        <f t="shared" si="116"/>
        <v>76468.329698680158</v>
      </c>
      <c r="DO49" s="54">
        <f t="shared" si="116"/>
        <v>78380.037941147151</v>
      </c>
      <c r="DP49" s="54">
        <f t="shared" si="116"/>
        <v>80339.538889675823</v>
      </c>
      <c r="DQ49" s="54">
        <f t="shared" si="116"/>
        <v>82348.027361917717</v>
      </c>
      <c r="DR49" s="54">
        <f t="shared" si="116"/>
        <v>84406.728045965647</v>
      </c>
      <c r="DS49" s="54">
        <f t="shared" si="116"/>
        <v>86516.896247114782</v>
      </c>
      <c r="DT49" s="54">
        <f t="shared" si="116"/>
        <v>88679.818653292648</v>
      </c>
      <c r="DU49" s="54">
        <f t="shared" si="116"/>
        <v>90896.814119624963</v>
      </c>
      <c r="DV49" s="54">
        <f t="shared" si="116"/>
        <v>93169.234472615586</v>
      </c>
      <c r="DW49" s="54">
        <f t="shared" si="116"/>
        <v>95498.465334430963</v>
      </c>
      <c r="DX49" s="54">
        <f t="shared" si="116"/>
        <v>97885.926967791733</v>
      </c>
      <c r="DY49" s="54">
        <f t="shared" si="116"/>
        <v>100333.07514198651</v>
      </c>
      <c r="DZ49" s="54">
        <f t="shared" si="116"/>
        <v>102841.40202053616</v>
      </c>
      <c r="EA49" s="54">
        <f t="shared" si="116"/>
        <v>105412.43707104956</v>
      </c>
      <c r="EB49" s="54">
        <f t="shared" si="116"/>
        <v>108047.74799782579</v>
      </c>
      <c r="EC49" s="54">
        <f t="shared" si="116"/>
        <v>110748.94169777143</v>
      </c>
      <c r="ED49" s="54">
        <f t="shared" si="116"/>
        <v>113517.66524021571</v>
      </c>
      <c r="EE49" s="54">
        <f t="shared" si="116"/>
        <v>116355.60687122108</v>
      </c>
      <c r="EF49" s="54">
        <f t="shared" si="116"/>
        <v>119264.4970430016</v>
      </c>
      <c r="EG49" s="54">
        <f t="shared" si="116"/>
        <v>122246.10946907662</v>
      </c>
      <c r="EH49" s="54">
        <f t="shared" si="116"/>
        <v>125302.26220580352</v>
      </c>
      <c r="EI49" s="54">
        <f t="shared" si="116"/>
        <v>128434.81876094859</v>
      </c>
      <c r="EJ49" s="54">
        <f t="shared" si="116"/>
        <v>131645.68922997228</v>
      </c>
      <c r="EK49" s="54">
        <f t="shared" si="116"/>
        <v>134936.83146072159</v>
      </c>
      <c r="EL49" s="54">
        <f t="shared" ref="EL49:FC49" si="117">EK49*(1+$DE$67)</f>
        <v>138310.25224723961</v>
      </c>
      <c r="EM49" s="54">
        <f t="shared" si="117"/>
        <v>141768.0085534206</v>
      </c>
      <c r="EN49" s="54">
        <f t="shared" si="117"/>
        <v>145312.20876725612</v>
      </c>
      <c r="EO49" s="54">
        <f t="shared" si="117"/>
        <v>148945.01398643749</v>
      </c>
      <c r="EP49" s="54">
        <f t="shared" si="117"/>
        <v>152668.63933609842</v>
      </c>
      <c r="EQ49" s="54">
        <f t="shared" si="117"/>
        <v>156485.35531950087</v>
      </c>
      <c r="ER49" s="54">
        <f t="shared" si="117"/>
        <v>160397.48920248839</v>
      </c>
      <c r="ES49" s="54">
        <f t="shared" si="117"/>
        <v>164407.42643255059</v>
      </c>
      <c r="ET49" s="54">
        <f t="shared" si="117"/>
        <v>168517.61209336435</v>
      </c>
      <c r="EU49" s="54">
        <f t="shared" si="117"/>
        <v>172730.55239569844</v>
      </c>
      <c r="EV49" s="54">
        <f t="shared" si="117"/>
        <v>177048.81620559088</v>
      </c>
      <c r="EW49" s="54">
        <f t="shared" si="117"/>
        <v>181475.03661073063</v>
      </c>
      <c r="EX49" s="54">
        <f t="shared" si="117"/>
        <v>186011.91252599889</v>
      </c>
      <c r="EY49" s="54">
        <f t="shared" si="117"/>
        <v>190662.21033914885</v>
      </c>
      <c r="EZ49" s="54">
        <f t="shared" si="117"/>
        <v>195428.76559762756</v>
      </c>
      <c r="FA49" s="54">
        <f t="shared" si="117"/>
        <v>200314.48473756821</v>
      </c>
      <c r="FB49" s="54">
        <f t="shared" si="117"/>
        <v>205322.34685600741</v>
      </c>
      <c r="FC49" s="54">
        <f t="shared" si="117"/>
        <v>210455.40552740757</v>
      </c>
      <c r="FD49" s="34"/>
    </row>
    <row r="50" spans="2:160">
      <c r="B50" s="1" t="s">
        <v>230</v>
      </c>
      <c r="AW50" s="1">
        <v>2240</v>
      </c>
      <c r="AX50" s="1">
        <v>2228</v>
      </c>
      <c r="AY50" s="1">
        <v>2214</v>
      </c>
      <c r="AZ50" s="1">
        <v>2223</v>
      </c>
      <c r="BA50" s="1">
        <v>2200</v>
      </c>
      <c r="BB50" s="1">
        <v>2193</v>
      </c>
      <c r="BC50" s="1">
        <v>2184</v>
      </c>
      <c r="BD50" s="1">
        <v>2188</v>
      </c>
      <c r="BE50" s="1">
        <v>2159</v>
      </c>
      <c r="BF50" s="1">
        <v>2142</v>
      </c>
      <c r="BG50" s="1">
        <v>2129</v>
      </c>
      <c r="BH50" s="1">
        <v>2136</v>
      </c>
      <c r="BI50" s="1">
        <v>2102</v>
      </c>
      <c r="BJ50" s="1">
        <v>2093</v>
      </c>
      <c r="BK50" s="1">
        <v>2080</v>
      </c>
      <c r="BL50" s="1">
        <v>2085</v>
      </c>
      <c r="BM50" s="1">
        <v>2045</v>
      </c>
      <c r="BN50" s="1">
        <v>2039</v>
      </c>
      <c r="BO50" s="1">
        <v>2029</v>
      </c>
      <c r="BP50" s="1">
        <v>2029</v>
      </c>
      <c r="BQ50" s="1">
        <v>1985</v>
      </c>
      <c r="BR50" s="1">
        <v>1974</v>
      </c>
      <c r="BS50" s="1">
        <v>1959</v>
      </c>
      <c r="BT50" s="1">
        <v>1940</v>
      </c>
      <c r="CE50" s="46"/>
      <c r="CF50" s="46"/>
      <c r="CG50" s="46"/>
      <c r="CH50" s="46"/>
      <c r="CI50" s="46"/>
      <c r="CJ50" s="46"/>
      <c r="CK50" s="46"/>
      <c r="CL50" s="46"/>
      <c r="CM50" s="46"/>
      <c r="CN50" s="46"/>
      <c r="CO50" s="46"/>
      <c r="CP50" s="46">
        <f>AVERAGE(AW50:AZ50)</f>
        <v>2226.25</v>
      </c>
      <c r="CQ50" s="46">
        <f>AVERAGE(BA50:BD50)</f>
        <v>2191.25</v>
      </c>
      <c r="CR50" s="46">
        <f>AVERAGE(BE50:BH50)</f>
        <v>2141.5</v>
      </c>
      <c r="CS50" s="46">
        <f>AVERAGE(BI50:BL50)</f>
        <v>2090</v>
      </c>
      <c r="CT50" s="46">
        <f>AVERAGE(BM50:BP50)</f>
        <v>2035.5</v>
      </c>
      <c r="CU50" s="46">
        <f>AVERAGE(BQ50:BT50)</f>
        <v>1964.5</v>
      </c>
      <c r="CV50" s="55"/>
      <c r="CW50" s="55"/>
      <c r="CX50" s="55"/>
      <c r="CY50" s="55"/>
      <c r="CZ50" s="55"/>
      <c r="DA50" s="55"/>
      <c r="DB50" s="55"/>
      <c r="DC50" s="55"/>
      <c r="DD50" s="55"/>
      <c r="DE50" s="55"/>
    </row>
    <row r="51" spans="2:160">
      <c r="B51" s="1" t="s">
        <v>231</v>
      </c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>
        <f t="shared" ref="AW51:BN51" si="118">AW49/AW50</f>
        <v>1.4607142857142856</v>
      </c>
      <c r="AX51" s="40">
        <f t="shared" si="118"/>
        <v>1.3842010771992819</v>
      </c>
      <c r="AY51" s="40">
        <f t="shared" si="118"/>
        <v>1.0718157181571815</v>
      </c>
      <c r="AZ51" s="40">
        <f t="shared" si="118"/>
        <v>0.96131354026090865</v>
      </c>
      <c r="BA51" s="40">
        <f t="shared" si="118"/>
        <v>1.4209090909090909</v>
      </c>
      <c r="BB51" s="40">
        <f t="shared" si="118"/>
        <v>1.3798449612403101</v>
      </c>
      <c r="BC51" s="40">
        <f t="shared" si="118"/>
        <v>1.1790293040293041</v>
      </c>
      <c r="BD51" s="40">
        <f t="shared" si="118"/>
        <v>1.6380255941499087</v>
      </c>
      <c r="BE51" s="40">
        <f t="shared" si="118"/>
        <v>1.8337193144974526</v>
      </c>
      <c r="BF51" s="40">
        <f t="shared" si="118"/>
        <v>1.7026143790849673</v>
      </c>
      <c r="BG51" s="40">
        <f t="shared" si="118"/>
        <v>1.6021606387975575</v>
      </c>
      <c r="BH51" s="40">
        <f t="shared" si="118"/>
        <v>1.8445692883895131</v>
      </c>
      <c r="BI51" s="40">
        <f t="shared" si="118"/>
        <v>1.9881065651760228</v>
      </c>
      <c r="BJ51" s="40">
        <f t="shared" si="118"/>
        <v>2.0339225991399905</v>
      </c>
      <c r="BK51" s="40">
        <f t="shared" si="118"/>
        <v>1.9980769230769231</v>
      </c>
      <c r="BL51" s="40">
        <f t="shared" si="118"/>
        <v>2.2450839328537171</v>
      </c>
      <c r="BM51" s="40">
        <f t="shared" si="118"/>
        <v>2.39119804400978</v>
      </c>
      <c r="BN51" s="40">
        <f t="shared" si="118"/>
        <v>2.2869053457577242</v>
      </c>
      <c r="BO51" s="40">
        <f t="shared" ref="BO51:BQ51" si="119">BO49/BO50</f>
        <v>2.4011828486939377</v>
      </c>
      <c r="BP51" s="40">
        <f t="shared" si="119"/>
        <v>2.6209955643173979</v>
      </c>
      <c r="BQ51" s="40">
        <f t="shared" si="119"/>
        <v>2.5788413098236775</v>
      </c>
      <c r="BR51" s="40">
        <f>BR49/BR50</f>
        <v>2.3186423505572442</v>
      </c>
      <c r="BS51" s="40">
        <f>BS49/BS50</f>
        <v>2.6911689637570189</v>
      </c>
      <c r="BT51" s="40">
        <f t="shared" ref="BT51" si="120">BT49/BT50</f>
        <v>2.6237113402061856</v>
      </c>
      <c r="CE51" s="40"/>
      <c r="CF51" s="40"/>
      <c r="CG51" s="40"/>
      <c r="CH51" s="40"/>
      <c r="CI51" s="40"/>
      <c r="CJ51" s="40"/>
      <c r="CK51" s="40"/>
      <c r="CL51" s="40"/>
      <c r="CM51" s="40"/>
      <c r="CN51" s="40"/>
      <c r="CO51" s="40"/>
      <c r="CP51" s="40">
        <f>SUM(AW51:AZ51)</f>
        <v>4.8780446213316573</v>
      </c>
      <c r="CQ51" s="40">
        <f>SUM(BA51:BD51)</f>
        <v>5.6178089503286133</v>
      </c>
      <c r="CR51" s="40">
        <f>SUM(BE51:BH51)</f>
        <v>6.9830636207694905</v>
      </c>
      <c r="CS51" s="40">
        <f>SUM(BI51:BL51)</f>
        <v>8.2651900202466528</v>
      </c>
      <c r="CT51" s="40">
        <f>SUM(BM51:BP51)</f>
        <v>9.7002818027788393</v>
      </c>
      <c r="CU51" s="40">
        <f>SUM(BQ51:BT51)</f>
        <v>10.212363964344126</v>
      </c>
    </row>
    <row r="52" spans="2:160">
      <c r="BT52" s="1"/>
    </row>
    <row r="53" spans="2:160">
      <c r="B53" s="1" t="s">
        <v>1527</v>
      </c>
      <c r="AW53" s="48">
        <f t="shared" ref="AW53:AZ53" si="121">AW36/AW35</f>
        <v>0.16220680541790553</v>
      </c>
      <c r="AX53" s="48">
        <f t="shared" si="121"/>
        <v>0.16057396651861974</v>
      </c>
      <c r="AY53" s="48">
        <f t="shared" si="121"/>
        <v>0.19454207153194128</v>
      </c>
      <c r="AZ53" s="48">
        <f t="shared" si="121"/>
        <v>0.18074887277004509</v>
      </c>
      <c r="BA53" s="48">
        <f t="shared" ref="BA53:BQ53" si="122">BA36/BA35</f>
        <v>0.17249868120274309</v>
      </c>
      <c r="BB53" s="48">
        <f t="shared" si="122"/>
        <v>0.19444929307034386</v>
      </c>
      <c r="BC53" s="48">
        <f t="shared" si="122"/>
        <v>0.17911908646003263</v>
      </c>
      <c r="BD53" s="48">
        <f t="shared" si="122"/>
        <v>0.15962799207196218</v>
      </c>
      <c r="BE53" s="48">
        <f t="shared" si="122"/>
        <v>0.15937101572460688</v>
      </c>
      <c r="BF53" s="48">
        <f t="shared" si="122"/>
        <v>0.17053832243705661</v>
      </c>
      <c r="BG53" s="48">
        <f t="shared" si="122"/>
        <v>0.17635738831615119</v>
      </c>
      <c r="BH53" s="48">
        <f t="shared" si="122"/>
        <v>0.17413638114806729</v>
      </c>
      <c r="BI53" s="48">
        <f t="shared" si="122"/>
        <v>0.16847278225806453</v>
      </c>
      <c r="BJ53" s="48">
        <f t="shared" si="122"/>
        <v>0.18973074514715091</v>
      </c>
      <c r="BK53" s="48">
        <f t="shared" si="122"/>
        <v>0.18232180228979442</v>
      </c>
      <c r="BL53" s="48">
        <f t="shared" si="122"/>
        <v>0.17400394935532582</v>
      </c>
      <c r="BM53" s="48">
        <f t="shared" si="122"/>
        <v>0.17129951355107714</v>
      </c>
      <c r="BN53" s="48">
        <f t="shared" si="122"/>
        <v>0.18267806267806269</v>
      </c>
      <c r="BO53" s="48">
        <f t="shared" si="122"/>
        <v>0.17674157303370785</v>
      </c>
      <c r="BP53" s="48">
        <f t="shared" si="122"/>
        <v>0.16730789227409795</v>
      </c>
      <c r="BQ53" s="48">
        <f t="shared" si="122"/>
        <v>0.19064143007360673</v>
      </c>
      <c r="BR53" s="48">
        <f>BR36/BR35</f>
        <v>0.17271211173650197</v>
      </c>
      <c r="BS53" s="48">
        <f>BS36/BS35</f>
        <v>0.17194258749508454</v>
      </c>
      <c r="BT53" s="48">
        <f t="shared" ref="BT53" si="123">BT36/BT35</f>
        <v>0.16243938828795226</v>
      </c>
      <c r="CP53" s="48">
        <f t="shared" ref="CP53:CS53" si="124">CP36/CP35</f>
        <v>0.17325826238212946</v>
      </c>
      <c r="CQ53" s="48">
        <f t="shared" si="124"/>
        <v>0.17589711678075087</v>
      </c>
      <c r="CR53" s="48">
        <f t="shared" si="124"/>
        <v>0.17024906175366769</v>
      </c>
      <c r="CS53" s="48">
        <f t="shared" si="124"/>
        <v>0.17857470982758092</v>
      </c>
      <c r="CT53" s="48">
        <f>CT36/CT35</f>
        <v>0.17435840338473529</v>
      </c>
      <c r="CU53" s="48">
        <v>0.16900000000000001</v>
      </c>
      <c r="CV53" s="56">
        <v>0.17100000000000001</v>
      </c>
      <c r="CW53" s="56">
        <v>0.17</v>
      </c>
      <c r="CX53" s="56">
        <v>0.17849999999999999</v>
      </c>
      <c r="CY53" s="56">
        <v>0.17249999999999999</v>
      </c>
      <c r="CZ53" s="56">
        <v>0.17</v>
      </c>
      <c r="DA53" s="56">
        <v>0.16750000000000001</v>
      </c>
      <c r="DB53" s="56">
        <v>0.16500000000000001</v>
      </c>
      <c r="DC53" s="56">
        <v>0.16250000000000001</v>
      </c>
      <c r="DD53" s="56">
        <v>0.16</v>
      </c>
      <c r="DE53" s="56">
        <v>0.16</v>
      </c>
    </row>
    <row r="54" spans="2:160">
      <c r="B54" s="1" t="s">
        <v>1528</v>
      </c>
      <c r="AW54" s="48">
        <f t="shared" ref="AW54:AZ54" si="125">AW37/AW35</f>
        <v>4.5259332672613145E-2</v>
      </c>
      <c r="AX54" s="48">
        <f t="shared" si="125"/>
        <v>4.0143491629654936E-2</v>
      </c>
      <c r="AY54" s="48">
        <f t="shared" si="125"/>
        <v>3.5972710357659705E-2</v>
      </c>
      <c r="AZ54" s="48">
        <f t="shared" si="125"/>
        <v>5.6459517741619288E-2</v>
      </c>
      <c r="BA54" s="48">
        <f t="shared" ref="BA54:BQ54" si="126">BA37/BA35</f>
        <v>3.6047125021979952E-2</v>
      </c>
      <c r="BB54" s="48">
        <f t="shared" si="126"/>
        <v>3.5957409670099492E-2</v>
      </c>
      <c r="BC54" s="48">
        <f t="shared" si="126"/>
        <v>4.371941272430669E-2</v>
      </c>
      <c r="BD54" s="48">
        <f t="shared" si="126"/>
        <v>6.9675255374294864E-2</v>
      </c>
      <c r="BE54" s="48">
        <f t="shared" si="126"/>
        <v>3.9665675024791049E-2</v>
      </c>
      <c r="BF54" s="48">
        <f t="shared" si="126"/>
        <v>4.3677841146195578E-2</v>
      </c>
      <c r="BG54" s="48">
        <f t="shared" si="126"/>
        <v>4.3024054982817868E-2</v>
      </c>
      <c r="BH54" s="48">
        <f t="shared" si="126"/>
        <v>5.5091819699499167E-2</v>
      </c>
      <c r="BI54" s="48">
        <f t="shared" si="126"/>
        <v>4.1834677419354836E-2</v>
      </c>
      <c r="BJ54" s="48">
        <f t="shared" si="126"/>
        <v>3.8697557921102063E-2</v>
      </c>
      <c r="BK54" s="48">
        <f t="shared" si="126"/>
        <v>3.6562846239074236E-2</v>
      </c>
      <c r="BL54" s="48">
        <f t="shared" si="126"/>
        <v>4.6811476361946797E-2</v>
      </c>
      <c r="BM54" s="48">
        <f t="shared" si="126"/>
        <v>3.3935603428306697E-2</v>
      </c>
      <c r="BN54" s="48">
        <f t="shared" si="126"/>
        <v>3.8518518518518521E-2</v>
      </c>
      <c r="BO54" s="48">
        <f t="shared" si="126"/>
        <v>4.2471910112359554E-2</v>
      </c>
      <c r="BP54" s="48">
        <f t="shared" si="126"/>
        <v>5.7294374545076431E-2</v>
      </c>
      <c r="BQ54" s="48">
        <f t="shared" si="126"/>
        <v>3.2176656151419555E-2</v>
      </c>
      <c r="BR54" s="48">
        <f>BR37/BR35</f>
        <v>3.9712320200125079E-2</v>
      </c>
      <c r="BS54" s="48">
        <f>BS37/BS35</f>
        <v>4.1388124262681875E-2</v>
      </c>
      <c r="BT54" s="48">
        <f t="shared" ref="BT54" si="127">BT37/BT35</f>
        <v>5.3711301753077208E-2</v>
      </c>
      <c r="CP54" s="48">
        <f t="shared" ref="CP54:CS54" si="128">CP37/CP35</f>
        <v>4.4447496109127529E-2</v>
      </c>
      <c r="CQ54" s="48">
        <f t="shared" si="128"/>
        <v>4.7127152043144577E-2</v>
      </c>
      <c r="CR54" s="48">
        <f t="shared" si="128"/>
        <v>4.5581712726032071E-2</v>
      </c>
      <c r="CS54" s="48">
        <f t="shared" si="128"/>
        <v>4.1068202002878758E-2</v>
      </c>
      <c r="CT54" s="48">
        <f>CT37/CT35</f>
        <v>4.3422590881255912E-2</v>
      </c>
      <c r="CU54" s="48">
        <v>4.5999999999999999E-2</v>
      </c>
      <c r="CV54" s="56">
        <v>4.3999999999999997E-2</v>
      </c>
      <c r="CW54" s="56">
        <v>4.3422590881255912E-2</v>
      </c>
      <c r="CX54" s="56">
        <v>4.2000000000000003E-2</v>
      </c>
      <c r="CY54" s="56">
        <v>4.1000000000000002E-2</v>
      </c>
      <c r="CZ54" s="56">
        <v>0.04</v>
      </c>
      <c r="DA54" s="56">
        <v>3.9E-2</v>
      </c>
      <c r="DB54" s="56">
        <v>3.7999999999999999E-2</v>
      </c>
      <c r="DC54" s="56">
        <v>3.6999999999999998E-2</v>
      </c>
      <c r="DD54" s="56">
        <v>3.5999999999999997E-2</v>
      </c>
      <c r="DE54" s="56">
        <v>3.5999999999999997E-2</v>
      </c>
    </row>
    <row r="55" spans="2:160">
      <c r="B55" s="1" t="s">
        <v>1529</v>
      </c>
      <c r="AW55" s="48">
        <f t="shared" ref="AW55:AZ55" si="129">AW38/AW35</f>
        <v>2.9897588371324745E-2</v>
      </c>
      <c r="AX55" s="48">
        <f t="shared" si="129"/>
        <v>3.1260676460539802E-2</v>
      </c>
      <c r="AY55" s="48">
        <f t="shared" si="129"/>
        <v>3.5559230928261319E-2</v>
      </c>
      <c r="AZ55" s="48">
        <f t="shared" si="129"/>
        <v>3.7443638502254462E-2</v>
      </c>
      <c r="BA55" s="48">
        <f t="shared" ref="BA55:BQ55" si="130">BA38/BA35</f>
        <v>3.0420256725866009E-2</v>
      </c>
      <c r="BB55" s="48">
        <f t="shared" si="130"/>
        <v>3.1244545295863152E-2</v>
      </c>
      <c r="BC55" s="48">
        <f t="shared" si="130"/>
        <v>3.0342577487765091E-2</v>
      </c>
      <c r="BD55" s="48">
        <f t="shared" si="130"/>
        <v>2.9272754993139197E-2</v>
      </c>
      <c r="BE55" s="48">
        <f t="shared" si="130"/>
        <v>2.6915993766822497E-2</v>
      </c>
      <c r="BF55" s="48">
        <f t="shared" si="130"/>
        <v>2.6429266935596048E-2</v>
      </c>
      <c r="BG55" s="48">
        <f t="shared" si="130"/>
        <v>2.4467353951890033E-2</v>
      </c>
      <c r="BH55" s="48">
        <f t="shared" si="130"/>
        <v>2.3757544625658149E-2</v>
      </c>
      <c r="BI55" s="48">
        <f t="shared" si="130"/>
        <v>2.2429435483870969E-2</v>
      </c>
      <c r="BJ55" s="48">
        <f t="shared" si="130"/>
        <v>2.2417031934877898E-2</v>
      </c>
      <c r="BK55" s="48">
        <f t="shared" si="130"/>
        <v>2.2405515203742461E-2</v>
      </c>
      <c r="BL55" s="48">
        <f t="shared" si="130"/>
        <v>2.2883029387849925E-2</v>
      </c>
      <c r="BM55" s="48">
        <f t="shared" si="130"/>
        <v>2.0963632151957377E-2</v>
      </c>
      <c r="BN55" s="48">
        <f t="shared" si="130"/>
        <v>2.1538461538461538E-2</v>
      </c>
      <c r="BO55" s="48">
        <f t="shared" si="130"/>
        <v>2.247191011235955E-2</v>
      </c>
      <c r="BP55" s="48">
        <f t="shared" si="130"/>
        <v>2.1628366434439016E-2</v>
      </c>
      <c r="BQ55" s="48">
        <f t="shared" si="130"/>
        <v>2.1766561514195582E-2</v>
      </c>
      <c r="BR55" s="48">
        <f>BR38/BR35</f>
        <v>2.3347925786950177E-2</v>
      </c>
      <c r="BS55" s="48">
        <f>BS38/BS35</f>
        <v>2.2021234762092019E-2</v>
      </c>
      <c r="BT55" s="48">
        <f t="shared" ref="BT55" si="131">BT38/BT35</f>
        <v>2.2286460276016412E-2</v>
      </c>
      <c r="CP55" s="48">
        <f t="shared" ref="CP55:CS55" si="132">CP38/CP35</f>
        <v>3.3278403369037812E-2</v>
      </c>
      <c r="CQ55" s="48">
        <f t="shared" si="132"/>
        <v>3.0284173408006636E-2</v>
      </c>
      <c r="CR55" s="48">
        <f t="shared" si="132"/>
        <v>2.5349709996588195E-2</v>
      </c>
      <c r="CS55" s="48">
        <f t="shared" si="132"/>
        <v>2.2540042262579243E-2</v>
      </c>
      <c r="CT55" s="48">
        <f>CT38/CT35</f>
        <v>2.1655625452318656E-2</v>
      </c>
      <c r="CU55" s="48">
        <v>2.3E-2</v>
      </c>
      <c r="CV55" s="56">
        <v>2.1655625452318656E-2</v>
      </c>
      <c r="CW55" s="56">
        <v>2.1655625452318656E-2</v>
      </c>
      <c r="CX55" s="56">
        <v>2.1655625452318656E-2</v>
      </c>
      <c r="CY55" s="56">
        <v>2.1655625452318656E-2</v>
      </c>
      <c r="CZ55" s="56">
        <v>2.1655625452318656E-2</v>
      </c>
      <c r="DA55" s="56">
        <v>2.1655625452318656E-2</v>
      </c>
      <c r="DB55" s="56">
        <v>2.1655625452318656E-2</v>
      </c>
      <c r="DC55" s="56">
        <v>2.1655625452318656E-2</v>
      </c>
      <c r="DD55" s="56">
        <v>2.1655625452318656E-2</v>
      </c>
      <c r="DE55" s="56">
        <v>2.1655625452318656E-2</v>
      </c>
    </row>
    <row r="56" spans="2:160">
      <c r="B56" s="1" t="s">
        <v>1530</v>
      </c>
      <c r="AW56" s="48">
        <f t="shared" ref="AW56:AZ56" si="133">AW39/AW35</f>
        <v>1.7509084902543774E-2</v>
      </c>
      <c r="AX56" s="48">
        <f t="shared" si="133"/>
        <v>1.7594806969593441E-2</v>
      </c>
      <c r="AY56" s="48">
        <f t="shared" si="133"/>
        <v>1.9640272896423405E-2</v>
      </c>
      <c r="AZ56" s="48">
        <f t="shared" si="133"/>
        <v>2.0388159184473634E-2</v>
      </c>
      <c r="BA56" s="48">
        <f t="shared" ref="BA56:BQ56" si="134">BA39/BA35</f>
        <v>1.4594689643045543E-2</v>
      </c>
      <c r="BB56" s="48">
        <f t="shared" si="134"/>
        <v>1.4313143655088147E-2</v>
      </c>
      <c r="BC56" s="48">
        <f t="shared" si="134"/>
        <v>1.7618270799347472E-2</v>
      </c>
      <c r="BD56" s="48">
        <f t="shared" si="134"/>
        <v>1.9820094526604666E-2</v>
      </c>
      <c r="BE56" s="48">
        <f t="shared" si="134"/>
        <v>1.4166312508853945E-2</v>
      </c>
      <c r="BF56" s="48">
        <f t="shared" si="134"/>
        <v>1.7387675615523717E-2</v>
      </c>
      <c r="BG56" s="48">
        <f t="shared" si="134"/>
        <v>1.6082474226804123E-2</v>
      </c>
      <c r="BH56" s="48">
        <f t="shared" si="134"/>
        <v>2.0932323102606908E-2</v>
      </c>
      <c r="BI56" s="48">
        <f t="shared" si="134"/>
        <v>1.3734879032258064E-2</v>
      </c>
      <c r="BJ56" s="48">
        <f t="shared" si="134"/>
        <v>1.6280525986224169E-2</v>
      </c>
      <c r="BK56" s="48">
        <f t="shared" si="134"/>
        <v>1.6373261110427181E-2</v>
      </c>
      <c r="BL56" s="48">
        <f t="shared" si="134"/>
        <v>2.0095249157858056E-2</v>
      </c>
      <c r="BM56" s="48">
        <f t="shared" si="134"/>
        <v>1.5172573546444291E-2</v>
      </c>
      <c r="BN56" s="48">
        <f t="shared" si="134"/>
        <v>1.8233618233618232E-2</v>
      </c>
      <c r="BO56" s="48">
        <f t="shared" si="134"/>
        <v>1.707865168539326E-2</v>
      </c>
      <c r="BP56" s="48">
        <f t="shared" si="134"/>
        <v>1.9964645939482165E-2</v>
      </c>
      <c r="BQ56" s="48">
        <f t="shared" si="134"/>
        <v>1.5036803364879074E-2</v>
      </c>
      <c r="BR56" s="48">
        <f>BR39/BR35</f>
        <v>1.8032103397957057E-2</v>
      </c>
      <c r="BS56" s="48">
        <f>BS39/BS35</f>
        <v>1.838379866299646E-2</v>
      </c>
      <c r="BT56" s="48">
        <f t="shared" ref="BT56" si="135">BT39/BT35</f>
        <v>2.3871689668034317E-2</v>
      </c>
      <c r="CP56" s="48">
        <f t="shared" ref="CP56:CS56" si="136">CP39/CP35</f>
        <v>1.8676187860477891E-2</v>
      </c>
      <c r="CQ56" s="48">
        <f t="shared" si="136"/>
        <v>1.6718523127981746E-2</v>
      </c>
      <c r="CR56" s="48">
        <f t="shared" si="136"/>
        <v>1.7229614466052541E-2</v>
      </c>
      <c r="CS56" s="48">
        <f t="shared" si="136"/>
        <v>1.6690656294980552E-2</v>
      </c>
      <c r="CT56" s="48">
        <f>CT39/CT35</f>
        <v>1.7675221288203528E-2</v>
      </c>
      <c r="CU56" s="48">
        <v>2.1000000000000001E-2</v>
      </c>
      <c r="CV56" s="56">
        <v>1.9E-2</v>
      </c>
      <c r="CW56" s="56">
        <v>1.7675221288203528E-2</v>
      </c>
      <c r="CX56" s="56">
        <v>1.7675221288203528E-2</v>
      </c>
      <c r="CY56" s="56">
        <v>1.7675221288203528E-2</v>
      </c>
      <c r="CZ56" s="56">
        <v>1.7675221288203528E-2</v>
      </c>
      <c r="DA56" s="56">
        <v>1.7675221288203528E-2</v>
      </c>
      <c r="DB56" s="56">
        <v>1.7675221288203528E-2</v>
      </c>
      <c r="DC56" s="56">
        <v>1.7675221288203528E-2</v>
      </c>
      <c r="DD56" s="56">
        <v>1.7675221288203528E-2</v>
      </c>
      <c r="DE56" s="56">
        <v>1.7675221288203528E-2</v>
      </c>
    </row>
    <row r="57" spans="2:160">
      <c r="B57" s="1" t="s">
        <v>1531</v>
      </c>
      <c r="AW57" s="48">
        <f t="shared" ref="AW57:AZ57" si="137">AW40/AW35</f>
        <v>3.0062768417575159E-2</v>
      </c>
      <c r="AX57" s="48">
        <f t="shared" si="137"/>
        <v>3.2798086778271271E-2</v>
      </c>
      <c r="AY57" s="48">
        <f t="shared" si="137"/>
        <v>4.0727723795741161E-2</v>
      </c>
      <c r="AZ57" s="48">
        <f t="shared" si="137"/>
        <v>3.8423838463046464E-2</v>
      </c>
      <c r="BA57" s="48">
        <f t="shared" ref="BA57:BQ57" si="138">BA40/BA35</f>
        <v>3.4640407947951465E-2</v>
      </c>
      <c r="BB57" s="48">
        <f t="shared" si="138"/>
        <v>3.5084657008203873E-2</v>
      </c>
      <c r="BC57" s="48">
        <f t="shared" si="138"/>
        <v>3.3278955954323002E-2</v>
      </c>
      <c r="BD57" s="48">
        <f t="shared" si="138"/>
        <v>3.0797377649031864E-2</v>
      </c>
      <c r="BE57" s="48">
        <f t="shared" si="138"/>
        <v>2.804929876753081E-2</v>
      </c>
      <c r="BF57" s="48">
        <f t="shared" si="138"/>
        <v>2.8793990819307273E-2</v>
      </c>
      <c r="BG57" s="48">
        <f t="shared" si="138"/>
        <v>3.1615120274914088E-2</v>
      </c>
      <c r="BH57" s="48">
        <f t="shared" si="138"/>
        <v>2.9022730191344548E-2</v>
      </c>
      <c r="BI57" s="48">
        <f t="shared" si="138"/>
        <v>2.8603830645161289E-2</v>
      </c>
      <c r="BJ57" s="48">
        <f t="shared" si="138"/>
        <v>2.9304946775203507E-2</v>
      </c>
      <c r="BK57" s="48">
        <f t="shared" si="138"/>
        <v>2.8930198202634493E-2</v>
      </c>
      <c r="BL57" s="48">
        <f t="shared" si="138"/>
        <v>2.8690904866999652E-2</v>
      </c>
      <c r="BM57" s="48">
        <f t="shared" si="138"/>
        <v>2.8607829511234653E-2</v>
      </c>
      <c r="BN57" s="48">
        <f t="shared" si="138"/>
        <v>2.8376068376068375E-2</v>
      </c>
      <c r="BO57" s="48">
        <f t="shared" si="138"/>
        <v>2.9662921348314608E-2</v>
      </c>
      <c r="BP57" s="48">
        <f t="shared" si="138"/>
        <v>2.849121347613601E-2</v>
      </c>
      <c r="BQ57" s="48">
        <f t="shared" si="138"/>
        <v>2.9652996845425869E-2</v>
      </c>
      <c r="BR57" s="48">
        <f>BR40/BR35</f>
        <v>3.1790702522409842E-2</v>
      </c>
      <c r="BS57" s="48">
        <f>BS40/BS35</f>
        <v>3.1163979551710578E-2</v>
      </c>
      <c r="BT57" s="48">
        <f t="shared" ref="BT57" si="139">BT40/BT35</f>
        <v>2.946661693397986E-2</v>
      </c>
      <c r="CP57" s="48">
        <f t="shared" ref="CP57:CS57" si="140">CP40/CP35</f>
        <v>3.5109402178888582E-2</v>
      </c>
      <c r="CQ57" s="48">
        <f t="shared" si="140"/>
        <v>3.3354075917859362E-2</v>
      </c>
      <c r="CR57" s="48">
        <f t="shared" si="140"/>
        <v>2.9375639713408393E-2</v>
      </c>
      <c r="CS57" s="48">
        <f t="shared" si="140"/>
        <v>2.8879429148929655E-2</v>
      </c>
      <c r="CT57" s="48">
        <f>CT40/CT35</f>
        <v>2.878138395590937E-2</v>
      </c>
      <c r="CU57" s="48">
        <v>2.878138395590937E-2</v>
      </c>
      <c r="CV57" s="56">
        <v>2.8000000000000001E-2</v>
      </c>
      <c r="CW57" s="56">
        <v>2.878138395590937E-2</v>
      </c>
      <c r="CX57" s="56">
        <v>2.878138395590937E-2</v>
      </c>
      <c r="CY57" s="56">
        <v>2.878138395590937E-2</v>
      </c>
      <c r="CZ57" s="56">
        <v>2.878138395590937E-2</v>
      </c>
      <c r="DA57" s="56">
        <v>2.878138395590937E-2</v>
      </c>
      <c r="DB57" s="56">
        <v>2.878138395590937E-2</v>
      </c>
      <c r="DC57" s="56">
        <v>2.878138395590937E-2</v>
      </c>
      <c r="DD57" s="56">
        <v>2.878138395590937E-2</v>
      </c>
      <c r="DE57" s="56">
        <v>2.878138395590937E-2</v>
      </c>
    </row>
    <row r="58" spans="2:160">
      <c r="B58" s="37" t="s">
        <v>1532</v>
      </c>
      <c r="C58" s="48">
        <f t="shared" ref="C58:AV58" si="141">C41/C35</f>
        <v>0</v>
      </c>
      <c r="D58" s="48">
        <f t="shared" si="141"/>
        <v>0</v>
      </c>
      <c r="E58" s="48">
        <f t="shared" si="141"/>
        <v>0</v>
      </c>
      <c r="F58" s="48">
        <f t="shared" si="141"/>
        <v>0</v>
      </c>
      <c r="G58" s="48">
        <f t="shared" si="141"/>
        <v>0</v>
      </c>
      <c r="H58" s="48">
        <f t="shared" si="141"/>
        <v>0</v>
      </c>
      <c r="I58" s="48">
        <f t="shared" si="141"/>
        <v>0</v>
      </c>
      <c r="J58" s="48">
        <f t="shared" si="141"/>
        <v>0</v>
      </c>
      <c r="K58" s="48">
        <f t="shared" si="141"/>
        <v>0</v>
      </c>
      <c r="L58" s="48">
        <f t="shared" si="141"/>
        <v>0</v>
      </c>
      <c r="M58" s="48">
        <f t="shared" si="141"/>
        <v>0</v>
      </c>
      <c r="N58" s="48">
        <f t="shared" si="141"/>
        <v>0</v>
      </c>
      <c r="O58" s="48">
        <f t="shared" si="141"/>
        <v>0</v>
      </c>
      <c r="P58" s="48">
        <f t="shared" si="141"/>
        <v>0</v>
      </c>
      <c r="Q58" s="48">
        <f t="shared" si="141"/>
        <v>0</v>
      </c>
      <c r="R58" s="48">
        <f t="shared" si="141"/>
        <v>0</v>
      </c>
      <c r="S58" s="48">
        <f t="shared" si="141"/>
        <v>0</v>
      </c>
      <c r="T58" s="48">
        <f t="shared" si="141"/>
        <v>0</v>
      </c>
      <c r="U58" s="48">
        <f t="shared" si="141"/>
        <v>0</v>
      </c>
      <c r="V58" s="48">
        <f t="shared" si="141"/>
        <v>0</v>
      </c>
      <c r="W58" s="48">
        <f t="shared" si="141"/>
        <v>0</v>
      </c>
      <c r="X58" s="48">
        <f t="shared" si="141"/>
        <v>0</v>
      </c>
      <c r="Y58" s="48">
        <f t="shared" si="141"/>
        <v>0</v>
      </c>
      <c r="Z58" s="48">
        <f t="shared" si="141"/>
        <v>0</v>
      </c>
      <c r="AA58" s="48">
        <f t="shared" si="141"/>
        <v>0</v>
      </c>
      <c r="AB58" s="48">
        <f t="shared" si="141"/>
        <v>0</v>
      </c>
      <c r="AC58" s="48">
        <f t="shared" si="141"/>
        <v>0</v>
      </c>
      <c r="AD58" s="48">
        <f t="shared" si="141"/>
        <v>0</v>
      </c>
      <c r="AE58" s="48">
        <f t="shared" si="141"/>
        <v>0</v>
      </c>
      <c r="AF58" s="48">
        <f t="shared" si="141"/>
        <v>0</v>
      </c>
      <c r="AG58" s="48">
        <f t="shared" si="141"/>
        <v>0</v>
      </c>
      <c r="AH58" s="48">
        <f t="shared" si="141"/>
        <v>0</v>
      </c>
      <c r="AI58" s="48">
        <f t="shared" si="141"/>
        <v>0</v>
      </c>
      <c r="AJ58" s="48">
        <f t="shared" si="141"/>
        <v>0</v>
      </c>
      <c r="AK58" s="48">
        <f t="shared" si="141"/>
        <v>0</v>
      </c>
      <c r="AL58" s="48">
        <f t="shared" si="141"/>
        <v>0</v>
      </c>
      <c r="AM58" s="48">
        <f t="shared" si="141"/>
        <v>0</v>
      </c>
      <c r="AN58" s="48">
        <f t="shared" si="141"/>
        <v>0</v>
      </c>
      <c r="AO58" s="48">
        <f t="shared" si="141"/>
        <v>0</v>
      </c>
      <c r="AP58" s="48">
        <f t="shared" si="141"/>
        <v>0</v>
      </c>
      <c r="AQ58" s="48">
        <f t="shared" si="141"/>
        <v>0</v>
      </c>
      <c r="AR58" s="48">
        <f t="shared" si="141"/>
        <v>0</v>
      </c>
      <c r="AS58" s="48">
        <f t="shared" si="141"/>
        <v>0</v>
      </c>
      <c r="AT58" s="48">
        <f t="shared" si="141"/>
        <v>0</v>
      </c>
      <c r="AU58" s="48">
        <f t="shared" si="141"/>
        <v>0</v>
      </c>
      <c r="AV58" s="48">
        <f t="shared" si="141"/>
        <v>0</v>
      </c>
      <c r="AW58" s="48">
        <f t="shared" ref="AW58:AZ58" si="142">AW41/AW35</f>
        <v>5.1701354476379253E-2</v>
      </c>
      <c r="AX58" s="48">
        <f t="shared" si="142"/>
        <v>4.5951486163307138E-2</v>
      </c>
      <c r="AY58" s="48">
        <f t="shared" si="142"/>
        <v>5.3338846392391975E-2</v>
      </c>
      <c r="AZ58" s="48">
        <f t="shared" si="142"/>
        <v>5.0186237992550481E-2</v>
      </c>
      <c r="BA58" s="48">
        <f t="shared" ref="BA58:BQ58" si="143">BA41/BA35</f>
        <v>3.5695445753472832E-2</v>
      </c>
      <c r="BB58" s="48">
        <f t="shared" si="143"/>
        <v>6.336184325362193E-2</v>
      </c>
      <c r="BC58" s="48">
        <f t="shared" si="143"/>
        <v>3.3278955954323002E-2</v>
      </c>
      <c r="BD58" s="48">
        <f t="shared" si="143"/>
        <v>3.2779387101692328E-2</v>
      </c>
      <c r="BE58" s="48">
        <f t="shared" si="143"/>
        <v>3.4282476271426547E-2</v>
      </c>
      <c r="BF58" s="48">
        <f t="shared" si="143"/>
        <v>4.5207956600361664E-2</v>
      </c>
      <c r="BG58" s="48">
        <f t="shared" si="143"/>
        <v>3.9725085910652921E-2</v>
      </c>
      <c r="BH58" s="48">
        <f t="shared" si="143"/>
        <v>4.340567612687813E-2</v>
      </c>
      <c r="BI58" s="48">
        <f t="shared" si="143"/>
        <v>4.0574596774193547E-2</v>
      </c>
      <c r="BJ58" s="48">
        <f t="shared" si="143"/>
        <v>3.5316217908578584E-2</v>
      </c>
      <c r="BK58" s="48">
        <f t="shared" si="143"/>
        <v>3.865566908777545E-2</v>
      </c>
      <c r="BL58" s="48">
        <f t="shared" si="143"/>
        <v>4.785689394819375E-2</v>
      </c>
      <c r="BM58" s="48">
        <f t="shared" si="143"/>
        <v>3.9379198517489E-2</v>
      </c>
      <c r="BN58" s="48">
        <f t="shared" si="143"/>
        <v>5.1509971509971511E-2</v>
      </c>
      <c r="BO58" s="48">
        <f t="shared" si="143"/>
        <v>4.2921348314606741E-2</v>
      </c>
      <c r="BP58" s="48">
        <f t="shared" si="143"/>
        <v>4.4088593116356455E-2</v>
      </c>
      <c r="BQ58" s="48">
        <f t="shared" si="143"/>
        <v>5.0578338590956888E-2</v>
      </c>
      <c r="BR58" s="48">
        <f>BR41/BR35</f>
        <v>4.3673129038982697E-2</v>
      </c>
      <c r="BS58" s="48">
        <f>BS41/BS35</f>
        <v>4.738497837200157E-2</v>
      </c>
      <c r="BT58" s="48">
        <f t="shared" ref="BT58" si="144">BT41/BT35</f>
        <v>5.0727340544572917E-2</v>
      </c>
      <c r="CE58" s="48"/>
      <c r="CF58" s="48"/>
      <c r="CG58" s="48"/>
      <c r="CH58" s="48"/>
      <c r="CI58" s="48"/>
      <c r="CJ58" s="48"/>
      <c r="CK58" s="48"/>
      <c r="CL58" s="48"/>
      <c r="CM58" s="48"/>
      <c r="CN58" s="48"/>
      <c r="CO58" s="48"/>
      <c r="CP58" s="48">
        <f>CP41/CP35</f>
        <v>5.01693673899112E-2</v>
      </c>
      <c r="CQ58" s="48">
        <f>CQ41/CQ35</f>
        <v>4.0862891516282931E-2</v>
      </c>
      <c r="CR58" s="48">
        <f>CR41/CR35</f>
        <v>4.0736949846468785E-2</v>
      </c>
      <c r="CS58" s="48">
        <v>4.2999999999999997E-2</v>
      </c>
      <c r="CT58" s="48">
        <f>CT41/CT35</f>
        <v>4.4480320659132662E-2</v>
      </c>
      <c r="CU58" s="48">
        <v>4.9000000000000002E-2</v>
      </c>
      <c r="CV58" s="56">
        <v>4.7500000000000001E-2</v>
      </c>
      <c r="CW58" s="56">
        <v>4.7E-2</v>
      </c>
      <c r="CX58" s="56">
        <v>4.5999999999999999E-2</v>
      </c>
      <c r="CY58" s="56">
        <v>4.4999999999999998E-2</v>
      </c>
      <c r="CZ58" s="56">
        <v>4.4480320659132662E-2</v>
      </c>
      <c r="DA58" s="56">
        <v>4.4480320659132662E-2</v>
      </c>
      <c r="DB58" s="56">
        <v>4.4480320659132662E-2</v>
      </c>
      <c r="DC58" s="56">
        <v>4.4480320659132662E-2</v>
      </c>
      <c r="DD58" s="56">
        <v>4.4480320659132662E-2</v>
      </c>
      <c r="DE58" s="56">
        <v>4.4480320659132662E-2</v>
      </c>
    </row>
    <row r="59" spans="2:160">
      <c r="B59" s="37" t="s">
        <v>1533</v>
      </c>
      <c r="C59" s="48">
        <f t="shared" ref="C59:AV59" si="145">C42/C35</f>
        <v>0</v>
      </c>
      <c r="D59" s="48">
        <f t="shared" si="145"/>
        <v>0</v>
      </c>
      <c r="E59" s="48">
        <f t="shared" si="145"/>
        <v>0</v>
      </c>
      <c r="F59" s="48">
        <f t="shared" si="145"/>
        <v>0</v>
      </c>
      <c r="G59" s="48">
        <f t="shared" si="145"/>
        <v>0</v>
      </c>
      <c r="H59" s="48">
        <f t="shared" si="145"/>
        <v>0</v>
      </c>
      <c r="I59" s="48">
        <f t="shared" si="145"/>
        <v>0</v>
      </c>
      <c r="J59" s="48">
        <f t="shared" si="145"/>
        <v>0</v>
      </c>
      <c r="K59" s="48">
        <f t="shared" si="145"/>
        <v>0</v>
      </c>
      <c r="L59" s="48">
        <f t="shared" si="145"/>
        <v>0</v>
      </c>
      <c r="M59" s="48">
        <f t="shared" si="145"/>
        <v>0</v>
      </c>
      <c r="N59" s="48">
        <f t="shared" si="145"/>
        <v>0</v>
      </c>
      <c r="O59" s="48">
        <f t="shared" si="145"/>
        <v>0</v>
      </c>
      <c r="P59" s="48">
        <f t="shared" si="145"/>
        <v>0</v>
      </c>
      <c r="Q59" s="48">
        <f t="shared" si="145"/>
        <v>0</v>
      </c>
      <c r="R59" s="48">
        <f t="shared" si="145"/>
        <v>0</v>
      </c>
      <c r="S59" s="48">
        <f t="shared" si="145"/>
        <v>0</v>
      </c>
      <c r="T59" s="48">
        <f t="shared" si="145"/>
        <v>0</v>
      </c>
      <c r="U59" s="48">
        <f t="shared" si="145"/>
        <v>0</v>
      </c>
      <c r="V59" s="48">
        <f t="shared" si="145"/>
        <v>0</v>
      </c>
      <c r="W59" s="48">
        <f t="shared" si="145"/>
        <v>0</v>
      </c>
      <c r="X59" s="48">
        <f t="shared" si="145"/>
        <v>0</v>
      </c>
      <c r="Y59" s="48">
        <f t="shared" si="145"/>
        <v>0</v>
      </c>
      <c r="Z59" s="48">
        <f t="shared" si="145"/>
        <v>0</v>
      </c>
      <c r="AA59" s="48">
        <f t="shared" si="145"/>
        <v>0</v>
      </c>
      <c r="AB59" s="48">
        <f t="shared" si="145"/>
        <v>0</v>
      </c>
      <c r="AC59" s="48">
        <f t="shared" si="145"/>
        <v>0</v>
      </c>
      <c r="AD59" s="48">
        <f t="shared" si="145"/>
        <v>0</v>
      </c>
      <c r="AE59" s="48">
        <f t="shared" si="145"/>
        <v>0</v>
      </c>
      <c r="AF59" s="48">
        <f t="shared" si="145"/>
        <v>0</v>
      </c>
      <c r="AG59" s="48">
        <f t="shared" si="145"/>
        <v>0</v>
      </c>
      <c r="AH59" s="48">
        <f t="shared" si="145"/>
        <v>0</v>
      </c>
      <c r="AI59" s="48">
        <f t="shared" si="145"/>
        <v>0</v>
      </c>
      <c r="AJ59" s="48">
        <f t="shared" si="145"/>
        <v>0</v>
      </c>
      <c r="AK59" s="48">
        <f t="shared" si="145"/>
        <v>0</v>
      </c>
      <c r="AL59" s="48">
        <f t="shared" si="145"/>
        <v>0</v>
      </c>
      <c r="AM59" s="48">
        <f t="shared" si="145"/>
        <v>0</v>
      </c>
      <c r="AN59" s="48">
        <f t="shared" si="145"/>
        <v>0</v>
      </c>
      <c r="AO59" s="48">
        <f t="shared" si="145"/>
        <v>0</v>
      </c>
      <c r="AP59" s="48">
        <f t="shared" si="145"/>
        <v>0</v>
      </c>
      <c r="AQ59" s="48">
        <f t="shared" si="145"/>
        <v>0</v>
      </c>
      <c r="AR59" s="48">
        <f t="shared" si="145"/>
        <v>0</v>
      </c>
      <c r="AS59" s="48">
        <f t="shared" si="145"/>
        <v>0</v>
      </c>
      <c r="AT59" s="48">
        <f t="shared" si="145"/>
        <v>0</v>
      </c>
      <c r="AU59" s="48">
        <f t="shared" si="145"/>
        <v>0</v>
      </c>
      <c r="AV59" s="48">
        <f t="shared" si="145"/>
        <v>0</v>
      </c>
      <c r="AW59" s="48">
        <f t="shared" ref="AW59:BR59" si="146">AW42/AW35</f>
        <v>0</v>
      </c>
      <c r="AX59" s="48">
        <f t="shared" si="146"/>
        <v>1.3665869490946361E-3</v>
      </c>
      <c r="AY59" s="48">
        <f t="shared" si="146"/>
        <v>2.0673971469919371E-4</v>
      </c>
      <c r="AZ59" s="48">
        <f t="shared" si="146"/>
        <v>3.9207998431680063E-4</v>
      </c>
      <c r="BA59" s="48">
        <f t="shared" si="146"/>
        <v>1.7583963425356076E-4</v>
      </c>
      <c r="BB59" s="48">
        <f t="shared" si="146"/>
        <v>5.2365159713737132E-4</v>
      </c>
      <c r="BC59" s="48">
        <f t="shared" si="146"/>
        <v>-3.2626427406199022E-4</v>
      </c>
      <c r="BD59" s="48">
        <f t="shared" si="146"/>
        <v>1.5246226558926666E-4</v>
      </c>
      <c r="BE59" s="48">
        <f t="shared" si="146"/>
        <v>2.0966142513103841E-2</v>
      </c>
      <c r="BF59" s="48">
        <f t="shared" si="146"/>
        <v>0</v>
      </c>
      <c r="BG59" s="48">
        <f t="shared" si="146"/>
        <v>9.855670103092784E-2</v>
      </c>
      <c r="BH59" s="48">
        <f t="shared" si="146"/>
        <v>3.8525748041607808E-4</v>
      </c>
      <c r="BI59" s="48">
        <f t="shared" si="146"/>
        <v>4.296875E-2</v>
      </c>
      <c r="BJ59" s="48">
        <f t="shared" si="146"/>
        <v>0</v>
      </c>
      <c r="BK59" s="48">
        <f t="shared" si="146"/>
        <v>5.6260002462144527E-2</v>
      </c>
      <c r="BL59" s="48">
        <f t="shared" si="146"/>
        <v>1.4984318736206296E-2</v>
      </c>
      <c r="BM59" s="48">
        <f t="shared" si="146"/>
        <v>1.0423905489923557E-3</v>
      </c>
      <c r="BN59" s="48">
        <f t="shared" si="146"/>
        <v>4.9002849002849E-2</v>
      </c>
      <c r="BO59" s="48">
        <f t="shared" si="146"/>
        <v>1.4606741573033708E-3</v>
      </c>
      <c r="BP59" s="48">
        <f t="shared" si="146"/>
        <v>1.0398253093480295E-3</v>
      </c>
      <c r="BQ59" s="48">
        <f t="shared" si="146"/>
        <v>4.6267087276550996E-3</v>
      </c>
      <c r="BR59" s="48">
        <f t="shared" si="146"/>
        <v>0.10423181154888472</v>
      </c>
      <c r="BS59" s="48">
        <f t="shared" ref="BS59:BT59" si="147">BS42/BS35</f>
        <v>6.0460086511993708E-2</v>
      </c>
      <c r="BT59" s="48">
        <f t="shared" si="147"/>
        <v>8.4203655352480422E-2</v>
      </c>
      <c r="CE59" s="48"/>
      <c r="CF59" s="48"/>
      <c r="CG59" s="48"/>
      <c r="CH59" s="48"/>
      <c r="CI59" s="48"/>
      <c r="CJ59" s="48"/>
      <c r="CK59" s="48"/>
      <c r="CL59" s="48"/>
      <c r="CM59" s="48"/>
      <c r="CN59" s="48"/>
      <c r="CO59" s="48"/>
      <c r="CP59" s="48">
        <f t="shared" ref="CP59:CS59" si="148">CP42/CP35</f>
        <v>5.0352467270896274E-4</v>
      </c>
      <c r="CQ59" s="48">
        <f t="shared" si="148"/>
        <v>1.2445550715619165E-4</v>
      </c>
      <c r="CR59" s="48">
        <f t="shared" si="148"/>
        <v>2.9614466052541796E-2</v>
      </c>
      <c r="CS59" s="48">
        <f t="shared" si="148"/>
        <v>2.838942823017793E-2</v>
      </c>
      <c r="CT59" s="48">
        <f>CT42/CT35</f>
        <v>1.2859767299448868E-2</v>
      </c>
      <c r="CU59" s="48">
        <v>0.08</v>
      </c>
      <c r="CV59" s="56">
        <v>7.0000000000000007E-2</v>
      </c>
      <c r="CW59" s="56">
        <v>1.2859767299448868E-2</v>
      </c>
      <c r="CX59" s="56">
        <v>1.2859767299448868E-2</v>
      </c>
      <c r="CY59" s="56">
        <v>1.2859767299448868E-2</v>
      </c>
      <c r="CZ59" s="56">
        <v>1.2859767299448868E-2</v>
      </c>
      <c r="DA59" s="56">
        <v>1.2859767299448868E-2</v>
      </c>
      <c r="DB59" s="56">
        <v>1.2859767299448868E-2</v>
      </c>
      <c r="DC59" s="56">
        <v>1.2859767299448868E-2</v>
      </c>
      <c r="DD59" s="56">
        <v>1.2859767299448868E-2</v>
      </c>
      <c r="DE59" s="56">
        <v>1.2859767299448868E-2</v>
      </c>
    </row>
    <row r="60" spans="2:160">
      <c r="B60" s="37" t="s">
        <v>126</v>
      </c>
      <c r="C60" s="48">
        <f t="shared" ref="C60:AV60" si="149">C43/C35</f>
        <v>0.27257044278320874</v>
      </c>
      <c r="D60" s="48">
        <f t="shared" si="149"/>
        <v>0.40607563546187231</v>
      </c>
      <c r="E60" s="48">
        <f t="shared" si="149"/>
        <v>0.2392857142857143</v>
      </c>
      <c r="F60" s="48">
        <f t="shared" si="149"/>
        <v>0.28779599271402551</v>
      </c>
      <c r="G60" s="48">
        <f t="shared" si="149"/>
        <v>0.32928311057108139</v>
      </c>
      <c r="H60" s="48">
        <f t="shared" si="149"/>
        <v>0.39686369119420989</v>
      </c>
      <c r="I60" s="48">
        <f t="shared" si="149"/>
        <v>0.2392857142857143</v>
      </c>
      <c r="J60" s="48">
        <f t="shared" si="149"/>
        <v>0.26901480347115875</v>
      </c>
      <c r="K60" s="48">
        <f t="shared" si="149"/>
        <v>0.29916214884179398</v>
      </c>
      <c r="L60" s="48">
        <f t="shared" si="149"/>
        <v>0.30751062824752007</v>
      </c>
      <c r="M60" s="48">
        <f t="shared" si="149"/>
        <v>0.23011617515638963</v>
      </c>
      <c r="N60" s="48">
        <f t="shared" si="149"/>
        <v>0.22761692650334076</v>
      </c>
      <c r="O60" s="48">
        <f t="shared" si="149"/>
        <v>0.26442721791558998</v>
      </c>
      <c r="P60" s="48">
        <f t="shared" si="149"/>
        <v>0.26563155686109946</v>
      </c>
      <c r="Q60" s="48">
        <f t="shared" si="149"/>
        <v>0.21201413427561838</v>
      </c>
      <c r="R60" s="48">
        <f t="shared" si="149"/>
        <v>0.20985259891388675</v>
      </c>
      <c r="S60" s="48">
        <f t="shared" si="149"/>
        <v>1.8467836257309942</v>
      </c>
      <c r="T60" s="48">
        <f t="shared" si="149"/>
        <v>0.27023068473086781</v>
      </c>
      <c r="U60" s="48">
        <f t="shared" si="149"/>
        <v>0.20801124385101896</v>
      </c>
      <c r="V60" s="48">
        <f t="shared" si="149"/>
        <v>0.20689655172413793</v>
      </c>
      <c r="W60" s="48">
        <f t="shared" si="149"/>
        <v>0.22659113628790403</v>
      </c>
      <c r="X60" s="48">
        <f t="shared" si="149"/>
        <v>0.24318869828456105</v>
      </c>
      <c r="Y60" s="48">
        <f t="shared" si="149"/>
        <v>0.19270998415213947</v>
      </c>
      <c r="Z60" s="48">
        <f t="shared" si="149"/>
        <v>0.2115080619664875</v>
      </c>
      <c r="AA60" s="48">
        <f t="shared" si="149"/>
        <v>0.21299524564183836</v>
      </c>
      <c r="AB60" s="48">
        <f t="shared" si="149"/>
        <v>0.36574790956952619</v>
      </c>
      <c r="AC60" s="48">
        <f t="shared" si="149"/>
        <v>0.18775872264931992</v>
      </c>
      <c r="AD60" s="48">
        <f t="shared" si="149"/>
        <v>0.18920504546787914</v>
      </c>
      <c r="AE60" s="48">
        <f t="shared" si="149"/>
        <v>0.1961341671404207</v>
      </c>
      <c r="AF60" s="48">
        <f t="shared" si="149"/>
        <v>0.21478577429291515</v>
      </c>
      <c r="AG60" s="48">
        <f t="shared" si="149"/>
        <v>0.1879382889200561</v>
      </c>
      <c r="AH60" s="48">
        <f t="shared" si="149"/>
        <v>0.1831218974076117</v>
      </c>
      <c r="AI60" s="48">
        <f t="shared" si="149"/>
        <v>0.74187327823691462</v>
      </c>
      <c r="AJ60" s="48">
        <f t="shared" si="149"/>
        <v>0.22201361182820933</v>
      </c>
      <c r="AK60" s="48">
        <f t="shared" si="149"/>
        <v>0.177090338489128</v>
      </c>
      <c r="AL60" s="48">
        <f t="shared" si="149"/>
        <v>0.21554612463703374</v>
      </c>
      <c r="AM60" s="48">
        <f t="shared" si="149"/>
        <v>0.1846659364731654</v>
      </c>
      <c r="AN60" s="48">
        <f t="shared" si="149"/>
        <v>0.20350154479917612</v>
      </c>
      <c r="AO60" s="48">
        <f t="shared" si="149"/>
        <v>0.17605923488276429</v>
      </c>
      <c r="AP60" s="48">
        <f t="shared" si="149"/>
        <v>0.17997240291740588</v>
      </c>
      <c r="AQ60" s="48">
        <f t="shared" si="149"/>
        <v>0.28683206106870229</v>
      </c>
      <c r="AR60" s="48">
        <f t="shared" si="149"/>
        <v>0.22322414427677587</v>
      </c>
      <c r="AS60" s="48">
        <f t="shared" si="149"/>
        <v>0.17835088993824919</v>
      </c>
      <c r="AT60" s="48">
        <f t="shared" si="149"/>
        <v>0.17455405897342555</v>
      </c>
      <c r="AU60" s="48">
        <f t="shared" si="149"/>
        <v>0.1815068493150685</v>
      </c>
      <c r="AV60" s="48">
        <f t="shared" si="149"/>
        <v>0.24947042528922928</v>
      </c>
      <c r="AW60" s="48">
        <f t="shared" ref="AW60:AZ60" si="150">AW43/AW35</f>
        <v>0.33663693425834157</v>
      </c>
      <c r="AX60" s="48">
        <f t="shared" si="150"/>
        <v>0.32968910146908098</v>
      </c>
      <c r="AY60" s="48">
        <f t="shared" si="150"/>
        <v>0.37998759561711803</v>
      </c>
      <c r="AZ60" s="48">
        <f t="shared" si="150"/>
        <v>0.38404234463830622</v>
      </c>
      <c r="BA60" s="48">
        <f t="shared" ref="BA60:BQ60" si="151">BA43/BA35</f>
        <v>0.32407244592931245</v>
      </c>
      <c r="BB60" s="48">
        <f t="shared" si="151"/>
        <v>0.37493454355035782</v>
      </c>
      <c r="BC60" s="48">
        <f t="shared" si="151"/>
        <v>0.3370309951060359</v>
      </c>
      <c r="BD60" s="48">
        <f t="shared" si="151"/>
        <v>0.34212532398231438</v>
      </c>
      <c r="BE60" s="48">
        <f t="shared" si="151"/>
        <v>0.32341691457713556</v>
      </c>
      <c r="BF60" s="48">
        <f t="shared" si="151"/>
        <v>0.33203505355404089</v>
      </c>
      <c r="BG60" s="48">
        <f t="shared" si="151"/>
        <v>0.42982817869415807</v>
      </c>
      <c r="BH60" s="48">
        <f t="shared" si="151"/>
        <v>0.34673173237447025</v>
      </c>
      <c r="BI60" s="48">
        <f t="shared" si="151"/>
        <v>0.35861895161290325</v>
      </c>
      <c r="BJ60" s="48">
        <f t="shared" si="151"/>
        <v>0.33174702567313713</v>
      </c>
      <c r="BK60" s="48">
        <f t="shared" si="151"/>
        <v>0.38150929459559274</v>
      </c>
      <c r="BL60" s="48">
        <f t="shared" si="151"/>
        <v>0.35532582181438033</v>
      </c>
      <c r="BM60" s="48">
        <f t="shared" si="151"/>
        <v>0.31040074125550149</v>
      </c>
      <c r="BN60" s="48">
        <f t="shared" si="151"/>
        <v>0.38985754985754983</v>
      </c>
      <c r="BO60" s="48">
        <f t="shared" si="151"/>
        <v>0.33280898876404497</v>
      </c>
      <c r="BP60" s="48">
        <f t="shared" si="151"/>
        <v>0.33981491109493606</v>
      </c>
      <c r="BQ60" s="48">
        <f t="shared" si="151"/>
        <v>0.34447949526813881</v>
      </c>
      <c r="BR60" s="48">
        <f>BR43/BR35</f>
        <v>0.43350010423181157</v>
      </c>
      <c r="BS60" s="48">
        <f>BS43/BS35</f>
        <v>0.39274478961856074</v>
      </c>
      <c r="BT60" s="48">
        <f t="shared" ref="BT60" si="152">BT43/BT35</f>
        <v>0.42670645281611341</v>
      </c>
      <c r="CE60" s="48">
        <f t="shared" ref="CE60:CT60" si="153">CE43/CE35</f>
        <v>0.31008537114744611</v>
      </c>
      <c r="CF60" s="48">
        <f t="shared" si="153"/>
        <v>0.27947923124612523</v>
      </c>
      <c r="CG60" s="48">
        <f t="shared" si="153"/>
        <v>0.24738789725729213</v>
      </c>
      <c r="CH60" s="48">
        <f t="shared" si="153"/>
        <v>0.62911428845600226</v>
      </c>
      <c r="CI60" s="48">
        <f t="shared" si="153"/>
        <v>0.22134488028527763</v>
      </c>
      <c r="CJ60" s="48">
        <f t="shared" si="153"/>
        <v>0.2464178869469375</v>
      </c>
      <c r="CK60" s="48">
        <f t="shared" si="153"/>
        <v>0.19719020172910662</v>
      </c>
      <c r="CL60" s="48">
        <f t="shared" si="153"/>
        <v>0.32973080493303275</v>
      </c>
      <c r="CM60" s="48">
        <f t="shared" si="153"/>
        <v>0.19533718269964048</v>
      </c>
      <c r="CN60" s="48">
        <f t="shared" si="153"/>
        <v>0.21762336843126789</v>
      </c>
      <c r="CO60" s="48">
        <f t="shared" si="153"/>
        <v>0.19724071897984941</v>
      </c>
      <c r="CP60" s="48">
        <f t="shared" si="153"/>
        <v>0.35544264396228142</v>
      </c>
      <c r="CQ60" s="48">
        <f t="shared" si="153"/>
        <v>0.34436838830118233</v>
      </c>
      <c r="CR60" s="48">
        <f t="shared" si="153"/>
        <v>0.35813715455475947</v>
      </c>
      <c r="CS60" s="48">
        <f t="shared" si="153"/>
        <v>0.35687379413836401</v>
      </c>
      <c r="CT60" s="48">
        <f t="shared" si="153"/>
        <v>0.34323331292100429</v>
      </c>
      <c r="CU60" s="48">
        <f>CU44/CU35</f>
        <v>0.58321861604409064</v>
      </c>
      <c r="CV60" s="56">
        <f t="shared" ref="CV60:DD60" si="154">CV44/CV35</f>
        <v>0.59884437454768136</v>
      </c>
      <c r="CW60" s="56">
        <f t="shared" si="154"/>
        <v>0.65860541112286364</v>
      </c>
      <c r="CX60" s="56">
        <f t="shared" si="154"/>
        <v>0.65252800200411964</v>
      </c>
      <c r="CY60" s="56">
        <f t="shared" si="154"/>
        <v>0.64503311657445994</v>
      </c>
      <c r="CZ60" s="56">
        <f t="shared" si="154"/>
        <v>0.63316076557404366</v>
      </c>
      <c r="DA60" s="56">
        <f t="shared" si="154"/>
        <v>0.62161808367938876</v>
      </c>
      <c r="DB60" s="56">
        <f t="shared" si="154"/>
        <v>0.6048370657498584</v>
      </c>
      <c r="DC60" s="56">
        <f t="shared" si="154"/>
        <v>0.58631961144665179</v>
      </c>
      <c r="DD60" s="56">
        <f t="shared" si="154"/>
        <v>0.56475691173638065</v>
      </c>
      <c r="DE60" s="56">
        <f t="shared" ref="DE60" si="155">DE44/DE35</f>
        <v>0.53985856855571102</v>
      </c>
    </row>
    <row r="61" spans="2:160">
      <c r="B61" s="37" t="s">
        <v>127</v>
      </c>
      <c r="C61" s="48">
        <f t="shared" ref="C61:AV61" si="156">C48/C47</f>
        <v>0.39769150052465896</v>
      </c>
      <c r="D61" s="48">
        <f t="shared" si="156"/>
        <v>0.40896358543417366</v>
      </c>
      <c r="E61" s="48">
        <f t="shared" si="156"/>
        <v>0.36837748344370863</v>
      </c>
      <c r="F61" s="48">
        <f t="shared" si="156"/>
        <v>0.39417693169092943</v>
      </c>
      <c r="G61" s="48">
        <f t="shared" si="156"/>
        <v>0.43793369313801078</v>
      </c>
      <c r="H61" s="48">
        <f t="shared" si="156"/>
        <v>0.4685430463576159</v>
      </c>
      <c r="I61" s="48">
        <f t="shared" si="156"/>
        <v>0.36837748344370863</v>
      </c>
      <c r="J61" s="48">
        <f t="shared" si="156"/>
        <v>0.36028751123090746</v>
      </c>
      <c r="K61" s="48">
        <f t="shared" si="156"/>
        <v>0.36185383244206776</v>
      </c>
      <c r="L61" s="48">
        <f t="shared" si="156"/>
        <v>0.35313807531380753</v>
      </c>
      <c r="M61" s="48">
        <f t="shared" si="156"/>
        <v>0.36034732272069464</v>
      </c>
      <c r="N61" s="48">
        <f t="shared" si="156"/>
        <v>0.3609295570079884</v>
      </c>
      <c r="O61" s="48">
        <f t="shared" si="156"/>
        <v>0.3493195074530136</v>
      </c>
      <c r="P61" s="48">
        <f t="shared" si="156"/>
        <v>0.35155096011816839</v>
      </c>
      <c r="Q61" s="48">
        <f t="shared" si="156"/>
        <v>0.36487322201607914</v>
      </c>
      <c r="R61" s="48">
        <f t="shared" si="156"/>
        <v>0.19701678060907396</v>
      </c>
      <c r="S61" s="48">
        <f t="shared" si="156"/>
        <v>0.29459148446490219</v>
      </c>
      <c r="T61" s="48">
        <f t="shared" si="156"/>
        <v>-4.659949622166247E-2</v>
      </c>
      <c r="U61" s="48">
        <f t="shared" si="156"/>
        <v>0.28206551915602446</v>
      </c>
      <c r="V61" s="48">
        <f t="shared" si="156"/>
        <v>0.31610123855681205</v>
      </c>
      <c r="W61" s="48">
        <f t="shared" si="156"/>
        <v>0.33169667212220405</v>
      </c>
      <c r="X61" s="48">
        <f t="shared" si="156"/>
        <v>0.32502831257078141</v>
      </c>
      <c r="Y61" s="48">
        <f t="shared" si="156"/>
        <v>0.32453192510801726</v>
      </c>
      <c r="Z61" s="48">
        <f t="shared" si="156"/>
        <v>0.22464822901504125</v>
      </c>
      <c r="AA61" s="48">
        <f t="shared" si="156"/>
        <v>0.33004926108374383</v>
      </c>
      <c r="AB61" s="48">
        <f t="shared" si="156"/>
        <v>0.30774193548387097</v>
      </c>
      <c r="AC61" s="48">
        <f t="shared" si="156"/>
        <v>0.30636604774535808</v>
      </c>
      <c r="AD61" s="48">
        <f t="shared" si="156"/>
        <v>0.32077125328659073</v>
      </c>
      <c r="AE61" s="48">
        <f t="shared" si="156"/>
        <v>0.21725092250922509</v>
      </c>
      <c r="AF61" s="48">
        <f t="shared" si="156"/>
        <v>0.33771353482260186</v>
      </c>
      <c r="AG61" s="48">
        <f t="shared" si="156"/>
        <v>0.26449412656309207</v>
      </c>
      <c r="AH61" s="48">
        <f t="shared" si="156"/>
        <v>0.30069643588693157</v>
      </c>
      <c r="AI61" s="48">
        <f t="shared" si="156"/>
        <v>2.3696682464454975E-2</v>
      </c>
      <c r="AJ61" s="48">
        <f t="shared" si="156"/>
        <v>0.23067729083665339</v>
      </c>
      <c r="AK61" s="48">
        <f t="shared" si="156"/>
        <v>0.30513595166163143</v>
      </c>
      <c r="AL61" s="48">
        <f t="shared" si="156"/>
        <v>0.84085862324204297</v>
      </c>
      <c r="AM61" s="48">
        <f t="shared" si="156"/>
        <v>0.2934111187371311</v>
      </c>
      <c r="AN61" s="48">
        <f t="shared" si="156"/>
        <v>0.30945466279444983</v>
      </c>
      <c r="AO61" s="48">
        <f t="shared" si="156"/>
        <v>0.22136461870947824</v>
      </c>
      <c r="AP61" s="48">
        <f t="shared" si="156"/>
        <v>0.19023935343487722</v>
      </c>
      <c r="AQ61" s="48">
        <f t="shared" si="156"/>
        <v>0.17176386913229019</v>
      </c>
      <c r="AR61" s="48">
        <f t="shared" si="156"/>
        <v>0.19587337478801584</v>
      </c>
      <c r="AS61" s="48">
        <f t="shared" si="156"/>
        <v>0.17988980716253444</v>
      </c>
      <c r="AT61" s="48">
        <f t="shared" si="156"/>
        <v>0.19037258634756596</v>
      </c>
      <c r="AU61" s="48">
        <f t="shared" si="156"/>
        <v>0.19787894464562855</v>
      </c>
      <c r="AV61" s="48">
        <f t="shared" si="156"/>
        <v>0.1848558340070062</v>
      </c>
      <c r="AW61" s="48">
        <f t="shared" ref="AW61:AZ61" si="157">AW48/AW47</f>
        <v>0.17664821338701561</v>
      </c>
      <c r="AX61" s="48">
        <f t="shared" si="157"/>
        <v>0.19456777226429878</v>
      </c>
      <c r="AY61" s="48">
        <f t="shared" si="157"/>
        <v>0.19065484311050476</v>
      </c>
      <c r="AZ61" s="48">
        <f t="shared" si="157"/>
        <v>0.30049099836333881</v>
      </c>
      <c r="BA61" s="48">
        <f t="shared" ref="BA61:BQ61" si="158">BA48/BA47</f>
        <v>0.16595517609391675</v>
      </c>
      <c r="BB61" s="48">
        <f t="shared" si="158"/>
        <v>0.16593164277839029</v>
      </c>
      <c r="BC61" s="48">
        <f t="shared" si="158"/>
        <v>0.41330599225336068</v>
      </c>
      <c r="BD61" s="48">
        <f t="shared" si="158"/>
        <v>0.16612377850162866</v>
      </c>
      <c r="BE61" s="48">
        <f t="shared" si="158"/>
        <v>0.19154584439452726</v>
      </c>
      <c r="BF61" s="48">
        <f t="shared" si="158"/>
        <v>0.19704975781594011</v>
      </c>
      <c r="BG61" s="48">
        <f t="shared" si="158"/>
        <v>0.10916688430399582</v>
      </c>
      <c r="BH61" s="48">
        <f t="shared" si="158"/>
        <v>0.19063270336894</v>
      </c>
      <c r="BI61" s="48">
        <f t="shared" si="158"/>
        <v>0.16033755274261605</v>
      </c>
      <c r="BJ61" s="48">
        <f t="shared" si="158"/>
        <v>0.19344448654793484</v>
      </c>
      <c r="BK61" s="48">
        <f t="shared" si="158"/>
        <v>0.19238243295763699</v>
      </c>
      <c r="BL61" s="48">
        <f t="shared" si="158"/>
        <v>0.16944641589779985</v>
      </c>
      <c r="BM61" s="48">
        <f t="shared" si="158"/>
        <v>0.1906653426017875</v>
      </c>
      <c r="BN61" s="48">
        <f t="shared" si="158"/>
        <v>0.15418102666424813</v>
      </c>
      <c r="BO61" s="48">
        <f t="shared" si="158"/>
        <v>0.18650859909834697</v>
      </c>
      <c r="BP61" s="48">
        <f t="shared" si="158"/>
        <v>0.16541117388575016</v>
      </c>
      <c r="BQ61" s="48">
        <f t="shared" si="158"/>
        <v>0.17435483870967741</v>
      </c>
      <c r="BR61" s="48">
        <f>BR48/BR47</f>
        <v>0.15833026848105922</v>
      </c>
      <c r="BS61" s="48">
        <f>BS48/BS47</f>
        <v>0.16753513342807516</v>
      </c>
      <c r="BT61" s="48">
        <f t="shared" ref="BT61" si="159">BT48/BT47</f>
        <v>0.18206652739836091</v>
      </c>
      <c r="CE61" s="48">
        <f t="shared" ref="CE61:CT61" si="160">CE48/CE47</f>
        <v>0.41179410294852575</v>
      </c>
      <c r="CF61" s="48">
        <f t="shared" si="160"/>
        <v>0.36093143596377747</v>
      </c>
      <c r="CG61" s="48">
        <f t="shared" si="160"/>
        <v>0.35537482319660535</v>
      </c>
      <c r="CH61" s="48">
        <f t="shared" si="160"/>
        <v>2.9451744449478932E-2</v>
      </c>
      <c r="CI61" s="48">
        <f t="shared" si="160"/>
        <v>0.31376601901612239</v>
      </c>
      <c r="CJ61" s="48">
        <f t="shared" si="160"/>
        <v>0.29596064215432416</v>
      </c>
      <c r="CK61" s="48">
        <f t="shared" si="160"/>
        <v>0.29649805447470817</v>
      </c>
      <c r="CL61" s="48">
        <f t="shared" si="160"/>
        <v>0.2522466300549176</v>
      </c>
      <c r="CM61" s="48">
        <f t="shared" si="160"/>
        <v>0.42714212416623909</v>
      </c>
      <c r="CN61" s="48">
        <f t="shared" si="160"/>
        <v>0.19561143214118382</v>
      </c>
      <c r="CO61" s="48">
        <f t="shared" si="160"/>
        <v>0.18839021768341843</v>
      </c>
      <c r="CP61" s="48">
        <f t="shared" si="160"/>
        <v>0.212037708484409</v>
      </c>
      <c r="CQ61" s="48">
        <f t="shared" si="160"/>
        <v>0.23358027765672665</v>
      </c>
      <c r="CR61" s="48">
        <f t="shared" si="160"/>
        <v>0.17528672254080283</v>
      </c>
      <c r="CS61" s="48">
        <f t="shared" si="160"/>
        <v>0.17892285021628559</v>
      </c>
      <c r="CT61" s="48">
        <f t="shared" si="160"/>
        <v>0.17448569994982438</v>
      </c>
      <c r="CU61" s="48">
        <v>0.17299999999999999</v>
      </c>
      <c r="CV61" s="56">
        <v>0.17499999999999999</v>
      </c>
      <c r="CW61" s="56">
        <v>0.17749999999999999</v>
      </c>
      <c r="CX61" s="56">
        <v>0.17749999999999999</v>
      </c>
      <c r="CY61" s="56">
        <v>0.17749999999999999</v>
      </c>
      <c r="CZ61" s="56">
        <v>0.17749999999999999</v>
      </c>
      <c r="DA61" s="56">
        <v>0.17749999999999999</v>
      </c>
      <c r="DB61" s="56">
        <v>0.17749999999999999</v>
      </c>
      <c r="DC61" s="56">
        <v>0.17749999999999999</v>
      </c>
      <c r="DD61" s="56">
        <v>0.17749999999999999</v>
      </c>
      <c r="DE61" s="56">
        <v>0.17749999999999999</v>
      </c>
    </row>
    <row r="62" spans="2:160">
      <c r="B62" s="37" t="s">
        <v>128</v>
      </c>
      <c r="C62" s="48">
        <f t="shared" ref="C62:AV62" si="161">C49/C35</f>
        <v>0.33007475560667049</v>
      </c>
      <c r="D62" s="48">
        <f t="shared" si="161"/>
        <v>0.26162430254184749</v>
      </c>
      <c r="E62" s="48">
        <f t="shared" si="161"/>
        <v>0.38928571428571429</v>
      </c>
      <c r="F62" s="48">
        <f t="shared" si="161"/>
        <v>0.32847601700060719</v>
      </c>
      <c r="G62" s="48">
        <f t="shared" si="161"/>
        <v>0.44289185905224787</v>
      </c>
      <c r="H62" s="48">
        <f t="shared" si="161"/>
        <v>0.19360675512665862</v>
      </c>
      <c r="I62" s="48">
        <f t="shared" si="161"/>
        <v>0.38928571428571429</v>
      </c>
      <c r="J62" s="48">
        <f t="shared" si="161"/>
        <v>0.36345074017355794</v>
      </c>
      <c r="K62" s="48">
        <f t="shared" si="161"/>
        <v>0.35288319369147364</v>
      </c>
      <c r="L62" s="48">
        <f t="shared" si="161"/>
        <v>0.36513934813415211</v>
      </c>
      <c r="M62" s="48">
        <f t="shared" si="161"/>
        <v>0.39499553172475427</v>
      </c>
      <c r="N62" s="48">
        <f t="shared" si="161"/>
        <v>0.39198218262806234</v>
      </c>
      <c r="O62" s="48">
        <f t="shared" si="161"/>
        <v>0.43238587424633934</v>
      </c>
      <c r="P62" s="48">
        <f t="shared" si="161"/>
        <v>0.36844313890054553</v>
      </c>
      <c r="Q62" s="48">
        <f t="shared" si="161"/>
        <v>0.403219473890852</v>
      </c>
      <c r="R62" s="48">
        <f t="shared" si="161"/>
        <v>0.50116369278510475</v>
      </c>
      <c r="S62" s="48">
        <f t="shared" si="161"/>
        <v>-0.71695906432748535</v>
      </c>
      <c r="T62" s="48">
        <f t="shared" si="161"/>
        <v>0.60856829000366164</v>
      </c>
      <c r="U62" s="48">
        <f t="shared" si="161"/>
        <v>0.45432185523541813</v>
      </c>
      <c r="V62" s="48">
        <f t="shared" si="161"/>
        <v>0.42934415145368493</v>
      </c>
      <c r="W62" s="48">
        <f t="shared" si="161"/>
        <v>0.40819726757747415</v>
      </c>
      <c r="X62" s="48">
        <f t="shared" si="161"/>
        <v>0.40094180961991255</v>
      </c>
      <c r="Y62" s="48">
        <f t="shared" si="161"/>
        <v>0.44595879556259904</v>
      </c>
      <c r="Z62" s="48">
        <f t="shared" si="161"/>
        <v>0.50521656655074298</v>
      </c>
      <c r="AA62" s="48">
        <f t="shared" si="161"/>
        <v>0.43106180665610144</v>
      </c>
      <c r="AB62" s="48">
        <f t="shared" si="161"/>
        <v>0.33230102198823164</v>
      </c>
      <c r="AC62" s="48">
        <f t="shared" si="161"/>
        <v>0.46392667060910703</v>
      </c>
      <c r="AD62" s="48">
        <f t="shared" si="161"/>
        <v>0.45467879143443823</v>
      </c>
      <c r="AE62" s="48">
        <f t="shared" si="161"/>
        <v>0.48237635019897668</v>
      </c>
      <c r="AF62" s="48">
        <f t="shared" si="161"/>
        <v>0.42341080929711566</v>
      </c>
      <c r="AG62" s="48">
        <f t="shared" si="161"/>
        <v>0.54446002805049087</v>
      </c>
      <c r="AH62" s="48">
        <f t="shared" si="161"/>
        <v>0.47076668505239933</v>
      </c>
      <c r="AI62" s="48">
        <f t="shared" si="161"/>
        <v>0.11349862258953168</v>
      </c>
      <c r="AJ62" s="48">
        <f t="shared" si="161"/>
        <v>0.45318000469373387</v>
      </c>
      <c r="AK62" s="48">
        <f t="shared" si="161"/>
        <v>0.46402151983860124</v>
      </c>
      <c r="AL62" s="48">
        <f t="shared" si="161"/>
        <v>9.6046459682823312E-2</v>
      </c>
      <c r="AM62" s="48">
        <f t="shared" si="161"/>
        <v>0.45104052573932091</v>
      </c>
      <c r="AN62" s="48">
        <f t="shared" si="161"/>
        <v>0.44078269824922761</v>
      </c>
      <c r="AO62" s="48">
        <f t="shared" si="161"/>
        <v>0.51871657754010692</v>
      </c>
      <c r="AP62" s="48">
        <f t="shared" si="161"/>
        <v>0.51350285826926867</v>
      </c>
      <c r="AQ62" s="48">
        <f t="shared" si="161"/>
        <v>0.44446564885496181</v>
      </c>
      <c r="AR62" s="48">
        <f t="shared" si="161"/>
        <v>0.52355539197644463</v>
      </c>
      <c r="AS62" s="48">
        <f t="shared" si="161"/>
        <v>0.54068289139120962</v>
      </c>
      <c r="AT62" s="48">
        <f t="shared" si="161"/>
        <v>0.54186385147433569</v>
      </c>
      <c r="AU62" s="48">
        <f t="shared" si="161"/>
        <v>0.53099315068493147</v>
      </c>
      <c r="AV62" s="48">
        <f t="shared" si="161"/>
        <v>0.49291184617891476</v>
      </c>
      <c r="AW62" s="48">
        <f t="shared" ref="AW62:AZ62" si="162">AW49/AW35</f>
        <v>0.54046911133135123</v>
      </c>
      <c r="AX62" s="48">
        <f t="shared" si="162"/>
        <v>0.52681926887598218</v>
      </c>
      <c r="AY62" s="48">
        <f t="shared" si="162"/>
        <v>0.49059334298118668</v>
      </c>
      <c r="AZ62" s="48">
        <f t="shared" si="162"/>
        <v>0.41893746324250147</v>
      </c>
      <c r="BA62" s="48">
        <f t="shared" ref="BA62:BQ62" si="163">BA49/BA35</f>
        <v>0.54967469667663094</v>
      </c>
      <c r="BB62" s="48">
        <f t="shared" si="163"/>
        <v>0.52818991097922852</v>
      </c>
      <c r="BC62" s="48">
        <f t="shared" si="163"/>
        <v>0.42006525285481239</v>
      </c>
      <c r="BD62" s="48">
        <f t="shared" si="163"/>
        <v>0.54642475987193173</v>
      </c>
      <c r="BE62" s="48">
        <f t="shared" si="163"/>
        <v>0.56084431222552766</v>
      </c>
      <c r="BF62" s="48">
        <f t="shared" si="163"/>
        <v>0.50730282375851998</v>
      </c>
      <c r="BG62" s="48">
        <f t="shared" si="163"/>
        <v>0.46886597938144331</v>
      </c>
      <c r="BH62" s="48">
        <f t="shared" si="163"/>
        <v>0.50597149094644922</v>
      </c>
      <c r="BI62" s="48">
        <f t="shared" si="163"/>
        <v>0.52658770161290325</v>
      </c>
      <c r="BJ62" s="48">
        <f t="shared" si="163"/>
        <v>0.53312460864120226</v>
      </c>
      <c r="BK62" s="48">
        <f t="shared" si="163"/>
        <v>0.5116336328942509</v>
      </c>
      <c r="BL62" s="48">
        <f t="shared" si="163"/>
        <v>0.54373330235799744</v>
      </c>
      <c r="BM62" s="48">
        <f t="shared" si="163"/>
        <v>0.56636553161918002</v>
      </c>
      <c r="BN62" s="48">
        <f t="shared" si="163"/>
        <v>0.53139601139601145</v>
      </c>
      <c r="BO62" s="48">
        <f t="shared" si="163"/>
        <v>0.54741573033707869</v>
      </c>
      <c r="BP62" s="48">
        <f t="shared" si="163"/>
        <v>0.5529790995112821</v>
      </c>
      <c r="BQ62" s="48">
        <f t="shared" si="163"/>
        <v>0.5382754994742377</v>
      </c>
      <c r="BR62" s="48">
        <f>BR49/BR35</f>
        <v>0.47706900145924536</v>
      </c>
      <c r="BS62" s="48">
        <f>BS49/BS35</f>
        <v>0.51828548957923715</v>
      </c>
      <c r="BT62" s="48">
        <f t="shared" ref="BT62" si="164">BT49/BT35</f>
        <v>0.47463632972771352</v>
      </c>
      <c r="CE62" s="48">
        <f t="shared" ref="CE62:CU62" si="165">CE49/CE35</f>
        <v>0.34061640862393289</v>
      </c>
      <c r="CF62" s="48">
        <f t="shared" si="165"/>
        <v>0.36751394916305019</v>
      </c>
      <c r="CG62" s="48">
        <f t="shared" si="165"/>
        <v>0.39682194166303875</v>
      </c>
      <c r="CH62" s="48">
        <f t="shared" si="165"/>
        <v>0.20554649265905384</v>
      </c>
      <c r="CI62" s="48">
        <f t="shared" si="165"/>
        <v>0.42282221090168109</v>
      </c>
      <c r="CJ62" s="48">
        <f t="shared" si="165"/>
        <v>0.4281215556605259</v>
      </c>
      <c r="CK62" s="48">
        <f t="shared" si="165"/>
        <v>0.45590778097982709</v>
      </c>
      <c r="CL62" s="48">
        <f t="shared" si="165"/>
        <v>0.39722848428590374</v>
      </c>
      <c r="CM62" s="48">
        <f t="shared" si="165"/>
        <v>0.36490903148491122</v>
      </c>
      <c r="CN62" s="48">
        <f t="shared" si="165"/>
        <v>0.49983017128439033</v>
      </c>
      <c r="CO62" s="48">
        <f t="shared" si="165"/>
        <v>0.52574313443878662</v>
      </c>
      <c r="CP62" s="48">
        <f t="shared" si="165"/>
        <v>0.49739082669596263</v>
      </c>
      <c r="CQ62" s="48">
        <f t="shared" si="165"/>
        <v>0.51072391619995849</v>
      </c>
      <c r="CR62" s="48">
        <f t="shared" si="165"/>
        <v>0.51030365063118388</v>
      </c>
      <c r="CS62" s="48">
        <f t="shared" si="165"/>
        <v>0.52898661684990655</v>
      </c>
      <c r="CT62" s="48">
        <f t="shared" si="165"/>
        <v>0.54954628959527918</v>
      </c>
      <c r="CU62" s="48">
        <f t="shared" si="165"/>
        <v>0.53352808484346292</v>
      </c>
      <c r="CV62" s="56">
        <f t="shared" ref="CV62:DD62" si="166">CV49/CV35</f>
        <v>0.5555680805863572</v>
      </c>
      <c r="CW62" s="56">
        <f t="shared" si="166"/>
        <v>0.61448108217813679</v>
      </c>
      <c r="CX62" s="56">
        <f t="shared" si="166"/>
        <v>0.62324888267738809</v>
      </c>
      <c r="CY62" s="56">
        <f t="shared" si="166"/>
        <v>0.63302169132319508</v>
      </c>
      <c r="CZ62" s="56">
        <f t="shared" si="166"/>
        <v>0.64262640655074854</v>
      </c>
      <c r="DA62" s="56">
        <f t="shared" si="166"/>
        <v>0.6550097407637232</v>
      </c>
      <c r="DB62" s="56">
        <f t="shared" si="166"/>
        <v>0.66828703172531279</v>
      </c>
      <c r="DC62" s="56">
        <f t="shared" si="166"/>
        <v>0.68491591783310102</v>
      </c>
      <c r="DD62" s="56">
        <f t="shared" si="166"/>
        <v>0.70541549075162591</v>
      </c>
      <c r="DE62" s="56">
        <f t="shared" ref="DE62" si="167">DE49/DE35</f>
        <v>0.73057010674040668</v>
      </c>
    </row>
    <row r="63" spans="2:160">
      <c r="BT63" s="1"/>
    </row>
    <row r="64" spans="2:160">
      <c r="B64" s="1" t="s">
        <v>129</v>
      </c>
      <c r="AZ64" s="1">
        <v>16289</v>
      </c>
      <c r="BA64" s="1">
        <v>15032</v>
      </c>
      <c r="BB64" s="1">
        <v>16494</v>
      </c>
      <c r="BC64" s="1">
        <v>18034</v>
      </c>
      <c r="BD64" s="1">
        <v>16487</v>
      </c>
      <c r="BE64" s="1">
        <v>14720</v>
      </c>
      <c r="BF64" s="1">
        <v>12299</v>
      </c>
      <c r="BG64" s="1">
        <v>14047</v>
      </c>
      <c r="BH64" s="1">
        <v>15689</v>
      </c>
      <c r="BI64" s="1">
        <v>13334</v>
      </c>
      <c r="BJ64" s="1">
        <v>13842</v>
      </c>
      <c r="BK64" s="1">
        <v>15590</v>
      </c>
      <c r="BL64" s="1">
        <v>16286</v>
      </c>
      <c r="BM64" s="1">
        <v>13591</v>
      </c>
      <c r="BN64" s="1">
        <v>12993</v>
      </c>
      <c r="BO64" s="1">
        <v>12947</v>
      </c>
      <c r="BP64" s="1">
        <v>11975</v>
      </c>
      <c r="BQ64" s="1">
        <v>12367</v>
      </c>
      <c r="BR64" s="1">
        <v>11734</v>
      </c>
      <c r="BS64" s="1">
        <v>17092</v>
      </c>
      <c r="BT64" s="1">
        <v>17164</v>
      </c>
      <c r="CP64" s="1">
        <f t="shared" ref="CP64:CP78" si="168">AZ64</f>
        <v>16289</v>
      </c>
      <c r="CQ64" s="1">
        <f t="shared" ref="CQ64:CQ78" si="169">BD64</f>
        <v>16487</v>
      </c>
      <c r="CR64" s="1">
        <f t="shared" ref="CR64:CR78" si="170">BH64</f>
        <v>15689</v>
      </c>
      <c r="CS64" s="1">
        <f t="shared" ref="CS64:CS78" si="171">BL64</f>
        <v>16286</v>
      </c>
      <c r="CT64" s="1">
        <f t="shared" ref="CT64:CT78" si="172">BP64</f>
        <v>11975</v>
      </c>
      <c r="CU64" s="46">
        <f>BT64</f>
        <v>17164</v>
      </c>
      <c r="CV64" s="55">
        <f t="shared" ref="CV64:DE64" si="173">CU64+CV49</f>
        <v>41632.085201734291</v>
      </c>
      <c r="CW64" s="55">
        <f t="shared" si="173"/>
        <v>71416.410610013947</v>
      </c>
      <c r="CX64" s="55">
        <f t="shared" si="173"/>
        <v>104238.99966869078</v>
      </c>
      <c r="CY64" s="55">
        <f t="shared" si="173"/>
        <v>140287.01964159985</v>
      </c>
      <c r="CZ64" s="55">
        <f t="shared" si="173"/>
        <v>179506.26336506908</v>
      </c>
      <c r="DA64" s="55">
        <f t="shared" si="173"/>
        <v>222535.80253618854</v>
      </c>
      <c r="DB64" s="55">
        <f t="shared" si="173"/>
        <v>269311.60226331215</v>
      </c>
      <c r="DC64" s="55">
        <f t="shared" si="173"/>
        <v>320364.97654240171</v>
      </c>
      <c r="DD64" s="55">
        <f t="shared" si="173"/>
        <v>376172.64472493815</v>
      </c>
      <c r="DE64" s="55">
        <f t="shared" si="173"/>
        <v>437403.00509176415</v>
      </c>
    </row>
    <row r="65" spans="2:160">
      <c r="B65" s="1" t="s">
        <v>1496</v>
      </c>
      <c r="AZ65" s="1">
        <v>901</v>
      </c>
      <c r="BA65" s="1">
        <v>894</v>
      </c>
      <c r="BB65" s="1">
        <v>894</v>
      </c>
      <c r="BC65" s="1">
        <v>894</v>
      </c>
      <c r="BD65" s="1">
        <v>894</v>
      </c>
      <c r="BE65" s="1">
        <v>1144</v>
      </c>
      <c r="BF65" s="1">
        <v>882</v>
      </c>
      <c r="BG65" s="1">
        <v>1483</v>
      </c>
      <c r="BH65" s="1">
        <v>1449</v>
      </c>
      <c r="BI65" s="1">
        <v>1705</v>
      </c>
      <c r="BJ65" s="1">
        <v>1616</v>
      </c>
      <c r="BK65" s="1">
        <v>1627</v>
      </c>
      <c r="BL65" s="1">
        <v>1764</v>
      </c>
      <c r="BM65" s="1">
        <v>1616</v>
      </c>
      <c r="BN65" s="1">
        <v>1584</v>
      </c>
      <c r="BO65" s="1">
        <v>1596</v>
      </c>
      <c r="BP65" s="1">
        <v>3089</v>
      </c>
      <c r="BQ65" s="1">
        <v>3112</v>
      </c>
      <c r="BR65" s="1">
        <v>2926</v>
      </c>
      <c r="BS65" s="1">
        <v>2696</v>
      </c>
      <c r="BT65" s="1">
        <v>2990</v>
      </c>
      <c r="CP65" s="1">
        <f t="shared" si="168"/>
        <v>901</v>
      </c>
      <c r="CQ65" s="1">
        <f t="shared" si="169"/>
        <v>894</v>
      </c>
      <c r="CR65" s="1">
        <f t="shared" si="170"/>
        <v>1449</v>
      </c>
      <c r="CS65" s="1">
        <f t="shared" si="171"/>
        <v>1764</v>
      </c>
      <c r="CT65" s="1">
        <f t="shared" si="172"/>
        <v>3089</v>
      </c>
      <c r="CU65" s="46">
        <f t="shared" ref="CU65:CU93" si="174">BT65</f>
        <v>2990</v>
      </c>
    </row>
    <row r="66" spans="2:160" ht="15.75" customHeight="1">
      <c r="B66" s="1" t="s">
        <v>130</v>
      </c>
      <c r="AZ66" s="1">
        <v>3752</v>
      </c>
      <c r="BA66" s="1">
        <v>3009</v>
      </c>
      <c r="BB66" s="1">
        <v>2058</v>
      </c>
      <c r="BC66" s="1">
        <v>1206</v>
      </c>
      <c r="BD66" s="1">
        <v>2025</v>
      </c>
      <c r="BE66" s="1">
        <v>1201</v>
      </c>
      <c r="BF66" s="1">
        <v>1230</v>
      </c>
      <c r="BG66" s="1">
        <v>3309</v>
      </c>
      <c r="BH66" s="1">
        <v>2833</v>
      </c>
      <c r="BI66" s="1">
        <v>2785</v>
      </c>
      <c r="BJ66" s="1">
        <v>2752</v>
      </c>
      <c r="BK66" s="1">
        <v>3166</v>
      </c>
      <c r="BL66" s="1">
        <v>3842</v>
      </c>
      <c r="BM66" s="1">
        <v>5005</v>
      </c>
      <c r="BN66" s="1">
        <v>4710</v>
      </c>
      <c r="BO66" s="1">
        <v>3697</v>
      </c>
      <c r="BP66" s="1">
        <v>3200</v>
      </c>
      <c r="BQ66" s="1">
        <v>1967</v>
      </c>
      <c r="BR66" s="1">
        <v>2017</v>
      </c>
      <c r="BS66" s="1">
        <v>2088</v>
      </c>
      <c r="BT66" s="1">
        <v>1833</v>
      </c>
      <c r="CP66" s="1">
        <f t="shared" si="168"/>
        <v>3752</v>
      </c>
      <c r="CQ66" s="1">
        <f t="shared" si="169"/>
        <v>2025</v>
      </c>
      <c r="CR66" s="1">
        <f t="shared" si="170"/>
        <v>2833</v>
      </c>
      <c r="CS66" s="1">
        <f t="shared" si="171"/>
        <v>3842</v>
      </c>
      <c r="CT66" s="1">
        <f t="shared" si="172"/>
        <v>3200</v>
      </c>
      <c r="CU66" s="46">
        <f t="shared" si="174"/>
        <v>1833</v>
      </c>
      <c r="CW66" s="64" t="s">
        <v>1547</v>
      </c>
      <c r="CX66" s="65"/>
      <c r="CY66" s="65"/>
      <c r="CZ66" s="64" t="s">
        <v>1548</v>
      </c>
      <c r="DA66" s="65"/>
      <c r="DB66" s="66" t="s">
        <v>1549</v>
      </c>
      <c r="DD66" s="59" t="s">
        <v>1534</v>
      </c>
      <c r="DE66" s="60">
        <v>0.255</v>
      </c>
    </row>
    <row r="67" spans="2:160" ht="15.75" customHeight="1">
      <c r="B67" s="1" t="s">
        <v>1497</v>
      </c>
      <c r="AZ67" s="1">
        <v>1264</v>
      </c>
      <c r="BA67" s="1">
        <v>1596</v>
      </c>
      <c r="BB67" s="1">
        <v>1434</v>
      </c>
      <c r="BC67" s="1">
        <v>1663</v>
      </c>
      <c r="BD67" s="1">
        <v>1758</v>
      </c>
      <c r="BE67" s="1">
        <v>1788</v>
      </c>
      <c r="BF67" s="1">
        <v>1632</v>
      </c>
      <c r="BG67" s="1">
        <v>1860</v>
      </c>
      <c r="BH67" s="1">
        <v>1932</v>
      </c>
      <c r="BI67" s="1">
        <v>2127</v>
      </c>
      <c r="BJ67" s="1">
        <v>1942</v>
      </c>
      <c r="BK67" s="1">
        <v>2454</v>
      </c>
      <c r="BL67" s="1">
        <v>2183</v>
      </c>
      <c r="BM67" s="1">
        <v>2525</v>
      </c>
      <c r="BN67" s="1">
        <v>3558</v>
      </c>
      <c r="BO67" s="1">
        <v>2128</v>
      </c>
      <c r="BP67" s="1">
        <v>4454</v>
      </c>
      <c r="BQ67" s="1">
        <v>3683</v>
      </c>
      <c r="BR67" s="1">
        <v>4244</v>
      </c>
      <c r="BS67" s="1">
        <v>4778</v>
      </c>
      <c r="BT67" s="1">
        <v>4191</v>
      </c>
      <c r="CP67" s="1">
        <f t="shared" si="168"/>
        <v>1264</v>
      </c>
      <c r="CQ67" s="1">
        <f t="shared" si="169"/>
        <v>1758</v>
      </c>
      <c r="CR67" s="1">
        <f t="shared" si="170"/>
        <v>1932</v>
      </c>
      <c r="CS67" s="1">
        <f t="shared" si="171"/>
        <v>2183</v>
      </c>
      <c r="CT67" s="1">
        <f t="shared" si="172"/>
        <v>4454</v>
      </c>
      <c r="CU67" s="46">
        <f t="shared" si="174"/>
        <v>4191</v>
      </c>
      <c r="CW67" s="65">
        <v>2025</v>
      </c>
      <c r="CX67" s="65"/>
      <c r="CY67" s="65">
        <v>2023</v>
      </c>
      <c r="CZ67" s="65">
        <v>2024</v>
      </c>
      <c r="DA67" s="65"/>
      <c r="DB67" s="66" t="s">
        <v>1550</v>
      </c>
      <c r="DD67" s="59" t="s">
        <v>1535</v>
      </c>
      <c r="DE67" s="61">
        <v>2.5000000000000001E-2</v>
      </c>
    </row>
    <row r="68" spans="2:160" ht="15.75" customHeight="1">
      <c r="B68" s="1" t="s">
        <v>1498</v>
      </c>
      <c r="AZ68" s="1">
        <v>1618</v>
      </c>
      <c r="BA68" s="1">
        <v>1746</v>
      </c>
      <c r="BB68" s="1">
        <v>1791</v>
      </c>
      <c r="BC68" s="1">
        <v>1852</v>
      </c>
      <c r="BD68" s="1">
        <v>1968</v>
      </c>
      <c r="BE68" s="1">
        <v>2168</v>
      </c>
      <c r="BF68" s="1">
        <v>2135</v>
      </c>
      <c r="BG68" s="1">
        <v>2021</v>
      </c>
      <c r="BH68" s="1">
        <v>2020</v>
      </c>
      <c r="BI68" s="1">
        <v>2113</v>
      </c>
      <c r="BJ68" s="1">
        <v>2122</v>
      </c>
      <c r="BK68" s="1">
        <v>2282</v>
      </c>
      <c r="BL68" s="1">
        <v>2291</v>
      </c>
      <c r="BM68" s="1">
        <v>2506</v>
      </c>
      <c r="BN68" s="1">
        <v>2272</v>
      </c>
      <c r="BO68" s="1">
        <v>2521</v>
      </c>
      <c r="BP68" s="1">
        <v>2561</v>
      </c>
      <c r="BQ68" s="1">
        <v>2590</v>
      </c>
      <c r="BR68" s="1">
        <v>2719</v>
      </c>
      <c r="BS68" s="1">
        <v>2920</v>
      </c>
      <c r="BT68" s="1">
        <v>3126</v>
      </c>
      <c r="CP68" s="1">
        <f t="shared" si="168"/>
        <v>1618</v>
      </c>
      <c r="CQ68" s="1">
        <f t="shared" si="169"/>
        <v>1968</v>
      </c>
      <c r="CR68" s="1">
        <f t="shared" si="170"/>
        <v>2020</v>
      </c>
      <c r="CS68" s="1">
        <f t="shared" si="171"/>
        <v>2291</v>
      </c>
      <c r="CT68" s="1">
        <f t="shared" si="172"/>
        <v>2561</v>
      </c>
      <c r="CU68" s="46">
        <f t="shared" si="174"/>
        <v>3126</v>
      </c>
      <c r="CW68" s="67">
        <f>AVERAGE(CU44)*(1-CU61)</f>
        <v>19292.871818738517</v>
      </c>
      <c r="CX68" s="65"/>
      <c r="CY68" s="68">
        <f>SUM(CS64:CS69)-CS80+CS74+CS76+CS75</f>
        <v>76522</v>
      </c>
      <c r="CZ68" s="68">
        <f>SUM(CT64:CT69)-CT80+CT74+CT76+CT75</f>
        <v>77978</v>
      </c>
      <c r="DA68" s="65"/>
      <c r="DB68" s="68">
        <f>AVERAGE(CY68:CZ68)</f>
        <v>77250</v>
      </c>
      <c r="DD68" s="59" t="s">
        <v>1536</v>
      </c>
      <c r="DE68" s="61">
        <v>4.3499999999999997E-2</v>
      </c>
    </row>
    <row r="69" spans="2:160" ht="15.75" customHeight="1">
      <c r="B69" s="1" t="s">
        <v>1499</v>
      </c>
      <c r="AZ69" s="1">
        <v>1850</v>
      </c>
      <c r="BA69" s="1">
        <v>1993</v>
      </c>
      <c r="BB69" s="1">
        <v>2057</v>
      </c>
      <c r="BC69" s="1">
        <v>2221</v>
      </c>
      <c r="BD69" s="1">
        <v>2260</v>
      </c>
      <c r="BE69" s="1">
        <v>2284</v>
      </c>
      <c r="BF69" s="1">
        <v>2309</v>
      </c>
      <c r="BG69" s="1">
        <v>2261</v>
      </c>
      <c r="BH69" s="1">
        <v>2342</v>
      </c>
      <c r="BI69" s="1">
        <v>2591</v>
      </c>
      <c r="BJ69" s="1">
        <v>2739</v>
      </c>
      <c r="BK69" s="1">
        <v>2907</v>
      </c>
      <c r="BL69" s="1">
        <v>3005</v>
      </c>
      <c r="BM69" s="1">
        <v>3164</v>
      </c>
      <c r="BN69" s="1">
        <v>3367</v>
      </c>
      <c r="BO69" s="1">
        <v>3472</v>
      </c>
      <c r="BP69" s="1">
        <v>3524</v>
      </c>
      <c r="BQ69" s="1">
        <v>3518</v>
      </c>
      <c r="BR69" s="1">
        <v>3543</v>
      </c>
      <c r="BS69" s="1">
        <v>3614</v>
      </c>
      <c r="BT69" s="1">
        <v>3625</v>
      </c>
      <c r="CP69" s="1">
        <f t="shared" si="168"/>
        <v>1850</v>
      </c>
      <c r="CQ69" s="1">
        <f t="shared" si="169"/>
        <v>2260</v>
      </c>
      <c r="CR69" s="1">
        <f t="shared" si="170"/>
        <v>2342</v>
      </c>
      <c r="CS69" s="1">
        <f t="shared" si="171"/>
        <v>3005</v>
      </c>
      <c r="CT69" s="1">
        <f t="shared" si="172"/>
        <v>3524</v>
      </c>
      <c r="CU69" s="46">
        <f t="shared" si="174"/>
        <v>3625</v>
      </c>
      <c r="CW69" s="69">
        <f>CW68/DB68</f>
        <v>0.2497459135111782</v>
      </c>
      <c r="CX69" s="65"/>
      <c r="CY69" s="65"/>
      <c r="CZ69" s="65"/>
      <c r="DA69" s="65"/>
      <c r="DB69" s="65"/>
      <c r="DD69" s="59" t="s">
        <v>1537</v>
      </c>
      <c r="DE69" s="61">
        <f>8.5%-DE68</f>
        <v>4.1500000000000009E-2</v>
      </c>
    </row>
    <row r="70" spans="2:160" ht="15.75" customHeight="1">
      <c r="B70" s="1" t="s">
        <v>1500</v>
      </c>
      <c r="AZ70" s="1">
        <v>1214</v>
      </c>
      <c r="BA70" s="1">
        <v>1281</v>
      </c>
      <c r="BB70" s="1">
        <v>1324</v>
      </c>
      <c r="BC70" s="1">
        <v>1321</v>
      </c>
      <c r="BD70" s="1">
        <v>1359</v>
      </c>
      <c r="BE70" s="1">
        <v>1334</v>
      </c>
      <c r="BF70" s="1">
        <v>1309</v>
      </c>
      <c r="BG70" s="1">
        <v>1323</v>
      </c>
      <c r="BH70" s="1">
        <v>1272</v>
      </c>
      <c r="BI70" s="1">
        <v>1402</v>
      </c>
      <c r="BJ70" s="1">
        <v>1477</v>
      </c>
      <c r="BK70" s="1">
        <v>1525</v>
      </c>
      <c r="BL70" s="1">
        <v>1577</v>
      </c>
      <c r="BM70" s="1">
        <v>1572</v>
      </c>
      <c r="BN70" s="1">
        <v>1740</v>
      </c>
      <c r="BO70" s="1">
        <v>1821</v>
      </c>
      <c r="BP70" s="1">
        <v>1918</v>
      </c>
      <c r="BQ70" s="1">
        <v>1992</v>
      </c>
      <c r="BR70" s="1">
        <v>2175</v>
      </c>
      <c r="BS70" s="1">
        <v>2198</v>
      </c>
      <c r="BT70" s="1">
        <v>2158</v>
      </c>
      <c r="CP70" s="1">
        <f t="shared" si="168"/>
        <v>1214</v>
      </c>
      <c r="CQ70" s="1">
        <f t="shared" si="169"/>
        <v>1359</v>
      </c>
      <c r="CR70" s="1">
        <f t="shared" si="170"/>
        <v>1272</v>
      </c>
      <c r="CS70" s="1">
        <f t="shared" si="171"/>
        <v>1577</v>
      </c>
      <c r="CT70" s="1">
        <f t="shared" si="172"/>
        <v>1918</v>
      </c>
      <c r="CU70" s="46">
        <f t="shared" si="174"/>
        <v>2158</v>
      </c>
      <c r="CW70" s="65"/>
      <c r="CX70" s="65"/>
      <c r="CY70" s="65"/>
      <c r="CZ70" s="65"/>
      <c r="DA70" s="65"/>
      <c r="DB70" s="65"/>
      <c r="DD70" s="59" t="s">
        <v>1538</v>
      </c>
      <c r="DE70" s="35">
        <v>1.01</v>
      </c>
    </row>
    <row r="71" spans="2:160" ht="15.75" customHeight="1">
      <c r="B71" s="1" t="s">
        <v>1501</v>
      </c>
      <c r="AZ71" s="1">
        <v>757</v>
      </c>
      <c r="BA71" s="1">
        <v>729</v>
      </c>
      <c r="BB71" s="1">
        <v>849</v>
      </c>
      <c r="BC71" s="1">
        <v>851</v>
      </c>
      <c r="BD71" s="1">
        <v>856</v>
      </c>
      <c r="BE71" s="1">
        <v>1267</v>
      </c>
      <c r="BF71" s="1">
        <v>2295</v>
      </c>
      <c r="BG71" s="1">
        <v>2667</v>
      </c>
      <c r="BH71" s="1">
        <v>2668</v>
      </c>
      <c r="BI71" s="1">
        <v>1802</v>
      </c>
      <c r="BJ71" s="1">
        <v>2167</v>
      </c>
      <c r="BK71" s="1">
        <v>2119</v>
      </c>
      <c r="BL71" s="1">
        <v>2584</v>
      </c>
      <c r="BM71" s="1">
        <v>2753</v>
      </c>
      <c r="BN71" s="1">
        <v>2551</v>
      </c>
      <c r="BO71" s="1">
        <v>2857</v>
      </c>
      <c r="BP71" s="1">
        <v>3312</v>
      </c>
      <c r="BQ71" s="1">
        <v>3393</v>
      </c>
      <c r="BR71" s="1">
        <v>3576</v>
      </c>
      <c r="BS71" s="1">
        <v>3012</v>
      </c>
      <c r="BT71" s="1">
        <v>2679</v>
      </c>
      <c r="CP71" s="1">
        <f t="shared" si="168"/>
        <v>757</v>
      </c>
      <c r="CQ71" s="1">
        <f t="shared" si="169"/>
        <v>856</v>
      </c>
      <c r="CR71" s="1">
        <f t="shared" si="170"/>
        <v>2668</v>
      </c>
      <c r="CS71" s="1">
        <f t="shared" si="171"/>
        <v>2584</v>
      </c>
      <c r="CT71" s="1">
        <f t="shared" si="172"/>
        <v>3312</v>
      </c>
      <c r="CU71" s="46">
        <f t="shared" si="174"/>
        <v>2679</v>
      </c>
      <c r="DD71" s="59" t="s">
        <v>1539</v>
      </c>
      <c r="DE71" s="61">
        <f>+DE68+(DE69*DE70)</f>
        <v>8.5415000000000005E-2</v>
      </c>
    </row>
    <row r="72" spans="2:160" ht="15.75" customHeight="1">
      <c r="B72" s="1" t="s">
        <v>1502</v>
      </c>
      <c r="AZ72" s="1">
        <v>231</v>
      </c>
      <c r="BA72" s="1">
        <v>161</v>
      </c>
      <c r="BB72" s="1">
        <v>110</v>
      </c>
      <c r="BC72" s="1">
        <v>1111</v>
      </c>
      <c r="BD72" s="1">
        <v>1705</v>
      </c>
      <c r="BE72" s="1">
        <v>2087</v>
      </c>
      <c r="BF72" s="1">
        <v>2296</v>
      </c>
      <c r="BG72" s="1">
        <v>2240</v>
      </c>
      <c r="BH72" s="1">
        <v>2136</v>
      </c>
      <c r="BI72" s="1">
        <v>2735</v>
      </c>
      <c r="BJ72" s="1">
        <v>2840</v>
      </c>
      <c r="BK72" s="1">
        <v>2122</v>
      </c>
      <c r="BL72" s="1">
        <v>1921</v>
      </c>
      <c r="BM72" s="1">
        <v>2809</v>
      </c>
      <c r="BN72" s="1">
        <v>3092</v>
      </c>
      <c r="BO72" s="1">
        <v>3037</v>
      </c>
      <c r="BP72" s="1">
        <v>2545</v>
      </c>
      <c r="BQ72" s="1">
        <v>1757</v>
      </c>
      <c r="BR72" s="1">
        <v>1470</v>
      </c>
      <c r="BS72" s="1">
        <v>1203</v>
      </c>
      <c r="BT72" s="1">
        <v>999</v>
      </c>
      <c r="CP72" s="1">
        <f t="shared" si="168"/>
        <v>231</v>
      </c>
      <c r="CQ72" s="1">
        <f t="shared" si="169"/>
        <v>1705</v>
      </c>
      <c r="CR72" s="1">
        <f t="shared" si="170"/>
        <v>2136</v>
      </c>
      <c r="CS72" s="1">
        <f t="shared" si="171"/>
        <v>1921</v>
      </c>
      <c r="CT72" s="1">
        <f t="shared" si="172"/>
        <v>2545</v>
      </c>
      <c r="CU72" s="46">
        <f t="shared" si="174"/>
        <v>999</v>
      </c>
      <c r="DD72" s="59"/>
    </row>
    <row r="73" spans="2:160" ht="15.75" customHeight="1">
      <c r="B73" s="1" t="s">
        <v>1503</v>
      </c>
      <c r="AZ73" s="1">
        <v>3175</v>
      </c>
      <c r="BA73" s="1">
        <v>3192</v>
      </c>
      <c r="BB73" s="1">
        <v>3252</v>
      </c>
      <c r="BC73" s="1">
        <v>3219</v>
      </c>
      <c r="BD73" s="1">
        <v>3245</v>
      </c>
      <c r="BE73" s="1">
        <v>3290</v>
      </c>
      <c r="BF73" s="1">
        <v>3256</v>
      </c>
      <c r="BG73" s="1">
        <v>3321</v>
      </c>
      <c r="BH73" s="1">
        <v>3348</v>
      </c>
      <c r="BI73" s="1">
        <v>3657</v>
      </c>
      <c r="BJ73" s="1">
        <v>3737</v>
      </c>
      <c r="BK73" s="1">
        <v>3811</v>
      </c>
      <c r="BL73" s="1">
        <v>3789</v>
      </c>
      <c r="BM73" s="1">
        <v>3941</v>
      </c>
      <c r="BN73" s="1">
        <v>3998</v>
      </c>
      <c r="BO73" s="1">
        <v>4133</v>
      </c>
      <c r="BP73" s="1">
        <v>4628</v>
      </c>
      <c r="BQ73" s="1">
        <v>4631</v>
      </c>
      <c r="BR73" s="1">
        <v>4760</v>
      </c>
      <c r="BS73" s="1">
        <v>5005</v>
      </c>
      <c r="BT73" s="1">
        <v>5157</v>
      </c>
      <c r="CP73" s="1">
        <f t="shared" si="168"/>
        <v>3175</v>
      </c>
      <c r="CQ73" s="1">
        <f t="shared" si="169"/>
        <v>3245</v>
      </c>
      <c r="CR73" s="1">
        <f t="shared" si="170"/>
        <v>3348</v>
      </c>
      <c r="CS73" s="1">
        <f t="shared" si="171"/>
        <v>3789</v>
      </c>
      <c r="CT73" s="1">
        <f t="shared" si="172"/>
        <v>4628</v>
      </c>
      <c r="CU73" s="46">
        <f t="shared" si="174"/>
        <v>5157</v>
      </c>
      <c r="DD73" s="59" t="s">
        <v>1540</v>
      </c>
      <c r="DE73" s="55">
        <f>NPV(DE71,CV49:FD49)</f>
        <v>689917.94765430829</v>
      </c>
    </row>
    <row r="74" spans="2:160" ht="15.75" customHeight="1">
      <c r="B74" s="1" t="s">
        <v>1504</v>
      </c>
      <c r="AZ74" s="1">
        <v>2737</v>
      </c>
      <c r="BA74" s="1">
        <v>2713</v>
      </c>
      <c r="BB74" s="1">
        <v>2684</v>
      </c>
      <c r="BC74" s="1">
        <v>2707</v>
      </c>
      <c r="BD74" s="1">
        <v>2715</v>
      </c>
      <c r="BE74" s="1">
        <v>2908</v>
      </c>
      <c r="BF74" s="1">
        <v>3120</v>
      </c>
      <c r="BG74" s="1">
        <v>3146</v>
      </c>
      <c r="BH74" s="1">
        <v>3223</v>
      </c>
      <c r="BI74" s="1">
        <v>3236</v>
      </c>
      <c r="BJ74" s="1">
        <v>3359</v>
      </c>
      <c r="BK74" s="1">
        <v>3370</v>
      </c>
      <c r="BL74" s="1">
        <v>3425</v>
      </c>
      <c r="BM74" s="1">
        <v>3472</v>
      </c>
      <c r="BN74" s="1">
        <v>3630</v>
      </c>
      <c r="BO74" s="1">
        <v>3766</v>
      </c>
      <c r="BP74" s="1">
        <v>3824</v>
      </c>
      <c r="BQ74" s="1">
        <v>3974</v>
      </c>
      <c r="BR74" s="1">
        <v>4023</v>
      </c>
      <c r="BS74" s="1">
        <v>4143</v>
      </c>
      <c r="BT74" s="1">
        <v>4236</v>
      </c>
      <c r="CP74" s="1">
        <f t="shared" si="168"/>
        <v>2737</v>
      </c>
      <c r="CQ74" s="1">
        <f t="shared" si="169"/>
        <v>2715</v>
      </c>
      <c r="CR74" s="1">
        <f t="shared" si="170"/>
        <v>3223</v>
      </c>
      <c r="CS74" s="1">
        <f t="shared" si="171"/>
        <v>3425</v>
      </c>
      <c r="CT74" s="1">
        <f t="shared" si="172"/>
        <v>3824</v>
      </c>
      <c r="CU74" s="46">
        <f t="shared" si="174"/>
        <v>4236</v>
      </c>
      <c r="DD74" s="59" t="s">
        <v>140</v>
      </c>
      <c r="DE74" s="55">
        <f>Main!C4</f>
        <v>1830</v>
      </c>
    </row>
    <row r="75" spans="2:160" ht="15.75" customHeight="1">
      <c r="B75" s="1" t="s">
        <v>1505</v>
      </c>
      <c r="AZ75" s="1">
        <v>15910</v>
      </c>
      <c r="BA75" s="1">
        <v>16121</v>
      </c>
      <c r="BB75" s="1">
        <v>15980</v>
      </c>
      <c r="BC75" s="1">
        <v>16021</v>
      </c>
      <c r="BD75" s="1">
        <v>15958</v>
      </c>
      <c r="BE75" s="1">
        <v>16555</v>
      </c>
      <c r="BF75" s="1">
        <v>18143</v>
      </c>
      <c r="BG75" s="1">
        <v>17977</v>
      </c>
      <c r="BH75" s="1">
        <v>17787</v>
      </c>
      <c r="BI75" s="1">
        <v>18024</v>
      </c>
      <c r="BJ75" s="1">
        <v>18078</v>
      </c>
      <c r="BK75" s="1">
        <v>18082</v>
      </c>
      <c r="BL75" s="1">
        <v>17997</v>
      </c>
      <c r="BM75" s="1">
        <v>18120</v>
      </c>
      <c r="BN75" s="1">
        <v>18837</v>
      </c>
      <c r="BO75" s="1">
        <v>18816</v>
      </c>
      <c r="BP75" s="1">
        <v>18941</v>
      </c>
      <c r="BQ75" s="1">
        <v>19548</v>
      </c>
      <c r="BR75" s="1">
        <v>19641</v>
      </c>
      <c r="BS75" s="1">
        <v>19880</v>
      </c>
      <c r="BT75" s="1">
        <v>19879</v>
      </c>
      <c r="CP75" s="1">
        <f t="shared" si="168"/>
        <v>15910</v>
      </c>
      <c r="CQ75" s="1">
        <f t="shared" si="169"/>
        <v>15958</v>
      </c>
      <c r="CR75" s="1">
        <f t="shared" si="170"/>
        <v>17787</v>
      </c>
      <c r="CS75" s="1">
        <f t="shared" si="171"/>
        <v>17997</v>
      </c>
      <c r="CT75" s="1">
        <f t="shared" si="172"/>
        <v>18941</v>
      </c>
      <c r="CU75" s="46">
        <f t="shared" si="174"/>
        <v>19879</v>
      </c>
      <c r="DD75" s="59" t="s">
        <v>1541</v>
      </c>
      <c r="DE75" s="62">
        <f>DE73/DE74</f>
        <v>377.00434298049635</v>
      </c>
    </row>
    <row r="76" spans="2:160" ht="15.75" customHeight="1">
      <c r="B76" s="1" t="s">
        <v>1506</v>
      </c>
      <c r="AZ76" s="1">
        <v>27808</v>
      </c>
      <c r="BA76" s="1">
        <v>28593</v>
      </c>
      <c r="BB76" s="1">
        <v>27823</v>
      </c>
      <c r="BC76" s="1">
        <v>28023</v>
      </c>
      <c r="BD76" s="1">
        <v>27664</v>
      </c>
      <c r="BE76" s="1">
        <v>27272</v>
      </c>
      <c r="BF76" s="1">
        <v>27006</v>
      </c>
      <c r="BG76" s="1">
        <v>26093</v>
      </c>
      <c r="BH76" s="1">
        <v>25065</v>
      </c>
      <c r="BI76" s="1">
        <v>26307</v>
      </c>
      <c r="BJ76" s="1">
        <v>26574</v>
      </c>
      <c r="BK76" s="1">
        <v>26576</v>
      </c>
      <c r="BL76" s="1">
        <v>26104</v>
      </c>
      <c r="BM76" s="1">
        <v>26739</v>
      </c>
      <c r="BN76" s="1">
        <v>26375</v>
      </c>
      <c r="BO76" s="1">
        <v>26243</v>
      </c>
      <c r="BP76" s="1">
        <v>26889</v>
      </c>
      <c r="BQ76" s="1">
        <v>25889</v>
      </c>
      <c r="BR76" s="1">
        <v>26408</v>
      </c>
      <c r="BS76" s="1">
        <v>27660</v>
      </c>
      <c r="BT76" s="1">
        <v>27646</v>
      </c>
      <c r="CP76" s="1">
        <f t="shared" si="168"/>
        <v>27808</v>
      </c>
      <c r="CQ76" s="1">
        <f t="shared" si="169"/>
        <v>27664</v>
      </c>
      <c r="CR76" s="1">
        <f t="shared" si="170"/>
        <v>25065</v>
      </c>
      <c r="CS76" s="1">
        <f t="shared" si="171"/>
        <v>26104</v>
      </c>
      <c r="CT76" s="1">
        <f t="shared" si="172"/>
        <v>26889</v>
      </c>
      <c r="CU76" s="46">
        <f t="shared" si="174"/>
        <v>27646</v>
      </c>
      <c r="DD76" s="59" t="s">
        <v>1542</v>
      </c>
      <c r="DE76" s="62">
        <f>Main!C3</f>
        <v>350.28</v>
      </c>
    </row>
    <row r="77" spans="2:160" ht="15.75" customHeight="1">
      <c r="B77" s="1" t="s">
        <v>1507</v>
      </c>
      <c r="AZ77" s="1">
        <v>3413</v>
      </c>
      <c r="BA77" s="1">
        <v>3366</v>
      </c>
      <c r="BB77" s="1">
        <v>3445</v>
      </c>
      <c r="BC77" s="1">
        <v>3548</v>
      </c>
      <c r="BD77" s="1">
        <v>4002</v>
      </c>
      <c r="BE77" s="1">
        <v>3911</v>
      </c>
      <c r="BF77" s="1">
        <v>3896</v>
      </c>
      <c r="BG77" s="1">
        <v>3662</v>
      </c>
      <c r="BH77" s="1">
        <v>3737</v>
      </c>
      <c r="BI77" s="1">
        <v>3569</v>
      </c>
      <c r="BJ77" s="1">
        <v>3510</v>
      </c>
      <c r="BK77" s="1">
        <v>3603</v>
      </c>
      <c r="BL77" s="1">
        <v>3731</v>
      </c>
      <c r="BM77" s="1">
        <v>3596</v>
      </c>
      <c r="BN77" s="1">
        <v>3692</v>
      </c>
      <c r="BO77" s="1">
        <v>4006</v>
      </c>
      <c r="BP77" s="1">
        <v>3651</v>
      </c>
      <c r="BQ77" s="1">
        <v>3467</v>
      </c>
      <c r="BR77" s="1">
        <v>3617</v>
      </c>
      <c r="BS77" s="1">
        <v>3735</v>
      </c>
      <c r="BT77" s="1">
        <v>3944</v>
      </c>
      <c r="CP77" s="1">
        <f t="shared" si="168"/>
        <v>3413</v>
      </c>
      <c r="CQ77" s="1">
        <f t="shared" si="169"/>
        <v>4002</v>
      </c>
      <c r="CR77" s="1">
        <f t="shared" si="170"/>
        <v>3737</v>
      </c>
      <c r="CS77" s="1">
        <f t="shared" si="171"/>
        <v>3731</v>
      </c>
      <c r="CT77" s="1">
        <f t="shared" si="172"/>
        <v>3651</v>
      </c>
      <c r="CU77" s="46">
        <f t="shared" si="174"/>
        <v>3944</v>
      </c>
      <c r="DC77" s="34"/>
      <c r="DD77" s="59" t="s">
        <v>1543</v>
      </c>
      <c r="DE77" s="61">
        <f>DE75/DE76-1</f>
        <v>7.6294230274341679E-2</v>
      </c>
      <c r="DF77" s="58" t="str">
        <f>IF(DE77&gt;0,"Upside","Downside")</f>
        <v>Upside</v>
      </c>
    </row>
    <row r="78" spans="2:160" s="2" customFormat="1" ht="15">
      <c r="B78" s="2" t="s">
        <v>1508</v>
      </c>
      <c r="AZ78" s="2">
        <f>SUM(AZ64:AZ77)</f>
        <v>80919</v>
      </c>
      <c r="BA78" s="2">
        <f t="shared" ref="BA78:BR78" si="175">SUM(BA64:BA77)</f>
        <v>80426</v>
      </c>
      <c r="BB78" s="2">
        <f t="shared" si="175"/>
        <v>80195</v>
      </c>
      <c r="BC78" s="2">
        <f t="shared" si="175"/>
        <v>82671</v>
      </c>
      <c r="BD78" s="2">
        <f t="shared" si="175"/>
        <v>82896</v>
      </c>
      <c r="BE78" s="2">
        <f t="shared" si="175"/>
        <v>81929</v>
      </c>
      <c r="BF78" s="2">
        <f t="shared" si="175"/>
        <v>81808</v>
      </c>
      <c r="BG78" s="2">
        <f t="shared" si="175"/>
        <v>85410</v>
      </c>
      <c r="BH78" s="2">
        <f>SUM(BH64:BH77)</f>
        <v>85501</v>
      </c>
      <c r="BI78" s="2">
        <f>SUM(BI64:BI77)</f>
        <v>85387</v>
      </c>
      <c r="BJ78" s="2">
        <f t="shared" si="175"/>
        <v>86755</v>
      </c>
      <c r="BK78" s="2">
        <f>SUM(BK64:BK77)</f>
        <v>89234</v>
      </c>
      <c r="BL78" s="2">
        <f>SUM(BL64:BL77)</f>
        <v>90499</v>
      </c>
      <c r="BM78" s="2">
        <f t="shared" si="175"/>
        <v>91409</v>
      </c>
      <c r="BN78" s="2">
        <f t="shared" si="175"/>
        <v>92399</v>
      </c>
      <c r="BO78" s="2">
        <f t="shared" si="175"/>
        <v>91040</v>
      </c>
      <c r="BP78" s="2">
        <f t="shared" si="175"/>
        <v>94511</v>
      </c>
      <c r="BQ78" s="2">
        <f t="shared" si="175"/>
        <v>91888</v>
      </c>
      <c r="BR78" s="2">
        <f t="shared" si="175"/>
        <v>92853</v>
      </c>
      <c r="BS78" s="2">
        <f t="shared" ref="BS78:BT78" si="176">SUM(BS64:BS77)</f>
        <v>100024</v>
      </c>
      <c r="BT78" s="2">
        <f t="shared" si="176"/>
        <v>99627</v>
      </c>
      <c r="BU78" s="34"/>
      <c r="BV78" s="34"/>
      <c r="BW78" s="34"/>
      <c r="BX78" s="34"/>
      <c r="BY78" s="34"/>
      <c r="BZ78" s="34"/>
      <c r="CP78" s="2">
        <f t="shared" si="168"/>
        <v>80919</v>
      </c>
      <c r="CQ78" s="2">
        <f t="shared" si="169"/>
        <v>82896</v>
      </c>
      <c r="CR78" s="2">
        <f t="shared" si="170"/>
        <v>85501</v>
      </c>
      <c r="CS78" s="2">
        <f t="shared" si="171"/>
        <v>90499</v>
      </c>
      <c r="CT78" s="2">
        <f t="shared" si="172"/>
        <v>94511</v>
      </c>
      <c r="CU78" s="47">
        <f t="shared" si="174"/>
        <v>99627</v>
      </c>
      <c r="CW78" s="35"/>
      <c r="CX78" s="35"/>
      <c r="CY78" s="35"/>
      <c r="CZ78" s="35"/>
      <c r="DA78" s="35"/>
      <c r="DB78" s="35"/>
      <c r="DC78" s="35"/>
      <c r="DD78" s="73" t="str" cm="1">
        <f t="array" ref="DD78">_xlfn.IFS(DE77&gt;=25%,"Strong Buy",DE77&gt;=10.00001%,"Buy",AND(DE77&lt;=10%,DE77&gt;=-4.9999%),"Hold",AND(DE77&lt;=-5%,DE77&gt;=-14.999999%),"Sell",DE77&lt;=-15%,"Strong Sell")</f>
        <v>Hold</v>
      </c>
      <c r="DE78" s="73"/>
      <c r="DF78" s="35"/>
      <c r="DG78" s="34"/>
      <c r="DH78" s="34"/>
      <c r="DI78" s="34"/>
      <c r="DJ78" s="34"/>
      <c r="DK78" s="34"/>
      <c r="DL78" s="34"/>
      <c r="DM78" s="34"/>
      <c r="DN78" s="34"/>
      <c r="DO78" s="34"/>
      <c r="DP78" s="34"/>
      <c r="DQ78" s="34"/>
      <c r="DR78" s="34"/>
      <c r="DS78" s="34"/>
      <c r="DT78" s="34"/>
      <c r="DU78" s="34"/>
      <c r="DV78" s="34"/>
      <c r="DW78" s="34"/>
      <c r="DX78" s="34"/>
      <c r="DY78" s="34"/>
      <c r="DZ78" s="34"/>
      <c r="EA78" s="34"/>
      <c r="EB78" s="34"/>
      <c r="EC78" s="34"/>
      <c r="ED78" s="34"/>
      <c r="EE78" s="34"/>
      <c r="EF78" s="34"/>
      <c r="EG78" s="34"/>
      <c r="EH78" s="34"/>
      <c r="EI78" s="34"/>
      <c r="EJ78" s="34"/>
      <c r="EK78" s="34"/>
      <c r="EL78" s="34"/>
      <c r="EM78" s="34"/>
      <c r="EN78" s="34"/>
      <c r="EO78" s="34"/>
      <c r="EP78" s="34"/>
      <c r="EQ78" s="34"/>
      <c r="ER78" s="34"/>
      <c r="ES78" s="34"/>
      <c r="ET78" s="34"/>
      <c r="EU78" s="34"/>
      <c r="EV78" s="34"/>
      <c r="EW78" s="34"/>
      <c r="EX78" s="34"/>
      <c r="EY78" s="34"/>
      <c r="EZ78" s="34"/>
      <c r="FA78" s="34"/>
      <c r="FB78" s="34"/>
      <c r="FC78" s="34"/>
      <c r="FD78" s="34"/>
    </row>
    <row r="79" spans="2:160">
      <c r="BT79" s="1"/>
      <c r="CU79" s="46"/>
    </row>
    <row r="80" spans="2:160">
      <c r="B80" s="1" t="s">
        <v>1509</v>
      </c>
      <c r="AZ80" s="1">
        <v>174</v>
      </c>
      <c r="BA80" s="1">
        <v>131</v>
      </c>
      <c r="BB80" s="1">
        <v>126</v>
      </c>
      <c r="BC80" s="1">
        <v>172</v>
      </c>
      <c r="BD80" s="1">
        <v>266</v>
      </c>
      <c r="BE80" s="1">
        <v>252</v>
      </c>
      <c r="BF80" s="1">
        <v>182</v>
      </c>
      <c r="BG80" s="1">
        <v>228</v>
      </c>
      <c r="BH80" s="1">
        <v>340</v>
      </c>
      <c r="BI80" s="1">
        <v>258</v>
      </c>
      <c r="BJ80" s="1">
        <v>280</v>
      </c>
      <c r="BK80" s="1">
        <v>281</v>
      </c>
      <c r="BL80" s="1">
        <v>375</v>
      </c>
      <c r="BM80" s="1">
        <v>348</v>
      </c>
      <c r="BN80" s="1">
        <v>338</v>
      </c>
      <c r="BO80" s="1">
        <v>331</v>
      </c>
      <c r="BP80" s="1">
        <v>479</v>
      </c>
      <c r="BQ80" s="1">
        <v>405</v>
      </c>
      <c r="BR80" s="1">
        <v>421</v>
      </c>
      <c r="BS80" s="1">
        <v>462</v>
      </c>
      <c r="BT80" s="1">
        <v>555</v>
      </c>
      <c r="CP80" s="1">
        <f t="shared" ref="CP80:CP93" si="177">AZ80</f>
        <v>174</v>
      </c>
      <c r="CQ80" s="1">
        <f t="shared" ref="CQ80:CQ93" si="178">BD80</f>
        <v>266</v>
      </c>
      <c r="CR80" s="1">
        <f t="shared" ref="CR80:CR93" si="179">BH80</f>
        <v>340</v>
      </c>
      <c r="CS80" s="1">
        <f t="shared" ref="CS80:CS93" si="180">BL80</f>
        <v>375</v>
      </c>
      <c r="CT80" s="1">
        <f t="shared" ref="CT80:CT93" si="181">BP80</f>
        <v>479</v>
      </c>
      <c r="CU80" s="46">
        <f t="shared" si="174"/>
        <v>555</v>
      </c>
    </row>
    <row r="81" spans="2:160">
      <c r="B81" s="1" t="s">
        <v>1510</v>
      </c>
      <c r="AZ81" s="1">
        <v>1736</v>
      </c>
      <c r="BA81" s="1">
        <v>2048</v>
      </c>
      <c r="BB81" s="1">
        <v>2000</v>
      </c>
      <c r="BC81" s="1">
        <v>2376</v>
      </c>
      <c r="BD81" s="1">
        <v>2443</v>
      </c>
      <c r="BE81" s="1">
        <v>2774</v>
      </c>
      <c r="BF81" s="1">
        <v>2409</v>
      </c>
      <c r="BG81" s="1">
        <v>3068</v>
      </c>
      <c r="BH81" s="1">
        <v>3281</v>
      </c>
      <c r="BI81" s="1">
        <v>3573</v>
      </c>
      <c r="BJ81" s="1">
        <v>3069</v>
      </c>
      <c r="BK81" s="1">
        <v>3675</v>
      </c>
      <c r="BL81" s="1">
        <v>3269</v>
      </c>
      <c r="BM81" s="1">
        <v>3724</v>
      </c>
      <c r="BN81" s="1">
        <v>4485</v>
      </c>
      <c r="BO81" s="1">
        <v>2576</v>
      </c>
      <c r="BP81" s="1">
        <v>5265</v>
      </c>
      <c r="BQ81" s="1">
        <v>4425</v>
      </c>
      <c r="BR81" s="1">
        <v>4996</v>
      </c>
      <c r="BS81" s="1">
        <v>6038</v>
      </c>
      <c r="BT81" s="1">
        <v>4568</v>
      </c>
      <c r="CP81" s="1">
        <f t="shared" si="177"/>
        <v>1736</v>
      </c>
      <c r="CQ81" s="1">
        <f t="shared" si="178"/>
        <v>2443</v>
      </c>
      <c r="CR81" s="1">
        <f t="shared" si="179"/>
        <v>3281</v>
      </c>
      <c r="CS81" s="1">
        <f t="shared" si="180"/>
        <v>3269</v>
      </c>
      <c r="CT81" s="1">
        <f t="shared" si="181"/>
        <v>5265</v>
      </c>
      <c r="CU81" s="46">
        <f t="shared" si="174"/>
        <v>4568</v>
      </c>
    </row>
    <row r="82" spans="2:160">
      <c r="B82" s="1" t="s">
        <v>1499</v>
      </c>
      <c r="AZ82" s="1">
        <v>1850</v>
      </c>
      <c r="BA82" s="1">
        <v>1993</v>
      </c>
      <c r="BB82" s="1">
        <v>2057</v>
      </c>
      <c r="BC82" s="1">
        <v>2221</v>
      </c>
      <c r="BD82" s="1">
        <v>2260</v>
      </c>
      <c r="BE82" s="1">
        <v>2284</v>
      </c>
      <c r="BF82" s="1">
        <v>2309</v>
      </c>
      <c r="BG82" s="1">
        <v>2261</v>
      </c>
      <c r="BH82" s="1">
        <v>2342</v>
      </c>
      <c r="BI82" s="1">
        <v>2591</v>
      </c>
      <c r="BJ82" s="1">
        <v>2739</v>
      </c>
      <c r="BK82" s="1">
        <v>2907</v>
      </c>
      <c r="BL82" s="1">
        <v>3005</v>
      </c>
      <c r="BM82" s="1">
        <v>3164</v>
      </c>
      <c r="BN82" s="1">
        <v>3367</v>
      </c>
      <c r="BO82" s="1">
        <v>3472</v>
      </c>
      <c r="BP82" s="1">
        <v>3524</v>
      </c>
      <c r="BQ82" s="1">
        <v>3518</v>
      </c>
      <c r="BR82" s="1">
        <v>3543</v>
      </c>
      <c r="BS82" s="1">
        <v>3614</v>
      </c>
      <c r="BT82" s="1">
        <v>3625</v>
      </c>
      <c r="CP82" s="1">
        <f t="shared" si="177"/>
        <v>1850</v>
      </c>
      <c r="CQ82" s="1">
        <f t="shared" si="178"/>
        <v>2260</v>
      </c>
      <c r="CR82" s="1">
        <f t="shared" si="179"/>
        <v>2342</v>
      </c>
      <c r="CS82" s="1">
        <f t="shared" si="180"/>
        <v>3005</v>
      </c>
      <c r="CT82" s="1">
        <f t="shared" si="181"/>
        <v>3524</v>
      </c>
      <c r="CU82" s="46">
        <f t="shared" si="174"/>
        <v>3625</v>
      </c>
    </row>
    <row r="83" spans="2:160">
      <c r="B83" s="1" t="s">
        <v>1511</v>
      </c>
      <c r="AZ83" s="1">
        <v>821</v>
      </c>
      <c r="BA83" s="1">
        <v>600</v>
      </c>
      <c r="BB83" s="1">
        <v>794</v>
      </c>
      <c r="BC83" s="1">
        <v>1044</v>
      </c>
      <c r="BD83" s="1">
        <v>1211</v>
      </c>
      <c r="BE83" s="1">
        <v>725</v>
      </c>
      <c r="BF83" s="1">
        <v>877</v>
      </c>
      <c r="BG83" s="1">
        <v>1106</v>
      </c>
      <c r="BH83" s="1">
        <v>1359</v>
      </c>
      <c r="BI83" s="1">
        <v>736</v>
      </c>
      <c r="BJ83" s="1">
        <v>998</v>
      </c>
      <c r="BK83" s="1">
        <v>1215</v>
      </c>
      <c r="BL83" s="1">
        <v>1506</v>
      </c>
      <c r="BM83" s="1">
        <v>816</v>
      </c>
      <c r="BN83" s="1">
        <v>1065</v>
      </c>
      <c r="BO83" s="1">
        <v>1251</v>
      </c>
      <c r="BP83" s="1">
        <v>1538</v>
      </c>
      <c r="BQ83" s="1">
        <v>1226</v>
      </c>
      <c r="BR83" s="1">
        <v>1225</v>
      </c>
      <c r="BS83" s="1">
        <v>1474</v>
      </c>
      <c r="BT83" s="1">
        <v>1863</v>
      </c>
      <c r="CP83" s="1">
        <f t="shared" si="177"/>
        <v>821</v>
      </c>
      <c r="CQ83" s="1">
        <f t="shared" si="178"/>
        <v>1211</v>
      </c>
      <c r="CR83" s="1">
        <f t="shared" si="179"/>
        <v>1359</v>
      </c>
      <c r="CS83" s="1">
        <f t="shared" si="180"/>
        <v>1506</v>
      </c>
      <c r="CT83" s="1">
        <f t="shared" si="181"/>
        <v>1538</v>
      </c>
      <c r="CU83" s="46">
        <f t="shared" si="174"/>
        <v>1863</v>
      </c>
    </row>
    <row r="84" spans="2:160">
      <c r="B84" s="1" t="s">
        <v>203</v>
      </c>
      <c r="AZ84" s="1">
        <v>4176</v>
      </c>
      <c r="BA84" s="1">
        <v>4479</v>
      </c>
      <c r="BB84" s="1">
        <v>4760</v>
      </c>
      <c r="BC84" s="1">
        <v>5114</v>
      </c>
      <c r="BD84" s="1">
        <v>5243</v>
      </c>
      <c r="BE84" s="1">
        <v>5294</v>
      </c>
      <c r="BF84" s="1">
        <v>5436</v>
      </c>
      <c r="BG84" s="1">
        <v>5608</v>
      </c>
      <c r="BH84" s="1">
        <v>6099</v>
      </c>
      <c r="BI84" s="1">
        <v>6553</v>
      </c>
      <c r="BJ84" s="1">
        <v>6783</v>
      </c>
      <c r="BK84" s="1">
        <v>7532</v>
      </c>
      <c r="BL84" s="1">
        <v>8177</v>
      </c>
      <c r="BM84" s="1">
        <v>8034</v>
      </c>
      <c r="BN84" s="1">
        <v>7949</v>
      </c>
      <c r="BO84" s="1">
        <v>8562</v>
      </c>
      <c r="BP84" s="1">
        <v>9075</v>
      </c>
      <c r="BQ84" s="1">
        <v>9249</v>
      </c>
      <c r="BR84" s="1">
        <v>9665</v>
      </c>
      <c r="BS84" s="1">
        <v>10032</v>
      </c>
      <c r="BT84" s="1">
        <v>10369</v>
      </c>
      <c r="CP84" s="1">
        <f t="shared" si="177"/>
        <v>4176</v>
      </c>
      <c r="CQ84" s="1">
        <f t="shared" si="178"/>
        <v>5243</v>
      </c>
      <c r="CR84" s="1">
        <f t="shared" si="179"/>
        <v>6099</v>
      </c>
      <c r="CS84" s="1">
        <f t="shared" si="180"/>
        <v>8177</v>
      </c>
      <c r="CT84" s="1">
        <f t="shared" si="181"/>
        <v>9075</v>
      </c>
      <c r="CU84" s="46">
        <f t="shared" si="174"/>
        <v>10369</v>
      </c>
    </row>
    <row r="85" spans="2:160">
      <c r="B85" s="1" t="s">
        <v>1512</v>
      </c>
      <c r="AZ85" s="1">
        <v>1840</v>
      </c>
      <c r="BA85" s="1">
        <v>2230</v>
      </c>
      <c r="BB85" s="1">
        <v>2088</v>
      </c>
      <c r="BC85" s="1">
        <v>2196</v>
      </c>
      <c r="BD85" s="1">
        <v>2334</v>
      </c>
      <c r="BE85" s="1">
        <v>2965</v>
      </c>
      <c r="BF85" s="1">
        <v>3172</v>
      </c>
      <c r="BG85" s="1">
        <v>3303</v>
      </c>
      <c r="BH85" s="1">
        <v>3726</v>
      </c>
      <c r="BI85" s="1">
        <v>3940</v>
      </c>
      <c r="BJ85" s="1">
        <v>3626</v>
      </c>
      <c r="BK85" s="1">
        <v>4075</v>
      </c>
      <c r="BL85" s="1">
        <v>5015</v>
      </c>
      <c r="BM85" s="1">
        <v>5077</v>
      </c>
      <c r="BN85" s="1">
        <v>4386</v>
      </c>
      <c r="BO85" s="1">
        <v>4732</v>
      </c>
      <c r="BP85" s="1">
        <v>4909</v>
      </c>
      <c r="BQ85" s="1">
        <v>4690</v>
      </c>
      <c r="BR85" s="1">
        <v>4507</v>
      </c>
      <c r="BS85" s="1">
        <v>4907</v>
      </c>
      <c r="BT85" s="1">
        <v>5466</v>
      </c>
      <c r="CP85" s="1">
        <f t="shared" si="177"/>
        <v>1840</v>
      </c>
      <c r="CQ85" s="1">
        <f t="shared" si="178"/>
        <v>2334</v>
      </c>
      <c r="CR85" s="1">
        <f t="shared" si="179"/>
        <v>3726</v>
      </c>
      <c r="CS85" s="1">
        <f t="shared" si="180"/>
        <v>5015</v>
      </c>
      <c r="CT85" s="1">
        <f t="shared" si="181"/>
        <v>4909</v>
      </c>
      <c r="CU85" s="46">
        <f t="shared" si="174"/>
        <v>5466</v>
      </c>
    </row>
    <row r="86" spans="2:160">
      <c r="B86" s="1" t="s">
        <v>1513</v>
      </c>
      <c r="AZ86" s="1">
        <v>2999</v>
      </c>
      <c r="BA86" s="1">
        <v>0</v>
      </c>
      <c r="BB86" s="1">
        <v>0</v>
      </c>
      <c r="BC86" s="1">
        <v>0</v>
      </c>
      <c r="BD86" s="1">
        <v>999</v>
      </c>
      <c r="BE86" s="1">
        <v>3247</v>
      </c>
      <c r="BF86" s="1">
        <v>3548</v>
      </c>
      <c r="BG86" s="1">
        <v>3249</v>
      </c>
      <c r="BH86" s="1">
        <v>2250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3929</v>
      </c>
      <c r="BR86" s="1">
        <v>3948</v>
      </c>
      <c r="BS86" s="1">
        <v>5548</v>
      </c>
      <c r="BT86" s="1">
        <v>5569</v>
      </c>
      <c r="CP86" s="1">
        <f t="shared" si="177"/>
        <v>2999</v>
      </c>
      <c r="CQ86" s="1">
        <f t="shared" si="178"/>
        <v>999</v>
      </c>
      <c r="CR86" s="1">
        <f t="shared" si="179"/>
        <v>2250</v>
      </c>
      <c r="CS86" s="1">
        <f t="shared" si="180"/>
        <v>0</v>
      </c>
      <c r="CT86" s="1">
        <f t="shared" si="181"/>
        <v>0</v>
      </c>
      <c r="CU86" s="46">
        <f t="shared" si="174"/>
        <v>5569</v>
      </c>
    </row>
    <row r="87" spans="2:160">
      <c r="B87" s="1" t="s">
        <v>1514</v>
      </c>
      <c r="AZ87" s="1">
        <v>914</v>
      </c>
      <c r="BA87" s="1">
        <v>909</v>
      </c>
      <c r="BB87" s="1">
        <v>886</v>
      </c>
      <c r="BC87" s="1">
        <v>900</v>
      </c>
      <c r="BD87" s="1">
        <v>983</v>
      </c>
      <c r="BE87" s="1">
        <v>1027</v>
      </c>
      <c r="BF87" s="1">
        <v>769</v>
      </c>
      <c r="BG87" s="1">
        <v>1486</v>
      </c>
      <c r="BH87" s="1">
        <v>1456</v>
      </c>
      <c r="BI87" s="1">
        <v>1702</v>
      </c>
      <c r="BJ87" s="1">
        <v>1602</v>
      </c>
      <c r="BK87" s="1">
        <v>1545</v>
      </c>
      <c r="BL87" s="1">
        <v>1751</v>
      </c>
      <c r="BM87" s="1">
        <v>1471</v>
      </c>
      <c r="BN87" s="1">
        <v>1853</v>
      </c>
      <c r="BO87" s="1">
        <v>1688</v>
      </c>
      <c r="BP87" s="1">
        <v>1727</v>
      </c>
      <c r="BQ87" s="1">
        <v>1649</v>
      </c>
      <c r="BR87" s="1">
        <v>2076</v>
      </c>
      <c r="BS87" s="1">
        <v>2352</v>
      </c>
      <c r="BT87" s="1">
        <v>3033</v>
      </c>
      <c r="CP87" s="1">
        <f t="shared" si="177"/>
        <v>914</v>
      </c>
      <c r="CQ87" s="1">
        <f t="shared" si="178"/>
        <v>983</v>
      </c>
      <c r="CR87" s="1">
        <f t="shared" si="179"/>
        <v>1456</v>
      </c>
      <c r="CS87" s="1">
        <f t="shared" si="180"/>
        <v>1751</v>
      </c>
      <c r="CT87" s="1">
        <f t="shared" si="181"/>
        <v>1727</v>
      </c>
      <c r="CU87" s="46">
        <f t="shared" si="174"/>
        <v>3033</v>
      </c>
    </row>
    <row r="88" spans="2:160">
      <c r="B88" s="1" t="s">
        <v>1515</v>
      </c>
      <c r="AZ88" s="1">
        <v>21071</v>
      </c>
      <c r="BA88" s="1">
        <v>21055</v>
      </c>
      <c r="BB88" s="1">
        <v>20974</v>
      </c>
      <c r="BC88" s="1">
        <v>20996</v>
      </c>
      <c r="BD88" s="1">
        <v>19978</v>
      </c>
      <c r="BE88" s="1">
        <v>17673</v>
      </c>
      <c r="BF88" s="1">
        <v>17479</v>
      </c>
      <c r="BG88" s="1">
        <v>20546</v>
      </c>
      <c r="BH88" s="1">
        <v>20200</v>
      </c>
      <c r="BI88" s="1">
        <v>20487</v>
      </c>
      <c r="BJ88" s="1">
        <v>20606</v>
      </c>
      <c r="BK88" s="1">
        <v>20560</v>
      </c>
      <c r="BL88" s="1">
        <v>20463</v>
      </c>
      <c r="BM88" s="1">
        <v>20703</v>
      </c>
      <c r="BN88" s="1">
        <v>20603</v>
      </c>
      <c r="BO88" s="1">
        <v>20602</v>
      </c>
      <c r="BP88" s="1">
        <v>20836</v>
      </c>
      <c r="BQ88" s="1">
        <v>16680</v>
      </c>
      <c r="BR88" s="1">
        <v>16814</v>
      </c>
      <c r="BS88" s="1">
        <v>19590</v>
      </c>
      <c r="BT88" s="1">
        <v>19602</v>
      </c>
      <c r="CP88" s="1">
        <f t="shared" si="177"/>
        <v>21071</v>
      </c>
      <c r="CQ88" s="1">
        <f t="shared" si="178"/>
        <v>19978</v>
      </c>
      <c r="CR88" s="1">
        <f t="shared" si="179"/>
        <v>20200</v>
      </c>
      <c r="CS88" s="1">
        <f t="shared" si="180"/>
        <v>20463</v>
      </c>
      <c r="CT88" s="1">
        <f t="shared" si="181"/>
        <v>20836</v>
      </c>
      <c r="CU88" s="46">
        <f t="shared" si="174"/>
        <v>19602</v>
      </c>
    </row>
    <row r="89" spans="2:160">
      <c r="B89" s="1" t="s">
        <v>1516</v>
      </c>
      <c r="AZ89" s="1">
        <v>5237</v>
      </c>
      <c r="BA89" s="1">
        <v>5343</v>
      </c>
      <c r="BB89" s="1">
        <v>5212</v>
      </c>
      <c r="BC89" s="1">
        <v>6240</v>
      </c>
      <c r="BD89" s="1">
        <v>6128</v>
      </c>
      <c r="BE89" s="1">
        <v>6078</v>
      </c>
      <c r="BF89" s="1">
        <v>6081</v>
      </c>
      <c r="BG89" s="1">
        <v>5685</v>
      </c>
      <c r="BH89" s="1">
        <v>5332</v>
      </c>
      <c r="BI89" s="1">
        <v>5443</v>
      </c>
      <c r="BJ89" s="1">
        <v>5462</v>
      </c>
      <c r="BK89" s="1">
        <v>5380</v>
      </c>
      <c r="BL89" s="1">
        <v>5114</v>
      </c>
      <c r="BM89" s="1">
        <v>5275</v>
      </c>
      <c r="BN89" s="1">
        <v>5145</v>
      </c>
      <c r="BO89" s="1">
        <v>5119</v>
      </c>
      <c r="BP89" s="1">
        <v>5301</v>
      </c>
      <c r="BQ89" s="1">
        <v>5192</v>
      </c>
      <c r="BR89" s="1">
        <v>5160</v>
      </c>
      <c r="BS89" s="1">
        <v>5755</v>
      </c>
      <c r="BT89" s="1">
        <v>5549</v>
      </c>
      <c r="CP89" s="1">
        <f t="shared" si="177"/>
        <v>5237</v>
      </c>
      <c r="CQ89" s="1">
        <f t="shared" si="178"/>
        <v>6128</v>
      </c>
      <c r="CR89" s="1">
        <f t="shared" si="179"/>
        <v>5332</v>
      </c>
      <c r="CS89" s="1">
        <f t="shared" si="180"/>
        <v>5114</v>
      </c>
      <c r="CT89" s="1">
        <f t="shared" si="181"/>
        <v>5301</v>
      </c>
      <c r="CU89" s="46">
        <f t="shared" si="174"/>
        <v>5549</v>
      </c>
    </row>
    <row r="90" spans="2:160">
      <c r="B90" s="1" t="s">
        <v>1517</v>
      </c>
      <c r="AZ90" s="1">
        <v>3891</v>
      </c>
      <c r="BA90" s="1">
        <v>3959</v>
      </c>
      <c r="BB90" s="1">
        <v>3602</v>
      </c>
      <c r="BC90" s="1">
        <v>3622</v>
      </c>
      <c r="BD90" s="1">
        <v>3462</v>
      </c>
      <c r="BE90" s="1">
        <v>3416</v>
      </c>
      <c r="BF90" s="1">
        <v>3557</v>
      </c>
      <c r="BG90" s="1">
        <v>3387</v>
      </c>
      <c r="BH90" s="1">
        <v>3535</v>
      </c>
      <c r="BI90" s="1">
        <v>3180</v>
      </c>
      <c r="BJ90" s="1">
        <v>3025</v>
      </c>
      <c r="BK90" s="1">
        <v>3083</v>
      </c>
      <c r="BL90" s="1">
        <v>3091</v>
      </c>
      <c r="BM90" s="1">
        <v>3064</v>
      </c>
      <c r="BN90" s="1">
        <v>2723</v>
      </c>
      <c r="BO90" s="1">
        <v>2978</v>
      </c>
      <c r="BP90" s="1">
        <v>2720</v>
      </c>
      <c r="BQ90" s="1">
        <v>2629</v>
      </c>
      <c r="BR90" s="1">
        <v>2468</v>
      </c>
      <c r="BS90" s="1">
        <v>1588</v>
      </c>
      <c r="BT90" s="1">
        <v>1519</v>
      </c>
      <c r="CP90" s="1">
        <f t="shared" si="177"/>
        <v>3891</v>
      </c>
      <c r="CQ90" s="1">
        <f t="shared" si="178"/>
        <v>3462</v>
      </c>
      <c r="CR90" s="1">
        <f t="shared" si="179"/>
        <v>3535</v>
      </c>
      <c r="CS90" s="1">
        <f t="shared" si="180"/>
        <v>3091</v>
      </c>
      <c r="CT90" s="1">
        <f t="shared" si="181"/>
        <v>2720</v>
      </c>
      <c r="CU90" s="46">
        <f t="shared" si="174"/>
        <v>1519</v>
      </c>
    </row>
    <row r="91" spans="2:160" s="2" customFormat="1" ht="15">
      <c r="B91" s="2" t="s">
        <v>1518</v>
      </c>
      <c r="AZ91" s="2">
        <f t="shared" ref="AZ91:BR91" si="182">SUM(AZ80:AZ90)</f>
        <v>44709</v>
      </c>
      <c r="BA91" s="2">
        <f t="shared" si="182"/>
        <v>42747</v>
      </c>
      <c r="BB91" s="2">
        <f t="shared" si="182"/>
        <v>42499</v>
      </c>
      <c r="BC91" s="2">
        <f t="shared" si="182"/>
        <v>44881</v>
      </c>
      <c r="BD91" s="2">
        <f t="shared" si="182"/>
        <v>45307</v>
      </c>
      <c r="BE91" s="2">
        <f t="shared" si="182"/>
        <v>45735</v>
      </c>
      <c r="BF91" s="2">
        <f t="shared" si="182"/>
        <v>45819</v>
      </c>
      <c r="BG91" s="2">
        <f t="shared" si="182"/>
        <v>49927</v>
      </c>
      <c r="BH91" s="2">
        <f t="shared" si="182"/>
        <v>49920</v>
      </c>
      <c r="BI91" s="2">
        <f t="shared" si="182"/>
        <v>48463</v>
      </c>
      <c r="BJ91" s="2">
        <f t="shared" si="182"/>
        <v>48190</v>
      </c>
      <c r="BK91" s="2">
        <f t="shared" si="182"/>
        <v>50253</v>
      </c>
      <c r="BL91" s="2">
        <f>SUM(BL80:BL90)</f>
        <v>51766</v>
      </c>
      <c r="BM91" s="2">
        <f t="shared" si="182"/>
        <v>51676</v>
      </c>
      <c r="BN91" s="2">
        <f t="shared" si="182"/>
        <v>51914</v>
      </c>
      <c r="BO91" s="2">
        <f t="shared" si="182"/>
        <v>51311</v>
      </c>
      <c r="BP91" s="2">
        <f t="shared" si="182"/>
        <v>55374</v>
      </c>
      <c r="BQ91" s="2">
        <f t="shared" si="182"/>
        <v>53592</v>
      </c>
      <c r="BR91" s="2">
        <f t="shared" si="182"/>
        <v>54823</v>
      </c>
      <c r="BS91" s="2">
        <f t="shared" ref="BS91" si="183">SUM(BS80:BS90)</f>
        <v>61360</v>
      </c>
      <c r="BT91" s="2">
        <f t="shared" ref="BT91" si="184">SUM(BT80:BT90)</f>
        <v>61718</v>
      </c>
      <c r="BU91" s="34"/>
      <c r="BV91" s="34"/>
      <c r="BW91" s="34"/>
      <c r="BX91" s="34"/>
      <c r="BY91" s="34"/>
      <c r="BZ91" s="34"/>
      <c r="CP91" s="2">
        <f t="shared" si="177"/>
        <v>44709</v>
      </c>
      <c r="CQ91" s="2">
        <f t="shared" si="178"/>
        <v>45307</v>
      </c>
      <c r="CR91" s="2">
        <f t="shared" si="179"/>
        <v>49920</v>
      </c>
      <c r="CS91" s="2">
        <f t="shared" si="180"/>
        <v>51766</v>
      </c>
      <c r="CT91" s="2">
        <f t="shared" si="181"/>
        <v>55374</v>
      </c>
      <c r="CU91" s="47">
        <f t="shared" si="174"/>
        <v>61718</v>
      </c>
      <c r="CV91" s="34"/>
      <c r="CW91" s="34"/>
      <c r="CX91" s="34"/>
      <c r="CY91" s="34"/>
      <c r="CZ91" s="34"/>
      <c r="DA91" s="34"/>
      <c r="DB91" s="34"/>
      <c r="DC91" s="34"/>
      <c r="DD91" s="34"/>
      <c r="DE91" s="34"/>
      <c r="DF91" s="34"/>
      <c r="DG91" s="34"/>
      <c r="DH91" s="34"/>
      <c r="DI91" s="34"/>
      <c r="DJ91" s="34"/>
      <c r="DK91" s="34"/>
      <c r="DL91" s="34"/>
      <c r="DM91" s="34"/>
      <c r="DN91" s="34"/>
      <c r="DO91" s="34"/>
      <c r="DP91" s="34"/>
      <c r="DQ91" s="34"/>
      <c r="DR91" s="34"/>
      <c r="DS91" s="34"/>
      <c r="DT91" s="34"/>
      <c r="DU91" s="34"/>
      <c r="DV91" s="34"/>
      <c r="DW91" s="34"/>
      <c r="DX91" s="34"/>
      <c r="DY91" s="34"/>
      <c r="DZ91" s="34"/>
      <c r="EA91" s="34"/>
      <c r="EB91" s="34"/>
      <c r="EC91" s="34"/>
      <c r="ED91" s="34"/>
      <c r="EE91" s="34"/>
      <c r="EF91" s="34"/>
      <c r="EG91" s="34"/>
      <c r="EH91" s="34"/>
      <c r="EI91" s="34"/>
      <c r="EJ91" s="34"/>
      <c r="EK91" s="34"/>
      <c r="EL91" s="34"/>
      <c r="EM91" s="34"/>
      <c r="EN91" s="34"/>
      <c r="EO91" s="34"/>
      <c r="EP91" s="34"/>
      <c r="EQ91" s="34"/>
      <c r="ER91" s="34"/>
      <c r="ES91" s="34"/>
      <c r="ET91" s="34"/>
      <c r="EU91" s="34"/>
      <c r="EV91" s="34"/>
      <c r="EW91" s="34"/>
      <c r="EX91" s="34"/>
      <c r="EY91" s="34"/>
      <c r="EZ91" s="34"/>
      <c r="FA91" s="34"/>
      <c r="FB91" s="34"/>
      <c r="FC91" s="34"/>
      <c r="FD91" s="34"/>
    </row>
    <row r="92" spans="2:160">
      <c r="B92" s="1" t="s">
        <v>1520</v>
      </c>
      <c r="AZ92" s="1">
        <v>36210</v>
      </c>
      <c r="BA92" s="1">
        <v>37679</v>
      </c>
      <c r="BB92" s="1">
        <v>37696</v>
      </c>
      <c r="BC92" s="1">
        <v>37790</v>
      </c>
      <c r="BD92" s="1">
        <v>37589</v>
      </c>
      <c r="BE92" s="1">
        <v>36194</v>
      </c>
      <c r="BF92" s="1">
        <v>35989</v>
      </c>
      <c r="BG92" s="1">
        <v>35783</v>
      </c>
      <c r="BH92" s="1">
        <v>35581</v>
      </c>
      <c r="BI92" s="1">
        <v>36924</v>
      </c>
      <c r="BJ92" s="1">
        <v>38565</v>
      </c>
      <c r="BK92" s="1">
        <v>38981</v>
      </c>
      <c r="BL92" s="1">
        <v>38733</v>
      </c>
      <c r="BM92" s="1">
        <v>39733</v>
      </c>
      <c r="BN92" s="1">
        <v>40485</v>
      </c>
      <c r="BO92" s="1">
        <v>39729</v>
      </c>
      <c r="BP92" s="1">
        <v>39137</v>
      </c>
      <c r="BQ92" s="1">
        <v>38296</v>
      </c>
      <c r="BR92" s="1">
        <v>38030</v>
      </c>
      <c r="BS92" s="1">
        <v>38664</v>
      </c>
      <c r="BT92" s="1">
        <v>37909</v>
      </c>
      <c r="CP92" s="1">
        <f t="shared" si="177"/>
        <v>36210</v>
      </c>
      <c r="CQ92" s="1">
        <f t="shared" si="178"/>
        <v>37589</v>
      </c>
      <c r="CR92" s="1">
        <f t="shared" si="179"/>
        <v>35581</v>
      </c>
      <c r="CS92" s="1">
        <f t="shared" si="180"/>
        <v>38733</v>
      </c>
      <c r="CT92" s="1">
        <f t="shared" si="181"/>
        <v>39137</v>
      </c>
      <c r="CU92" s="46">
        <f t="shared" si="174"/>
        <v>37909</v>
      </c>
    </row>
    <row r="93" spans="2:160" s="2" customFormat="1" ht="15">
      <c r="B93" s="2" t="s">
        <v>1519</v>
      </c>
      <c r="AZ93" s="2">
        <f t="shared" ref="AZ93:BQ93" si="185">AZ91+AZ92</f>
        <v>80919</v>
      </c>
      <c r="BA93" s="2">
        <f t="shared" si="185"/>
        <v>80426</v>
      </c>
      <c r="BB93" s="2">
        <f t="shared" si="185"/>
        <v>80195</v>
      </c>
      <c r="BC93" s="2">
        <f t="shared" si="185"/>
        <v>82671</v>
      </c>
      <c r="BD93" s="2">
        <f t="shared" si="185"/>
        <v>82896</v>
      </c>
      <c r="BE93" s="2">
        <f t="shared" si="185"/>
        <v>81929</v>
      </c>
      <c r="BF93" s="2">
        <f t="shared" si="185"/>
        <v>81808</v>
      </c>
      <c r="BG93" s="2">
        <f t="shared" si="185"/>
        <v>85710</v>
      </c>
      <c r="BH93" s="2">
        <f t="shared" si="185"/>
        <v>85501</v>
      </c>
      <c r="BI93" s="2">
        <f t="shared" si="185"/>
        <v>85387</v>
      </c>
      <c r="BJ93" s="2">
        <f t="shared" si="185"/>
        <v>86755</v>
      </c>
      <c r="BK93" s="2">
        <f t="shared" si="185"/>
        <v>89234</v>
      </c>
      <c r="BL93" s="2">
        <f t="shared" si="185"/>
        <v>90499</v>
      </c>
      <c r="BM93" s="2">
        <f t="shared" si="185"/>
        <v>91409</v>
      </c>
      <c r="BN93" s="2">
        <f t="shared" si="185"/>
        <v>92399</v>
      </c>
      <c r="BO93" s="2">
        <f t="shared" si="185"/>
        <v>91040</v>
      </c>
      <c r="BP93" s="2">
        <f t="shared" si="185"/>
        <v>94511</v>
      </c>
      <c r="BQ93" s="2">
        <f t="shared" si="185"/>
        <v>91888</v>
      </c>
      <c r="BR93" s="2">
        <f>BR91+BR92</f>
        <v>92853</v>
      </c>
      <c r="BS93" s="2">
        <f>BS91+BS92</f>
        <v>100024</v>
      </c>
      <c r="BT93" s="2">
        <f t="shared" ref="BT93" si="186">BT91+BT92</f>
        <v>99627</v>
      </c>
      <c r="BU93" s="34"/>
      <c r="BV93" s="34"/>
      <c r="BW93" s="34"/>
      <c r="BX93" s="34"/>
      <c r="BY93" s="34"/>
      <c r="BZ93" s="34"/>
      <c r="CP93" s="2">
        <f t="shared" si="177"/>
        <v>80919</v>
      </c>
      <c r="CQ93" s="2">
        <f t="shared" si="178"/>
        <v>82896</v>
      </c>
      <c r="CR93" s="2">
        <f t="shared" si="179"/>
        <v>85501</v>
      </c>
      <c r="CS93" s="2">
        <f t="shared" si="180"/>
        <v>90499</v>
      </c>
      <c r="CT93" s="2">
        <f t="shared" si="181"/>
        <v>94511</v>
      </c>
      <c r="CU93" s="47">
        <f t="shared" si="174"/>
        <v>99627</v>
      </c>
      <c r="CV93" s="34"/>
      <c r="CW93" s="34"/>
      <c r="CX93" s="34"/>
      <c r="CY93" s="34"/>
      <c r="CZ93" s="34"/>
      <c r="DA93" s="34"/>
      <c r="DB93" s="34"/>
      <c r="DC93" s="34"/>
      <c r="DD93" s="34"/>
      <c r="DE93" s="34"/>
      <c r="DF93" s="34"/>
      <c r="DG93" s="34"/>
      <c r="DH93" s="34"/>
      <c r="DI93" s="34"/>
      <c r="DJ93" s="34"/>
      <c r="DK93" s="34"/>
      <c r="DL93" s="34"/>
      <c r="DM93" s="34"/>
      <c r="DN93" s="34"/>
      <c r="DO93" s="34"/>
      <c r="DP93" s="34"/>
      <c r="DQ93" s="34"/>
      <c r="DR93" s="34"/>
      <c r="DS93" s="34"/>
      <c r="DT93" s="34"/>
      <c r="DU93" s="34"/>
      <c r="DV93" s="34"/>
      <c r="DW93" s="34"/>
      <c r="DX93" s="34"/>
      <c r="DY93" s="34"/>
      <c r="DZ93" s="34"/>
      <c r="EA93" s="34"/>
      <c r="EB93" s="34"/>
      <c r="EC93" s="34"/>
      <c r="ED93" s="34"/>
      <c r="EE93" s="34"/>
      <c r="EF93" s="34"/>
      <c r="EG93" s="34"/>
      <c r="EH93" s="34"/>
      <c r="EI93" s="34"/>
      <c r="EJ93" s="34"/>
      <c r="EK93" s="34"/>
      <c r="EL93" s="34"/>
      <c r="EM93" s="34"/>
      <c r="EN93" s="34"/>
      <c r="EO93" s="34"/>
      <c r="EP93" s="34"/>
      <c r="EQ93" s="34"/>
      <c r="ER93" s="34"/>
      <c r="ES93" s="34"/>
      <c r="ET93" s="34"/>
      <c r="EU93" s="34"/>
      <c r="EV93" s="34"/>
      <c r="EW93" s="34"/>
      <c r="EX93" s="34"/>
      <c r="EY93" s="34"/>
      <c r="EZ93" s="34"/>
      <c r="FA93" s="34"/>
      <c r="FB93" s="34"/>
      <c r="FC93" s="34"/>
      <c r="FD93" s="34"/>
    </row>
    <row r="94" spans="2:160">
      <c r="BT94" s="1"/>
    </row>
    <row r="95" spans="2:160">
      <c r="B95" s="1" t="s">
        <v>131</v>
      </c>
      <c r="AZ95" s="40">
        <f t="shared" ref="AZ95:BQ95" si="187">SUM(AZ64:AZ71)/SUM(AZ80:AZ87)</f>
        <v>1.9052377670572018</v>
      </c>
      <c r="BA95" s="40">
        <f t="shared" si="187"/>
        <v>2.1210653753026634</v>
      </c>
      <c r="BB95" s="40">
        <f t="shared" si="187"/>
        <v>2.1163559122020299</v>
      </c>
      <c r="BC95" s="40">
        <f t="shared" si="187"/>
        <v>1.9997147543321685</v>
      </c>
      <c r="BD95" s="40">
        <f t="shared" si="187"/>
        <v>1.754050447931889</v>
      </c>
      <c r="BE95" s="40">
        <f t="shared" si="187"/>
        <v>1.395196036191297</v>
      </c>
      <c r="BF95" s="40">
        <f t="shared" si="187"/>
        <v>1.2881509998930596</v>
      </c>
      <c r="BG95" s="40">
        <f t="shared" si="187"/>
        <v>1.4265104141021223</v>
      </c>
      <c r="BH95" s="40">
        <f t="shared" si="187"/>
        <v>1.4484726418261162</v>
      </c>
      <c r="BI95" s="40">
        <f t="shared" si="187"/>
        <v>1.4395184209166538</v>
      </c>
      <c r="BJ95" s="40">
        <f t="shared" si="187"/>
        <v>1.5006021888254699</v>
      </c>
      <c r="BK95" s="40">
        <f t="shared" si="187"/>
        <v>1.4917569477154968</v>
      </c>
      <c r="BL95" s="40">
        <f t="shared" si="187"/>
        <v>1.451727422287644</v>
      </c>
      <c r="BM95" s="40">
        <f t="shared" si="187"/>
        <v>1.446142970751966</v>
      </c>
      <c r="BN95" s="40">
        <f t="shared" si="187"/>
        <v>1.3980719191229791</v>
      </c>
      <c r="BO95" s="40">
        <f t="shared" si="187"/>
        <v>1.372678223951884</v>
      </c>
      <c r="BP95" s="40">
        <f t="shared" si="187"/>
        <v>1.2834408115548517</v>
      </c>
      <c r="BQ95" s="40">
        <f t="shared" si="187"/>
        <v>1.1213777456945446</v>
      </c>
      <c r="BR95" s="40">
        <f>SUM(BR64:BR71)/SUM(BR80:BR87)</f>
        <v>1.0840327836476746</v>
      </c>
      <c r="BS95" s="40">
        <f>SUM(BS64:BS71)/SUM(BS80:BS87)</f>
        <v>1.1153455136956458</v>
      </c>
      <c r="BT95" s="40">
        <f t="shared" ref="BT95" si="188">SUM(BT64:BT71)/SUM(BT80:BT87)</f>
        <v>1.0775507874914403</v>
      </c>
      <c r="CP95" s="40">
        <f t="shared" ref="CP95:CT95" si="189">SUM(CP64:CP71)/SUM(CP80:CP87)</f>
        <v>1.9052377670572018</v>
      </c>
      <c r="CQ95" s="40">
        <f t="shared" si="189"/>
        <v>1.754050447931889</v>
      </c>
      <c r="CR95" s="40">
        <f t="shared" si="189"/>
        <v>1.4484726418261162</v>
      </c>
      <c r="CS95" s="40">
        <f t="shared" si="189"/>
        <v>1.451727422287644</v>
      </c>
      <c r="CT95" s="40">
        <f t="shared" si="189"/>
        <v>1.2834408115548517</v>
      </c>
      <c r="CU95" s="40">
        <f t="shared" ref="CU95" si="190">SUM(CU64:CU71)/SUM(CU80:CU87)</f>
        <v>1.0775507874914403</v>
      </c>
    </row>
    <row r="96" spans="2:160">
      <c r="B96" s="1" t="s">
        <v>132</v>
      </c>
      <c r="AZ96" s="40">
        <f t="shared" ref="AZ96:BQ96" si="191">SUM(AZ64:AZ66)/SUM(AZ80:AZ87)</f>
        <v>1.4432804962095107</v>
      </c>
      <c r="BA96" s="40">
        <f t="shared" si="191"/>
        <v>1.5282485875706215</v>
      </c>
      <c r="BB96" s="40">
        <f t="shared" si="191"/>
        <v>1.5298560302100543</v>
      </c>
      <c r="BC96" s="40">
        <f t="shared" si="191"/>
        <v>1.4357840690294517</v>
      </c>
      <c r="BD96" s="40">
        <f t="shared" si="191"/>
        <v>1.2329881186860665</v>
      </c>
      <c r="BE96" s="40">
        <f t="shared" si="191"/>
        <v>0.91905428694528224</v>
      </c>
      <c r="BF96" s="40">
        <f t="shared" si="191"/>
        <v>0.77055929847075177</v>
      </c>
      <c r="BG96" s="40">
        <f t="shared" si="191"/>
        <v>0.92761829730661283</v>
      </c>
      <c r="BH96" s="40">
        <f t="shared" si="191"/>
        <v>0.95770392749244715</v>
      </c>
      <c r="BI96" s="40">
        <f t="shared" si="191"/>
        <v>0.9209941611119723</v>
      </c>
      <c r="BJ96" s="40">
        <f t="shared" si="191"/>
        <v>0.95355291407027287</v>
      </c>
      <c r="BK96" s="40">
        <f t="shared" si="191"/>
        <v>0.96010362694300522</v>
      </c>
      <c r="BL96" s="40">
        <f t="shared" si="191"/>
        <v>0.94778768724564899</v>
      </c>
      <c r="BM96" s="40">
        <f t="shared" si="191"/>
        <v>0.89299284262613765</v>
      </c>
      <c r="BN96" s="40">
        <f t="shared" si="191"/>
        <v>0.82271893528985196</v>
      </c>
      <c r="BO96" s="40">
        <f t="shared" si="191"/>
        <v>0.80665133557403146</v>
      </c>
      <c r="BP96" s="40">
        <f t="shared" si="191"/>
        <v>0.68876569747709016</v>
      </c>
      <c r="BQ96" s="40">
        <f t="shared" si="191"/>
        <v>0.59970437592382519</v>
      </c>
      <c r="BR96" s="40">
        <f>SUM(BR64:BR66)/SUM(BR80:BR87)</f>
        <v>0.54892860669497379</v>
      </c>
      <c r="BS96" s="40">
        <f>SUM(BS64:BS66)/SUM(BS80:BS87)</f>
        <v>0.63543149272373423</v>
      </c>
      <c r="BT96" s="40">
        <f t="shared" ref="BT96" si="192">SUM(BT64:BT66)/SUM(BT80:BT87)</f>
        <v>0.62733964848208168</v>
      </c>
      <c r="CP96" s="40">
        <f t="shared" ref="CP96:CT96" si="193">SUM(CP64:CP66)/SUM(CP80:CP87)</f>
        <v>1.4432804962095107</v>
      </c>
      <c r="CQ96" s="40">
        <f t="shared" si="193"/>
        <v>1.2329881186860665</v>
      </c>
      <c r="CR96" s="40">
        <f t="shared" si="193"/>
        <v>0.95770392749244715</v>
      </c>
      <c r="CS96" s="40">
        <f t="shared" si="193"/>
        <v>0.94778768724564899</v>
      </c>
      <c r="CT96" s="40">
        <f t="shared" si="193"/>
        <v>0.68876569747709016</v>
      </c>
      <c r="CU96" s="40">
        <f t="shared" ref="CU96" si="194">SUM(CU64:CU66)/SUM(CU80:CU87)</f>
        <v>0.62733964848208168</v>
      </c>
    </row>
    <row r="97" spans="2:160">
      <c r="B97" s="1" t="s">
        <v>133</v>
      </c>
      <c r="AZ97" s="40">
        <f t="shared" ref="AZ97:BQ97" si="195">AZ35/AZ78</f>
        <v>6.3038346988964267E-2</v>
      </c>
      <c r="BA97" s="40">
        <f t="shared" si="195"/>
        <v>7.0710964116081867E-2</v>
      </c>
      <c r="BB97" s="40">
        <f t="shared" si="195"/>
        <v>7.1438368975621919E-2</v>
      </c>
      <c r="BC97" s="40">
        <f t="shared" si="195"/>
        <v>7.4149338945942347E-2</v>
      </c>
      <c r="BD97" s="40">
        <f t="shared" si="195"/>
        <v>7.9123238756996714E-2</v>
      </c>
      <c r="BE97" s="40">
        <f t="shared" si="195"/>
        <v>8.6159967776977625E-2</v>
      </c>
      <c r="BF97" s="40">
        <f t="shared" si="195"/>
        <v>8.7876491296694698E-2</v>
      </c>
      <c r="BG97" s="40">
        <f t="shared" si="195"/>
        <v>8.5177379697927644E-2</v>
      </c>
      <c r="BH97" s="40">
        <f t="shared" si="195"/>
        <v>9.1074958187623539E-2</v>
      </c>
      <c r="BI97" s="40">
        <f t="shared" si="195"/>
        <v>9.29415484792767E-2</v>
      </c>
      <c r="BJ97" s="40">
        <f t="shared" si="195"/>
        <v>9.2040804564578416E-2</v>
      </c>
      <c r="BK97" s="40">
        <f t="shared" si="195"/>
        <v>9.1030324764103374E-2</v>
      </c>
      <c r="BL97" s="40">
        <f t="shared" si="195"/>
        <v>9.5128122962684664E-2</v>
      </c>
      <c r="BM97" s="40">
        <f t="shared" si="195"/>
        <v>9.4454594186568056E-2</v>
      </c>
      <c r="BN97" s="40">
        <f t="shared" si="195"/>
        <v>9.4968560265803748E-2</v>
      </c>
      <c r="BO97" s="40">
        <f t="shared" si="195"/>
        <v>9.7759226713532515E-2</v>
      </c>
      <c r="BP97" s="40">
        <f t="shared" si="195"/>
        <v>0.10175535122895747</v>
      </c>
      <c r="BQ97" s="40">
        <f t="shared" si="195"/>
        <v>0.10349555981194497</v>
      </c>
      <c r="BR97" s="40">
        <f>BR35/BR78</f>
        <v>0.10332460986720945</v>
      </c>
      <c r="BS97" s="40">
        <f>BS35/BS78</f>
        <v>0.10169559305766616</v>
      </c>
      <c r="BT97" s="40">
        <f t="shared" ref="BT97" si="196">BT35/BT78</f>
        <v>0.10764150280546438</v>
      </c>
      <c r="CP97" s="40">
        <f t="shared" ref="CP97:CT97" si="197">CP35/CP78</f>
        <v>0.2699736773810848</v>
      </c>
      <c r="CQ97" s="40">
        <f t="shared" si="197"/>
        <v>0.29078604516502604</v>
      </c>
      <c r="CR97" s="40">
        <f t="shared" si="197"/>
        <v>0.34280300815195142</v>
      </c>
      <c r="CS97" s="40">
        <f t="shared" si="197"/>
        <v>0.36081061669189712</v>
      </c>
      <c r="CT97" s="40">
        <f t="shared" si="197"/>
        <v>0.3801250648072711</v>
      </c>
      <c r="CU97" s="40">
        <f t="shared" ref="CU97" si="198">CU35/CU78</f>
        <v>0.40149758599576418</v>
      </c>
    </row>
    <row r="98" spans="2:160" s="48" customFormat="1">
      <c r="B98" s="48" t="s">
        <v>134</v>
      </c>
      <c r="AZ98" s="48">
        <f t="shared" ref="AZ98:BQ98" si="199">AZ49/AZ78</f>
        <v>2.6409125174557273E-2</v>
      </c>
      <c r="BA98" s="48">
        <f t="shared" si="199"/>
        <v>3.8868027752219432E-2</v>
      </c>
      <c r="BB98" s="48">
        <f t="shared" si="199"/>
        <v>3.773302574973502E-2</v>
      </c>
      <c r="BC98" s="48">
        <f t="shared" si="199"/>
        <v>3.1147560813344462E-2</v>
      </c>
      <c r="BD98" s="48">
        <f t="shared" si="199"/>
        <v>4.3234896738081452E-2</v>
      </c>
      <c r="BE98" s="48">
        <f t="shared" si="199"/>
        <v>4.8322327869252647E-2</v>
      </c>
      <c r="BF98" s="48">
        <f t="shared" si="199"/>
        <v>4.4579992176804223E-2</v>
      </c>
      <c r="BG98" s="48">
        <f t="shared" si="199"/>
        <v>3.9936775553213906E-2</v>
      </c>
      <c r="BH98" s="48">
        <f t="shared" si="199"/>
        <v>4.60813323820774E-2</v>
      </c>
      <c r="BI98" s="48">
        <f t="shared" si="199"/>
        <v>4.8941876398046542E-2</v>
      </c>
      <c r="BJ98" s="48">
        <f t="shared" si="199"/>
        <v>4.9069217912512245E-2</v>
      </c>
      <c r="BK98" s="48">
        <f t="shared" si="199"/>
        <v>4.6574175762601699E-2</v>
      </c>
      <c r="BL98" s="48">
        <f t="shared" si="199"/>
        <v>5.1724328445618181E-2</v>
      </c>
      <c r="BM98" s="48">
        <f t="shared" si="199"/>
        <v>5.3495826450349525E-2</v>
      </c>
      <c r="BN98" s="48">
        <f t="shared" si="199"/>
        <v>5.046591413326984E-2</v>
      </c>
      <c r="BO98" s="48">
        <f t="shared" si="199"/>
        <v>5.3514938488576448E-2</v>
      </c>
      <c r="BP98" s="48">
        <f t="shared" si="199"/>
        <v>5.6268582493043139E-2</v>
      </c>
      <c r="BQ98" s="48">
        <f t="shared" si="199"/>
        <v>5.5709124151140516E-2</v>
      </c>
      <c r="BR98" s="48">
        <f>BR49/BR78</f>
        <v>4.9292968455515708E-2</v>
      </c>
      <c r="BS98" s="48">
        <f>BS49/BS78</f>
        <v>5.2707350235943376E-2</v>
      </c>
      <c r="BT98" s="48">
        <f t="shared" ref="BT98" si="200">BT49/BT78</f>
        <v>5.1090567817960994E-2</v>
      </c>
      <c r="BU98" s="56"/>
      <c r="BV98" s="56"/>
      <c r="BW98" s="56"/>
      <c r="BX98" s="56"/>
      <c r="BY98" s="56"/>
      <c r="BZ98" s="56"/>
      <c r="CP98" s="48">
        <f t="shared" ref="CP98:CT98" si="201">CP49/CP78</f>
        <v>0.13428243057872688</v>
      </c>
      <c r="CQ98" s="48">
        <f t="shared" si="201"/>
        <v>0.14851138776298012</v>
      </c>
      <c r="CR98" s="48">
        <f t="shared" si="201"/>
        <v>0.1749336265072923</v>
      </c>
      <c r="CS98" s="48">
        <f t="shared" si="201"/>
        <v>0.19086398744737512</v>
      </c>
      <c r="CT98" s="48">
        <f t="shared" si="201"/>
        <v>0.20889631894700089</v>
      </c>
      <c r="CU98" s="48">
        <f t="shared" ref="CU98" si="202">CU49/CU78</f>
        <v>0.21421023812559362</v>
      </c>
      <c r="CV98" s="56"/>
      <c r="CW98" s="56"/>
      <c r="CX98" s="56"/>
      <c r="CY98" s="56"/>
      <c r="CZ98" s="56"/>
      <c r="DA98" s="56"/>
      <c r="DB98" s="56"/>
      <c r="DC98" s="56"/>
      <c r="DD98" s="56"/>
      <c r="DE98" s="56"/>
      <c r="DF98" s="56"/>
      <c r="DG98" s="56"/>
      <c r="DH98" s="56"/>
      <c r="DI98" s="56"/>
      <c r="DJ98" s="56"/>
      <c r="DK98" s="56"/>
      <c r="DL98" s="56"/>
      <c r="DM98" s="56"/>
      <c r="DN98" s="56"/>
      <c r="DO98" s="56"/>
      <c r="DP98" s="56"/>
      <c r="DQ98" s="56"/>
      <c r="DR98" s="56"/>
      <c r="DS98" s="56"/>
      <c r="DT98" s="56"/>
      <c r="DU98" s="56"/>
      <c r="DV98" s="56"/>
      <c r="DW98" s="56"/>
      <c r="DX98" s="56"/>
      <c r="DY98" s="56"/>
      <c r="DZ98" s="56"/>
      <c r="EA98" s="56"/>
      <c r="EB98" s="56"/>
      <c r="EC98" s="56"/>
      <c r="ED98" s="56"/>
      <c r="EE98" s="56"/>
      <c r="EF98" s="56"/>
      <c r="EG98" s="56"/>
      <c r="EH98" s="56"/>
      <c r="EI98" s="56"/>
      <c r="EJ98" s="56"/>
      <c r="EK98" s="56"/>
      <c r="EL98" s="56"/>
      <c r="EM98" s="56"/>
      <c r="EN98" s="56"/>
      <c r="EO98" s="56"/>
      <c r="EP98" s="56"/>
      <c r="EQ98" s="56"/>
      <c r="ER98" s="56"/>
      <c r="ES98" s="56"/>
      <c r="ET98" s="56"/>
      <c r="EU98" s="56"/>
      <c r="EV98" s="56"/>
      <c r="EW98" s="56"/>
      <c r="EX98" s="56"/>
      <c r="EY98" s="56"/>
      <c r="EZ98" s="56"/>
      <c r="FA98" s="56"/>
      <c r="FB98" s="56"/>
      <c r="FC98" s="56"/>
      <c r="FD98" s="56"/>
    </row>
    <row r="99" spans="2:160" s="48" customFormat="1">
      <c r="B99" s="48" t="s">
        <v>135</v>
      </c>
      <c r="AZ99" s="48">
        <f t="shared" ref="AZ99:BQ99" si="203">AZ49/AZ92</f>
        <v>5.9016846175089753E-2</v>
      </c>
      <c r="BA99" s="48">
        <f t="shared" si="203"/>
        <v>8.2963985243769744E-2</v>
      </c>
      <c r="BB99" s="48">
        <f t="shared" si="203"/>
        <v>8.0273769100169784E-2</v>
      </c>
      <c r="BC99" s="48">
        <f t="shared" si="203"/>
        <v>6.8139719502513893E-2</v>
      </c>
      <c r="BD99" s="48">
        <f t="shared" si="203"/>
        <v>9.5347043017904171E-2</v>
      </c>
      <c r="BE99" s="48">
        <f t="shared" si="203"/>
        <v>0.10938277062496546</v>
      </c>
      <c r="BF99" s="48">
        <f t="shared" si="203"/>
        <v>0.10133651949206703</v>
      </c>
      <c r="BG99" s="48">
        <f t="shared" si="203"/>
        <v>9.5324595478299745E-2</v>
      </c>
      <c r="BH99" s="48">
        <f t="shared" si="203"/>
        <v>0.11073325651330766</v>
      </c>
      <c r="BI99" s="48">
        <f t="shared" si="203"/>
        <v>0.11317842053948651</v>
      </c>
      <c r="BJ99" s="48">
        <f t="shared" si="203"/>
        <v>0.11038506417736289</v>
      </c>
      <c r="BK99" s="48">
        <f t="shared" si="203"/>
        <v>0.10661604371360406</v>
      </c>
      <c r="BL99" s="48">
        <f t="shared" si="203"/>
        <v>0.12085301938915137</v>
      </c>
      <c r="BM99" s="48">
        <f t="shared" si="203"/>
        <v>0.12307150227770368</v>
      </c>
      <c r="BN99" s="48">
        <f t="shared" si="203"/>
        <v>0.11517846115845375</v>
      </c>
      <c r="BO99" s="48">
        <f t="shared" si="203"/>
        <v>0.12263082383145812</v>
      </c>
      <c r="BP99" s="48">
        <f t="shared" si="203"/>
        <v>0.1358816465237499</v>
      </c>
      <c r="BQ99" s="48">
        <f t="shared" si="203"/>
        <v>0.13366931272195529</v>
      </c>
      <c r="BR99" s="48">
        <f>BR49/BR92</f>
        <v>0.12035235340520642</v>
      </c>
      <c r="BS99" s="48">
        <f>BS49/BS92</f>
        <v>0.13635423132629837</v>
      </c>
      <c r="BT99" s="48">
        <f t="shared" ref="BT99" si="204">BT49/BT92</f>
        <v>0.13426890711968134</v>
      </c>
      <c r="BU99" s="56"/>
      <c r="BV99" s="56"/>
      <c r="BW99" s="56"/>
      <c r="BX99" s="56"/>
      <c r="BY99" s="56"/>
      <c r="BZ99" s="56"/>
      <c r="CP99" s="48">
        <f t="shared" ref="CP99:CT99" si="205">CP49/CP92</f>
        <v>0.30008285004142504</v>
      </c>
      <c r="CQ99" s="48">
        <f t="shared" si="205"/>
        <v>0.32751602862539575</v>
      </c>
      <c r="CR99" s="48">
        <f t="shared" si="205"/>
        <v>0.42036480143897026</v>
      </c>
      <c r="CS99" s="48">
        <f t="shared" si="205"/>
        <v>0.44595048150156197</v>
      </c>
      <c r="CT99" s="48">
        <f t="shared" si="205"/>
        <v>0.50445869637427498</v>
      </c>
      <c r="CU99" s="48">
        <f t="shared" ref="CU99" si="206">CU49/CU92</f>
        <v>0.56295664337594009</v>
      </c>
      <c r="CV99" s="56"/>
      <c r="CW99" s="56"/>
      <c r="CX99" s="56"/>
      <c r="CY99" s="56"/>
      <c r="CZ99" s="56"/>
      <c r="DA99" s="56"/>
      <c r="DB99" s="56"/>
      <c r="DC99" s="56"/>
      <c r="DD99" s="56"/>
      <c r="DE99" s="56"/>
      <c r="DF99" s="56"/>
      <c r="DG99" s="56"/>
      <c r="DH99" s="56"/>
      <c r="DI99" s="56"/>
      <c r="DJ99" s="56"/>
      <c r="DK99" s="56"/>
      <c r="DL99" s="56"/>
      <c r="DM99" s="56"/>
      <c r="DN99" s="56"/>
      <c r="DO99" s="56"/>
      <c r="DP99" s="56"/>
      <c r="DQ99" s="56"/>
      <c r="DR99" s="56"/>
      <c r="DS99" s="56"/>
      <c r="DT99" s="56"/>
      <c r="DU99" s="56"/>
      <c r="DV99" s="56"/>
      <c r="DW99" s="56"/>
      <c r="DX99" s="56"/>
      <c r="DY99" s="56"/>
      <c r="DZ99" s="56"/>
      <c r="EA99" s="56"/>
      <c r="EB99" s="56"/>
      <c r="EC99" s="56"/>
      <c r="ED99" s="56"/>
      <c r="EE99" s="56"/>
      <c r="EF99" s="56"/>
      <c r="EG99" s="56"/>
      <c r="EH99" s="56"/>
      <c r="EI99" s="56"/>
      <c r="EJ99" s="56"/>
      <c r="EK99" s="56"/>
      <c r="EL99" s="56"/>
      <c r="EM99" s="56"/>
      <c r="EN99" s="56"/>
      <c r="EO99" s="56"/>
      <c r="EP99" s="56"/>
      <c r="EQ99" s="56"/>
      <c r="ER99" s="56"/>
      <c r="ES99" s="56"/>
      <c r="ET99" s="56"/>
      <c r="EU99" s="56"/>
      <c r="EV99" s="56"/>
      <c r="EW99" s="56"/>
      <c r="EX99" s="56"/>
      <c r="EY99" s="56"/>
      <c r="EZ99" s="56"/>
      <c r="FA99" s="56"/>
      <c r="FB99" s="56"/>
      <c r="FC99" s="56"/>
      <c r="FD99" s="56"/>
    </row>
    <row r="100" spans="2:160">
      <c r="BT100" s="1"/>
    </row>
    <row r="101" spans="2:160">
      <c r="B101" s="1" t="s">
        <v>136</v>
      </c>
      <c r="C101" s="1">
        <f t="shared" ref="C101:AH101" si="207">C49</f>
        <v>574</v>
      </c>
      <c r="D101" s="1">
        <f t="shared" si="207"/>
        <v>422</v>
      </c>
      <c r="E101" s="1">
        <f t="shared" si="207"/>
        <v>763</v>
      </c>
      <c r="F101" s="1">
        <f t="shared" si="207"/>
        <v>541</v>
      </c>
      <c r="G101" s="1">
        <f t="shared" si="207"/>
        <v>729</v>
      </c>
      <c r="H101" s="1">
        <f t="shared" si="207"/>
        <v>321</v>
      </c>
      <c r="I101" s="1">
        <f t="shared" si="207"/>
        <v>763</v>
      </c>
      <c r="J101" s="1">
        <f t="shared" si="207"/>
        <v>712</v>
      </c>
      <c r="K101" s="1">
        <f t="shared" si="207"/>
        <v>716</v>
      </c>
      <c r="L101" s="1">
        <f t="shared" si="207"/>
        <v>773</v>
      </c>
      <c r="M101" s="1">
        <f t="shared" si="207"/>
        <v>884</v>
      </c>
      <c r="N101" s="1">
        <f t="shared" si="207"/>
        <v>880</v>
      </c>
      <c r="O101" s="1">
        <f t="shared" si="207"/>
        <v>1004</v>
      </c>
      <c r="P101" s="1">
        <f t="shared" si="207"/>
        <v>878</v>
      </c>
      <c r="Q101" s="1">
        <f t="shared" si="207"/>
        <v>1027</v>
      </c>
      <c r="R101" s="1">
        <f t="shared" si="207"/>
        <v>1292</v>
      </c>
      <c r="S101" s="1">
        <f t="shared" si="207"/>
        <v>-1839</v>
      </c>
      <c r="T101" s="1">
        <f t="shared" si="207"/>
        <v>1662</v>
      </c>
      <c r="U101" s="1">
        <f t="shared" si="207"/>
        <v>1293</v>
      </c>
      <c r="V101" s="1">
        <f t="shared" si="207"/>
        <v>1270</v>
      </c>
      <c r="W101" s="1">
        <f t="shared" si="207"/>
        <v>1225</v>
      </c>
      <c r="X101" s="1">
        <f t="shared" si="207"/>
        <v>1192</v>
      </c>
      <c r="Y101" s="1">
        <f t="shared" si="207"/>
        <v>1407</v>
      </c>
      <c r="Z101" s="1">
        <f t="shared" si="207"/>
        <v>1598</v>
      </c>
      <c r="AA101" s="1">
        <f t="shared" si="207"/>
        <v>1360</v>
      </c>
      <c r="AB101" s="1">
        <f t="shared" si="207"/>
        <v>1073</v>
      </c>
      <c r="AC101" s="1">
        <f t="shared" si="207"/>
        <v>1569</v>
      </c>
      <c r="AD101" s="1">
        <f t="shared" si="207"/>
        <v>1550</v>
      </c>
      <c r="AE101" s="1">
        <f t="shared" si="207"/>
        <v>1697</v>
      </c>
      <c r="AF101" s="1">
        <f t="shared" si="207"/>
        <v>1512</v>
      </c>
      <c r="AG101" s="1">
        <f t="shared" si="207"/>
        <v>1941</v>
      </c>
      <c r="AH101" s="1">
        <f t="shared" si="207"/>
        <v>1707</v>
      </c>
      <c r="AI101" s="1">
        <f t="shared" ref="AI101:BR101" si="208">AI49</f>
        <v>412</v>
      </c>
      <c r="AJ101" s="1">
        <f t="shared" si="208"/>
        <v>1931</v>
      </c>
      <c r="AK101" s="1">
        <f t="shared" si="208"/>
        <v>2070</v>
      </c>
      <c r="AL101" s="1">
        <f t="shared" si="208"/>
        <v>430</v>
      </c>
      <c r="AM101" s="1">
        <f t="shared" si="208"/>
        <v>2059</v>
      </c>
      <c r="AN101" s="1">
        <f t="shared" si="208"/>
        <v>2140</v>
      </c>
      <c r="AO101" s="1">
        <f t="shared" si="208"/>
        <v>2522</v>
      </c>
      <c r="AP101" s="1">
        <f t="shared" si="208"/>
        <v>2605</v>
      </c>
      <c r="AQ101" s="1">
        <f t="shared" si="208"/>
        <v>2329</v>
      </c>
      <c r="AR101" s="1">
        <f t="shared" si="208"/>
        <v>2845</v>
      </c>
      <c r="AS101" s="1">
        <f t="shared" si="208"/>
        <v>2977</v>
      </c>
      <c r="AT101" s="1">
        <f t="shared" si="208"/>
        <v>2977</v>
      </c>
      <c r="AU101" s="1">
        <f t="shared" si="208"/>
        <v>3101</v>
      </c>
      <c r="AV101" s="1">
        <f t="shared" si="208"/>
        <v>3025</v>
      </c>
      <c r="AW101" s="1">
        <f t="shared" si="208"/>
        <v>3272</v>
      </c>
      <c r="AX101" s="1">
        <f t="shared" si="208"/>
        <v>3084</v>
      </c>
      <c r="AY101" s="1">
        <f t="shared" si="208"/>
        <v>2373</v>
      </c>
      <c r="AZ101" s="1">
        <f t="shared" si="208"/>
        <v>2137</v>
      </c>
      <c r="BA101" s="1">
        <f t="shared" si="208"/>
        <v>3126</v>
      </c>
      <c r="BB101" s="1">
        <f t="shared" si="208"/>
        <v>3026</v>
      </c>
      <c r="BC101" s="1">
        <f t="shared" si="208"/>
        <v>2575</v>
      </c>
      <c r="BD101" s="1">
        <f t="shared" si="208"/>
        <v>3584</v>
      </c>
      <c r="BE101" s="1">
        <f t="shared" si="208"/>
        <v>3959</v>
      </c>
      <c r="BF101" s="1">
        <f t="shared" si="208"/>
        <v>3647</v>
      </c>
      <c r="BG101" s="1">
        <f t="shared" si="208"/>
        <v>3411</v>
      </c>
      <c r="BH101" s="1">
        <f t="shared" si="208"/>
        <v>3940</v>
      </c>
      <c r="BI101" s="1">
        <f t="shared" si="208"/>
        <v>4179</v>
      </c>
      <c r="BJ101" s="1">
        <f t="shared" si="208"/>
        <v>4257</v>
      </c>
      <c r="BK101" s="1">
        <f t="shared" si="208"/>
        <v>4156</v>
      </c>
      <c r="BL101" s="1">
        <f t="shared" si="208"/>
        <v>4681</v>
      </c>
      <c r="BM101" s="1">
        <f t="shared" si="208"/>
        <v>4890</v>
      </c>
      <c r="BN101" s="1">
        <f t="shared" si="208"/>
        <v>4663</v>
      </c>
      <c r="BO101" s="1">
        <f t="shared" si="208"/>
        <v>4872</v>
      </c>
      <c r="BP101" s="1">
        <f t="shared" si="208"/>
        <v>5318</v>
      </c>
      <c r="BQ101" s="1">
        <f t="shared" si="208"/>
        <v>5119</v>
      </c>
      <c r="BR101" s="1">
        <f t="shared" si="208"/>
        <v>4577</v>
      </c>
      <c r="BS101" s="1">
        <f t="shared" ref="BS101:BT101" si="209">BS49</f>
        <v>5272</v>
      </c>
      <c r="BT101" s="1">
        <f t="shared" si="209"/>
        <v>5090</v>
      </c>
      <c r="CE101" s="46">
        <f>SUM(E101:H101)</f>
        <v>2354</v>
      </c>
      <c r="CF101" s="46">
        <f>SUM(I101:L101)</f>
        <v>2964</v>
      </c>
      <c r="CG101" s="46">
        <f>SUM(M101:P101)</f>
        <v>3646</v>
      </c>
      <c r="CH101" s="46">
        <f>SUM(Q101:T101)</f>
        <v>2142</v>
      </c>
      <c r="CI101" s="46">
        <f>SUM(U101:X101)</f>
        <v>4980</v>
      </c>
      <c r="CJ101" s="46">
        <f>SUM(Y101:AB101)</f>
        <v>5438</v>
      </c>
      <c r="CK101" s="46">
        <f>SUM(AC101:AF101)</f>
        <v>6328</v>
      </c>
      <c r="CL101" s="46">
        <f>SUM(AG101:AJ101)</f>
        <v>5991</v>
      </c>
      <c r="CM101" s="46">
        <f>SUM(AK101:AN101)</f>
        <v>6699</v>
      </c>
      <c r="CN101" s="46">
        <f>SUM(AO101:AR101)</f>
        <v>10301</v>
      </c>
      <c r="CO101" s="46">
        <f>SUM(AS101:AV101)</f>
        <v>12080</v>
      </c>
      <c r="CP101" s="46">
        <f>SUM(AW101:AZ101)</f>
        <v>10866</v>
      </c>
      <c r="CQ101" s="46">
        <f>SUM(BA101:BD101)</f>
        <v>12311</v>
      </c>
      <c r="CR101" s="46">
        <f>SUM(BE101:BH101)</f>
        <v>14957</v>
      </c>
      <c r="CS101" s="46">
        <f>SUM(BI101:BL101)</f>
        <v>17273</v>
      </c>
      <c r="CT101" s="1">
        <f>SUM(BM101:BP101)</f>
        <v>19743</v>
      </c>
      <c r="CU101" s="46">
        <f>CU49</f>
        <v>21341.123393738515</v>
      </c>
    </row>
    <row r="102" spans="2:160" s="2" customFormat="1" ht="15">
      <c r="B102" s="2" t="s">
        <v>137</v>
      </c>
      <c r="C102" s="63">
        <v>185</v>
      </c>
      <c r="D102" s="2">
        <v>274</v>
      </c>
      <c r="E102" s="2">
        <v>-5</v>
      </c>
      <c r="F102" s="2">
        <v>423</v>
      </c>
      <c r="G102" s="2">
        <v>349</v>
      </c>
      <c r="H102" s="2">
        <v>-209</v>
      </c>
      <c r="I102" s="2">
        <v>-29</v>
      </c>
      <c r="J102" s="2">
        <v>609</v>
      </c>
      <c r="K102" s="2">
        <v>1218</v>
      </c>
      <c r="L102" s="2">
        <v>893</v>
      </c>
      <c r="M102" s="2">
        <v>1006</v>
      </c>
      <c r="N102" s="2">
        <v>603</v>
      </c>
      <c r="O102" s="2">
        <v>1395</v>
      </c>
      <c r="P102" s="2">
        <v>868</v>
      </c>
      <c r="Q102" s="2">
        <v>1286</v>
      </c>
      <c r="R102" s="2">
        <v>1097</v>
      </c>
      <c r="S102" s="2">
        <v>1257</v>
      </c>
      <c r="T102" s="2">
        <v>1369</v>
      </c>
      <c r="U102" s="2">
        <v>-2824</v>
      </c>
      <c r="V102" s="2">
        <v>1644</v>
      </c>
      <c r="W102" s="2">
        <v>2157</v>
      </c>
      <c r="X102" s="2">
        <v>2042</v>
      </c>
      <c r="Y102" s="2">
        <v>1541</v>
      </c>
      <c r="Z102" s="2">
        <v>1929</v>
      </c>
      <c r="AA102" s="2">
        <v>1942</v>
      </c>
      <c r="AB102" s="2">
        <v>1793</v>
      </c>
      <c r="AC102" s="2">
        <v>1761</v>
      </c>
      <c r="AD102" s="2">
        <v>978</v>
      </c>
      <c r="AE102" s="2">
        <v>2111</v>
      </c>
      <c r="AF102" s="2">
        <v>1734</v>
      </c>
      <c r="AG102" s="2">
        <v>1979</v>
      </c>
      <c r="AH102" s="2">
        <v>840</v>
      </c>
      <c r="AI102" s="2">
        <v>303</v>
      </c>
      <c r="AJ102" s="2">
        <v>2452</v>
      </c>
      <c r="AK102" s="2">
        <v>2508</v>
      </c>
      <c r="AL102" s="2">
        <v>396</v>
      </c>
      <c r="AM102" s="2">
        <v>3537</v>
      </c>
      <c r="AN102" s="2">
        <v>2876</v>
      </c>
      <c r="AO102" s="2">
        <v>2813</v>
      </c>
      <c r="AP102" s="2">
        <v>2916</v>
      </c>
      <c r="AQ102" s="2">
        <v>3736</v>
      </c>
      <c r="AR102" s="2">
        <v>3476</v>
      </c>
      <c r="AS102" s="2">
        <v>3294</v>
      </c>
      <c r="AT102" s="2">
        <v>2064</v>
      </c>
      <c r="AU102" s="2">
        <v>3384</v>
      </c>
      <c r="AV102" s="2">
        <v>4042</v>
      </c>
      <c r="AW102" s="2">
        <v>3875</v>
      </c>
      <c r="AX102" s="2">
        <v>1467</v>
      </c>
      <c r="AY102" s="2">
        <v>3002</v>
      </c>
      <c r="AZ102" s="2">
        <v>2096</v>
      </c>
      <c r="BA102" s="2">
        <v>3513</v>
      </c>
      <c r="BB102" s="2">
        <v>3329</v>
      </c>
      <c r="BC102" s="2">
        <v>4414</v>
      </c>
      <c r="BD102" s="2">
        <v>3971</v>
      </c>
      <c r="BE102" s="2">
        <v>4232</v>
      </c>
      <c r="BF102" s="2">
        <v>3489</v>
      </c>
      <c r="BG102" s="2">
        <v>5252</v>
      </c>
      <c r="BH102" s="2">
        <v>5876</v>
      </c>
      <c r="BI102" s="2">
        <v>4171</v>
      </c>
      <c r="BJ102" s="2">
        <v>3860</v>
      </c>
      <c r="BK102" s="2">
        <v>5797</v>
      </c>
      <c r="BL102" s="2">
        <v>6927</v>
      </c>
      <c r="BM102" s="2">
        <v>3614</v>
      </c>
      <c r="BN102" s="2">
        <v>4598</v>
      </c>
      <c r="BO102" s="2">
        <v>5074</v>
      </c>
      <c r="BP102" s="2">
        <v>6664</v>
      </c>
      <c r="BQ102" s="2">
        <v>5396</v>
      </c>
      <c r="BR102" s="2">
        <v>4719</v>
      </c>
      <c r="BS102" s="2">
        <f>16821-SUM(BQ102:BR102)</f>
        <v>6706</v>
      </c>
      <c r="BT102" s="2">
        <f>23509-SUM(BQ102:BS102)</f>
        <v>6688</v>
      </c>
      <c r="BU102" s="34"/>
      <c r="BV102" s="34"/>
      <c r="BW102" s="34"/>
      <c r="BX102" s="34"/>
      <c r="BY102" s="34"/>
      <c r="BZ102" s="34"/>
      <c r="CE102" s="47">
        <f>SUM(E102:H102)</f>
        <v>558</v>
      </c>
      <c r="CF102" s="47">
        <f>SUM(I102:L102)</f>
        <v>2691</v>
      </c>
      <c r="CG102" s="47">
        <f>SUM(M102:P102)</f>
        <v>3872</v>
      </c>
      <c r="CH102" s="47">
        <f>SUM(Q102:T102)</f>
        <v>5009</v>
      </c>
      <c r="CI102" s="47">
        <f>SUM(U102:X102)</f>
        <v>3019</v>
      </c>
      <c r="CJ102" s="47">
        <f>SUM(Y102:AB102)</f>
        <v>7205</v>
      </c>
      <c r="CK102" s="47">
        <f>SUM(AC102:AF102)</f>
        <v>6584</v>
      </c>
      <c r="CL102" s="47">
        <f>SUM(AG102:AJ102)</f>
        <v>5574</v>
      </c>
      <c r="CM102" s="47">
        <f>SUM(AK102:AN102)</f>
        <v>9317</v>
      </c>
      <c r="CN102" s="47">
        <f>SUM(AO102:AR102)</f>
        <v>12941</v>
      </c>
      <c r="CO102" s="47">
        <f>SUM(AS102:AV102)</f>
        <v>12784</v>
      </c>
      <c r="CP102" s="47">
        <f>SUM(AW102:AZ102)</f>
        <v>10440</v>
      </c>
      <c r="CQ102" s="47">
        <f>SUM(BA102:BD102)</f>
        <v>15227</v>
      </c>
      <c r="CR102" s="47">
        <f>SUM(BE102:BH102)</f>
        <v>18849</v>
      </c>
      <c r="CS102" s="47">
        <f>SUM(BI102:BL102)</f>
        <v>20755</v>
      </c>
      <c r="CT102" s="2">
        <f>SUM(BM102:BP102)</f>
        <v>19950</v>
      </c>
      <c r="CU102" s="2">
        <f>SUM(BQ102:BT102)</f>
        <v>23509</v>
      </c>
      <c r="CV102" s="34"/>
      <c r="CW102" s="34"/>
      <c r="CX102" s="34"/>
      <c r="CY102" s="34"/>
      <c r="CZ102" s="34"/>
      <c r="DA102" s="34"/>
      <c r="DB102" s="34"/>
      <c r="DC102" s="34"/>
      <c r="DD102" s="34"/>
      <c r="DE102" s="34"/>
      <c r="DF102" s="34"/>
      <c r="DG102" s="34"/>
      <c r="DH102" s="34"/>
      <c r="DI102" s="34"/>
      <c r="DJ102" s="34"/>
      <c r="DK102" s="34"/>
      <c r="DL102" s="34"/>
      <c r="DM102" s="34"/>
      <c r="DN102" s="34"/>
      <c r="DO102" s="34"/>
      <c r="DP102" s="34"/>
      <c r="DQ102" s="34"/>
      <c r="DR102" s="34"/>
      <c r="DS102" s="34"/>
      <c r="DT102" s="34"/>
      <c r="DU102" s="34"/>
      <c r="DV102" s="34"/>
      <c r="DW102" s="34"/>
      <c r="DX102" s="34"/>
      <c r="DY102" s="34"/>
      <c r="DZ102" s="34"/>
      <c r="EA102" s="34"/>
      <c r="EB102" s="34"/>
      <c r="EC102" s="34"/>
      <c r="ED102" s="34"/>
      <c r="EE102" s="34"/>
      <c r="EF102" s="34"/>
      <c r="EG102" s="34"/>
      <c r="EH102" s="34"/>
      <c r="EI102" s="34"/>
      <c r="EJ102" s="34"/>
      <c r="EK102" s="34"/>
      <c r="EL102" s="34"/>
      <c r="EM102" s="34"/>
      <c r="EN102" s="34"/>
      <c r="EO102" s="34"/>
      <c r="EP102" s="34"/>
      <c r="EQ102" s="34"/>
      <c r="ER102" s="34"/>
      <c r="ES102" s="34"/>
      <c r="ET102" s="34"/>
      <c r="EU102" s="34"/>
      <c r="EV102" s="34"/>
      <c r="EW102" s="34"/>
      <c r="EX102" s="34"/>
      <c r="EY102" s="34"/>
      <c r="EZ102" s="34"/>
      <c r="FA102" s="34"/>
      <c r="FB102" s="34"/>
      <c r="FC102" s="34"/>
      <c r="FD102" s="34"/>
    </row>
    <row r="103" spans="2:160">
      <c r="B103" s="1" t="s">
        <v>138</v>
      </c>
      <c r="C103" s="50">
        <v>-47</v>
      </c>
      <c r="D103" s="1">
        <v>-56</v>
      </c>
      <c r="E103" s="1">
        <v>-84</v>
      </c>
      <c r="F103" s="1">
        <v>-136</v>
      </c>
      <c r="G103" s="1">
        <v>-69</v>
      </c>
      <c r="H103" s="1">
        <v>-101</v>
      </c>
      <c r="I103" s="1">
        <v>-37</v>
      </c>
      <c r="J103" s="1">
        <v>-41</v>
      </c>
      <c r="K103" s="1">
        <v>-65</v>
      </c>
      <c r="L103" s="1">
        <v>-95</v>
      </c>
      <c r="M103" s="1">
        <v>-75</v>
      </c>
      <c r="N103" s="1">
        <v>-72</v>
      </c>
      <c r="O103" s="1">
        <v>-89</v>
      </c>
      <c r="P103" s="1">
        <v>-117</v>
      </c>
      <c r="Q103" s="1">
        <v>-99</v>
      </c>
      <c r="R103" s="1">
        <v>-61</v>
      </c>
      <c r="S103" s="1">
        <v>-108</v>
      </c>
      <c r="T103" s="1">
        <v>-106</v>
      </c>
      <c r="U103" s="1">
        <v>-100</v>
      </c>
      <c r="V103" s="1">
        <v>-111</v>
      </c>
      <c r="W103" s="1">
        <v>-122</v>
      </c>
      <c r="X103" s="1">
        <v>-138</v>
      </c>
      <c r="Y103" s="1">
        <v>-120</v>
      </c>
      <c r="Z103" s="1">
        <v>-97</v>
      </c>
      <c r="AA103" s="1">
        <v>-109</v>
      </c>
      <c r="AB103" s="1">
        <v>-227</v>
      </c>
      <c r="AC103" s="1">
        <v>-104</v>
      </c>
      <c r="AD103" s="1">
        <v>-98</v>
      </c>
      <c r="AE103" s="1">
        <v>-74</v>
      </c>
      <c r="AF103" s="1">
        <v>-138</v>
      </c>
      <c r="AG103" s="1">
        <v>-126</v>
      </c>
      <c r="AH103" s="1">
        <v>-124</v>
      </c>
      <c r="AI103" s="1">
        <v>-132</v>
      </c>
      <c r="AJ103" s="1">
        <v>-141</v>
      </c>
      <c r="AK103" s="1">
        <v>-171</v>
      </c>
      <c r="AL103" s="1">
        <v>-146</v>
      </c>
      <c r="AM103" s="1">
        <v>-195</v>
      </c>
      <c r="AN103" s="1">
        <v>-195</v>
      </c>
      <c r="AO103" s="1">
        <v>-141</v>
      </c>
      <c r="AP103" s="1">
        <v>-213</v>
      </c>
      <c r="AQ103" s="1">
        <v>-169</v>
      </c>
      <c r="AR103" s="1">
        <v>-195</v>
      </c>
      <c r="AS103" s="1">
        <v>-157</v>
      </c>
      <c r="AT103" s="1">
        <v>-156</v>
      </c>
      <c r="AU103" s="1">
        <v>-194</v>
      </c>
      <c r="AV103" s="1">
        <v>-249</v>
      </c>
      <c r="AW103" s="1">
        <v>-191</v>
      </c>
      <c r="AX103" s="1">
        <v>-216</v>
      </c>
      <c r="AY103" s="1">
        <v>-161</v>
      </c>
      <c r="AZ103" s="1">
        <v>-168</v>
      </c>
      <c r="BA103" s="1">
        <v>-160</v>
      </c>
      <c r="BB103" s="1">
        <v>-158</v>
      </c>
      <c r="BC103" s="1">
        <v>-179</v>
      </c>
      <c r="BD103" s="1">
        <v>-208</v>
      </c>
      <c r="BE103" s="1">
        <v>-173</v>
      </c>
      <c r="BF103" s="1">
        <v>-267</v>
      </c>
      <c r="BG103" s="1">
        <v>-235</v>
      </c>
      <c r="BH103" s="1">
        <v>-295</v>
      </c>
      <c r="BI103" s="1">
        <v>-249</v>
      </c>
      <c r="BJ103" s="1">
        <v>-210</v>
      </c>
      <c r="BK103" s="1">
        <v>-295</v>
      </c>
      <c r="BL103" s="1">
        <v>-305</v>
      </c>
      <c r="BM103" s="1">
        <v>-267</v>
      </c>
      <c r="BN103" s="1">
        <v>-281</v>
      </c>
      <c r="BO103" s="1">
        <v>-400</v>
      </c>
      <c r="BP103" s="1">
        <v>-309</v>
      </c>
      <c r="BQ103" s="1">
        <v>-345</v>
      </c>
      <c r="BR103" s="1">
        <v>-327</v>
      </c>
      <c r="BS103" s="1">
        <f>-1093-BR103-BQ103</f>
        <v>-421</v>
      </c>
      <c r="BT103" s="1">
        <f>-1482-SUM(BQ103:BS103)</f>
        <v>-389</v>
      </c>
      <c r="CE103" s="46">
        <f>SUM(E103:H103)</f>
        <v>-390</v>
      </c>
      <c r="CF103" s="46">
        <f>SUM(I103:L103)</f>
        <v>-238</v>
      </c>
      <c r="CG103" s="46">
        <f>SUM(M103:P103)</f>
        <v>-353</v>
      </c>
      <c r="CH103" s="46">
        <f>SUM(Q103:T103)</f>
        <v>-374</v>
      </c>
      <c r="CI103" s="46">
        <f>SUM(U103:X103)</f>
        <v>-471</v>
      </c>
      <c r="CJ103" s="46">
        <f>SUM(Y103:AB103)</f>
        <v>-553</v>
      </c>
      <c r="CK103" s="46">
        <f>SUM(AC103:AF103)</f>
        <v>-414</v>
      </c>
      <c r="CL103" s="46">
        <f>SUM(AG103:AJ103)</f>
        <v>-523</v>
      </c>
      <c r="CM103" s="46">
        <f>SUM(AK103:AN103)</f>
        <v>-707</v>
      </c>
      <c r="CN103" s="46">
        <f>SUM(AO103:AR103)</f>
        <v>-718</v>
      </c>
      <c r="CO103" s="46">
        <f>SUM(AS103:AV103)</f>
        <v>-756</v>
      </c>
      <c r="CP103" s="46">
        <f>SUM(AW103:AZ103)</f>
        <v>-736</v>
      </c>
      <c r="CQ103" s="46">
        <f>SUM(BA103:BD103)</f>
        <v>-705</v>
      </c>
      <c r="CR103" s="46">
        <f>SUM(BE103:BH103)</f>
        <v>-970</v>
      </c>
      <c r="CS103" s="46">
        <f>SUM(BI103:BL103)</f>
        <v>-1059</v>
      </c>
      <c r="CT103" s="1">
        <f>SUM(BM103:BP103)</f>
        <v>-1257</v>
      </c>
      <c r="CU103" s="1">
        <f>SUM(BQ103:BT103)</f>
        <v>-1482</v>
      </c>
    </row>
    <row r="104" spans="2:160" s="2" customFormat="1" ht="15">
      <c r="B104" s="2" t="s">
        <v>139</v>
      </c>
      <c r="C104" s="2">
        <f>C102+C103</f>
        <v>138</v>
      </c>
      <c r="D104" s="2">
        <f t="shared" ref="D104:BO104" si="210">D102+D103</f>
        <v>218</v>
      </c>
      <c r="E104" s="2">
        <f t="shared" si="210"/>
        <v>-89</v>
      </c>
      <c r="F104" s="2">
        <f t="shared" si="210"/>
        <v>287</v>
      </c>
      <c r="G104" s="2">
        <f t="shared" si="210"/>
        <v>280</v>
      </c>
      <c r="H104" s="2">
        <f t="shared" si="210"/>
        <v>-310</v>
      </c>
      <c r="I104" s="2">
        <f t="shared" si="210"/>
        <v>-66</v>
      </c>
      <c r="J104" s="2">
        <f t="shared" si="210"/>
        <v>568</v>
      </c>
      <c r="K104" s="2">
        <f t="shared" si="210"/>
        <v>1153</v>
      </c>
      <c r="L104" s="2">
        <f t="shared" si="210"/>
        <v>798</v>
      </c>
      <c r="M104" s="2">
        <f t="shared" si="210"/>
        <v>931</v>
      </c>
      <c r="N104" s="2">
        <f t="shared" si="210"/>
        <v>531</v>
      </c>
      <c r="O104" s="2">
        <f t="shared" si="210"/>
        <v>1306</v>
      </c>
      <c r="P104" s="2">
        <f t="shared" si="210"/>
        <v>751</v>
      </c>
      <c r="Q104" s="2">
        <f t="shared" si="210"/>
        <v>1187</v>
      </c>
      <c r="R104" s="2">
        <f t="shared" si="210"/>
        <v>1036</v>
      </c>
      <c r="S104" s="2">
        <f t="shared" si="210"/>
        <v>1149</v>
      </c>
      <c r="T104" s="2">
        <f t="shared" si="210"/>
        <v>1263</v>
      </c>
      <c r="U104" s="2">
        <f t="shared" si="210"/>
        <v>-2924</v>
      </c>
      <c r="V104" s="2">
        <f t="shared" si="210"/>
        <v>1533</v>
      </c>
      <c r="W104" s="2">
        <f t="shared" si="210"/>
        <v>2035</v>
      </c>
      <c r="X104" s="2">
        <f t="shared" si="210"/>
        <v>1904</v>
      </c>
      <c r="Y104" s="2">
        <f t="shared" si="210"/>
        <v>1421</v>
      </c>
      <c r="Z104" s="2">
        <f t="shared" si="210"/>
        <v>1832</v>
      </c>
      <c r="AA104" s="2">
        <f t="shared" si="210"/>
        <v>1833</v>
      </c>
      <c r="AB104" s="2">
        <f t="shared" si="210"/>
        <v>1566</v>
      </c>
      <c r="AC104" s="2">
        <f t="shared" si="210"/>
        <v>1657</v>
      </c>
      <c r="AD104" s="2">
        <f t="shared" si="210"/>
        <v>880</v>
      </c>
      <c r="AE104" s="2">
        <f t="shared" si="210"/>
        <v>2037</v>
      </c>
      <c r="AF104" s="2">
        <f t="shared" si="210"/>
        <v>1596</v>
      </c>
      <c r="AG104" s="2">
        <f t="shared" si="210"/>
        <v>1853</v>
      </c>
      <c r="AH104" s="2">
        <f t="shared" si="210"/>
        <v>716</v>
      </c>
      <c r="AI104" s="2">
        <f t="shared" si="210"/>
        <v>171</v>
      </c>
      <c r="AJ104" s="2">
        <f t="shared" si="210"/>
        <v>2311</v>
      </c>
      <c r="AK104" s="2">
        <f t="shared" si="210"/>
        <v>2337</v>
      </c>
      <c r="AL104" s="2">
        <f t="shared" si="210"/>
        <v>250</v>
      </c>
      <c r="AM104" s="2">
        <f t="shared" si="210"/>
        <v>3342</v>
      </c>
      <c r="AN104" s="2">
        <f t="shared" si="210"/>
        <v>2681</v>
      </c>
      <c r="AO104" s="2">
        <f t="shared" si="210"/>
        <v>2672</v>
      </c>
      <c r="AP104" s="2">
        <f t="shared" si="210"/>
        <v>2703</v>
      </c>
      <c r="AQ104" s="2">
        <f t="shared" si="210"/>
        <v>3567</v>
      </c>
      <c r="AR104" s="2">
        <f t="shared" si="210"/>
        <v>3281</v>
      </c>
      <c r="AS104" s="2">
        <f t="shared" si="210"/>
        <v>3137</v>
      </c>
      <c r="AT104" s="2">
        <f t="shared" si="210"/>
        <v>1908</v>
      </c>
      <c r="AU104" s="2">
        <f t="shared" si="210"/>
        <v>3190</v>
      </c>
      <c r="AV104" s="2">
        <f t="shared" si="210"/>
        <v>3793</v>
      </c>
      <c r="AW104" s="2">
        <f t="shared" si="210"/>
        <v>3684</v>
      </c>
      <c r="AX104" s="2">
        <f t="shared" si="210"/>
        <v>1251</v>
      </c>
      <c r="AY104" s="2">
        <f t="shared" si="210"/>
        <v>2841</v>
      </c>
      <c r="AZ104" s="2">
        <f t="shared" si="210"/>
        <v>1928</v>
      </c>
      <c r="BA104" s="2">
        <f t="shared" si="210"/>
        <v>3353</v>
      </c>
      <c r="BB104" s="2">
        <f t="shared" si="210"/>
        <v>3171</v>
      </c>
      <c r="BC104" s="2">
        <f t="shared" si="210"/>
        <v>4235</v>
      </c>
      <c r="BD104" s="2">
        <f t="shared" si="210"/>
        <v>3763</v>
      </c>
      <c r="BE104" s="2">
        <f t="shared" si="210"/>
        <v>4059</v>
      </c>
      <c r="BF104" s="2">
        <f t="shared" si="210"/>
        <v>3222</v>
      </c>
      <c r="BG104" s="2">
        <f t="shared" si="210"/>
        <v>5017</v>
      </c>
      <c r="BH104" s="2">
        <f t="shared" si="210"/>
        <v>5581</v>
      </c>
      <c r="BI104" s="2">
        <f t="shared" si="210"/>
        <v>3922</v>
      </c>
      <c r="BJ104" s="2">
        <f t="shared" si="210"/>
        <v>3650</v>
      </c>
      <c r="BK104" s="2">
        <f t="shared" si="210"/>
        <v>5502</v>
      </c>
      <c r="BL104" s="2">
        <f t="shared" si="210"/>
        <v>6622</v>
      </c>
      <c r="BM104" s="2">
        <f t="shared" si="210"/>
        <v>3347</v>
      </c>
      <c r="BN104" s="2">
        <f t="shared" si="210"/>
        <v>4317</v>
      </c>
      <c r="BO104" s="2">
        <f t="shared" si="210"/>
        <v>4674</v>
      </c>
      <c r="BP104" s="2">
        <f t="shared" ref="BP104:BR104" si="211">BP102+BP103</f>
        <v>6355</v>
      </c>
      <c r="BQ104" s="2">
        <f t="shared" si="211"/>
        <v>5051</v>
      </c>
      <c r="BR104" s="2">
        <f t="shared" si="211"/>
        <v>4392</v>
      </c>
      <c r="BS104" s="2">
        <f t="shared" ref="BS104:BT104" si="212">BS102+BS103</f>
        <v>6285</v>
      </c>
      <c r="BT104" s="2">
        <f t="shared" si="212"/>
        <v>6299</v>
      </c>
      <c r="BU104" s="34"/>
      <c r="BV104" s="34"/>
      <c r="BW104" s="34"/>
      <c r="BX104" s="34"/>
      <c r="BY104" s="34"/>
      <c r="BZ104" s="34"/>
      <c r="CE104" s="47">
        <f>SUM(E104:H104)</f>
        <v>168</v>
      </c>
      <c r="CF104" s="47">
        <f>SUM(I104:L104)</f>
        <v>2453</v>
      </c>
      <c r="CG104" s="47">
        <f>SUM(M104:P104)</f>
        <v>3519</v>
      </c>
      <c r="CH104" s="47">
        <f>SUM(Q104:T104)</f>
        <v>4635</v>
      </c>
      <c r="CI104" s="47">
        <f>SUM(U104:X104)</f>
        <v>2548</v>
      </c>
      <c r="CJ104" s="47">
        <f>SUM(Y104:AB104)</f>
        <v>6652</v>
      </c>
      <c r="CK104" s="47">
        <f>SUM(AC104:AF104)</f>
        <v>6170</v>
      </c>
      <c r="CL104" s="47">
        <f>SUM(AG104:AJ104)</f>
        <v>5051</v>
      </c>
      <c r="CM104" s="47">
        <f>SUM(AK104:AN104)</f>
        <v>8610</v>
      </c>
      <c r="CN104" s="47">
        <f>SUM(AO104:AR104)</f>
        <v>12223</v>
      </c>
      <c r="CO104" s="47">
        <f>SUM(AS104:AV104)</f>
        <v>12028</v>
      </c>
      <c r="CP104" s="2">
        <f t="shared" ref="CP104:CT104" si="213">CP102+CP103</f>
        <v>9704</v>
      </c>
      <c r="CQ104" s="2">
        <f t="shared" si="213"/>
        <v>14522</v>
      </c>
      <c r="CR104" s="2">
        <f t="shared" si="213"/>
        <v>17879</v>
      </c>
      <c r="CS104" s="2">
        <f t="shared" si="213"/>
        <v>19696</v>
      </c>
      <c r="CT104" s="2">
        <f t="shared" si="213"/>
        <v>18693</v>
      </c>
      <c r="CU104" s="2">
        <f>CU102+CU103</f>
        <v>22027</v>
      </c>
      <c r="CV104" s="34"/>
      <c r="CW104" s="34"/>
      <c r="CX104" s="34"/>
      <c r="CY104" s="34"/>
      <c r="CZ104" s="34"/>
      <c r="DA104" s="34"/>
      <c r="DB104" s="34"/>
      <c r="DC104" s="34"/>
      <c r="DD104" s="34"/>
      <c r="DE104" s="34"/>
      <c r="DF104" s="34"/>
      <c r="DG104" s="34"/>
      <c r="DH104" s="34"/>
      <c r="DI104" s="34"/>
      <c r="DJ104" s="34"/>
      <c r="DK104" s="34"/>
      <c r="DL104" s="34"/>
      <c r="DM104" s="34"/>
      <c r="DN104" s="34"/>
      <c r="DO104" s="34"/>
      <c r="DP104" s="34"/>
      <c r="DQ104" s="34"/>
      <c r="DR104" s="34"/>
      <c r="DS104" s="34"/>
      <c r="DT104" s="34"/>
      <c r="DU104" s="34"/>
      <c r="DV104" s="34"/>
      <c r="DW104" s="34"/>
      <c r="DX104" s="34"/>
      <c r="DY104" s="34"/>
      <c r="DZ104" s="34"/>
      <c r="EA104" s="34"/>
      <c r="EB104" s="34"/>
      <c r="EC104" s="34"/>
      <c r="ED104" s="34"/>
      <c r="EE104" s="34"/>
      <c r="EF104" s="34"/>
      <c r="EG104" s="34"/>
      <c r="EH104" s="34"/>
      <c r="EI104" s="34"/>
      <c r="EJ104" s="34"/>
      <c r="EK104" s="34"/>
      <c r="EL104" s="34"/>
      <c r="EM104" s="34"/>
      <c r="EN104" s="34"/>
      <c r="EO104" s="34"/>
      <c r="EP104" s="34"/>
      <c r="EQ104" s="34"/>
      <c r="ER104" s="34"/>
      <c r="ES104" s="34"/>
      <c r="ET104" s="34"/>
      <c r="EU104" s="34"/>
      <c r="EV104" s="34"/>
      <c r="EW104" s="34"/>
      <c r="EX104" s="34"/>
      <c r="EY104" s="34"/>
      <c r="EZ104" s="34"/>
      <c r="FA104" s="34"/>
      <c r="FB104" s="34"/>
      <c r="FC104" s="34"/>
      <c r="FD104" s="34"/>
    </row>
    <row r="105" spans="2:160">
      <c r="B105" s="1" t="s">
        <v>140</v>
      </c>
      <c r="AW105" s="1">
        <f t="shared" ref="AW105:BQ105" si="214">AW50</f>
        <v>2240</v>
      </c>
      <c r="AX105" s="1">
        <f t="shared" si="214"/>
        <v>2228</v>
      </c>
      <c r="AY105" s="1">
        <f t="shared" si="214"/>
        <v>2214</v>
      </c>
      <c r="AZ105" s="1">
        <f t="shared" si="214"/>
        <v>2223</v>
      </c>
      <c r="BA105" s="1">
        <f t="shared" si="214"/>
        <v>2200</v>
      </c>
      <c r="BB105" s="1">
        <f t="shared" si="214"/>
        <v>2193</v>
      </c>
      <c r="BC105" s="1">
        <f t="shared" si="214"/>
        <v>2184</v>
      </c>
      <c r="BD105" s="1">
        <f t="shared" si="214"/>
        <v>2188</v>
      </c>
      <c r="BE105" s="1">
        <f t="shared" si="214"/>
        <v>2159</v>
      </c>
      <c r="BF105" s="1">
        <f t="shared" si="214"/>
        <v>2142</v>
      </c>
      <c r="BG105" s="1">
        <f t="shared" si="214"/>
        <v>2129</v>
      </c>
      <c r="BH105" s="1">
        <f t="shared" si="214"/>
        <v>2136</v>
      </c>
      <c r="BI105" s="1">
        <f t="shared" si="214"/>
        <v>2102</v>
      </c>
      <c r="BJ105" s="1">
        <f t="shared" si="214"/>
        <v>2093</v>
      </c>
      <c r="BK105" s="1">
        <f t="shared" si="214"/>
        <v>2080</v>
      </c>
      <c r="BL105" s="1">
        <f t="shared" si="214"/>
        <v>2085</v>
      </c>
      <c r="BM105" s="1">
        <f t="shared" si="214"/>
        <v>2045</v>
      </c>
      <c r="BN105" s="1">
        <f t="shared" si="214"/>
        <v>2039</v>
      </c>
      <c r="BO105" s="1">
        <f t="shared" si="214"/>
        <v>2029</v>
      </c>
      <c r="BP105" s="1">
        <f t="shared" si="214"/>
        <v>2029</v>
      </c>
      <c r="BQ105" s="1">
        <f t="shared" si="214"/>
        <v>1985</v>
      </c>
      <c r="BR105" s="1">
        <f>BR50</f>
        <v>1974</v>
      </c>
      <c r="BS105" s="1">
        <f>BS50</f>
        <v>1959</v>
      </c>
      <c r="BT105" s="1">
        <f t="shared" ref="BT105" si="215">BT50</f>
        <v>1940</v>
      </c>
      <c r="CE105" s="46"/>
      <c r="CF105" s="46"/>
      <c r="CG105" s="46"/>
      <c r="CH105" s="46"/>
      <c r="CI105" s="46"/>
      <c r="CJ105" s="46"/>
      <c r="CK105" s="46"/>
      <c r="CL105" s="46"/>
      <c r="CM105" s="46"/>
      <c r="CN105" s="46"/>
      <c r="CO105" s="46"/>
      <c r="CP105" s="46">
        <f t="shared" ref="CP105:CS105" si="216">CP50</f>
        <v>2226.25</v>
      </c>
      <c r="CQ105" s="46">
        <f t="shared" si="216"/>
        <v>2191.25</v>
      </c>
      <c r="CR105" s="46">
        <f t="shared" si="216"/>
        <v>2141.5</v>
      </c>
      <c r="CS105" s="46">
        <f t="shared" si="216"/>
        <v>2090</v>
      </c>
      <c r="CT105" s="46">
        <f>CT50</f>
        <v>2035.5</v>
      </c>
      <c r="CU105" s="46">
        <f>CU50</f>
        <v>1964.5</v>
      </c>
    </row>
    <row r="106" spans="2:160">
      <c r="B106" s="1" t="s">
        <v>141</v>
      </c>
      <c r="AW106" s="40">
        <f t="shared" ref="AW106:BQ106" si="217">AW104/AW105</f>
        <v>1.6446428571428571</v>
      </c>
      <c r="AX106" s="40">
        <f t="shared" si="217"/>
        <v>0.56149012567324952</v>
      </c>
      <c r="AY106" s="40">
        <f t="shared" si="217"/>
        <v>1.2831978319783197</v>
      </c>
      <c r="AZ106" s="40">
        <f t="shared" si="217"/>
        <v>0.86729644624381463</v>
      </c>
      <c r="BA106" s="40">
        <f t="shared" si="217"/>
        <v>1.5240909090909092</v>
      </c>
      <c r="BB106" s="40">
        <f t="shared" si="217"/>
        <v>1.4459644322845417</v>
      </c>
      <c r="BC106" s="40">
        <f t="shared" si="217"/>
        <v>1.9391025641025641</v>
      </c>
      <c r="BD106" s="40">
        <f t="shared" si="217"/>
        <v>1.7198354661791591</v>
      </c>
      <c r="BE106" s="40">
        <f t="shared" si="217"/>
        <v>1.8800370541917555</v>
      </c>
      <c r="BF106" s="40">
        <f t="shared" si="217"/>
        <v>1.5042016806722689</v>
      </c>
      <c r="BG106" s="40">
        <f t="shared" si="217"/>
        <v>2.3565054015969937</v>
      </c>
      <c r="BH106" s="40">
        <f t="shared" si="217"/>
        <v>2.612827715355805</v>
      </c>
      <c r="BI106" s="40">
        <f t="shared" si="217"/>
        <v>1.8658420551855375</v>
      </c>
      <c r="BJ106" s="40">
        <f t="shared" si="217"/>
        <v>1.7439082656473961</v>
      </c>
      <c r="BK106" s="40">
        <f t="shared" si="217"/>
        <v>2.6451923076923078</v>
      </c>
      <c r="BL106" s="40">
        <f t="shared" si="217"/>
        <v>3.1760191846522781</v>
      </c>
      <c r="BM106" s="40">
        <f t="shared" si="217"/>
        <v>1.6366748166259169</v>
      </c>
      <c r="BN106" s="40">
        <f t="shared" si="217"/>
        <v>2.1172143207454637</v>
      </c>
      <c r="BO106" s="40">
        <f t="shared" si="217"/>
        <v>2.3035978314440611</v>
      </c>
      <c r="BP106" s="40">
        <f t="shared" si="217"/>
        <v>3.1320847708230657</v>
      </c>
      <c r="BQ106" s="40">
        <f t="shared" si="217"/>
        <v>2.5445843828715367</v>
      </c>
      <c r="BR106" s="40">
        <f>BR104/BR105</f>
        <v>2.2249240121580547</v>
      </c>
      <c r="BS106" s="40">
        <f>BS104/BS105</f>
        <v>3.208269525267994</v>
      </c>
      <c r="BT106" s="40">
        <f t="shared" ref="BT106" si="218">BT104/BT105</f>
        <v>3.2469072164948454</v>
      </c>
      <c r="CP106" s="40">
        <f t="shared" ref="CP106:CS106" si="219">CP104/CP105</f>
        <v>4.3588994946659181</v>
      </c>
      <c r="CQ106" s="40">
        <f t="shared" si="219"/>
        <v>6.6272675413576723</v>
      </c>
      <c r="CR106" s="40">
        <f t="shared" si="219"/>
        <v>8.348820919915946</v>
      </c>
      <c r="CS106" s="40">
        <f t="shared" si="219"/>
        <v>9.4239234449760758</v>
      </c>
      <c r="CT106" s="40">
        <f>CT104/CT105</f>
        <v>9.1834929992630805</v>
      </c>
      <c r="CU106" s="40">
        <f>SUM(BQ106:BT106)</f>
        <v>11.224685136792431</v>
      </c>
    </row>
  </sheetData>
  <mergeCells count="1">
    <mergeCell ref="DD78:DE78"/>
  </mergeCells>
  <conditionalFormatting sqref="DD7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ontainsText" dxfId="4" priority="2" operator="containsText" text="Strong Sell">
      <formula>NOT(ISERROR(SEARCH("Strong Sell",DD78)))</formula>
    </cfRule>
    <cfRule type="containsText" dxfId="3" priority="3" operator="containsText" text="Sell">
      <formula>NOT(ISERROR(SEARCH("Sell",DD78)))</formula>
    </cfRule>
    <cfRule type="containsText" dxfId="2" priority="4" operator="containsText" text="Hold">
      <formula>NOT(ISERROR(SEARCH("Hold",DD78)))</formula>
    </cfRule>
    <cfRule type="beginsWith" dxfId="1" priority="5" operator="beginsWith" text="Buy">
      <formula>LEFT(DD78,LEN("Buy"))="Buy"</formula>
    </cfRule>
    <cfRule type="beginsWith" dxfId="0" priority="6" operator="beginsWith" text="Strong">
      <formula>LEFT(DD78,LEN("Strong"))="Strong"</formula>
    </cfRule>
  </conditionalFormatting>
  <pageMargins left="0.7" right="0.7" top="0.75" bottom="0.75" header="0.3" footer="0.3"/>
  <pageSetup orientation="portrait" r:id="rId1"/>
  <ignoredErrors>
    <ignoredError sqref="CE47:CT48 CE35:CT44 C43:BR43 AZ37:AZ42 BP36 CE102:CT103 CR46:CT46 CE45:CT45 CP51:CT51 CE49:CJ49 CL49:CT49 AZ45:BA48 AZ95:BR97 BU95:BZ97 BS95:BS96 BS102 CA95:CT97 CV95:DB97 BT95:BT96 CU50" formulaRange="1"/>
    <ignoredError sqref="AW51:BJ51" evalError="1"/>
    <ignoredError sqref="CE46:CQ46 CK49 CT50 CP50:CS50" formula="1" formulaRange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D4A5-C172-4508-BDD9-9132B91E029B}">
  <dimension ref="A1:CA1557"/>
  <sheetViews>
    <sheetView topLeftCell="H78" zoomScale="85" zoomScaleNormal="85" workbookViewId="0">
      <selection activeCell="AA148" sqref="AA148"/>
    </sheetView>
  </sheetViews>
  <sheetFormatPr defaultRowHeight="14.25"/>
  <cols>
    <col min="1" max="7" width="0" style="1" hidden="1" customWidth="1"/>
    <col min="8" max="8" width="3.140625" style="1" customWidth="1"/>
    <col min="9" max="28" width="9.140625" style="1"/>
    <col min="29" max="29" width="2.85546875" style="1" customWidth="1"/>
    <col min="30" max="16384" width="9.140625" style="1"/>
  </cols>
  <sheetData>
    <row r="1" spans="8:79">
      <c r="CA1" s="1">
        <v>0</v>
      </c>
    </row>
    <row r="2" spans="8:79" ht="15">
      <c r="H2" s="2" t="s">
        <v>236</v>
      </c>
      <c r="AD2" s="2" t="s">
        <v>142</v>
      </c>
    </row>
    <row r="27" spans="9:10">
      <c r="I27" s="1" t="s">
        <v>15</v>
      </c>
      <c r="J27" s="1" t="s">
        <v>16</v>
      </c>
    </row>
    <row r="28" spans="9:10">
      <c r="J28" s="1" t="s">
        <v>17</v>
      </c>
    </row>
    <row r="29" spans="9:10">
      <c r="J29" s="1" t="s">
        <v>18</v>
      </c>
    </row>
    <row r="35" spans="8:30" ht="15">
      <c r="H35" s="2"/>
    </row>
    <row r="37" spans="8:30" ht="15">
      <c r="H37" s="2" t="s">
        <v>237</v>
      </c>
      <c r="AD37" s="2" t="s">
        <v>143</v>
      </c>
    </row>
    <row r="38" spans="8:30" ht="15">
      <c r="AD38" s="2" t="s">
        <v>144</v>
      </c>
    </row>
    <row r="39" spans="8:30">
      <c r="AD39" s="1" t="s">
        <v>145</v>
      </c>
    </row>
    <row r="41" spans="8:30" ht="15">
      <c r="H41" s="2"/>
    </row>
    <row r="62" spans="9:10">
      <c r="I62" s="1" t="s">
        <v>15</v>
      </c>
      <c r="J62" s="1" t="s">
        <v>16</v>
      </c>
    </row>
    <row r="63" spans="9:10">
      <c r="J63" s="1" t="s">
        <v>17</v>
      </c>
    </row>
    <row r="64" spans="9:10">
      <c r="J64" s="1" t="s">
        <v>18</v>
      </c>
    </row>
    <row r="66" spans="8:8" ht="15">
      <c r="H66" s="2" t="s">
        <v>234</v>
      </c>
    </row>
    <row r="85" spans="30:30" ht="15">
      <c r="AD85" s="2" t="s">
        <v>146</v>
      </c>
    </row>
    <row r="86" spans="30:30">
      <c r="AD86" s="1" t="s">
        <v>147</v>
      </c>
    </row>
    <row r="98" spans="8:10">
      <c r="I98" s="1" t="s">
        <v>15</v>
      </c>
      <c r="J98" s="1" t="s">
        <v>16</v>
      </c>
    </row>
    <row r="99" spans="8:10">
      <c r="J99" s="1" t="s">
        <v>17</v>
      </c>
    </row>
    <row r="100" spans="8:10">
      <c r="J100" s="1" t="s">
        <v>18</v>
      </c>
    </row>
    <row r="102" spans="8:10" ht="15">
      <c r="H102" s="2" t="s">
        <v>19</v>
      </c>
    </row>
    <row r="131" spans="8:10">
      <c r="I131" s="1" t="s">
        <v>15</v>
      </c>
      <c r="J131" s="1" t="s">
        <v>16</v>
      </c>
    </row>
    <row r="132" spans="8:10">
      <c r="J132" s="1" t="s">
        <v>17</v>
      </c>
    </row>
    <row r="133" spans="8:10">
      <c r="J133" s="1" t="s">
        <v>18</v>
      </c>
    </row>
    <row r="135" spans="8:10" ht="15">
      <c r="H135" s="2" t="s">
        <v>235</v>
      </c>
    </row>
    <row r="163" spans="8:10" ht="15" customHeight="1"/>
    <row r="164" spans="8:10">
      <c r="I164" s="1" t="s">
        <v>15</v>
      </c>
      <c r="J164" s="1" t="s">
        <v>16</v>
      </c>
    </row>
    <row r="165" spans="8:10">
      <c r="J165" s="1" t="s">
        <v>17</v>
      </c>
    </row>
    <row r="166" spans="8:10">
      <c r="J166" s="1" t="s">
        <v>18</v>
      </c>
    </row>
    <row r="168" spans="8:10" ht="15">
      <c r="H168" s="2" t="s">
        <v>1544</v>
      </c>
    </row>
    <row r="180" spans="30:30" ht="15">
      <c r="AD180" s="2" t="s">
        <v>148</v>
      </c>
    </row>
    <row r="181" spans="30:30">
      <c r="AD181" s="1" t="s">
        <v>149</v>
      </c>
    </row>
    <row r="198" spans="9:17">
      <c r="I198" s="26"/>
      <c r="J198" s="26" t="s">
        <v>27</v>
      </c>
      <c r="K198" s="27">
        <f>MIN(G211:G1466)</f>
        <v>-5.5768452262435098E-2</v>
      </c>
    </row>
    <row r="199" spans="9:17">
      <c r="I199" s="26"/>
      <c r="J199" s="26" t="s">
        <v>28</v>
      </c>
      <c r="K199" s="27">
        <f>MAX(G211:G1466)</f>
        <v>8.7669678623713221E-2</v>
      </c>
    </row>
    <row r="200" spans="9:17">
      <c r="I200" s="26"/>
      <c r="J200" s="26" t="s">
        <v>29</v>
      </c>
      <c r="K200" s="27">
        <f>AVERAGE(G211:G1466)</f>
        <v>3.8010990926577764E-4</v>
      </c>
    </row>
    <row r="201" spans="9:17">
      <c r="I201" s="26"/>
      <c r="J201" s="26" t="s">
        <v>30</v>
      </c>
      <c r="K201" s="27">
        <f>MEDIAN(G211:G1466)</f>
        <v>1.1383901782567873E-3</v>
      </c>
    </row>
    <row r="202" spans="9:17" ht="15">
      <c r="I202" s="26"/>
      <c r="J202" s="26" t="s">
        <v>31</v>
      </c>
      <c r="K202" s="27">
        <f>_xlfn.STDEV.P(G211:G1466)</f>
        <v>1.2231970506038199E-2</v>
      </c>
      <c r="M202" s="2"/>
    </row>
    <row r="203" spans="9:17" ht="15">
      <c r="I203" s="26"/>
      <c r="J203" s="28" t="s">
        <v>32</v>
      </c>
      <c r="K203" s="27">
        <f>3*K202</f>
        <v>3.6695911518114598E-2</v>
      </c>
      <c r="L203" s="26"/>
      <c r="M203" s="2" t="s">
        <v>161</v>
      </c>
    </row>
    <row r="204" spans="9:17" ht="15">
      <c r="I204" s="26"/>
      <c r="J204" s="28" t="s">
        <v>33</v>
      </c>
      <c r="K204" s="26">
        <v>0.94</v>
      </c>
      <c r="L204" s="26"/>
      <c r="M204" s="2" t="s">
        <v>34</v>
      </c>
    </row>
    <row r="206" spans="9:17">
      <c r="I206" s="29" t="s">
        <v>35</v>
      </c>
      <c r="J206" s="30">
        <v>1256</v>
      </c>
    </row>
    <row r="207" spans="9:17" ht="15" thickBot="1">
      <c r="I207" s="1" t="s">
        <v>36</v>
      </c>
      <c r="L207" s="1" t="s">
        <v>37</v>
      </c>
      <c r="P207" s="1" t="s">
        <v>38</v>
      </c>
    </row>
    <row r="208" spans="9:17" ht="15" customHeight="1">
      <c r="I208" s="53" t="s">
        <v>39</v>
      </c>
      <c r="J208" s="53" t="s">
        <v>40</v>
      </c>
      <c r="L208" s="31" t="s">
        <v>41</v>
      </c>
      <c r="M208" s="32" t="s">
        <v>42</v>
      </c>
      <c r="P208" s="31" t="s">
        <v>43</v>
      </c>
      <c r="Q208" s="32" t="s">
        <v>44</v>
      </c>
    </row>
    <row r="209" spans="1:17" ht="15" customHeight="1">
      <c r="A209" s="1" t="s">
        <v>1494</v>
      </c>
      <c r="I209" s="51">
        <v>-0.04</v>
      </c>
      <c r="J209">
        <v>2</v>
      </c>
      <c r="L209" s="51">
        <v>-4.2500000000000003E-2</v>
      </c>
      <c r="M209" s="1">
        <f>_xlfn.NORM.DIST(L209,$K$200,$K$202,FALSE)</f>
        <v>6.9964307778737023E-2</v>
      </c>
      <c r="O209" s="1" t="s">
        <v>152</v>
      </c>
      <c r="P209" s="25">
        <f>K200</f>
        <v>3.8010990926577764E-4</v>
      </c>
      <c r="Q209" s="1">
        <v>0</v>
      </c>
    </row>
    <row r="210" spans="1:17" ht="15">
      <c r="A210" s="24" t="s">
        <v>20</v>
      </c>
      <c r="B210" s="24" t="s">
        <v>21</v>
      </c>
      <c r="C210" s="24" t="s">
        <v>22</v>
      </c>
      <c r="D210" s="24" t="s">
        <v>23</v>
      </c>
      <c r="E210" s="24" t="s">
        <v>24</v>
      </c>
      <c r="F210" s="24" t="s">
        <v>25</v>
      </c>
      <c r="G210" s="24" t="s">
        <v>26</v>
      </c>
      <c r="I210" s="51">
        <v>-3.7499999999999999E-2</v>
      </c>
      <c r="J210">
        <v>1</v>
      </c>
      <c r="L210" s="51">
        <v>-0.04</v>
      </c>
      <c r="M210" s="1">
        <f t="shared" ref="M210:M243" si="0">_xlfn.NORM.DIST(L210,$K$200,$K$202,FALSE)</f>
        <v>0.14027116510092255</v>
      </c>
      <c r="P210" s="25">
        <f>K200</f>
        <v>3.8010990926577764E-4</v>
      </c>
      <c r="Q210" s="1">
        <v>35</v>
      </c>
    </row>
    <row r="211" spans="1:17" ht="15">
      <c r="A211" s="50">
        <v>343.75</v>
      </c>
      <c r="B211" s="50">
        <v>344.3</v>
      </c>
      <c r="C211" s="50">
        <v>335.63</v>
      </c>
      <c r="D211" s="50">
        <v>337.5</v>
      </c>
      <c r="E211" s="50">
        <v>7531838</v>
      </c>
      <c r="F211" s="50" t="s">
        <v>238</v>
      </c>
      <c r="G211" s="25">
        <f>A211/D211-1</f>
        <v>1.8518518518518601E-2</v>
      </c>
      <c r="I211" s="51">
        <v>-3.5000000000000003E-2</v>
      </c>
      <c r="J211">
        <v>2</v>
      </c>
      <c r="L211" s="51">
        <v>-3.7499999999999999E-2</v>
      </c>
      <c r="M211" s="1">
        <f t="shared" si="0"/>
        <v>0.26972353231337459</v>
      </c>
      <c r="O211" s="39" t="s">
        <v>153</v>
      </c>
      <c r="P211" s="25">
        <f>($K$202*-3)+$K$200</f>
        <v>-3.631580160884882E-2</v>
      </c>
      <c r="Q211" s="1">
        <v>0</v>
      </c>
    </row>
    <row r="212" spans="1:17" ht="15">
      <c r="A212" s="50">
        <v>338.57</v>
      </c>
      <c r="B212" s="50">
        <v>340</v>
      </c>
      <c r="C212" s="50">
        <v>334.92</v>
      </c>
      <c r="D212" s="50">
        <v>338.95</v>
      </c>
      <c r="E212" s="50">
        <v>19315877</v>
      </c>
      <c r="F212" s="50" t="s">
        <v>239</v>
      </c>
      <c r="G212" s="25">
        <f t="shared" ref="G212:G275" si="1">A212/D212-1</f>
        <v>-1.121109308157564E-3</v>
      </c>
      <c r="I212" s="51">
        <v>-3.2500000000000001E-2</v>
      </c>
      <c r="J212">
        <v>3</v>
      </c>
      <c r="L212" s="51">
        <v>-3.5000000000000003E-2</v>
      </c>
      <c r="M212" s="1">
        <f t="shared" si="0"/>
        <v>0.49742527020168037</v>
      </c>
      <c r="O212" s="40"/>
      <c r="P212" s="25">
        <f>($K$202*-3)+$K$200</f>
        <v>-3.631580160884882E-2</v>
      </c>
      <c r="Q212" s="1">
        <v>5</v>
      </c>
    </row>
    <row r="213" spans="1:17" ht="15">
      <c r="A213" s="50">
        <v>340.38</v>
      </c>
      <c r="B213" s="50">
        <v>358.47500000000002</v>
      </c>
      <c r="C213" s="50">
        <v>338.04</v>
      </c>
      <c r="D213" s="50">
        <v>357.85</v>
      </c>
      <c r="E213" s="50">
        <v>15008618</v>
      </c>
      <c r="F213" s="50" t="s">
        <v>240</v>
      </c>
      <c r="G213" s="25">
        <f t="shared" si="1"/>
        <v>-4.8819337711331623E-2</v>
      </c>
      <c r="I213" s="51">
        <v>-0.03</v>
      </c>
      <c r="J213">
        <v>2</v>
      </c>
      <c r="L213" s="51">
        <v>-3.2500000000000001E-2</v>
      </c>
      <c r="M213" s="1">
        <f t="shared" si="0"/>
        <v>0.87982322517800482</v>
      </c>
      <c r="O213" s="39" t="s">
        <v>154</v>
      </c>
      <c r="P213" s="25">
        <f>($K$202*-2)+$K$200</f>
        <v>-2.4083831102810621E-2</v>
      </c>
      <c r="Q213" s="1">
        <v>0</v>
      </c>
    </row>
    <row r="214" spans="1:17" ht="15">
      <c r="A214" s="50">
        <v>357.84</v>
      </c>
      <c r="B214" s="50">
        <v>359.60239999999999</v>
      </c>
      <c r="C214" s="50">
        <v>353.32</v>
      </c>
      <c r="D214" s="50">
        <v>353.49</v>
      </c>
      <c r="E214" s="50">
        <v>5559643</v>
      </c>
      <c r="F214" s="50" t="s">
        <v>241</v>
      </c>
      <c r="G214" s="25">
        <f t="shared" si="1"/>
        <v>1.2305864380887543E-2</v>
      </c>
      <c r="I214" s="51">
        <v>-2.75E-2</v>
      </c>
      <c r="J214">
        <v>9</v>
      </c>
      <c r="L214" s="51">
        <v>-0.03</v>
      </c>
      <c r="M214" s="1">
        <f t="shared" si="0"/>
        <v>1.4925248520927807</v>
      </c>
      <c r="O214" s="40"/>
      <c r="P214" s="25">
        <f>($K$202*-2)+$K$200</f>
        <v>-2.4083831102810621E-2</v>
      </c>
      <c r="Q214" s="1">
        <v>10</v>
      </c>
    </row>
    <row r="215" spans="1:17" ht="15">
      <c r="A215" s="50">
        <v>355.48</v>
      </c>
      <c r="B215" s="50">
        <v>360.22</v>
      </c>
      <c r="C215" s="50">
        <v>354.33</v>
      </c>
      <c r="D215" s="50">
        <v>356.49</v>
      </c>
      <c r="E215" s="50">
        <v>7234665</v>
      </c>
      <c r="F215" s="50" t="s">
        <v>242</v>
      </c>
      <c r="G215" s="25">
        <f t="shared" si="1"/>
        <v>-2.8331790513057564E-3</v>
      </c>
      <c r="I215" s="51">
        <v>-2.5000000000000001E-2</v>
      </c>
      <c r="J215">
        <v>11</v>
      </c>
      <c r="L215" s="51">
        <v>-2.75E-2</v>
      </c>
      <c r="M215" s="1">
        <f t="shared" si="0"/>
        <v>2.4283220989275822</v>
      </c>
      <c r="O215" s="41" t="s">
        <v>155</v>
      </c>
      <c r="P215" s="25">
        <f>($K$202*-1)+$K$200</f>
        <v>-1.1851860596772422E-2</v>
      </c>
      <c r="Q215" s="1">
        <v>0</v>
      </c>
    </row>
    <row r="216" spans="1:17" ht="15">
      <c r="A216" s="50">
        <v>352.85</v>
      </c>
      <c r="B216" s="50">
        <v>363.01</v>
      </c>
      <c r="C216" s="50">
        <v>345</v>
      </c>
      <c r="D216" s="50">
        <v>361.505</v>
      </c>
      <c r="E216" s="50">
        <v>14181686</v>
      </c>
      <c r="F216" s="50" t="s">
        <v>243</v>
      </c>
      <c r="G216" s="25">
        <f t="shared" si="1"/>
        <v>-2.3941577571541139E-2</v>
      </c>
      <c r="I216" s="51">
        <v>-2.2499999999999999E-2</v>
      </c>
      <c r="J216">
        <v>14</v>
      </c>
      <c r="L216" s="51">
        <v>-2.5000000000000001E-2</v>
      </c>
      <c r="M216" s="1">
        <f t="shared" si="0"/>
        <v>3.7892179387513614</v>
      </c>
      <c r="P216" s="25">
        <f>($K$202*-1)+$K$200</f>
        <v>-1.1851860596772422E-2</v>
      </c>
      <c r="Q216" s="1">
        <v>25</v>
      </c>
    </row>
    <row r="217" spans="1:17" ht="15">
      <c r="A217" s="50">
        <v>371.4</v>
      </c>
      <c r="B217" s="50">
        <v>374.17</v>
      </c>
      <c r="C217" s="50">
        <v>369.54500000000002</v>
      </c>
      <c r="D217" s="50">
        <v>372.23</v>
      </c>
      <c r="E217" s="50">
        <v>4874007</v>
      </c>
      <c r="F217" s="50" t="s">
        <v>244</v>
      </c>
      <c r="G217" s="25">
        <f t="shared" si="1"/>
        <v>-2.229804153346171E-3</v>
      </c>
      <c r="I217" s="51">
        <v>-0.02</v>
      </c>
      <c r="J217">
        <v>15</v>
      </c>
      <c r="L217" s="51">
        <v>-2.2499999999999999E-2</v>
      </c>
      <c r="M217" s="1">
        <f t="shared" si="0"/>
        <v>5.6708929452610652</v>
      </c>
      <c r="O217" s="1" t="s">
        <v>156</v>
      </c>
      <c r="P217" s="25">
        <f>($K$202*1)+$K$200</f>
        <v>1.2612080415303976E-2</v>
      </c>
      <c r="Q217" s="1">
        <v>0</v>
      </c>
    </row>
    <row r="218" spans="1:17" ht="15">
      <c r="A218" s="50">
        <v>373.31</v>
      </c>
      <c r="B218" s="50">
        <v>375.51</v>
      </c>
      <c r="C218" s="50">
        <v>369.38</v>
      </c>
      <c r="D218" s="50">
        <v>370</v>
      </c>
      <c r="E218" s="50">
        <v>5562874</v>
      </c>
      <c r="F218" s="50" t="s">
        <v>245</v>
      </c>
      <c r="G218" s="25">
        <f t="shared" si="1"/>
        <v>8.9459459459459989E-3</v>
      </c>
      <c r="I218" s="51">
        <v>-1.7500000000000002E-2</v>
      </c>
      <c r="J218">
        <v>16</v>
      </c>
      <c r="L218" s="51">
        <v>-0.02</v>
      </c>
      <c r="M218" s="1">
        <f t="shared" si="0"/>
        <v>8.1397653339995735</v>
      </c>
      <c r="P218" s="25">
        <f>($K$202*1)+$K$200</f>
        <v>1.2612080415303976E-2</v>
      </c>
      <c r="Q218" s="1">
        <v>25</v>
      </c>
    </row>
    <row r="219" spans="1:17" ht="15">
      <c r="A219" s="50">
        <v>370.7</v>
      </c>
      <c r="B219" s="50">
        <v>371.44</v>
      </c>
      <c r="C219" s="50">
        <v>366.68</v>
      </c>
      <c r="D219" s="50">
        <v>367</v>
      </c>
      <c r="E219" s="50">
        <v>4109266</v>
      </c>
      <c r="F219" s="50" t="s">
        <v>246</v>
      </c>
      <c r="G219" s="25">
        <f t="shared" si="1"/>
        <v>1.0081743869209792E-2</v>
      </c>
      <c r="I219" s="51">
        <v>-1.4999999999999999E-2</v>
      </c>
      <c r="J219">
        <v>22</v>
      </c>
      <c r="L219" s="51">
        <v>-1.7500000000000002E-2</v>
      </c>
      <c r="M219" s="1">
        <f t="shared" si="0"/>
        <v>11.205491021250451</v>
      </c>
      <c r="O219" s="42" t="s">
        <v>157</v>
      </c>
      <c r="P219" s="25">
        <f>($K$202*2)+$K$200</f>
        <v>2.4844050921342176E-2</v>
      </c>
      <c r="Q219" s="1">
        <v>0</v>
      </c>
    </row>
    <row r="220" spans="1:17" ht="15">
      <c r="A220" s="50">
        <v>366.66</v>
      </c>
      <c r="B220" s="50">
        <v>369.79</v>
      </c>
      <c r="C220" s="50">
        <v>362.05</v>
      </c>
      <c r="D220" s="50">
        <v>369.79</v>
      </c>
      <c r="E220" s="50">
        <v>5000275</v>
      </c>
      <c r="F220" s="50" t="s">
        <v>247</v>
      </c>
      <c r="G220" s="25">
        <f t="shared" si="1"/>
        <v>-8.4642635009058997E-3</v>
      </c>
      <c r="I220" s="51">
        <v>-1.2500000000000001E-2</v>
      </c>
      <c r="J220">
        <v>43</v>
      </c>
      <c r="L220" s="51">
        <v>-1.4999999999999999E-2</v>
      </c>
      <c r="M220" s="1">
        <f t="shared" si="0"/>
        <v>14.794778618251756</v>
      </c>
      <c r="P220" s="25">
        <f>($K$202*2)+$K$200</f>
        <v>2.4844050921342176E-2</v>
      </c>
      <c r="Q220" s="1">
        <v>10</v>
      </c>
    </row>
    <row r="221" spans="1:17" ht="15">
      <c r="A221" s="50">
        <v>370.22</v>
      </c>
      <c r="B221" s="50">
        <v>371</v>
      </c>
      <c r="C221" s="50">
        <v>367.55</v>
      </c>
      <c r="D221" s="50">
        <v>369.01</v>
      </c>
      <c r="E221" s="50">
        <v>5008493</v>
      </c>
      <c r="F221" s="50" t="s">
        <v>248</v>
      </c>
      <c r="G221" s="25">
        <f t="shared" si="1"/>
        <v>3.2790439283489903E-3</v>
      </c>
      <c r="I221" s="51">
        <v>-0.01</v>
      </c>
      <c r="J221">
        <v>46</v>
      </c>
      <c r="L221" s="51">
        <v>-1.2500000000000001E-2</v>
      </c>
      <c r="M221" s="1">
        <f t="shared" si="0"/>
        <v>18.734608484649627</v>
      </c>
      <c r="O221" s="42" t="s">
        <v>158</v>
      </c>
      <c r="P221" s="25">
        <f>($K$202*3)+$K$200</f>
        <v>3.7076021427380375E-2</v>
      </c>
      <c r="Q221" s="1">
        <v>0</v>
      </c>
    </row>
    <row r="222" spans="1:17" ht="15">
      <c r="A222" s="50">
        <v>366.77</v>
      </c>
      <c r="B222" s="50">
        <v>371</v>
      </c>
      <c r="C222" s="50">
        <v>365.93</v>
      </c>
      <c r="D222" s="50">
        <v>370</v>
      </c>
      <c r="E222" s="50">
        <v>6884638</v>
      </c>
      <c r="F222" s="50" t="s">
        <v>249</v>
      </c>
      <c r="G222" s="25">
        <f t="shared" si="1"/>
        <v>-8.7297297297297405E-3</v>
      </c>
      <c r="I222" s="51">
        <v>-7.4999999999999997E-3</v>
      </c>
      <c r="J222">
        <v>75</v>
      </c>
      <c r="L222" s="51">
        <v>-0.01</v>
      </c>
      <c r="M222" s="1">
        <f t="shared" si="0"/>
        <v>22.753035475887955</v>
      </c>
      <c r="O222" s="42"/>
      <c r="P222" s="25">
        <f>($K$202*3)+$K$200</f>
        <v>3.7076021427380375E-2</v>
      </c>
      <c r="Q222" s="1">
        <v>5</v>
      </c>
    </row>
    <row r="223" spans="1:17" ht="15">
      <c r="A223" s="50">
        <v>368</v>
      </c>
      <c r="B223" s="50">
        <v>369.66</v>
      </c>
      <c r="C223" s="50">
        <v>366.31</v>
      </c>
      <c r="D223" s="50">
        <v>366.71</v>
      </c>
      <c r="E223" s="50">
        <v>4202306</v>
      </c>
      <c r="F223" s="50" t="s">
        <v>250</v>
      </c>
      <c r="G223" s="25">
        <f t="shared" si="1"/>
        <v>3.5177660821903434E-3</v>
      </c>
      <c r="I223" s="51">
        <v>-5.0000000000000001E-3</v>
      </c>
      <c r="J223">
        <v>90</v>
      </c>
      <c r="L223" s="51">
        <v>-7.4999999999999997E-3</v>
      </c>
      <c r="M223" s="1">
        <f t="shared" si="0"/>
        <v>26.502853621123453</v>
      </c>
    </row>
    <row r="224" spans="1:17" ht="15">
      <c r="A224" s="50">
        <v>365.86</v>
      </c>
      <c r="B224" s="50">
        <v>366.88</v>
      </c>
      <c r="C224" s="50">
        <v>361.5</v>
      </c>
      <c r="D224" s="50">
        <v>364.58</v>
      </c>
      <c r="E224" s="50">
        <v>5221424</v>
      </c>
      <c r="F224" s="50" t="s">
        <v>251</v>
      </c>
      <c r="G224" s="25">
        <f t="shared" si="1"/>
        <v>3.5108892424160487E-3</v>
      </c>
      <c r="I224" s="51">
        <v>-2.5000000000000001E-3</v>
      </c>
      <c r="J224">
        <v>105</v>
      </c>
      <c r="L224" s="51">
        <v>-5.0000000000000001E-3</v>
      </c>
      <c r="M224" s="1">
        <f t="shared" si="0"/>
        <v>29.607688537770137</v>
      </c>
    </row>
    <row r="225" spans="1:13" ht="15">
      <c r="A225" s="50">
        <v>365.32</v>
      </c>
      <c r="B225" s="50">
        <v>365.46</v>
      </c>
      <c r="C225" s="50">
        <v>359.96</v>
      </c>
      <c r="D225" s="50">
        <v>362.77</v>
      </c>
      <c r="E225" s="50">
        <v>3845997</v>
      </c>
      <c r="F225" s="50" t="s">
        <v>252</v>
      </c>
      <c r="G225" s="25">
        <f t="shared" si="1"/>
        <v>7.0292471814097368E-3</v>
      </c>
      <c r="I225" s="51">
        <v>0</v>
      </c>
      <c r="J225">
        <v>126</v>
      </c>
      <c r="L225" s="51">
        <v>-2.5000000000000001E-3</v>
      </c>
      <c r="M225" s="1">
        <f t="shared" si="0"/>
        <v>31.723050364261919</v>
      </c>
    </row>
    <row r="226" spans="1:13" ht="15">
      <c r="A226" s="50">
        <v>365.19</v>
      </c>
      <c r="B226" s="50">
        <v>367.04</v>
      </c>
      <c r="C226" s="50">
        <v>361.35</v>
      </c>
      <c r="D226" s="50">
        <v>361.35</v>
      </c>
      <c r="E226" s="50">
        <v>8726858</v>
      </c>
      <c r="F226" s="50" t="s">
        <v>253</v>
      </c>
      <c r="G226" s="25">
        <f t="shared" si="1"/>
        <v>1.0626816106268144E-2</v>
      </c>
      <c r="I226" s="51">
        <v>2.5000000000000001E-3</v>
      </c>
      <c r="J226">
        <v>121</v>
      </c>
      <c r="L226" s="51">
        <v>0</v>
      </c>
      <c r="M226" s="1">
        <f t="shared" si="0"/>
        <v>32.59897535114667</v>
      </c>
    </row>
    <row r="227" spans="1:13" ht="15">
      <c r="A227" s="50">
        <v>362.4</v>
      </c>
      <c r="B227" s="50">
        <v>363.04</v>
      </c>
      <c r="C227" s="50">
        <v>358.72</v>
      </c>
      <c r="D227" s="50">
        <v>360.35</v>
      </c>
      <c r="E227" s="50">
        <v>4590972</v>
      </c>
      <c r="F227" s="50" t="s">
        <v>254</v>
      </c>
      <c r="G227" s="25">
        <f t="shared" si="1"/>
        <v>5.6889135562645521E-3</v>
      </c>
      <c r="I227" s="51">
        <v>5.0000000000000001E-3</v>
      </c>
      <c r="J227">
        <v>124</v>
      </c>
      <c r="L227" s="51">
        <v>2.5000000000000001E-3</v>
      </c>
      <c r="M227" s="1">
        <f t="shared" si="0"/>
        <v>32.128579909463184</v>
      </c>
    </row>
    <row r="228" spans="1:13" ht="15">
      <c r="A228" s="50">
        <v>359.73</v>
      </c>
      <c r="B228" s="50">
        <v>360.91</v>
      </c>
      <c r="C228" s="50">
        <v>358.04</v>
      </c>
      <c r="D228" s="50">
        <v>359.34</v>
      </c>
      <c r="E228" s="50">
        <v>3299041</v>
      </c>
      <c r="F228" s="50" t="s">
        <v>255</v>
      </c>
      <c r="G228" s="25">
        <f t="shared" si="1"/>
        <v>1.0853230923359991E-3</v>
      </c>
      <c r="I228" s="51">
        <v>7.4999999999999997E-3</v>
      </c>
      <c r="J228">
        <v>119</v>
      </c>
      <c r="L228" s="51">
        <v>5.0000000000000001E-3</v>
      </c>
      <c r="M228" s="1">
        <f t="shared" si="0"/>
        <v>30.369502824392285</v>
      </c>
    </row>
    <row r="229" spans="1:13" ht="15">
      <c r="A229" s="50">
        <v>359.3</v>
      </c>
      <c r="B229" s="50">
        <v>360</v>
      </c>
      <c r="C229" s="50">
        <v>354.48</v>
      </c>
      <c r="D229" s="50">
        <v>355.41</v>
      </c>
      <c r="E229" s="50">
        <v>6316301</v>
      </c>
      <c r="F229" s="50" t="s">
        <v>256</v>
      </c>
      <c r="G229" s="25">
        <f t="shared" si="1"/>
        <v>1.0945105652626408E-2</v>
      </c>
      <c r="I229" s="51">
        <v>0.01</v>
      </c>
      <c r="J229">
        <v>90</v>
      </c>
      <c r="L229" s="51">
        <v>7.4999999999999997E-3</v>
      </c>
      <c r="M229" s="1">
        <f t="shared" si="0"/>
        <v>27.532294475243976</v>
      </c>
    </row>
    <row r="230" spans="1:13" ht="15">
      <c r="A230" s="50">
        <v>353.54</v>
      </c>
      <c r="B230" s="50">
        <v>356</v>
      </c>
      <c r="C230" s="50">
        <v>352.22</v>
      </c>
      <c r="D230" s="50">
        <v>353.745</v>
      </c>
      <c r="E230" s="50">
        <v>5346050</v>
      </c>
      <c r="F230" s="50" t="s">
        <v>257</v>
      </c>
      <c r="G230" s="25">
        <f t="shared" si="1"/>
        <v>-5.7951349135676455E-4</v>
      </c>
      <c r="I230" s="51">
        <v>1.2500000000000001E-2</v>
      </c>
      <c r="J230">
        <v>62</v>
      </c>
      <c r="L230" s="51">
        <v>0.01</v>
      </c>
      <c r="M230" s="1">
        <f t="shared" si="0"/>
        <v>23.938983277708964</v>
      </c>
    </row>
    <row r="231" spans="1:13" ht="15">
      <c r="A231" s="50">
        <v>357.97</v>
      </c>
      <c r="B231" s="50">
        <v>360</v>
      </c>
      <c r="C231" s="50">
        <v>356.56</v>
      </c>
      <c r="D231" s="50">
        <v>357.755</v>
      </c>
      <c r="E231" s="50">
        <v>4936568</v>
      </c>
      <c r="F231" s="50" t="s">
        <v>258</v>
      </c>
      <c r="G231" s="25">
        <f t="shared" si="1"/>
        <v>6.0096993752711825E-4</v>
      </c>
      <c r="I231" s="51">
        <v>1.4999999999999999E-2</v>
      </c>
      <c r="J231">
        <v>51</v>
      </c>
      <c r="L231" s="51">
        <v>1.2500000000000001E-2</v>
      </c>
      <c r="M231" s="1">
        <f t="shared" si="0"/>
        <v>19.963080976514274</v>
      </c>
    </row>
    <row r="232" spans="1:13" ht="15">
      <c r="A232" s="50">
        <v>358.3</v>
      </c>
      <c r="B232" s="50">
        <v>365.98899999999998</v>
      </c>
      <c r="C232" s="50">
        <v>358.08</v>
      </c>
      <c r="D232" s="50">
        <v>363.72</v>
      </c>
      <c r="E232" s="50">
        <v>6125536</v>
      </c>
      <c r="F232" s="50" t="s">
        <v>259</v>
      </c>
      <c r="G232" s="25">
        <f t="shared" si="1"/>
        <v>-1.4901572638293281E-2</v>
      </c>
      <c r="I232" s="51">
        <v>1.7500000000000002E-2</v>
      </c>
      <c r="J232">
        <v>40</v>
      </c>
      <c r="L232" s="51">
        <v>1.4999999999999999E-2</v>
      </c>
      <c r="M232" s="1">
        <f t="shared" si="0"/>
        <v>15.966436830326174</v>
      </c>
    </row>
    <row r="233" spans="1:13" ht="15">
      <c r="A233" s="50">
        <v>366.84</v>
      </c>
      <c r="B233" s="50">
        <v>368.25</v>
      </c>
      <c r="C233" s="50">
        <v>364.69</v>
      </c>
      <c r="D233" s="50">
        <v>367.78</v>
      </c>
      <c r="E233" s="50">
        <v>5281778</v>
      </c>
      <c r="F233" s="50" t="s">
        <v>260</v>
      </c>
      <c r="G233" s="25">
        <f t="shared" si="1"/>
        <v>-2.5558757953123568E-3</v>
      </c>
      <c r="I233" s="51">
        <v>0.02</v>
      </c>
      <c r="J233">
        <v>14</v>
      </c>
      <c r="L233" s="51">
        <v>1.7500000000000002E-2</v>
      </c>
      <c r="M233" s="1">
        <f t="shared" si="0"/>
        <v>12.247487853086181</v>
      </c>
    </row>
    <row r="234" spans="1:13" ht="15">
      <c r="A234" s="50">
        <v>367.9</v>
      </c>
      <c r="B234" s="50">
        <v>369.1499</v>
      </c>
      <c r="C234" s="50">
        <v>362.32100000000003</v>
      </c>
      <c r="D234" s="50">
        <v>363.02</v>
      </c>
      <c r="E234" s="50">
        <v>5081519</v>
      </c>
      <c r="F234" s="50" t="s">
        <v>261</v>
      </c>
      <c r="G234" s="25">
        <f t="shared" si="1"/>
        <v>1.3442785521458944E-2</v>
      </c>
      <c r="I234" s="51">
        <v>2.2499999999999999E-2</v>
      </c>
      <c r="J234">
        <v>10</v>
      </c>
      <c r="L234" s="51">
        <v>0.02</v>
      </c>
      <c r="M234" s="1">
        <f t="shared" si="0"/>
        <v>9.0104109596731572</v>
      </c>
    </row>
    <row r="235" spans="1:13" ht="15">
      <c r="A235" s="50">
        <v>365.12</v>
      </c>
      <c r="B235" s="50">
        <v>366.19</v>
      </c>
      <c r="C235" s="50">
        <v>360.89</v>
      </c>
      <c r="D235" s="50">
        <v>362.95</v>
      </c>
      <c r="E235" s="50">
        <v>5838075</v>
      </c>
      <c r="F235" s="50" t="s">
        <v>262</v>
      </c>
      <c r="G235" s="25">
        <f t="shared" si="1"/>
        <v>5.9787849566055318E-3</v>
      </c>
      <c r="I235" s="51">
        <v>2.5000000000000001E-2</v>
      </c>
      <c r="J235">
        <v>12</v>
      </c>
      <c r="L235" s="51">
        <v>2.2499999999999999E-2</v>
      </c>
      <c r="M235" s="1">
        <f t="shared" si="0"/>
        <v>6.357710567711429</v>
      </c>
    </row>
    <row r="236" spans="1:13" ht="15">
      <c r="A236" s="50">
        <v>362.3</v>
      </c>
      <c r="B236" s="50">
        <v>363.73</v>
      </c>
      <c r="C236" s="50">
        <v>356.67500000000001</v>
      </c>
      <c r="D236" s="50">
        <v>356.89</v>
      </c>
      <c r="E236" s="50">
        <v>5826126</v>
      </c>
      <c r="F236" s="50" t="s">
        <v>263</v>
      </c>
      <c r="G236" s="25">
        <f t="shared" si="1"/>
        <v>1.5158732382526852E-2</v>
      </c>
      <c r="I236" s="51">
        <v>2.75E-2</v>
      </c>
      <c r="J236">
        <v>4</v>
      </c>
      <c r="L236" s="51">
        <v>2.5000000000000001E-2</v>
      </c>
      <c r="M236" s="1">
        <f t="shared" si="0"/>
        <v>4.3024464949883692</v>
      </c>
    </row>
    <row r="237" spans="1:13" ht="15">
      <c r="A237" s="50">
        <v>356.46</v>
      </c>
      <c r="B237" s="50">
        <v>358.41</v>
      </c>
      <c r="C237" s="50">
        <v>355.21280000000002</v>
      </c>
      <c r="D237" s="50">
        <v>356.67</v>
      </c>
      <c r="E237" s="50">
        <v>6208010</v>
      </c>
      <c r="F237" s="50" t="s">
        <v>264</v>
      </c>
      <c r="G237" s="25">
        <f t="shared" si="1"/>
        <v>-5.8877954411651334E-4</v>
      </c>
      <c r="I237" s="51">
        <v>0.03</v>
      </c>
      <c r="J237">
        <v>6</v>
      </c>
      <c r="L237" s="51">
        <v>2.75E-2</v>
      </c>
      <c r="M237" s="1">
        <f t="shared" si="0"/>
        <v>2.7924716648400252</v>
      </c>
    </row>
    <row r="238" spans="1:13" ht="15">
      <c r="A238" s="50">
        <v>356.14</v>
      </c>
      <c r="B238" s="50">
        <v>358.87</v>
      </c>
      <c r="C238" s="50">
        <v>354.58</v>
      </c>
      <c r="D238" s="50">
        <v>355.52</v>
      </c>
      <c r="E238" s="50">
        <v>5406243</v>
      </c>
      <c r="F238" s="50" t="s">
        <v>265</v>
      </c>
      <c r="G238" s="25">
        <f t="shared" si="1"/>
        <v>1.7439243924393111E-3</v>
      </c>
      <c r="I238" s="51">
        <v>3.2500000000000001E-2</v>
      </c>
      <c r="J238">
        <v>1</v>
      </c>
      <c r="L238" s="51">
        <v>0.03</v>
      </c>
      <c r="M238" s="1">
        <f t="shared" si="0"/>
        <v>1.7382836429712119</v>
      </c>
    </row>
    <row r="239" spans="1:13" ht="15">
      <c r="A239" s="50">
        <v>355.26</v>
      </c>
      <c r="B239" s="50">
        <v>361.29</v>
      </c>
      <c r="C239" s="50">
        <v>350.5478</v>
      </c>
      <c r="D239" s="50">
        <v>358.54450000000003</v>
      </c>
      <c r="E239" s="50">
        <v>7985428</v>
      </c>
      <c r="F239" s="50" t="s">
        <v>266</v>
      </c>
      <c r="G239" s="25">
        <f t="shared" si="1"/>
        <v>-9.1606481203868606E-3</v>
      </c>
      <c r="I239" s="51">
        <v>3.5000000000000003E-2</v>
      </c>
      <c r="J239">
        <v>8</v>
      </c>
      <c r="L239" s="51">
        <v>3.2500000000000001E-2</v>
      </c>
      <c r="M239" s="1">
        <f t="shared" si="0"/>
        <v>1.0377938283630355</v>
      </c>
    </row>
    <row r="240" spans="1:13" ht="15">
      <c r="A240" s="50">
        <v>351.95549999999997</v>
      </c>
      <c r="B240" s="50">
        <v>353.21339999999998</v>
      </c>
      <c r="C240" s="50">
        <v>350.08859999999999</v>
      </c>
      <c r="D240" s="50">
        <v>351.24669999999998</v>
      </c>
      <c r="E240" s="50">
        <v>3086734</v>
      </c>
      <c r="F240" s="50" t="s">
        <v>267</v>
      </c>
      <c r="G240" s="25">
        <f t="shared" si="1"/>
        <v>2.0179549017826925E-3</v>
      </c>
      <c r="I240" s="51">
        <v>3.7499999999999999E-2</v>
      </c>
      <c r="J240">
        <v>1</v>
      </c>
      <c r="L240" s="51">
        <v>3.5000000000000003E-2</v>
      </c>
      <c r="M240" s="1">
        <f t="shared" si="0"/>
        <v>0.59423755539808221</v>
      </c>
    </row>
    <row r="241" spans="1:13" ht="15">
      <c r="A241" s="50">
        <v>350.68759999999997</v>
      </c>
      <c r="B241" s="50">
        <v>354.74090000000001</v>
      </c>
      <c r="C241" s="50">
        <v>350.36309999999997</v>
      </c>
      <c r="D241" s="50">
        <v>351.41640000000001</v>
      </c>
      <c r="E241" s="50">
        <v>4156386</v>
      </c>
      <c r="F241" s="50" t="s">
        <v>268</v>
      </c>
      <c r="G241" s="25">
        <f t="shared" si="1"/>
        <v>-2.0738929657239114E-3</v>
      </c>
      <c r="I241" s="51">
        <v>0.04</v>
      </c>
      <c r="J241">
        <v>1</v>
      </c>
      <c r="L241" s="51">
        <v>3.7499999999999999E-2</v>
      </c>
      <c r="M241" s="1">
        <f t="shared" si="0"/>
        <v>0.32633802349710139</v>
      </c>
    </row>
    <row r="242" spans="1:13" ht="15.75" thickBot="1">
      <c r="A242" s="50">
        <v>349.26990000000001</v>
      </c>
      <c r="B242" s="50">
        <v>350.56779999999998</v>
      </c>
      <c r="C242" s="50">
        <v>346.6343</v>
      </c>
      <c r="D242" s="50">
        <v>348.12189999999998</v>
      </c>
      <c r="E242" s="50">
        <v>5454135</v>
      </c>
      <c r="F242" s="50" t="s">
        <v>269</v>
      </c>
      <c r="G242" s="25">
        <f t="shared" si="1"/>
        <v>3.2976954336974007E-3</v>
      </c>
      <c r="I242" s="52" t="s">
        <v>1526</v>
      </c>
      <c r="J242" s="52">
        <v>10</v>
      </c>
      <c r="L242" s="51">
        <v>0.04</v>
      </c>
      <c r="M242" s="1">
        <f t="shared" si="0"/>
        <v>0.1718833596663486</v>
      </c>
    </row>
    <row r="243" spans="1:13" ht="15">
      <c r="A243" s="50">
        <v>347.12349999999998</v>
      </c>
      <c r="B243" s="50">
        <v>349.07029999999997</v>
      </c>
      <c r="C243" s="50">
        <v>345.18459999999999</v>
      </c>
      <c r="D243" s="50">
        <v>345.82569999999998</v>
      </c>
      <c r="E243" s="50">
        <v>3438464</v>
      </c>
      <c r="F243" s="50" t="s">
        <v>270</v>
      </c>
      <c r="G243" s="25">
        <f t="shared" si="1"/>
        <v>3.7527575307445549E-3</v>
      </c>
      <c r="L243" s="51">
        <v>4.2500000000000003E-2</v>
      </c>
      <c r="M243" s="1">
        <f t="shared" si="0"/>
        <v>8.6827752689608226E-2</v>
      </c>
    </row>
    <row r="244" spans="1:13">
      <c r="A244" s="50">
        <v>348.06200000000001</v>
      </c>
      <c r="B244" s="50">
        <v>350.46800000000002</v>
      </c>
      <c r="C244" s="50">
        <v>345.54689999999999</v>
      </c>
      <c r="D244" s="50">
        <v>346.42469999999997</v>
      </c>
      <c r="E244" s="50">
        <v>3865342</v>
      </c>
      <c r="F244" s="50" t="s">
        <v>271</v>
      </c>
      <c r="G244" s="25">
        <f t="shared" si="1"/>
        <v>4.7262796215166158E-3</v>
      </c>
    </row>
    <row r="245" spans="1:13">
      <c r="A245" s="50">
        <v>347.02370000000002</v>
      </c>
      <c r="B245" s="50">
        <v>349.50959999999998</v>
      </c>
      <c r="C245" s="50">
        <v>345.54610000000002</v>
      </c>
      <c r="D245" s="50">
        <v>346.64429999999999</v>
      </c>
      <c r="E245" s="50">
        <v>6113683</v>
      </c>
      <c r="F245" s="50" t="s">
        <v>272</v>
      </c>
      <c r="G245" s="25">
        <f t="shared" si="1"/>
        <v>1.0944936928143356E-3</v>
      </c>
    </row>
    <row r="246" spans="1:13">
      <c r="A246" s="50">
        <v>341.88220000000001</v>
      </c>
      <c r="B246" s="50">
        <v>345.14679999999998</v>
      </c>
      <c r="C246" s="50">
        <v>339.55610000000001</v>
      </c>
      <c r="D246" s="50">
        <v>345.00700000000001</v>
      </c>
      <c r="E246" s="50">
        <v>5849940</v>
      </c>
      <c r="F246" s="50" t="s">
        <v>273</v>
      </c>
      <c r="G246" s="25">
        <f t="shared" si="1"/>
        <v>-9.0572075349195647E-3</v>
      </c>
    </row>
    <row r="247" spans="1:13">
      <c r="A247" s="50">
        <v>344.92720000000003</v>
      </c>
      <c r="B247" s="50">
        <v>345.94549999999998</v>
      </c>
      <c r="C247" s="50">
        <v>332.6875</v>
      </c>
      <c r="D247" s="50">
        <v>333.88549999999998</v>
      </c>
      <c r="E247" s="50">
        <v>9526712</v>
      </c>
      <c r="F247" s="50" t="s">
        <v>274</v>
      </c>
      <c r="G247" s="25">
        <f t="shared" si="1"/>
        <v>3.3070319016549332E-2</v>
      </c>
    </row>
    <row r="248" spans="1:13">
      <c r="A248" s="50">
        <v>340.9538</v>
      </c>
      <c r="B248" s="50">
        <v>341.70249999999999</v>
      </c>
      <c r="C248" s="50">
        <v>335.90210000000002</v>
      </c>
      <c r="D248" s="50">
        <v>337.93880000000001</v>
      </c>
      <c r="E248" s="50">
        <v>5519533</v>
      </c>
      <c r="F248" s="50" t="s">
        <v>275</v>
      </c>
      <c r="G248" s="25">
        <f t="shared" si="1"/>
        <v>8.9217337577098821E-3</v>
      </c>
    </row>
    <row r="249" spans="1:13">
      <c r="A249" s="50">
        <v>336.9504</v>
      </c>
      <c r="B249" s="50">
        <v>338.7724</v>
      </c>
      <c r="C249" s="50">
        <v>334.46449999999999</v>
      </c>
      <c r="D249" s="50">
        <v>336.21660000000003</v>
      </c>
      <c r="E249" s="50">
        <v>5422903</v>
      </c>
      <c r="F249" s="50" t="s">
        <v>276</v>
      </c>
      <c r="G249" s="25">
        <f t="shared" si="1"/>
        <v>2.1825216244526491E-3</v>
      </c>
    </row>
    <row r="250" spans="1:13">
      <c r="A250" s="50">
        <v>334.61430000000001</v>
      </c>
      <c r="B250" s="50">
        <v>335.8073</v>
      </c>
      <c r="C250" s="50">
        <v>331.61930000000001</v>
      </c>
      <c r="D250" s="50">
        <v>334.20499999999998</v>
      </c>
      <c r="E250" s="50">
        <v>4452757</v>
      </c>
      <c r="F250" s="50" t="s">
        <v>277</v>
      </c>
      <c r="G250" s="25">
        <f t="shared" si="1"/>
        <v>1.2246974162566371E-3</v>
      </c>
    </row>
    <row r="251" spans="1:13">
      <c r="A251" s="50">
        <v>335.15339999999998</v>
      </c>
      <c r="B251" s="50">
        <v>336.21159999999998</v>
      </c>
      <c r="C251" s="50">
        <v>330.70080000000002</v>
      </c>
      <c r="D251" s="50">
        <v>332.72739999999999</v>
      </c>
      <c r="E251" s="50">
        <v>8055174</v>
      </c>
      <c r="F251" s="50" t="s">
        <v>278</v>
      </c>
      <c r="G251" s="25">
        <f t="shared" si="1"/>
        <v>7.2912540415968063E-3</v>
      </c>
    </row>
    <row r="252" spans="1:13">
      <c r="A252" s="50">
        <v>333.81560000000002</v>
      </c>
      <c r="B252" s="50">
        <v>340.68419999999998</v>
      </c>
      <c r="C252" s="50">
        <v>332.64760000000001</v>
      </c>
      <c r="D252" s="50">
        <v>336.68090000000001</v>
      </c>
      <c r="E252" s="50">
        <v>8906235</v>
      </c>
      <c r="F252" s="50" t="s">
        <v>279</v>
      </c>
      <c r="G252" s="25">
        <f t="shared" si="1"/>
        <v>-8.5104322817243228E-3</v>
      </c>
    </row>
    <row r="253" spans="1:13">
      <c r="A253" s="50">
        <v>330.85050000000001</v>
      </c>
      <c r="B253" s="50">
        <v>332.0086</v>
      </c>
      <c r="C253" s="50">
        <v>321.85550000000001</v>
      </c>
      <c r="D253" s="50">
        <v>323.31799999999998</v>
      </c>
      <c r="E253" s="50">
        <v>5435531</v>
      </c>
      <c r="F253" s="50" t="s">
        <v>280</v>
      </c>
      <c r="G253" s="25">
        <f t="shared" si="1"/>
        <v>2.3297496582312283E-2</v>
      </c>
    </row>
    <row r="254" spans="1:13">
      <c r="A254" s="50">
        <v>319.5693</v>
      </c>
      <c r="B254" s="50">
        <v>328.60430000000002</v>
      </c>
      <c r="C254" s="50">
        <v>316.12920000000003</v>
      </c>
      <c r="D254" s="50">
        <v>328.4545</v>
      </c>
      <c r="E254" s="50">
        <v>6362425</v>
      </c>
      <c r="F254" s="50" t="s">
        <v>281</v>
      </c>
      <c r="G254" s="25">
        <f t="shared" si="1"/>
        <v>-2.7051539863207852E-2</v>
      </c>
    </row>
    <row r="255" spans="1:13">
      <c r="A255" s="50">
        <v>329.06349999999998</v>
      </c>
      <c r="B255" s="50">
        <v>333.76560000000001</v>
      </c>
      <c r="C255" s="50">
        <v>327.8954</v>
      </c>
      <c r="D255" s="50">
        <v>330.52109999999999</v>
      </c>
      <c r="E255" s="50">
        <v>5655943</v>
      </c>
      <c r="F255" s="50" t="s">
        <v>282</v>
      </c>
      <c r="G255" s="25">
        <f t="shared" si="1"/>
        <v>-4.410005896749114E-3</v>
      </c>
    </row>
    <row r="256" spans="1:13">
      <c r="A256" s="50">
        <v>330.78070000000002</v>
      </c>
      <c r="B256" s="50">
        <v>336.66520000000003</v>
      </c>
      <c r="C256" s="50">
        <v>328.31470000000002</v>
      </c>
      <c r="D256" s="50">
        <v>334.44459999999998</v>
      </c>
      <c r="E256" s="50">
        <v>5850819</v>
      </c>
      <c r="F256" s="50" t="s">
        <v>283</v>
      </c>
      <c r="G256" s="25">
        <f t="shared" si="1"/>
        <v>-1.0955177628820922E-2</v>
      </c>
    </row>
    <row r="257" spans="1:30" ht="15">
      <c r="A257" s="50">
        <v>335.25319999999999</v>
      </c>
      <c r="B257" s="50">
        <v>338.82729999999998</v>
      </c>
      <c r="C257" s="50">
        <v>334.44459999999998</v>
      </c>
      <c r="D257" s="50">
        <v>336.1617</v>
      </c>
      <c r="E257" s="50">
        <v>4386214</v>
      </c>
      <c r="F257" s="50" t="s">
        <v>284</v>
      </c>
      <c r="G257" s="25">
        <f t="shared" si="1"/>
        <v>-2.7025684365589164E-3</v>
      </c>
      <c r="AD257" s="2" t="s">
        <v>150</v>
      </c>
    </row>
    <row r="258" spans="1:30">
      <c r="A258" s="50">
        <v>334.62430000000001</v>
      </c>
      <c r="B258" s="50">
        <v>339.04680000000002</v>
      </c>
      <c r="C258" s="50">
        <v>332.58769999999998</v>
      </c>
      <c r="D258" s="50">
        <v>335.85219999999998</v>
      </c>
      <c r="E258" s="50">
        <v>5011779</v>
      </c>
      <c r="F258" s="50" t="s">
        <v>285</v>
      </c>
      <c r="G258" s="25">
        <f t="shared" si="1"/>
        <v>-3.6560725223773183E-3</v>
      </c>
      <c r="AD258" s="1" t="s">
        <v>151</v>
      </c>
    </row>
    <row r="259" spans="1:30">
      <c r="A259" s="50">
        <v>332.84719999999999</v>
      </c>
      <c r="B259" s="50">
        <v>336.42129999999997</v>
      </c>
      <c r="C259" s="50">
        <v>322.0052</v>
      </c>
      <c r="D259" s="50">
        <v>323.89210000000003</v>
      </c>
      <c r="E259" s="50">
        <v>6804507</v>
      </c>
      <c r="F259" s="50" t="s">
        <v>286</v>
      </c>
      <c r="G259" s="25">
        <f t="shared" si="1"/>
        <v>2.7648405132449927E-2</v>
      </c>
    </row>
    <row r="260" spans="1:30">
      <c r="A260" s="50">
        <v>324.0718</v>
      </c>
      <c r="B260" s="50">
        <v>329.61259999999999</v>
      </c>
      <c r="C260" s="50">
        <v>312.75060000000002</v>
      </c>
      <c r="D260" s="50">
        <v>327.47609999999997</v>
      </c>
      <c r="E260" s="50">
        <v>8709762</v>
      </c>
      <c r="F260" s="50" t="s">
        <v>287</v>
      </c>
      <c r="G260" s="25">
        <f t="shared" si="1"/>
        <v>-1.039556779868811E-2</v>
      </c>
    </row>
    <row r="261" spans="1:30">
      <c r="A261" s="50">
        <v>331.87880000000001</v>
      </c>
      <c r="B261" s="50">
        <v>333.47620000000001</v>
      </c>
      <c r="C261" s="50">
        <v>305.12830000000002</v>
      </c>
      <c r="D261" s="50">
        <v>305.12830000000002</v>
      </c>
      <c r="E261" s="50">
        <v>11361801</v>
      </c>
      <c r="F261" s="50" t="s">
        <v>288</v>
      </c>
      <c r="G261" s="25">
        <f t="shared" si="1"/>
        <v>8.7669678623713221E-2</v>
      </c>
    </row>
    <row r="262" spans="1:30">
      <c r="A262" s="50">
        <v>307.75889999999998</v>
      </c>
      <c r="B262" s="50">
        <v>325.73899999999998</v>
      </c>
      <c r="C262" s="50">
        <v>303.42610000000002</v>
      </c>
      <c r="D262" s="50">
        <v>321.70569999999998</v>
      </c>
      <c r="E262" s="50">
        <v>9569298</v>
      </c>
      <c r="F262" s="50" t="s">
        <v>289</v>
      </c>
      <c r="G262" s="25">
        <f t="shared" si="1"/>
        <v>-4.3352666738575074E-2</v>
      </c>
    </row>
    <row r="263" spans="1:30">
      <c r="A263" s="50">
        <v>311.80220000000003</v>
      </c>
      <c r="B263" s="50">
        <v>321.64580000000001</v>
      </c>
      <c r="C263" s="50">
        <v>298.5043</v>
      </c>
      <c r="D263" s="50">
        <v>301.56920000000002</v>
      </c>
      <c r="E263" s="50">
        <v>12163443</v>
      </c>
      <c r="F263" s="50" t="s">
        <v>290</v>
      </c>
      <c r="G263" s="25">
        <f t="shared" si="1"/>
        <v>3.3932510349200085E-2</v>
      </c>
    </row>
    <row r="264" spans="1:30">
      <c r="A264" s="50">
        <v>312.61079999999998</v>
      </c>
      <c r="B264" s="50">
        <v>334.0951</v>
      </c>
      <c r="C264" s="50">
        <v>311.60250000000002</v>
      </c>
      <c r="D264" s="50">
        <v>329.4529</v>
      </c>
      <c r="E264" s="50">
        <v>13201735</v>
      </c>
      <c r="F264" s="50" t="s">
        <v>291</v>
      </c>
      <c r="G264" s="25">
        <f t="shared" si="1"/>
        <v>-5.1121419784133093E-2</v>
      </c>
    </row>
    <row r="265" spans="1:30">
      <c r="A265" s="50">
        <v>338.82729999999998</v>
      </c>
      <c r="B265" s="50">
        <v>344.16340000000002</v>
      </c>
      <c r="C265" s="50">
        <v>330.45119999999997</v>
      </c>
      <c r="D265" s="50">
        <v>333.34640000000002</v>
      </c>
      <c r="E265" s="50">
        <v>8792873</v>
      </c>
      <c r="F265" s="50" t="s">
        <v>292</v>
      </c>
      <c r="G265" s="25">
        <f t="shared" si="1"/>
        <v>1.6442055471425299E-2</v>
      </c>
    </row>
    <row r="266" spans="1:30">
      <c r="A266" s="50">
        <v>345.75580000000002</v>
      </c>
      <c r="B266" s="50">
        <v>347.62270000000001</v>
      </c>
      <c r="C266" s="50">
        <v>342.4812</v>
      </c>
      <c r="D266" s="50">
        <v>342.87060000000002</v>
      </c>
      <c r="E266" s="50">
        <v>5682521</v>
      </c>
      <c r="F266" s="50" t="s">
        <v>293</v>
      </c>
      <c r="G266" s="25">
        <f t="shared" si="1"/>
        <v>8.4148363843385976E-3</v>
      </c>
    </row>
    <row r="267" spans="1:30">
      <c r="A267" s="50">
        <v>345.7758</v>
      </c>
      <c r="B267" s="50">
        <v>349.86900000000003</v>
      </c>
      <c r="C267" s="50">
        <v>342.00200000000001</v>
      </c>
      <c r="D267" s="50">
        <v>349.85899999999998</v>
      </c>
      <c r="E267" s="50">
        <v>7473329</v>
      </c>
      <c r="F267" s="50" t="s">
        <v>294</v>
      </c>
      <c r="G267" s="25">
        <f t="shared" si="1"/>
        <v>-1.1670987454946102E-2</v>
      </c>
    </row>
    <row r="268" spans="1:30">
      <c r="A268" s="50">
        <v>349.87889999999999</v>
      </c>
      <c r="B268" s="50">
        <v>351.27659999999997</v>
      </c>
      <c r="C268" s="50">
        <v>333.93540000000002</v>
      </c>
      <c r="D268" s="50">
        <v>338.78739999999999</v>
      </c>
      <c r="E268" s="50">
        <v>9950762</v>
      </c>
      <c r="F268" s="50" t="s">
        <v>295</v>
      </c>
      <c r="G268" s="25">
        <f t="shared" si="1"/>
        <v>3.2738820865238827E-2</v>
      </c>
    </row>
    <row r="269" spans="1:30">
      <c r="A269" s="50">
        <v>342.28160000000003</v>
      </c>
      <c r="B269" s="50">
        <v>351.03199999999998</v>
      </c>
      <c r="C269" s="50">
        <v>341.03859999999997</v>
      </c>
      <c r="D269" s="50">
        <v>348.61099999999999</v>
      </c>
      <c r="E269" s="50">
        <v>5687616</v>
      </c>
      <c r="F269" s="50" t="s">
        <v>296</v>
      </c>
      <c r="G269" s="25">
        <f t="shared" si="1"/>
        <v>-1.8156053595554833E-2</v>
      </c>
    </row>
    <row r="270" spans="1:30">
      <c r="A270" s="50">
        <v>349.2799</v>
      </c>
      <c r="B270" s="50">
        <v>350.25830000000002</v>
      </c>
      <c r="C270" s="50">
        <v>342.75080000000003</v>
      </c>
      <c r="D270" s="50">
        <v>343.42959999999999</v>
      </c>
      <c r="E270" s="50">
        <v>7254807</v>
      </c>
      <c r="F270" s="50" t="s">
        <v>297</v>
      </c>
      <c r="G270" s="25">
        <f t="shared" si="1"/>
        <v>1.7034932341300824E-2</v>
      </c>
    </row>
    <row r="271" spans="1:30">
      <c r="A271" s="50">
        <v>343.60930000000002</v>
      </c>
      <c r="B271" s="50">
        <v>346.80399999999997</v>
      </c>
      <c r="C271" s="50">
        <v>342.43130000000002</v>
      </c>
      <c r="D271" s="50">
        <v>345.41629999999998</v>
      </c>
      <c r="E271" s="50">
        <v>6187574</v>
      </c>
      <c r="F271" s="50" t="s">
        <v>298</v>
      </c>
      <c r="G271" s="25">
        <f t="shared" si="1"/>
        <v>-5.231368641259726E-3</v>
      </c>
    </row>
    <row r="272" spans="1:30">
      <c r="A272" s="50">
        <v>344.04860000000002</v>
      </c>
      <c r="B272" s="50">
        <v>344.95710000000003</v>
      </c>
      <c r="C272" s="50">
        <v>340.10520000000002</v>
      </c>
      <c r="D272" s="50">
        <v>343.98869999999999</v>
      </c>
      <c r="E272" s="50">
        <v>3931161</v>
      </c>
      <c r="F272" s="50" t="s">
        <v>299</v>
      </c>
      <c r="G272" s="25">
        <f t="shared" si="1"/>
        <v>1.7413362706397706E-4</v>
      </c>
    </row>
    <row r="273" spans="1:7">
      <c r="A273" s="50">
        <v>343.29989999999998</v>
      </c>
      <c r="B273" s="50">
        <v>344.64760000000001</v>
      </c>
      <c r="C273" s="50">
        <v>337.09109999999998</v>
      </c>
      <c r="D273" s="50">
        <v>338.08850000000001</v>
      </c>
      <c r="E273" s="50">
        <v>5675111</v>
      </c>
      <c r="F273" s="50" t="s">
        <v>300</v>
      </c>
      <c r="G273" s="25">
        <f t="shared" si="1"/>
        <v>1.5414307200629418E-2</v>
      </c>
    </row>
    <row r="274" spans="1:7">
      <c r="A274" s="50">
        <v>335.1035</v>
      </c>
      <c r="B274" s="50">
        <v>338.86720000000003</v>
      </c>
      <c r="C274" s="50">
        <v>334.96370000000002</v>
      </c>
      <c r="D274" s="50">
        <v>336.81060000000002</v>
      </c>
      <c r="E274" s="50">
        <v>17279673</v>
      </c>
      <c r="F274" s="50" t="s">
        <v>301</v>
      </c>
      <c r="G274" s="25">
        <f t="shared" si="1"/>
        <v>-5.0684271813298265E-3</v>
      </c>
    </row>
    <row r="275" spans="1:7">
      <c r="A275" s="50">
        <v>338.93709999999999</v>
      </c>
      <c r="B275" s="50">
        <v>341.67259999999999</v>
      </c>
      <c r="C275" s="50">
        <v>337.10019999999997</v>
      </c>
      <c r="D275" s="50">
        <v>338.43790000000001</v>
      </c>
      <c r="E275" s="50">
        <v>5432675</v>
      </c>
      <c r="F275" s="50" t="s">
        <v>302</v>
      </c>
      <c r="G275" s="25">
        <f t="shared" si="1"/>
        <v>1.4750121070954414E-3</v>
      </c>
    </row>
    <row r="276" spans="1:7">
      <c r="A276" s="50">
        <v>339.30650000000003</v>
      </c>
      <c r="B276" s="50">
        <v>340.46589999999998</v>
      </c>
      <c r="C276" s="50">
        <v>333.94540000000001</v>
      </c>
      <c r="D276" s="50">
        <v>336.24160000000001</v>
      </c>
      <c r="E276" s="50">
        <v>5615204</v>
      </c>
      <c r="F276" s="50" t="s">
        <v>303</v>
      </c>
      <c r="G276" s="25">
        <f t="shared" ref="G276:G339" si="2">A276/D276-1</f>
        <v>9.1151719477899906E-3</v>
      </c>
    </row>
    <row r="277" spans="1:7">
      <c r="A277" s="50">
        <v>334.21499999999997</v>
      </c>
      <c r="B277" s="50">
        <v>335.2432</v>
      </c>
      <c r="C277" s="50">
        <v>331.74900000000002</v>
      </c>
      <c r="D277" s="50">
        <v>334.73410000000001</v>
      </c>
      <c r="E277" s="50">
        <v>7778631</v>
      </c>
      <c r="F277" s="50" t="s">
        <v>304</v>
      </c>
      <c r="G277" s="25">
        <f t="shared" si="2"/>
        <v>-1.55078314399415E-3</v>
      </c>
    </row>
    <row r="278" spans="1:7">
      <c r="A278" s="50">
        <v>333.99529999999999</v>
      </c>
      <c r="B278" s="50">
        <v>335.55270000000002</v>
      </c>
      <c r="C278" s="50">
        <v>329.2133</v>
      </c>
      <c r="D278" s="50">
        <v>329.4828</v>
      </c>
      <c r="E278" s="50">
        <v>6149652</v>
      </c>
      <c r="F278" s="50" t="s">
        <v>305</v>
      </c>
      <c r="G278" s="25">
        <f t="shared" si="2"/>
        <v>1.3695707332825879E-2</v>
      </c>
    </row>
    <row r="279" spans="1:7">
      <c r="A279" s="50">
        <v>331.24990000000003</v>
      </c>
      <c r="B279" s="50">
        <v>332.214</v>
      </c>
      <c r="C279" s="50">
        <v>325.83969999999999</v>
      </c>
      <c r="D279" s="50">
        <v>326.66750000000002</v>
      </c>
      <c r="E279" s="50">
        <v>7810970</v>
      </c>
      <c r="F279" s="50" t="s">
        <v>306</v>
      </c>
      <c r="G279" s="25">
        <f t="shared" si="2"/>
        <v>1.4027719317042608E-2</v>
      </c>
    </row>
    <row r="280" spans="1:7">
      <c r="A280" s="50">
        <v>328.00529999999998</v>
      </c>
      <c r="B280" s="50">
        <v>335.64260000000002</v>
      </c>
      <c r="C280" s="50">
        <v>327.1567</v>
      </c>
      <c r="D280" s="50">
        <v>330.44119999999998</v>
      </c>
      <c r="E280" s="50">
        <v>7915323</v>
      </c>
      <c r="F280" s="50" t="s">
        <v>307</v>
      </c>
      <c r="G280" s="25">
        <f t="shared" si="2"/>
        <v>-7.3716594661924484E-3</v>
      </c>
    </row>
    <row r="281" spans="1:7">
      <c r="A281" s="50">
        <v>332.28820000000002</v>
      </c>
      <c r="B281" s="50">
        <v>335.6026</v>
      </c>
      <c r="C281" s="50">
        <v>328.5643</v>
      </c>
      <c r="D281" s="50">
        <v>335.41300000000001</v>
      </c>
      <c r="E281" s="50">
        <v>6295394</v>
      </c>
      <c r="F281" s="50" t="s">
        <v>308</v>
      </c>
      <c r="G281" s="25">
        <f t="shared" si="2"/>
        <v>-9.3162757555610431E-3</v>
      </c>
    </row>
    <row r="282" spans="1:7">
      <c r="A282" s="50">
        <v>331.58929999999998</v>
      </c>
      <c r="B282" s="50">
        <v>339.04689999999999</v>
      </c>
      <c r="C282" s="50">
        <v>329.02859999999998</v>
      </c>
      <c r="D282" s="50">
        <v>337.84890000000001</v>
      </c>
      <c r="E282" s="50">
        <v>9776072</v>
      </c>
      <c r="F282" s="50" t="s">
        <v>309</v>
      </c>
      <c r="G282" s="25">
        <f t="shared" si="2"/>
        <v>-1.8527809325411537E-2</v>
      </c>
    </row>
    <row r="283" spans="1:7">
      <c r="A283" s="50">
        <v>340.91379999999998</v>
      </c>
      <c r="B283" s="50">
        <v>344.43799999999999</v>
      </c>
      <c r="C283" s="50">
        <v>337.0813</v>
      </c>
      <c r="D283" s="50">
        <v>339.37639999999999</v>
      </c>
      <c r="E283" s="50">
        <v>8204296</v>
      </c>
      <c r="F283" s="50" t="s">
        <v>310</v>
      </c>
      <c r="G283" s="25">
        <f t="shared" si="2"/>
        <v>4.5300733934356963E-3</v>
      </c>
    </row>
    <row r="284" spans="1:7">
      <c r="A284" s="50">
        <v>344.7475</v>
      </c>
      <c r="B284" s="50">
        <v>345.81569999999999</v>
      </c>
      <c r="C284" s="50">
        <v>338.57769999999999</v>
      </c>
      <c r="D284" s="50">
        <v>340.3048</v>
      </c>
      <c r="E284" s="50">
        <v>6358901</v>
      </c>
      <c r="F284" s="50" t="s">
        <v>311</v>
      </c>
      <c r="G284" s="25">
        <f t="shared" si="2"/>
        <v>1.3055061227464249E-2</v>
      </c>
    </row>
    <row r="285" spans="1:7">
      <c r="A285" s="50">
        <v>343.58940000000001</v>
      </c>
      <c r="B285" s="50">
        <v>348.29160000000002</v>
      </c>
      <c r="C285" s="50">
        <v>339.82339999999999</v>
      </c>
      <c r="D285" s="50">
        <v>345.38639999999998</v>
      </c>
      <c r="E285" s="50">
        <v>8611119</v>
      </c>
      <c r="F285" s="50" t="s">
        <v>312</v>
      </c>
      <c r="G285" s="25">
        <f t="shared" si="2"/>
        <v>-5.2028684395215574E-3</v>
      </c>
    </row>
    <row r="286" spans="1:7">
      <c r="A286" s="50">
        <v>352.09530000000001</v>
      </c>
      <c r="B286" s="50">
        <v>353.51940000000002</v>
      </c>
      <c r="C286" s="50">
        <v>348.35649999999998</v>
      </c>
      <c r="D286" s="50">
        <v>350.24829999999997</v>
      </c>
      <c r="E286" s="50">
        <v>8244242</v>
      </c>
      <c r="F286" s="50" t="s">
        <v>313</v>
      </c>
      <c r="G286" s="25">
        <f t="shared" si="2"/>
        <v>5.2734017552691359E-3</v>
      </c>
    </row>
    <row r="287" spans="1:7">
      <c r="A287" s="50">
        <v>351.64600000000002</v>
      </c>
      <c r="B287" s="50">
        <v>359.67270000000002</v>
      </c>
      <c r="C287" s="50">
        <v>349.81900000000002</v>
      </c>
      <c r="D287" s="50">
        <v>359.5129</v>
      </c>
      <c r="E287" s="50">
        <v>8955804</v>
      </c>
      <c r="F287" s="50" t="s">
        <v>314</v>
      </c>
      <c r="G287" s="25">
        <f t="shared" si="2"/>
        <v>-2.1882107707400733E-2</v>
      </c>
    </row>
    <row r="288" spans="1:7">
      <c r="A288" s="50">
        <v>361.2201</v>
      </c>
      <c r="B288" s="50">
        <v>365.9323</v>
      </c>
      <c r="C288" s="50">
        <v>358.94400000000002</v>
      </c>
      <c r="D288" s="50">
        <v>362.3981</v>
      </c>
      <c r="E288" s="50">
        <v>9099607</v>
      </c>
      <c r="F288" s="50" t="s">
        <v>315</v>
      </c>
      <c r="G288" s="25">
        <f t="shared" si="2"/>
        <v>-3.2505689185456932E-3</v>
      </c>
    </row>
    <row r="289" spans="1:7">
      <c r="A289" s="50">
        <v>362.10860000000002</v>
      </c>
      <c r="B289" s="50">
        <v>363.3965</v>
      </c>
      <c r="C289" s="50">
        <v>353.12439999999998</v>
      </c>
      <c r="D289" s="50">
        <v>354.12189999999998</v>
      </c>
      <c r="E289" s="50">
        <v>15857344</v>
      </c>
      <c r="F289" s="50" t="s">
        <v>316</v>
      </c>
      <c r="G289" s="25">
        <f t="shared" si="2"/>
        <v>2.255353311952768E-2</v>
      </c>
    </row>
    <row r="290" spans="1:7">
      <c r="A290" s="50">
        <v>355.15019999999998</v>
      </c>
      <c r="B290" s="50">
        <v>359.71260000000001</v>
      </c>
      <c r="C290" s="50">
        <v>351.09190000000001</v>
      </c>
      <c r="D290" s="50">
        <v>351.31650000000002</v>
      </c>
      <c r="E290" s="50">
        <v>7298114</v>
      </c>
      <c r="F290" s="50" t="s">
        <v>317</v>
      </c>
      <c r="G290" s="25">
        <f t="shared" si="2"/>
        <v>1.0912382424395073E-2</v>
      </c>
    </row>
    <row r="291" spans="1:7">
      <c r="A291" s="50">
        <v>350.0487</v>
      </c>
      <c r="B291" s="50">
        <v>351.24669999999998</v>
      </c>
      <c r="C291" s="50">
        <v>348.41140000000001</v>
      </c>
      <c r="D291" s="50">
        <v>349.41969999999998</v>
      </c>
      <c r="E291" s="50">
        <v>5960603</v>
      </c>
      <c r="F291" s="50" t="s">
        <v>318</v>
      </c>
      <c r="G291" s="25">
        <f t="shared" si="2"/>
        <v>1.8001274684855684E-3</v>
      </c>
    </row>
    <row r="292" spans="1:7">
      <c r="A292" s="50">
        <v>351.50619999999998</v>
      </c>
      <c r="B292" s="50">
        <v>352.00209999999998</v>
      </c>
      <c r="C292" s="50">
        <v>345.42630000000003</v>
      </c>
      <c r="D292" s="50">
        <v>350.78739999999999</v>
      </c>
      <c r="E292" s="50">
        <v>6191949</v>
      </c>
      <c r="F292" s="50" t="s">
        <v>319</v>
      </c>
      <c r="G292" s="25">
        <f t="shared" si="2"/>
        <v>2.0491043863035685E-3</v>
      </c>
    </row>
    <row r="293" spans="1:7">
      <c r="A293" s="50">
        <v>349.2799</v>
      </c>
      <c r="B293" s="50">
        <v>350.21839999999997</v>
      </c>
      <c r="C293" s="50">
        <v>346.77910000000003</v>
      </c>
      <c r="D293" s="50">
        <v>348.17680000000001</v>
      </c>
      <c r="E293" s="50">
        <v>5055927</v>
      </c>
      <c r="F293" s="50" t="s">
        <v>320</v>
      </c>
      <c r="G293" s="25">
        <f t="shared" si="2"/>
        <v>3.1682179858047999E-3</v>
      </c>
    </row>
    <row r="294" spans="1:7">
      <c r="A294" s="50">
        <v>347.95209999999997</v>
      </c>
      <c r="B294" s="50">
        <v>352.73419999999999</v>
      </c>
      <c r="C294" s="50">
        <v>346.90390000000002</v>
      </c>
      <c r="D294" s="50">
        <v>349.90890000000002</v>
      </c>
      <c r="E294" s="50">
        <v>6924127</v>
      </c>
      <c r="F294" s="50" t="s">
        <v>321</v>
      </c>
      <c r="G294" s="25">
        <f t="shared" si="2"/>
        <v>-5.5923127419738039E-3</v>
      </c>
    </row>
    <row r="295" spans="1:7">
      <c r="A295" s="50">
        <v>349.90890000000002</v>
      </c>
      <c r="B295" s="50">
        <v>355.53949999999998</v>
      </c>
      <c r="C295" s="50">
        <v>348.48129999999998</v>
      </c>
      <c r="D295" s="50">
        <v>354.64100000000002</v>
      </c>
      <c r="E295" s="50">
        <v>5697023</v>
      </c>
      <c r="F295" s="50" t="s">
        <v>322</v>
      </c>
      <c r="G295" s="25">
        <f t="shared" si="2"/>
        <v>-1.3343352855422763E-2</v>
      </c>
    </row>
    <row r="296" spans="1:7">
      <c r="A296" s="50">
        <v>354.64100000000002</v>
      </c>
      <c r="B296" s="50">
        <v>356.55779999999999</v>
      </c>
      <c r="C296" s="50">
        <v>353.59280000000001</v>
      </c>
      <c r="D296" s="50">
        <v>355.42469999999997</v>
      </c>
      <c r="E296" s="50">
        <v>4152269</v>
      </c>
      <c r="F296" s="50" t="s">
        <v>323</v>
      </c>
      <c r="G296" s="25">
        <f t="shared" si="2"/>
        <v>-2.2049677470360463E-3</v>
      </c>
    </row>
    <row r="297" spans="1:7">
      <c r="A297" s="50">
        <v>356.13850000000002</v>
      </c>
      <c r="B297" s="50">
        <v>356.14850000000001</v>
      </c>
      <c r="C297" s="50">
        <v>351.81569999999999</v>
      </c>
      <c r="D297" s="50">
        <v>353.10359999999997</v>
      </c>
      <c r="E297" s="50">
        <v>5822034</v>
      </c>
      <c r="F297" s="50" t="s">
        <v>324</v>
      </c>
      <c r="G297" s="25">
        <f t="shared" si="2"/>
        <v>8.5949279474919482E-3</v>
      </c>
    </row>
    <row r="298" spans="1:7">
      <c r="A298" s="50">
        <v>353.22340000000003</v>
      </c>
      <c r="B298" s="50">
        <v>354.84059999999999</v>
      </c>
      <c r="C298" s="50">
        <v>352.63440000000003</v>
      </c>
      <c r="D298" s="50">
        <v>353.8424</v>
      </c>
      <c r="E298" s="50">
        <v>5720285</v>
      </c>
      <c r="F298" s="50" t="s">
        <v>325</v>
      </c>
      <c r="G298" s="25">
        <f t="shared" si="2"/>
        <v>-1.7493663845824514E-3</v>
      </c>
    </row>
    <row r="299" spans="1:7">
      <c r="A299" s="50">
        <v>355.04039999999998</v>
      </c>
      <c r="B299" s="50">
        <v>355.4896</v>
      </c>
      <c r="C299" s="50">
        <v>350.14850000000001</v>
      </c>
      <c r="D299" s="50">
        <v>352.53449999999998</v>
      </c>
      <c r="E299" s="50">
        <v>4279581</v>
      </c>
      <c r="F299" s="50" t="s">
        <v>326</v>
      </c>
      <c r="G299" s="25">
        <f t="shared" si="2"/>
        <v>7.1082404700817392E-3</v>
      </c>
    </row>
    <row r="300" spans="1:7">
      <c r="A300" s="50">
        <v>350.90719999999999</v>
      </c>
      <c r="B300" s="50">
        <v>351.24669999999998</v>
      </c>
      <c r="C300" s="50">
        <v>346.91390000000001</v>
      </c>
      <c r="D300" s="50">
        <v>348.58109999999999</v>
      </c>
      <c r="E300" s="50">
        <v>6760066</v>
      </c>
      <c r="F300" s="50" t="s">
        <v>327</v>
      </c>
      <c r="G300" s="25">
        <f t="shared" si="2"/>
        <v>6.6730525550582342E-3</v>
      </c>
    </row>
    <row r="301" spans="1:7">
      <c r="A301" s="50">
        <v>350.13850000000002</v>
      </c>
      <c r="B301" s="50">
        <v>351.53620000000001</v>
      </c>
      <c r="C301" s="50">
        <v>345.67590000000001</v>
      </c>
      <c r="D301" s="50">
        <v>347.72250000000003</v>
      </c>
      <c r="E301" s="50">
        <v>5154783</v>
      </c>
      <c r="F301" s="50" t="s">
        <v>328</v>
      </c>
      <c r="G301" s="25">
        <f t="shared" si="2"/>
        <v>6.948069221865083E-3</v>
      </c>
    </row>
    <row r="302" spans="1:7">
      <c r="A302" s="50">
        <v>350.05860000000001</v>
      </c>
      <c r="B302" s="50">
        <v>350.72640000000001</v>
      </c>
      <c r="C302" s="50">
        <v>346.54039999999998</v>
      </c>
      <c r="D302" s="50">
        <v>347.53710000000001</v>
      </c>
      <c r="E302" s="50">
        <v>6067002</v>
      </c>
      <c r="F302" s="50" t="s">
        <v>329</v>
      </c>
      <c r="G302" s="25">
        <f t="shared" si="2"/>
        <v>7.2553405089701428E-3</v>
      </c>
    </row>
    <row r="303" spans="1:7">
      <c r="A303" s="50">
        <v>346.85930000000002</v>
      </c>
      <c r="B303" s="50">
        <v>349.57870000000003</v>
      </c>
      <c r="C303" s="50">
        <v>346.05200000000002</v>
      </c>
      <c r="D303" s="50">
        <v>346.83940000000001</v>
      </c>
      <c r="E303" s="50">
        <v>4261612</v>
      </c>
      <c r="F303" s="50" t="s">
        <v>330</v>
      </c>
      <c r="G303" s="25">
        <f t="shared" si="2"/>
        <v>5.7375257828340409E-5</v>
      </c>
    </row>
    <row r="304" spans="1:7">
      <c r="A304" s="50">
        <v>346.3211</v>
      </c>
      <c r="B304" s="50">
        <v>349.48059999999998</v>
      </c>
      <c r="C304" s="50">
        <v>345.44420000000002</v>
      </c>
      <c r="D304" s="50">
        <v>348.61349999999999</v>
      </c>
      <c r="E304" s="50">
        <v>4294541</v>
      </c>
      <c r="F304" s="50" t="s">
        <v>331</v>
      </c>
      <c r="G304" s="25">
        <f t="shared" si="2"/>
        <v>-6.5757637039299821E-3</v>
      </c>
    </row>
    <row r="305" spans="1:7">
      <c r="A305" s="50">
        <v>348.27460000000002</v>
      </c>
      <c r="B305" s="50">
        <v>348.31130000000002</v>
      </c>
      <c r="C305" s="50">
        <v>344.09859999999998</v>
      </c>
      <c r="D305" s="50">
        <v>344.84609999999998</v>
      </c>
      <c r="E305" s="50">
        <v>4939090</v>
      </c>
      <c r="F305" s="50" t="s">
        <v>332</v>
      </c>
      <c r="G305" s="25">
        <f t="shared" si="2"/>
        <v>9.9421162077808489E-3</v>
      </c>
    </row>
    <row r="306" spans="1:7">
      <c r="A306" s="50">
        <v>343.99889999999999</v>
      </c>
      <c r="B306" s="50">
        <v>344.85599999999999</v>
      </c>
      <c r="C306" s="50">
        <v>341.39760000000001</v>
      </c>
      <c r="D306" s="50">
        <v>343.45069999999998</v>
      </c>
      <c r="E306" s="50">
        <v>5532573</v>
      </c>
      <c r="F306" s="50" t="s">
        <v>333</v>
      </c>
      <c r="G306" s="25">
        <f t="shared" si="2"/>
        <v>1.5961533926120985E-3</v>
      </c>
    </row>
    <row r="307" spans="1:7">
      <c r="A307" s="50">
        <v>344.66669999999999</v>
      </c>
      <c r="B307" s="50">
        <v>344.84609999999998</v>
      </c>
      <c r="C307" s="50">
        <v>338.10860000000002</v>
      </c>
      <c r="D307" s="50">
        <v>338.86610000000002</v>
      </c>
      <c r="E307" s="50">
        <v>8004548</v>
      </c>
      <c r="F307" s="50" t="s">
        <v>334</v>
      </c>
      <c r="G307" s="25">
        <f t="shared" si="2"/>
        <v>1.7117675683699263E-2</v>
      </c>
    </row>
    <row r="308" spans="1:7">
      <c r="A308" s="50">
        <v>340.6601</v>
      </c>
      <c r="B308" s="50">
        <v>350.07850000000002</v>
      </c>
      <c r="C308" s="50">
        <v>340.57040000000001</v>
      </c>
      <c r="D308" s="50">
        <v>345.31450000000001</v>
      </c>
      <c r="E308" s="50">
        <v>8628071</v>
      </c>
      <c r="F308" s="50" t="s">
        <v>335</v>
      </c>
      <c r="G308" s="25">
        <f t="shared" si="2"/>
        <v>-1.3478727363027021E-2</v>
      </c>
    </row>
    <row r="309" spans="1:7">
      <c r="A309" s="50">
        <v>341.90589999999997</v>
      </c>
      <c r="B309" s="50">
        <v>343.29129999999998</v>
      </c>
      <c r="C309" s="50">
        <v>337.86939999999998</v>
      </c>
      <c r="D309" s="50">
        <v>338.3777</v>
      </c>
      <c r="E309" s="50">
        <v>8081262</v>
      </c>
      <c r="F309" s="50" t="s">
        <v>336</v>
      </c>
      <c r="G309" s="25">
        <f t="shared" si="2"/>
        <v>1.0426810040969015E-2</v>
      </c>
    </row>
    <row r="310" spans="1:7">
      <c r="A310" s="50">
        <v>334.75979999999998</v>
      </c>
      <c r="B310" s="50">
        <v>335.98570000000001</v>
      </c>
      <c r="C310" s="50">
        <v>333.38440000000003</v>
      </c>
      <c r="D310" s="50">
        <v>333.38440000000003</v>
      </c>
      <c r="E310" s="50">
        <v>5087286</v>
      </c>
      <c r="F310" s="50" t="s">
        <v>337</v>
      </c>
      <c r="G310" s="25">
        <f t="shared" si="2"/>
        <v>4.1255679629879083E-3</v>
      </c>
    </row>
    <row r="311" spans="1:7">
      <c r="A311" s="50">
        <v>333.36450000000002</v>
      </c>
      <c r="B311" s="50">
        <v>336.70330000000001</v>
      </c>
      <c r="C311" s="50">
        <v>331.77980000000002</v>
      </c>
      <c r="D311" s="50">
        <v>333.5539</v>
      </c>
      <c r="E311" s="50">
        <v>5999623</v>
      </c>
      <c r="F311" s="50" t="s">
        <v>338</v>
      </c>
      <c r="G311" s="25">
        <f t="shared" si="2"/>
        <v>-5.678242706800285E-4</v>
      </c>
    </row>
    <row r="312" spans="1:7">
      <c r="A312" s="50">
        <v>333.42430000000002</v>
      </c>
      <c r="B312" s="50">
        <v>334.37110000000001</v>
      </c>
      <c r="C312" s="50">
        <v>326.95589999999999</v>
      </c>
      <c r="D312" s="50">
        <v>328.89940000000001</v>
      </c>
      <c r="E312" s="50">
        <v>6636541</v>
      </c>
      <c r="F312" s="50" t="s">
        <v>339</v>
      </c>
      <c r="G312" s="25">
        <f t="shared" si="2"/>
        <v>1.3757702203166078E-2</v>
      </c>
    </row>
    <row r="313" spans="1:7">
      <c r="A313" s="50">
        <v>329.09879999999998</v>
      </c>
      <c r="B313" s="50">
        <v>329.98079999999999</v>
      </c>
      <c r="C313" s="50">
        <v>326.71179999999998</v>
      </c>
      <c r="D313" s="50">
        <v>326.92599999999999</v>
      </c>
      <c r="E313" s="50">
        <v>4327755</v>
      </c>
      <c r="F313" s="50" t="s">
        <v>340</v>
      </c>
      <c r="G313" s="25">
        <f t="shared" si="2"/>
        <v>6.6461523402849831E-3</v>
      </c>
    </row>
    <row r="314" spans="1:7">
      <c r="A314" s="50">
        <v>327.11540000000002</v>
      </c>
      <c r="B314" s="50">
        <v>327.4144</v>
      </c>
      <c r="C314" s="50">
        <v>322.49090000000001</v>
      </c>
      <c r="D314" s="50">
        <v>322.68029999999999</v>
      </c>
      <c r="E314" s="50">
        <v>5297085</v>
      </c>
      <c r="F314" s="50" t="s">
        <v>341</v>
      </c>
      <c r="G314" s="25">
        <f t="shared" si="2"/>
        <v>1.3744563891876949E-2</v>
      </c>
    </row>
    <row r="315" spans="1:7">
      <c r="A315" s="50">
        <v>322.48090000000002</v>
      </c>
      <c r="B315" s="50">
        <v>324.65359999999998</v>
      </c>
      <c r="C315" s="50">
        <v>321.30489999999998</v>
      </c>
      <c r="D315" s="50">
        <v>323.68689999999998</v>
      </c>
      <c r="E315" s="50">
        <v>5026478</v>
      </c>
      <c r="F315" s="50" t="s">
        <v>342</v>
      </c>
      <c r="G315" s="25">
        <f t="shared" si="2"/>
        <v>-3.7258227008877265E-3</v>
      </c>
    </row>
    <row r="316" spans="1:7">
      <c r="A316" s="50">
        <v>322.55070000000001</v>
      </c>
      <c r="B316" s="50">
        <v>323.4975</v>
      </c>
      <c r="C316" s="50">
        <v>318.93279999999999</v>
      </c>
      <c r="D316" s="50">
        <v>319.24180000000001</v>
      </c>
      <c r="E316" s="50">
        <v>5653341</v>
      </c>
      <c r="F316" s="50" t="s">
        <v>343</v>
      </c>
      <c r="G316" s="25">
        <f t="shared" si="2"/>
        <v>1.0364870765670497E-2</v>
      </c>
    </row>
    <row r="317" spans="1:7">
      <c r="A317" s="50">
        <v>318.55410000000001</v>
      </c>
      <c r="B317" s="50">
        <v>319.52080000000001</v>
      </c>
      <c r="C317" s="50">
        <v>315.65379999999999</v>
      </c>
      <c r="D317" s="50">
        <v>316.44110000000001</v>
      </c>
      <c r="E317" s="50">
        <v>5805810</v>
      </c>
      <c r="F317" s="50" t="s">
        <v>344</v>
      </c>
      <c r="G317" s="25">
        <f t="shared" si="2"/>
        <v>6.6773879878434528E-3</v>
      </c>
    </row>
    <row r="318" spans="1:7">
      <c r="A318" s="50">
        <v>316.19200000000001</v>
      </c>
      <c r="B318" s="50">
        <v>318.1155</v>
      </c>
      <c r="C318" s="50">
        <v>314.697</v>
      </c>
      <c r="D318" s="50">
        <v>314.697</v>
      </c>
      <c r="E318" s="50">
        <v>4606670</v>
      </c>
      <c r="F318" s="50" t="s">
        <v>345</v>
      </c>
      <c r="G318" s="25">
        <f t="shared" si="2"/>
        <v>4.7506013721134721E-3</v>
      </c>
    </row>
    <row r="319" spans="1:7">
      <c r="A319" s="50">
        <v>315.22519999999997</v>
      </c>
      <c r="B319" s="50">
        <v>316.12979999999999</v>
      </c>
      <c r="C319" s="50">
        <v>312.08569999999997</v>
      </c>
      <c r="D319" s="50">
        <v>312.63389999999998</v>
      </c>
      <c r="E319" s="50">
        <v>5222278</v>
      </c>
      <c r="F319" s="50" t="s">
        <v>346</v>
      </c>
      <c r="G319" s="25">
        <f t="shared" si="2"/>
        <v>8.2886084970310581E-3</v>
      </c>
    </row>
    <row r="320" spans="1:7">
      <c r="A320" s="50">
        <v>308.05919999999998</v>
      </c>
      <c r="B320" s="50">
        <v>309.12560000000002</v>
      </c>
      <c r="C320" s="50">
        <v>306.49439999999998</v>
      </c>
      <c r="D320" s="50">
        <v>307.72030000000001</v>
      </c>
      <c r="E320" s="50">
        <v>5107901</v>
      </c>
      <c r="F320" s="50" t="s">
        <v>347</v>
      </c>
      <c r="G320" s="25">
        <f t="shared" si="2"/>
        <v>1.1013248069755566E-3</v>
      </c>
    </row>
    <row r="321" spans="1:7">
      <c r="A321" s="50">
        <v>305.89640000000003</v>
      </c>
      <c r="B321" s="50">
        <v>305.89640000000003</v>
      </c>
      <c r="C321" s="50">
        <v>302.82670000000002</v>
      </c>
      <c r="D321" s="50">
        <v>303.9828</v>
      </c>
      <c r="E321" s="50">
        <v>9568727</v>
      </c>
      <c r="F321" s="50" t="s">
        <v>348</v>
      </c>
      <c r="G321" s="25">
        <f t="shared" si="2"/>
        <v>6.2950930118415016E-3</v>
      </c>
    </row>
    <row r="322" spans="1:7">
      <c r="A322" s="50">
        <v>306.68380000000002</v>
      </c>
      <c r="B322" s="50">
        <v>310.81</v>
      </c>
      <c r="C322" s="50">
        <v>304.96949999999998</v>
      </c>
      <c r="D322" s="50">
        <v>310.16210000000001</v>
      </c>
      <c r="E322" s="50">
        <v>6660255</v>
      </c>
      <c r="F322" s="50" t="s">
        <v>349</v>
      </c>
      <c r="G322" s="25">
        <f t="shared" si="2"/>
        <v>-1.1214458504117619E-2</v>
      </c>
    </row>
    <row r="323" spans="1:7">
      <c r="A323" s="50">
        <v>311.5575</v>
      </c>
      <c r="B323" s="50">
        <v>312.99270000000001</v>
      </c>
      <c r="C323" s="50">
        <v>309.18</v>
      </c>
      <c r="D323" s="50">
        <v>309.96280000000002</v>
      </c>
      <c r="E323" s="50">
        <v>5161601</v>
      </c>
      <c r="F323" s="50" t="s">
        <v>350</v>
      </c>
      <c r="G323" s="25">
        <f t="shared" si="2"/>
        <v>5.1448109256981844E-3</v>
      </c>
    </row>
    <row r="324" spans="1:7">
      <c r="A324" s="50">
        <v>310.63060000000002</v>
      </c>
      <c r="B324" s="50">
        <v>314.1388</v>
      </c>
      <c r="C324" s="50">
        <v>310.2817</v>
      </c>
      <c r="D324" s="50">
        <v>311.84649999999999</v>
      </c>
      <c r="E324" s="50">
        <v>4958641</v>
      </c>
      <c r="F324" s="50" t="s">
        <v>351</v>
      </c>
      <c r="G324" s="25">
        <f t="shared" si="2"/>
        <v>-3.8990336591879782E-3</v>
      </c>
    </row>
    <row r="325" spans="1:7">
      <c r="A325" s="50">
        <v>311.99599999999998</v>
      </c>
      <c r="B325" s="50">
        <v>314.33819999999997</v>
      </c>
      <c r="C325" s="50">
        <v>311.0292</v>
      </c>
      <c r="D325" s="50">
        <v>313.95940000000002</v>
      </c>
      <c r="E325" s="50">
        <v>6567336</v>
      </c>
      <c r="F325" s="50" t="s">
        <v>352</v>
      </c>
      <c r="G325" s="25">
        <f t="shared" si="2"/>
        <v>-6.2536748382117091E-3</v>
      </c>
    </row>
    <row r="326" spans="1:7">
      <c r="A326" s="50">
        <v>313.85980000000001</v>
      </c>
      <c r="B326" s="50">
        <v>314.8664</v>
      </c>
      <c r="C326" s="50">
        <v>310.96940000000001</v>
      </c>
      <c r="D326" s="50">
        <v>313.13220000000001</v>
      </c>
      <c r="E326" s="50">
        <v>4271845</v>
      </c>
      <c r="F326" s="50" t="s">
        <v>353</v>
      </c>
      <c r="G326" s="25">
        <f t="shared" si="2"/>
        <v>2.3236192253623944E-3</v>
      </c>
    </row>
    <row r="327" spans="1:7">
      <c r="A327" s="50">
        <v>313.35149999999999</v>
      </c>
      <c r="B327" s="50">
        <v>318.6139</v>
      </c>
      <c r="C327" s="50">
        <v>311.36810000000003</v>
      </c>
      <c r="D327" s="50">
        <v>316.72019999999998</v>
      </c>
      <c r="E327" s="50">
        <v>5373059</v>
      </c>
      <c r="F327" s="50" t="s">
        <v>354</v>
      </c>
      <c r="G327" s="25">
        <f t="shared" si="2"/>
        <v>-1.0636201922075039E-2</v>
      </c>
    </row>
    <row r="328" spans="1:7">
      <c r="A328" s="50">
        <v>314.98599999999999</v>
      </c>
      <c r="B328" s="50">
        <v>316.60059999999999</v>
      </c>
      <c r="C328" s="50">
        <v>314.13889999999998</v>
      </c>
      <c r="D328" s="50">
        <v>315.06569999999999</v>
      </c>
      <c r="E328" s="50">
        <v>3963824</v>
      </c>
      <c r="F328" s="50" t="s">
        <v>355</v>
      </c>
      <c r="G328" s="25">
        <f t="shared" si="2"/>
        <v>-2.5296311213818257E-4</v>
      </c>
    </row>
    <row r="329" spans="1:7">
      <c r="A329" s="50">
        <v>314.25839999999999</v>
      </c>
      <c r="B329" s="50">
        <v>316.05239999999998</v>
      </c>
      <c r="C329" s="50">
        <v>312.18540000000002</v>
      </c>
      <c r="D329" s="50">
        <v>313.63049999999998</v>
      </c>
      <c r="E329" s="50">
        <v>3478763</v>
      </c>
      <c r="F329" s="50" t="s">
        <v>356</v>
      </c>
      <c r="G329" s="25">
        <f t="shared" si="2"/>
        <v>2.0020374293954202E-3</v>
      </c>
    </row>
    <row r="330" spans="1:7">
      <c r="A330" s="50">
        <v>317.59730000000002</v>
      </c>
      <c r="B330" s="50">
        <v>320.42779999999999</v>
      </c>
      <c r="C330" s="50">
        <v>316.5009</v>
      </c>
      <c r="D330" s="50">
        <v>318.20519999999999</v>
      </c>
      <c r="E330" s="50">
        <v>3489200</v>
      </c>
      <c r="F330" s="50" t="s">
        <v>357</v>
      </c>
      <c r="G330" s="25">
        <f t="shared" si="2"/>
        <v>-1.9104024698527455E-3</v>
      </c>
    </row>
    <row r="331" spans="1:7">
      <c r="A331" s="50">
        <v>319.83980000000003</v>
      </c>
      <c r="B331" s="50">
        <v>320.37799999999999</v>
      </c>
      <c r="C331" s="50">
        <v>318.39460000000003</v>
      </c>
      <c r="D331" s="50">
        <v>318.70359999999999</v>
      </c>
      <c r="E331" s="50">
        <v>2856059</v>
      </c>
      <c r="F331" s="50" t="s">
        <v>358</v>
      </c>
      <c r="G331" s="25">
        <f t="shared" si="2"/>
        <v>3.5650679816607855E-3</v>
      </c>
    </row>
    <row r="332" spans="1:7">
      <c r="A332" s="50">
        <v>319.5806</v>
      </c>
      <c r="B332" s="50">
        <v>320.46769999999998</v>
      </c>
      <c r="C332" s="50">
        <v>316.22190000000001</v>
      </c>
      <c r="D332" s="50">
        <v>317.10890000000001</v>
      </c>
      <c r="E332" s="50">
        <v>2684103</v>
      </c>
      <c r="F332" s="50" t="s">
        <v>359</v>
      </c>
      <c r="G332" s="25">
        <f t="shared" si="2"/>
        <v>7.7944832201177761E-3</v>
      </c>
    </row>
    <row r="333" spans="1:7">
      <c r="A333" s="50">
        <v>316.16210000000001</v>
      </c>
      <c r="B333" s="50">
        <v>316.90960000000001</v>
      </c>
      <c r="C333" s="50">
        <v>312.30500000000001</v>
      </c>
      <c r="D333" s="50">
        <v>314.59730000000002</v>
      </c>
      <c r="E333" s="50">
        <v>7984610</v>
      </c>
      <c r="F333" s="50" t="s">
        <v>360</v>
      </c>
      <c r="G333" s="25">
        <f t="shared" si="2"/>
        <v>4.9739778440565097E-3</v>
      </c>
    </row>
    <row r="334" spans="1:7">
      <c r="A334" s="50">
        <v>316.65039999999999</v>
      </c>
      <c r="B334" s="50">
        <v>318.93279999999999</v>
      </c>
      <c r="C334" s="50">
        <v>311.23849999999999</v>
      </c>
      <c r="D334" s="50">
        <v>312.52420000000001</v>
      </c>
      <c r="E334" s="50">
        <v>24387016</v>
      </c>
      <c r="F334" s="50" t="s">
        <v>361</v>
      </c>
      <c r="G334" s="25">
        <f t="shared" si="2"/>
        <v>1.3202817573807035E-2</v>
      </c>
    </row>
    <row r="335" spans="1:7">
      <c r="A335" s="50">
        <v>313.82990000000001</v>
      </c>
      <c r="B335" s="50">
        <v>315.81319999999999</v>
      </c>
      <c r="C335" s="50">
        <v>310.19200000000001</v>
      </c>
      <c r="D335" s="50">
        <v>310.79000000000002</v>
      </c>
      <c r="E335" s="50">
        <v>8317119</v>
      </c>
      <c r="F335" s="50" t="s">
        <v>362</v>
      </c>
      <c r="G335" s="25">
        <f t="shared" si="2"/>
        <v>9.7812027414008185E-3</v>
      </c>
    </row>
    <row r="336" spans="1:7">
      <c r="A336" s="50">
        <v>308.74689999999998</v>
      </c>
      <c r="B336" s="50">
        <v>320.54239999999999</v>
      </c>
      <c r="C336" s="50">
        <v>308.52760000000001</v>
      </c>
      <c r="D336" s="50">
        <v>317.43779999999998</v>
      </c>
      <c r="E336" s="50">
        <v>10479177</v>
      </c>
      <c r="F336" s="50" t="s">
        <v>363</v>
      </c>
      <c r="G336" s="25">
        <f t="shared" si="2"/>
        <v>-2.7378276941183444E-2</v>
      </c>
    </row>
    <row r="337" spans="1:7">
      <c r="A337" s="50">
        <v>317.23849999999999</v>
      </c>
      <c r="B337" s="50">
        <v>317.77670000000001</v>
      </c>
      <c r="C337" s="50">
        <v>314.089</v>
      </c>
      <c r="D337" s="50">
        <v>314.76670000000001</v>
      </c>
      <c r="E337" s="50">
        <v>8844349</v>
      </c>
      <c r="F337" s="50" t="s">
        <v>364</v>
      </c>
      <c r="G337" s="25">
        <f t="shared" si="2"/>
        <v>7.8528001850257656E-3</v>
      </c>
    </row>
    <row r="338" spans="1:7">
      <c r="A338" s="50">
        <v>314.8365</v>
      </c>
      <c r="B338" s="50">
        <v>316.5009</v>
      </c>
      <c r="C338" s="50">
        <v>313.05250000000001</v>
      </c>
      <c r="D338" s="50">
        <v>313.69029999999998</v>
      </c>
      <c r="E338" s="50">
        <v>6562510</v>
      </c>
      <c r="F338" s="50" t="s">
        <v>365</v>
      </c>
      <c r="G338" s="25">
        <f t="shared" si="2"/>
        <v>3.6539223559033385E-3</v>
      </c>
    </row>
    <row r="339" spans="1:7">
      <c r="A339" s="50">
        <v>313.69029999999998</v>
      </c>
      <c r="B339" s="50">
        <v>315.89299999999997</v>
      </c>
      <c r="C339" s="50">
        <v>313.29169999999999</v>
      </c>
      <c r="D339" s="50">
        <v>314.77670000000001</v>
      </c>
      <c r="E339" s="50">
        <v>4682543</v>
      </c>
      <c r="F339" s="50" t="s">
        <v>366</v>
      </c>
      <c r="G339" s="25">
        <f t="shared" si="2"/>
        <v>-3.4513355022783854E-3</v>
      </c>
    </row>
    <row r="340" spans="1:7">
      <c r="A340" s="50">
        <v>313.18200000000002</v>
      </c>
      <c r="B340" s="50">
        <v>314.49759999999998</v>
      </c>
      <c r="C340" s="50">
        <v>312.38470000000001</v>
      </c>
      <c r="D340" s="50">
        <v>313.77010000000001</v>
      </c>
      <c r="E340" s="50">
        <v>3218540</v>
      </c>
      <c r="F340" s="50" t="s">
        <v>367</v>
      </c>
      <c r="G340" s="25">
        <f t="shared" ref="G340:G403" si="3">A340/D340-1</f>
        <v>-1.8743022359364314E-3</v>
      </c>
    </row>
    <row r="341" spans="1:7">
      <c r="A341" s="50">
        <v>312.74349999999998</v>
      </c>
      <c r="B341" s="50">
        <v>314.49759999999998</v>
      </c>
      <c r="C341" s="50">
        <v>310.1771</v>
      </c>
      <c r="D341" s="50">
        <v>311.99599999999998</v>
      </c>
      <c r="E341" s="50">
        <v>4321824</v>
      </c>
      <c r="F341" s="50" t="s">
        <v>368</v>
      </c>
      <c r="G341" s="25">
        <f t="shared" si="3"/>
        <v>2.3958640495391759E-3</v>
      </c>
    </row>
    <row r="342" spans="1:7">
      <c r="A342" s="50">
        <v>311.33819999999997</v>
      </c>
      <c r="B342" s="50">
        <v>311.93619999999999</v>
      </c>
      <c r="C342" s="50">
        <v>305.6173</v>
      </c>
      <c r="D342" s="50">
        <v>306.3349</v>
      </c>
      <c r="E342" s="50">
        <v>4539827</v>
      </c>
      <c r="F342" s="50" t="s">
        <v>369</v>
      </c>
      <c r="G342" s="25">
        <f t="shared" si="3"/>
        <v>1.6332778276324289E-2</v>
      </c>
    </row>
    <row r="343" spans="1:7">
      <c r="A343" s="50">
        <v>307.27179999999998</v>
      </c>
      <c r="B343" s="50">
        <v>311.96609999999998</v>
      </c>
      <c r="C343" s="50">
        <v>306.61399999999998</v>
      </c>
      <c r="D343" s="50">
        <v>310.79000000000002</v>
      </c>
      <c r="E343" s="50">
        <v>5785297</v>
      </c>
      <c r="F343" s="50" t="s">
        <v>370</v>
      </c>
      <c r="G343" s="25">
        <f t="shared" si="3"/>
        <v>-1.1320184047105886E-2</v>
      </c>
    </row>
    <row r="344" spans="1:7">
      <c r="A344" s="50">
        <v>309.97280000000001</v>
      </c>
      <c r="B344" s="50">
        <v>311.51760000000002</v>
      </c>
      <c r="C344" s="50">
        <v>307.77010000000001</v>
      </c>
      <c r="D344" s="50">
        <v>307.8399</v>
      </c>
      <c r="E344" s="50">
        <v>4302851</v>
      </c>
      <c r="F344" s="50" t="s">
        <v>371</v>
      </c>
      <c r="G344" s="25">
        <f t="shared" si="3"/>
        <v>6.9286015230645148E-3</v>
      </c>
    </row>
    <row r="345" spans="1:7">
      <c r="A345" s="50">
        <v>308.04919999999998</v>
      </c>
      <c r="B345" s="50">
        <v>310.05250000000001</v>
      </c>
      <c r="C345" s="50">
        <v>307.8</v>
      </c>
      <c r="D345" s="50">
        <v>308.94619999999998</v>
      </c>
      <c r="E345" s="50">
        <v>5200052</v>
      </c>
      <c r="F345" s="50" t="s">
        <v>372</v>
      </c>
      <c r="G345" s="25">
        <f t="shared" si="3"/>
        <v>-2.9034181355847011E-3</v>
      </c>
    </row>
    <row r="346" spans="1:7">
      <c r="A346" s="50">
        <v>308.86649999999997</v>
      </c>
      <c r="B346" s="50">
        <v>311.8066</v>
      </c>
      <c r="C346" s="50">
        <v>307.77010000000001</v>
      </c>
      <c r="D346" s="50">
        <v>311.37810000000002</v>
      </c>
      <c r="E346" s="50">
        <v>5981759</v>
      </c>
      <c r="F346" s="50" t="s">
        <v>373</v>
      </c>
      <c r="G346" s="25">
        <f t="shared" si="3"/>
        <v>-8.0660778648210529E-3</v>
      </c>
    </row>
    <row r="347" spans="1:7">
      <c r="A347" s="50">
        <v>311.96609999999998</v>
      </c>
      <c r="B347" s="50">
        <v>316.26170000000002</v>
      </c>
      <c r="C347" s="50">
        <v>311.7269</v>
      </c>
      <c r="D347" s="50">
        <v>316.04250000000002</v>
      </c>
      <c r="E347" s="50">
        <v>5009907</v>
      </c>
      <c r="F347" s="50" t="s">
        <v>374</v>
      </c>
      <c r="G347" s="25">
        <f t="shared" si="3"/>
        <v>-1.2898265264956521E-2</v>
      </c>
    </row>
    <row r="348" spans="1:7">
      <c r="A348" s="50">
        <v>315.59399999999999</v>
      </c>
      <c r="B348" s="50">
        <v>316.3614</v>
      </c>
      <c r="C348" s="50">
        <v>312.66379999999998</v>
      </c>
      <c r="D348" s="50">
        <v>315.84309999999999</v>
      </c>
      <c r="E348" s="50">
        <v>5597635</v>
      </c>
      <c r="F348" s="50" t="s">
        <v>375</v>
      </c>
      <c r="G348" s="25">
        <f t="shared" si="3"/>
        <v>-7.8868273519350218E-4</v>
      </c>
    </row>
    <row r="349" spans="1:7">
      <c r="A349" s="50">
        <v>314.0292</v>
      </c>
      <c r="B349" s="50">
        <v>315.19529999999997</v>
      </c>
      <c r="C349" s="50">
        <v>312.65379999999999</v>
      </c>
      <c r="D349" s="50">
        <v>313.24180000000001</v>
      </c>
      <c r="E349" s="50">
        <v>3853281</v>
      </c>
      <c r="F349" s="50" t="s">
        <v>376</v>
      </c>
      <c r="G349" s="25">
        <f t="shared" si="3"/>
        <v>2.5137130485139991E-3</v>
      </c>
    </row>
    <row r="350" spans="1:7">
      <c r="A350" s="50">
        <v>313.65050000000002</v>
      </c>
      <c r="B350" s="50">
        <v>315.31490000000002</v>
      </c>
      <c r="C350" s="50">
        <v>308.45780000000002</v>
      </c>
      <c r="D350" s="50">
        <v>309.73360000000002</v>
      </c>
      <c r="E350" s="50">
        <v>5204318</v>
      </c>
      <c r="F350" s="50" t="s">
        <v>377</v>
      </c>
      <c r="G350" s="25">
        <f t="shared" si="3"/>
        <v>1.2646028716290392E-2</v>
      </c>
    </row>
    <row r="351" spans="1:7">
      <c r="A351" s="50">
        <v>310.7801</v>
      </c>
      <c r="B351" s="50">
        <v>313.4511</v>
      </c>
      <c r="C351" s="50">
        <v>310.50099999999998</v>
      </c>
      <c r="D351" s="50">
        <v>313.15210000000002</v>
      </c>
      <c r="E351" s="50">
        <v>7071592</v>
      </c>
      <c r="F351" s="50" t="s">
        <v>378</v>
      </c>
      <c r="G351" s="25">
        <f t="shared" si="3"/>
        <v>-7.5745939433266019E-3</v>
      </c>
    </row>
    <row r="352" spans="1:7">
      <c r="A352" s="50">
        <v>312.14550000000003</v>
      </c>
      <c r="B352" s="50">
        <v>312.6139</v>
      </c>
      <c r="C352" s="50">
        <v>308.82659999999998</v>
      </c>
      <c r="D352" s="50">
        <v>310.81990000000002</v>
      </c>
      <c r="E352" s="50">
        <v>14189302</v>
      </c>
      <c r="F352" s="50" t="s">
        <v>379</v>
      </c>
      <c r="G352" s="25">
        <f t="shared" si="3"/>
        <v>4.264849194018705E-3</v>
      </c>
    </row>
    <row r="353" spans="1:7">
      <c r="A353" s="50">
        <v>308.88639999999998</v>
      </c>
      <c r="B353" s="50">
        <v>310.55079999999998</v>
      </c>
      <c r="C353" s="50">
        <v>306.87310000000002</v>
      </c>
      <c r="D353" s="50">
        <v>306.94290000000001</v>
      </c>
      <c r="E353" s="50">
        <v>5919518</v>
      </c>
      <c r="F353" s="50" t="s">
        <v>380</v>
      </c>
      <c r="G353" s="25">
        <f t="shared" si="3"/>
        <v>6.3317965654197117E-3</v>
      </c>
    </row>
    <row r="354" spans="1:7">
      <c r="A354" s="50">
        <v>308.86649999999997</v>
      </c>
      <c r="B354" s="50">
        <v>309.88310000000001</v>
      </c>
      <c r="C354" s="50">
        <v>305.62729999999999</v>
      </c>
      <c r="D354" s="50">
        <v>306.27510000000001</v>
      </c>
      <c r="E354" s="50">
        <v>5757406</v>
      </c>
      <c r="F354" s="50" t="s">
        <v>381</v>
      </c>
      <c r="G354" s="25">
        <f t="shared" si="3"/>
        <v>8.4610208273541154E-3</v>
      </c>
    </row>
    <row r="355" spans="1:7">
      <c r="A355" s="50">
        <v>306.3648</v>
      </c>
      <c r="B355" s="50">
        <v>311.24849999999998</v>
      </c>
      <c r="C355" s="50">
        <v>305.19869999999997</v>
      </c>
      <c r="D355" s="50">
        <v>310.81990000000002</v>
      </c>
      <c r="E355" s="50">
        <v>6350282</v>
      </c>
      <c r="F355" s="50" t="s">
        <v>382</v>
      </c>
      <c r="G355" s="25">
        <f t="shared" si="3"/>
        <v>-1.4333380842089016E-2</v>
      </c>
    </row>
    <row r="356" spans="1:7">
      <c r="A356" s="50">
        <v>310.81</v>
      </c>
      <c r="B356" s="50">
        <v>311.18869999999998</v>
      </c>
      <c r="C356" s="50">
        <v>307.48110000000003</v>
      </c>
      <c r="D356" s="50">
        <v>308.96609999999998</v>
      </c>
      <c r="E356" s="50">
        <v>4885860</v>
      </c>
      <c r="F356" s="50" t="s">
        <v>383</v>
      </c>
      <c r="G356" s="25">
        <f t="shared" si="3"/>
        <v>5.9679686541662669E-3</v>
      </c>
    </row>
    <row r="357" spans="1:7">
      <c r="A357" s="50">
        <v>311.1189</v>
      </c>
      <c r="B357" s="50">
        <v>311.36810000000003</v>
      </c>
      <c r="C357" s="50">
        <v>307.6705</v>
      </c>
      <c r="D357" s="50">
        <v>308.4479</v>
      </c>
      <c r="E357" s="50">
        <v>4585944</v>
      </c>
      <c r="F357" s="50" t="s">
        <v>384</v>
      </c>
      <c r="G357" s="25">
        <f t="shared" si="3"/>
        <v>8.6594851188805944E-3</v>
      </c>
    </row>
    <row r="358" spans="1:7">
      <c r="A358" s="50">
        <v>308.60730000000001</v>
      </c>
      <c r="B358" s="50">
        <v>309.68369999999999</v>
      </c>
      <c r="C358" s="50">
        <v>305.63729999999998</v>
      </c>
      <c r="D358" s="50">
        <v>306.53429999999997</v>
      </c>
      <c r="E358" s="50">
        <v>5106284</v>
      </c>
      <c r="F358" s="50" t="s">
        <v>385</v>
      </c>
      <c r="G358" s="25">
        <f t="shared" si="3"/>
        <v>6.7627015965261439E-3</v>
      </c>
    </row>
    <row r="359" spans="1:7">
      <c r="A359" s="50">
        <v>307.22199999999998</v>
      </c>
      <c r="B359" s="50">
        <v>310.2518</v>
      </c>
      <c r="C359" s="50">
        <v>306.80340000000001</v>
      </c>
      <c r="D359" s="50">
        <v>308.26850000000002</v>
      </c>
      <c r="E359" s="50">
        <v>4415788</v>
      </c>
      <c r="F359" s="50" t="s">
        <v>386</v>
      </c>
      <c r="G359" s="25">
        <f t="shared" si="3"/>
        <v>-3.3947678728123432E-3</v>
      </c>
    </row>
    <row r="360" spans="1:7">
      <c r="A360" s="50">
        <v>308.4479</v>
      </c>
      <c r="B360" s="50">
        <v>309.91149999999999</v>
      </c>
      <c r="C360" s="50">
        <v>306.81330000000003</v>
      </c>
      <c r="D360" s="50">
        <v>308.45780000000002</v>
      </c>
      <c r="E360" s="50">
        <v>4046544</v>
      </c>
      <c r="F360" s="50" t="s">
        <v>387</v>
      </c>
      <c r="G360" s="25">
        <f t="shared" si="3"/>
        <v>-3.2095152075917177E-5</v>
      </c>
    </row>
    <row r="361" spans="1:7">
      <c r="A361" s="50">
        <v>308.81659999999999</v>
      </c>
      <c r="B361" s="50">
        <v>309.51429999999999</v>
      </c>
      <c r="C361" s="50">
        <v>307.08240000000001</v>
      </c>
      <c r="D361" s="50">
        <v>308.0093</v>
      </c>
      <c r="E361" s="50">
        <v>4616616</v>
      </c>
      <c r="F361" s="50" t="s">
        <v>388</v>
      </c>
      <c r="G361" s="25">
        <f t="shared" si="3"/>
        <v>2.6210247547719945E-3</v>
      </c>
    </row>
    <row r="362" spans="1:7">
      <c r="A362" s="50">
        <v>309.29500000000002</v>
      </c>
      <c r="B362" s="50">
        <v>310.80709999999999</v>
      </c>
      <c r="C362" s="50">
        <v>307.68349999999998</v>
      </c>
      <c r="D362" s="50">
        <v>308.46940000000001</v>
      </c>
      <c r="E362" s="50">
        <v>4674088</v>
      </c>
      <c r="F362" s="50" t="s">
        <v>389</v>
      </c>
      <c r="G362" s="25">
        <f t="shared" si="3"/>
        <v>2.6764405156556315E-3</v>
      </c>
    </row>
    <row r="363" spans="1:7">
      <c r="A363" s="50">
        <v>306.26100000000002</v>
      </c>
      <c r="B363" s="50">
        <v>309.52379999999999</v>
      </c>
      <c r="C363" s="50">
        <v>304.0924</v>
      </c>
      <c r="D363" s="50">
        <v>305.28609999999998</v>
      </c>
      <c r="E363" s="50">
        <v>6240616</v>
      </c>
      <c r="F363" s="50" t="s">
        <v>390</v>
      </c>
      <c r="G363" s="25">
        <f t="shared" si="3"/>
        <v>3.1933979306626448E-3</v>
      </c>
    </row>
    <row r="364" spans="1:7">
      <c r="A364" s="50">
        <v>304.20179999999999</v>
      </c>
      <c r="B364" s="50">
        <v>306.0222</v>
      </c>
      <c r="C364" s="50">
        <v>302.82900000000001</v>
      </c>
      <c r="D364" s="50">
        <v>305.8929</v>
      </c>
      <c r="E364" s="50">
        <v>6237348</v>
      </c>
      <c r="F364" s="50" t="s">
        <v>391</v>
      </c>
      <c r="G364" s="25">
        <f t="shared" si="3"/>
        <v>-5.5284055301708657E-3</v>
      </c>
    </row>
    <row r="365" spans="1:7">
      <c r="A365" s="50">
        <v>305.79340000000002</v>
      </c>
      <c r="B365" s="50">
        <v>307.38510000000002</v>
      </c>
      <c r="C365" s="50">
        <v>301.23750000000001</v>
      </c>
      <c r="D365" s="50">
        <v>304.71910000000003</v>
      </c>
      <c r="E365" s="50">
        <v>10320476</v>
      </c>
      <c r="F365" s="50" t="s">
        <v>392</v>
      </c>
      <c r="G365" s="25">
        <f t="shared" si="3"/>
        <v>3.5255420483979449E-3</v>
      </c>
    </row>
    <row r="366" spans="1:7">
      <c r="A366" s="50">
        <v>291.75720000000001</v>
      </c>
      <c r="B366" s="50">
        <v>293.23939999999999</v>
      </c>
      <c r="C366" s="50">
        <v>290.05610000000001</v>
      </c>
      <c r="D366" s="50">
        <v>290.18540000000002</v>
      </c>
      <c r="E366" s="50">
        <v>3753721</v>
      </c>
      <c r="F366" s="50" t="s">
        <v>393</v>
      </c>
      <c r="G366" s="25">
        <f t="shared" si="3"/>
        <v>5.4165371517658212E-3</v>
      </c>
    </row>
    <row r="367" spans="1:7">
      <c r="A367" s="50">
        <v>290.32470000000001</v>
      </c>
      <c r="B367" s="50">
        <v>291.61790000000002</v>
      </c>
      <c r="C367" s="50">
        <v>289.24040000000002</v>
      </c>
      <c r="D367" s="50">
        <v>290.02629999999999</v>
      </c>
      <c r="E367" s="50">
        <v>4281721</v>
      </c>
      <c r="F367" s="50" t="s">
        <v>394</v>
      </c>
      <c r="G367" s="25">
        <f t="shared" si="3"/>
        <v>1.0288722091755798E-3</v>
      </c>
    </row>
    <row r="368" spans="1:7">
      <c r="A368" s="50">
        <v>289.22050000000002</v>
      </c>
      <c r="B368" s="50">
        <v>291.1404</v>
      </c>
      <c r="C368" s="50">
        <v>285.6891</v>
      </c>
      <c r="D368" s="50">
        <v>286.98230000000001</v>
      </c>
      <c r="E368" s="50">
        <v>5471088</v>
      </c>
      <c r="F368" s="50" t="s">
        <v>395</v>
      </c>
      <c r="G368" s="25">
        <f t="shared" si="3"/>
        <v>7.799087260782267E-3</v>
      </c>
    </row>
    <row r="369" spans="1:7">
      <c r="A369" s="50">
        <v>288.33519999999999</v>
      </c>
      <c r="B369" s="50">
        <v>294.7912</v>
      </c>
      <c r="C369" s="50">
        <v>288.10739999999998</v>
      </c>
      <c r="D369" s="50">
        <v>290.56349999999998</v>
      </c>
      <c r="E369" s="50">
        <v>7950228</v>
      </c>
      <c r="F369" s="50" t="s">
        <v>396</v>
      </c>
      <c r="G369" s="25">
        <f t="shared" si="3"/>
        <v>-7.6688916536316043E-3</v>
      </c>
    </row>
    <row r="370" spans="1:7">
      <c r="A370" s="50">
        <v>288.64350000000002</v>
      </c>
      <c r="B370" s="50">
        <v>294.23419999999999</v>
      </c>
      <c r="C370" s="50">
        <v>286.82310000000001</v>
      </c>
      <c r="D370" s="50">
        <v>290.81209999999999</v>
      </c>
      <c r="E370" s="50">
        <v>9606784</v>
      </c>
      <c r="F370" s="50" t="s">
        <v>397</v>
      </c>
      <c r="G370" s="25">
        <f t="shared" si="3"/>
        <v>-7.4570487266518715E-3</v>
      </c>
    </row>
    <row r="371" spans="1:7">
      <c r="A371" s="50">
        <v>280.40679999999998</v>
      </c>
      <c r="B371" s="50">
        <v>284.20679999999999</v>
      </c>
      <c r="C371" s="50">
        <v>279.87959999999998</v>
      </c>
      <c r="D371" s="50">
        <v>282.78429999999997</v>
      </c>
      <c r="E371" s="50">
        <v>7534759</v>
      </c>
      <c r="F371" s="50" t="s">
        <v>398</v>
      </c>
      <c r="G371" s="25">
        <f t="shared" si="3"/>
        <v>-8.4074681656655104E-3</v>
      </c>
    </row>
    <row r="372" spans="1:7">
      <c r="A372" s="50">
        <v>282.7047</v>
      </c>
      <c r="B372" s="50">
        <v>283.1524</v>
      </c>
      <c r="C372" s="50">
        <v>280.05860000000001</v>
      </c>
      <c r="D372" s="50">
        <v>280.56599999999997</v>
      </c>
      <c r="E372" s="50">
        <v>4306240</v>
      </c>
      <c r="F372" s="50" t="s">
        <v>399</v>
      </c>
      <c r="G372" s="25">
        <f t="shared" si="3"/>
        <v>7.6228053292275444E-3</v>
      </c>
    </row>
    <row r="373" spans="1:7">
      <c r="A373" s="50">
        <v>280.25760000000002</v>
      </c>
      <c r="B373" s="50">
        <v>283.60000000000002</v>
      </c>
      <c r="C373" s="50">
        <v>279.31270000000001</v>
      </c>
      <c r="D373" s="50">
        <v>282.51569999999998</v>
      </c>
      <c r="E373" s="50">
        <v>4464561</v>
      </c>
      <c r="F373" s="50" t="s">
        <v>400</v>
      </c>
      <c r="G373" s="25">
        <f t="shared" si="3"/>
        <v>-7.9928301329800222E-3</v>
      </c>
    </row>
    <row r="374" spans="1:7">
      <c r="A374" s="50">
        <v>281.7398</v>
      </c>
      <c r="B374" s="50">
        <v>282.1377</v>
      </c>
      <c r="C374" s="50">
        <v>280.25760000000002</v>
      </c>
      <c r="D374" s="50">
        <v>280.91410000000002</v>
      </c>
      <c r="E374" s="50">
        <v>4680151</v>
      </c>
      <c r="F374" s="50" t="s">
        <v>401</v>
      </c>
      <c r="G374" s="25">
        <f t="shared" si="3"/>
        <v>2.939332699924968E-3</v>
      </c>
    </row>
    <row r="375" spans="1:7">
      <c r="A375" s="50">
        <v>282.27699999999999</v>
      </c>
      <c r="B375" s="50">
        <v>284.56</v>
      </c>
      <c r="C375" s="50">
        <v>282.04820000000001</v>
      </c>
      <c r="D375" s="50">
        <v>284.54509999999999</v>
      </c>
      <c r="E375" s="50">
        <v>5249255</v>
      </c>
      <c r="F375" s="50" t="s">
        <v>402</v>
      </c>
      <c r="G375" s="25">
        <f t="shared" si="3"/>
        <v>-7.9709683983312241E-3</v>
      </c>
    </row>
    <row r="376" spans="1:7">
      <c r="A376" s="50">
        <v>283.30160000000001</v>
      </c>
      <c r="B376" s="50">
        <v>285.03250000000003</v>
      </c>
      <c r="C376" s="50">
        <v>282.04820000000001</v>
      </c>
      <c r="D376" s="50">
        <v>283.56020000000001</v>
      </c>
      <c r="E376" s="50">
        <v>5736450</v>
      </c>
      <c r="F376" s="50" t="s">
        <v>403</v>
      </c>
      <c r="G376" s="25">
        <f t="shared" si="3"/>
        <v>-9.119756580789895E-4</v>
      </c>
    </row>
    <row r="377" spans="1:7">
      <c r="A377" s="50">
        <v>285.35079999999999</v>
      </c>
      <c r="B377" s="50">
        <v>288.9221</v>
      </c>
      <c r="C377" s="50">
        <v>284.83359999999999</v>
      </c>
      <c r="D377" s="50">
        <v>288.0865</v>
      </c>
      <c r="E377" s="50">
        <v>6313148</v>
      </c>
      <c r="F377" s="50" t="s">
        <v>404</v>
      </c>
      <c r="G377" s="25">
        <f t="shared" si="3"/>
        <v>-9.4961062042130395E-3</v>
      </c>
    </row>
    <row r="378" spans="1:7">
      <c r="A378" s="50">
        <v>289.10109999999997</v>
      </c>
      <c r="B378" s="50">
        <v>289.51889999999997</v>
      </c>
      <c r="C378" s="50">
        <v>286.57440000000003</v>
      </c>
      <c r="D378" s="50">
        <v>288.40480000000002</v>
      </c>
      <c r="E378" s="50">
        <v>5350923</v>
      </c>
      <c r="F378" s="50" t="s">
        <v>405</v>
      </c>
      <c r="G378" s="25">
        <f t="shared" si="3"/>
        <v>2.4143148796411662E-3</v>
      </c>
    </row>
    <row r="379" spans="1:7">
      <c r="A379" s="50">
        <v>288.8723</v>
      </c>
      <c r="B379" s="50">
        <v>289.40949999999998</v>
      </c>
      <c r="C379" s="50">
        <v>286.1069</v>
      </c>
      <c r="D379" s="50">
        <v>287.06180000000001</v>
      </c>
      <c r="E379" s="50">
        <v>8815841</v>
      </c>
      <c r="F379" s="50" t="s">
        <v>406</v>
      </c>
      <c r="G379" s="25">
        <f t="shared" si="3"/>
        <v>6.3070042757342737E-3</v>
      </c>
    </row>
    <row r="380" spans="1:7">
      <c r="A380" s="50">
        <v>286.01729999999998</v>
      </c>
      <c r="B380" s="50">
        <v>286.09690000000001</v>
      </c>
      <c r="C380" s="50">
        <v>276.89530000000002</v>
      </c>
      <c r="D380" s="50">
        <v>277.16390000000001</v>
      </c>
      <c r="E380" s="50">
        <v>9442687</v>
      </c>
      <c r="F380" s="50" t="s">
        <v>407</v>
      </c>
      <c r="G380" s="25">
        <f t="shared" si="3"/>
        <v>3.1942832381850472E-2</v>
      </c>
    </row>
    <row r="381" spans="1:7">
      <c r="A381" s="50">
        <v>277.83030000000002</v>
      </c>
      <c r="B381" s="50">
        <v>281.1628</v>
      </c>
      <c r="C381" s="50">
        <v>277.37279999999998</v>
      </c>
      <c r="D381" s="50">
        <v>279.53140000000002</v>
      </c>
      <c r="E381" s="50">
        <v>5807021</v>
      </c>
      <c r="F381" s="50" t="s">
        <v>408</v>
      </c>
      <c r="G381" s="25">
        <f t="shared" si="3"/>
        <v>-6.0855417316265648E-3</v>
      </c>
    </row>
    <row r="382" spans="1:7">
      <c r="A382" s="50">
        <v>279.2131</v>
      </c>
      <c r="B382" s="50">
        <v>279.89940000000001</v>
      </c>
      <c r="C382" s="50">
        <v>276.53710000000001</v>
      </c>
      <c r="D382" s="50">
        <v>277.62139999999999</v>
      </c>
      <c r="E382" s="50">
        <v>3996620</v>
      </c>
      <c r="F382" s="50" t="s">
        <v>409</v>
      </c>
      <c r="G382" s="25">
        <f t="shared" si="3"/>
        <v>5.733347645390463E-3</v>
      </c>
    </row>
    <row r="383" spans="1:7">
      <c r="A383" s="50">
        <v>276.3879</v>
      </c>
      <c r="B383" s="50">
        <v>277.34289999999999</v>
      </c>
      <c r="C383" s="50">
        <v>273.93079999999998</v>
      </c>
      <c r="D383" s="50">
        <v>274.59730000000002</v>
      </c>
      <c r="E383" s="50">
        <v>4746446</v>
      </c>
      <c r="F383" s="50" t="s">
        <v>410</v>
      </c>
      <c r="G383" s="25">
        <f t="shared" si="3"/>
        <v>6.5208215812755377E-3</v>
      </c>
    </row>
    <row r="384" spans="1:7">
      <c r="A384" s="50">
        <v>276.01990000000001</v>
      </c>
      <c r="B384" s="50">
        <v>276.21879999999999</v>
      </c>
      <c r="C384" s="50">
        <v>273.91090000000003</v>
      </c>
      <c r="D384" s="50">
        <v>275.33350000000002</v>
      </c>
      <c r="E384" s="50">
        <v>4063891</v>
      </c>
      <c r="F384" s="50" t="s">
        <v>411</v>
      </c>
      <c r="G384" s="25">
        <f t="shared" si="3"/>
        <v>2.4929766991665936E-3</v>
      </c>
    </row>
    <row r="385" spans="1:7">
      <c r="A385" s="50">
        <v>275.48270000000002</v>
      </c>
      <c r="B385" s="50">
        <v>276.03980000000001</v>
      </c>
      <c r="C385" s="50">
        <v>272.98579999999998</v>
      </c>
      <c r="D385" s="50">
        <v>273.56279999999998</v>
      </c>
      <c r="E385" s="50">
        <v>4115807</v>
      </c>
      <c r="F385" s="50" t="s">
        <v>412</v>
      </c>
      <c r="G385" s="25">
        <f t="shared" si="3"/>
        <v>7.0181325823541751E-3</v>
      </c>
    </row>
    <row r="386" spans="1:7">
      <c r="A386" s="50">
        <v>273.52300000000002</v>
      </c>
      <c r="B386" s="50">
        <v>274.65699999999998</v>
      </c>
      <c r="C386" s="50">
        <v>272.5779</v>
      </c>
      <c r="D386" s="50">
        <v>273.27429999999998</v>
      </c>
      <c r="E386" s="50">
        <v>4370915</v>
      </c>
      <c r="F386" s="50" t="s">
        <v>413</v>
      </c>
      <c r="G386" s="25">
        <f t="shared" si="3"/>
        <v>9.1007460269798557E-4</v>
      </c>
    </row>
    <row r="387" spans="1:7">
      <c r="A387" s="50">
        <v>272.35910000000001</v>
      </c>
      <c r="B387" s="50">
        <v>276.16410000000002</v>
      </c>
      <c r="C387" s="50">
        <v>271.81200000000001</v>
      </c>
      <c r="D387" s="50">
        <v>276.14920000000001</v>
      </c>
      <c r="E387" s="50">
        <v>4339337</v>
      </c>
      <c r="F387" s="50" t="s">
        <v>414</v>
      </c>
      <c r="G387" s="25">
        <f t="shared" si="3"/>
        <v>-1.3724827013802621E-2</v>
      </c>
    </row>
    <row r="388" spans="1:7">
      <c r="A388" s="50">
        <v>276.47750000000002</v>
      </c>
      <c r="B388" s="50">
        <v>276.98480000000001</v>
      </c>
      <c r="C388" s="50">
        <v>273.66219999999998</v>
      </c>
      <c r="D388" s="50">
        <v>275.90050000000002</v>
      </c>
      <c r="E388" s="50">
        <v>4260920</v>
      </c>
      <c r="F388" s="50" t="s">
        <v>415</v>
      </c>
      <c r="G388" s="25">
        <f t="shared" si="3"/>
        <v>2.0913336510808289E-3</v>
      </c>
    </row>
    <row r="389" spans="1:7">
      <c r="A389" s="50">
        <v>275.41300000000001</v>
      </c>
      <c r="B389" s="50">
        <v>276.23869999999999</v>
      </c>
      <c r="C389" s="50">
        <v>274.39839999999998</v>
      </c>
      <c r="D389" s="50">
        <v>275.22399999999999</v>
      </c>
      <c r="E389" s="50">
        <v>3036651</v>
      </c>
      <c r="F389" s="50" t="s">
        <v>416</v>
      </c>
      <c r="G389" s="25">
        <f t="shared" si="3"/>
        <v>6.867133680203974E-4</v>
      </c>
    </row>
    <row r="390" spans="1:7">
      <c r="A390" s="50">
        <v>275.5523</v>
      </c>
      <c r="B390" s="50">
        <v>276.18900000000002</v>
      </c>
      <c r="C390" s="50">
        <v>273.93079999999998</v>
      </c>
      <c r="D390" s="50">
        <v>275.12459999999999</v>
      </c>
      <c r="E390" s="50">
        <v>4741561</v>
      </c>
      <c r="F390" s="50" t="s">
        <v>417</v>
      </c>
      <c r="G390" s="25">
        <f t="shared" si="3"/>
        <v>1.5545683664783816E-3</v>
      </c>
    </row>
    <row r="391" spans="1:7">
      <c r="A391" s="50">
        <v>276.14920000000001</v>
      </c>
      <c r="B391" s="50">
        <v>277.60160000000002</v>
      </c>
      <c r="C391" s="50">
        <v>272.92610000000002</v>
      </c>
      <c r="D391" s="50">
        <v>275.52249999999998</v>
      </c>
      <c r="E391" s="50">
        <v>5781564</v>
      </c>
      <c r="F391" s="50" t="s">
        <v>418</v>
      </c>
      <c r="G391" s="25">
        <f t="shared" si="3"/>
        <v>2.2745873748968304E-3</v>
      </c>
    </row>
    <row r="392" spans="1:7">
      <c r="A392" s="50">
        <v>273.51299999999998</v>
      </c>
      <c r="B392" s="50">
        <v>274.24919999999997</v>
      </c>
      <c r="C392" s="50">
        <v>271.7722</v>
      </c>
      <c r="D392" s="50">
        <v>273.56279999999998</v>
      </c>
      <c r="E392" s="50">
        <v>5971352</v>
      </c>
      <c r="F392" s="50" t="s">
        <v>419</v>
      </c>
      <c r="G392" s="25">
        <f t="shared" si="3"/>
        <v>-1.8204229522433835E-4</v>
      </c>
    </row>
    <row r="393" spans="1:7">
      <c r="A393" s="50">
        <v>273.7319</v>
      </c>
      <c r="B393" s="50">
        <v>276.52719999999999</v>
      </c>
      <c r="C393" s="50">
        <v>271.3544</v>
      </c>
      <c r="D393" s="50">
        <v>271.73239999999998</v>
      </c>
      <c r="E393" s="50">
        <v>6509578</v>
      </c>
      <c r="F393" s="50" t="s">
        <v>420</v>
      </c>
      <c r="G393" s="25">
        <f t="shared" si="3"/>
        <v>7.3583422514209573E-3</v>
      </c>
    </row>
    <row r="394" spans="1:7">
      <c r="A394" s="50">
        <v>270.27010000000001</v>
      </c>
      <c r="B394" s="50">
        <v>271.81200000000001</v>
      </c>
      <c r="C394" s="50">
        <v>268.58890000000002</v>
      </c>
      <c r="D394" s="50">
        <v>269.08629999999999</v>
      </c>
      <c r="E394" s="50">
        <v>9552507</v>
      </c>
      <c r="F394" s="50" t="s">
        <v>421</v>
      </c>
      <c r="G394" s="25">
        <f t="shared" si="3"/>
        <v>4.3993321101818417E-3</v>
      </c>
    </row>
    <row r="395" spans="1:7">
      <c r="A395" s="50">
        <v>268.2208</v>
      </c>
      <c r="B395" s="50">
        <v>272.81670000000003</v>
      </c>
      <c r="C395" s="50">
        <v>266.82819999999998</v>
      </c>
      <c r="D395" s="50">
        <v>272.75700000000001</v>
      </c>
      <c r="E395" s="50">
        <v>11671266</v>
      </c>
      <c r="F395" s="50" t="s">
        <v>422</v>
      </c>
      <c r="G395" s="25">
        <f t="shared" si="3"/>
        <v>-1.663092056299198E-2</v>
      </c>
    </row>
    <row r="396" spans="1:7">
      <c r="A396" s="50">
        <v>271.3544</v>
      </c>
      <c r="B396" s="50">
        <v>279.53140000000002</v>
      </c>
      <c r="C396" s="50">
        <v>271.28469999999999</v>
      </c>
      <c r="D396" s="50">
        <v>278.71570000000003</v>
      </c>
      <c r="E396" s="50">
        <v>13690164</v>
      </c>
      <c r="F396" s="50" t="s">
        <v>423</v>
      </c>
      <c r="G396" s="25">
        <f t="shared" si="3"/>
        <v>-2.641150103851353E-2</v>
      </c>
    </row>
    <row r="397" spans="1:7">
      <c r="A397" s="50">
        <v>287.12150000000003</v>
      </c>
      <c r="B397" s="50">
        <v>287.37020000000001</v>
      </c>
      <c r="C397" s="50">
        <v>283.13249999999999</v>
      </c>
      <c r="D397" s="50">
        <v>283.411</v>
      </c>
      <c r="E397" s="50">
        <v>6505632</v>
      </c>
      <c r="F397" s="50" t="s">
        <v>424</v>
      </c>
      <c r="G397" s="25">
        <f t="shared" si="3"/>
        <v>1.3092293524245902E-2</v>
      </c>
    </row>
    <row r="398" spans="1:7">
      <c r="A398" s="50">
        <v>283.2817</v>
      </c>
      <c r="B398" s="50">
        <v>285.50009999999997</v>
      </c>
      <c r="C398" s="50">
        <v>281.7697</v>
      </c>
      <c r="D398" s="50">
        <v>284.00790000000001</v>
      </c>
      <c r="E398" s="50">
        <v>27810925</v>
      </c>
      <c r="F398" s="50" t="s">
        <v>425</v>
      </c>
      <c r="G398" s="25">
        <f t="shared" si="3"/>
        <v>-2.5569711265074346E-3</v>
      </c>
    </row>
    <row r="399" spans="1:7">
      <c r="A399" s="50">
        <v>283.74930000000001</v>
      </c>
      <c r="B399" s="50">
        <v>289.95420000000001</v>
      </c>
      <c r="C399" s="50">
        <v>281.39159999999998</v>
      </c>
      <c r="D399" s="50">
        <v>289.56869999999998</v>
      </c>
      <c r="E399" s="50">
        <v>10382069</v>
      </c>
      <c r="F399" s="50" t="s">
        <v>426</v>
      </c>
      <c r="G399" s="25">
        <f t="shared" si="3"/>
        <v>-2.0096785322446742E-2</v>
      </c>
    </row>
    <row r="400" spans="1:7">
      <c r="A400" s="50">
        <v>286.97230000000002</v>
      </c>
      <c r="B400" s="50">
        <v>290.49380000000002</v>
      </c>
      <c r="C400" s="50">
        <v>286.6241</v>
      </c>
      <c r="D400" s="50">
        <v>290.31479999999999</v>
      </c>
      <c r="E400" s="50">
        <v>5889996</v>
      </c>
      <c r="F400" s="50" t="s">
        <v>427</v>
      </c>
      <c r="G400" s="25">
        <f t="shared" si="3"/>
        <v>-1.1513364113713731E-2</v>
      </c>
    </row>
    <row r="401" spans="1:7">
      <c r="A401" s="50">
        <v>290.03620000000001</v>
      </c>
      <c r="B401" s="50">
        <v>291.53829999999999</v>
      </c>
      <c r="C401" s="50">
        <v>288.56889999999999</v>
      </c>
      <c r="D401" s="50">
        <v>289.37970000000001</v>
      </c>
      <c r="E401" s="50">
        <v>5135913</v>
      </c>
      <c r="F401" s="50" t="s">
        <v>428</v>
      </c>
      <c r="G401" s="25">
        <f t="shared" si="3"/>
        <v>2.2686456582821091E-3</v>
      </c>
    </row>
    <row r="402" spans="1:7">
      <c r="A402" s="50">
        <v>288.96190000000001</v>
      </c>
      <c r="B402" s="50">
        <v>289.37970000000001</v>
      </c>
      <c r="C402" s="50">
        <v>286.2362</v>
      </c>
      <c r="D402" s="50">
        <v>286.5446</v>
      </c>
      <c r="E402" s="50">
        <v>4458865</v>
      </c>
      <c r="F402" s="50" t="s">
        <v>429</v>
      </c>
      <c r="G402" s="25">
        <f t="shared" si="3"/>
        <v>8.4360340414721957E-3</v>
      </c>
    </row>
    <row r="403" spans="1:7">
      <c r="A403" s="50">
        <v>285.84820000000002</v>
      </c>
      <c r="B403" s="50">
        <v>287.23099999999999</v>
      </c>
      <c r="C403" s="50">
        <v>284.05759999999998</v>
      </c>
      <c r="D403" s="50">
        <v>284.99270000000001</v>
      </c>
      <c r="E403" s="50">
        <v>4987643</v>
      </c>
      <c r="F403" s="50" t="s">
        <v>430</v>
      </c>
      <c r="G403" s="25">
        <f t="shared" si="3"/>
        <v>3.0018312749764409E-3</v>
      </c>
    </row>
    <row r="404" spans="1:7">
      <c r="A404" s="50">
        <v>283.87860000000001</v>
      </c>
      <c r="B404" s="50">
        <v>284.50529999999998</v>
      </c>
      <c r="C404" s="50">
        <v>279.99900000000002</v>
      </c>
      <c r="D404" s="50">
        <v>282.51569999999998</v>
      </c>
      <c r="E404" s="50">
        <v>4161170</v>
      </c>
      <c r="F404" s="50" t="s">
        <v>431</v>
      </c>
      <c r="G404" s="25">
        <f t="shared" ref="G404:G467" si="4">A404/D404-1</f>
        <v>4.8241566751865417E-3</v>
      </c>
    </row>
    <row r="405" spans="1:7">
      <c r="A405" s="50">
        <v>282.47590000000002</v>
      </c>
      <c r="B405" s="50">
        <v>283.67959999999999</v>
      </c>
      <c r="C405" s="50">
        <v>276.84550000000002</v>
      </c>
      <c r="D405" s="50">
        <v>283.53039999999999</v>
      </c>
      <c r="E405" s="50">
        <v>6281968</v>
      </c>
      <c r="F405" s="50" t="s">
        <v>432</v>
      </c>
      <c r="G405" s="25">
        <f t="shared" si="4"/>
        <v>-3.7191779082594856E-3</v>
      </c>
    </row>
    <row r="406" spans="1:7">
      <c r="A406" s="50">
        <v>283.84870000000001</v>
      </c>
      <c r="B406" s="50">
        <v>284.90129999999999</v>
      </c>
      <c r="C406" s="50">
        <v>282.08800000000002</v>
      </c>
      <c r="D406" s="50">
        <v>284.43560000000002</v>
      </c>
      <c r="E406" s="50">
        <v>5314413</v>
      </c>
      <c r="F406" s="50" t="s">
        <v>433</v>
      </c>
      <c r="G406" s="25">
        <f t="shared" si="4"/>
        <v>-2.0633844708609628E-3</v>
      </c>
    </row>
    <row r="407" spans="1:7">
      <c r="A407" s="50">
        <v>284.1173</v>
      </c>
      <c r="B407" s="50">
        <v>285.47019999999998</v>
      </c>
      <c r="C407" s="50">
        <v>280.178</v>
      </c>
      <c r="D407" s="50">
        <v>280.6157</v>
      </c>
      <c r="E407" s="50">
        <v>10933862</v>
      </c>
      <c r="F407" s="50" t="s">
        <v>434</v>
      </c>
      <c r="G407" s="25">
        <f t="shared" si="4"/>
        <v>1.2478275449306686E-2</v>
      </c>
    </row>
    <row r="408" spans="1:7">
      <c r="A408" s="50">
        <v>277.90989999999999</v>
      </c>
      <c r="B408" s="50">
        <v>278.8152</v>
      </c>
      <c r="C408" s="50">
        <v>275.98009999999999</v>
      </c>
      <c r="D408" s="50">
        <v>276.31830000000002</v>
      </c>
      <c r="E408" s="50">
        <v>7187805</v>
      </c>
      <c r="F408" s="50" t="s">
        <v>435</v>
      </c>
      <c r="G408" s="25">
        <f t="shared" si="4"/>
        <v>5.7600238565449491E-3</v>
      </c>
    </row>
    <row r="409" spans="1:7">
      <c r="A409" s="50">
        <v>277.16390000000001</v>
      </c>
      <c r="B409" s="50">
        <v>280.02879999999999</v>
      </c>
      <c r="C409" s="50">
        <v>275.96019999999999</v>
      </c>
      <c r="D409" s="50">
        <v>279.53140000000002</v>
      </c>
      <c r="E409" s="50">
        <v>6447539</v>
      </c>
      <c r="F409" s="50" t="s">
        <v>436</v>
      </c>
      <c r="G409" s="25">
        <f t="shared" si="4"/>
        <v>-8.469531508803696E-3</v>
      </c>
    </row>
    <row r="410" spans="1:7">
      <c r="A410" s="50">
        <v>279.02409999999998</v>
      </c>
      <c r="B410" s="50">
        <v>280.173</v>
      </c>
      <c r="C410" s="50">
        <v>277.24340000000001</v>
      </c>
      <c r="D410" s="50">
        <v>277.2534</v>
      </c>
      <c r="E410" s="50">
        <v>6107450</v>
      </c>
      <c r="F410" s="50" t="s">
        <v>437</v>
      </c>
      <c r="G410" s="25">
        <f t="shared" si="4"/>
        <v>6.3865763233199591E-3</v>
      </c>
    </row>
    <row r="411" spans="1:7">
      <c r="A411" s="50">
        <v>277.08429999999998</v>
      </c>
      <c r="B411" s="50">
        <v>280.6157</v>
      </c>
      <c r="C411" s="50">
        <v>274.92559999999997</v>
      </c>
      <c r="D411" s="50">
        <v>274.92559999999997</v>
      </c>
      <c r="E411" s="50">
        <v>7278250</v>
      </c>
      <c r="F411" s="50" t="s">
        <v>438</v>
      </c>
      <c r="G411" s="25">
        <f t="shared" si="4"/>
        <v>7.8519424891680956E-3</v>
      </c>
    </row>
    <row r="412" spans="1:7">
      <c r="A412" s="50">
        <v>274.92559999999997</v>
      </c>
      <c r="B412" s="50">
        <v>275.54239999999999</v>
      </c>
      <c r="C412" s="50">
        <v>272.82659999999998</v>
      </c>
      <c r="D412" s="50">
        <v>273.56279999999998</v>
      </c>
      <c r="E412" s="50">
        <v>6296089</v>
      </c>
      <c r="F412" s="50" t="s">
        <v>439</v>
      </c>
      <c r="G412" s="25">
        <f t="shared" si="4"/>
        <v>4.9816714845731802E-3</v>
      </c>
    </row>
    <row r="413" spans="1:7">
      <c r="A413" s="50">
        <v>272.88630000000001</v>
      </c>
      <c r="B413" s="50">
        <v>274.54759999999999</v>
      </c>
      <c r="C413" s="50">
        <v>269.03649999999999</v>
      </c>
      <c r="D413" s="50">
        <v>269.56380000000001</v>
      </c>
      <c r="E413" s="50">
        <v>5565085</v>
      </c>
      <c r="F413" s="50" t="s">
        <v>440</v>
      </c>
      <c r="G413" s="25">
        <f t="shared" si="4"/>
        <v>1.2325468033912435E-2</v>
      </c>
    </row>
    <row r="414" spans="1:7">
      <c r="A414" s="50">
        <v>267.78309999999999</v>
      </c>
      <c r="B414" s="50">
        <v>270.55860000000001</v>
      </c>
      <c r="C414" s="50">
        <v>266.27109999999999</v>
      </c>
      <c r="D414" s="50">
        <v>269.74279999999999</v>
      </c>
      <c r="E414" s="50">
        <v>5455098</v>
      </c>
      <c r="F414" s="50" t="s">
        <v>441</v>
      </c>
      <c r="G414" s="25">
        <f t="shared" si="4"/>
        <v>-7.2650687988705664E-3</v>
      </c>
    </row>
    <row r="415" spans="1:7">
      <c r="A415" s="50">
        <v>269.30509999999998</v>
      </c>
      <c r="B415" s="50">
        <v>269.53390000000002</v>
      </c>
      <c r="C415" s="50">
        <v>266.48989999999998</v>
      </c>
      <c r="D415" s="50">
        <v>267.11660000000001</v>
      </c>
      <c r="E415" s="50">
        <v>6594067</v>
      </c>
      <c r="F415" s="50" t="s">
        <v>442</v>
      </c>
      <c r="G415" s="25">
        <f t="shared" si="4"/>
        <v>8.1930512742374173E-3</v>
      </c>
    </row>
    <row r="416" spans="1:7">
      <c r="A416" s="50">
        <v>266.80829999999997</v>
      </c>
      <c r="B416" s="50">
        <v>268.95699999999999</v>
      </c>
      <c r="C416" s="50">
        <v>266.27109999999999</v>
      </c>
      <c r="D416" s="50">
        <v>266.32080000000002</v>
      </c>
      <c r="E416" s="50">
        <v>4612181</v>
      </c>
      <c r="F416" s="50" t="s">
        <v>443</v>
      </c>
      <c r="G416" s="25">
        <f t="shared" si="4"/>
        <v>1.8304991574069618E-3</v>
      </c>
    </row>
    <row r="417" spans="1:7">
      <c r="A417" s="50">
        <v>266.04230000000001</v>
      </c>
      <c r="B417" s="50">
        <v>267.803</v>
      </c>
      <c r="C417" s="50">
        <v>263.92340000000002</v>
      </c>
      <c r="D417" s="50">
        <v>267.29570000000001</v>
      </c>
      <c r="E417" s="50">
        <v>3697448</v>
      </c>
      <c r="F417" s="50" t="s">
        <v>444</v>
      </c>
      <c r="G417" s="25">
        <f t="shared" si="4"/>
        <v>-4.6891887897935192E-3</v>
      </c>
    </row>
    <row r="418" spans="1:7">
      <c r="A418" s="50">
        <v>266.53969999999998</v>
      </c>
      <c r="B418" s="50">
        <v>268.0915</v>
      </c>
      <c r="C418" s="50">
        <v>265.17680000000001</v>
      </c>
      <c r="D418" s="50">
        <v>267.53440000000001</v>
      </c>
      <c r="E418" s="50">
        <v>4425444</v>
      </c>
      <c r="F418" s="50" t="s">
        <v>445</v>
      </c>
      <c r="G418" s="25">
        <f t="shared" si="4"/>
        <v>-3.7180265416335567E-3</v>
      </c>
    </row>
    <row r="419" spans="1:7">
      <c r="A419" s="50">
        <v>266.79829999999998</v>
      </c>
      <c r="B419" s="50">
        <v>267.86270000000002</v>
      </c>
      <c r="C419" s="50">
        <v>265.99250000000001</v>
      </c>
      <c r="D419" s="50">
        <v>267.15640000000002</v>
      </c>
      <c r="E419" s="50">
        <v>6639748</v>
      </c>
      <c r="F419" s="50" t="s">
        <v>446</v>
      </c>
      <c r="G419" s="25">
        <f t="shared" si="4"/>
        <v>-1.3404133309179445E-3</v>
      </c>
    </row>
    <row r="420" spans="1:7">
      <c r="A420" s="50">
        <v>266.63909999999998</v>
      </c>
      <c r="B420" s="50">
        <v>266.63909999999998</v>
      </c>
      <c r="C420" s="50">
        <v>264.39100000000002</v>
      </c>
      <c r="D420" s="50">
        <v>265.6046</v>
      </c>
      <c r="E420" s="50">
        <v>6803575</v>
      </c>
      <c r="F420" s="50" t="s">
        <v>447</v>
      </c>
      <c r="G420" s="25">
        <f t="shared" si="4"/>
        <v>3.8948873626434288E-3</v>
      </c>
    </row>
    <row r="421" spans="1:7">
      <c r="A421" s="50">
        <v>265.07729999999998</v>
      </c>
      <c r="B421" s="50">
        <v>266.9083</v>
      </c>
      <c r="C421" s="50">
        <v>263.84379999999999</v>
      </c>
      <c r="D421" s="50">
        <v>266.0224</v>
      </c>
      <c r="E421" s="50">
        <v>6555945</v>
      </c>
      <c r="F421" s="50" t="s">
        <v>448</v>
      </c>
      <c r="G421" s="25">
        <f t="shared" si="4"/>
        <v>-3.5527083433576356E-3</v>
      </c>
    </row>
    <row r="422" spans="1:7">
      <c r="A422" s="50">
        <v>265.98259999999999</v>
      </c>
      <c r="B422" s="50">
        <v>267.03710000000001</v>
      </c>
      <c r="C422" s="50">
        <v>264.00299999999999</v>
      </c>
      <c r="D422" s="50">
        <v>265.4554</v>
      </c>
      <c r="E422" s="50">
        <v>5111080</v>
      </c>
      <c r="F422" s="50" t="s">
        <v>449</v>
      </c>
      <c r="G422" s="25">
        <f t="shared" si="4"/>
        <v>1.9860210039048809E-3</v>
      </c>
    </row>
    <row r="423" spans="1:7">
      <c r="A423" s="50">
        <v>265.40559999999999</v>
      </c>
      <c r="B423" s="50">
        <v>265.99250000000001</v>
      </c>
      <c r="C423" s="50">
        <v>261.46629999999999</v>
      </c>
      <c r="D423" s="50">
        <v>261.46629999999999</v>
      </c>
      <c r="E423" s="50">
        <v>7397780</v>
      </c>
      <c r="F423" s="50" t="s">
        <v>450</v>
      </c>
      <c r="G423" s="25">
        <f t="shared" si="4"/>
        <v>1.5066186349827815E-2</v>
      </c>
    </row>
    <row r="424" spans="1:7">
      <c r="A424" s="50">
        <v>259.77519999999998</v>
      </c>
      <c r="B424" s="50">
        <v>260.13330000000002</v>
      </c>
      <c r="C424" s="50">
        <v>257.3877</v>
      </c>
      <c r="D424" s="50">
        <v>259.50659999999999</v>
      </c>
      <c r="E424" s="50">
        <v>8552272</v>
      </c>
      <c r="F424" s="50" t="s">
        <v>451</v>
      </c>
      <c r="G424" s="25">
        <f t="shared" si="4"/>
        <v>1.0350411126345271E-3</v>
      </c>
    </row>
    <row r="425" spans="1:7">
      <c r="A425" s="50">
        <v>258.77050000000003</v>
      </c>
      <c r="B425" s="50">
        <v>260.31240000000003</v>
      </c>
      <c r="C425" s="50">
        <v>257.91500000000002</v>
      </c>
      <c r="D425" s="50">
        <v>258.77050000000003</v>
      </c>
      <c r="E425" s="50">
        <v>12005746</v>
      </c>
      <c r="F425" s="50" t="s">
        <v>452</v>
      </c>
      <c r="G425" s="25">
        <f t="shared" si="4"/>
        <v>0</v>
      </c>
    </row>
    <row r="426" spans="1:7">
      <c r="A426" s="50">
        <v>258.5317</v>
      </c>
      <c r="B426" s="50">
        <v>260.2328</v>
      </c>
      <c r="C426" s="50">
        <v>257.88510000000002</v>
      </c>
      <c r="D426" s="50">
        <v>259.1386</v>
      </c>
      <c r="E426" s="50">
        <v>26769518</v>
      </c>
      <c r="F426" s="50" t="s">
        <v>453</v>
      </c>
      <c r="G426" s="25">
        <f t="shared" si="4"/>
        <v>-2.3419899621283102E-3</v>
      </c>
    </row>
    <row r="427" spans="1:7">
      <c r="A427" s="50">
        <v>258.4024</v>
      </c>
      <c r="B427" s="50">
        <v>260.15320000000003</v>
      </c>
      <c r="C427" s="50">
        <v>257.65629999999999</v>
      </c>
      <c r="D427" s="50">
        <v>257.81549999999999</v>
      </c>
      <c r="E427" s="50">
        <v>7228127</v>
      </c>
      <c r="F427" s="50" t="s">
        <v>454</v>
      </c>
      <c r="G427" s="25">
        <f t="shared" si="4"/>
        <v>2.2764341166454649E-3</v>
      </c>
    </row>
    <row r="428" spans="1:7">
      <c r="A428" s="50">
        <v>257.95479999999998</v>
      </c>
      <c r="B428" s="50">
        <v>258.56529999999998</v>
      </c>
      <c r="C428" s="50">
        <v>256.05860000000001</v>
      </c>
      <c r="D428" s="50">
        <v>256.267</v>
      </c>
      <c r="E428" s="50">
        <v>8223667</v>
      </c>
      <c r="F428" s="50" t="s">
        <v>455</v>
      </c>
      <c r="G428" s="25">
        <f t="shared" si="4"/>
        <v>6.5860996538764649E-3</v>
      </c>
    </row>
    <row r="429" spans="1:7">
      <c r="A429" s="50">
        <v>254.6687</v>
      </c>
      <c r="B429" s="50">
        <v>260.13889999999998</v>
      </c>
      <c r="C429" s="50">
        <v>254.46019999999999</v>
      </c>
      <c r="D429" s="50">
        <v>257.786</v>
      </c>
      <c r="E429" s="50">
        <v>12908578</v>
      </c>
      <c r="F429" s="50" t="s">
        <v>456</v>
      </c>
      <c r="G429" s="25">
        <f t="shared" si="4"/>
        <v>-1.209258842605887E-2</v>
      </c>
    </row>
    <row r="430" spans="1:7">
      <c r="A430" s="50">
        <v>256.39609999999999</v>
      </c>
      <c r="B430" s="50">
        <v>258.61</v>
      </c>
      <c r="C430" s="50">
        <v>253.92410000000001</v>
      </c>
      <c r="D430" s="50">
        <v>254.64879999999999</v>
      </c>
      <c r="E430" s="50">
        <v>21586816</v>
      </c>
      <c r="F430" s="50" t="s">
        <v>457</v>
      </c>
      <c r="G430" s="25">
        <f t="shared" si="4"/>
        <v>6.8616070446827493E-3</v>
      </c>
    </row>
    <row r="431" spans="1:7">
      <c r="A431" s="50">
        <v>254.58920000000001</v>
      </c>
      <c r="B431" s="50">
        <v>261.02249999999998</v>
      </c>
      <c r="C431" s="50">
        <v>252.67320000000001</v>
      </c>
      <c r="D431" s="50">
        <v>259.56310000000002</v>
      </c>
      <c r="E431" s="50">
        <v>9631322</v>
      </c>
      <c r="F431" s="50" t="s">
        <v>458</v>
      </c>
      <c r="G431" s="25">
        <f t="shared" si="4"/>
        <v>-1.9162585128625786E-2</v>
      </c>
    </row>
    <row r="432" spans="1:7">
      <c r="A432" s="50">
        <v>264.65609999999998</v>
      </c>
      <c r="B432" s="50">
        <v>266.02609999999999</v>
      </c>
      <c r="C432" s="50">
        <v>260.9828</v>
      </c>
      <c r="D432" s="50">
        <v>261.92590000000001</v>
      </c>
      <c r="E432" s="50">
        <v>7017857</v>
      </c>
      <c r="F432" s="50" t="s">
        <v>459</v>
      </c>
      <c r="G432" s="25">
        <f t="shared" si="4"/>
        <v>1.0423558724051318E-2</v>
      </c>
    </row>
    <row r="433" spans="1:7">
      <c r="A433" s="50">
        <v>264.01069999999999</v>
      </c>
      <c r="B433" s="50">
        <v>265.07299999999998</v>
      </c>
      <c r="C433" s="50">
        <v>262.27339999999998</v>
      </c>
      <c r="D433" s="50">
        <v>264.40789999999998</v>
      </c>
      <c r="E433" s="50">
        <v>7269671</v>
      </c>
      <c r="F433" s="50" t="s">
        <v>460</v>
      </c>
      <c r="G433" s="25">
        <f t="shared" si="4"/>
        <v>-1.5022244040363564E-3</v>
      </c>
    </row>
    <row r="434" spans="1:7">
      <c r="A434" s="50">
        <v>263.75259999999997</v>
      </c>
      <c r="B434" s="50">
        <v>264.43759999999997</v>
      </c>
      <c r="C434" s="50">
        <v>262.34289999999999</v>
      </c>
      <c r="D434" s="50">
        <v>262.63080000000002</v>
      </c>
      <c r="E434" s="50">
        <v>7642547</v>
      </c>
      <c r="F434" s="50" t="s">
        <v>461</v>
      </c>
      <c r="G434" s="25">
        <f t="shared" si="4"/>
        <v>4.2713954341986327E-3</v>
      </c>
    </row>
    <row r="435" spans="1:7">
      <c r="A435" s="50">
        <v>261.20119999999997</v>
      </c>
      <c r="B435" s="50">
        <v>262.39249999999998</v>
      </c>
      <c r="C435" s="50">
        <v>259.12630000000001</v>
      </c>
      <c r="D435" s="50">
        <v>261.33019999999999</v>
      </c>
      <c r="E435" s="50">
        <v>5941775</v>
      </c>
      <c r="F435" s="50" t="s">
        <v>462</v>
      </c>
      <c r="G435" s="25">
        <f t="shared" si="4"/>
        <v>-4.936283674830122E-4</v>
      </c>
    </row>
    <row r="436" spans="1:7">
      <c r="A436" s="50">
        <v>259.71199999999999</v>
      </c>
      <c r="B436" s="50">
        <v>260.80900000000003</v>
      </c>
      <c r="C436" s="50">
        <v>256.71379999999999</v>
      </c>
      <c r="D436" s="50">
        <v>258.44119999999998</v>
      </c>
      <c r="E436" s="50">
        <v>6068109</v>
      </c>
      <c r="F436" s="50" t="s">
        <v>463</v>
      </c>
      <c r="G436" s="25">
        <f t="shared" si="4"/>
        <v>4.9171726489429801E-3</v>
      </c>
    </row>
    <row r="437" spans="1:7">
      <c r="A437" s="50">
        <v>257.5874</v>
      </c>
      <c r="B437" s="50">
        <v>259.31490000000002</v>
      </c>
      <c r="C437" s="50">
        <v>253.74539999999999</v>
      </c>
      <c r="D437" s="50">
        <v>253.74539999999999</v>
      </c>
      <c r="E437" s="50">
        <v>7062213</v>
      </c>
      <c r="F437" s="50" t="s">
        <v>464</v>
      </c>
      <c r="G437" s="25">
        <f t="shared" si="4"/>
        <v>1.5141161179670792E-2</v>
      </c>
    </row>
    <row r="438" spans="1:7">
      <c r="A438" s="50">
        <v>251.90870000000001</v>
      </c>
      <c r="B438" s="50">
        <v>256.35640000000001</v>
      </c>
      <c r="C438" s="50">
        <v>250.87620000000001</v>
      </c>
      <c r="D438" s="50">
        <v>253.54679999999999</v>
      </c>
      <c r="E438" s="50">
        <v>8573282</v>
      </c>
      <c r="F438" s="50" t="s">
        <v>465</v>
      </c>
      <c r="G438" s="25">
        <f t="shared" si="4"/>
        <v>-6.460740186821412E-3</v>
      </c>
    </row>
    <row r="439" spans="1:7">
      <c r="A439" s="50">
        <v>252.3356</v>
      </c>
      <c r="B439" s="50">
        <v>255.34379999999999</v>
      </c>
      <c r="C439" s="50">
        <v>251.3031</v>
      </c>
      <c r="D439" s="50">
        <v>254.22190000000001</v>
      </c>
      <c r="E439" s="50">
        <v>13065893</v>
      </c>
      <c r="F439" s="50" t="s">
        <v>466</v>
      </c>
      <c r="G439" s="25">
        <f t="shared" si="4"/>
        <v>-7.4198957682245492E-3</v>
      </c>
    </row>
    <row r="440" spans="1:7">
      <c r="A440" s="50">
        <v>262.87900000000002</v>
      </c>
      <c r="B440" s="50">
        <v>265.76799999999997</v>
      </c>
      <c r="C440" s="50">
        <v>261.95569999999998</v>
      </c>
      <c r="D440" s="50">
        <v>265.5992</v>
      </c>
      <c r="E440" s="50">
        <v>8109209</v>
      </c>
      <c r="F440" s="50" t="s">
        <v>467</v>
      </c>
      <c r="G440" s="25">
        <f t="shared" si="4"/>
        <v>-1.024174771610753E-2</v>
      </c>
    </row>
    <row r="441" spans="1:7">
      <c r="A441" s="50">
        <v>265.77789999999999</v>
      </c>
      <c r="B441" s="50">
        <v>266.46289999999999</v>
      </c>
      <c r="C441" s="50">
        <v>263.10730000000001</v>
      </c>
      <c r="D441" s="50">
        <v>265.3014</v>
      </c>
      <c r="E441" s="50">
        <v>5313610</v>
      </c>
      <c r="F441" s="50" t="s">
        <v>468</v>
      </c>
      <c r="G441" s="25">
        <f t="shared" si="4"/>
        <v>1.7960704315920228E-3</v>
      </c>
    </row>
    <row r="442" spans="1:7">
      <c r="A442" s="50">
        <v>263.54410000000001</v>
      </c>
      <c r="B442" s="50">
        <v>268.99450000000002</v>
      </c>
      <c r="C442" s="50">
        <v>262.4024</v>
      </c>
      <c r="D442" s="50">
        <v>268.3691</v>
      </c>
      <c r="E442" s="50">
        <v>6839933</v>
      </c>
      <c r="F442" s="50" t="s">
        <v>469</v>
      </c>
      <c r="G442" s="25">
        <f t="shared" si="4"/>
        <v>-1.7978970008097006E-2</v>
      </c>
    </row>
    <row r="443" spans="1:7">
      <c r="A443" s="50">
        <v>267.20749999999998</v>
      </c>
      <c r="B443" s="50">
        <v>271.64519999999999</v>
      </c>
      <c r="C443" s="50">
        <v>266.61680000000001</v>
      </c>
      <c r="D443" s="50">
        <v>270.32479999999998</v>
      </c>
      <c r="E443" s="50">
        <v>5550804</v>
      </c>
      <c r="F443" s="50" t="s">
        <v>470</v>
      </c>
      <c r="G443" s="25">
        <f t="shared" si="4"/>
        <v>-1.1531683367563716E-2</v>
      </c>
    </row>
    <row r="444" spans="1:7">
      <c r="A444" s="50">
        <v>270.7319</v>
      </c>
      <c r="B444" s="50">
        <v>270.94040000000001</v>
      </c>
      <c r="C444" s="50">
        <v>266.30410000000001</v>
      </c>
      <c r="D444" s="50">
        <v>266.50259999999997</v>
      </c>
      <c r="E444" s="50">
        <v>5324662</v>
      </c>
      <c r="F444" s="50" t="s">
        <v>471</v>
      </c>
      <c r="G444" s="25">
        <f t="shared" si="4"/>
        <v>1.5869638795268814E-2</v>
      </c>
    </row>
    <row r="445" spans="1:7">
      <c r="A445" s="50">
        <v>267.30680000000001</v>
      </c>
      <c r="B445" s="50">
        <v>268.25990000000002</v>
      </c>
      <c r="C445" s="50">
        <v>265.44040000000001</v>
      </c>
      <c r="D445" s="50">
        <v>266.58210000000003</v>
      </c>
      <c r="E445" s="50">
        <v>7869921</v>
      </c>
      <c r="F445" s="50" t="s">
        <v>472</v>
      </c>
      <c r="G445" s="25">
        <f t="shared" si="4"/>
        <v>2.7184871002214894E-3</v>
      </c>
    </row>
    <row r="446" spans="1:7">
      <c r="A446" s="50">
        <v>266.51260000000002</v>
      </c>
      <c r="B446" s="50">
        <v>267.29689999999999</v>
      </c>
      <c r="C446" s="50">
        <v>263.33569999999997</v>
      </c>
      <c r="D446" s="50">
        <v>263.75259999999997</v>
      </c>
      <c r="E446" s="50">
        <v>6845211</v>
      </c>
      <c r="F446" s="50" t="s">
        <v>473</v>
      </c>
      <c r="G446" s="25">
        <f t="shared" si="4"/>
        <v>1.0464351820607787E-2</v>
      </c>
    </row>
    <row r="447" spans="1:7">
      <c r="A447" s="50">
        <v>263.82209999999998</v>
      </c>
      <c r="B447" s="50">
        <v>265.46519999999998</v>
      </c>
      <c r="C447" s="50">
        <v>261.75709999999998</v>
      </c>
      <c r="D447" s="50">
        <v>262.43220000000002</v>
      </c>
      <c r="E447" s="50">
        <v>6627767</v>
      </c>
      <c r="F447" s="50" t="s">
        <v>474</v>
      </c>
      <c r="G447" s="25">
        <f t="shared" si="4"/>
        <v>5.2962250821353418E-3</v>
      </c>
    </row>
    <row r="448" spans="1:7">
      <c r="A448" s="50">
        <v>260.6551</v>
      </c>
      <c r="B448" s="50">
        <v>261.72730000000001</v>
      </c>
      <c r="C448" s="50">
        <v>258.87810000000002</v>
      </c>
      <c r="D448" s="50">
        <v>260.23820000000001</v>
      </c>
      <c r="E448" s="50">
        <v>8805194</v>
      </c>
      <c r="F448" s="50" t="s">
        <v>475</v>
      </c>
      <c r="G448" s="25">
        <f t="shared" si="4"/>
        <v>1.6019938656199884E-3</v>
      </c>
    </row>
    <row r="449" spans="1:7">
      <c r="A449" s="50">
        <v>261.1019</v>
      </c>
      <c r="B449" s="50">
        <v>261.57839999999999</v>
      </c>
      <c r="C449" s="50">
        <v>256.64429999999999</v>
      </c>
      <c r="D449" s="50">
        <v>257.24990000000003</v>
      </c>
      <c r="E449" s="50">
        <v>9635466</v>
      </c>
      <c r="F449" s="50" t="s">
        <v>476</v>
      </c>
      <c r="G449" s="25">
        <f t="shared" si="4"/>
        <v>1.4973766753650697E-2</v>
      </c>
    </row>
    <row r="450" spans="1:7">
      <c r="A450" s="50">
        <v>263.52429999999998</v>
      </c>
      <c r="B450" s="50">
        <v>265.6191</v>
      </c>
      <c r="C450" s="50">
        <v>262.01530000000002</v>
      </c>
      <c r="D450" s="50">
        <v>265.07299999999998</v>
      </c>
      <c r="E450" s="50">
        <v>6432808</v>
      </c>
      <c r="F450" s="50" t="s">
        <v>477</v>
      </c>
      <c r="G450" s="25">
        <f t="shared" si="4"/>
        <v>-5.8425414885711069E-3</v>
      </c>
    </row>
    <row r="451" spans="1:7">
      <c r="A451" s="50">
        <v>264.47739999999999</v>
      </c>
      <c r="B451" s="50">
        <v>269.48099999999999</v>
      </c>
      <c r="C451" s="50">
        <v>264.0505</v>
      </c>
      <c r="D451" s="50">
        <v>268.2996</v>
      </c>
      <c r="E451" s="50">
        <v>8561140</v>
      </c>
      <c r="F451" s="50" t="s">
        <v>478</v>
      </c>
      <c r="G451" s="25">
        <f t="shared" si="4"/>
        <v>-1.4246014530025386E-2</v>
      </c>
    </row>
    <row r="452" spans="1:7">
      <c r="A452" s="50">
        <v>268.40879999999999</v>
      </c>
      <c r="B452" s="50">
        <v>268.5924</v>
      </c>
      <c r="C452" s="50">
        <v>266.30410000000001</v>
      </c>
      <c r="D452" s="50">
        <v>267.05860000000001</v>
      </c>
      <c r="E452" s="50">
        <v>7986435</v>
      </c>
      <c r="F452" s="50" t="s">
        <v>479</v>
      </c>
      <c r="G452" s="25">
        <f t="shared" si="4"/>
        <v>5.0558192097163168E-3</v>
      </c>
    </row>
    <row r="453" spans="1:7">
      <c r="A453" s="50">
        <v>267.0487</v>
      </c>
      <c r="B453" s="50">
        <v>267.8032</v>
      </c>
      <c r="C453" s="50">
        <v>266.21469999999999</v>
      </c>
      <c r="D453" s="50">
        <v>267.12810000000002</v>
      </c>
      <c r="E453" s="50">
        <v>5017760</v>
      </c>
      <c r="F453" s="50" t="s">
        <v>480</v>
      </c>
      <c r="G453" s="25">
        <f t="shared" si="4"/>
        <v>-2.9723567082617919E-4</v>
      </c>
    </row>
    <row r="454" spans="1:7">
      <c r="A454" s="50">
        <v>266.29410000000001</v>
      </c>
      <c r="B454" s="50">
        <v>266.29410000000001</v>
      </c>
      <c r="C454" s="50">
        <v>260.50619999999998</v>
      </c>
      <c r="D454" s="50">
        <v>261.34019999999998</v>
      </c>
      <c r="E454" s="50">
        <v>8697811</v>
      </c>
      <c r="F454" s="50" t="s">
        <v>481</v>
      </c>
      <c r="G454" s="25">
        <f t="shared" si="4"/>
        <v>1.8955751927946851E-2</v>
      </c>
    </row>
    <row r="455" spans="1:7">
      <c r="A455" s="50">
        <v>261.34019999999998</v>
      </c>
      <c r="B455" s="50">
        <v>263.8519</v>
      </c>
      <c r="C455" s="50">
        <v>259.41419999999999</v>
      </c>
      <c r="D455" s="50">
        <v>261.88619999999997</v>
      </c>
      <c r="E455" s="50">
        <v>7955766</v>
      </c>
      <c r="F455" s="50" t="s">
        <v>482</v>
      </c>
      <c r="G455" s="25">
        <f t="shared" si="4"/>
        <v>-2.08487503350685E-3</v>
      </c>
    </row>
    <row r="456" spans="1:7">
      <c r="A456" s="50">
        <v>260.57569999999998</v>
      </c>
      <c r="B456" s="50">
        <v>266.66149999999999</v>
      </c>
      <c r="C456" s="50">
        <v>259.36450000000002</v>
      </c>
      <c r="D456" s="50">
        <v>265.27159999999998</v>
      </c>
      <c r="E456" s="50">
        <v>13957270</v>
      </c>
      <c r="F456" s="50" t="s">
        <v>483</v>
      </c>
      <c r="G456" s="25">
        <f t="shared" si="4"/>
        <v>-1.7702234238418213E-2</v>
      </c>
    </row>
    <row r="457" spans="1:7">
      <c r="A457" s="50">
        <v>264.666</v>
      </c>
      <c r="B457" s="50">
        <v>268.63709999999998</v>
      </c>
      <c r="C457" s="50">
        <v>264.57659999999998</v>
      </c>
      <c r="D457" s="50">
        <v>266.57209999999998</v>
      </c>
      <c r="E457" s="50">
        <v>10529083</v>
      </c>
      <c r="F457" s="50" t="s">
        <v>484</v>
      </c>
      <c r="G457" s="25">
        <f t="shared" si="4"/>
        <v>-7.15041071439948E-3</v>
      </c>
    </row>
    <row r="458" spans="1:7">
      <c r="A458" s="50">
        <v>271.62540000000001</v>
      </c>
      <c r="B458" s="50">
        <v>272.47919999999999</v>
      </c>
      <c r="C458" s="50">
        <v>269.78870000000001</v>
      </c>
      <c r="D458" s="50">
        <v>270.94040000000001</v>
      </c>
      <c r="E458" s="50">
        <v>12171987</v>
      </c>
      <c r="F458" s="50" t="s">
        <v>485</v>
      </c>
      <c r="G458" s="25">
        <f t="shared" si="4"/>
        <v>2.5282313010537294E-3</v>
      </c>
    </row>
    <row r="459" spans="1:7">
      <c r="A459" s="50">
        <v>271.55590000000001</v>
      </c>
      <c r="B459" s="50">
        <v>275.92320000000001</v>
      </c>
      <c r="C459" s="50">
        <v>271.55590000000001</v>
      </c>
      <c r="D459" s="50">
        <v>274.8519</v>
      </c>
      <c r="E459" s="50">
        <v>19897651</v>
      </c>
      <c r="F459" s="50" t="s">
        <v>486</v>
      </c>
      <c r="G459" s="25">
        <f t="shared" si="4"/>
        <v>-1.1991912735549559E-2</v>
      </c>
    </row>
    <row r="460" spans="1:7">
      <c r="A460" s="50">
        <v>274.30590000000001</v>
      </c>
      <c r="B460" s="50">
        <v>278.3664</v>
      </c>
      <c r="C460" s="50">
        <v>273.2833</v>
      </c>
      <c r="D460" s="50">
        <v>273.33300000000003</v>
      </c>
      <c r="E460" s="50">
        <v>24149627</v>
      </c>
      <c r="F460" s="50" t="s">
        <v>487</v>
      </c>
      <c r="G460" s="25">
        <f t="shared" si="4"/>
        <v>3.5593945846275066E-3</v>
      </c>
    </row>
    <row r="461" spans="1:7">
      <c r="A461" s="50">
        <v>273.2337</v>
      </c>
      <c r="B461" s="50">
        <v>275.53699999999998</v>
      </c>
      <c r="C461" s="50">
        <v>272.59829999999999</v>
      </c>
      <c r="D461" s="50">
        <v>275.1696</v>
      </c>
      <c r="E461" s="50">
        <v>14790151</v>
      </c>
      <c r="F461" s="50" t="s">
        <v>488</v>
      </c>
      <c r="G461" s="25">
        <f t="shared" si="4"/>
        <v>-7.0352975037940579E-3</v>
      </c>
    </row>
    <row r="462" spans="1:7">
      <c r="A462" s="50">
        <v>274.82220000000001</v>
      </c>
      <c r="B462" s="50">
        <v>276.0333</v>
      </c>
      <c r="C462" s="50">
        <v>271.12900000000002</v>
      </c>
      <c r="D462" s="50">
        <v>271.2183</v>
      </c>
      <c r="E462" s="50">
        <v>10164364</v>
      </c>
      <c r="F462" s="50" t="s">
        <v>489</v>
      </c>
      <c r="G462" s="25">
        <f t="shared" si="4"/>
        <v>1.3287820180275522E-2</v>
      </c>
    </row>
    <row r="463" spans="1:7">
      <c r="A463" s="50">
        <v>271.64519999999999</v>
      </c>
      <c r="B463" s="50">
        <v>271.92320000000001</v>
      </c>
      <c r="C463" s="50">
        <v>269.34199999999998</v>
      </c>
      <c r="D463" s="50">
        <v>269.34199999999998</v>
      </c>
      <c r="E463" s="50">
        <v>6707460</v>
      </c>
      <c r="F463" s="50" t="s">
        <v>490</v>
      </c>
      <c r="G463" s="25">
        <f t="shared" si="4"/>
        <v>8.5512099858173762E-3</v>
      </c>
    </row>
    <row r="464" spans="1:7">
      <c r="A464" s="50">
        <v>269.21289999999999</v>
      </c>
      <c r="B464" s="50">
        <v>269.8682</v>
      </c>
      <c r="C464" s="50">
        <v>267.05860000000001</v>
      </c>
      <c r="D464" s="50">
        <v>267.05860000000001</v>
      </c>
      <c r="E464" s="50">
        <v>9258209</v>
      </c>
      <c r="F464" s="50" t="s">
        <v>491</v>
      </c>
      <c r="G464" s="25">
        <f t="shared" si="4"/>
        <v>8.066768866458407E-3</v>
      </c>
    </row>
    <row r="465" spans="1:7">
      <c r="A465" s="50">
        <v>268.70659999999998</v>
      </c>
      <c r="B465" s="50">
        <v>269.59019999999998</v>
      </c>
      <c r="C465" s="50">
        <v>267.32659999999998</v>
      </c>
      <c r="D465" s="50">
        <v>268.1506</v>
      </c>
      <c r="E465" s="50">
        <v>8537260</v>
      </c>
      <c r="F465" s="50" t="s">
        <v>492</v>
      </c>
      <c r="G465" s="25">
        <f t="shared" si="4"/>
        <v>2.0734617039825931E-3</v>
      </c>
    </row>
    <row r="466" spans="1:7">
      <c r="A466" s="50">
        <v>269.2328</v>
      </c>
      <c r="B466" s="50">
        <v>269.89299999999997</v>
      </c>
      <c r="C466" s="50">
        <v>267.3723</v>
      </c>
      <c r="D466" s="50">
        <v>268.3691</v>
      </c>
      <c r="E466" s="50">
        <v>7361158</v>
      </c>
      <c r="F466" s="50" t="s">
        <v>493</v>
      </c>
      <c r="G466" s="25">
        <f t="shared" si="4"/>
        <v>3.2183287867344479E-3</v>
      </c>
    </row>
    <row r="467" spans="1:7">
      <c r="A467" s="50">
        <v>268.3691</v>
      </c>
      <c r="B467" s="50">
        <v>275.59649999999999</v>
      </c>
      <c r="C467" s="50">
        <v>267.95209999999997</v>
      </c>
      <c r="D467" s="50">
        <v>274.77249999999998</v>
      </c>
      <c r="E467" s="50">
        <v>7536636</v>
      </c>
      <c r="F467" s="50" t="s">
        <v>494</v>
      </c>
      <c r="G467" s="25">
        <f t="shared" si="4"/>
        <v>-2.3304369978800588E-2</v>
      </c>
    </row>
    <row r="468" spans="1:7">
      <c r="A468" s="50">
        <v>272.68770000000001</v>
      </c>
      <c r="B468" s="50">
        <v>272.87630000000001</v>
      </c>
      <c r="C468" s="50">
        <v>270.25529999999998</v>
      </c>
      <c r="D468" s="50">
        <v>272.55860000000001</v>
      </c>
      <c r="E468" s="50">
        <v>6244586</v>
      </c>
      <c r="F468" s="50" t="s">
        <v>495</v>
      </c>
      <c r="G468" s="25">
        <f t="shared" ref="G468:G531" si="5">A468/D468-1</f>
        <v>4.7365960934642182E-4</v>
      </c>
    </row>
    <row r="469" spans="1:7">
      <c r="A469" s="50">
        <v>273.05500000000001</v>
      </c>
      <c r="B469" s="50">
        <v>276.5496</v>
      </c>
      <c r="C469" s="50">
        <v>271.40699999999998</v>
      </c>
      <c r="D469" s="50">
        <v>276.13260000000002</v>
      </c>
      <c r="E469" s="50">
        <v>5214002</v>
      </c>
      <c r="F469" s="50" t="s">
        <v>496</v>
      </c>
      <c r="G469" s="25">
        <f t="shared" si="5"/>
        <v>-1.1145370014261302E-2</v>
      </c>
    </row>
    <row r="470" spans="1:7">
      <c r="A470" s="50">
        <v>276.65879999999999</v>
      </c>
      <c r="B470" s="50">
        <v>278.31180000000001</v>
      </c>
      <c r="C470" s="50">
        <v>274.86189999999999</v>
      </c>
      <c r="D470" s="50">
        <v>275.70569999999998</v>
      </c>
      <c r="E470" s="50">
        <v>4515795</v>
      </c>
      <c r="F470" s="50" t="s">
        <v>497</v>
      </c>
      <c r="G470" s="25">
        <f t="shared" si="5"/>
        <v>3.4569470272105551E-3</v>
      </c>
    </row>
    <row r="471" spans="1:7">
      <c r="A471" s="50">
        <v>275.04059999999998</v>
      </c>
      <c r="B471" s="50">
        <v>275.14980000000003</v>
      </c>
      <c r="C471" s="50">
        <v>272.1019</v>
      </c>
      <c r="D471" s="50">
        <v>272.81670000000003</v>
      </c>
      <c r="E471" s="50">
        <v>4862378</v>
      </c>
      <c r="F471" s="50" t="s">
        <v>498</v>
      </c>
      <c r="G471" s="25">
        <f t="shared" si="5"/>
        <v>8.151627081479873E-3</v>
      </c>
    </row>
    <row r="472" spans="1:7">
      <c r="A472" s="50">
        <v>272.51889999999997</v>
      </c>
      <c r="B472" s="50">
        <v>272.94580000000002</v>
      </c>
      <c r="C472" s="50">
        <v>270.05680000000001</v>
      </c>
      <c r="D472" s="50">
        <v>271.55590000000001</v>
      </c>
      <c r="E472" s="50">
        <v>5368674</v>
      </c>
      <c r="F472" s="50" t="s">
        <v>499</v>
      </c>
      <c r="G472" s="25">
        <f t="shared" si="5"/>
        <v>3.5462311811305103E-3</v>
      </c>
    </row>
    <row r="473" spans="1:7">
      <c r="A473" s="50">
        <v>270.45389999999998</v>
      </c>
      <c r="B473" s="50">
        <v>271.01979999999998</v>
      </c>
      <c r="C473" s="50">
        <v>267.3664</v>
      </c>
      <c r="D473" s="50">
        <v>267.68400000000003</v>
      </c>
      <c r="E473" s="50">
        <v>4188515</v>
      </c>
      <c r="F473" s="50" t="s">
        <v>500</v>
      </c>
      <c r="G473" s="25">
        <f t="shared" si="5"/>
        <v>1.0347648720132607E-2</v>
      </c>
    </row>
    <row r="474" spans="1:7">
      <c r="A474" s="50">
        <v>268.42860000000002</v>
      </c>
      <c r="B474" s="50">
        <v>271.15879999999999</v>
      </c>
      <c r="C474" s="50">
        <v>266.12540000000001</v>
      </c>
      <c r="D474" s="50">
        <v>271.1191</v>
      </c>
      <c r="E474" s="50">
        <v>4838782</v>
      </c>
      <c r="F474" s="50" t="s">
        <v>501</v>
      </c>
      <c r="G474" s="25">
        <f t="shared" si="5"/>
        <v>-9.9236829865545495E-3</v>
      </c>
    </row>
    <row r="475" spans="1:7">
      <c r="A475" s="50">
        <v>270.49360000000001</v>
      </c>
      <c r="B475" s="50">
        <v>270.79149999999998</v>
      </c>
      <c r="C475" s="50">
        <v>267.06849999999997</v>
      </c>
      <c r="D475" s="50">
        <v>269.48099999999999</v>
      </c>
      <c r="E475" s="50">
        <v>8909985</v>
      </c>
      <c r="F475" s="50" t="s">
        <v>502</v>
      </c>
      <c r="G475" s="25">
        <f t="shared" si="5"/>
        <v>3.7575932997131467E-3</v>
      </c>
    </row>
    <row r="476" spans="1:7">
      <c r="A476" s="50">
        <v>269.34199999999998</v>
      </c>
      <c r="B476" s="50">
        <v>269.67950000000002</v>
      </c>
      <c r="C476" s="50">
        <v>266.37360000000001</v>
      </c>
      <c r="D476" s="50">
        <v>266.76080000000002</v>
      </c>
      <c r="E476" s="50">
        <v>4903071</v>
      </c>
      <c r="F476" s="50" t="s">
        <v>503</v>
      </c>
      <c r="G476" s="25">
        <f t="shared" si="5"/>
        <v>9.6760843422269982E-3</v>
      </c>
    </row>
    <row r="477" spans="1:7">
      <c r="A477" s="50">
        <v>266.9196</v>
      </c>
      <c r="B477" s="50">
        <v>269.18310000000002</v>
      </c>
      <c r="C477" s="50">
        <v>266.32389999999998</v>
      </c>
      <c r="D477" s="50">
        <v>267.05860000000001</v>
      </c>
      <c r="E477" s="50">
        <v>5469713</v>
      </c>
      <c r="F477" s="50" t="s">
        <v>504</v>
      </c>
      <c r="G477" s="25">
        <f t="shared" si="5"/>
        <v>-5.2048501714607731E-4</v>
      </c>
    </row>
    <row r="478" spans="1:7">
      <c r="A478" s="50">
        <v>269.02429999999998</v>
      </c>
      <c r="B478" s="50">
        <v>272.4812</v>
      </c>
      <c r="C478" s="50">
        <v>268.27969999999999</v>
      </c>
      <c r="D478" s="50">
        <v>272.25080000000003</v>
      </c>
      <c r="E478" s="50">
        <v>6212455</v>
      </c>
      <c r="F478" s="50" t="s">
        <v>505</v>
      </c>
      <c r="G478" s="25">
        <f t="shared" si="5"/>
        <v>-1.1851204844944618E-2</v>
      </c>
    </row>
    <row r="479" spans="1:7">
      <c r="A479" s="50">
        <v>272.50900000000001</v>
      </c>
      <c r="B479" s="50">
        <v>273.25360000000001</v>
      </c>
      <c r="C479" s="50">
        <v>271.37720000000002</v>
      </c>
      <c r="D479" s="50">
        <v>273.02519999999998</v>
      </c>
      <c r="E479" s="50">
        <v>4339967</v>
      </c>
      <c r="F479" s="50" t="s">
        <v>506</v>
      </c>
      <c r="G479" s="25">
        <f t="shared" si="5"/>
        <v>-1.8906679676453653E-3</v>
      </c>
    </row>
    <row r="480" spans="1:7">
      <c r="A480" s="50">
        <v>272.25080000000003</v>
      </c>
      <c r="B480" s="50">
        <v>275.43770000000001</v>
      </c>
      <c r="C480" s="50">
        <v>271.06380000000001</v>
      </c>
      <c r="D480" s="50">
        <v>273.25360000000001</v>
      </c>
      <c r="E480" s="50">
        <v>6115917</v>
      </c>
      <c r="F480" s="50" t="s">
        <v>507</v>
      </c>
      <c r="G480" s="25">
        <f t="shared" si="5"/>
        <v>-3.6698510101970117E-3</v>
      </c>
    </row>
    <row r="481" spans="1:7">
      <c r="A481" s="50">
        <v>273.59109999999998</v>
      </c>
      <c r="B481" s="50">
        <v>276.07310000000001</v>
      </c>
      <c r="C481" s="50">
        <v>273.13440000000003</v>
      </c>
      <c r="D481" s="50">
        <v>273.54149999999998</v>
      </c>
      <c r="E481" s="50">
        <v>4202492</v>
      </c>
      <c r="F481" s="50" t="s">
        <v>508</v>
      </c>
      <c r="G481" s="25">
        <f t="shared" si="5"/>
        <v>1.8132531992409717E-4</v>
      </c>
    </row>
    <row r="482" spans="1:7">
      <c r="A482" s="50">
        <v>273.95839999999998</v>
      </c>
      <c r="B482" s="50">
        <v>276.41559999999998</v>
      </c>
      <c r="C482" s="50">
        <v>272.89620000000002</v>
      </c>
      <c r="D482" s="50">
        <v>275.99360000000001</v>
      </c>
      <c r="E482" s="50">
        <v>6578156</v>
      </c>
      <c r="F482" s="50" t="s">
        <v>509</v>
      </c>
      <c r="G482" s="25">
        <f t="shared" si="5"/>
        <v>-7.3740840367314542E-3</v>
      </c>
    </row>
    <row r="483" spans="1:7">
      <c r="A483" s="50">
        <v>276.52969999999999</v>
      </c>
      <c r="B483" s="50">
        <v>278.2473</v>
      </c>
      <c r="C483" s="50">
        <v>276.17230000000001</v>
      </c>
      <c r="D483" s="50">
        <v>277.20479999999998</v>
      </c>
      <c r="E483" s="50">
        <v>5460901</v>
      </c>
      <c r="F483" s="50" t="s">
        <v>510</v>
      </c>
      <c r="G483" s="25">
        <f t="shared" si="5"/>
        <v>-2.4353835142825186E-3</v>
      </c>
    </row>
    <row r="484" spans="1:7">
      <c r="A484" s="50">
        <v>278.07850000000002</v>
      </c>
      <c r="B484" s="50">
        <v>278.88260000000002</v>
      </c>
      <c r="C484" s="50">
        <v>276.09289999999999</v>
      </c>
      <c r="D484" s="50">
        <v>278.02879999999999</v>
      </c>
      <c r="E484" s="50">
        <v>6177831</v>
      </c>
      <c r="F484" s="50" t="s">
        <v>511</v>
      </c>
      <c r="G484" s="25">
        <f t="shared" si="5"/>
        <v>1.7875845955539482E-4</v>
      </c>
    </row>
    <row r="485" spans="1:7">
      <c r="A485" s="50">
        <v>277.82040000000001</v>
      </c>
      <c r="B485" s="50">
        <v>280.34199999999998</v>
      </c>
      <c r="C485" s="50">
        <v>277.24450000000002</v>
      </c>
      <c r="D485" s="50">
        <v>279.70659999999998</v>
      </c>
      <c r="E485" s="50">
        <v>10341718</v>
      </c>
      <c r="F485" s="50" t="s">
        <v>512</v>
      </c>
      <c r="G485" s="25">
        <f t="shared" si="5"/>
        <v>-6.7434947906126474E-3</v>
      </c>
    </row>
    <row r="486" spans="1:7">
      <c r="A486" s="50">
        <v>278.95209999999997</v>
      </c>
      <c r="B486" s="50">
        <v>279.18</v>
      </c>
      <c r="C486" s="50">
        <v>274.56220000000002</v>
      </c>
      <c r="D486" s="50">
        <v>274.64150000000001</v>
      </c>
      <c r="E486" s="50">
        <v>21288365</v>
      </c>
      <c r="F486" s="50" t="s">
        <v>513</v>
      </c>
      <c r="G486" s="25">
        <f t="shared" si="5"/>
        <v>1.5695370146172172E-2</v>
      </c>
    </row>
    <row r="487" spans="1:7">
      <c r="A487" s="50">
        <v>275.22620000000001</v>
      </c>
      <c r="B487" s="50">
        <v>277.45580000000001</v>
      </c>
      <c r="C487" s="50">
        <v>271.7826</v>
      </c>
      <c r="D487" s="50">
        <v>276.91079999999999</v>
      </c>
      <c r="E487" s="50">
        <v>18526094</v>
      </c>
      <c r="F487" s="50" t="s">
        <v>514</v>
      </c>
      <c r="G487" s="25">
        <f t="shared" si="5"/>
        <v>-6.0835474817161339E-3</v>
      </c>
    </row>
    <row r="488" spans="1:7">
      <c r="A488" s="50">
        <v>276.8612</v>
      </c>
      <c r="B488" s="50">
        <v>279.59620000000001</v>
      </c>
      <c r="C488" s="50">
        <v>276.57380000000001</v>
      </c>
      <c r="D488" s="50">
        <v>278.91250000000002</v>
      </c>
      <c r="E488" s="50">
        <v>10528397</v>
      </c>
      <c r="F488" s="50" t="s">
        <v>515</v>
      </c>
      <c r="G488" s="25">
        <f t="shared" si="5"/>
        <v>-7.3546363106710144E-3</v>
      </c>
    </row>
    <row r="489" spans="1:7">
      <c r="A489" s="50">
        <v>278.19900000000001</v>
      </c>
      <c r="B489" s="50">
        <v>278.4864</v>
      </c>
      <c r="C489" s="50">
        <v>276.71260000000001</v>
      </c>
      <c r="D489" s="50">
        <v>277.01979999999998</v>
      </c>
      <c r="E489" s="50">
        <v>8986581</v>
      </c>
      <c r="F489" s="50" t="s">
        <v>516</v>
      </c>
      <c r="G489" s="25">
        <f t="shared" si="5"/>
        <v>4.2567354391276346E-3</v>
      </c>
    </row>
    <row r="490" spans="1:7">
      <c r="A490" s="50">
        <v>276.01889999999997</v>
      </c>
      <c r="B490" s="50">
        <v>276.26670000000001</v>
      </c>
      <c r="C490" s="50">
        <v>273.89330000000001</v>
      </c>
      <c r="D490" s="50">
        <v>274.29469999999998</v>
      </c>
      <c r="E490" s="50">
        <v>8948813</v>
      </c>
      <c r="F490" s="50" t="s">
        <v>517</v>
      </c>
      <c r="G490" s="25">
        <f t="shared" si="5"/>
        <v>6.2859399033230456E-3</v>
      </c>
    </row>
    <row r="491" spans="1:7">
      <c r="A491" s="50">
        <v>274.68110000000001</v>
      </c>
      <c r="B491" s="50">
        <v>276.02390000000003</v>
      </c>
      <c r="C491" s="50">
        <v>272.42669999999998</v>
      </c>
      <c r="D491" s="50">
        <v>275.28559999999999</v>
      </c>
      <c r="E491" s="50">
        <v>9029699</v>
      </c>
      <c r="F491" s="50" t="s">
        <v>518</v>
      </c>
      <c r="G491" s="25">
        <f t="shared" si="5"/>
        <v>-2.1959012748939966E-3</v>
      </c>
    </row>
    <row r="492" spans="1:7">
      <c r="A492" s="50">
        <v>273.95769999999999</v>
      </c>
      <c r="B492" s="50">
        <v>275.36489999999998</v>
      </c>
      <c r="C492" s="50">
        <v>270.36559999999997</v>
      </c>
      <c r="D492" s="50">
        <v>271.24250000000001</v>
      </c>
      <c r="E492" s="50">
        <v>6377080</v>
      </c>
      <c r="F492" s="50" t="s">
        <v>519</v>
      </c>
      <c r="G492" s="25">
        <f t="shared" si="5"/>
        <v>1.0010230697622857E-2</v>
      </c>
    </row>
    <row r="493" spans="1:7">
      <c r="A493" s="50">
        <v>270.202</v>
      </c>
      <c r="B493" s="50">
        <v>270.31110000000001</v>
      </c>
      <c r="C493" s="50">
        <v>267.13010000000003</v>
      </c>
      <c r="D493" s="50">
        <v>267.20940000000002</v>
      </c>
      <c r="E493" s="50">
        <v>3958721</v>
      </c>
      <c r="F493" s="50" t="s">
        <v>520</v>
      </c>
      <c r="G493" s="25">
        <f t="shared" si="5"/>
        <v>1.1199456306552058E-2</v>
      </c>
    </row>
    <row r="494" spans="1:7">
      <c r="A494" s="50">
        <v>266.05990000000003</v>
      </c>
      <c r="B494" s="50">
        <v>267.01119999999997</v>
      </c>
      <c r="C494" s="50">
        <v>264.08789999999999</v>
      </c>
      <c r="D494" s="50">
        <v>266.56529999999998</v>
      </c>
      <c r="E494" s="50">
        <v>3862018</v>
      </c>
      <c r="F494" s="50" t="s">
        <v>521</v>
      </c>
      <c r="G494" s="25">
        <f t="shared" si="5"/>
        <v>-1.895970705864336E-3</v>
      </c>
    </row>
    <row r="495" spans="1:7">
      <c r="A495" s="50">
        <v>265.18779999999998</v>
      </c>
      <c r="B495" s="50">
        <v>267.03100000000001</v>
      </c>
      <c r="C495" s="50">
        <v>264.23649999999998</v>
      </c>
      <c r="D495" s="50">
        <v>266.91210000000001</v>
      </c>
      <c r="E495" s="50">
        <v>5061698</v>
      </c>
      <c r="F495" s="50" t="s">
        <v>522</v>
      </c>
      <c r="G495" s="25">
        <f t="shared" si="5"/>
        <v>-6.4601792125573709E-3</v>
      </c>
    </row>
    <row r="496" spans="1:7">
      <c r="A496" s="50">
        <v>264.90050000000002</v>
      </c>
      <c r="B496" s="50">
        <v>268.45800000000003</v>
      </c>
      <c r="C496" s="50">
        <v>264.29599999999999</v>
      </c>
      <c r="D496" s="50">
        <v>265.72300000000001</v>
      </c>
      <c r="E496" s="50">
        <v>6125360</v>
      </c>
      <c r="F496" s="50" t="s">
        <v>523</v>
      </c>
      <c r="G496" s="25">
        <f t="shared" si="5"/>
        <v>-3.0953285940622521E-3</v>
      </c>
    </row>
    <row r="497" spans="1:7">
      <c r="A497" s="50">
        <v>266.17880000000002</v>
      </c>
      <c r="B497" s="50">
        <v>269.61739999999998</v>
      </c>
      <c r="C497" s="50">
        <v>266.154</v>
      </c>
      <c r="D497" s="50">
        <v>268.08139999999997</v>
      </c>
      <c r="E497" s="50">
        <v>6376353</v>
      </c>
      <c r="F497" s="50" t="s">
        <v>524</v>
      </c>
      <c r="G497" s="25">
        <f t="shared" si="5"/>
        <v>-7.0970981201976535E-3</v>
      </c>
    </row>
    <row r="498" spans="1:7">
      <c r="A498" s="50">
        <v>269.37959999999998</v>
      </c>
      <c r="B498" s="50">
        <v>271.98579999999998</v>
      </c>
      <c r="C498" s="50">
        <v>268.63630000000001</v>
      </c>
      <c r="D498" s="50">
        <v>269.85520000000002</v>
      </c>
      <c r="E498" s="50">
        <v>4192247</v>
      </c>
      <c r="F498" s="50" t="s">
        <v>525</v>
      </c>
      <c r="G498" s="25">
        <f t="shared" si="5"/>
        <v>-1.7624266643742059E-3</v>
      </c>
    </row>
    <row r="499" spans="1:7">
      <c r="A499" s="50">
        <v>272.03530000000001</v>
      </c>
      <c r="B499" s="50">
        <v>274.26490000000001</v>
      </c>
      <c r="C499" s="50">
        <v>271.35149999999999</v>
      </c>
      <c r="D499" s="50">
        <v>272.52089999999998</v>
      </c>
      <c r="E499" s="50">
        <v>6840615</v>
      </c>
      <c r="F499" s="50" t="s">
        <v>526</v>
      </c>
      <c r="G499" s="25">
        <f t="shared" si="5"/>
        <v>-1.7818816832029238E-3</v>
      </c>
    </row>
    <row r="500" spans="1:7">
      <c r="A500" s="50">
        <v>272.66950000000003</v>
      </c>
      <c r="B500" s="50">
        <v>273.7199</v>
      </c>
      <c r="C500" s="50">
        <v>268.04180000000002</v>
      </c>
      <c r="D500" s="50">
        <v>270.49930000000001</v>
      </c>
      <c r="E500" s="50">
        <v>8064621</v>
      </c>
      <c r="F500" s="50" t="s">
        <v>527</v>
      </c>
      <c r="G500" s="25">
        <f t="shared" si="5"/>
        <v>8.0229412793306754E-3</v>
      </c>
    </row>
    <row r="501" spans="1:7">
      <c r="A501" s="50">
        <v>272.5308</v>
      </c>
      <c r="B501" s="50">
        <v>280.43860000000001</v>
      </c>
      <c r="C501" s="50">
        <v>272.00560000000002</v>
      </c>
      <c r="D501" s="50">
        <v>280.01240000000001</v>
      </c>
      <c r="E501" s="50">
        <v>8807157</v>
      </c>
      <c r="F501" s="50" t="s">
        <v>528</v>
      </c>
      <c r="G501" s="25">
        <f t="shared" si="5"/>
        <v>-2.6718816738115936E-2</v>
      </c>
    </row>
    <row r="502" spans="1:7">
      <c r="A502" s="50">
        <v>271.62900000000002</v>
      </c>
      <c r="B502" s="50">
        <v>272.40199999999999</v>
      </c>
      <c r="C502" s="50">
        <v>270.24169999999998</v>
      </c>
      <c r="D502" s="50">
        <v>271.5299</v>
      </c>
      <c r="E502" s="50">
        <v>6438002</v>
      </c>
      <c r="F502" s="50" t="s">
        <v>529</v>
      </c>
      <c r="G502" s="25">
        <f t="shared" si="5"/>
        <v>3.6496901446225749E-4</v>
      </c>
    </row>
    <row r="503" spans="1:7">
      <c r="A503" s="50">
        <v>269.86509999999998</v>
      </c>
      <c r="B503" s="50">
        <v>271.28219999999999</v>
      </c>
      <c r="C503" s="50">
        <v>266.92200000000003</v>
      </c>
      <c r="D503" s="50">
        <v>268.49759999999998</v>
      </c>
      <c r="E503" s="50">
        <v>6463742</v>
      </c>
      <c r="F503" s="50" t="s">
        <v>530</v>
      </c>
      <c r="G503" s="25">
        <f t="shared" si="5"/>
        <v>5.0931553950575026E-3</v>
      </c>
    </row>
    <row r="504" spans="1:7">
      <c r="A504" s="50">
        <v>267.33819999999997</v>
      </c>
      <c r="B504" s="50">
        <v>269.53809999999999</v>
      </c>
      <c r="C504" s="50">
        <v>265.86169999999998</v>
      </c>
      <c r="D504" s="50">
        <v>269.0129</v>
      </c>
      <c r="E504" s="50">
        <v>7905368</v>
      </c>
      <c r="F504" s="50" t="s">
        <v>531</v>
      </c>
      <c r="G504" s="25">
        <f t="shared" si="5"/>
        <v>-6.2253520184348821E-3</v>
      </c>
    </row>
    <row r="505" spans="1:7">
      <c r="A505" s="50">
        <v>268.91379999999998</v>
      </c>
      <c r="B505" s="50">
        <v>270.67770000000002</v>
      </c>
      <c r="C505" s="50">
        <v>267.41750000000002</v>
      </c>
      <c r="D505" s="50">
        <v>270.10300000000001</v>
      </c>
      <c r="E505" s="50">
        <v>8231849</v>
      </c>
      <c r="F505" s="50" t="s">
        <v>532</v>
      </c>
      <c r="G505" s="25">
        <f t="shared" si="5"/>
        <v>-4.4027648711788547E-3</v>
      </c>
    </row>
    <row r="506" spans="1:7">
      <c r="A506" s="50">
        <v>270.22190000000001</v>
      </c>
      <c r="B506" s="50">
        <v>271.52</v>
      </c>
      <c r="C506" s="50">
        <v>269.04259999999999</v>
      </c>
      <c r="D506" s="50">
        <v>270.8263</v>
      </c>
      <c r="E506" s="50">
        <v>5940897</v>
      </c>
      <c r="F506" s="50" t="s">
        <v>533</v>
      </c>
      <c r="G506" s="25">
        <f t="shared" si="5"/>
        <v>-2.2316887244702155E-3</v>
      </c>
    </row>
    <row r="507" spans="1:7">
      <c r="A507" s="50">
        <v>268.89400000000001</v>
      </c>
      <c r="B507" s="50">
        <v>271.64879999999999</v>
      </c>
      <c r="C507" s="50">
        <v>267.72469999999998</v>
      </c>
      <c r="D507" s="50">
        <v>268.09129999999999</v>
      </c>
      <c r="E507" s="50">
        <v>8237131</v>
      </c>
      <c r="F507" s="50" t="s">
        <v>534</v>
      </c>
      <c r="G507" s="25">
        <f t="shared" si="5"/>
        <v>2.9941292388078189E-3</v>
      </c>
    </row>
    <row r="508" spans="1:7">
      <c r="A508" s="50">
        <v>268.82459999999998</v>
      </c>
      <c r="B508" s="50">
        <v>275.39460000000003</v>
      </c>
      <c r="C508" s="50">
        <v>267.8931</v>
      </c>
      <c r="D508" s="50">
        <v>275.37479999999999</v>
      </c>
      <c r="E508" s="50">
        <v>10267489</v>
      </c>
      <c r="F508" s="50" t="s">
        <v>535</v>
      </c>
      <c r="G508" s="25">
        <f t="shared" si="5"/>
        <v>-2.3786490267083349E-2</v>
      </c>
    </row>
    <row r="509" spans="1:7">
      <c r="A509" s="50">
        <v>273.46230000000003</v>
      </c>
      <c r="B509" s="50">
        <v>274.49290000000002</v>
      </c>
      <c r="C509" s="50">
        <v>271.5745</v>
      </c>
      <c r="D509" s="50">
        <v>273.05599999999998</v>
      </c>
      <c r="E509" s="50">
        <v>9038411</v>
      </c>
      <c r="F509" s="50" t="s">
        <v>536</v>
      </c>
      <c r="G509" s="25">
        <f t="shared" si="5"/>
        <v>1.4879731630144111E-3</v>
      </c>
    </row>
    <row r="510" spans="1:7">
      <c r="A510" s="50">
        <v>273.1848</v>
      </c>
      <c r="B510" s="50">
        <v>273.9776</v>
      </c>
      <c r="C510" s="50">
        <v>269.7165</v>
      </c>
      <c r="D510" s="50">
        <v>271.52</v>
      </c>
      <c r="E510" s="50">
        <v>8102293</v>
      </c>
      <c r="F510" s="50" t="s">
        <v>537</v>
      </c>
      <c r="G510" s="25">
        <f t="shared" si="5"/>
        <v>6.131408367707758E-3</v>
      </c>
    </row>
    <row r="511" spans="1:7">
      <c r="A511" s="50">
        <v>271.9957</v>
      </c>
      <c r="B511" s="50">
        <v>274.31450000000001</v>
      </c>
      <c r="C511" s="50">
        <v>271.63889999999998</v>
      </c>
      <c r="D511" s="50">
        <v>272.92720000000003</v>
      </c>
      <c r="E511" s="50">
        <v>5276012</v>
      </c>
      <c r="F511" s="50" t="s">
        <v>538</v>
      </c>
      <c r="G511" s="25">
        <f t="shared" si="5"/>
        <v>-3.4129980449000286E-3</v>
      </c>
    </row>
    <row r="512" spans="1:7">
      <c r="A512" s="50">
        <v>274.21539999999999</v>
      </c>
      <c r="B512" s="50">
        <v>275.48379999999997</v>
      </c>
      <c r="C512" s="50">
        <v>270.84620000000001</v>
      </c>
      <c r="D512" s="50">
        <v>275.11720000000003</v>
      </c>
      <c r="E512" s="50">
        <v>7314306</v>
      </c>
      <c r="F512" s="50" t="s">
        <v>539</v>
      </c>
      <c r="G512" s="25">
        <f t="shared" si="5"/>
        <v>-3.2778757562232919E-3</v>
      </c>
    </row>
    <row r="513" spans="1:7">
      <c r="A513" s="50">
        <v>275.24599999999998</v>
      </c>
      <c r="B513" s="50">
        <v>275.464</v>
      </c>
      <c r="C513" s="50">
        <v>272.65960000000001</v>
      </c>
      <c r="D513" s="50">
        <v>273.74959999999999</v>
      </c>
      <c r="E513" s="50">
        <v>5542428</v>
      </c>
      <c r="F513" s="50" t="s">
        <v>540</v>
      </c>
      <c r="G513" s="25">
        <f t="shared" si="5"/>
        <v>5.4663093571643007E-3</v>
      </c>
    </row>
    <row r="514" spans="1:7">
      <c r="A514" s="50">
        <v>274.63159999999999</v>
      </c>
      <c r="B514" s="50">
        <v>275.44119999999998</v>
      </c>
      <c r="C514" s="50">
        <v>272.54070000000002</v>
      </c>
      <c r="D514" s="50">
        <v>273.601</v>
      </c>
      <c r="E514" s="50">
        <v>4392050</v>
      </c>
      <c r="F514" s="50" t="s">
        <v>541</v>
      </c>
      <c r="G514" s="25">
        <f t="shared" si="5"/>
        <v>3.7667990979564081E-3</v>
      </c>
    </row>
    <row r="515" spans="1:7">
      <c r="A515" s="50">
        <v>271.52</v>
      </c>
      <c r="B515" s="50">
        <v>276.55900000000003</v>
      </c>
      <c r="C515" s="50">
        <v>271.084</v>
      </c>
      <c r="D515" s="50">
        <v>275.84050000000002</v>
      </c>
      <c r="E515" s="50">
        <v>4018551</v>
      </c>
      <c r="F515" s="50" t="s">
        <v>542</v>
      </c>
      <c r="G515" s="25">
        <f t="shared" si="5"/>
        <v>-1.566303715371764E-2</v>
      </c>
    </row>
    <row r="516" spans="1:7">
      <c r="A516" s="50">
        <v>274.45319999999998</v>
      </c>
      <c r="B516" s="50">
        <v>277.94139999999999</v>
      </c>
      <c r="C516" s="50">
        <v>274.05680000000001</v>
      </c>
      <c r="D516" s="50">
        <v>277.94139999999999</v>
      </c>
      <c r="E516" s="50">
        <v>4536847</v>
      </c>
      <c r="F516" s="50" t="s">
        <v>543</v>
      </c>
      <c r="G516" s="25">
        <f t="shared" si="5"/>
        <v>-1.2550127472913397E-2</v>
      </c>
    </row>
    <row r="517" spans="1:7">
      <c r="A517" s="50">
        <v>275.91980000000001</v>
      </c>
      <c r="B517" s="50">
        <v>276.80180000000001</v>
      </c>
      <c r="C517" s="50">
        <v>274.47300000000001</v>
      </c>
      <c r="D517" s="50">
        <v>275.48379999999997</v>
      </c>
      <c r="E517" s="50">
        <v>6912306</v>
      </c>
      <c r="F517" s="50" t="s">
        <v>544</v>
      </c>
      <c r="G517" s="25">
        <f t="shared" si="5"/>
        <v>1.5826701969410273E-3</v>
      </c>
    </row>
    <row r="518" spans="1:7">
      <c r="A518" s="50">
        <v>275.76130000000001</v>
      </c>
      <c r="B518" s="50">
        <v>278.3476</v>
      </c>
      <c r="C518" s="50">
        <v>274.28480000000002</v>
      </c>
      <c r="D518" s="50">
        <v>277.82240000000002</v>
      </c>
      <c r="E518" s="50">
        <v>5083986</v>
      </c>
      <c r="F518" s="50" t="s">
        <v>545</v>
      </c>
      <c r="G518" s="25">
        <f t="shared" si="5"/>
        <v>-7.4187682490685081E-3</v>
      </c>
    </row>
    <row r="519" spans="1:7">
      <c r="A519" s="50">
        <v>276.55399999999997</v>
      </c>
      <c r="B519" s="50">
        <v>277.26749999999998</v>
      </c>
      <c r="C519" s="50">
        <v>274.61180000000002</v>
      </c>
      <c r="D519" s="50">
        <v>275.96940000000001</v>
      </c>
      <c r="E519" s="50">
        <v>5844358</v>
      </c>
      <c r="F519" s="50" t="s">
        <v>546</v>
      </c>
      <c r="G519" s="25">
        <f t="shared" si="5"/>
        <v>2.1183508026614284E-3</v>
      </c>
    </row>
    <row r="520" spans="1:7">
      <c r="A520" s="50">
        <v>276.49459999999999</v>
      </c>
      <c r="B520" s="50">
        <v>278.70440000000002</v>
      </c>
      <c r="C520" s="50">
        <v>274.47300000000001</v>
      </c>
      <c r="D520" s="50">
        <v>277.71339999999998</v>
      </c>
      <c r="E520" s="50">
        <v>5190674</v>
      </c>
      <c r="F520" s="50" t="s">
        <v>547</v>
      </c>
      <c r="G520" s="25">
        <f t="shared" si="5"/>
        <v>-4.3886971244455619E-3</v>
      </c>
    </row>
    <row r="521" spans="1:7">
      <c r="A521" s="50">
        <v>278.06029999999998</v>
      </c>
      <c r="B521" s="50">
        <v>281.55829999999997</v>
      </c>
      <c r="C521" s="50">
        <v>275.89010000000002</v>
      </c>
      <c r="D521" s="50">
        <v>281.55829999999997</v>
      </c>
      <c r="E521" s="50">
        <v>8752364</v>
      </c>
      <c r="F521" s="50" t="s">
        <v>548</v>
      </c>
      <c r="G521" s="25">
        <f t="shared" si="5"/>
        <v>-1.2423714733325153E-2</v>
      </c>
    </row>
    <row r="522" spans="1:7">
      <c r="A522" s="50">
        <v>278.66480000000001</v>
      </c>
      <c r="B522" s="50">
        <v>280.93400000000003</v>
      </c>
      <c r="C522" s="50">
        <v>277.50529999999998</v>
      </c>
      <c r="D522" s="50">
        <v>280.44850000000002</v>
      </c>
      <c r="E522" s="50">
        <v>8519433</v>
      </c>
      <c r="F522" s="50" t="s">
        <v>549</v>
      </c>
      <c r="G522" s="25">
        <f t="shared" si="5"/>
        <v>-6.3601695141889403E-3</v>
      </c>
    </row>
    <row r="523" spans="1:7">
      <c r="A523" s="50">
        <v>280.69619999999998</v>
      </c>
      <c r="B523" s="50">
        <v>287.86079999999998</v>
      </c>
      <c r="C523" s="50">
        <v>280.3295</v>
      </c>
      <c r="D523" s="50">
        <v>287.37520000000001</v>
      </c>
      <c r="E523" s="50">
        <v>8744121</v>
      </c>
      <c r="F523" s="50" t="s">
        <v>550</v>
      </c>
      <c r="G523" s="25">
        <f t="shared" si="5"/>
        <v>-2.3241393133436761E-2</v>
      </c>
    </row>
    <row r="524" spans="1:7">
      <c r="A524" s="50">
        <v>287.74180000000001</v>
      </c>
      <c r="B524" s="50">
        <v>288.32650000000001</v>
      </c>
      <c r="C524" s="50">
        <v>285.29419999999999</v>
      </c>
      <c r="D524" s="50">
        <v>287.34550000000002</v>
      </c>
      <c r="E524" s="50">
        <v>5057559</v>
      </c>
      <c r="F524" s="50" t="s">
        <v>551</v>
      </c>
      <c r="G524" s="25">
        <f t="shared" si="5"/>
        <v>1.3791759397658865E-3</v>
      </c>
    </row>
    <row r="525" spans="1:7">
      <c r="A525" s="50">
        <v>286.6617</v>
      </c>
      <c r="B525" s="50">
        <v>287.24639999999999</v>
      </c>
      <c r="C525" s="50">
        <v>284.12490000000003</v>
      </c>
      <c r="D525" s="50">
        <v>285.03660000000002</v>
      </c>
      <c r="E525" s="50">
        <v>6104955</v>
      </c>
      <c r="F525" s="50" t="s">
        <v>552</v>
      </c>
      <c r="G525" s="25">
        <f t="shared" si="5"/>
        <v>5.7013730868245016E-3</v>
      </c>
    </row>
    <row r="526" spans="1:7">
      <c r="A526" s="50">
        <v>284.74919999999997</v>
      </c>
      <c r="B526" s="50">
        <v>285.45280000000002</v>
      </c>
      <c r="C526" s="50">
        <v>282.66820000000001</v>
      </c>
      <c r="D526" s="50">
        <v>284.06540000000001</v>
      </c>
      <c r="E526" s="50">
        <v>6595183</v>
      </c>
      <c r="F526" s="50" t="s">
        <v>553</v>
      </c>
      <c r="G526" s="25">
        <f t="shared" si="5"/>
        <v>2.4071921465971258E-3</v>
      </c>
    </row>
    <row r="527" spans="1:7">
      <c r="A527" s="50">
        <v>282.47000000000003</v>
      </c>
      <c r="B527" s="50">
        <v>283.63929999999999</v>
      </c>
      <c r="C527" s="50">
        <v>280.68630000000002</v>
      </c>
      <c r="D527" s="50">
        <v>281.30070000000001</v>
      </c>
      <c r="E527" s="50">
        <v>4095632</v>
      </c>
      <c r="F527" s="50" t="s">
        <v>554</v>
      </c>
      <c r="G527" s="25">
        <f t="shared" si="5"/>
        <v>4.1567617855200467E-3</v>
      </c>
    </row>
    <row r="528" spans="1:7">
      <c r="A528" s="50">
        <v>280.47820000000002</v>
      </c>
      <c r="B528" s="50">
        <v>283.04469999999998</v>
      </c>
      <c r="C528" s="50">
        <v>280.08179999999999</v>
      </c>
      <c r="D528" s="50">
        <v>280.98360000000002</v>
      </c>
      <c r="E528" s="50">
        <v>9845181</v>
      </c>
      <c r="F528" s="50" t="s">
        <v>555</v>
      </c>
      <c r="G528" s="25">
        <f t="shared" si="5"/>
        <v>-1.7986814888840685E-3</v>
      </c>
    </row>
    <row r="529" spans="1:7">
      <c r="A529" s="50">
        <v>283.8177</v>
      </c>
      <c r="B529" s="50">
        <v>286.42439999999999</v>
      </c>
      <c r="C529" s="50">
        <v>281.97449999999998</v>
      </c>
      <c r="D529" s="50">
        <v>286.34460000000001</v>
      </c>
      <c r="E529" s="50">
        <v>5484511</v>
      </c>
      <c r="F529" s="50" t="s">
        <v>556</v>
      </c>
      <c r="G529" s="25">
        <f t="shared" si="5"/>
        <v>-8.8246818693281659E-3</v>
      </c>
    </row>
    <row r="530" spans="1:7">
      <c r="A530" s="50">
        <v>282.55919999999998</v>
      </c>
      <c r="B530" s="50">
        <v>283.51049999999998</v>
      </c>
      <c r="C530" s="50">
        <v>281.25110000000001</v>
      </c>
      <c r="D530" s="50">
        <v>282.08350000000002</v>
      </c>
      <c r="E530" s="50">
        <v>5783867</v>
      </c>
      <c r="F530" s="50" t="s">
        <v>557</v>
      </c>
      <c r="G530" s="25">
        <f t="shared" si="5"/>
        <v>1.6863800966733233E-3</v>
      </c>
    </row>
    <row r="531" spans="1:7">
      <c r="A531" s="50">
        <v>281.35019999999997</v>
      </c>
      <c r="B531" s="50">
        <v>281.90019999999998</v>
      </c>
      <c r="C531" s="50">
        <v>277.75310000000002</v>
      </c>
      <c r="D531" s="50">
        <v>278.7638</v>
      </c>
      <c r="E531" s="50">
        <v>7988665</v>
      </c>
      <c r="F531" s="50" t="s">
        <v>558</v>
      </c>
      <c r="G531" s="25">
        <f t="shared" si="5"/>
        <v>9.278105693780736E-3</v>
      </c>
    </row>
    <row r="532" spans="1:7">
      <c r="A532" s="50">
        <v>278.0206</v>
      </c>
      <c r="B532" s="50">
        <v>278.2287</v>
      </c>
      <c r="C532" s="50">
        <v>275.47390000000001</v>
      </c>
      <c r="D532" s="50">
        <v>276.92070000000001</v>
      </c>
      <c r="E532" s="50">
        <v>4614232</v>
      </c>
      <c r="F532" s="50" t="s">
        <v>559</v>
      </c>
      <c r="G532" s="25">
        <f t="shared" ref="G532:G595" si="6">A532/D532-1</f>
        <v>3.9718952032115062E-3</v>
      </c>
    </row>
    <row r="533" spans="1:7">
      <c r="A533" s="50">
        <v>277.50529999999998</v>
      </c>
      <c r="B533" s="50">
        <v>279.11559999999997</v>
      </c>
      <c r="C533" s="50">
        <v>276.30630000000002</v>
      </c>
      <c r="D533" s="50">
        <v>276.47480000000002</v>
      </c>
      <c r="E533" s="50">
        <v>3929002</v>
      </c>
      <c r="F533" s="50" t="s">
        <v>560</v>
      </c>
      <c r="G533" s="25">
        <f t="shared" si="6"/>
        <v>3.7272836439341539E-3</v>
      </c>
    </row>
    <row r="534" spans="1:7">
      <c r="A534" s="50">
        <v>275.74149999999997</v>
      </c>
      <c r="B534" s="50">
        <v>278.62509999999997</v>
      </c>
      <c r="C534" s="50">
        <v>273.66050000000001</v>
      </c>
      <c r="D534" s="50">
        <v>278.33769999999998</v>
      </c>
      <c r="E534" s="50">
        <v>5668483</v>
      </c>
      <c r="F534" s="50" t="s">
        <v>561</v>
      </c>
      <c r="G534" s="25">
        <f t="shared" si="6"/>
        <v>-9.3275183347423241E-3</v>
      </c>
    </row>
    <row r="535" spans="1:7">
      <c r="A535" s="50">
        <v>277.89179999999999</v>
      </c>
      <c r="B535" s="50">
        <v>279.44760000000002</v>
      </c>
      <c r="C535" s="50">
        <v>276.78190000000001</v>
      </c>
      <c r="D535" s="50">
        <v>277.46570000000003</v>
      </c>
      <c r="E535" s="50">
        <v>4535185</v>
      </c>
      <c r="F535" s="50" t="s">
        <v>562</v>
      </c>
      <c r="G535" s="25">
        <f t="shared" si="6"/>
        <v>1.5356853117338698E-3</v>
      </c>
    </row>
    <row r="536" spans="1:7">
      <c r="A536" s="50">
        <v>276.85129999999998</v>
      </c>
      <c r="B536" s="50">
        <v>278.44670000000002</v>
      </c>
      <c r="C536" s="50">
        <v>275.16669999999999</v>
      </c>
      <c r="D536" s="50">
        <v>277.73329999999999</v>
      </c>
      <c r="E536" s="50">
        <v>6228066</v>
      </c>
      <c r="F536" s="50" t="s">
        <v>563</v>
      </c>
      <c r="G536" s="25">
        <f t="shared" si="6"/>
        <v>-3.1757084944441516E-3</v>
      </c>
    </row>
    <row r="537" spans="1:7">
      <c r="A537" s="50">
        <v>277.99090000000001</v>
      </c>
      <c r="B537" s="50">
        <v>280.43860000000001</v>
      </c>
      <c r="C537" s="50">
        <v>275.61259999999999</v>
      </c>
      <c r="D537" s="50">
        <v>280.25029999999998</v>
      </c>
      <c r="E537" s="50">
        <v>5920308</v>
      </c>
      <c r="F537" s="50" t="s">
        <v>564</v>
      </c>
      <c r="G537" s="25">
        <f t="shared" si="6"/>
        <v>-8.0620787917086156E-3</v>
      </c>
    </row>
    <row r="538" spans="1:7">
      <c r="A538" s="50">
        <v>280.59710000000001</v>
      </c>
      <c r="B538" s="50">
        <v>282.3313</v>
      </c>
      <c r="C538" s="50">
        <v>279.5566</v>
      </c>
      <c r="D538" s="50">
        <v>280.63670000000002</v>
      </c>
      <c r="E538" s="50">
        <v>3955728</v>
      </c>
      <c r="F538" s="50" t="s">
        <v>565</v>
      </c>
      <c r="G538" s="25">
        <f t="shared" si="6"/>
        <v>-1.4110770259201377E-4</v>
      </c>
    </row>
    <row r="539" spans="1:7">
      <c r="A539" s="50">
        <v>280.08179999999999</v>
      </c>
      <c r="B539" s="50">
        <v>283.0745</v>
      </c>
      <c r="C539" s="50">
        <v>279.62599999999998</v>
      </c>
      <c r="D539" s="50">
        <v>282.91590000000002</v>
      </c>
      <c r="E539" s="50">
        <v>6633684</v>
      </c>
      <c r="F539" s="50" t="s">
        <v>566</v>
      </c>
      <c r="G539" s="25">
        <f t="shared" si="6"/>
        <v>-1.0017464553954136E-2</v>
      </c>
    </row>
    <row r="540" spans="1:7">
      <c r="A540" s="50">
        <v>283.04469999999998</v>
      </c>
      <c r="B540" s="50">
        <v>283.54020000000003</v>
      </c>
      <c r="C540" s="50">
        <v>279.53179999999998</v>
      </c>
      <c r="D540" s="50">
        <v>279.54669999999999</v>
      </c>
      <c r="E540" s="50">
        <v>4358820</v>
      </c>
      <c r="F540" s="50" t="s">
        <v>567</v>
      </c>
      <c r="G540" s="25">
        <f t="shared" si="6"/>
        <v>1.2513114982219298E-2</v>
      </c>
    </row>
    <row r="541" spans="1:7">
      <c r="A541" s="50">
        <v>280.60700000000003</v>
      </c>
      <c r="B541" s="50">
        <v>281.59800000000001</v>
      </c>
      <c r="C541" s="50">
        <v>278.99180000000001</v>
      </c>
      <c r="D541" s="50">
        <v>281.59800000000001</v>
      </c>
      <c r="E541" s="50">
        <v>4145383</v>
      </c>
      <c r="F541" s="50" t="s">
        <v>568</v>
      </c>
      <c r="G541" s="25">
        <f t="shared" si="6"/>
        <v>-3.5192011306898197E-3</v>
      </c>
    </row>
    <row r="542" spans="1:7">
      <c r="A542" s="50">
        <v>281.57810000000001</v>
      </c>
      <c r="B542" s="50">
        <v>282.76729999999998</v>
      </c>
      <c r="C542" s="50">
        <v>280.10160000000002</v>
      </c>
      <c r="D542" s="50">
        <v>280.47820000000002</v>
      </c>
      <c r="E542" s="50">
        <v>3856911</v>
      </c>
      <c r="F542" s="50" t="s">
        <v>569</v>
      </c>
      <c r="G542" s="25">
        <f t="shared" si="6"/>
        <v>3.9215168950741397E-3</v>
      </c>
    </row>
    <row r="543" spans="1:7">
      <c r="A543" s="50">
        <v>281.03309999999999</v>
      </c>
      <c r="B543" s="50">
        <v>283.36189999999999</v>
      </c>
      <c r="C543" s="50">
        <v>280.93400000000003</v>
      </c>
      <c r="D543" s="50">
        <v>282.14299999999997</v>
      </c>
      <c r="E543" s="50">
        <v>5107693</v>
      </c>
      <c r="F543" s="50" t="s">
        <v>570</v>
      </c>
      <c r="G543" s="25">
        <f t="shared" si="6"/>
        <v>-3.9338207930020852E-3</v>
      </c>
    </row>
    <row r="544" spans="1:7">
      <c r="A544" s="50">
        <v>281.18180000000001</v>
      </c>
      <c r="B544" s="50">
        <v>281.48899999999998</v>
      </c>
      <c r="C544" s="50">
        <v>276.45490000000001</v>
      </c>
      <c r="D544" s="50">
        <v>276.65309999999999</v>
      </c>
      <c r="E544" s="50">
        <v>5100191</v>
      </c>
      <c r="F544" s="50" t="s">
        <v>571</v>
      </c>
      <c r="G544" s="25">
        <f t="shared" si="6"/>
        <v>1.6369597882691433E-2</v>
      </c>
    </row>
    <row r="545" spans="1:7">
      <c r="A545" s="50">
        <v>274.255</v>
      </c>
      <c r="B545" s="50">
        <v>274.4631</v>
      </c>
      <c r="C545" s="50">
        <v>271.05430000000001</v>
      </c>
      <c r="D545" s="50">
        <v>272.14429999999999</v>
      </c>
      <c r="E545" s="50">
        <v>4771105</v>
      </c>
      <c r="F545" s="50" t="s">
        <v>572</v>
      </c>
      <c r="G545" s="25">
        <f t="shared" si="6"/>
        <v>7.7558118983200863E-3</v>
      </c>
    </row>
    <row r="546" spans="1:7">
      <c r="A546" s="50">
        <v>272.65960000000001</v>
      </c>
      <c r="B546" s="50">
        <v>274.33429999999998</v>
      </c>
      <c r="C546" s="50">
        <v>270.86599999999999</v>
      </c>
      <c r="D546" s="50">
        <v>272.0849</v>
      </c>
      <c r="E546" s="50">
        <v>6157178</v>
      </c>
      <c r="F546" s="50" t="s">
        <v>573</v>
      </c>
      <c r="G546" s="25">
        <f t="shared" si="6"/>
        <v>2.1122083584939055E-3</v>
      </c>
    </row>
    <row r="547" spans="1:7">
      <c r="A547" s="50">
        <v>276.03870000000001</v>
      </c>
      <c r="B547" s="50">
        <v>278.57560000000001</v>
      </c>
      <c r="C547" s="50">
        <v>275.35500000000002</v>
      </c>
      <c r="D547" s="50">
        <v>278.41699999999997</v>
      </c>
      <c r="E547" s="50">
        <v>6630744</v>
      </c>
      <c r="F547" s="50" t="s">
        <v>574</v>
      </c>
      <c r="G547" s="25">
        <f t="shared" si="6"/>
        <v>-8.5422226372670051E-3</v>
      </c>
    </row>
    <row r="548" spans="1:7">
      <c r="A548" s="50">
        <v>278.43680000000001</v>
      </c>
      <c r="B548" s="50">
        <v>278.57560000000001</v>
      </c>
      <c r="C548" s="50">
        <v>275.0478</v>
      </c>
      <c r="D548" s="50">
        <v>275.14190000000002</v>
      </c>
      <c r="E548" s="50">
        <v>4834758</v>
      </c>
      <c r="F548" s="50" t="s">
        <v>575</v>
      </c>
      <c r="G548" s="25">
        <f t="shared" si="6"/>
        <v>1.1975275303397925E-2</v>
      </c>
    </row>
    <row r="549" spans="1:7">
      <c r="A549" s="50">
        <v>275.0478</v>
      </c>
      <c r="B549" s="50">
        <v>275.12709999999998</v>
      </c>
      <c r="C549" s="50">
        <v>272.22359999999998</v>
      </c>
      <c r="D549" s="50">
        <v>273.96769999999998</v>
      </c>
      <c r="E549" s="50">
        <v>4218350</v>
      </c>
      <c r="F549" s="50" t="s">
        <v>576</v>
      </c>
      <c r="G549" s="25">
        <f t="shared" si="6"/>
        <v>3.9424355498842711E-3</v>
      </c>
    </row>
    <row r="550" spans="1:7">
      <c r="A550" s="50">
        <v>273.31360000000001</v>
      </c>
      <c r="B550" s="50">
        <v>275.48379999999997</v>
      </c>
      <c r="C550" s="50">
        <v>270.29419999999999</v>
      </c>
      <c r="D550" s="50">
        <v>271.27229999999997</v>
      </c>
      <c r="E550" s="50">
        <v>5493833</v>
      </c>
      <c r="F550" s="50" t="s">
        <v>577</v>
      </c>
      <c r="G550" s="25">
        <f t="shared" si="6"/>
        <v>7.5249113160467118E-3</v>
      </c>
    </row>
    <row r="551" spans="1:7">
      <c r="A551" s="50">
        <v>272.58030000000002</v>
      </c>
      <c r="B551" s="50">
        <v>274.16579999999999</v>
      </c>
      <c r="C551" s="50">
        <v>271.75779999999997</v>
      </c>
      <c r="D551" s="50">
        <v>273.928</v>
      </c>
      <c r="E551" s="50">
        <v>3676232</v>
      </c>
      <c r="F551" s="50" t="s">
        <v>578</v>
      </c>
      <c r="G551" s="25">
        <f t="shared" si="6"/>
        <v>-4.9199059606903628E-3</v>
      </c>
    </row>
    <row r="552" spans="1:7">
      <c r="A552" s="50">
        <v>273.928</v>
      </c>
      <c r="B552" s="50">
        <v>274.6712</v>
      </c>
      <c r="C552" s="50">
        <v>271.60919999999999</v>
      </c>
      <c r="D552" s="50">
        <v>272.51100000000002</v>
      </c>
      <c r="E552" s="50">
        <v>4618283</v>
      </c>
      <c r="F552" s="50" t="s">
        <v>579</v>
      </c>
      <c r="G552" s="25">
        <f t="shared" si="6"/>
        <v>5.1997901002160951E-3</v>
      </c>
    </row>
    <row r="553" spans="1:7">
      <c r="A553" s="50">
        <v>273.28390000000002</v>
      </c>
      <c r="B553" s="50">
        <v>277.12880000000001</v>
      </c>
      <c r="C553" s="50">
        <v>272.78840000000002</v>
      </c>
      <c r="D553" s="50">
        <v>277.00990000000002</v>
      </c>
      <c r="E553" s="50">
        <v>5833409</v>
      </c>
      <c r="F553" s="50" t="s">
        <v>580</v>
      </c>
      <c r="G553" s="25">
        <f t="shared" si="6"/>
        <v>-1.3450782805957462E-2</v>
      </c>
    </row>
    <row r="554" spans="1:7">
      <c r="A554" s="50">
        <v>276.34589999999997</v>
      </c>
      <c r="B554" s="50">
        <v>276.49430000000001</v>
      </c>
      <c r="C554" s="50">
        <v>274.04129999999998</v>
      </c>
      <c r="D554" s="50">
        <v>276.33600000000001</v>
      </c>
      <c r="E554" s="50">
        <v>4785902</v>
      </c>
      <c r="F554" s="50" t="s">
        <v>581</v>
      </c>
      <c r="G554" s="25">
        <f t="shared" si="6"/>
        <v>3.5825951016033031E-5</v>
      </c>
    </row>
    <row r="555" spans="1:7">
      <c r="A555" s="50">
        <v>273.74459999999999</v>
      </c>
      <c r="B555" s="50">
        <v>273.86329999999998</v>
      </c>
      <c r="C555" s="50">
        <v>271.04430000000002</v>
      </c>
      <c r="D555" s="50">
        <v>271.80590000000001</v>
      </c>
      <c r="E555" s="50">
        <v>4400250</v>
      </c>
      <c r="F555" s="50" t="s">
        <v>582</v>
      </c>
      <c r="G555" s="25">
        <f t="shared" si="6"/>
        <v>7.1326634190058691E-3</v>
      </c>
    </row>
    <row r="556" spans="1:7">
      <c r="A556" s="50">
        <v>272.57740000000001</v>
      </c>
      <c r="B556" s="50">
        <v>274.97109999999998</v>
      </c>
      <c r="C556" s="50">
        <v>272.12740000000002</v>
      </c>
      <c r="D556" s="50">
        <v>274.37759999999997</v>
      </c>
      <c r="E556" s="50">
        <v>4899140</v>
      </c>
      <c r="F556" s="50" t="s">
        <v>583</v>
      </c>
      <c r="G556" s="25">
        <f t="shared" si="6"/>
        <v>-6.5610312212074362E-3</v>
      </c>
    </row>
    <row r="557" spans="1:7">
      <c r="A557" s="50">
        <v>274.16000000000003</v>
      </c>
      <c r="B557" s="50">
        <v>275.46559999999999</v>
      </c>
      <c r="C557" s="50">
        <v>272.6764</v>
      </c>
      <c r="D557" s="50">
        <v>274.58530000000002</v>
      </c>
      <c r="E557" s="50">
        <v>4848891</v>
      </c>
      <c r="F557" s="50" t="s">
        <v>584</v>
      </c>
      <c r="G557" s="25">
        <f t="shared" si="6"/>
        <v>-1.5488811673457503E-3</v>
      </c>
    </row>
    <row r="558" spans="1:7">
      <c r="A558" s="50">
        <v>274.03140000000002</v>
      </c>
      <c r="B558" s="50">
        <v>274.16989999999998</v>
      </c>
      <c r="C558" s="50">
        <v>270.38159999999999</v>
      </c>
      <c r="D558" s="50">
        <v>270.41129999999998</v>
      </c>
      <c r="E558" s="50">
        <v>7064976</v>
      </c>
      <c r="F558" s="50" t="s">
        <v>585</v>
      </c>
      <c r="G558" s="25">
        <f t="shared" si="6"/>
        <v>1.3387384328983343E-2</v>
      </c>
    </row>
    <row r="559" spans="1:7">
      <c r="A559" s="50">
        <v>270.28269999999998</v>
      </c>
      <c r="B559" s="50">
        <v>276.93939999999998</v>
      </c>
      <c r="C559" s="50">
        <v>270.20359999999999</v>
      </c>
      <c r="D559" s="50">
        <v>274.10070000000002</v>
      </c>
      <c r="E559" s="50">
        <v>6139312</v>
      </c>
      <c r="F559" s="50" t="s">
        <v>586</v>
      </c>
      <c r="G559" s="25">
        <f t="shared" si="6"/>
        <v>-1.3929187338813986E-2</v>
      </c>
    </row>
    <row r="560" spans="1:7">
      <c r="A560" s="50">
        <v>274.13029999999998</v>
      </c>
      <c r="B560" s="50">
        <v>275.60410000000002</v>
      </c>
      <c r="C560" s="50">
        <v>271.20260000000002</v>
      </c>
      <c r="D560" s="50">
        <v>271.59820000000002</v>
      </c>
      <c r="E560" s="50">
        <v>6548999</v>
      </c>
      <c r="F560" s="50" t="s">
        <v>587</v>
      </c>
      <c r="G560" s="25">
        <f t="shared" si="6"/>
        <v>9.3229631124209789E-3</v>
      </c>
    </row>
    <row r="561" spans="1:7">
      <c r="A561" s="50">
        <v>270.67840000000001</v>
      </c>
      <c r="B561" s="50">
        <v>272.07299999999998</v>
      </c>
      <c r="C561" s="50">
        <v>263.80410000000001</v>
      </c>
      <c r="D561" s="50">
        <v>264.06130000000002</v>
      </c>
      <c r="E561" s="50">
        <v>6574480</v>
      </c>
      <c r="F561" s="50" t="s">
        <v>588</v>
      </c>
      <c r="G561" s="25">
        <f t="shared" si="6"/>
        <v>2.5058954114063559E-2</v>
      </c>
    </row>
    <row r="562" spans="1:7">
      <c r="A562" s="50">
        <v>265.02069999999998</v>
      </c>
      <c r="B562" s="50">
        <v>267.91919999999999</v>
      </c>
      <c r="C562" s="50">
        <v>262.70620000000002</v>
      </c>
      <c r="D562" s="50">
        <v>263.04250000000002</v>
      </c>
      <c r="E562" s="50">
        <v>8586548</v>
      </c>
      <c r="F562" s="50" t="s">
        <v>589</v>
      </c>
      <c r="G562" s="25">
        <f t="shared" si="6"/>
        <v>7.5204577207104162E-3</v>
      </c>
    </row>
    <row r="563" spans="1:7">
      <c r="A563" s="50">
        <v>269.63979999999998</v>
      </c>
      <c r="B563" s="50">
        <v>269.80799999999999</v>
      </c>
      <c r="C563" s="50">
        <v>267.84949999999998</v>
      </c>
      <c r="D563" s="50">
        <v>268.98700000000002</v>
      </c>
      <c r="E563" s="50">
        <v>6894942</v>
      </c>
      <c r="F563" s="50" t="s">
        <v>590</v>
      </c>
      <c r="G563" s="25">
        <f t="shared" si="6"/>
        <v>2.4268830835689759E-3</v>
      </c>
    </row>
    <row r="564" spans="1:7">
      <c r="A564" s="50">
        <v>268.69029999999998</v>
      </c>
      <c r="B564" s="50">
        <v>269.88709999999998</v>
      </c>
      <c r="C564" s="50">
        <v>268.12150000000003</v>
      </c>
      <c r="D564" s="50">
        <v>269.60019999999997</v>
      </c>
      <c r="E564" s="50">
        <v>5021703</v>
      </c>
      <c r="F564" s="50" t="s">
        <v>591</v>
      </c>
      <c r="G564" s="25">
        <f t="shared" si="6"/>
        <v>-3.3749974962926643E-3</v>
      </c>
    </row>
    <row r="565" spans="1:7">
      <c r="A565" s="50">
        <v>268.30450000000002</v>
      </c>
      <c r="B565" s="50">
        <v>268.90789999999998</v>
      </c>
      <c r="C565" s="50">
        <v>266.9692</v>
      </c>
      <c r="D565" s="50">
        <v>268.59140000000002</v>
      </c>
      <c r="E565" s="50">
        <v>5882995</v>
      </c>
      <c r="F565" s="50" t="s">
        <v>592</v>
      </c>
      <c r="G565" s="25">
        <f t="shared" si="6"/>
        <v>-1.0681652502648742E-3</v>
      </c>
    </row>
    <row r="566" spans="1:7">
      <c r="A566" s="50">
        <v>268.24520000000001</v>
      </c>
      <c r="B566" s="50">
        <v>269.38260000000002</v>
      </c>
      <c r="C566" s="50">
        <v>267.41430000000003</v>
      </c>
      <c r="D566" s="50">
        <v>269.27379999999999</v>
      </c>
      <c r="E566" s="50">
        <v>5984272</v>
      </c>
      <c r="F566" s="50" t="s">
        <v>593</v>
      </c>
      <c r="G566" s="25">
        <f t="shared" si="6"/>
        <v>-3.8199037559538684E-3</v>
      </c>
    </row>
    <row r="567" spans="1:7">
      <c r="A567" s="50">
        <v>267.94839999999999</v>
      </c>
      <c r="B567" s="50">
        <v>268.19569999999999</v>
      </c>
      <c r="C567" s="50">
        <v>264.1404</v>
      </c>
      <c r="D567" s="50">
        <v>265.25810000000001</v>
      </c>
      <c r="E567" s="50">
        <v>7226520</v>
      </c>
      <c r="F567" s="50" t="s">
        <v>594</v>
      </c>
      <c r="G567" s="25">
        <f t="shared" si="6"/>
        <v>1.0142197354199523E-2</v>
      </c>
    </row>
    <row r="568" spans="1:7">
      <c r="A568" s="50">
        <v>265.21850000000001</v>
      </c>
      <c r="B568" s="50">
        <v>265.85149999999999</v>
      </c>
      <c r="C568" s="50">
        <v>263.51229999999998</v>
      </c>
      <c r="D568" s="50">
        <v>264.96129999999999</v>
      </c>
      <c r="E568" s="50">
        <v>6694264</v>
      </c>
      <c r="F568" s="50" t="s">
        <v>595</v>
      </c>
      <c r="G568" s="25">
        <f t="shared" si="6"/>
        <v>9.707077977048062E-4</v>
      </c>
    </row>
    <row r="569" spans="1:7">
      <c r="A569" s="50">
        <v>263.72500000000002</v>
      </c>
      <c r="B569" s="50">
        <v>264.18979999999999</v>
      </c>
      <c r="C569" s="50">
        <v>261.50940000000003</v>
      </c>
      <c r="D569" s="50">
        <v>261.53899999999999</v>
      </c>
      <c r="E569" s="50">
        <v>5118722</v>
      </c>
      <c r="F569" s="50" t="s">
        <v>596</v>
      </c>
      <c r="G569" s="25">
        <f t="shared" si="6"/>
        <v>8.3582180860217736E-3</v>
      </c>
    </row>
    <row r="570" spans="1:7">
      <c r="A570" s="50">
        <v>262.3501</v>
      </c>
      <c r="B570" s="50">
        <v>262.76549999999997</v>
      </c>
      <c r="C570" s="50">
        <v>259.49160000000001</v>
      </c>
      <c r="D570" s="50">
        <v>260.64879999999999</v>
      </c>
      <c r="E570" s="50">
        <v>6196414</v>
      </c>
      <c r="F570" s="50" t="s">
        <v>597</v>
      </c>
      <c r="G570" s="25">
        <f t="shared" si="6"/>
        <v>6.5271737295549137E-3</v>
      </c>
    </row>
    <row r="571" spans="1:7">
      <c r="A571" s="50">
        <v>261.29180000000002</v>
      </c>
      <c r="B571" s="50">
        <v>262.6567</v>
      </c>
      <c r="C571" s="50">
        <v>260.83679999999998</v>
      </c>
      <c r="D571" s="50">
        <v>262.24130000000002</v>
      </c>
      <c r="E571" s="50">
        <v>4656238</v>
      </c>
      <c r="F571" s="50" t="s">
        <v>598</v>
      </c>
      <c r="G571" s="25">
        <f t="shared" si="6"/>
        <v>-3.6207111541927128E-3</v>
      </c>
    </row>
    <row r="572" spans="1:7">
      <c r="A572" s="50">
        <v>261.1533</v>
      </c>
      <c r="B572" s="50">
        <v>263.28980000000001</v>
      </c>
      <c r="C572" s="50">
        <v>259.541</v>
      </c>
      <c r="D572" s="50">
        <v>262.5677</v>
      </c>
      <c r="E572" s="50">
        <v>5598998</v>
      </c>
      <c r="F572" s="50" t="s">
        <v>599</v>
      </c>
      <c r="G572" s="25">
        <f t="shared" si="6"/>
        <v>-5.3868011945109595E-3</v>
      </c>
    </row>
    <row r="573" spans="1:7">
      <c r="A573" s="50">
        <v>261.67750000000001</v>
      </c>
      <c r="B573" s="50">
        <v>262.4787</v>
      </c>
      <c r="C573" s="50">
        <v>259.99599999999998</v>
      </c>
      <c r="D573" s="50">
        <v>262.08300000000003</v>
      </c>
      <c r="E573" s="50">
        <v>4355784</v>
      </c>
      <c r="F573" s="50" t="s">
        <v>600</v>
      </c>
      <c r="G573" s="25">
        <f t="shared" si="6"/>
        <v>-1.5472197738884974E-3</v>
      </c>
    </row>
    <row r="574" spans="1:7">
      <c r="A574" s="50">
        <v>260.46089999999998</v>
      </c>
      <c r="B574" s="50">
        <v>260.74779999999998</v>
      </c>
      <c r="C574" s="50">
        <v>258.29820000000001</v>
      </c>
      <c r="D574" s="50">
        <v>259.1454</v>
      </c>
      <c r="E574" s="50">
        <v>7055782</v>
      </c>
      <c r="F574" s="50" t="s">
        <v>601</v>
      </c>
      <c r="G574" s="25">
        <f t="shared" si="6"/>
        <v>5.0763007948433359E-3</v>
      </c>
    </row>
    <row r="575" spans="1:7">
      <c r="A575" s="50">
        <v>259.67950000000002</v>
      </c>
      <c r="B575" s="50">
        <v>259.7586</v>
      </c>
      <c r="C575" s="50">
        <v>257.11770000000001</v>
      </c>
      <c r="D575" s="50">
        <v>258.09699999999998</v>
      </c>
      <c r="E575" s="50">
        <v>4659030</v>
      </c>
      <c r="F575" s="50" t="s">
        <v>602</v>
      </c>
      <c r="G575" s="25">
        <f t="shared" si="6"/>
        <v>6.1314157080478715E-3</v>
      </c>
    </row>
    <row r="576" spans="1:7">
      <c r="A576" s="50">
        <v>256.86059999999998</v>
      </c>
      <c r="B576" s="50">
        <v>258.6112</v>
      </c>
      <c r="C576" s="50">
        <v>255.9308</v>
      </c>
      <c r="D576" s="50">
        <v>257.93869999999998</v>
      </c>
      <c r="E576" s="50">
        <v>3748636</v>
      </c>
      <c r="F576" s="50" t="s">
        <v>603</v>
      </c>
      <c r="G576" s="25">
        <f t="shared" si="6"/>
        <v>-4.1796752484214439E-3</v>
      </c>
    </row>
    <row r="577" spans="1:7">
      <c r="A577" s="50">
        <v>256.78140000000002</v>
      </c>
      <c r="B577" s="50">
        <v>258.19589999999999</v>
      </c>
      <c r="C577" s="50">
        <v>255.18899999999999</v>
      </c>
      <c r="D577" s="50">
        <v>255.25819999999999</v>
      </c>
      <c r="E577" s="50">
        <v>3842976</v>
      </c>
      <c r="F577" s="50" t="s">
        <v>604</v>
      </c>
      <c r="G577" s="25">
        <f t="shared" si="6"/>
        <v>5.9672911585211263E-3</v>
      </c>
    </row>
    <row r="578" spans="1:7">
      <c r="A578" s="50">
        <v>255.16919999999999</v>
      </c>
      <c r="B578" s="50">
        <v>256.03960000000001</v>
      </c>
      <c r="C578" s="50">
        <v>254.06139999999999</v>
      </c>
      <c r="D578" s="50">
        <v>255.733</v>
      </c>
      <c r="E578" s="50">
        <v>4148294</v>
      </c>
      <c r="F578" s="50" t="s">
        <v>605</v>
      </c>
      <c r="G578" s="25">
        <f t="shared" si="6"/>
        <v>-2.2046431238831321E-3</v>
      </c>
    </row>
    <row r="579" spans="1:7">
      <c r="A579" s="50">
        <v>256.04950000000002</v>
      </c>
      <c r="B579" s="50">
        <v>257.25619999999998</v>
      </c>
      <c r="C579" s="50">
        <v>254.86259999999999</v>
      </c>
      <c r="D579" s="50">
        <v>256.78140000000002</v>
      </c>
      <c r="E579" s="50">
        <v>5470986</v>
      </c>
      <c r="F579" s="50" t="s">
        <v>606</v>
      </c>
      <c r="G579" s="25">
        <f t="shared" si="6"/>
        <v>-2.8502843274473832E-3</v>
      </c>
    </row>
    <row r="580" spans="1:7">
      <c r="A580" s="50">
        <v>257.51339999999999</v>
      </c>
      <c r="B580" s="50">
        <v>258.61130000000003</v>
      </c>
      <c r="C580" s="50">
        <v>256.8408</v>
      </c>
      <c r="D580" s="50">
        <v>257.73099999999999</v>
      </c>
      <c r="E580" s="50">
        <v>4074872</v>
      </c>
      <c r="F580" s="50" t="s">
        <v>607</v>
      </c>
      <c r="G580" s="25">
        <f t="shared" si="6"/>
        <v>-8.4429114076300937E-4</v>
      </c>
    </row>
    <row r="581" spans="1:7">
      <c r="A581" s="50">
        <v>257.56279999999998</v>
      </c>
      <c r="B581" s="50">
        <v>258.1266</v>
      </c>
      <c r="C581" s="50">
        <v>255.72309999999999</v>
      </c>
      <c r="D581" s="50">
        <v>255.72309999999999</v>
      </c>
      <c r="E581" s="50">
        <v>3020454</v>
      </c>
      <c r="F581" s="50" t="s">
        <v>608</v>
      </c>
      <c r="G581" s="25">
        <f t="shared" si="6"/>
        <v>7.1941095661673948E-3</v>
      </c>
    </row>
    <row r="582" spans="1:7">
      <c r="A582" s="50">
        <v>256.10890000000001</v>
      </c>
      <c r="B582" s="50">
        <v>256.93970000000002</v>
      </c>
      <c r="C582" s="50">
        <v>255.4956</v>
      </c>
      <c r="D582" s="50">
        <v>256.42540000000002</v>
      </c>
      <c r="E582" s="50">
        <v>4034658</v>
      </c>
      <c r="F582" s="50" t="s">
        <v>609</v>
      </c>
      <c r="G582" s="25">
        <f t="shared" si="6"/>
        <v>-1.2342771035943612E-3</v>
      </c>
    </row>
    <row r="583" spans="1:7">
      <c r="A583" s="50">
        <v>256.33629999999999</v>
      </c>
      <c r="B583" s="50">
        <v>256.9051</v>
      </c>
      <c r="C583" s="50">
        <v>255.7132</v>
      </c>
      <c r="D583" s="50">
        <v>255.7132</v>
      </c>
      <c r="E583" s="50">
        <v>2085089</v>
      </c>
      <c r="F583" s="50" t="s">
        <v>610</v>
      </c>
      <c r="G583" s="25">
        <f t="shared" si="6"/>
        <v>2.4367142564403199E-3</v>
      </c>
    </row>
    <row r="584" spans="1:7">
      <c r="A584" s="50">
        <v>255.61429999999999</v>
      </c>
      <c r="B584" s="50">
        <v>258.35910000000001</v>
      </c>
      <c r="C584" s="50">
        <v>255.4066</v>
      </c>
      <c r="D584" s="50">
        <v>257.16719999999998</v>
      </c>
      <c r="E584" s="50">
        <v>5111707</v>
      </c>
      <c r="F584" s="50" t="s">
        <v>611</v>
      </c>
      <c r="G584" s="25">
        <f t="shared" si="6"/>
        <v>-6.0384839124117962E-3</v>
      </c>
    </row>
    <row r="585" spans="1:7">
      <c r="A585" s="50">
        <v>256.7122</v>
      </c>
      <c r="B585" s="50">
        <v>257.15730000000002</v>
      </c>
      <c r="C585" s="50">
        <v>254.23939999999999</v>
      </c>
      <c r="D585" s="50">
        <v>254.70429999999999</v>
      </c>
      <c r="E585" s="50">
        <v>6246652</v>
      </c>
      <c r="F585" s="50" t="s">
        <v>612</v>
      </c>
      <c r="G585" s="25">
        <f t="shared" si="6"/>
        <v>7.8832591361825965E-3</v>
      </c>
    </row>
    <row r="586" spans="1:7">
      <c r="A586" s="50">
        <v>254.30869999999999</v>
      </c>
      <c r="B586" s="50">
        <v>257.97829999999999</v>
      </c>
      <c r="C586" s="50">
        <v>254.279</v>
      </c>
      <c r="D586" s="50">
        <v>257.6617</v>
      </c>
      <c r="E586" s="50">
        <v>7240857</v>
      </c>
      <c r="F586" s="50" t="s">
        <v>613</v>
      </c>
      <c r="G586" s="25">
        <f t="shared" si="6"/>
        <v>-1.3013187446950791E-2</v>
      </c>
    </row>
    <row r="587" spans="1:7">
      <c r="A587" s="50">
        <v>257.15730000000002</v>
      </c>
      <c r="B587" s="50">
        <v>257.50349999999997</v>
      </c>
      <c r="C587" s="50">
        <v>254.39769999999999</v>
      </c>
      <c r="D587" s="50">
        <v>255.79230000000001</v>
      </c>
      <c r="E587" s="50">
        <v>8731209</v>
      </c>
      <c r="F587" s="50" t="s">
        <v>614</v>
      </c>
      <c r="G587" s="25">
        <f t="shared" si="6"/>
        <v>5.3363607895937637E-3</v>
      </c>
    </row>
    <row r="588" spans="1:7">
      <c r="A588" s="50">
        <v>255.55500000000001</v>
      </c>
      <c r="B588" s="50">
        <v>256.76170000000002</v>
      </c>
      <c r="C588" s="50">
        <v>255.1369</v>
      </c>
      <c r="D588" s="50">
        <v>255.88140000000001</v>
      </c>
      <c r="E588" s="50">
        <v>6041140</v>
      </c>
      <c r="F588" s="50" t="s">
        <v>615</v>
      </c>
      <c r="G588" s="25">
        <f t="shared" si="6"/>
        <v>-1.2755909573732849E-3</v>
      </c>
    </row>
    <row r="589" spans="1:7">
      <c r="A589" s="50">
        <v>255.21870000000001</v>
      </c>
      <c r="B589" s="50">
        <v>255.55500000000001</v>
      </c>
      <c r="C589" s="50">
        <v>251.6737</v>
      </c>
      <c r="D589" s="50">
        <v>251.73699999999999</v>
      </c>
      <c r="E589" s="50">
        <v>13373952</v>
      </c>
      <c r="F589" s="50" t="s">
        <v>616</v>
      </c>
      <c r="G589" s="25">
        <f t="shared" si="6"/>
        <v>1.3830704266754701E-2</v>
      </c>
    </row>
    <row r="590" spans="1:7">
      <c r="A590" s="50">
        <v>255.911</v>
      </c>
      <c r="B590" s="50">
        <v>260.3818</v>
      </c>
      <c r="C590" s="50">
        <v>253.60640000000001</v>
      </c>
      <c r="D590" s="50">
        <v>260.32240000000002</v>
      </c>
      <c r="E590" s="50">
        <v>8168683</v>
      </c>
      <c r="F590" s="50" t="s">
        <v>617</v>
      </c>
      <c r="G590" s="25">
        <f t="shared" si="6"/>
        <v>-1.6945910148339238E-2</v>
      </c>
    </row>
    <row r="591" spans="1:7">
      <c r="A591" s="50">
        <v>259.5213</v>
      </c>
      <c r="B591" s="50">
        <v>259.62020000000001</v>
      </c>
      <c r="C591" s="50">
        <v>255.8715</v>
      </c>
      <c r="D591" s="50">
        <v>256.32650000000001</v>
      </c>
      <c r="E591" s="50">
        <v>4859887</v>
      </c>
      <c r="F591" s="50" t="s">
        <v>618</v>
      </c>
      <c r="G591" s="25">
        <f t="shared" si="6"/>
        <v>1.2463791297427251E-2</v>
      </c>
    </row>
    <row r="592" spans="1:7">
      <c r="A592" s="50">
        <v>256.73200000000003</v>
      </c>
      <c r="B592" s="50">
        <v>256.89019999999999</v>
      </c>
      <c r="C592" s="50">
        <v>253.60149999999999</v>
      </c>
      <c r="D592" s="50">
        <v>254.4966</v>
      </c>
      <c r="E592" s="50">
        <v>5946564</v>
      </c>
      <c r="F592" s="50" t="s">
        <v>619</v>
      </c>
      <c r="G592" s="25">
        <f t="shared" si="6"/>
        <v>8.7836143979920234E-3</v>
      </c>
    </row>
    <row r="593" spans="1:7">
      <c r="A593" s="50">
        <v>253.7251</v>
      </c>
      <c r="B593" s="50">
        <v>254.82300000000001</v>
      </c>
      <c r="C593" s="50">
        <v>252.2217</v>
      </c>
      <c r="D593" s="50">
        <v>252.2217</v>
      </c>
      <c r="E593" s="50">
        <v>6479312</v>
      </c>
      <c r="F593" s="50" t="s">
        <v>620</v>
      </c>
      <c r="G593" s="25">
        <f t="shared" si="6"/>
        <v>5.9606290814786522E-3</v>
      </c>
    </row>
    <row r="594" spans="1:7">
      <c r="A594" s="50">
        <v>252.95359999999999</v>
      </c>
      <c r="B594" s="50">
        <v>253.25030000000001</v>
      </c>
      <c r="C594" s="50">
        <v>251.10400000000001</v>
      </c>
      <c r="D594" s="50">
        <v>252.2217</v>
      </c>
      <c r="E594" s="50">
        <v>3732515</v>
      </c>
      <c r="F594" s="50" t="s">
        <v>621</v>
      </c>
      <c r="G594" s="25">
        <f t="shared" si="6"/>
        <v>2.9018121755581827E-3</v>
      </c>
    </row>
    <row r="595" spans="1:7">
      <c r="A595" s="50">
        <v>253.03270000000001</v>
      </c>
      <c r="B595" s="50">
        <v>253.3492</v>
      </c>
      <c r="C595" s="50">
        <v>250.738</v>
      </c>
      <c r="D595" s="50">
        <v>252.1129</v>
      </c>
      <c r="E595" s="50">
        <v>3589256</v>
      </c>
      <c r="F595" s="50" t="s">
        <v>622</v>
      </c>
      <c r="G595" s="25">
        <f t="shared" si="6"/>
        <v>3.6483654743568739E-3</v>
      </c>
    </row>
    <row r="596" spans="1:7">
      <c r="A596" s="50">
        <v>251.51939999999999</v>
      </c>
      <c r="B596" s="50">
        <v>254.0317</v>
      </c>
      <c r="C596" s="50">
        <v>250.76769999999999</v>
      </c>
      <c r="D596" s="50">
        <v>253.01300000000001</v>
      </c>
      <c r="E596" s="50">
        <v>3874048</v>
      </c>
      <c r="F596" s="50" t="s">
        <v>623</v>
      </c>
      <c r="G596" s="25">
        <f t="shared" ref="G596:G659" si="7">A596/D596-1</f>
        <v>-5.9032539829969588E-3</v>
      </c>
    </row>
    <row r="597" spans="1:7">
      <c r="A597" s="50">
        <v>251.83590000000001</v>
      </c>
      <c r="B597" s="50">
        <v>252.0436</v>
      </c>
      <c r="C597" s="50">
        <v>249.39279999999999</v>
      </c>
      <c r="D597" s="50">
        <v>251.4205</v>
      </c>
      <c r="E597" s="50">
        <v>4199094</v>
      </c>
      <c r="F597" s="50" t="s">
        <v>624</v>
      </c>
      <c r="G597" s="25">
        <f t="shared" si="7"/>
        <v>1.6522121306734583E-3</v>
      </c>
    </row>
    <row r="598" spans="1:7">
      <c r="A598" s="50">
        <v>251.6678</v>
      </c>
      <c r="B598" s="50">
        <v>254.58070000000001</v>
      </c>
      <c r="C598" s="50">
        <v>251.5788</v>
      </c>
      <c r="D598" s="50">
        <v>253.12180000000001</v>
      </c>
      <c r="E598" s="50">
        <v>5247450</v>
      </c>
      <c r="F598" s="50" t="s">
        <v>625</v>
      </c>
      <c r="G598" s="25">
        <f t="shared" si="7"/>
        <v>-5.7442701497856241E-3</v>
      </c>
    </row>
    <row r="599" spans="1:7">
      <c r="A599" s="50">
        <v>253.6559</v>
      </c>
      <c r="B599" s="50">
        <v>254.11089999999999</v>
      </c>
      <c r="C599" s="50">
        <v>251.1337</v>
      </c>
      <c r="D599" s="50">
        <v>253.00309999999999</v>
      </c>
      <c r="E599" s="50">
        <v>3939644</v>
      </c>
      <c r="F599" s="50" t="s">
        <v>626</v>
      </c>
      <c r="G599" s="25">
        <f t="shared" si="7"/>
        <v>2.5802055389836376E-3</v>
      </c>
    </row>
    <row r="600" spans="1:7">
      <c r="A600" s="50">
        <v>253.88339999999999</v>
      </c>
      <c r="B600" s="50">
        <v>253.97239999999999</v>
      </c>
      <c r="C600" s="50">
        <v>250.41159999999999</v>
      </c>
      <c r="D600" s="50">
        <v>251.47980000000001</v>
      </c>
      <c r="E600" s="50">
        <v>6874885</v>
      </c>
      <c r="F600" s="50" t="s">
        <v>627</v>
      </c>
      <c r="G600" s="25">
        <f t="shared" si="7"/>
        <v>9.5578253203636443E-3</v>
      </c>
    </row>
    <row r="601" spans="1:7">
      <c r="A601" s="50">
        <v>251.46010000000001</v>
      </c>
      <c r="B601" s="50">
        <v>253.27510000000001</v>
      </c>
      <c r="C601" s="50">
        <v>250.7578</v>
      </c>
      <c r="D601" s="50">
        <v>251.1534</v>
      </c>
      <c r="E601" s="50">
        <v>4955093</v>
      </c>
      <c r="F601" s="50" t="s">
        <v>628</v>
      </c>
      <c r="G601" s="25">
        <f t="shared" si="7"/>
        <v>1.2211660284113801E-3</v>
      </c>
    </row>
    <row r="602" spans="1:7">
      <c r="A602" s="50">
        <v>250.1841</v>
      </c>
      <c r="B602" s="50">
        <v>251.3809</v>
      </c>
      <c r="C602" s="50">
        <v>248.86859999999999</v>
      </c>
      <c r="D602" s="50">
        <v>251.08420000000001</v>
      </c>
      <c r="E602" s="50">
        <v>5234927</v>
      </c>
      <c r="F602" s="50" t="s">
        <v>629</v>
      </c>
      <c r="G602" s="25">
        <f t="shared" si="7"/>
        <v>-3.5848532086049101E-3</v>
      </c>
    </row>
    <row r="603" spans="1:7">
      <c r="A603" s="50">
        <v>251.37100000000001</v>
      </c>
      <c r="B603" s="50">
        <v>252.20189999999999</v>
      </c>
      <c r="C603" s="50">
        <v>249.7687</v>
      </c>
      <c r="D603" s="50">
        <v>251.52930000000001</v>
      </c>
      <c r="E603" s="50">
        <v>5478887</v>
      </c>
      <c r="F603" s="50" t="s">
        <v>630</v>
      </c>
      <c r="G603" s="25">
        <f t="shared" si="7"/>
        <v>-6.2935013932774453E-4</v>
      </c>
    </row>
    <row r="604" spans="1:7">
      <c r="A604" s="50">
        <v>251.52930000000001</v>
      </c>
      <c r="B604" s="50">
        <v>251.92490000000001</v>
      </c>
      <c r="C604" s="50">
        <v>250.738</v>
      </c>
      <c r="D604" s="50">
        <v>251.4205</v>
      </c>
      <c r="E604" s="50">
        <v>1640931</v>
      </c>
      <c r="F604" s="50" t="s">
        <v>631</v>
      </c>
      <c r="G604" s="25">
        <f t="shared" si="7"/>
        <v>4.3274116470226609E-4</v>
      </c>
    </row>
    <row r="605" spans="1:7">
      <c r="A605" s="50">
        <v>250.9556</v>
      </c>
      <c r="B605" s="50">
        <v>251.76669999999999</v>
      </c>
      <c r="C605" s="50">
        <v>249.90719999999999</v>
      </c>
      <c r="D605" s="50">
        <v>250.24350000000001</v>
      </c>
      <c r="E605" s="50">
        <v>5702542</v>
      </c>
      <c r="F605" s="50" t="s">
        <v>632</v>
      </c>
      <c r="G605" s="25">
        <f t="shared" si="7"/>
        <v>2.8456283579791908E-3</v>
      </c>
    </row>
    <row r="606" spans="1:7">
      <c r="A606" s="50">
        <v>249.4819</v>
      </c>
      <c r="B606" s="50">
        <v>250.57980000000001</v>
      </c>
      <c r="C606" s="50">
        <v>247.3058</v>
      </c>
      <c r="D606" s="50">
        <v>247.3058</v>
      </c>
      <c r="E606" s="50">
        <v>7213943</v>
      </c>
      <c r="F606" s="50" t="s">
        <v>633</v>
      </c>
      <c r="G606" s="25">
        <f t="shared" si="7"/>
        <v>8.7992275150845511E-3</v>
      </c>
    </row>
    <row r="607" spans="1:7">
      <c r="A607" s="50">
        <v>247.2465</v>
      </c>
      <c r="B607" s="50">
        <v>248.196</v>
      </c>
      <c r="C607" s="50">
        <v>242.92410000000001</v>
      </c>
      <c r="D607" s="50">
        <v>246.8904</v>
      </c>
      <c r="E607" s="50">
        <v>8604744</v>
      </c>
      <c r="F607" s="50" t="s">
        <v>634</v>
      </c>
      <c r="G607" s="25">
        <f t="shared" si="7"/>
        <v>1.4423404069174861E-3</v>
      </c>
    </row>
    <row r="608" spans="1:7">
      <c r="A608" s="50">
        <v>246.8409</v>
      </c>
      <c r="B608" s="50">
        <v>247.51349999999999</v>
      </c>
      <c r="C608" s="50">
        <v>245.95070000000001</v>
      </c>
      <c r="D608" s="50">
        <v>246.7321</v>
      </c>
      <c r="E608" s="50">
        <v>7238324</v>
      </c>
      <c r="F608" s="50" t="s">
        <v>635</v>
      </c>
      <c r="G608" s="25">
        <f t="shared" si="7"/>
        <v>4.4096410641336625E-4</v>
      </c>
    </row>
    <row r="609" spans="1:7">
      <c r="A609" s="50">
        <v>245.86170000000001</v>
      </c>
      <c r="B609" s="50">
        <v>246.7321</v>
      </c>
      <c r="C609" s="50">
        <v>244.57589999999999</v>
      </c>
      <c r="D609" s="50">
        <v>245.88149999999999</v>
      </c>
      <c r="E609" s="50">
        <v>7051607</v>
      </c>
      <c r="F609" s="50" t="s">
        <v>636</v>
      </c>
      <c r="G609" s="25">
        <f t="shared" si="7"/>
        <v>-8.0526595128027623E-5</v>
      </c>
    </row>
    <row r="610" spans="1:7">
      <c r="A610" s="50">
        <v>245.4067</v>
      </c>
      <c r="B610" s="50">
        <v>245.53530000000001</v>
      </c>
      <c r="C610" s="50">
        <v>242.6669</v>
      </c>
      <c r="D610" s="50">
        <v>244.12090000000001</v>
      </c>
      <c r="E610" s="50">
        <v>13258892</v>
      </c>
      <c r="F610" s="50" t="s">
        <v>637</v>
      </c>
      <c r="G610" s="25">
        <f t="shared" si="7"/>
        <v>5.2670623449282417E-3</v>
      </c>
    </row>
    <row r="611" spans="1:7">
      <c r="A611" s="50">
        <v>244.24950000000001</v>
      </c>
      <c r="B611" s="50">
        <v>245.2287</v>
      </c>
      <c r="C611" s="50">
        <v>242.90430000000001</v>
      </c>
      <c r="D611" s="50">
        <v>243.4879</v>
      </c>
      <c r="E611" s="50">
        <v>14092026</v>
      </c>
      <c r="F611" s="50" t="s">
        <v>638</v>
      </c>
      <c r="G611" s="25">
        <f t="shared" si="7"/>
        <v>3.127876169616739E-3</v>
      </c>
    </row>
    <row r="612" spans="1:7">
      <c r="A612" s="50">
        <v>242.0042</v>
      </c>
      <c r="B612" s="50">
        <v>243.00319999999999</v>
      </c>
      <c r="C612" s="50">
        <v>241.4503</v>
      </c>
      <c r="D612" s="50">
        <v>242.3306</v>
      </c>
      <c r="E612" s="50">
        <v>4088661</v>
      </c>
      <c r="F612" s="50" t="s">
        <v>639</v>
      </c>
      <c r="G612" s="25">
        <f t="shared" si="7"/>
        <v>-1.3469202816318582E-3</v>
      </c>
    </row>
    <row r="613" spans="1:7">
      <c r="A613" s="50">
        <v>242.5779</v>
      </c>
      <c r="B613" s="50">
        <v>242.5977</v>
      </c>
      <c r="C613" s="50">
        <v>239.33359999999999</v>
      </c>
      <c r="D613" s="50">
        <v>241.32169999999999</v>
      </c>
      <c r="E613" s="50">
        <v>4094940</v>
      </c>
      <c r="F613" s="50" t="s">
        <v>640</v>
      </c>
      <c r="G613" s="25">
        <f t="shared" si="7"/>
        <v>5.2054995468704401E-3</v>
      </c>
    </row>
    <row r="614" spans="1:7">
      <c r="A614" s="50">
        <v>239.00720000000001</v>
      </c>
      <c r="B614" s="50">
        <v>241.81630000000001</v>
      </c>
      <c r="C614" s="50">
        <v>238.34450000000001</v>
      </c>
      <c r="D614" s="50">
        <v>241.6679</v>
      </c>
      <c r="E614" s="50">
        <v>4866610</v>
      </c>
      <c r="F614" s="50" t="s">
        <v>641</v>
      </c>
      <c r="G614" s="25">
        <f t="shared" si="7"/>
        <v>-1.1009736915825408E-2</v>
      </c>
    </row>
    <row r="615" spans="1:7">
      <c r="A615" s="50">
        <v>241.2525</v>
      </c>
      <c r="B615" s="50">
        <v>242.08330000000001</v>
      </c>
      <c r="C615" s="50">
        <v>240.15459999999999</v>
      </c>
      <c r="D615" s="50">
        <v>240.83709999999999</v>
      </c>
      <c r="E615" s="50">
        <v>5117726</v>
      </c>
      <c r="F615" s="50" t="s">
        <v>642</v>
      </c>
      <c r="G615" s="25">
        <f t="shared" si="7"/>
        <v>1.7248173142758727E-3</v>
      </c>
    </row>
    <row r="616" spans="1:7">
      <c r="A616" s="50">
        <v>241.58879999999999</v>
      </c>
      <c r="B616" s="50">
        <v>241.88489999999999</v>
      </c>
      <c r="C616" s="50">
        <v>240.21690000000001</v>
      </c>
      <c r="D616" s="50">
        <v>240.2465</v>
      </c>
      <c r="E616" s="50">
        <v>4219744</v>
      </c>
      <c r="F616" s="50" t="s">
        <v>643</v>
      </c>
      <c r="G616" s="25">
        <f t="shared" si="7"/>
        <v>5.5871781690888245E-3</v>
      </c>
    </row>
    <row r="617" spans="1:7">
      <c r="A617" s="50">
        <v>240.3254</v>
      </c>
      <c r="B617" s="50">
        <v>241.5986</v>
      </c>
      <c r="C617" s="50">
        <v>239.45689999999999</v>
      </c>
      <c r="D617" s="50">
        <v>240.8288</v>
      </c>
      <c r="E617" s="50">
        <v>5254340</v>
      </c>
      <c r="F617" s="50" t="s">
        <v>644</v>
      </c>
      <c r="G617" s="25">
        <f t="shared" si="7"/>
        <v>-2.0902815610093217E-3</v>
      </c>
    </row>
    <row r="618" spans="1:7">
      <c r="A618" s="50">
        <v>240.434</v>
      </c>
      <c r="B618" s="50">
        <v>242.13159999999999</v>
      </c>
      <c r="C618" s="50">
        <v>239.1114</v>
      </c>
      <c r="D618" s="50">
        <v>241.9342</v>
      </c>
      <c r="E618" s="50">
        <v>5030010</v>
      </c>
      <c r="F618" s="50" t="s">
        <v>645</v>
      </c>
      <c r="G618" s="25">
        <f t="shared" si="7"/>
        <v>-6.2008595725614457E-3</v>
      </c>
    </row>
    <row r="619" spans="1:7">
      <c r="A619" s="50">
        <v>240.08860000000001</v>
      </c>
      <c r="B619" s="50">
        <v>240.08860000000001</v>
      </c>
      <c r="C619" s="50">
        <v>236.09119999999999</v>
      </c>
      <c r="D619" s="50">
        <v>236.792</v>
      </c>
      <c r="E619" s="50">
        <v>6286743</v>
      </c>
      <c r="F619" s="50" t="s">
        <v>646</v>
      </c>
      <c r="G619" s="25">
        <f t="shared" si="7"/>
        <v>1.3921923037940598E-2</v>
      </c>
    </row>
    <row r="620" spans="1:7">
      <c r="A620" s="50">
        <v>235.47919999999999</v>
      </c>
      <c r="B620" s="50">
        <v>235.9333</v>
      </c>
      <c r="C620" s="50">
        <v>232.61689999999999</v>
      </c>
      <c r="D620" s="50">
        <v>233.071</v>
      </c>
      <c r="E620" s="50">
        <v>4996404</v>
      </c>
      <c r="F620" s="50" t="s">
        <v>647</v>
      </c>
      <c r="G620" s="25">
        <f t="shared" si="7"/>
        <v>1.0332473795538588E-2</v>
      </c>
    </row>
    <row r="621" spans="1:7">
      <c r="A621" s="50">
        <v>232.0445</v>
      </c>
      <c r="B621" s="50">
        <v>232.65629999999999</v>
      </c>
      <c r="C621" s="50">
        <v>229.96190000000001</v>
      </c>
      <c r="D621" s="50">
        <v>230.53440000000001</v>
      </c>
      <c r="E621" s="50">
        <v>4828403</v>
      </c>
      <c r="F621" s="50" t="s">
        <v>648</v>
      </c>
      <c r="G621" s="25">
        <f t="shared" si="7"/>
        <v>6.5504323866634184E-3</v>
      </c>
    </row>
    <row r="622" spans="1:7">
      <c r="A622" s="50">
        <v>230.05070000000001</v>
      </c>
      <c r="B622" s="50">
        <v>230.3468</v>
      </c>
      <c r="C622" s="50">
        <v>227.04040000000001</v>
      </c>
      <c r="D622" s="50">
        <v>229.17230000000001</v>
      </c>
      <c r="E622" s="50">
        <v>5170329</v>
      </c>
      <c r="F622" s="50" t="s">
        <v>649</v>
      </c>
      <c r="G622" s="25">
        <f t="shared" si="7"/>
        <v>3.832923961578194E-3</v>
      </c>
    </row>
    <row r="623" spans="1:7">
      <c r="A623" s="50">
        <v>226.2902</v>
      </c>
      <c r="B623" s="50">
        <v>228.3827</v>
      </c>
      <c r="C623" s="50">
        <v>225.06639999999999</v>
      </c>
      <c r="D623" s="50">
        <v>228.16560000000001</v>
      </c>
      <c r="E623" s="50">
        <v>5540934</v>
      </c>
      <c r="F623" s="50" t="s">
        <v>650</v>
      </c>
      <c r="G623" s="25">
        <f t="shared" si="7"/>
        <v>-8.219468666617602E-3</v>
      </c>
    </row>
    <row r="624" spans="1:7">
      <c r="A624" s="50">
        <v>228.2741</v>
      </c>
      <c r="B624" s="50">
        <v>232.5429</v>
      </c>
      <c r="C624" s="50">
        <v>227.36609999999999</v>
      </c>
      <c r="D624" s="50">
        <v>231.5214</v>
      </c>
      <c r="E624" s="50">
        <v>6414495</v>
      </c>
      <c r="F624" s="50" t="s">
        <v>651</v>
      </c>
      <c r="G624" s="25">
        <f t="shared" si="7"/>
        <v>-1.4025917258620568E-2</v>
      </c>
    </row>
    <row r="625" spans="1:7">
      <c r="A625" s="50">
        <v>233.77170000000001</v>
      </c>
      <c r="B625" s="50">
        <v>235.38050000000001</v>
      </c>
      <c r="C625" s="50">
        <v>228.28399999999999</v>
      </c>
      <c r="D625" s="50">
        <v>229.23150000000001</v>
      </c>
      <c r="E625" s="50">
        <v>10365335</v>
      </c>
      <c r="F625" s="50" t="s">
        <v>652</v>
      </c>
      <c r="G625" s="25">
        <f t="shared" si="7"/>
        <v>1.9806178470236357E-2</v>
      </c>
    </row>
    <row r="626" spans="1:7">
      <c r="A626" s="50">
        <v>231.6003</v>
      </c>
      <c r="B626" s="50">
        <v>233.45590000000001</v>
      </c>
      <c r="C626" s="50">
        <v>229.86320000000001</v>
      </c>
      <c r="D626" s="50">
        <v>229.86320000000001</v>
      </c>
      <c r="E626" s="50">
        <v>6844055</v>
      </c>
      <c r="F626" s="50" t="s">
        <v>653</v>
      </c>
      <c r="G626" s="25">
        <f t="shared" si="7"/>
        <v>7.5571035294035305E-3</v>
      </c>
    </row>
    <row r="627" spans="1:7">
      <c r="A627" s="50">
        <v>228.52090000000001</v>
      </c>
      <c r="B627" s="50">
        <v>231.4128</v>
      </c>
      <c r="C627" s="50">
        <v>228.2741</v>
      </c>
      <c r="D627" s="50">
        <v>228.35310000000001</v>
      </c>
      <c r="E627" s="50">
        <v>5071710</v>
      </c>
      <c r="F627" s="50" t="s">
        <v>654</v>
      </c>
      <c r="G627" s="25">
        <f t="shared" si="7"/>
        <v>7.3482689746717789E-4</v>
      </c>
    </row>
    <row r="628" spans="1:7">
      <c r="A628" s="50">
        <v>230.3468</v>
      </c>
      <c r="B628" s="50">
        <v>232.70580000000001</v>
      </c>
      <c r="C628" s="50">
        <v>229.6164</v>
      </c>
      <c r="D628" s="50">
        <v>231.08709999999999</v>
      </c>
      <c r="E628" s="50">
        <v>5748421</v>
      </c>
      <c r="F628" s="50" t="s">
        <v>655</v>
      </c>
      <c r="G628" s="25">
        <f t="shared" si="7"/>
        <v>-3.2035539846230199E-3</v>
      </c>
    </row>
    <row r="629" spans="1:7">
      <c r="A629" s="50">
        <v>230.77119999999999</v>
      </c>
      <c r="B629" s="50">
        <v>234.8278</v>
      </c>
      <c r="C629" s="50">
        <v>230.3715</v>
      </c>
      <c r="D629" s="50">
        <v>234.3837</v>
      </c>
      <c r="E629" s="50">
        <v>5927439</v>
      </c>
      <c r="F629" s="50" t="s">
        <v>656</v>
      </c>
      <c r="G629" s="25">
        <f t="shared" si="7"/>
        <v>-1.541276121163726E-2</v>
      </c>
    </row>
    <row r="630" spans="1:7">
      <c r="A630" s="50">
        <v>234.3837</v>
      </c>
      <c r="B630" s="50">
        <v>237.7</v>
      </c>
      <c r="C630" s="50">
        <v>233.90989999999999</v>
      </c>
      <c r="D630" s="50">
        <v>236.84129999999999</v>
      </c>
      <c r="E630" s="50">
        <v>9528487</v>
      </c>
      <c r="F630" s="50" t="s">
        <v>657</v>
      </c>
      <c r="G630" s="25">
        <f t="shared" si="7"/>
        <v>-1.0376568613666537E-2</v>
      </c>
    </row>
    <row r="631" spans="1:7">
      <c r="A631" s="50">
        <v>238.0652</v>
      </c>
      <c r="B631" s="50">
        <v>238.3416</v>
      </c>
      <c r="C631" s="50">
        <v>235.19300000000001</v>
      </c>
      <c r="D631" s="50">
        <v>236.51560000000001</v>
      </c>
      <c r="E631" s="50">
        <v>4527629</v>
      </c>
      <c r="F631" s="50" t="s">
        <v>658</v>
      </c>
      <c r="G631" s="25">
        <f t="shared" si="7"/>
        <v>6.5517877044896089E-3</v>
      </c>
    </row>
    <row r="632" spans="1:7">
      <c r="A632" s="50">
        <v>236.94990000000001</v>
      </c>
      <c r="B632" s="50">
        <v>237.58160000000001</v>
      </c>
      <c r="C632" s="50">
        <v>235.23249999999999</v>
      </c>
      <c r="D632" s="50">
        <v>235.8938</v>
      </c>
      <c r="E632" s="50">
        <v>6227475</v>
      </c>
      <c r="F632" s="50" t="s">
        <v>659</v>
      </c>
      <c r="G632" s="25">
        <f t="shared" si="7"/>
        <v>4.4770146565955571E-3</v>
      </c>
    </row>
    <row r="633" spans="1:7">
      <c r="A633" s="50">
        <v>234.58109999999999</v>
      </c>
      <c r="B633" s="50">
        <v>235.54830000000001</v>
      </c>
      <c r="C633" s="50">
        <v>233.15979999999999</v>
      </c>
      <c r="D633" s="50">
        <v>233.3177</v>
      </c>
      <c r="E633" s="50">
        <v>4966925</v>
      </c>
      <c r="F633" s="50" t="s">
        <v>660</v>
      </c>
      <c r="G633" s="25">
        <f t="shared" si="7"/>
        <v>5.4149342291647251E-3</v>
      </c>
    </row>
    <row r="634" spans="1:7">
      <c r="A634" s="50">
        <v>233.70259999999999</v>
      </c>
      <c r="B634" s="50">
        <v>234.6403</v>
      </c>
      <c r="C634" s="50">
        <v>231.8372</v>
      </c>
      <c r="D634" s="50">
        <v>233.6335</v>
      </c>
      <c r="E634" s="50">
        <v>4472920</v>
      </c>
      <c r="F634" s="50" t="s">
        <v>661</v>
      </c>
      <c r="G634" s="25">
        <f t="shared" si="7"/>
        <v>2.9576237996686849E-4</v>
      </c>
    </row>
    <row r="635" spans="1:7">
      <c r="A635" s="50">
        <v>232.61689999999999</v>
      </c>
      <c r="B635" s="50">
        <v>235.40520000000001</v>
      </c>
      <c r="C635" s="50">
        <v>231.8372</v>
      </c>
      <c r="D635" s="50">
        <v>234.46260000000001</v>
      </c>
      <c r="E635" s="50">
        <v>4760890</v>
      </c>
      <c r="F635" s="50" t="s">
        <v>662</v>
      </c>
      <c r="G635" s="25">
        <f t="shared" si="7"/>
        <v>-7.8720444113475896E-3</v>
      </c>
    </row>
    <row r="636" spans="1:7">
      <c r="A636" s="50">
        <v>233.52500000000001</v>
      </c>
      <c r="B636" s="50">
        <v>235.12389999999999</v>
      </c>
      <c r="C636" s="50">
        <v>231.23509999999999</v>
      </c>
      <c r="D636" s="50">
        <v>231.84710000000001</v>
      </c>
      <c r="E636" s="50">
        <v>4644223</v>
      </c>
      <c r="F636" s="50" t="s">
        <v>663</v>
      </c>
      <c r="G636" s="25">
        <f t="shared" si="7"/>
        <v>7.2370972075992412E-3</v>
      </c>
    </row>
    <row r="637" spans="1:7">
      <c r="A637" s="50">
        <v>231.3931</v>
      </c>
      <c r="B637" s="50">
        <v>232.11359999999999</v>
      </c>
      <c r="C637" s="50">
        <v>228.68870000000001</v>
      </c>
      <c r="D637" s="50">
        <v>229.77440000000001</v>
      </c>
      <c r="E637" s="50">
        <v>5372332</v>
      </c>
      <c r="F637" s="50" t="s">
        <v>664</v>
      </c>
      <c r="G637" s="25">
        <f t="shared" si="7"/>
        <v>7.0447360541470161E-3</v>
      </c>
    </row>
    <row r="638" spans="1:7">
      <c r="A638" s="50">
        <v>231.9853</v>
      </c>
      <c r="B638" s="50">
        <v>233.51509999999999</v>
      </c>
      <c r="C638" s="50">
        <v>229.72499999999999</v>
      </c>
      <c r="D638" s="50">
        <v>230.1396</v>
      </c>
      <c r="E638" s="50">
        <v>6401280</v>
      </c>
      <c r="F638" s="50" t="s">
        <v>665</v>
      </c>
      <c r="G638" s="25">
        <f t="shared" si="7"/>
        <v>8.0199148690620614E-3</v>
      </c>
    </row>
    <row r="639" spans="1:7">
      <c r="A639" s="50">
        <v>230.44550000000001</v>
      </c>
      <c r="B639" s="50">
        <v>231.1463</v>
      </c>
      <c r="C639" s="50">
        <v>227.22790000000001</v>
      </c>
      <c r="D639" s="50">
        <v>227.41540000000001</v>
      </c>
      <c r="E639" s="50">
        <v>6126433</v>
      </c>
      <c r="F639" s="50" t="s">
        <v>666</v>
      </c>
      <c r="G639" s="25">
        <f t="shared" si="7"/>
        <v>1.3324075678252223E-2</v>
      </c>
    </row>
    <row r="640" spans="1:7">
      <c r="A640" s="50">
        <v>228.2149</v>
      </c>
      <c r="B640" s="50">
        <v>228.68870000000001</v>
      </c>
      <c r="C640" s="50">
        <v>225.90530000000001</v>
      </c>
      <c r="D640" s="50">
        <v>226.4975</v>
      </c>
      <c r="E640" s="50">
        <v>5430925</v>
      </c>
      <c r="F640" s="50" t="s">
        <v>667</v>
      </c>
      <c r="G640" s="25">
        <f t="shared" si="7"/>
        <v>7.582423647060077E-3</v>
      </c>
    </row>
    <row r="641" spans="1:7">
      <c r="A641" s="50">
        <v>225.83619999999999</v>
      </c>
      <c r="B641" s="50">
        <v>228.738</v>
      </c>
      <c r="C641" s="50">
        <v>224.81960000000001</v>
      </c>
      <c r="D641" s="50">
        <v>227.47460000000001</v>
      </c>
      <c r="E641" s="50">
        <v>5585744</v>
      </c>
      <c r="F641" s="50" t="s">
        <v>668</v>
      </c>
      <c r="G641" s="25">
        <f t="shared" si="7"/>
        <v>-7.2025623959774965E-3</v>
      </c>
    </row>
    <row r="642" spans="1:7">
      <c r="A642" s="50">
        <v>228.26429999999999</v>
      </c>
      <c r="B642" s="50">
        <v>228.363</v>
      </c>
      <c r="C642" s="50">
        <v>225.79669999999999</v>
      </c>
      <c r="D642" s="50">
        <v>226.26060000000001</v>
      </c>
      <c r="E642" s="50">
        <v>5175345</v>
      </c>
      <c r="F642" s="50" t="s">
        <v>669</v>
      </c>
      <c r="G642" s="25">
        <f t="shared" si="7"/>
        <v>8.8557176989718656E-3</v>
      </c>
    </row>
    <row r="643" spans="1:7">
      <c r="A643" s="50">
        <v>227.0206</v>
      </c>
      <c r="B643" s="50">
        <v>230.00139999999999</v>
      </c>
      <c r="C643" s="50">
        <v>226.6653</v>
      </c>
      <c r="D643" s="50">
        <v>229.81379999999999</v>
      </c>
      <c r="E643" s="50">
        <v>6045177</v>
      </c>
      <c r="F643" s="50" t="s">
        <v>670</v>
      </c>
      <c r="G643" s="25">
        <f t="shared" si="7"/>
        <v>-1.2154187433478736E-2</v>
      </c>
    </row>
    <row r="644" spans="1:7">
      <c r="A644" s="50">
        <v>228.64920000000001</v>
      </c>
      <c r="B644" s="50">
        <v>229.5128</v>
      </c>
      <c r="C644" s="50">
        <v>226.685</v>
      </c>
      <c r="D644" s="50">
        <v>227.672</v>
      </c>
      <c r="E644" s="50">
        <v>4203886</v>
      </c>
      <c r="F644" s="50" t="s">
        <v>671</v>
      </c>
      <c r="G644" s="25">
        <f t="shared" si="7"/>
        <v>4.2921395692048225E-3</v>
      </c>
    </row>
    <row r="645" spans="1:7">
      <c r="A645" s="50">
        <v>226.51730000000001</v>
      </c>
      <c r="B645" s="50">
        <v>227.68190000000001</v>
      </c>
      <c r="C645" s="50">
        <v>224.95779999999999</v>
      </c>
      <c r="D645" s="50">
        <v>227.26740000000001</v>
      </c>
      <c r="E645" s="50">
        <v>6006676</v>
      </c>
      <c r="F645" s="50" t="s">
        <v>672</v>
      </c>
      <c r="G645" s="25">
        <f t="shared" si="7"/>
        <v>-3.3005173641270646E-3</v>
      </c>
    </row>
    <row r="646" spans="1:7">
      <c r="A646" s="50">
        <v>226.6653</v>
      </c>
      <c r="B646" s="50">
        <v>229.64609999999999</v>
      </c>
      <c r="C646" s="50">
        <v>226.61600000000001</v>
      </c>
      <c r="D646" s="50">
        <v>228.91569999999999</v>
      </c>
      <c r="E646" s="50">
        <v>6193243</v>
      </c>
      <c r="F646" s="50" t="s">
        <v>673</v>
      </c>
      <c r="G646" s="25">
        <f t="shared" si="7"/>
        <v>-9.8306931328868696E-3</v>
      </c>
    </row>
    <row r="647" spans="1:7">
      <c r="A647" s="50">
        <v>230.3271</v>
      </c>
      <c r="B647" s="50">
        <v>232.40969999999999</v>
      </c>
      <c r="C647" s="50">
        <v>229.19200000000001</v>
      </c>
      <c r="D647" s="50">
        <v>232.32079999999999</v>
      </c>
      <c r="E647" s="50">
        <v>5921753</v>
      </c>
      <c r="F647" s="50" t="s">
        <v>674</v>
      </c>
      <c r="G647" s="25">
        <f t="shared" si="7"/>
        <v>-8.5816681072033996E-3</v>
      </c>
    </row>
    <row r="648" spans="1:7">
      <c r="A648" s="50">
        <v>232.0247</v>
      </c>
      <c r="B648" s="50">
        <v>234.6995</v>
      </c>
      <c r="C648" s="50">
        <v>231.82730000000001</v>
      </c>
      <c r="D648" s="50">
        <v>233.673</v>
      </c>
      <c r="E648" s="50">
        <v>5935586</v>
      </c>
      <c r="F648" s="50" t="s">
        <v>675</v>
      </c>
      <c r="G648" s="25">
        <f t="shared" si="7"/>
        <v>-7.053874431363516E-3</v>
      </c>
    </row>
    <row r="649" spans="1:7">
      <c r="A649" s="50">
        <v>233.53479999999999</v>
      </c>
      <c r="B649" s="50">
        <v>237.6507</v>
      </c>
      <c r="C649" s="50">
        <v>233.19929999999999</v>
      </c>
      <c r="D649" s="50">
        <v>237.64080000000001</v>
      </c>
      <c r="E649" s="50">
        <v>6881943</v>
      </c>
      <c r="F649" s="50" t="s">
        <v>676</v>
      </c>
      <c r="G649" s="25">
        <f t="shared" si="7"/>
        <v>-1.727817782131702E-2</v>
      </c>
    </row>
    <row r="650" spans="1:7">
      <c r="A650" s="50">
        <v>238.7166</v>
      </c>
      <c r="B650" s="50">
        <v>241.3519</v>
      </c>
      <c r="C650" s="50">
        <v>238.5291</v>
      </c>
      <c r="D650" s="50">
        <v>240.46360000000001</v>
      </c>
      <c r="E650" s="50">
        <v>5756898</v>
      </c>
      <c r="F650" s="50" t="s">
        <v>677</v>
      </c>
      <c r="G650" s="25">
        <f t="shared" si="7"/>
        <v>-7.2651328517081559E-3</v>
      </c>
    </row>
    <row r="651" spans="1:7">
      <c r="A651" s="50">
        <v>240.39449999999999</v>
      </c>
      <c r="B651" s="50">
        <v>241.9342</v>
      </c>
      <c r="C651" s="50">
        <v>238.3218</v>
      </c>
      <c r="D651" s="50">
        <v>241.8158</v>
      </c>
      <c r="E651" s="50">
        <v>4709207</v>
      </c>
      <c r="F651" s="50" t="s">
        <v>678</v>
      </c>
      <c r="G651" s="25">
        <f t="shared" si="7"/>
        <v>-5.8776142832684952E-3</v>
      </c>
    </row>
    <row r="652" spans="1:7">
      <c r="A652" s="50">
        <v>241.4802</v>
      </c>
      <c r="B652" s="50">
        <v>242.0428</v>
      </c>
      <c r="C652" s="50">
        <v>237.64080000000001</v>
      </c>
      <c r="D652" s="50">
        <v>237.80860000000001</v>
      </c>
      <c r="E652" s="50">
        <v>4771567</v>
      </c>
      <c r="F652" s="50" t="s">
        <v>679</v>
      </c>
      <c r="G652" s="25">
        <f t="shared" si="7"/>
        <v>1.5439307072999009E-2</v>
      </c>
    </row>
    <row r="653" spans="1:7">
      <c r="A653" s="50">
        <v>237.93690000000001</v>
      </c>
      <c r="B653" s="50">
        <v>240.92750000000001</v>
      </c>
      <c r="C653" s="50">
        <v>236.91040000000001</v>
      </c>
      <c r="D653" s="50">
        <v>238.7561</v>
      </c>
      <c r="E653" s="50">
        <v>13077932</v>
      </c>
      <c r="F653" s="50" t="s">
        <v>680</v>
      </c>
      <c r="G653" s="25">
        <f t="shared" si="7"/>
        <v>-3.4311165243526842E-3</v>
      </c>
    </row>
    <row r="654" spans="1:7">
      <c r="A654" s="50">
        <v>238.3613</v>
      </c>
      <c r="B654" s="50">
        <v>242.34880000000001</v>
      </c>
      <c r="C654" s="50">
        <v>235.64699999999999</v>
      </c>
      <c r="D654" s="50">
        <v>241.8158</v>
      </c>
      <c r="E654" s="50">
        <v>11999981</v>
      </c>
      <c r="F654" s="50" t="s">
        <v>681</v>
      </c>
      <c r="G654" s="25">
        <f t="shared" si="7"/>
        <v>-1.4285667024239057E-2</v>
      </c>
    </row>
    <row r="655" spans="1:7">
      <c r="A655" s="50">
        <v>244.60900000000001</v>
      </c>
      <c r="B655" s="50">
        <v>246.81</v>
      </c>
      <c r="C655" s="50">
        <v>243.4049</v>
      </c>
      <c r="D655" s="50">
        <v>243.93790000000001</v>
      </c>
      <c r="E655" s="50">
        <v>5657025</v>
      </c>
      <c r="F655" s="50" t="s">
        <v>682</v>
      </c>
      <c r="G655" s="25">
        <f t="shared" si="7"/>
        <v>2.7511100161148327E-3</v>
      </c>
    </row>
    <row r="656" spans="1:7">
      <c r="A656" s="50">
        <v>244.08590000000001</v>
      </c>
      <c r="B656" s="50">
        <v>244.53989999999999</v>
      </c>
      <c r="C656" s="50">
        <v>242.81270000000001</v>
      </c>
      <c r="D656" s="50">
        <v>243.73060000000001</v>
      </c>
      <c r="E656" s="50">
        <v>3499561</v>
      </c>
      <c r="F656" s="50" t="s">
        <v>683</v>
      </c>
      <c r="G656" s="25">
        <f t="shared" si="7"/>
        <v>1.4577570481506541E-3</v>
      </c>
    </row>
    <row r="657" spans="1:7">
      <c r="A657" s="50">
        <v>244.00700000000001</v>
      </c>
      <c r="B657" s="50">
        <v>245.13210000000001</v>
      </c>
      <c r="C657" s="50">
        <v>243.0693</v>
      </c>
      <c r="D657" s="50">
        <v>244.1155</v>
      </c>
      <c r="E657" s="50">
        <v>2995835</v>
      </c>
      <c r="F657" s="50" t="s">
        <v>684</v>
      </c>
      <c r="G657" s="25">
        <f t="shared" si="7"/>
        <v>-4.4446174044665554E-4</v>
      </c>
    </row>
    <row r="658" spans="1:7">
      <c r="A658" s="50">
        <v>244.07599999999999</v>
      </c>
      <c r="B658" s="50">
        <v>244.91499999999999</v>
      </c>
      <c r="C658" s="50">
        <v>243.2371</v>
      </c>
      <c r="D658" s="50">
        <v>244.56950000000001</v>
      </c>
      <c r="E658" s="50">
        <v>3309819</v>
      </c>
      <c r="F658" s="50" t="s">
        <v>685</v>
      </c>
      <c r="G658" s="25">
        <f t="shared" si="7"/>
        <v>-2.0178313321980168E-3</v>
      </c>
    </row>
    <row r="659" spans="1:7">
      <c r="A659" s="50">
        <v>243.928</v>
      </c>
      <c r="B659" s="50">
        <v>244.18459999999999</v>
      </c>
      <c r="C659" s="50">
        <v>241.92580000000001</v>
      </c>
      <c r="D659" s="50">
        <v>242.30930000000001</v>
      </c>
      <c r="E659" s="50">
        <v>4008017</v>
      </c>
      <c r="F659" s="50" t="s">
        <v>686</v>
      </c>
      <c r="G659" s="25">
        <f t="shared" si="7"/>
        <v>6.680304883056376E-3</v>
      </c>
    </row>
    <row r="660" spans="1:7">
      <c r="A660" s="50">
        <v>242.9607</v>
      </c>
      <c r="B660" s="50">
        <v>243.45419999999999</v>
      </c>
      <c r="C660" s="50">
        <v>241.0361</v>
      </c>
      <c r="D660" s="50">
        <v>242.2303</v>
      </c>
      <c r="E660" s="50">
        <v>4520355</v>
      </c>
      <c r="F660" s="50" t="s">
        <v>687</v>
      </c>
      <c r="G660" s="25">
        <f t="shared" ref="G660:G723" si="8">A660/D660-1</f>
        <v>3.0153122875213878E-3</v>
      </c>
    </row>
    <row r="661" spans="1:7">
      <c r="A661" s="50">
        <v>242.1514</v>
      </c>
      <c r="B661" s="50">
        <v>245.45779999999999</v>
      </c>
      <c r="C661" s="50">
        <v>242.01320000000001</v>
      </c>
      <c r="D661" s="50">
        <v>245.1223</v>
      </c>
      <c r="E661" s="50">
        <v>4459645</v>
      </c>
      <c r="F661" s="50" t="s">
        <v>688</v>
      </c>
      <c r="G661" s="25">
        <f t="shared" si="8"/>
        <v>-1.2120072306762819E-2</v>
      </c>
    </row>
    <row r="662" spans="1:7">
      <c r="A662" s="50">
        <v>244.8854</v>
      </c>
      <c r="B662" s="50">
        <v>245.63550000000001</v>
      </c>
      <c r="C662" s="50">
        <v>243.56280000000001</v>
      </c>
      <c r="D662" s="50">
        <v>244.25370000000001</v>
      </c>
      <c r="E662" s="50">
        <v>4112905</v>
      </c>
      <c r="F662" s="50" t="s">
        <v>689</v>
      </c>
      <c r="G662" s="25">
        <f t="shared" si="8"/>
        <v>2.5862453670097985E-3</v>
      </c>
    </row>
    <row r="663" spans="1:7">
      <c r="A663" s="50">
        <v>242.48699999999999</v>
      </c>
      <c r="B663" s="50">
        <v>244.79660000000001</v>
      </c>
      <c r="C663" s="50">
        <v>242.26</v>
      </c>
      <c r="D663" s="50">
        <v>242.3981</v>
      </c>
      <c r="E663" s="50">
        <v>5532610</v>
      </c>
      <c r="F663" s="50" t="s">
        <v>690</v>
      </c>
      <c r="G663" s="25">
        <f t="shared" si="8"/>
        <v>3.6675204962421937E-4</v>
      </c>
    </row>
    <row r="664" spans="1:7">
      <c r="A664" s="50">
        <v>243.02979999999999</v>
      </c>
      <c r="B664" s="50">
        <v>245.00380000000001</v>
      </c>
      <c r="C664" s="50">
        <v>242.85220000000001</v>
      </c>
      <c r="D664" s="50">
        <v>243.2174</v>
      </c>
      <c r="E664" s="50">
        <v>4573291</v>
      </c>
      <c r="F664" s="50" t="s">
        <v>691</v>
      </c>
      <c r="G664" s="25">
        <f t="shared" si="8"/>
        <v>-7.7132639358867827E-4</v>
      </c>
    </row>
    <row r="665" spans="1:7">
      <c r="A665" s="50">
        <v>242.1514</v>
      </c>
      <c r="B665" s="50">
        <v>242.63499999999999</v>
      </c>
      <c r="C665" s="50">
        <v>240.23660000000001</v>
      </c>
      <c r="D665" s="50">
        <v>240.33529999999999</v>
      </c>
      <c r="E665" s="50">
        <v>3975738</v>
      </c>
      <c r="F665" s="50" t="s">
        <v>692</v>
      </c>
      <c r="G665" s="25">
        <f t="shared" si="8"/>
        <v>7.5565262364705177E-3</v>
      </c>
    </row>
    <row r="666" spans="1:7">
      <c r="A666" s="50">
        <v>240.661</v>
      </c>
      <c r="B666" s="50">
        <v>242.0428</v>
      </c>
      <c r="C666" s="50">
        <v>239.447</v>
      </c>
      <c r="D666" s="50">
        <v>239.85169999999999</v>
      </c>
      <c r="E666" s="50">
        <v>3741458</v>
      </c>
      <c r="F666" s="50" t="s">
        <v>693</v>
      </c>
      <c r="G666" s="25">
        <f t="shared" si="8"/>
        <v>3.374168288154733E-3</v>
      </c>
    </row>
    <row r="667" spans="1:7">
      <c r="A667" s="50">
        <v>239.41739999999999</v>
      </c>
      <c r="B667" s="50">
        <v>240.2465</v>
      </c>
      <c r="C667" s="50">
        <v>237.0881</v>
      </c>
      <c r="D667" s="50">
        <v>238.24289999999999</v>
      </c>
      <c r="E667" s="50">
        <v>3541533</v>
      </c>
      <c r="F667" s="50" t="s">
        <v>694</v>
      </c>
      <c r="G667" s="25">
        <f t="shared" si="8"/>
        <v>4.9298426102100112E-3</v>
      </c>
    </row>
    <row r="668" spans="1:7">
      <c r="A668" s="50">
        <v>236.35769999999999</v>
      </c>
      <c r="B668" s="50">
        <v>240.39449999999999</v>
      </c>
      <c r="C668" s="50">
        <v>236.2491</v>
      </c>
      <c r="D668" s="50">
        <v>239.10149999999999</v>
      </c>
      <c r="E668" s="50">
        <v>4570869</v>
      </c>
      <c r="F668" s="50" t="s">
        <v>695</v>
      </c>
      <c r="G668" s="25">
        <f t="shared" si="8"/>
        <v>-1.1475461258084962E-2</v>
      </c>
    </row>
    <row r="669" spans="1:7">
      <c r="A669" s="50">
        <v>239.15090000000001</v>
      </c>
      <c r="B669" s="50">
        <v>239.3878</v>
      </c>
      <c r="C669" s="50">
        <v>237.59139999999999</v>
      </c>
      <c r="D669" s="50">
        <v>238.18360000000001</v>
      </c>
      <c r="E669" s="50">
        <v>4947728</v>
      </c>
      <c r="F669" s="50" t="s">
        <v>696</v>
      </c>
      <c r="G669" s="25">
        <f t="shared" si="8"/>
        <v>4.0611528249636653E-3</v>
      </c>
    </row>
    <row r="670" spans="1:7">
      <c r="A670" s="50">
        <v>237.4434</v>
      </c>
      <c r="B670" s="50">
        <v>238.29220000000001</v>
      </c>
      <c r="C670" s="50">
        <v>235.56809999999999</v>
      </c>
      <c r="D670" s="50">
        <v>236.88079999999999</v>
      </c>
      <c r="E670" s="50">
        <v>3848688</v>
      </c>
      <c r="F670" s="50" t="s">
        <v>697</v>
      </c>
      <c r="G670" s="25">
        <f t="shared" si="8"/>
        <v>2.3750341944133169E-3</v>
      </c>
    </row>
    <row r="671" spans="1:7">
      <c r="A671" s="50">
        <v>236.34780000000001</v>
      </c>
      <c r="B671" s="50">
        <v>237.40389999999999</v>
      </c>
      <c r="C671" s="50">
        <v>234.66499999999999</v>
      </c>
      <c r="D671" s="50">
        <v>236.2688</v>
      </c>
      <c r="E671" s="50">
        <v>3573630</v>
      </c>
      <c r="F671" s="50" t="s">
        <v>698</v>
      </c>
      <c r="G671" s="25">
        <f t="shared" si="8"/>
        <v>3.3436492672755946E-4</v>
      </c>
    </row>
    <row r="672" spans="1:7">
      <c r="A672" s="50">
        <v>235.0746</v>
      </c>
      <c r="B672" s="50">
        <v>235.94309999999999</v>
      </c>
      <c r="C672" s="50">
        <v>232.24189999999999</v>
      </c>
      <c r="D672" s="50">
        <v>232.51820000000001</v>
      </c>
      <c r="E672" s="50">
        <v>4344962</v>
      </c>
      <c r="F672" s="50" t="s">
        <v>699</v>
      </c>
      <c r="G672" s="25">
        <f t="shared" si="8"/>
        <v>1.0994408179660686E-2</v>
      </c>
    </row>
    <row r="673" spans="1:7">
      <c r="A673" s="50">
        <v>234.285</v>
      </c>
      <c r="B673" s="50">
        <v>237.2559</v>
      </c>
      <c r="C673" s="50">
        <v>233.41640000000001</v>
      </c>
      <c r="D673" s="50">
        <v>236.88079999999999</v>
      </c>
      <c r="E673" s="50">
        <v>4177578</v>
      </c>
      <c r="F673" s="50" t="s">
        <v>700</v>
      </c>
      <c r="G673" s="25">
        <f t="shared" si="8"/>
        <v>-1.0958254109239784E-2</v>
      </c>
    </row>
    <row r="674" spans="1:7">
      <c r="A674" s="50">
        <v>236.18</v>
      </c>
      <c r="B674" s="50">
        <v>237.93190000000001</v>
      </c>
      <c r="C674" s="50">
        <v>232.94880000000001</v>
      </c>
      <c r="D674" s="50">
        <v>233.45590000000001</v>
      </c>
      <c r="E674" s="50">
        <v>3218574</v>
      </c>
      <c r="F674" s="50" t="s">
        <v>701</v>
      </c>
      <c r="G674" s="25">
        <f t="shared" si="8"/>
        <v>1.1668584944736882E-2</v>
      </c>
    </row>
    <row r="675" spans="1:7">
      <c r="A675" s="50">
        <v>236.71299999999999</v>
      </c>
      <c r="B675" s="50">
        <v>239.51609999999999</v>
      </c>
      <c r="C675" s="50">
        <v>236.23920000000001</v>
      </c>
      <c r="D675" s="50">
        <v>238.8647</v>
      </c>
      <c r="E675" s="50">
        <v>3770078</v>
      </c>
      <c r="F675" s="50" t="s">
        <v>702</v>
      </c>
      <c r="G675" s="25">
        <f t="shared" si="8"/>
        <v>-9.0080283943170247E-3</v>
      </c>
    </row>
    <row r="676" spans="1:7">
      <c r="A676" s="50">
        <v>239.7431</v>
      </c>
      <c r="B676" s="50">
        <v>240.16749999999999</v>
      </c>
      <c r="C676" s="50">
        <v>237.13740000000001</v>
      </c>
      <c r="D676" s="50">
        <v>237.59139999999999</v>
      </c>
      <c r="E676" s="50">
        <v>4351136</v>
      </c>
      <c r="F676" s="50" t="s">
        <v>703</v>
      </c>
      <c r="G676" s="25">
        <f t="shared" si="8"/>
        <v>9.0563042264997229E-3</v>
      </c>
    </row>
    <row r="677" spans="1:7">
      <c r="A677" s="50">
        <v>236.9203</v>
      </c>
      <c r="B677" s="50">
        <v>237.59139999999999</v>
      </c>
      <c r="C677" s="50">
        <v>235.31639999999999</v>
      </c>
      <c r="D677" s="50">
        <v>236.88079999999999</v>
      </c>
      <c r="E677" s="50">
        <v>3607104</v>
      </c>
      <c r="F677" s="50" t="s">
        <v>704</v>
      </c>
      <c r="G677" s="25">
        <f t="shared" si="8"/>
        <v>1.6675053444603627E-4</v>
      </c>
    </row>
    <row r="678" spans="1:7">
      <c r="A678" s="50">
        <v>237.03870000000001</v>
      </c>
      <c r="B678" s="50">
        <v>240.77950000000001</v>
      </c>
      <c r="C678" s="50">
        <v>236.96960000000001</v>
      </c>
      <c r="D678" s="50">
        <v>237.49270000000001</v>
      </c>
      <c r="E678" s="50">
        <v>4778017</v>
      </c>
      <c r="F678" s="50" t="s">
        <v>705</v>
      </c>
      <c r="G678" s="25">
        <f t="shared" si="8"/>
        <v>-1.9116377050747424E-3</v>
      </c>
    </row>
    <row r="679" spans="1:7">
      <c r="A679" s="50">
        <v>236.19980000000001</v>
      </c>
      <c r="B679" s="50">
        <v>238.37690000000001</v>
      </c>
      <c r="C679" s="50">
        <v>235.93379999999999</v>
      </c>
      <c r="D679" s="50">
        <v>236.9288</v>
      </c>
      <c r="E679" s="50">
        <v>4055027</v>
      </c>
      <c r="F679" s="50" t="s">
        <v>706</v>
      </c>
      <c r="G679" s="25">
        <f t="shared" si="8"/>
        <v>-3.0768737274657898E-3</v>
      </c>
    </row>
    <row r="680" spans="1:7">
      <c r="A680" s="50">
        <v>235.73670000000001</v>
      </c>
      <c r="B680" s="50">
        <v>237.77600000000001</v>
      </c>
      <c r="C680" s="50">
        <v>233.86500000000001</v>
      </c>
      <c r="D680" s="50">
        <v>236.85</v>
      </c>
      <c r="E680" s="50">
        <v>5080585</v>
      </c>
      <c r="F680" s="50" t="s">
        <v>707</v>
      </c>
      <c r="G680" s="25">
        <f t="shared" si="8"/>
        <v>-4.7004433185560135E-3</v>
      </c>
    </row>
    <row r="681" spans="1:7">
      <c r="A681" s="50">
        <v>237.9238</v>
      </c>
      <c r="B681" s="50">
        <v>238.5838</v>
      </c>
      <c r="C681" s="50">
        <v>235.65790000000001</v>
      </c>
      <c r="D681" s="50">
        <v>235.6678</v>
      </c>
      <c r="E681" s="50">
        <v>5649780</v>
      </c>
      <c r="F681" s="50" t="s">
        <v>708</v>
      </c>
      <c r="G681" s="25">
        <f t="shared" si="8"/>
        <v>9.5727969625039044E-3</v>
      </c>
    </row>
    <row r="682" spans="1:7">
      <c r="A682" s="50">
        <v>235.44120000000001</v>
      </c>
      <c r="B682" s="50">
        <v>238.31780000000001</v>
      </c>
      <c r="C682" s="50">
        <v>234.3083</v>
      </c>
      <c r="D682" s="50">
        <v>234.4659</v>
      </c>
      <c r="E682" s="50">
        <v>5169670</v>
      </c>
      <c r="F682" s="50" t="s">
        <v>709</v>
      </c>
      <c r="G682" s="25">
        <f t="shared" si="8"/>
        <v>4.1596667148613431E-3</v>
      </c>
    </row>
    <row r="683" spans="1:7">
      <c r="A683" s="50">
        <v>235.21459999999999</v>
      </c>
      <c r="B683" s="50">
        <v>235.50030000000001</v>
      </c>
      <c r="C683" s="50">
        <v>231.7518</v>
      </c>
      <c r="D683" s="50">
        <v>232.4956</v>
      </c>
      <c r="E683" s="50">
        <v>5034095</v>
      </c>
      <c r="F683" s="50" t="s">
        <v>710</v>
      </c>
      <c r="G683" s="25">
        <f t="shared" si="8"/>
        <v>1.1694844977711449E-2</v>
      </c>
    </row>
    <row r="684" spans="1:7">
      <c r="A684" s="50">
        <v>234.0324</v>
      </c>
      <c r="B684" s="50">
        <v>235.24420000000001</v>
      </c>
      <c r="C684" s="50">
        <v>233.2739</v>
      </c>
      <c r="D684" s="50">
        <v>235.0865</v>
      </c>
      <c r="E684" s="50">
        <v>4868402</v>
      </c>
      <c r="F684" s="50" t="s">
        <v>711</v>
      </c>
      <c r="G684" s="25">
        <f t="shared" si="8"/>
        <v>-4.4838814649076353E-3</v>
      </c>
    </row>
    <row r="685" spans="1:7">
      <c r="A685" s="50">
        <v>236.21950000000001</v>
      </c>
      <c r="B685" s="50">
        <v>237.15539999999999</v>
      </c>
      <c r="C685" s="50">
        <v>233.48070000000001</v>
      </c>
      <c r="D685" s="50">
        <v>233.61869999999999</v>
      </c>
      <c r="E685" s="50">
        <v>4629291</v>
      </c>
      <c r="F685" s="50" t="s">
        <v>712</v>
      </c>
      <c r="G685" s="25">
        <f t="shared" si="8"/>
        <v>1.113267045831523E-2</v>
      </c>
    </row>
    <row r="686" spans="1:7">
      <c r="A686" s="50">
        <v>234.19990000000001</v>
      </c>
      <c r="B686" s="50">
        <v>234.87970000000001</v>
      </c>
      <c r="C686" s="50">
        <v>232.4956</v>
      </c>
      <c r="D686" s="50">
        <v>232.4956</v>
      </c>
      <c r="E686" s="50">
        <v>4799690</v>
      </c>
      <c r="F686" s="50" t="s">
        <v>713</v>
      </c>
      <c r="G686" s="25">
        <f t="shared" si="8"/>
        <v>7.3304613076550229E-3</v>
      </c>
    </row>
    <row r="687" spans="1:7">
      <c r="A687" s="50">
        <v>232.24930000000001</v>
      </c>
      <c r="B687" s="50">
        <v>232.37739999999999</v>
      </c>
      <c r="C687" s="50">
        <v>230.2396</v>
      </c>
      <c r="D687" s="50">
        <v>231.0967</v>
      </c>
      <c r="E687" s="50">
        <v>6795307</v>
      </c>
      <c r="F687" s="50" t="s">
        <v>714</v>
      </c>
      <c r="G687" s="25">
        <f t="shared" si="8"/>
        <v>4.9875225392661537E-3</v>
      </c>
    </row>
    <row r="688" spans="1:7">
      <c r="A688" s="50">
        <v>230.9588</v>
      </c>
      <c r="B688" s="50">
        <v>235.11609999999999</v>
      </c>
      <c r="C688" s="50">
        <v>229.50069999999999</v>
      </c>
      <c r="D688" s="50">
        <v>233.89449999999999</v>
      </c>
      <c r="E688" s="50">
        <v>8160062</v>
      </c>
      <c r="F688" s="50" t="s">
        <v>715</v>
      </c>
      <c r="G688" s="25">
        <f t="shared" si="8"/>
        <v>-1.2551385346812327E-2</v>
      </c>
    </row>
    <row r="689" spans="1:7">
      <c r="A689" s="50">
        <v>233.57929999999999</v>
      </c>
      <c r="B689" s="50">
        <v>235.30330000000001</v>
      </c>
      <c r="C689" s="50">
        <v>224.29910000000001</v>
      </c>
      <c r="D689" s="50">
        <v>227.9787</v>
      </c>
      <c r="E689" s="50">
        <v>7551396</v>
      </c>
      <c r="F689" s="50" t="s">
        <v>716</v>
      </c>
      <c r="G689" s="25">
        <f t="shared" si="8"/>
        <v>2.4566330100136424E-2</v>
      </c>
    </row>
    <row r="690" spans="1:7">
      <c r="A690" s="50">
        <v>235.1456</v>
      </c>
      <c r="B690" s="50">
        <v>237.2243</v>
      </c>
      <c r="C690" s="50">
        <v>235.01759999999999</v>
      </c>
      <c r="D690" s="50">
        <v>236.45590000000001</v>
      </c>
      <c r="E690" s="50">
        <v>4997534</v>
      </c>
      <c r="F690" s="50" t="s">
        <v>717</v>
      </c>
      <c r="G690" s="25">
        <f t="shared" si="8"/>
        <v>-5.5414138534923829E-3</v>
      </c>
    </row>
    <row r="691" spans="1:7">
      <c r="A691" s="50">
        <v>237.1652</v>
      </c>
      <c r="B691" s="50">
        <v>237.69229999999999</v>
      </c>
      <c r="C691" s="50">
        <v>234.65309999999999</v>
      </c>
      <c r="D691" s="50">
        <v>236.12090000000001</v>
      </c>
      <c r="E691" s="50">
        <v>6009950</v>
      </c>
      <c r="F691" s="50" t="s">
        <v>718</v>
      </c>
      <c r="G691" s="25">
        <f t="shared" si="8"/>
        <v>4.4227342856986152E-3</v>
      </c>
    </row>
    <row r="692" spans="1:7">
      <c r="A692" s="50">
        <v>235.69730000000001</v>
      </c>
      <c r="B692" s="50">
        <v>236.77610000000001</v>
      </c>
      <c r="C692" s="50">
        <v>235.18510000000001</v>
      </c>
      <c r="D692" s="50">
        <v>236.18010000000001</v>
      </c>
      <c r="E692" s="50">
        <v>5427353</v>
      </c>
      <c r="F692" s="50" t="s">
        <v>719</v>
      </c>
      <c r="G692" s="25">
        <f t="shared" si="8"/>
        <v>-2.0442027080181946E-3</v>
      </c>
    </row>
    <row r="693" spans="1:7">
      <c r="A693" s="50">
        <v>236.06180000000001</v>
      </c>
      <c r="B693" s="50">
        <v>238.0223</v>
      </c>
      <c r="C693" s="50">
        <v>235.52</v>
      </c>
      <c r="D693" s="50">
        <v>237.57900000000001</v>
      </c>
      <c r="E693" s="50">
        <v>4694950</v>
      </c>
      <c r="F693" s="50" t="s">
        <v>720</v>
      </c>
      <c r="G693" s="25">
        <f t="shared" si="8"/>
        <v>-6.3860863123423872E-3</v>
      </c>
    </row>
    <row r="694" spans="1:7">
      <c r="A694" s="50">
        <v>237.83510000000001</v>
      </c>
      <c r="B694" s="50">
        <v>238.98769999999999</v>
      </c>
      <c r="C694" s="50">
        <v>236.55439999999999</v>
      </c>
      <c r="D694" s="50">
        <v>237.66759999999999</v>
      </c>
      <c r="E694" s="50">
        <v>4835518</v>
      </c>
      <c r="F694" s="50" t="s">
        <v>721</v>
      </c>
      <c r="G694" s="25">
        <f t="shared" si="8"/>
        <v>7.0476581578660102E-4</v>
      </c>
    </row>
    <row r="695" spans="1:7">
      <c r="A695" s="50">
        <v>237.19479999999999</v>
      </c>
      <c r="B695" s="50">
        <v>239.56899999999999</v>
      </c>
      <c r="C695" s="50">
        <v>234.1506</v>
      </c>
      <c r="D695" s="50">
        <v>239.49019999999999</v>
      </c>
      <c r="E695" s="50">
        <v>7674704</v>
      </c>
      <c r="F695" s="50" t="s">
        <v>722</v>
      </c>
      <c r="G695" s="25">
        <f t="shared" si="8"/>
        <v>-9.5845257968801834E-3</v>
      </c>
    </row>
    <row r="696" spans="1:7">
      <c r="A696" s="50">
        <v>240.36689999999999</v>
      </c>
      <c r="B696" s="50">
        <v>241.72649999999999</v>
      </c>
      <c r="C696" s="50">
        <v>239.39160000000001</v>
      </c>
      <c r="D696" s="50">
        <v>239.5</v>
      </c>
      <c r="E696" s="50">
        <v>4328605</v>
      </c>
      <c r="F696" s="50" t="s">
        <v>723</v>
      </c>
      <c r="G696" s="25">
        <f t="shared" si="8"/>
        <v>3.6196242171189219E-3</v>
      </c>
    </row>
    <row r="697" spans="1:7">
      <c r="A697" s="50">
        <v>239.54929999999999</v>
      </c>
      <c r="B697" s="50">
        <v>241.10579999999999</v>
      </c>
      <c r="C697" s="50">
        <v>238.36709999999999</v>
      </c>
      <c r="D697" s="50">
        <v>241.096</v>
      </c>
      <c r="E697" s="50">
        <v>4941178</v>
      </c>
      <c r="F697" s="50" t="s">
        <v>724</v>
      </c>
      <c r="G697" s="25">
        <f t="shared" si="8"/>
        <v>-6.4152868566879073E-3</v>
      </c>
    </row>
    <row r="698" spans="1:7">
      <c r="A698" s="50">
        <v>239.697</v>
      </c>
      <c r="B698" s="50">
        <v>240.6379</v>
      </c>
      <c r="C698" s="50">
        <v>239.5394</v>
      </c>
      <c r="D698" s="50">
        <v>240.16990000000001</v>
      </c>
      <c r="E698" s="50">
        <v>5819609</v>
      </c>
      <c r="F698" s="50" t="s">
        <v>725</v>
      </c>
      <c r="G698" s="25">
        <f t="shared" si="8"/>
        <v>-1.9690227626359968E-3</v>
      </c>
    </row>
    <row r="699" spans="1:7">
      <c r="A699" s="50">
        <v>238.61340000000001</v>
      </c>
      <c r="B699" s="50">
        <v>240.32749999999999</v>
      </c>
      <c r="C699" s="50">
        <v>237.64789999999999</v>
      </c>
      <c r="D699" s="50">
        <v>237.9632</v>
      </c>
      <c r="E699" s="50">
        <v>6116018</v>
      </c>
      <c r="F699" s="50" t="s">
        <v>726</v>
      </c>
      <c r="G699" s="25">
        <f t="shared" si="8"/>
        <v>2.7323552549303187E-3</v>
      </c>
    </row>
    <row r="700" spans="1:7">
      <c r="A700" s="50">
        <v>236.97800000000001</v>
      </c>
      <c r="B700" s="50">
        <v>237.1258</v>
      </c>
      <c r="C700" s="50">
        <v>234.58410000000001</v>
      </c>
      <c r="D700" s="50">
        <v>235.26390000000001</v>
      </c>
      <c r="E700" s="50">
        <v>3857069</v>
      </c>
      <c r="F700" s="50" t="s">
        <v>727</v>
      </c>
      <c r="G700" s="25">
        <f t="shared" si="8"/>
        <v>7.2858606866585962E-3</v>
      </c>
    </row>
    <row r="701" spans="1:7">
      <c r="A701" s="50">
        <v>234.62350000000001</v>
      </c>
      <c r="B701" s="50">
        <v>235.5453</v>
      </c>
      <c r="C701" s="50">
        <v>232.98820000000001</v>
      </c>
      <c r="D701" s="50">
        <v>233.4906</v>
      </c>
      <c r="E701" s="50">
        <v>4858862</v>
      </c>
      <c r="F701" s="50" t="s">
        <v>728</v>
      </c>
      <c r="G701" s="25">
        <f t="shared" si="8"/>
        <v>4.8520154558684414E-3</v>
      </c>
    </row>
    <row r="702" spans="1:7">
      <c r="A702" s="50">
        <v>232.93889999999999</v>
      </c>
      <c r="B702" s="50">
        <v>234.89940000000001</v>
      </c>
      <c r="C702" s="50">
        <v>232.62370000000001</v>
      </c>
      <c r="D702" s="50">
        <v>233.2148</v>
      </c>
      <c r="E702" s="50">
        <v>5729515</v>
      </c>
      <c r="F702" s="50" t="s">
        <v>729</v>
      </c>
      <c r="G702" s="25">
        <f t="shared" si="8"/>
        <v>-1.183029550440251E-3</v>
      </c>
    </row>
    <row r="703" spans="1:7">
      <c r="A703" s="50">
        <v>235.33279999999999</v>
      </c>
      <c r="B703" s="50">
        <v>236.0421</v>
      </c>
      <c r="C703" s="50">
        <v>233.17529999999999</v>
      </c>
      <c r="D703" s="50">
        <v>234.7319</v>
      </c>
      <c r="E703" s="50">
        <v>6442089</v>
      </c>
      <c r="F703" s="50" t="s">
        <v>730</v>
      </c>
      <c r="G703" s="25">
        <f t="shared" si="8"/>
        <v>2.5599417889088372E-3</v>
      </c>
    </row>
    <row r="704" spans="1:7">
      <c r="A704" s="50">
        <v>235.89439999999999</v>
      </c>
      <c r="B704" s="50">
        <v>236.43620000000001</v>
      </c>
      <c r="C704" s="50">
        <v>230.5162</v>
      </c>
      <c r="D704" s="50">
        <v>230.92920000000001</v>
      </c>
      <c r="E704" s="50">
        <v>7601399</v>
      </c>
      <c r="F704" s="50" t="s">
        <v>731</v>
      </c>
      <c r="G704" s="25">
        <f t="shared" si="8"/>
        <v>2.1500962199669793E-2</v>
      </c>
    </row>
    <row r="705" spans="1:7">
      <c r="A705" s="50">
        <v>234.43629999999999</v>
      </c>
      <c r="B705" s="50">
        <v>234.86</v>
      </c>
      <c r="C705" s="50">
        <v>231.9144</v>
      </c>
      <c r="D705" s="50">
        <v>233.48070000000001</v>
      </c>
      <c r="E705" s="50">
        <v>3087351</v>
      </c>
      <c r="F705" s="50" t="s">
        <v>732</v>
      </c>
      <c r="G705" s="25">
        <f t="shared" si="8"/>
        <v>4.0928436483185227E-3</v>
      </c>
    </row>
    <row r="706" spans="1:7">
      <c r="A706" s="50">
        <v>233.95359999999999</v>
      </c>
      <c r="B706" s="50">
        <v>234.74170000000001</v>
      </c>
      <c r="C706" s="50">
        <v>232.44630000000001</v>
      </c>
      <c r="D706" s="50">
        <v>232.76159999999999</v>
      </c>
      <c r="E706" s="50">
        <v>6879444</v>
      </c>
      <c r="F706" s="50" t="s">
        <v>733</v>
      </c>
      <c r="G706" s="25">
        <f t="shared" si="8"/>
        <v>5.1211196348539545E-3</v>
      </c>
    </row>
    <row r="707" spans="1:7">
      <c r="A707" s="50">
        <v>230.84049999999999</v>
      </c>
      <c r="B707" s="50">
        <v>231.2149</v>
      </c>
      <c r="C707" s="50">
        <v>225.20650000000001</v>
      </c>
      <c r="D707" s="50">
        <v>225.39269999999999</v>
      </c>
      <c r="E707" s="50">
        <v>7118889</v>
      </c>
      <c r="F707" s="50" t="s">
        <v>734</v>
      </c>
      <c r="G707" s="25">
        <f t="shared" si="8"/>
        <v>2.4170259285238638E-2</v>
      </c>
    </row>
    <row r="708" spans="1:7">
      <c r="A708" s="50">
        <v>224.57499999999999</v>
      </c>
      <c r="B708" s="50">
        <v>224.67349999999999</v>
      </c>
      <c r="C708" s="50">
        <v>222.66380000000001</v>
      </c>
      <c r="D708" s="50">
        <v>224.12180000000001</v>
      </c>
      <c r="E708" s="50">
        <v>5324532</v>
      </c>
      <c r="F708" s="50" t="s">
        <v>735</v>
      </c>
      <c r="G708" s="25">
        <f t="shared" si="8"/>
        <v>2.022114760813043E-3</v>
      </c>
    </row>
    <row r="709" spans="1:7">
      <c r="A709" s="50">
        <v>223.96420000000001</v>
      </c>
      <c r="B709" s="50">
        <v>225.21530000000001</v>
      </c>
      <c r="C709" s="50">
        <v>223.15639999999999</v>
      </c>
      <c r="D709" s="50">
        <v>224.10210000000001</v>
      </c>
      <c r="E709" s="50">
        <v>4628474</v>
      </c>
      <c r="F709" s="50" t="s">
        <v>736</v>
      </c>
      <c r="G709" s="25">
        <f t="shared" si="8"/>
        <v>-6.1534452376843518E-4</v>
      </c>
    </row>
    <row r="710" spans="1:7">
      <c r="A710" s="50">
        <v>222.93960000000001</v>
      </c>
      <c r="B710" s="50">
        <v>226.6832</v>
      </c>
      <c r="C710" s="50">
        <v>222.84110000000001</v>
      </c>
      <c r="D710" s="50">
        <v>226.03299999999999</v>
      </c>
      <c r="E710" s="50">
        <v>5165372</v>
      </c>
      <c r="F710" s="50" t="s">
        <v>737</v>
      </c>
      <c r="G710" s="25">
        <f t="shared" si="8"/>
        <v>-1.3685612277853143E-2</v>
      </c>
    </row>
    <row r="711" spans="1:7">
      <c r="A711" s="50">
        <v>226.1414</v>
      </c>
      <c r="B711" s="50">
        <v>226.565</v>
      </c>
      <c r="C711" s="50">
        <v>223.0283</v>
      </c>
      <c r="D711" s="50">
        <v>223.846</v>
      </c>
      <c r="E711" s="50">
        <v>5424352</v>
      </c>
      <c r="F711" s="50" t="s">
        <v>738</v>
      </c>
      <c r="G711" s="25">
        <f t="shared" si="8"/>
        <v>1.0254371308846322E-2</v>
      </c>
    </row>
    <row r="712" spans="1:7">
      <c r="A712" s="50">
        <v>224.99860000000001</v>
      </c>
      <c r="B712" s="50">
        <v>225.53059999999999</v>
      </c>
      <c r="C712" s="50">
        <v>222.1515</v>
      </c>
      <c r="D712" s="50">
        <v>222.99870000000001</v>
      </c>
      <c r="E712" s="50">
        <v>6275806</v>
      </c>
      <c r="F712" s="50" t="s">
        <v>739</v>
      </c>
      <c r="G712" s="25">
        <f t="shared" si="8"/>
        <v>8.96821371604406E-3</v>
      </c>
    </row>
    <row r="713" spans="1:7">
      <c r="A713" s="50">
        <v>223.87549999999999</v>
      </c>
      <c r="B713" s="50">
        <v>225.23500000000001</v>
      </c>
      <c r="C713" s="50">
        <v>221.63919999999999</v>
      </c>
      <c r="D713" s="50">
        <v>222.76230000000001</v>
      </c>
      <c r="E713" s="50">
        <v>7032143</v>
      </c>
      <c r="F713" s="50" t="s">
        <v>740</v>
      </c>
      <c r="G713" s="25">
        <f t="shared" si="8"/>
        <v>4.9972549215013817E-3</v>
      </c>
    </row>
    <row r="714" spans="1:7">
      <c r="A714" s="50">
        <v>223.1071</v>
      </c>
      <c r="B714" s="50">
        <v>226.15860000000001</v>
      </c>
      <c r="C714" s="50">
        <v>222.82140000000001</v>
      </c>
      <c r="D714" s="50">
        <v>223.6292</v>
      </c>
      <c r="E714" s="50">
        <v>12312629</v>
      </c>
      <c r="F714" s="50" t="s">
        <v>741</v>
      </c>
      <c r="G714" s="25">
        <f t="shared" si="8"/>
        <v>-2.3346682812440678E-3</v>
      </c>
    </row>
    <row r="715" spans="1:7">
      <c r="A715" s="50">
        <v>225.51089999999999</v>
      </c>
      <c r="B715" s="50">
        <v>226.38720000000001</v>
      </c>
      <c r="C715" s="50">
        <v>222.72290000000001</v>
      </c>
      <c r="D715" s="50">
        <v>223.0874</v>
      </c>
      <c r="E715" s="50">
        <v>13628902</v>
      </c>
      <c r="F715" s="50" t="s">
        <v>742</v>
      </c>
      <c r="G715" s="25">
        <f t="shared" si="8"/>
        <v>1.086345530944377E-2</v>
      </c>
    </row>
    <row r="716" spans="1:7">
      <c r="A716" s="50">
        <v>222.8116</v>
      </c>
      <c r="B716" s="50">
        <v>223.73759999999999</v>
      </c>
      <c r="C716" s="50">
        <v>218.08279999999999</v>
      </c>
      <c r="D716" s="50">
        <v>218.72319999999999</v>
      </c>
      <c r="E716" s="50">
        <v>12533970</v>
      </c>
      <c r="F716" s="50" t="s">
        <v>743</v>
      </c>
      <c r="G716" s="25">
        <f t="shared" si="8"/>
        <v>1.869211862299025E-2</v>
      </c>
    </row>
    <row r="717" spans="1:7">
      <c r="A717" s="50">
        <v>220.12209999999999</v>
      </c>
      <c r="B717" s="50">
        <v>222.12200000000001</v>
      </c>
      <c r="C717" s="50">
        <v>219.2749</v>
      </c>
      <c r="D717" s="50">
        <v>220.41759999999999</v>
      </c>
      <c r="E717" s="50">
        <v>9160723</v>
      </c>
      <c r="F717" s="50" t="s">
        <v>744</v>
      </c>
      <c r="G717" s="25">
        <f t="shared" si="8"/>
        <v>-1.3406370453176164E-3</v>
      </c>
    </row>
    <row r="718" spans="1:7">
      <c r="A718" s="50">
        <v>220.08269999999999</v>
      </c>
      <c r="B718" s="50">
        <v>223.77699999999999</v>
      </c>
      <c r="C718" s="50">
        <v>219.32409999999999</v>
      </c>
      <c r="D718" s="50">
        <v>222.2697</v>
      </c>
      <c r="E718" s="50">
        <v>6868741</v>
      </c>
      <c r="F718" s="50" t="s">
        <v>745</v>
      </c>
      <c r="G718" s="25">
        <f t="shared" si="8"/>
        <v>-9.8393978126574133E-3</v>
      </c>
    </row>
    <row r="719" spans="1:7">
      <c r="A719" s="50">
        <v>222.8116</v>
      </c>
      <c r="B719" s="50">
        <v>223.0874</v>
      </c>
      <c r="C719" s="50">
        <v>220.30930000000001</v>
      </c>
      <c r="D719" s="50">
        <v>221.07769999999999</v>
      </c>
      <c r="E719" s="50">
        <v>8621521</v>
      </c>
      <c r="F719" s="50" t="s">
        <v>746</v>
      </c>
      <c r="G719" s="25">
        <f t="shared" si="8"/>
        <v>7.8429439061471484E-3</v>
      </c>
    </row>
    <row r="720" spans="1:7">
      <c r="A720" s="50">
        <v>220.24029999999999</v>
      </c>
      <c r="B720" s="50">
        <v>221.83629999999999</v>
      </c>
      <c r="C720" s="50">
        <v>219.4522</v>
      </c>
      <c r="D720" s="50">
        <v>220.31909999999999</v>
      </c>
      <c r="E720" s="50">
        <v>6385287</v>
      </c>
      <c r="F720" s="50" t="s">
        <v>747</v>
      </c>
      <c r="G720" s="25">
        <f t="shared" si="8"/>
        <v>-3.5766304419360129E-4</v>
      </c>
    </row>
    <row r="721" spans="1:7">
      <c r="A721" s="50">
        <v>219.7379</v>
      </c>
      <c r="B721" s="50">
        <v>221.7919</v>
      </c>
      <c r="C721" s="50">
        <v>219.10740000000001</v>
      </c>
      <c r="D721" s="50">
        <v>221.74760000000001</v>
      </c>
      <c r="E721" s="50">
        <v>6250073</v>
      </c>
      <c r="F721" s="50" t="s">
        <v>748</v>
      </c>
      <c r="G721" s="25">
        <f t="shared" si="8"/>
        <v>-9.063006769859161E-3</v>
      </c>
    </row>
    <row r="722" spans="1:7">
      <c r="A722" s="50">
        <v>221.92490000000001</v>
      </c>
      <c r="B722" s="50">
        <v>224.1711</v>
      </c>
      <c r="C722" s="50">
        <v>217.738</v>
      </c>
      <c r="D722" s="50">
        <v>223.6292</v>
      </c>
      <c r="E722" s="50">
        <v>8517188</v>
      </c>
      <c r="F722" s="50" t="s">
        <v>749</v>
      </c>
      <c r="G722" s="25">
        <f t="shared" si="8"/>
        <v>-7.6210977815061032E-3</v>
      </c>
    </row>
    <row r="723" spans="1:7">
      <c r="A723" s="50">
        <v>224.83109999999999</v>
      </c>
      <c r="B723" s="50">
        <v>225.8458</v>
      </c>
      <c r="C723" s="50">
        <v>222.80170000000001</v>
      </c>
      <c r="D723" s="50">
        <v>223.32380000000001</v>
      </c>
      <c r="E723" s="50">
        <v>6020168</v>
      </c>
      <c r="F723" s="50" t="s">
        <v>750</v>
      </c>
      <c r="G723" s="25">
        <f t="shared" si="8"/>
        <v>6.7493925860118154E-3</v>
      </c>
    </row>
    <row r="724" spans="1:7">
      <c r="A724" s="50">
        <v>223.40260000000001</v>
      </c>
      <c r="B724" s="50">
        <v>224.93950000000001</v>
      </c>
      <c r="C724" s="50">
        <v>221.96430000000001</v>
      </c>
      <c r="D724" s="50">
        <v>224.5257</v>
      </c>
      <c r="E724" s="50">
        <v>4858949</v>
      </c>
      <c r="F724" s="50" t="s">
        <v>751</v>
      </c>
      <c r="G724" s="25">
        <f t="shared" ref="G724:G787" si="9">A724/D724-1</f>
        <v>-5.0020999823182644E-3</v>
      </c>
    </row>
    <row r="725" spans="1:7">
      <c r="A725" s="50">
        <v>225.39269999999999</v>
      </c>
      <c r="B725" s="50">
        <v>226.85069999999999</v>
      </c>
      <c r="C725" s="50">
        <v>224.04300000000001</v>
      </c>
      <c r="D725" s="50">
        <v>225.41239999999999</v>
      </c>
      <c r="E725" s="50">
        <v>5897069</v>
      </c>
      <c r="F725" s="50" t="s">
        <v>752</v>
      </c>
      <c r="G725" s="25">
        <f t="shared" si="9"/>
        <v>-8.7395369553711078E-5</v>
      </c>
    </row>
    <row r="726" spans="1:7">
      <c r="A726" s="50">
        <v>223.13669999999999</v>
      </c>
      <c r="B726" s="50">
        <v>223.34350000000001</v>
      </c>
      <c r="C726" s="50">
        <v>219.12219999999999</v>
      </c>
      <c r="D726" s="50">
        <v>219.42259999999999</v>
      </c>
      <c r="E726" s="50">
        <v>7003563</v>
      </c>
      <c r="F726" s="50" t="s">
        <v>753</v>
      </c>
      <c r="G726" s="25">
        <f t="shared" si="9"/>
        <v>1.6926697614557451E-2</v>
      </c>
    </row>
    <row r="727" spans="1:7">
      <c r="A727" s="50">
        <v>217.74789999999999</v>
      </c>
      <c r="B727" s="50">
        <v>218.2405</v>
      </c>
      <c r="C727" s="50">
        <v>212.93049999999999</v>
      </c>
      <c r="D727" s="50">
        <v>216.69380000000001</v>
      </c>
      <c r="E727" s="50">
        <v>20460616</v>
      </c>
      <c r="F727" s="50" t="s">
        <v>754</v>
      </c>
      <c r="G727" s="25">
        <f t="shared" si="9"/>
        <v>4.8644677420395244E-3</v>
      </c>
    </row>
    <row r="728" spans="1:7">
      <c r="A728" s="50">
        <v>218.34880000000001</v>
      </c>
      <c r="B728" s="50">
        <v>222.12200000000001</v>
      </c>
      <c r="C728" s="50">
        <v>216.48689999999999</v>
      </c>
      <c r="D728" s="50">
        <v>221.6688</v>
      </c>
      <c r="E728" s="50">
        <v>6916013</v>
      </c>
      <c r="F728" s="50" t="s">
        <v>755</v>
      </c>
      <c r="G728" s="25">
        <f t="shared" si="9"/>
        <v>-1.4977299466591543E-2</v>
      </c>
    </row>
    <row r="729" spans="1:7">
      <c r="A729" s="50">
        <v>221.6688</v>
      </c>
      <c r="B729" s="50">
        <v>222.851</v>
      </c>
      <c r="C729" s="50">
        <v>220.02359999999999</v>
      </c>
      <c r="D729" s="50">
        <v>220.4965</v>
      </c>
      <c r="E729" s="50">
        <v>5067460</v>
      </c>
      <c r="F729" s="50" t="s">
        <v>756</v>
      </c>
      <c r="G729" s="25">
        <f t="shared" si="9"/>
        <v>5.3166376790561021E-3</v>
      </c>
    </row>
    <row r="730" spans="1:7">
      <c r="A730" s="50">
        <v>220.06299999999999</v>
      </c>
      <c r="B730" s="50">
        <v>221.3535</v>
      </c>
      <c r="C730" s="50">
        <v>217.2159</v>
      </c>
      <c r="D730" s="50">
        <v>219.14680000000001</v>
      </c>
      <c r="E730" s="50">
        <v>6827756</v>
      </c>
      <c r="F730" s="50" t="s">
        <v>757</v>
      </c>
      <c r="G730" s="25">
        <f t="shared" si="9"/>
        <v>4.1807591988565207E-3</v>
      </c>
    </row>
    <row r="731" spans="1:7">
      <c r="A731" s="50">
        <v>218.94980000000001</v>
      </c>
      <c r="B731" s="50">
        <v>219.78710000000001</v>
      </c>
      <c r="C731" s="50">
        <v>216.7627</v>
      </c>
      <c r="D731" s="50">
        <v>219.24529999999999</v>
      </c>
      <c r="E731" s="50">
        <v>6730750</v>
      </c>
      <c r="F731" s="50" t="s">
        <v>758</v>
      </c>
      <c r="G731" s="25">
        <f t="shared" si="9"/>
        <v>-1.3478054033539966E-3</v>
      </c>
    </row>
    <row r="732" spans="1:7">
      <c r="A732" s="50">
        <v>221.24520000000001</v>
      </c>
      <c r="B732" s="50">
        <v>226.0823</v>
      </c>
      <c r="C732" s="50">
        <v>220.33879999999999</v>
      </c>
      <c r="D732" s="50">
        <v>225.8655</v>
      </c>
      <c r="E732" s="50">
        <v>8537241</v>
      </c>
      <c r="F732" s="50" t="s">
        <v>759</v>
      </c>
      <c r="G732" s="25">
        <f t="shared" si="9"/>
        <v>-2.0455979332832941E-2</v>
      </c>
    </row>
    <row r="733" spans="1:7">
      <c r="A733" s="50">
        <v>227.84569999999999</v>
      </c>
      <c r="B733" s="50">
        <v>230.3972</v>
      </c>
      <c r="C733" s="50">
        <v>227.7422</v>
      </c>
      <c r="D733" s="50">
        <v>229.84549999999999</v>
      </c>
      <c r="E733" s="50">
        <v>3987775</v>
      </c>
      <c r="F733" s="50" t="s">
        <v>760</v>
      </c>
      <c r="G733" s="25">
        <f t="shared" si="9"/>
        <v>-8.7006271604186391E-3</v>
      </c>
    </row>
    <row r="734" spans="1:7">
      <c r="A734" s="50">
        <v>229.84549999999999</v>
      </c>
      <c r="B734" s="50">
        <v>230.86019999999999</v>
      </c>
      <c r="C734" s="50">
        <v>228.49590000000001</v>
      </c>
      <c r="D734" s="50">
        <v>230.52529999999999</v>
      </c>
      <c r="E734" s="50">
        <v>5399403</v>
      </c>
      <c r="F734" s="50" t="s">
        <v>761</v>
      </c>
      <c r="G734" s="25">
        <f t="shared" si="9"/>
        <v>-2.948917103675841E-3</v>
      </c>
    </row>
    <row r="735" spans="1:7">
      <c r="A735" s="50">
        <v>230.13120000000001</v>
      </c>
      <c r="B735" s="50">
        <v>230.6721</v>
      </c>
      <c r="C735" s="50">
        <v>227.6979</v>
      </c>
      <c r="D735" s="50">
        <v>228.94900000000001</v>
      </c>
      <c r="E735" s="50">
        <v>6621870</v>
      </c>
      <c r="F735" s="50" t="s">
        <v>762</v>
      </c>
      <c r="G735" s="25">
        <f t="shared" si="9"/>
        <v>5.1635953858719663E-3</v>
      </c>
    </row>
    <row r="736" spans="1:7">
      <c r="A736" s="50">
        <v>229.1953</v>
      </c>
      <c r="B736" s="50">
        <v>230.4161</v>
      </c>
      <c r="C736" s="50">
        <v>227.12649999999999</v>
      </c>
      <c r="D736" s="50">
        <v>229.2741</v>
      </c>
      <c r="E736" s="50">
        <v>4990276</v>
      </c>
      <c r="F736" s="50" t="s">
        <v>763</v>
      </c>
      <c r="G736" s="25">
        <f t="shared" si="9"/>
        <v>-3.4369342197837494E-4</v>
      </c>
    </row>
    <row r="737" spans="1:7">
      <c r="A737" s="50">
        <v>227.04769999999999</v>
      </c>
      <c r="B737" s="50">
        <v>229.63749999999999</v>
      </c>
      <c r="C737" s="50">
        <v>226.22020000000001</v>
      </c>
      <c r="D737" s="50">
        <v>229.10669999999999</v>
      </c>
      <c r="E737" s="50">
        <v>4289809</v>
      </c>
      <c r="F737" s="50" t="s">
        <v>764</v>
      </c>
      <c r="G737" s="25">
        <f t="shared" si="9"/>
        <v>-8.987078946185334E-3</v>
      </c>
    </row>
    <row r="738" spans="1:7">
      <c r="A738" s="50">
        <v>229.35300000000001</v>
      </c>
      <c r="B738" s="50">
        <v>229.37270000000001</v>
      </c>
      <c r="C738" s="50">
        <v>227.12649999999999</v>
      </c>
      <c r="D738" s="50">
        <v>227.75700000000001</v>
      </c>
      <c r="E738" s="50">
        <v>2843284</v>
      </c>
      <c r="F738" s="50" t="s">
        <v>765</v>
      </c>
      <c r="G738" s="25">
        <f t="shared" si="9"/>
        <v>7.0074684861496372E-3</v>
      </c>
    </row>
    <row r="739" spans="1:7">
      <c r="A739" s="50">
        <v>227.9442</v>
      </c>
      <c r="B739" s="50">
        <v>229.2741</v>
      </c>
      <c r="C739" s="50">
        <v>226.4074</v>
      </c>
      <c r="D739" s="50">
        <v>228.55500000000001</v>
      </c>
      <c r="E739" s="50">
        <v>3432730</v>
      </c>
      <c r="F739" s="50" t="s">
        <v>766</v>
      </c>
      <c r="G739" s="25">
        <f t="shared" si="9"/>
        <v>-2.6724420817746397E-3</v>
      </c>
    </row>
    <row r="740" spans="1:7">
      <c r="A740" s="50">
        <v>227.5797</v>
      </c>
      <c r="B740" s="50">
        <v>228.0821</v>
      </c>
      <c r="C740" s="50">
        <v>224.88040000000001</v>
      </c>
      <c r="D740" s="50">
        <v>227.3235</v>
      </c>
      <c r="E740" s="50">
        <v>3818035</v>
      </c>
      <c r="F740" s="50" t="s">
        <v>767</v>
      </c>
      <c r="G740" s="25">
        <f t="shared" si="9"/>
        <v>1.1270282218953653E-3</v>
      </c>
    </row>
    <row r="741" spans="1:7">
      <c r="A741" s="50">
        <v>227.39250000000001</v>
      </c>
      <c r="B741" s="50">
        <v>230.8732</v>
      </c>
      <c r="C741" s="50">
        <v>225.06219999999999</v>
      </c>
      <c r="D741" s="50">
        <v>230.3717</v>
      </c>
      <c r="E741" s="50">
        <v>5245220</v>
      </c>
      <c r="F741" s="50" t="s">
        <v>768</v>
      </c>
      <c r="G741" s="25">
        <f t="shared" si="9"/>
        <v>-1.2932144009007995E-2</v>
      </c>
    </row>
    <row r="742" spans="1:7">
      <c r="A742" s="50">
        <v>229.34909999999999</v>
      </c>
      <c r="B742" s="50">
        <v>230.1652</v>
      </c>
      <c r="C742" s="50">
        <v>226.95099999999999</v>
      </c>
      <c r="D742" s="50">
        <v>227.20570000000001</v>
      </c>
      <c r="E742" s="50">
        <v>4352067</v>
      </c>
      <c r="F742" s="50" t="s">
        <v>769</v>
      </c>
      <c r="G742" s="25">
        <f t="shared" si="9"/>
        <v>9.4337421992494175E-3</v>
      </c>
    </row>
    <row r="743" spans="1:7">
      <c r="A743" s="50">
        <v>228.3364</v>
      </c>
      <c r="B743" s="50">
        <v>229.536</v>
      </c>
      <c r="C743" s="50">
        <v>227.37280000000001</v>
      </c>
      <c r="D743" s="50">
        <v>227.37280000000001</v>
      </c>
      <c r="E743" s="50">
        <v>2938546</v>
      </c>
      <c r="F743" s="50" t="s">
        <v>770</v>
      </c>
      <c r="G743" s="25">
        <f t="shared" si="9"/>
        <v>4.2379739353166634E-3</v>
      </c>
    </row>
    <row r="744" spans="1:7">
      <c r="A744" s="50">
        <v>227.89400000000001</v>
      </c>
      <c r="B744" s="50">
        <v>228.44460000000001</v>
      </c>
      <c r="C744" s="50">
        <v>223.47919999999999</v>
      </c>
      <c r="D744" s="50">
        <v>224.51159999999999</v>
      </c>
      <c r="E744" s="50">
        <v>6237483</v>
      </c>
      <c r="F744" s="50" t="s">
        <v>771</v>
      </c>
      <c r="G744" s="25">
        <f t="shared" si="9"/>
        <v>1.5065591265662981E-2</v>
      </c>
    </row>
    <row r="745" spans="1:7">
      <c r="A745" s="50">
        <v>221.8176</v>
      </c>
      <c r="B745" s="50">
        <v>222.26490000000001</v>
      </c>
      <c r="C745" s="50">
        <v>219.73310000000001</v>
      </c>
      <c r="D745" s="50">
        <v>221.0703</v>
      </c>
      <c r="E745" s="50">
        <v>5648862</v>
      </c>
      <c r="F745" s="50" t="s">
        <v>772</v>
      </c>
      <c r="G745" s="25">
        <f t="shared" si="9"/>
        <v>3.3803726687844371E-3</v>
      </c>
    </row>
    <row r="746" spans="1:7">
      <c r="A746" s="50">
        <v>222.19120000000001</v>
      </c>
      <c r="B746" s="50">
        <v>224.83609999999999</v>
      </c>
      <c r="C746" s="50">
        <v>222.13220000000001</v>
      </c>
      <c r="D746" s="50">
        <v>223.17439999999999</v>
      </c>
      <c r="E746" s="50">
        <v>4093320</v>
      </c>
      <c r="F746" s="50" t="s">
        <v>773</v>
      </c>
      <c r="G746" s="25">
        <f t="shared" si="9"/>
        <v>-4.4055232141320122E-3</v>
      </c>
    </row>
    <row r="747" spans="1:7">
      <c r="A747" s="50">
        <v>223.17439999999999</v>
      </c>
      <c r="B747" s="50">
        <v>228.47409999999999</v>
      </c>
      <c r="C747" s="50">
        <v>222.41730000000001</v>
      </c>
      <c r="D747" s="50">
        <v>228.06110000000001</v>
      </c>
      <c r="E747" s="50">
        <v>5244016</v>
      </c>
      <c r="F747" s="50" t="s">
        <v>774</v>
      </c>
      <c r="G747" s="25">
        <f t="shared" si="9"/>
        <v>-2.142715263585071E-2</v>
      </c>
    </row>
    <row r="748" spans="1:7">
      <c r="A748" s="50">
        <v>228.61170000000001</v>
      </c>
      <c r="B748" s="50">
        <v>230.6568</v>
      </c>
      <c r="C748" s="50">
        <v>227.6285</v>
      </c>
      <c r="D748" s="50">
        <v>228.9657</v>
      </c>
      <c r="E748" s="50">
        <v>4571070</v>
      </c>
      <c r="F748" s="50" t="s">
        <v>775</v>
      </c>
      <c r="G748" s="25">
        <f t="shared" si="9"/>
        <v>-1.546083103276974E-3</v>
      </c>
    </row>
    <row r="749" spans="1:7">
      <c r="A749" s="50">
        <v>228.828</v>
      </c>
      <c r="B749" s="50">
        <v>229.6566</v>
      </c>
      <c r="C749" s="50">
        <v>224.2363</v>
      </c>
      <c r="D749" s="50">
        <v>224.81639999999999</v>
      </c>
      <c r="E749" s="50">
        <v>11627877</v>
      </c>
      <c r="F749" s="50" t="s">
        <v>776</v>
      </c>
      <c r="G749" s="25">
        <f t="shared" si="9"/>
        <v>1.7843893950797218E-2</v>
      </c>
    </row>
    <row r="750" spans="1:7">
      <c r="A750" s="50">
        <v>225.1704</v>
      </c>
      <c r="B750" s="50">
        <v>225.78</v>
      </c>
      <c r="C750" s="50">
        <v>222.81059999999999</v>
      </c>
      <c r="D750" s="50">
        <v>224.83609999999999</v>
      </c>
      <c r="E750" s="50">
        <v>7128188</v>
      </c>
      <c r="F750" s="50" t="s">
        <v>777</v>
      </c>
      <c r="G750" s="25">
        <f t="shared" si="9"/>
        <v>1.4868608733207278E-3</v>
      </c>
    </row>
    <row r="751" spans="1:7">
      <c r="A751" s="50">
        <v>224.32480000000001</v>
      </c>
      <c r="B751" s="50">
        <v>228.8674</v>
      </c>
      <c r="C751" s="50">
        <v>222.9188</v>
      </c>
      <c r="D751" s="50">
        <v>227.3433</v>
      </c>
      <c r="E751" s="50">
        <v>8400370</v>
      </c>
      <c r="F751" s="50" t="s">
        <v>778</v>
      </c>
      <c r="G751" s="25">
        <f t="shared" si="9"/>
        <v>-1.3277277139902455E-2</v>
      </c>
    </row>
    <row r="752" spans="1:7">
      <c r="A752" s="50">
        <v>225.7407</v>
      </c>
      <c r="B752" s="50">
        <v>231.0796</v>
      </c>
      <c r="C752" s="50">
        <v>225.57839999999999</v>
      </c>
      <c r="D752" s="50">
        <v>229.11320000000001</v>
      </c>
      <c r="E752" s="50">
        <v>6076450</v>
      </c>
      <c r="F752" s="50" t="s">
        <v>779</v>
      </c>
      <c r="G752" s="25">
        <f t="shared" si="9"/>
        <v>-1.4719797899029885E-2</v>
      </c>
    </row>
    <row r="753" spans="1:7">
      <c r="A753" s="50">
        <v>228.85749999999999</v>
      </c>
      <c r="B753" s="50">
        <v>231.20750000000001</v>
      </c>
      <c r="C753" s="50">
        <v>227.6285</v>
      </c>
      <c r="D753" s="50">
        <v>230.30289999999999</v>
      </c>
      <c r="E753" s="50">
        <v>9124050</v>
      </c>
      <c r="F753" s="50" t="s">
        <v>780</v>
      </c>
      <c r="G753" s="25">
        <f t="shared" si="9"/>
        <v>-6.2760824983099095E-3</v>
      </c>
    </row>
    <row r="754" spans="1:7">
      <c r="A754" s="50">
        <v>230.1259</v>
      </c>
      <c r="B754" s="50">
        <v>231.61840000000001</v>
      </c>
      <c r="C754" s="50">
        <v>229.46709999999999</v>
      </c>
      <c r="D754" s="50">
        <v>231.06</v>
      </c>
      <c r="E754" s="50">
        <v>6771589</v>
      </c>
      <c r="F754" s="50" t="s">
        <v>781</v>
      </c>
      <c r="G754" s="25">
        <f t="shared" si="9"/>
        <v>-4.0426728988142147E-3</v>
      </c>
    </row>
    <row r="755" spans="1:7">
      <c r="A755" s="50">
        <v>230.66669999999999</v>
      </c>
      <c r="B755" s="50">
        <v>230.7355</v>
      </c>
      <c r="C755" s="50">
        <v>227.61869999999999</v>
      </c>
      <c r="D755" s="50">
        <v>228.5626</v>
      </c>
      <c r="E755" s="50">
        <v>4925659</v>
      </c>
      <c r="F755" s="50" t="s">
        <v>782</v>
      </c>
      <c r="G755" s="25">
        <f t="shared" si="9"/>
        <v>9.2057930737574623E-3</v>
      </c>
    </row>
    <row r="756" spans="1:7">
      <c r="A756" s="50">
        <v>228.67070000000001</v>
      </c>
      <c r="B756" s="50">
        <v>230.13570000000001</v>
      </c>
      <c r="C756" s="50">
        <v>227.96279999999999</v>
      </c>
      <c r="D756" s="50">
        <v>230.07669999999999</v>
      </c>
      <c r="E756" s="50">
        <v>3833933</v>
      </c>
      <c r="F756" s="50" t="s">
        <v>783</v>
      </c>
      <c r="G756" s="25">
        <f t="shared" si="9"/>
        <v>-6.1110055907441785E-3</v>
      </c>
    </row>
    <row r="757" spans="1:7">
      <c r="A757" s="50">
        <v>229.68340000000001</v>
      </c>
      <c r="B757" s="50">
        <v>230.40119999999999</v>
      </c>
      <c r="C757" s="50">
        <v>227.80549999999999</v>
      </c>
      <c r="D757" s="50">
        <v>229.83090000000001</v>
      </c>
      <c r="E757" s="50">
        <v>4796178</v>
      </c>
      <c r="F757" s="50" t="s">
        <v>784</v>
      </c>
      <c r="G757" s="25">
        <f t="shared" si="9"/>
        <v>-6.4177619284444543E-4</v>
      </c>
    </row>
    <row r="758" spans="1:7">
      <c r="A758" s="50">
        <v>229.56549999999999</v>
      </c>
      <c r="B758" s="50">
        <v>230.1259</v>
      </c>
      <c r="C758" s="50">
        <v>227.06800000000001</v>
      </c>
      <c r="D758" s="50">
        <v>230.09639999999999</v>
      </c>
      <c r="E758" s="50">
        <v>4865041</v>
      </c>
      <c r="F758" s="50" t="s">
        <v>785</v>
      </c>
      <c r="G758" s="25">
        <f t="shared" si="9"/>
        <v>-2.3072938125063835E-3</v>
      </c>
    </row>
    <row r="759" spans="1:7">
      <c r="A759" s="50">
        <v>230.09639999999999</v>
      </c>
      <c r="B759" s="50">
        <v>231.05009999999999</v>
      </c>
      <c r="C759" s="50">
        <v>228.34620000000001</v>
      </c>
      <c r="D759" s="50">
        <v>229.08369999999999</v>
      </c>
      <c r="E759" s="50">
        <v>9781266</v>
      </c>
      <c r="F759" s="50" t="s">
        <v>786</v>
      </c>
      <c r="G759" s="25">
        <f t="shared" si="9"/>
        <v>4.4206549833096798E-3</v>
      </c>
    </row>
    <row r="760" spans="1:7">
      <c r="A760" s="50">
        <v>228.78870000000001</v>
      </c>
      <c r="B760" s="50">
        <v>228.93620000000001</v>
      </c>
      <c r="C760" s="50">
        <v>224.9639</v>
      </c>
      <c r="D760" s="50">
        <v>225.6129</v>
      </c>
      <c r="E760" s="50">
        <v>7615523</v>
      </c>
      <c r="F760" s="50" t="s">
        <v>787</v>
      </c>
      <c r="G760" s="25">
        <f t="shared" si="9"/>
        <v>1.4076322763459048E-2</v>
      </c>
    </row>
    <row r="761" spans="1:7">
      <c r="A761" s="50">
        <v>223.9905</v>
      </c>
      <c r="B761" s="50">
        <v>227.7071</v>
      </c>
      <c r="C761" s="50">
        <v>223.51859999999999</v>
      </c>
      <c r="D761" s="50">
        <v>226.07499999999999</v>
      </c>
      <c r="E761" s="50">
        <v>4373002</v>
      </c>
      <c r="F761" s="50" t="s">
        <v>788</v>
      </c>
      <c r="G761" s="25">
        <f t="shared" si="9"/>
        <v>-9.2203914630100137E-3</v>
      </c>
    </row>
    <row r="762" spans="1:7">
      <c r="A762" s="50">
        <v>224.6198</v>
      </c>
      <c r="B762" s="50">
        <v>225.29329999999999</v>
      </c>
      <c r="C762" s="50">
        <v>222.4075</v>
      </c>
      <c r="D762" s="50">
        <v>223.19409999999999</v>
      </c>
      <c r="E762" s="50">
        <v>4513395</v>
      </c>
      <c r="F762" s="50" t="s">
        <v>789</v>
      </c>
      <c r="G762" s="25">
        <f t="shared" si="9"/>
        <v>6.3877136537211499E-3</v>
      </c>
    </row>
    <row r="763" spans="1:7">
      <c r="A763" s="50">
        <v>222.6337</v>
      </c>
      <c r="B763" s="50">
        <v>222.68279999999999</v>
      </c>
      <c r="C763" s="50">
        <v>220.559</v>
      </c>
      <c r="D763" s="50">
        <v>221.7782</v>
      </c>
      <c r="E763" s="50">
        <v>4952351</v>
      </c>
      <c r="F763" s="50" t="s">
        <v>790</v>
      </c>
      <c r="G763" s="25">
        <f t="shared" si="9"/>
        <v>3.8574575860026439E-3</v>
      </c>
    </row>
    <row r="764" spans="1:7">
      <c r="A764" s="50">
        <v>222.20099999999999</v>
      </c>
      <c r="B764" s="50">
        <v>222.92859999999999</v>
      </c>
      <c r="C764" s="50">
        <v>220.91300000000001</v>
      </c>
      <c r="D764" s="50">
        <v>222.3682</v>
      </c>
      <c r="E764" s="50">
        <v>4285206</v>
      </c>
      <c r="F764" s="50" t="s">
        <v>791</v>
      </c>
      <c r="G764" s="25">
        <f t="shared" si="9"/>
        <v>-7.5190607290076539E-4</v>
      </c>
    </row>
    <row r="765" spans="1:7">
      <c r="A765" s="50">
        <v>224.34450000000001</v>
      </c>
      <c r="B765" s="50">
        <v>224.6395</v>
      </c>
      <c r="C765" s="50">
        <v>222.7516</v>
      </c>
      <c r="D765" s="50">
        <v>222.9778</v>
      </c>
      <c r="E765" s="50">
        <v>4813750</v>
      </c>
      <c r="F765" s="50" t="s">
        <v>792</v>
      </c>
      <c r="G765" s="25">
        <f t="shared" si="9"/>
        <v>6.1293097339736313E-3</v>
      </c>
    </row>
    <row r="766" spans="1:7">
      <c r="A766" s="50">
        <v>223.84299999999999</v>
      </c>
      <c r="B766" s="50">
        <v>226.19300000000001</v>
      </c>
      <c r="C766" s="50">
        <v>223.02699999999999</v>
      </c>
      <c r="D766" s="50">
        <v>225.16059999999999</v>
      </c>
      <c r="E766" s="50">
        <v>5254725</v>
      </c>
      <c r="F766" s="50" t="s">
        <v>793</v>
      </c>
      <c r="G766" s="25">
        <f t="shared" si="9"/>
        <v>-5.8518230987126829E-3</v>
      </c>
    </row>
    <row r="767" spans="1:7">
      <c r="A767" s="50">
        <v>225.16059999999999</v>
      </c>
      <c r="B767" s="50">
        <v>225.31790000000001</v>
      </c>
      <c r="C767" s="50">
        <v>220.36240000000001</v>
      </c>
      <c r="D767" s="50">
        <v>221.4538</v>
      </c>
      <c r="E767" s="50">
        <v>6421512</v>
      </c>
      <c r="F767" s="50" t="s">
        <v>794</v>
      </c>
      <c r="G767" s="25">
        <f t="shared" si="9"/>
        <v>1.6738479989957256E-2</v>
      </c>
    </row>
    <row r="768" spans="1:7">
      <c r="A768" s="50">
        <v>221.6799</v>
      </c>
      <c r="B768" s="50">
        <v>222.05350000000001</v>
      </c>
      <c r="C768" s="50">
        <v>219.5463</v>
      </c>
      <c r="D768" s="50">
        <v>219.8511</v>
      </c>
      <c r="E768" s="50">
        <v>9508978</v>
      </c>
      <c r="F768" s="50" t="s">
        <v>795</v>
      </c>
      <c r="G768" s="25">
        <f t="shared" si="9"/>
        <v>8.3183572881828649E-3</v>
      </c>
    </row>
    <row r="769" spans="1:7">
      <c r="A769" s="50">
        <v>218.6319</v>
      </c>
      <c r="B769" s="50">
        <v>220.47550000000001</v>
      </c>
      <c r="C769" s="50">
        <v>217.50120000000001</v>
      </c>
      <c r="D769" s="50">
        <v>220.16569999999999</v>
      </c>
      <c r="E769" s="50">
        <v>5383945</v>
      </c>
      <c r="F769" s="50" t="s">
        <v>796</v>
      </c>
      <c r="G769" s="25">
        <f t="shared" si="9"/>
        <v>-6.9665710871401609E-3</v>
      </c>
    </row>
    <row r="770" spans="1:7">
      <c r="A770" s="50">
        <v>219.55609999999999</v>
      </c>
      <c r="B770" s="50">
        <v>219.80189999999999</v>
      </c>
      <c r="C770" s="50">
        <v>217.21600000000001</v>
      </c>
      <c r="D770" s="50">
        <v>218.56309999999999</v>
      </c>
      <c r="E770" s="50">
        <v>4482956</v>
      </c>
      <c r="F770" s="50" t="s">
        <v>797</v>
      </c>
      <c r="G770" s="25">
        <f t="shared" si="9"/>
        <v>4.5433103758136806E-3</v>
      </c>
    </row>
    <row r="771" spans="1:7">
      <c r="A771" s="50">
        <v>216.63589999999999</v>
      </c>
      <c r="B771" s="50">
        <v>219.5856</v>
      </c>
      <c r="C771" s="50">
        <v>214.98410000000001</v>
      </c>
      <c r="D771" s="50">
        <v>219.08420000000001</v>
      </c>
      <c r="E771" s="50">
        <v>6418581</v>
      </c>
      <c r="F771" s="50" t="s">
        <v>798</v>
      </c>
      <c r="G771" s="25">
        <f t="shared" si="9"/>
        <v>-1.1175155488163946E-2</v>
      </c>
    </row>
    <row r="772" spans="1:7">
      <c r="A772" s="50">
        <v>218.09110000000001</v>
      </c>
      <c r="B772" s="50">
        <v>220.32310000000001</v>
      </c>
      <c r="C772" s="50">
        <v>217.6782</v>
      </c>
      <c r="D772" s="50">
        <v>218.858</v>
      </c>
      <c r="E772" s="50">
        <v>7211050</v>
      </c>
      <c r="F772" s="50" t="s">
        <v>799</v>
      </c>
      <c r="G772" s="25">
        <f t="shared" si="9"/>
        <v>-3.5040985479168896E-3</v>
      </c>
    </row>
    <row r="773" spans="1:7">
      <c r="A773" s="50">
        <v>217.334</v>
      </c>
      <c r="B773" s="50">
        <v>217.61920000000001</v>
      </c>
      <c r="C773" s="50">
        <v>214.5908</v>
      </c>
      <c r="D773" s="50">
        <v>216.97020000000001</v>
      </c>
      <c r="E773" s="50">
        <v>4792394</v>
      </c>
      <c r="F773" s="50" t="s">
        <v>800</v>
      </c>
      <c r="G773" s="25">
        <f t="shared" si="9"/>
        <v>1.6767279561893389E-3</v>
      </c>
    </row>
    <row r="774" spans="1:7">
      <c r="A774" s="50">
        <v>218.858</v>
      </c>
      <c r="B774" s="50">
        <v>221.4734</v>
      </c>
      <c r="C774" s="50">
        <v>216.56710000000001</v>
      </c>
      <c r="D774" s="50">
        <v>216.7441</v>
      </c>
      <c r="E774" s="50">
        <v>6427712</v>
      </c>
      <c r="F774" s="50" t="s">
        <v>801</v>
      </c>
      <c r="G774" s="25">
        <f t="shared" si="9"/>
        <v>9.7529759748939959E-3</v>
      </c>
    </row>
    <row r="775" spans="1:7">
      <c r="A775" s="50">
        <v>216.35079999999999</v>
      </c>
      <c r="B775" s="50">
        <v>221.1293</v>
      </c>
      <c r="C775" s="50">
        <v>216.2328</v>
      </c>
      <c r="D775" s="50">
        <v>218.76949999999999</v>
      </c>
      <c r="E775" s="50">
        <v>6700556</v>
      </c>
      <c r="F775" s="50" t="s">
        <v>802</v>
      </c>
      <c r="G775" s="25">
        <f t="shared" si="9"/>
        <v>-1.1055928728639031E-2</v>
      </c>
    </row>
    <row r="776" spans="1:7">
      <c r="A776" s="50">
        <v>218.22880000000001</v>
      </c>
      <c r="B776" s="50">
        <v>218.77449999999999</v>
      </c>
      <c r="C776" s="50">
        <v>215.0136</v>
      </c>
      <c r="D776" s="50">
        <v>217.62899999999999</v>
      </c>
      <c r="E776" s="50">
        <v>8971367</v>
      </c>
      <c r="F776" s="50" t="s">
        <v>803</v>
      </c>
      <c r="G776" s="25">
        <f t="shared" si="9"/>
        <v>2.7560665168704368E-3</v>
      </c>
    </row>
    <row r="777" spans="1:7">
      <c r="A777" s="50">
        <v>214.49250000000001</v>
      </c>
      <c r="B777" s="50">
        <v>216.84729999999999</v>
      </c>
      <c r="C777" s="50">
        <v>213.20439999999999</v>
      </c>
      <c r="D777" s="50">
        <v>213.36179999999999</v>
      </c>
      <c r="E777" s="50">
        <v>9817486</v>
      </c>
      <c r="F777" s="50" t="s">
        <v>804</v>
      </c>
      <c r="G777" s="25">
        <f t="shared" si="9"/>
        <v>5.2994491047602121E-3</v>
      </c>
    </row>
    <row r="778" spans="1:7">
      <c r="A778" s="50">
        <v>213.74520000000001</v>
      </c>
      <c r="B778" s="50">
        <v>214.9939</v>
      </c>
      <c r="C778" s="50">
        <v>211.26750000000001</v>
      </c>
      <c r="D778" s="50">
        <v>211.26750000000001</v>
      </c>
      <c r="E778" s="50">
        <v>18801184</v>
      </c>
      <c r="F778" s="50" t="s">
        <v>805</v>
      </c>
      <c r="G778" s="25">
        <f t="shared" si="9"/>
        <v>1.1727785863892892E-2</v>
      </c>
    </row>
    <row r="779" spans="1:7">
      <c r="A779" s="50">
        <v>213.80420000000001</v>
      </c>
      <c r="B779" s="50">
        <v>213.93199999999999</v>
      </c>
      <c r="C779" s="50">
        <v>205.25989999999999</v>
      </c>
      <c r="D779" s="50">
        <v>211.5624</v>
      </c>
      <c r="E779" s="50">
        <v>13677052</v>
      </c>
      <c r="F779" s="50" t="s">
        <v>806</v>
      </c>
      <c r="G779" s="25">
        <f t="shared" si="9"/>
        <v>1.0596400872744827E-2</v>
      </c>
    </row>
    <row r="780" spans="1:7">
      <c r="A780" s="50">
        <v>212.7423</v>
      </c>
      <c r="B780" s="50">
        <v>213.27330000000001</v>
      </c>
      <c r="C780" s="50">
        <v>210.08760000000001</v>
      </c>
      <c r="D780" s="50">
        <v>210.8152</v>
      </c>
      <c r="E780" s="50">
        <v>8372233</v>
      </c>
      <c r="F780" s="50" t="s">
        <v>807</v>
      </c>
      <c r="G780" s="25">
        <f t="shared" si="9"/>
        <v>9.1411814707857975E-3</v>
      </c>
    </row>
    <row r="781" spans="1:7">
      <c r="A781" s="50">
        <v>214.9939</v>
      </c>
      <c r="B781" s="50">
        <v>216.18360000000001</v>
      </c>
      <c r="C781" s="50">
        <v>212.4179</v>
      </c>
      <c r="D781" s="50">
        <v>214.345</v>
      </c>
      <c r="E781" s="50">
        <v>7985583</v>
      </c>
      <c r="F781" s="50" t="s">
        <v>808</v>
      </c>
      <c r="G781" s="25">
        <f t="shared" si="9"/>
        <v>3.0273624297276758E-3</v>
      </c>
    </row>
    <row r="782" spans="1:7">
      <c r="A782" s="50">
        <v>210.8742</v>
      </c>
      <c r="B782" s="50">
        <v>214.19749999999999</v>
      </c>
      <c r="C782" s="50">
        <v>208.93719999999999</v>
      </c>
      <c r="D782" s="50">
        <v>211.03149999999999</v>
      </c>
      <c r="E782" s="50">
        <v>6810947</v>
      </c>
      <c r="F782" s="50" t="s">
        <v>809</v>
      </c>
      <c r="G782" s="25">
        <f t="shared" si="9"/>
        <v>-7.4538635227439087E-4</v>
      </c>
    </row>
    <row r="783" spans="1:7">
      <c r="A783" s="50">
        <v>212.5162</v>
      </c>
      <c r="B783" s="50">
        <v>215.4462</v>
      </c>
      <c r="C783" s="50">
        <v>211.8672</v>
      </c>
      <c r="D783" s="50">
        <v>215.35769999999999</v>
      </c>
      <c r="E783" s="50">
        <v>6639144</v>
      </c>
      <c r="F783" s="50" t="s">
        <v>810</v>
      </c>
      <c r="G783" s="25">
        <f t="shared" si="9"/>
        <v>-1.319432739112647E-2</v>
      </c>
    </row>
    <row r="784" spans="1:7">
      <c r="A784" s="50">
        <v>216.32130000000001</v>
      </c>
      <c r="B784" s="50">
        <v>220.60820000000001</v>
      </c>
      <c r="C784" s="50">
        <v>215.97720000000001</v>
      </c>
      <c r="D784" s="50">
        <v>217.68799999999999</v>
      </c>
      <c r="E784" s="50">
        <v>5066656</v>
      </c>
      <c r="F784" s="50" t="s">
        <v>811</v>
      </c>
      <c r="G784" s="25">
        <f t="shared" si="9"/>
        <v>-6.2782514424313263E-3</v>
      </c>
    </row>
    <row r="785" spans="1:7">
      <c r="A785" s="50">
        <v>218.46469999999999</v>
      </c>
      <c r="B785" s="50">
        <v>219.19229999999999</v>
      </c>
      <c r="C785" s="50">
        <v>217.4717</v>
      </c>
      <c r="D785" s="50">
        <v>218.23859999999999</v>
      </c>
      <c r="E785" s="50">
        <v>4195134</v>
      </c>
      <c r="F785" s="50" t="s">
        <v>812</v>
      </c>
      <c r="G785" s="25">
        <f t="shared" si="9"/>
        <v>1.0360220419303179E-3</v>
      </c>
    </row>
    <row r="786" spans="1:7">
      <c r="A786" s="50">
        <v>219.42830000000001</v>
      </c>
      <c r="B786" s="50">
        <v>223.5677</v>
      </c>
      <c r="C786" s="50">
        <v>219.3398</v>
      </c>
      <c r="D786" s="50">
        <v>222.94829999999999</v>
      </c>
      <c r="E786" s="50">
        <v>4386798</v>
      </c>
      <c r="F786" s="50" t="s">
        <v>813</v>
      </c>
      <c r="G786" s="25">
        <f t="shared" si="9"/>
        <v>-1.5788413726410933E-2</v>
      </c>
    </row>
    <row r="787" spans="1:7">
      <c r="A787" s="50">
        <v>222.94829999999999</v>
      </c>
      <c r="B787" s="50">
        <v>223.60210000000001</v>
      </c>
      <c r="C787" s="50">
        <v>219.93960000000001</v>
      </c>
      <c r="D787" s="50">
        <v>220.1756</v>
      </c>
      <c r="E787" s="50">
        <v>5737589</v>
      </c>
      <c r="F787" s="50" t="s">
        <v>814</v>
      </c>
      <c r="G787" s="25">
        <f t="shared" si="9"/>
        <v>1.2593130210613701E-2</v>
      </c>
    </row>
    <row r="788" spans="1:7">
      <c r="A788" s="50">
        <v>220.01830000000001</v>
      </c>
      <c r="B788" s="50">
        <v>220.25909999999999</v>
      </c>
      <c r="C788" s="50">
        <v>216.2131</v>
      </c>
      <c r="D788" s="50">
        <v>216.50810000000001</v>
      </c>
      <c r="E788" s="50">
        <v>6055410</v>
      </c>
      <c r="F788" s="50" t="s">
        <v>815</v>
      </c>
      <c r="G788" s="25">
        <f t="shared" ref="G788:G851" si="10">A788/D788-1</f>
        <v>1.6212788343715534E-2</v>
      </c>
    </row>
    <row r="789" spans="1:7">
      <c r="A789" s="50">
        <v>215.38720000000001</v>
      </c>
      <c r="B789" s="50">
        <v>215.91820000000001</v>
      </c>
      <c r="C789" s="50">
        <v>213.4503</v>
      </c>
      <c r="D789" s="50">
        <v>214.23679999999999</v>
      </c>
      <c r="E789" s="50">
        <v>5539467</v>
      </c>
      <c r="F789" s="50" t="s">
        <v>816</v>
      </c>
      <c r="G789" s="25">
        <f t="shared" si="10"/>
        <v>5.36975907033721E-3</v>
      </c>
    </row>
    <row r="790" spans="1:7">
      <c r="A790" s="50">
        <v>214.69900000000001</v>
      </c>
      <c r="B790" s="50">
        <v>216.57689999999999</v>
      </c>
      <c r="C790" s="50">
        <v>212.8013</v>
      </c>
      <c r="D790" s="50">
        <v>215.78049999999999</v>
      </c>
      <c r="E790" s="50">
        <v>4792656</v>
      </c>
      <c r="F790" s="50" t="s">
        <v>817</v>
      </c>
      <c r="G790" s="25">
        <f t="shared" si="10"/>
        <v>-5.0120376957137891E-3</v>
      </c>
    </row>
    <row r="791" spans="1:7">
      <c r="A791" s="50">
        <v>216.2525</v>
      </c>
      <c r="B791" s="50">
        <v>218.0548</v>
      </c>
      <c r="C791" s="50">
        <v>215.81979999999999</v>
      </c>
      <c r="D791" s="50">
        <v>216.3115</v>
      </c>
      <c r="E791" s="50">
        <v>5385356</v>
      </c>
      <c r="F791" s="50" t="s">
        <v>818</v>
      </c>
      <c r="G791" s="25">
        <f t="shared" si="10"/>
        <v>-2.7275480036892397E-4</v>
      </c>
    </row>
    <row r="792" spans="1:7">
      <c r="A792" s="50">
        <v>216.65559999999999</v>
      </c>
      <c r="B792" s="50">
        <v>217.72730000000001</v>
      </c>
      <c r="C792" s="50">
        <v>215.6635</v>
      </c>
      <c r="D792" s="50">
        <v>217.0292</v>
      </c>
      <c r="E792" s="50">
        <v>4255459</v>
      </c>
      <c r="F792" s="50" t="s">
        <v>819</v>
      </c>
      <c r="G792" s="25">
        <f t="shared" si="10"/>
        <v>-1.7214273471035657E-3</v>
      </c>
    </row>
    <row r="793" spans="1:7">
      <c r="A793" s="50">
        <v>215.869</v>
      </c>
      <c r="B793" s="50">
        <v>216.54740000000001</v>
      </c>
      <c r="C793" s="50">
        <v>213.81399999999999</v>
      </c>
      <c r="D793" s="50">
        <v>214.8169</v>
      </c>
      <c r="E793" s="50">
        <v>4414363</v>
      </c>
      <c r="F793" s="50" t="s">
        <v>820</v>
      </c>
      <c r="G793" s="25">
        <f t="shared" si="10"/>
        <v>4.8976593554790337E-3</v>
      </c>
    </row>
    <row r="794" spans="1:7">
      <c r="A794" s="50">
        <v>217.42250000000001</v>
      </c>
      <c r="B794" s="50">
        <v>218.3664</v>
      </c>
      <c r="C794" s="50">
        <v>215.2595</v>
      </c>
      <c r="D794" s="50">
        <v>217.84530000000001</v>
      </c>
      <c r="E794" s="50">
        <v>5533847</v>
      </c>
      <c r="F794" s="50" t="s">
        <v>821</v>
      </c>
      <c r="G794" s="25">
        <f t="shared" si="10"/>
        <v>-1.9408268160937547E-3</v>
      </c>
    </row>
    <row r="795" spans="1:7">
      <c r="A795" s="50">
        <v>216.33109999999999</v>
      </c>
      <c r="B795" s="50">
        <v>218.03210000000001</v>
      </c>
      <c r="C795" s="50">
        <v>215.77070000000001</v>
      </c>
      <c r="D795" s="50">
        <v>216.71459999999999</v>
      </c>
      <c r="E795" s="50">
        <v>4621995</v>
      </c>
      <c r="F795" s="50" t="s">
        <v>822</v>
      </c>
      <c r="G795" s="25">
        <f t="shared" si="10"/>
        <v>-1.7696085081484458E-3</v>
      </c>
    </row>
    <row r="796" spans="1:7">
      <c r="A796" s="50">
        <v>216.9211</v>
      </c>
      <c r="B796" s="50">
        <v>218.7106</v>
      </c>
      <c r="C796" s="50">
        <v>216.30160000000001</v>
      </c>
      <c r="D796" s="50">
        <v>216.46879999999999</v>
      </c>
      <c r="E796" s="50">
        <v>7276091</v>
      </c>
      <c r="F796" s="50" t="s">
        <v>823</v>
      </c>
      <c r="G796" s="25">
        <f t="shared" si="10"/>
        <v>2.0894466084719898E-3</v>
      </c>
    </row>
    <row r="797" spans="1:7">
      <c r="A797" s="50">
        <v>219.81180000000001</v>
      </c>
      <c r="B797" s="50">
        <v>221.0034</v>
      </c>
      <c r="C797" s="50">
        <v>218.0223</v>
      </c>
      <c r="D797" s="50">
        <v>220.42140000000001</v>
      </c>
      <c r="E797" s="50">
        <v>4520303</v>
      </c>
      <c r="F797" s="50" t="s">
        <v>824</v>
      </c>
      <c r="G797" s="25">
        <f t="shared" si="10"/>
        <v>-2.7656116874313907E-3</v>
      </c>
    </row>
    <row r="798" spans="1:7">
      <c r="A798" s="50">
        <v>222.0437</v>
      </c>
      <c r="B798" s="50">
        <v>224.53129999999999</v>
      </c>
      <c r="C798" s="50">
        <v>221.88640000000001</v>
      </c>
      <c r="D798" s="50">
        <v>222.27969999999999</v>
      </c>
      <c r="E798" s="50">
        <v>3865852</v>
      </c>
      <c r="F798" s="50" t="s">
        <v>825</v>
      </c>
      <c r="G798" s="25">
        <f t="shared" si="10"/>
        <v>-1.0617253847291508E-3</v>
      </c>
    </row>
    <row r="799" spans="1:7">
      <c r="A799" s="50">
        <v>225.08189999999999</v>
      </c>
      <c r="B799" s="50">
        <v>225.2294</v>
      </c>
      <c r="C799" s="50">
        <v>222.9975</v>
      </c>
      <c r="D799" s="50">
        <v>223.77420000000001</v>
      </c>
      <c r="E799" s="50">
        <v>4407545</v>
      </c>
      <c r="F799" s="50" t="s">
        <v>826</v>
      </c>
      <c r="G799" s="25">
        <f t="shared" si="10"/>
        <v>5.8438372252027637E-3</v>
      </c>
    </row>
    <row r="800" spans="1:7">
      <c r="A800" s="50">
        <v>225.54400000000001</v>
      </c>
      <c r="B800" s="50">
        <v>227.54</v>
      </c>
      <c r="C800" s="50">
        <v>223.3613</v>
      </c>
      <c r="D800" s="50">
        <v>224.83609999999999</v>
      </c>
      <c r="E800" s="50">
        <v>4829396</v>
      </c>
      <c r="F800" s="50" t="s">
        <v>827</v>
      </c>
      <c r="G800" s="25">
        <f t="shared" si="10"/>
        <v>3.1485157410220399E-3</v>
      </c>
    </row>
    <row r="801" spans="1:7">
      <c r="A801" s="50">
        <v>225.04259999999999</v>
      </c>
      <c r="B801" s="50">
        <v>225.97669999999999</v>
      </c>
      <c r="C801" s="50">
        <v>222.47630000000001</v>
      </c>
      <c r="D801" s="50">
        <v>223.0761</v>
      </c>
      <c r="E801" s="50">
        <v>4946705</v>
      </c>
      <c r="F801" s="50" t="s">
        <v>828</v>
      </c>
      <c r="G801" s="25">
        <f t="shared" si="10"/>
        <v>8.8153773532888557E-3</v>
      </c>
    </row>
    <row r="802" spans="1:7">
      <c r="A802" s="50">
        <v>223.39070000000001</v>
      </c>
      <c r="B802" s="50">
        <v>226.05529999999999</v>
      </c>
      <c r="C802" s="50">
        <v>222.3682</v>
      </c>
      <c r="D802" s="50">
        <v>225.12119999999999</v>
      </c>
      <c r="E802" s="50">
        <v>4509889</v>
      </c>
      <c r="F802" s="50" t="s">
        <v>829</v>
      </c>
      <c r="G802" s="25">
        <f t="shared" si="10"/>
        <v>-7.6869703963908798E-3</v>
      </c>
    </row>
    <row r="803" spans="1:7">
      <c r="A803" s="50">
        <v>225.50470000000001</v>
      </c>
      <c r="B803" s="50">
        <v>228.57730000000001</v>
      </c>
      <c r="C803" s="50">
        <v>225.2835</v>
      </c>
      <c r="D803" s="50">
        <v>228.51339999999999</v>
      </c>
      <c r="E803" s="50">
        <v>5238412</v>
      </c>
      <c r="F803" s="50" t="s">
        <v>830</v>
      </c>
      <c r="G803" s="25">
        <f t="shared" si="10"/>
        <v>-1.3166405121100011E-2</v>
      </c>
    </row>
    <row r="804" spans="1:7">
      <c r="A804" s="50">
        <v>225.898</v>
      </c>
      <c r="B804" s="50">
        <v>227.52699999999999</v>
      </c>
      <c r="C804" s="50">
        <v>225.6919</v>
      </c>
      <c r="D804" s="50">
        <v>226.03540000000001</v>
      </c>
      <c r="E804" s="50">
        <v>4978585</v>
      </c>
      <c r="F804" s="50" t="s">
        <v>831</v>
      </c>
      <c r="G804" s="25">
        <f t="shared" si="10"/>
        <v>-6.0786938683066172E-4</v>
      </c>
    </row>
    <row r="805" spans="1:7">
      <c r="A805" s="50">
        <v>226.99709999999999</v>
      </c>
      <c r="B805" s="50">
        <v>227.7919</v>
      </c>
      <c r="C805" s="50">
        <v>223.69</v>
      </c>
      <c r="D805" s="50">
        <v>223.7587</v>
      </c>
      <c r="E805" s="50">
        <v>4042815</v>
      </c>
      <c r="F805" s="50" t="s">
        <v>832</v>
      </c>
      <c r="G805" s="25">
        <f t="shared" si="10"/>
        <v>1.4472733350703093E-2</v>
      </c>
    </row>
    <row r="806" spans="1:7">
      <c r="A806" s="50">
        <v>225.15219999999999</v>
      </c>
      <c r="B806" s="50">
        <v>225.95689999999999</v>
      </c>
      <c r="C806" s="50">
        <v>223.77350000000001</v>
      </c>
      <c r="D806" s="50">
        <v>224.42599999999999</v>
      </c>
      <c r="E806" s="50">
        <v>3402356</v>
      </c>
      <c r="F806" s="50" t="s">
        <v>833</v>
      </c>
      <c r="G806" s="25">
        <f t="shared" si="10"/>
        <v>3.2358104675929145E-3</v>
      </c>
    </row>
    <row r="807" spans="1:7">
      <c r="A807" s="50">
        <v>225.82929999999999</v>
      </c>
      <c r="B807" s="50">
        <v>226.54570000000001</v>
      </c>
      <c r="C807" s="50">
        <v>223.38579999999999</v>
      </c>
      <c r="D807" s="50">
        <v>224.4162</v>
      </c>
      <c r="E807" s="50">
        <v>5243645</v>
      </c>
      <c r="F807" s="50" t="s">
        <v>834</v>
      </c>
      <c r="G807" s="25">
        <f t="shared" si="10"/>
        <v>6.296782496094222E-3</v>
      </c>
    </row>
    <row r="808" spans="1:7">
      <c r="A808" s="50">
        <v>225.27</v>
      </c>
      <c r="B808" s="50">
        <v>229.92140000000001</v>
      </c>
      <c r="C808" s="50">
        <v>224.10220000000001</v>
      </c>
      <c r="D808" s="50">
        <v>229.58770000000001</v>
      </c>
      <c r="E808" s="50">
        <v>7189990</v>
      </c>
      <c r="F808" s="50" t="s">
        <v>835</v>
      </c>
      <c r="G808" s="25">
        <f t="shared" si="10"/>
        <v>-1.8806321070336085E-2</v>
      </c>
    </row>
    <row r="809" spans="1:7">
      <c r="A809" s="50">
        <v>226.5849</v>
      </c>
      <c r="B809" s="50">
        <v>228.31200000000001</v>
      </c>
      <c r="C809" s="50">
        <v>223.5428</v>
      </c>
      <c r="D809" s="50">
        <v>225.08349999999999</v>
      </c>
      <c r="E809" s="50">
        <v>5792650</v>
      </c>
      <c r="F809" s="50" t="s">
        <v>836</v>
      </c>
      <c r="G809" s="25">
        <f t="shared" si="10"/>
        <v>6.6704134243515956E-3</v>
      </c>
    </row>
    <row r="810" spans="1:7">
      <c r="A810" s="50">
        <v>225.90780000000001</v>
      </c>
      <c r="B810" s="50">
        <v>226.48679999999999</v>
      </c>
      <c r="C810" s="50">
        <v>224.17580000000001</v>
      </c>
      <c r="D810" s="50">
        <v>224.53399999999999</v>
      </c>
      <c r="E810" s="50">
        <v>11294209</v>
      </c>
      <c r="F810" s="50" t="s">
        <v>837</v>
      </c>
      <c r="G810" s="25">
        <f t="shared" si="10"/>
        <v>6.1184497670732085E-3</v>
      </c>
    </row>
    <row r="811" spans="1:7">
      <c r="A811" s="50">
        <v>224.8186</v>
      </c>
      <c r="B811" s="50">
        <v>226.1139</v>
      </c>
      <c r="C811" s="50">
        <v>223.6704</v>
      </c>
      <c r="D811" s="50">
        <v>225.898</v>
      </c>
      <c r="E811" s="50">
        <v>5677404</v>
      </c>
      <c r="F811" s="50" t="s">
        <v>838</v>
      </c>
      <c r="G811" s="25">
        <f t="shared" si="10"/>
        <v>-4.7782627557569901E-3</v>
      </c>
    </row>
    <row r="812" spans="1:7">
      <c r="A812" s="50">
        <v>227.1148</v>
      </c>
      <c r="B812" s="50">
        <v>228.48869999999999</v>
      </c>
      <c r="C812" s="50">
        <v>223.00309999999999</v>
      </c>
      <c r="D812" s="50">
        <v>223.73910000000001</v>
      </c>
      <c r="E812" s="50">
        <v>11382643</v>
      </c>
      <c r="F812" s="50" t="s">
        <v>839</v>
      </c>
      <c r="G812" s="25">
        <f t="shared" si="10"/>
        <v>1.5087662371038313E-2</v>
      </c>
    </row>
    <row r="813" spans="1:7">
      <c r="A813" s="50">
        <v>220.51060000000001</v>
      </c>
      <c r="B813" s="50">
        <v>222.83629999999999</v>
      </c>
      <c r="C813" s="50">
        <v>219.49</v>
      </c>
      <c r="D813" s="50">
        <v>221.7765</v>
      </c>
      <c r="E813" s="50">
        <v>7043444</v>
      </c>
      <c r="F813" s="50" t="s">
        <v>840</v>
      </c>
      <c r="G813" s="25">
        <f t="shared" si="10"/>
        <v>-5.7079988186303776E-3</v>
      </c>
    </row>
    <row r="814" spans="1:7">
      <c r="A814" s="50">
        <v>220.697</v>
      </c>
      <c r="B814" s="50">
        <v>220.76570000000001</v>
      </c>
      <c r="C814" s="50">
        <v>217.0367</v>
      </c>
      <c r="D814" s="50">
        <v>217.47829999999999</v>
      </c>
      <c r="E814" s="50">
        <v>4729630</v>
      </c>
      <c r="F814" s="50" t="s">
        <v>841</v>
      </c>
      <c r="G814" s="25">
        <f t="shared" si="10"/>
        <v>1.4800097297063664E-2</v>
      </c>
    </row>
    <row r="815" spans="1:7">
      <c r="A815" s="50">
        <v>219.70590000000001</v>
      </c>
      <c r="B815" s="50">
        <v>245.89709999999999</v>
      </c>
      <c r="C815" s="50">
        <v>212.58160000000001</v>
      </c>
      <c r="D815" s="50">
        <v>217.87090000000001</v>
      </c>
      <c r="E815" s="50">
        <v>5274934</v>
      </c>
      <c r="F815" s="50" t="s">
        <v>842</v>
      </c>
      <c r="G815" s="25">
        <f t="shared" si="10"/>
        <v>8.4224189646253667E-3</v>
      </c>
    </row>
    <row r="816" spans="1:7">
      <c r="A816" s="50">
        <v>219.9905</v>
      </c>
      <c r="B816" s="50">
        <v>221.9727</v>
      </c>
      <c r="C816" s="50">
        <v>218.98349999999999</v>
      </c>
      <c r="D816" s="50">
        <v>220.40260000000001</v>
      </c>
      <c r="E816" s="50">
        <v>5501462</v>
      </c>
      <c r="F816" s="50" t="s">
        <v>843</v>
      </c>
      <c r="G816" s="25">
        <f t="shared" si="10"/>
        <v>-1.8697601570943911E-3</v>
      </c>
    </row>
    <row r="817" spans="1:7">
      <c r="A817" s="50">
        <v>220.1181</v>
      </c>
      <c r="B817" s="50">
        <v>220.23580000000001</v>
      </c>
      <c r="C817" s="50">
        <v>216.291</v>
      </c>
      <c r="D817" s="50">
        <v>217.00729999999999</v>
      </c>
      <c r="E817" s="50">
        <v>5210962</v>
      </c>
      <c r="F817" s="50" t="s">
        <v>844</v>
      </c>
      <c r="G817" s="25">
        <f t="shared" si="10"/>
        <v>1.4335001633585698E-2</v>
      </c>
    </row>
    <row r="818" spans="1:7">
      <c r="A818" s="50">
        <v>216.291</v>
      </c>
      <c r="B818" s="50">
        <v>217.3802</v>
      </c>
      <c r="C818" s="50">
        <v>213.43530000000001</v>
      </c>
      <c r="D818" s="50">
        <v>214.0241</v>
      </c>
      <c r="E818" s="50">
        <v>4853085</v>
      </c>
      <c r="F818" s="50" t="s">
        <v>845</v>
      </c>
      <c r="G818" s="25">
        <f t="shared" si="10"/>
        <v>1.0591797839589079E-2</v>
      </c>
    </row>
    <row r="819" spans="1:7">
      <c r="A819" s="50">
        <v>215.3587</v>
      </c>
      <c r="B819" s="50">
        <v>220.78540000000001</v>
      </c>
      <c r="C819" s="50">
        <v>215.3391</v>
      </c>
      <c r="D819" s="50">
        <v>219.89240000000001</v>
      </c>
      <c r="E819" s="50">
        <v>6558014</v>
      </c>
      <c r="F819" s="50" t="s">
        <v>846</v>
      </c>
      <c r="G819" s="25">
        <f t="shared" si="10"/>
        <v>-2.0617811256778307E-2</v>
      </c>
    </row>
    <row r="820" spans="1:7">
      <c r="A820" s="50">
        <v>218.83250000000001</v>
      </c>
      <c r="B820" s="50">
        <v>220.2064</v>
      </c>
      <c r="C820" s="50">
        <v>218.21430000000001</v>
      </c>
      <c r="D820" s="50">
        <v>218.22409999999999</v>
      </c>
      <c r="E820" s="50">
        <v>6101118</v>
      </c>
      <c r="F820" s="50" t="s">
        <v>847</v>
      </c>
      <c r="G820" s="25">
        <f t="shared" si="10"/>
        <v>2.7879597166400316E-3</v>
      </c>
    </row>
    <row r="821" spans="1:7">
      <c r="A821" s="50">
        <v>218.8914</v>
      </c>
      <c r="B821" s="50">
        <v>219.57339999999999</v>
      </c>
      <c r="C821" s="50">
        <v>216.02600000000001</v>
      </c>
      <c r="D821" s="50">
        <v>217.7629</v>
      </c>
      <c r="E821" s="50">
        <v>4283182</v>
      </c>
      <c r="F821" s="50" t="s">
        <v>848</v>
      </c>
      <c r="G821" s="25">
        <f t="shared" si="10"/>
        <v>5.1822417868241377E-3</v>
      </c>
    </row>
    <row r="822" spans="1:7">
      <c r="A822" s="50">
        <v>219.441</v>
      </c>
      <c r="B822" s="50">
        <v>219.62739999999999</v>
      </c>
      <c r="C822" s="50">
        <v>216.4872</v>
      </c>
      <c r="D822" s="50">
        <v>217.9494</v>
      </c>
      <c r="E822" s="50">
        <v>4264404</v>
      </c>
      <c r="F822" s="50" t="s">
        <v>849</v>
      </c>
      <c r="G822" s="25">
        <f t="shared" si="10"/>
        <v>6.8437903476679107E-3</v>
      </c>
    </row>
    <row r="823" spans="1:7">
      <c r="A823" s="50">
        <v>217.9494</v>
      </c>
      <c r="B823" s="50">
        <v>218.02789999999999</v>
      </c>
      <c r="C823" s="50">
        <v>215.5942</v>
      </c>
      <c r="D823" s="50">
        <v>217.15450000000001</v>
      </c>
      <c r="E823" s="50">
        <v>5408193</v>
      </c>
      <c r="F823" s="50" t="s">
        <v>850</v>
      </c>
      <c r="G823" s="25">
        <f t="shared" si="10"/>
        <v>3.6605274125103282E-3</v>
      </c>
    </row>
    <row r="824" spans="1:7">
      <c r="A824" s="50">
        <v>216.95820000000001</v>
      </c>
      <c r="B824" s="50">
        <v>218.23390000000001</v>
      </c>
      <c r="C824" s="50">
        <v>214.1026</v>
      </c>
      <c r="D824" s="50">
        <v>214.89750000000001</v>
      </c>
      <c r="E824" s="50">
        <v>10857022</v>
      </c>
      <c r="F824" s="50" t="s">
        <v>851</v>
      </c>
      <c r="G824" s="25">
        <f t="shared" si="10"/>
        <v>9.589222768994432E-3</v>
      </c>
    </row>
    <row r="825" spans="1:7">
      <c r="A825" s="50">
        <v>214.51480000000001</v>
      </c>
      <c r="B825" s="50">
        <v>218.0573</v>
      </c>
      <c r="C825" s="50">
        <v>214.26939999999999</v>
      </c>
      <c r="D825" s="50">
        <v>214.976</v>
      </c>
      <c r="E825" s="50">
        <v>6294533</v>
      </c>
      <c r="F825" s="50" t="s">
        <v>852</v>
      </c>
      <c r="G825" s="25">
        <f t="shared" si="10"/>
        <v>-2.1453557606430085E-3</v>
      </c>
    </row>
    <row r="826" spans="1:7">
      <c r="A826" s="50">
        <v>213.6807</v>
      </c>
      <c r="B826" s="50">
        <v>214.0634</v>
      </c>
      <c r="C826" s="50">
        <v>209.10769999999999</v>
      </c>
      <c r="D826" s="50">
        <v>210.00069999999999</v>
      </c>
      <c r="E826" s="50">
        <v>6829695</v>
      </c>
      <c r="F826" s="50" t="s">
        <v>853</v>
      </c>
      <c r="G826" s="25">
        <f t="shared" si="10"/>
        <v>1.7523751111305774E-2</v>
      </c>
    </row>
    <row r="827" spans="1:7">
      <c r="A827" s="50">
        <v>207.16480000000001</v>
      </c>
      <c r="B827" s="50">
        <v>210.15780000000001</v>
      </c>
      <c r="C827" s="50">
        <v>206.52690000000001</v>
      </c>
      <c r="D827" s="50">
        <v>209.80449999999999</v>
      </c>
      <c r="E827" s="50">
        <v>5246222</v>
      </c>
      <c r="F827" s="50" t="s">
        <v>854</v>
      </c>
      <c r="G827" s="25">
        <f t="shared" si="10"/>
        <v>-1.2581712975651027E-2</v>
      </c>
    </row>
    <row r="828" spans="1:7">
      <c r="A828" s="50">
        <v>208.63669999999999</v>
      </c>
      <c r="B828" s="50">
        <v>209.2157</v>
      </c>
      <c r="C828" s="50">
        <v>205.70259999999999</v>
      </c>
      <c r="D828" s="50">
        <v>205.70259999999999</v>
      </c>
      <c r="E828" s="50">
        <v>6606249</v>
      </c>
      <c r="F828" s="50" t="s">
        <v>855</v>
      </c>
      <c r="G828" s="25">
        <f t="shared" si="10"/>
        <v>1.4263796373988447E-2</v>
      </c>
    </row>
    <row r="829" spans="1:7">
      <c r="A829" s="50">
        <v>203.51429999999999</v>
      </c>
      <c r="B829" s="50">
        <v>208.357</v>
      </c>
      <c r="C829" s="50">
        <v>202.3073</v>
      </c>
      <c r="D829" s="50">
        <v>205.3689</v>
      </c>
      <c r="E829" s="50">
        <v>4202971</v>
      </c>
      <c r="F829" s="50" t="s">
        <v>856</v>
      </c>
      <c r="G829" s="25">
        <f t="shared" si="10"/>
        <v>-9.0305786319155867E-3</v>
      </c>
    </row>
    <row r="830" spans="1:7">
      <c r="A830" s="50">
        <v>203.87739999999999</v>
      </c>
      <c r="B830" s="50">
        <v>204.15209999999999</v>
      </c>
      <c r="C830" s="50">
        <v>201.85589999999999</v>
      </c>
      <c r="D830" s="50">
        <v>202.4545</v>
      </c>
      <c r="E830" s="50">
        <v>4159463</v>
      </c>
      <c r="F830" s="50" t="s">
        <v>857</v>
      </c>
      <c r="G830" s="25">
        <f t="shared" si="10"/>
        <v>7.0282458527719527E-3</v>
      </c>
    </row>
    <row r="831" spans="1:7">
      <c r="A831" s="50">
        <v>204.17169999999999</v>
      </c>
      <c r="B831" s="50">
        <v>204.63300000000001</v>
      </c>
      <c r="C831" s="50">
        <v>201.65960000000001</v>
      </c>
      <c r="D831" s="50">
        <v>202.10120000000001</v>
      </c>
      <c r="E831" s="50">
        <v>3675605</v>
      </c>
      <c r="F831" s="50" t="s">
        <v>858</v>
      </c>
      <c r="G831" s="25">
        <f t="shared" si="10"/>
        <v>1.0244867422855464E-2</v>
      </c>
    </row>
    <row r="832" spans="1:7">
      <c r="A832" s="50">
        <v>201.1591</v>
      </c>
      <c r="B832" s="50">
        <v>204.63300000000001</v>
      </c>
      <c r="C832" s="50">
        <v>200.9727</v>
      </c>
      <c r="D832" s="50">
        <v>202.8175</v>
      </c>
      <c r="E832" s="50">
        <v>3139186</v>
      </c>
      <c r="F832" s="50" t="s">
        <v>859</v>
      </c>
      <c r="G832" s="25">
        <f t="shared" si="10"/>
        <v>-8.1768092003895454E-3</v>
      </c>
    </row>
    <row r="833" spans="1:7">
      <c r="A833" s="50">
        <v>202.4348</v>
      </c>
      <c r="B833" s="50">
        <v>203.0138</v>
      </c>
      <c r="C833" s="50">
        <v>200.7764</v>
      </c>
      <c r="D833" s="50">
        <v>202.07169999999999</v>
      </c>
      <c r="E833" s="50">
        <v>2904905</v>
      </c>
      <c r="F833" s="50" t="s">
        <v>860</v>
      </c>
      <c r="G833" s="25">
        <f t="shared" si="10"/>
        <v>1.7968869465641024E-3</v>
      </c>
    </row>
    <row r="834" spans="1:7">
      <c r="A834" s="50">
        <v>201.98339999999999</v>
      </c>
      <c r="B834" s="50">
        <v>202.38579999999999</v>
      </c>
      <c r="C834" s="50">
        <v>199.71209999999999</v>
      </c>
      <c r="D834" s="50">
        <v>200.3152</v>
      </c>
      <c r="E834" s="50">
        <v>3246162</v>
      </c>
      <c r="F834" s="50" t="s">
        <v>861</v>
      </c>
      <c r="G834" s="25">
        <f t="shared" si="10"/>
        <v>8.327875268576701E-3</v>
      </c>
    </row>
    <row r="835" spans="1:7">
      <c r="A835" s="50">
        <v>201.2278</v>
      </c>
      <c r="B835" s="50">
        <v>202.78809999999999</v>
      </c>
      <c r="C835" s="50">
        <v>198.3526</v>
      </c>
      <c r="D835" s="50">
        <v>201.9049</v>
      </c>
      <c r="E835" s="50">
        <v>5690926</v>
      </c>
      <c r="F835" s="50" t="s">
        <v>862</v>
      </c>
      <c r="G835" s="25">
        <f t="shared" si="10"/>
        <v>-3.3535590270469262E-3</v>
      </c>
    </row>
    <row r="836" spans="1:7">
      <c r="A836" s="50">
        <v>202.9451</v>
      </c>
      <c r="B836" s="50">
        <v>204.0736</v>
      </c>
      <c r="C836" s="50">
        <v>201.7381</v>
      </c>
      <c r="D836" s="50">
        <v>202.70959999999999</v>
      </c>
      <c r="E836" s="50">
        <v>4086940</v>
      </c>
      <c r="F836" s="50" t="s">
        <v>863</v>
      </c>
      <c r="G836" s="25">
        <f t="shared" si="10"/>
        <v>1.1617604691638306E-3</v>
      </c>
    </row>
    <row r="837" spans="1:7">
      <c r="A837" s="50">
        <v>201.5222</v>
      </c>
      <c r="B837" s="50">
        <v>202.6703</v>
      </c>
      <c r="C837" s="50">
        <v>199.74600000000001</v>
      </c>
      <c r="D837" s="50">
        <v>200.06989999999999</v>
      </c>
      <c r="E837" s="50">
        <v>5024855</v>
      </c>
      <c r="F837" s="50" t="s">
        <v>864</v>
      </c>
      <c r="G837" s="25">
        <f t="shared" si="10"/>
        <v>7.2589629924342258E-3</v>
      </c>
    </row>
    <row r="838" spans="1:7">
      <c r="A838" s="50">
        <v>200.9923</v>
      </c>
      <c r="B838" s="50">
        <v>203.59280000000001</v>
      </c>
      <c r="C838" s="50">
        <v>200.1386</v>
      </c>
      <c r="D838" s="50">
        <v>202.76849999999999</v>
      </c>
      <c r="E838" s="50">
        <v>4893648</v>
      </c>
      <c r="F838" s="50" t="s">
        <v>865</v>
      </c>
      <c r="G838" s="25">
        <f t="shared" si="10"/>
        <v>-8.7597432540064135E-3</v>
      </c>
    </row>
    <row r="839" spans="1:7">
      <c r="A839" s="50">
        <v>203.02359999999999</v>
      </c>
      <c r="B839" s="50">
        <v>204.5093</v>
      </c>
      <c r="C839" s="50">
        <v>201.4633</v>
      </c>
      <c r="D839" s="50">
        <v>203.61240000000001</v>
      </c>
      <c r="E839" s="50">
        <v>12473052</v>
      </c>
      <c r="F839" s="50" t="s">
        <v>866</v>
      </c>
      <c r="G839" s="25">
        <f t="shared" si="10"/>
        <v>-2.891768870658229E-3</v>
      </c>
    </row>
    <row r="840" spans="1:7">
      <c r="A840" s="50">
        <v>204.02459999999999</v>
      </c>
      <c r="B840" s="50">
        <v>207.86150000000001</v>
      </c>
      <c r="C840" s="50">
        <v>202.95490000000001</v>
      </c>
      <c r="D840" s="50">
        <v>205.68299999999999</v>
      </c>
      <c r="E840" s="50">
        <v>10833163</v>
      </c>
      <c r="F840" s="50" t="s">
        <v>867</v>
      </c>
      <c r="G840" s="25">
        <f t="shared" si="10"/>
        <v>-8.0628928982949821E-3</v>
      </c>
    </row>
    <row r="841" spans="1:7">
      <c r="A841" s="50">
        <v>209.33340000000001</v>
      </c>
      <c r="B841" s="50">
        <v>212.24160000000001</v>
      </c>
      <c r="C841" s="50">
        <v>207.67500000000001</v>
      </c>
      <c r="D841" s="50">
        <v>208.87219999999999</v>
      </c>
      <c r="E841" s="50">
        <v>7001704</v>
      </c>
      <c r="F841" s="50" t="s">
        <v>868</v>
      </c>
      <c r="G841" s="25">
        <f t="shared" si="10"/>
        <v>2.2080487494267054E-3</v>
      </c>
    </row>
    <row r="842" spans="1:7">
      <c r="A842" s="50">
        <v>209.05869999999999</v>
      </c>
      <c r="B842" s="50">
        <v>215.869</v>
      </c>
      <c r="C842" s="50">
        <v>208.6465</v>
      </c>
      <c r="D842" s="50">
        <v>215.43719999999999</v>
      </c>
      <c r="E842" s="50">
        <v>14585020</v>
      </c>
      <c r="F842" s="50" t="s">
        <v>869</v>
      </c>
      <c r="G842" s="25">
        <f t="shared" si="10"/>
        <v>-2.960723589055192E-2</v>
      </c>
    </row>
    <row r="843" spans="1:7">
      <c r="A843" s="50">
        <v>210.5797</v>
      </c>
      <c r="B843" s="50">
        <v>210.8005</v>
      </c>
      <c r="C843" s="50">
        <v>205.55539999999999</v>
      </c>
      <c r="D843" s="50">
        <v>206.07550000000001</v>
      </c>
      <c r="E843" s="50">
        <v>5941732</v>
      </c>
      <c r="F843" s="50" t="s">
        <v>870</v>
      </c>
      <c r="G843" s="25">
        <f t="shared" si="10"/>
        <v>2.1857037833221238E-2</v>
      </c>
    </row>
    <row r="844" spans="1:7">
      <c r="A844" s="50">
        <v>204.7998</v>
      </c>
      <c r="B844" s="50">
        <v>206.58580000000001</v>
      </c>
      <c r="C844" s="50">
        <v>203.64179999999999</v>
      </c>
      <c r="D844" s="50">
        <v>204.02459999999999</v>
      </c>
      <c r="E844" s="50">
        <v>4928579</v>
      </c>
      <c r="F844" s="50" t="s">
        <v>871</v>
      </c>
      <c r="G844" s="25">
        <f t="shared" si="10"/>
        <v>3.7995418199570086E-3</v>
      </c>
    </row>
    <row r="845" spans="1:7">
      <c r="A845" s="50">
        <v>205.19229999999999</v>
      </c>
      <c r="B845" s="50">
        <v>206.3699</v>
      </c>
      <c r="C845" s="50">
        <v>203.86750000000001</v>
      </c>
      <c r="D845" s="50">
        <v>205.59469999999999</v>
      </c>
      <c r="E845" s="50">
        <v>4896614</v>
      </c>
      <c r="F845" s="50" t="s">
        <v>872</v>
      </c>
      <c r="G845" s="25">
        <f t="shared" si="10"/>
        <v>-1.9572488979531233E-3</v>
      </c>
    </row>
    <row r="846" spans="1:7">
      <c r="A846" s="50">
        <v>203.9264</v>
      </c>
      <c r="B846" s="50">
        <v>205.10919999999999</v>
      </c>
      <c r="C846" s="50">
        <v>201.29650000000001</v>
      </c>
      <c r="D846" s="50">
        <v>204.89789999999999</v>
      </c>
      <c r="E846" s="50">
        <v>7923847</v>
      </c>
      <c r="F846" s="50" t="s">
        <v>873</v>
      </c>
      <c r="G846" s="25">
        <f t="shared" si="10"/>
        <v>-4.74138583167516E-3</v>
      </c>
    </row>
    <row r="847" spans="1:7">
      <c r="A847" s="50">
        <v>205.17269999999999</v>
      </c>
      <c r="B847" s="50">
        <v>208.16569999999999</v>
      </c>
      <c r="C847" s="50">
        <v>203.75960000000001</v>
      </c>
      <c r="D847" s="50">
        <v>208.03809999999999</v>
      </c>
      <c r="E847" s="50">
        <v>5985961</v>
      </c>
      <c r="F847" s="50" t="s">
        <v>874</v>
      </c>
      <c r="G847" s="25">
        <f t="shared" si="10"/>
        <v>-1.3773438615330535E-2</v>
      </c>
    </row>
    <row r="848" spans="1:7">
      <c r="A848" s="50">
        <v>209.6867</v>
      </c>
      <c r="B848" s="50">
        <v>212.8563</v>
      </c>
      <c r="C848" s="50">
        <v>209.0685</v>
      </c>
      <c r="D848" s="50">
        <v>211.6199</v>
      </c>
      <c r="E848" s="50">
        <v>9006308</v>
      </c>
      <c r="F848" s="50" t="s">
        <v>875</v>
      </c>
      <c r="G848" s="25">
        <f t="shared" si="10"/>
        <v>-9.1352467324670172E-3</v>
      </c>
    </row>
    <row r="849" spans="1:7">
      <c r="A849" s="50">
        <v>213.59229999999999</v>
      </c>
      <c r="B849" s="50">
        <v>214.39699999999999</v>
      </c>
      <c r="C849" s="50">
        <v>210.23140000000001</v>
      </c>
      <c r="D849" s="50">
        <v>211.69839999999999</v>
      </c>
      <c r="E849" s="50">
        <v>5132837</v>
      </c>
      <c r="F849" s="50" t="s">
        <v>876</v>
      </c>
      <c r="G849" s="25">
        <f t="shared" si="10"/>
        <v>8.9462178268706616E-3</v>
      </c>
    </row>
    <row r="850" spans="1:7">
      <c r="A850" s="50">
        <v>212.94470000000001</v>
      </c>
      <c r="B850" s="50">
        <v>214.56379999999999</v>
      </c>
      <c r="C850" s="50">
        <v>211.2764</v>
      </c>
      <c r="D850" s="50">
        <v>212.94470000000001</v>
      </c>
      <c r="E850" s="50">
        <v>11261545</v>
      </c>
      <c r="F850" s="50" t="s">
        <v>877</v>
      </c>
      <c r="G850" s="25">
        <f t="shared" si="10"/>
        <v>0</v>
      </c>
    </row>
    <row r="851" spans="1:7">
      <c r="A851" s="50">
        <v>212.94470000000001</v>
      </c>
      <c r="B851" s="50">
        <v>212.94470000000001</v>
      </c>
      <c r="C851" s="50">
        <v>204.12270000000001</v>
      </c>
      <c r="D851" s="50">
        <v>204.3288</v>
      </c>
      <c r="E851" s="50">
        <v>13918125</v>
      </c>
      <c r="F851" s="50" t="s">
        <v>878</v>
      </c>
      <c r="G851" s="25">
        <f t="shared" si="10"/>
        <v>4.2166840895654589E-2</v>
      </c>
    </row>
    <row r="852" spans="1:7">
      <c r="A852" s="50">
        <v>205.15309999999999</v>
      </c>
      <c r="B852" s="50">
        <v>206.22659999999999</v>
      </c>
      <c r="C852" s="50">
        <v>203.47110000000001</v>
      </c>
      <c r="D852" s="50">
        <v>205.4376</v>
      </c>
      <c r="E852" s="50">
        <v>8986852</v>
      </c>
      <c r="F852" s="50" t="s">
        <v>879</v>
      </c>
      <c r="G852" s="25">
        <f t="shared" ref="G852:G915" si="11">A852/D852-1</f>
        <v>-1.3848487326565406E-3</v>
      </c>
    </row>
    <row r="853" spans="1:7">
      <c r="A853" s="50">
        <v>207.31190000000001</v>
      </c>
      <c r="B853" s="50">
        <v>210.46199999999999</v>
      </c>
      <c r="C853" s="50">
        <v>206.7133</v>
      </c>
      <c r="D853" s="50">
        <v>208.29329999999999</v>
      </c>
      <c r="E853" s="50">
        <v>10229683</v>
      </c>
      <c r="F853" s="50" t="s">
        <v>880</v>
      </c>
      <c r="G853" s="25">
        <f t="shared" si="11"/>
        <v>-4.7116253859340596E-3</v>
      </c>
    </row>
    <row r="854" spans="1:7">
      <c r="A854" s="50">
        <v>209.79470000000001</v>
      </c>
      <c r="B854" s="50">
        <v>210.00069999999999</v>
      </c>
      <c r="C854" s="50">
        <v>207.43459999999999</v>
      </c>
      <c r="D854" s="50">
        <v>207.7535</v>
      </c>
      <c r="E854" s="50">
        <v>1993541</v>
      </c>
      <c r="F854" s="50" t="s">
        <v>881</v>
      </c>
      <c r="G854" s="25">
        <f t="shared" si="11"/>
        <v>9.825105232884157E-3</v>
      </c>
    </row>
    <row r="855" spans="1:7">
      <c r="A855" s="50">
        <v>207.7732</v>
      </c>
      <c r="B855" s="50">
        <v>208.8526</v>
      </c>
      <c r="C855" s="50">
        <v>205.99209999999999</v>
      </c>
      <c r="D855" s="50">
        <v>206.07550000000001</v>
      </c>
      <c r="E855" s="50">
        <v>3807338</v>
      </c>
      <c r="F855" s="50" t="s">
        <v>882</v>
      </c>
      <c r="G855" s="25">
        <f t="shared" si="11"/>
        <v>8.2382427799518876E-3</v>
      </c>
    </row>
    <row r="856" spans="1:7">
      <c r="A856" s="50">
        <v>206.39930000000001</v>
      </c>
      <c r="B856" s="50">
        <v>206.54650000000001</v>
      </c>
      <c r="C856" s="50">
        <v>201.51240000000001</v>
      </c>
      <c r="D856" s="50">
        <v>203.66149999999999</v>
      </c>
      <c r="E856" s="50">
        <v>5273142</v>
      </c>
      <c r="F856" s="50" t="s">
        <v>883</v>
      </c>
      <c r="G856" s="25">
        <f t="shared" si="11"/>
        <v>1.3442894214174217E-2</v>
      </c>
    </row>
    <row r="857" spans="1:7">
      <c r="A857" s="50">
        <v>202.46430000000001</v>
      </c>
      <c r="B857" s="50">
        <v>206.61519999999999</v>
      </c>
      <c r="C857" s="50">
        <v>202.04230000000001</v>
      </c>
      <c r="D857" s="50">
        <v>206.3699</v>
      </c>
      <c r="E857" s="50">
        <v>10450939</v>
      </c>
      <c r="F857" s="50" t="s">
        <v>884</v>
      </c>
      <c r="G857" s="25">
        <f t="shared" si="11"/>
        <v>-1.8925240551068701E-2</v>
      </c>
    </row>
    <row r="858" spans="1:7">
      <c r="A858" s="50">
        <v>206.8605</v>
      </c>
      <c r="B858" s="50">
        <v>210.16759999999999</v>
      </c>
      <c r="C858" s="50">
        <v>205.82040000000001</v>
      </c>
      <c r="D858" s="50">
        <v>209.18629999999999</v>
      </c>
      <c r="E858" s="50">
        <v>8028541</v>
      </c>
      <c r="F858" s="50" t="s">
        <v>885</v>
      </c>
      <c r="G858" s="25">
        <f t="shared" si="11"/>
        <v>-1.1118318933888038E-2</v>
      </c>
    </row>
    <row r="859" spans="1:7">
      <c r="A859" s="50">
        <v>207.047</v>
      </c>
      <c r="B859" s="50">
        <v>207.33160000000001</v>
      </c>
      <c r="C859" s="50">
        <v>203.44980000000001</v>
      </c>
      <c r="D859" s="50">
        <v>204.0736</v>
      </c>
      <c r="E859" s="50">
        <v>5386197</v>
      </c>
      <c r="F859" s="50" t="s">
        <v>886</v>
      </c>
      <c r="G859" s="25">
        <f t="shared" si="11"/>
        <v>1.4570233484390016E-2</v>
      </c>
    </row>
    <row r="860" spans="1:7">
      <c r="A860" s="50">
        <v>206.21289999999999</v>
      </c>
      <c r="B860" s="50">
        <v>206.94890000000001</v>
      </c>
      <c r="C860" s="50">
        <v>204.3288</v>
      </c>
      <c r="D860" s="50">
        <v>204.68199999999999</v>
      </c>
      <c r="E860" s="50">
        <v>6125300</v>
      </c>
      <c r="F860" s="50" t="s">
        <v>887</v>
      </c>
      <c r="G860" s="25">
        <f t="shared" si="11"/>
        <v>7.4794070802512991E-3</v>
      </c>
    </row>
    <row r="861" spans="1:7">
      <c r="A861" s="50">
        <v>206.06569999999999</v>
      </c>
      <c r="B861" s="50">
        <v>209.73580000000001</v>
      </c>
      <c r="C861" s="50">
        <v>203.63200000000001</v>
      </c>
      <c r="D861" s="50">
        <v>206.06569999999999</v>
      </c>
      <c r="E861" s="50">
        <v>7316129</v>
      </c>
      <c r="F861" s="50" t="s">
        <v>888</v>
      </c>
      <c r="G861" s="25">
        <f t="shared" si="11"/>
        <v>0</v>
      </c>
    </row>
    <row r="862" spans="1:7">
      <c r="A862" s="50">
        <v>202.99420000000001</v>
      </c>
      <c r="B862" s="50">
        <v>205.25749999999999</v>
      </c>
      <c r="C862" s="50">
        <v>199.41239999999999</v>
      </c>
      <c r="D862" s="50">
        <v>199.697</v>
      </c>
      <c r="E862" s="50">
        <v>5796113</v>
      </c>
      <c r="F862" s="50" t="s">
        <v>889</v>
      </c>
      <c r="G862" s="25">
        <f t="shared" si="11"/>
        <v>1.651101418649259E-2</v>
      </c>
    </row>
    <row r="863" spans="1:7">
      <c r="A863" s="50">
        <v>201.16890000000001</v>
      </c>
      <c r="B863" s="50">
        <v>202.56729999999999</v>
      </c>
      <c r="C863" s="50">
        <v>198.37219999999999</v>
      </c>
      <c r="D863" s="50">
        <v>202.15020000000001</v>
      </c>
      <c r="E863" s="50">
        <v>9601019</v>
      </c>
      <c r="F863" s="50" t="s">
        <v>890</v>
      </c>
      <c r="G863" s="25">
        <f t="shared" si="11"/>
        <v>-4.8543112992220916E-3</v>
      </c>
    </row>
    <row r="864" spans="1:7">
      <c r="A864" s="50">
        <v>201.72829999999999</v>
      </c>
      <c r="B864" s="50">
        <v>201.91470000000001</v>
      </c>
      <c r="C864" s="50">
        <v>196.28200000000001</v>
      </c>
      <c r="D864" s="50">
        <v>199.2946</v>
      </c>
      <c r="E864" s="50">
        <v>8048860</v>
      </c>
      <c r="F864" s="50" t="s">
        <v>891</v>
      </c>
      <c r="G864" s="25">
        <f t="shared" si="11"/>
        <v>1.2211570208124023E-2</v>
      </c>
    </row>
    <row r="865" spans="1:7">
      <c r="A865" s="50">
        <v>189.86420000000001</v>
      </c>
      <c r="B865" s="50">
        <v>197.10910000000001</v>
      </c>
      <c r="C865" s="50">
        <v>189.27189999999999</v>
      </c>
      <c r="D865" s="50">
        <v>196.4923</v>
      </c>
      <c r="E865" s="50">
        <v>7320221</v>
      </c>
      <c r="F865" s="50" t="s">
        <v>892</v>
      </c>
      <c r="G865" s="25">
        <f t="shared" si="11"/>
        <v>-3.3732110622146427E-2</v>
      </c>
    </row>
    <row r="866" spans="1:7">
      <c r="A866" s="50">
        <v>197.10910000000001</v>
      </c>
      <c r="B866" s="50">
        <v>199.39490000000001</v>
      </c>
      <c r="C866" s="50">
        <v>195.1163</v>
      </c>
      <c r="D866" s="50">
        <v>196.99189999999999</v>
      </c>
      <c r="E866" s="50">
        <v>6943708</v>
      </c>
      <c r="F866" s="50" t="s">
        <v>893</v>
      </c>
      <c r="G866" s="25">
        <f t="shared" si="11"/>
        <v>5.9494832021034227E-4</v>
      </c>
    </row>
    <row r="867" spans="1:7">
      <c r="A867" s="50">
        <v>195.46799999999999</v>
      </c>
      <c r="B867" s="50">
        <v>195.80009999999999</v>
      </c>
      <c r="C867" s="50">
        <v>192.60579999999999</v>
      </c>
      <c r="D867" s="50">
        <v>193.72919999999999</v>
      </c>
      <c r="E867" s="50">
        <v>7821258</v>
      </c>
      <c r="F867" s="50" t="s">
        <v>894</v>
      </c>
      <c r="G867" s="25">
        <f t="shared" si="11"/>
        <v>8.9754151671508353E-3</v>
      </c>
    </row>
    <row r="868" spans="1:7">
      <c r="A868" s="50">
        <v>192.42019999999999</v>
      </c>
      <c r="B868" s="50">
        <v>196.7867</v>
      </c>
      <c r="C868" s="50">
        <v>190.81819999999999</v>
      </c>
      <c r="D868" s="50">
        <v>192.43969999999999</v>
      </c>
      <c r="E868" s="50">
        <v>9680124</v>
      </c>
      <c r="F868" s="50" t="s">
        <v>895</v>
      </c>
      <c r="G868" s="25">
        <f t="shared" si="11"/>
        <v>-1.0133044273086256E-4</v>
      </c>
    </row>
    <row r="869" spans="1:7">
      <c r="A869" s="50">
        <v>190.24180000000001</v>
      </c>
      <c r="B869" s="50">
        <v>194.24690000000001</v>
      </c>
      <c r="C869" s="50">
        <v>189.685</v>
      </c>
      <c r="D869" s="50">
        <v>193.6901</v>
      </c>
      <c r="E869" s="50">
        <v>8236227</v>
      </c>
      <c r="F869" s="50" t="s">
        <v>896</v>
      </c>
      <c r="G869" s="25">
        <f t="shared" si="11"/>
        <v>-1.7803181473911134E-2</v>
      </c>
    </row>
    <row r="870" spans="1:7">
      <c r="A870" s="50">
        <v>196.29830000000001</v>
      </c>
      <c r="B870" s="50">
        <v>202.20820000000001</v>
      </c>
      <c r="C870" s="50">
        <v>195.93690000000001</v>
      </c>
      <c r="D870" s="50">
        <v>200.99690000000001</v>
      </c>
      <c r="E870" s="50">
        <v>6987791</v>
      </c>
      <c r="F870" s="50" t="s">
        <v>897</v>
      </c>
      <c r="G870" s="25">
        <f t="shared" si="11"/>
        <v>-2.3376479935760197E-2</v>
      </c>
    </row>
    <row r="871" spans="1:7">
      <c r="A871" s="50">
        <v>202.13990000000001</v>
      </c>
      <c r="B871" s="50">
        <v>205.1095</v>
      </c>
      <c r="C871" s="50">
        <v>200.57689999999999</v>
      </c>
      <c r="D871" s="50">
        <v>204.07400000000001</v>
      </c>
      <c r="E871" s="50">
        <v>5919513</v>
      </c>
      <c r="F871" s="50" t="s">
        <v>898</v>
      </c>
      <c r="G871" s="25">
        <f t="shared" si="11"/>
        <v>-9.4774444564226235E-3</v>
      </c>
    </row>
    <row r="872" spans="1:7">
      <c r="A872" s="50">
        <v>202.36449999999999</v>
      </c>
      <c r="B872" s="50">
        <v>204.76759999999999</v>
      </c>
      <c r="C872" s="50">
        <v>201.42679999999999</v>
      </c>
      <c r="D872" s="50">
        <v>204.0838</v>
      </c>
      <c r="E872" s="50">
        <v>8674102</v>
      </c>
      <c r="F872" s="50" t="s">
        <v>899</v>
      </c>
      <c r="G872" s="25">
        <f t="shared" si="11"/>
        <v>-8.4244805320167204E-3</v>
      </c>
    </row>
    <row r="873" spans="1:7">
      <c r="A873" s="50">
        <v>204.4941</v>
      </c>
      <c r="B873" s="50">
        <v>206.62219999999999</v>
      </c>
      <c r="C873" s="50">
        <v>198.6037</v>
      </c>
      <c r="D873" s="50">
        <v>200.25450000000001</v>
      </c>
      <c r="E873" s="50">
        <v>8455603</v>
      </c>
      <c r="F873" s="50" t="s">
        <v>900</v>
      </c>
      <c r="G873" s="25">
        <f t="shared" si="11"/>
        <v>2.1171059826371019E-2</v>
      </c>
    </row>
    <row r="874" spans="1:7">
      <c r="A874" s="50">
        <v>199.56100000000001</v>
      </c>
      <c r="B874" s="50">
        <v>201.54400000000001</v>
      </c>
      <c r="C874" s="50">
        <v>196.92349999999999</v>
      </c>
      <c r="D874" s="50">
        <v>198.61340000000001</v>
      </c>
      <c r="E874" s="50">
        <v>7946686</v>
      </c>
      <c r="F874" s="50" t="s">
        <v>901</v>
      </c>
      <c r="G874" s="25">
        <f t="shared" si="11"/>
        <v>4.7710778829626044E-3</v>
      </c>
    </row>
    <row r="875" spans="1:7">
      <c r="A875" s="50">
        <v>198.6232</v>
      </c>
      <c r="B875" s="50">
        <v>201.58789999999999</v>
      </c>
      <c r="C875" s="50">
        <v>191.9513</v>
      </c>
      <c r="D875" s="50">
        <v>192.02950000000001</v>
      </c>
      <c r="E875" s="50">
        <v>15453125</v>
      </c>
      <c r="F875" s="50" t="s">
        <v>902</v>
      </c>
      <c r="G875" s="25">
        <f t="shared" si="11"/>
        <v>3.433691177657594E-2</v>
      </c>
    </row>
    <row r="876" spans="1:7">
      <c r="A876" s="50">
        <v>189.88040000000001</v>
      </c>
      <c r="B876" s="50">
        <v>190.7107</v>
      </c>
      <c r="C876" s="50">
        <v>186.30510000000001</v>
      </c>
      <c r="D876" s="50">
        <v>186.45160000000001</v>
      </c>
      <c r="E876" s="50">
        <v>11907242</v>
      </c>
      <c r="F876" s="50" t="s">
        <v>903</v>
      </c>
      <c r="G876" s="25">
        <f t="shared" si="11"/>
        <v>1.8389759058114796E-2</v>
      </c>
    </row>
    <row r="877" spans="1:7">
      <c r="A877" s="50">
        <v>186.2953</v>
      </c>
      <c r="B877" s="50">
        <v>188.6593</v>
      </c>
      <c r="C877" s="50">
        <v>184.7226</v>
      </c>
      <c r="D877" s="50">
        <v>186.97909999999999</v>
      </c>
      <c r="E877" s="50">
        <v>7299213</v>
      </c>
      <c r="F877" s="50" t="s">
        <v>904</v>
      </c>
      <c r="G877" s="25">
        <f t="shared" si="11"/>
        <v>-3.6570932259273325E-3</v>
      </c>
    </row>
    <row r="878" spans="1:7">
      <c r="A878" s="50">
        <v>185.9632</v>
      </c>
      <c r="B878" s="50">
        <v>186.52979999999999</v>
      </c>
      <c r="C878" s="50">
        <v>180.7664</v>
      </c>
      <c r="D878" s="50">
        <v>181.499</v>
      </c>
      <c r="E878" s="50">
        <v>7582542</v>
      </c>
      <c r="F878" s="50" t="s">
        <v>905</v>
      </c>
      <c r="G878" s="25">
        <f t="shared" si="11"/>
        <v>2.4596278767376134E-2</v>
      </c>
    </row>
    <row r="879" spans="1:7">
      <c r="A879" s="50">
        <v>182.8861</v>
      </c>
      <c r="B879" s="50">
        <v>186.5591</v>
      </c>
      <c r="C879" s="50">
        <v>182.11439999999999</v>
      </c>
      <c r="D879" s="50">
        <v>182.1437</v>
      </c>
      <c r="E879" s="50">
        <v>5706843</v>
      </c>
      <c r="F879" s="50" t="s">
        <v>906</v>
      </c>
      <c r="G879" s="25">
        <f t="shared" si="11"/>
        <v>4.0759027075873977E-3</v>
      </c>
    </row>
    <row r="880" spans="1:7">
      <c r="A880" s="50">
        <v>182.0949</v>
      </c>
      <c r="B880" s="50">
        <v>183.29640000000001</v>
      </c>
      <c r="C880" s="50">
        <v>180.47819999999999</v>
      </c>
      <c r="D880" s="50">
        <v>181.1962</v>
      </c>
      <c r="E880" s="50">
        <v>4927019</v>
      </c>
      <c r="F880" s="50" t="s">
        <v>907</v>
      </c>
      <c r="G880" s="25">
        <f t="shared" si="11"/>
        <v>4.9598170381055517E-3</v>
      </c>
    </row>
    <row r="881" spans="1:7">
      <c r="A881" s="50">
        <v>182.8373</v>
      </c>
      <c r="B881" s="50">
        <v>185.78739999999999</v>
      </c>
      <c r="C881" s="50">
        <v>181.44040000000001</v>
      </c>
      <c r="D881" s="50">
        <v>185.1036</v>
      </c>
      <c r="E881" s="50">
        <v>5209168</v>
      </c>
      <c r="F881" s="50" t="s">
        <v>908</v>
      </c>
      <c r="G881" s="25">
        <f t="shared" si="11"/>
        <v>-1.224341395845352E-2</v>
      </c>
    </row>
    <row r="882" spans="1:7">
      <c r="A882" s="50">
        <v>180.96170000000001</v>
      </c>
      <c r="B882" s="50">
        <v>184.20490000000001</v>
      </c>
      <c r="C882" s="50">
        <v>178.6173</v>
      </c>
      <c r="D882" s="50">
        <v>181.6944</v>
      </c>
      <c r="E882" s="50">
        <v>13952080</v>
      </c>
      <c r="F882" s="50" t="s">
        <v>909</v>
      </c>
      <c r="G882" s="25">
        <f t="shared" si="11"/>
        <v>-4.0325953909421397E-3</v>
      </c>
    </row>
    <row r="883" spans="1:7">
      <c r="A883" s="50">
        <v>178.39259999999999</v>
      </c>
      <c r="B883" s="50">
        <v>182.79820000000001</v>
      </c>
      <c r="C883" s="50">
        <v>177.8553</v>
      </c>
      <c r="D883" s="50">
        <v>182.46610000000001</v>
      </c>
      <c r="E883" s="50">
        <v>6451219</v>
      </c>
      <c r="F883" s="50" t="s">
        <v>910</v>
      </c>
      <c r="G883" s="25">
        <f t="shared" si="11"/>
        <v>-2.2324694833725456E-2</v>
      </c>
    </row>
    <row r="884" spans="1:7">
      <c r="A884" s="50">
        <v>180.3854</v>
      </c>
      <c r="B884" s="50">
        <v>181.0789</v>
      </c>
      <c r="C884" s="50">
        <v>170.5583</v>
      </c>
      <c r="D884" s="50">
        <v>170.94900000000001</v>
      </c>
      <c r="E884" s="50">
        <v>8426365</v>
      </c>
      <c r="F884" s="50" t="s">
        <v>911</v>
      </c>
      <c r="G884" s="25">
        <f t="shared" si="11"/>
        <v>5.5200088915407397E-2</v>
      </c>
    </row>
    <row r="885" spans="1:7">
      <c r="A885" s="50">
        <v>174.114</v>
      </c>
      <c r="B885" s="50">
        <v>176.40960000000001</v>
      </c>
      <c r="C885" s="50">
        <v>174.09450000000001</v>
      </c>
      <c r="D885" s="50">
        <v>174.9443</v>
      </c>
      <c r="E885" s="50">
        <v>4884685</v>
      </c>
      <c r="F885" s="50" t="s">
        <v>912</v>
      </c>
      <c r="G885" s="25">
        <f t="shared" si="11"/>
        <v>-4.7460820386830971E-3</v>
      </c>
    </row>
    <row r="886" spans="1:7">
      <c r="A886" s="50">
        <v>174.9932</v>
      </c>
      <c r="B886" s="50">
        <v>177.43530000000001</v>
      </c>
      <c r="C886" s="50">
        <v>174.0652</v>
      </c>
      <c r="D886" s="50">
        <v>176.19470000000001</v>
      </c>
      <c r="E886" s="50">
        <v>6294466</v>
      </c>
      <c r="F886" s="50" t="s">
        <v>913</v>
      </c>
      <c r="G886" s="25">
        <f t="shared" si="11"/>
        <v>-6.8191608487656596E-3</v>
      </c>
    </row>
    <row r="887" spans="1:7">
      <c r="A887" s="50">
        <v>177.96279999999999</v>
      </c>
      <c r="B887" s="50">
        <v>180.5026</v>
      </c>
      <c r="C887" s="50">
        <v>176.7124</v>
      </c>
      <c r="D887" s="50">
        <v>179.86770000000001</v>
      </c>
      <c r="E887" s="50">
        <v>4743798</v>
      </c>
      <c r="F887" s="50" t="s">
        <v>914</v>
      </c>
      <c r="G887" s="25">
        <f t="shared" si="11"/>
        <v>-1.0590561840730817E-2</v>
      </c>
    </row>
    <row r="888" spans="1:7">
      <c r="A888" s="50">
        <v>179.5746</v>
      </c>
      <c r="B888" s="50">
        <v>180.3365</v>
      </c>
      <c r="C888" s="50">
        <v>177.71860000000001</v>
      </c>
      <c r="D888" s="50">
        <v>179.20339999999999</v>
      </c>
      <c r="E888" s="50">
        <v>5610282</v>
      </c>
      <c r="F888" s="50" t="s">
        <v>915</v>
      </c>
      <c r="G888" s="25">
        <f t="shared" si="11"/>
        <v>2.0713892705161996E-3</v>
      </c>
    </row>
    <row r="889" spans="1:7">
      <c r="A889" s="50">
        <v>181.29390000000001</v>
      </c>
      <c r="B889" s="50">
        <v>183.6969</v>
      </c>
      <c r="C889" s="50">
        <v>180.96170000000001</v>
      </c>
      <c r="D889" s="50">
        <v>182.32929999999999</v>
      </c>
      <c r="E889" s="50">
        <v>5163043</v>
      </c>
      <c r="F889" s="50" t="s">
        <v>916</v>
      </c>
      <c r="G889" s="25">
        <f t="shared" si="11"/>
        <v>-5.678736220673164E-3</v>
      </c>
    </row>
    <row r="890" spans="1:7">
      <c r="A890" s="50">
        <v>183.32570000000001</v>
      </c>
      <c r="B890" s="50">
        <v>184.44909999999999</v>
      </c>
      <c r="C890" s="50">
        <v>178.1386</v>
      </c>
      <c r="D890" s="50">
        <v>179.0959</v>
      </c>
      <c r="E890" s="50">
        <v>6119876</v>
      </c>
      <c r="F890" s="50" t="s">
        <v>917</v>
      </c>
      <c r="G890" s="25">
        <f t="shared" si="11"/>
        <v>2.3617514415461338E-2</v>
      </c>
    </row>
    <row r="891" spans="1:7">
      <c r="A891" s="50">
        <v>181.35249999999999</v>
      </c>
      <c r="B891" s="50">
        <v>181.90190000000001</v>
      </c>
      <c r="C891" s="50">
        <v>178.8322</v>
      </c>
      <c r="D891" s="50">
        <v>180.7664</v>
      </c>
      <c r="E891" s="50">
        <v>7081350</v>
      </c>
      <c r="F891" s="50" t="s">
        <v>918</v>
      </c>
      <c r="G891" s="25">
        <f t="shared" si="11"/>
        <v>3.2423060922825986E-3</v>
      </c>
    </row>
    <row r="892" spans="1:7">
      <c r="A892" s="50">
        <v>177.4451</v>
      </c>
      <c r="B892" s="50">
        <v>179.1155</v>
      </c>
      <c r="C892" s="50">
        <v>174.02610000000001</v>
      </c>
      <c r="D892" s="50">
        <v>175.1885</v>
      </c>
      <c r="E892" s="50">
        <v>8842330</v>
      </c>
      <c r="F892" s="50" t="s">
        <v>919</v>
      </c>
      <c r="G892" s="25">
        <f t="shared" si="11"/>
        <v>1.2880982484580805E-2</v>
      </c>
    </row>
    <row r="893" spans="1:7">
      <c r="A893" s="50">
        <v>173.5377</v>
      </c>
      <c r="B893" s="50">
        <v>178.6857</v>
      </c>
      <c r="C893" s="50">
        <v>173.48390000000001</v>
      </c>
      <c r="D893" s="50">
        <v>175.89189999999999</v>
      </c>
      <c r="E893" s="50">
        <v>9472265</v>
      </c>
      <c r="F893" s="50" t="s">
        <v>920</v>
      </c>
      <c r="G893" s="25">
        <f t="shared" si="11"/>
        <v>-1.3384357096603017E-2</v>
      </c>
    </row>
    <row r="894" spans="1:7">
      <c r="A894" s="50">
        <v>175.89189999999999</v>
      </c>
      <c r="B894" s="50">
        <v>178.0214</v>
      </c>
      <c r="C894" s="50">
        <v>174.58779999999999</v>
      </c>
      <c r="D894" s="50">
        <v>174.69030000000001</v>
      </c>
      <c r="E894" s="50">
        <v>9105169</v>
      </c>
      <c r="F894" s="50" t="s">
        <v>921</v>
      </c>
      <c r="G894" s="25">
        <f t="shared" si="11"/>
        <v>6.8784586207704113E-3</v>
      </c>
    </row>
    <row r="895" spans="1:7">
      <c r="A895" s="50">
        <v>175.03219999999999</v>
      </c>
      <c r="B895" s="50">
        <v>175.93090000000001</v>
      </c>
      <c r="C895" s="50">
        <v>170.78290000000001</v>
      </c>
      <c r="D895" s="50">
        <v>173.1567</v>
      </c>
      <c r="E895" s="50">
        <v>9750959</v>
      </c>
      <c r="F895" s="50" t="s">
        <v>922</v>
      </c>
      <c r="G895" s="25">
        <f t="shared" si="11"/>
        <v>1.0831229747390481E-2</v>
      </c>
    </row>
    <row r="896" spans="1:7">
      <c r="A896" s="50">
        <v>173.7526</v>
      </c>
      <c r="B896" s="50">
        <v>180.571</v>
      </c>
      <c r="C896" s="50">
        <v>172.923</v>
      </c>
      <c r="D896" s="50">
        <v>178.2852</v>
      </c>
      <c r="E896" s="50">
        <v>9799633</v>
      </c>
      <c r="F896" s="50" t="s">
        <v>923</v>
      </c>
      <c r="G896" s="25">
        <f t="shared" si="11"/>
        <v>-2.5423310515959807E-2</v>
      </c>
    </row>
    <row r="897" spans="1:7">
      <c r="A897" s="50">
        <v>176.40960000000001</v>
      </c>
      <c r="B897" s="50">
        <v>180.22909999999999</v>
      </c>
      <c r="C897" s="50">
        <v>175.73560000000001</v>
      </c>
      <c r="D897" s="50">
        <v>178.80289999999999</v>
      </c>
      <c r="E897" s="50">
        <v>9914638</v>
      </c>
      <c r="F897" s="50" t="s">
        <v>924</v>
      </c>
      <c r="G897" s="25">
        <f t="shared" si="11"/>
        <v>-1.3385129659529982E-2</v>
      </c>
    </row>
    <row r="898" spans="1:7">
      <c r="A898" s="50">
        <v>179.70160000000001</v>
      </c>
      <c r="B898" s="50">
        <v>180.30719999999999</v>
      </c>
      <c r="C898" s="50">
        <v>178.01159999999999</v>
      </c>
      <c r="D898" s="50">
        <v>179.22290000000001</v>
      </c>
      <c r="E898" s="50">
        <v>10755790</v>
      </c>
      <c r="F898" s="50" t="s">
        <v>925</v>
      </c>
      <c r="G898" s="25">
        <f t="shared" si="11"/>
        <v>2.670975639831763E-3</v>
      </c>
    </row>
    <row r="899" spans="1:7">
      <c r="A899" s="50">
        <v>181.48920000000001</v>
      </c>
      <c r="B899" s="50">
        <v>182.87639999999999</v>
      </c>
      <c r="C899" s="50">
        <v>180.3854</v>
      </c>
      <c r="D899" s="50">
        <v>182.03630000000001</v>
      </c>
      <c r="E899" s="50">
        <v>6604711</v>
      </c>
      <c r="F899" s="50" t="s">
        <v>926</v>
      </c>
      <c r="G899" s="25">
        <f t="shared" si="11"/>
        <v>-3.0054445184833911E-3</v>
      </c>
    </row>
    <row r="900" spans="1:7">
      <c r="A900" s="50">
        <v>182.6908</v>
      </c>
      <c r="B900" s="50">
        <v>188.62020000000001</v>
      </c>
      <c r="C900" s="50">
        <v>182.6712</v>
      </c>
      <c r="D900" s="50">
        <v>188.07320000000001</v>
      </c>
      <c r="E900" s="50">
        <v>6705947</v>
      </c>
      <c r="F900" s="50" t="s">
        <v>927</v>
      </c>
      <c r="G900" s="25">
        <f t="shared" si="11"/>
        <v>-2.8618644230012702E-2</v>
      </c>
    </row>
    <row r="901" spans="1:7">
      <c r="A901" s="50">
        <v>187.62389999999999</v>
      </c>
      <c r="B901" s="50">
        <v>188.5616</v>
      </c>
      <c r="C901" s="50">
        <v>185.88509999999999</v>
      </c>
      <c r="D901" s="50">
        <v>186.6763</v>
      </c>
      <c r="E901" s="50">
        <v>5292529</v>
      </c>
      <c r="F901" s="50" t="s">
        <v>928</v>
      </c>
      <c r="G901" s="25">
        <f t="shared" si="11"/>
        <v>5.0761666049734533E-3</v>
      </c>
    </row>
    <row r="902" spans="1:7">
      <c r="A902" s="50">
        <v>188.6593</v>
      </c>
      <c r="B902" s="50">
        <v>189.49940000000001</v>
      </c>
      <c r="C902" s="50">
        <v>186.2953</v>
      </c>
      <c r="D902" s="50">
        <v>187.155</v>
      </c>
      <c r="E902" s="50">
        <v>8133561</v>
      </c>
      <c r="F902" s="50" t="s">
        <v>929</v>
      </c>
      <c r="G902" s="25">
        <f t="shared" si="11"/>
        <v>8.0377227431807086E-3</v>
      </c>
    </row>
    <row r="903" spans="1:7">
      <c r="A903" s="50">
        <v>188.8254</v>
      </c>
      <c r="B903" s="50">
        <v>189.33330000000001</v>
      </c>
      <c r="C903" s="50">
        <v>183.863</v>
      </c>
      <c r="D903" s="50">
        <v>185.8167</v>
      </c>
      <c r="E903" s="50">
        <v>9398242</v>
      </c>
      <c r="F903" s="50" t="s">
        <v>930</v>
      </c>
      <c r="G903" s="25">
        <f t="shared" si="11"/>
        <v>1.619176317306259E-2</v>
      </c>
    </row>
    <row r="904" spans="1:7">
      <c r="A904" s="50">
        <v>190.8475</v>
      </c>
      <c r="B904" s="50">
        <v>195.67310000000001</v>
      </c>
      <c r="C904" s="50">
        <v>190.02690000000001</v>
      </c>
      <c r="D904" s="50">
        <v>193.50450000000001</v>
      </c>
      <c r="E904" s="50">
        <v>6099262</v>
      </c>
      <c r="F904" s="50" t="s">
        <v>931</v>
      </c>
      <c r="G904" s="25">
        <f t="shared" si="11"/>
        <v>-1.3730946825526114E-2</v>
      </c>
    </row>
    <row r="905" spans="1:7">
      <c r="A905" s="50">
        <v>194.79390000000001</v>
      </c>
      <c r="B905" s="50">
        <v>196.22989999999999</v>
      </c>
      <c r="C905" s="50">
        <v>193.4752</v>
      </c>
      <c r="D905" s="50">
        <v>195.37029999999999</v>
      </c>
      <c r="E905" s="50">
        <v>4632813</v>
      </c>
      <c r="F905" s="50" t="s">
        <v>932</v>
      </c>
      <c r="G905" s="25">
        <f t="shared" si="11"/>
        <v>-2.9502949015278723E-3</v>
      </c>
    </row>
    <row r="906" spans="1:7">
      <c r="A906" s="50">
        <v>195.0479</v>
      </c>
      <c r="B906" s="50">
        <v>198.76</v>
      </c>
      <c r="C906" s="50">
        <v>194.2664</v>
      </c>
      <c r="D906" s="50">
        <v>197.37280000000001</v>
      </c>
      <c r="E906" s="50">
        <v>5217877</v>
      </c>
      <c r="F906" s="50" t="s">
        <v>933</v>
      </c>
      <c r="G906" s="25">
        <f t="shared" si="11"/>
        <v>-1.1779231991439598E-2</v>
      </c>
    </row>
    <row r="907" spans="1:7">
      <c r="A907" s="50">
        <v>201.8468</v>
      </c>
      <c r="B907" s="50">
        <v>202.3938</v>
      </c>
      <c r="C907" s="50">
        <v>200.20570000000001</v>
      </c>
      <c r="D907" s="50">
        <v>201.71979999999999</v>
      </c>
      <c r="E907" s="50">
        <v>3812287</v>
      </c>
      <c r="F907" s="50" t="s">
        <v>934</v>
      </c>
      <c r="G907" s="25">
        <f t="shared" si="11"/>
        <v>6.2958618836628233E-4</v>
      </c>
    </row>
    <row r="908" spans="1:7">
      <c r="A908" s="50">
        <v>200.44990000000001</v>
      </c>
      <c r="B908" s="50">
        <v>201.61750000000001</v>
      </c>
      <c r="C908" s="50">
        <v>196.68899999999999</v>
      </c>
      <c r="D908" s="50">
        <v>197.39240000000001</v>
      </c>
      <c r="E908" s="50">
        <v>4886179</v>
      </c>
      <c r="F908" s="50" t="s">
        <v>935</v>
      </c>
      <c r="G908" s="25">
        <f t="shared" si="11"/>
        <v>1.5489451468242876E-2</v>
      </c>
    </row>
    <row r="909" spans="1:7">
      <c r="A909" s="50">
        <v>196.06379999999999</v>
      </c>
      <c r="B909" s="50">
        <v>196.4546</v>
      </c>
      <c r="C909" s="50">
        <v>192.4007</v>
      </c>
      <c r="D909" s="50">
        <v>192.8305</v>
      </c>
      <c r="E909" s="50">
        <v>4377815</v>
      </c>
      <c r="F909" s="50" t="s">
        <v>936</v>
      </c>
      <c r="G909" s="25">
        <f t="shared" si="11"/>
        <v>1.6767575668786838E-2</v>
      </c>
    </row>
    <row r="910" spans="1:7">
      <c r="A910" s="50">
        <v>195.78059999999999</v>
      </c>
      <c r="B910" s="50">
        <v>196.47900000000001</v>
      </c>
      <c r="C910" s="50">
        <v>192.65459999999999</v>
      </c>
      <c r="D910" s="50">
        <v>194.11009999999999</v>
      </c>
      <c r="E910" s="50">
        <v>4098289</v>
      </c>
      <c r="F910" s="50" t="s">
        <v>937</v>
      </c>
      <c r="G910" s="25">
        <f t="shared" si="11"/>
        <v>8.6059406491469925E-3</v>
      </c>
    </row>
    <row r="911" spans="1:7">
      <c r="A911" s="50">
        <v>194.04179999999999</v>
      </c>
      <c r="B911" s="50">
        <v>195.40940000000001</v>
      </c>
      <c r="C911" s="50">
        <v>191.8536</v>
      </c>
      <c r="D911" s="50">
        <v>193.31890000000001</v>
      </c>
      <c r="E911" s="50">
        <v>4548007</v>
      </c>
      <c r="F911" s="50" t="s">
        <v>938</v>
      </c>
      <c r="G911" s="25">
        <f t="shared" si="11"/>
        <v>3.7394170978626295E-3</v>
      </c>
    </row>
    <row r="912" spans="1:7">
      <c r="A912" s="50">
        <v>193.18209999999999</v>
      </c>
      <c r="B912" s="50">
        <v>197.7929</v>
      </c>
      <c r="C912" s="50">
        <v>192.29320000000001</v>
      </c>
      <c r="D912" s="50">
        <v>197.75380000000001</v>
      </c>
      <c r="E912" s="50">
        <v>4508486</v>
      </c>
      <c r="F912" s="50" t="s">
        <v>939</v>
      </c>
      <c r="G912" s="25">
        <f t="shared" si="11"/>
        <v>-2.3118139828413042E-2</v>
      </c>
    </row>
    <row r="913" spans="1:7">
      <c r="A913" s="50">
        <v>195.4973</v>
      </c>
      <c r="B913" s="50">
        <v>195.7903</v>
      </c>
      <c r="C913" s="50">
        <v>192.10759999999999</v>
      </c>
      <c r="D913" s="50">
        <v>194.1199</v>
      </c>
      <c r="E913" s="50">
        <v>5608324</v>
      </c>
      <c r="F913" s="50" t="s">
        <v>940</v>
      </c>
      <c r="G913" s="25">
        <f t="shared" si="11"/>
        <v>7.0956146175635837E-3</v>
      </c>
    </row>
    <row r="914" spans="1:7">
      <c r="A914" s="50">
        <v>194.11009999999999</v>
      </c>
      <c r="B914" s="50">
        <v>198.46199999999999</v>
      </c>
      <c r="C914" s="50">
        <v>194.04179999999999</v>
      </c>
      <c r="D914" s="50">
        <v>196.34710000000001</v>
      </c>
      <c r="E914" s="50">
        <v>6559042</v>
      </c>
      <c r="F914" s="50" t="s">
        <v>941</v>
      </c>
      <c r="G914" s="25">
        <f t="shared" si="11"/>
        <v>-1.1393089075418139E-2</v>
      </c>
    </row>
    <row r="915" spans="1:7">
      <c r="A915" s="50">
        <v>196.7183</v>
      </c>
      <c r="B915" s="50">
        <v>199.6782</v>
      </c>
      <c r="C915" s="50">
        <v>195.5754</v>
      </c>
      <c r="D915" s="50">
        <v>199.1995</v>
      </c>
      <c r="E915" s="50">
        <v>3918150</v>
      </c>
      <c r="F915" s="50" t="s">
        <v>942</v>
      </c>
      <c r="G915" s="25">
        <f t="shared" si="11"/>
        <v>-1.2455854557867907E-2</v>
      </c>
    </row>
    <row r="916" spans="1:7">
      <c r="A916" s="50">
        <v>197.6463</v>
      </c>
      <c r="B916" s="50">
        <v>199.23859999999999</v>
      </c>
      <c r="C916" s="50">
        <v>195.9759</v>
      </c>
      <c r="D916" s="50">
        <v>196.59129999999999</v>
      </c>
      <c r="E916" s="50">
        <v>4476401</v>
      </c>
      <c r="F916" s="50" t="s">
        <v>943</v>
      </c>
      <c r="G916" s="25">
        <f t="shared" ref="G916:G979" si="12">A916/D916-1</f>
        <v>5.3664633175527499E-3</v>
      </c>
    </row>
    <row r="917" spans="1:7">
      <c r="A917" s="50">
        <v>198.1934</v>
      </c>
      <c r="B917" s="50">
        <v>205.39269999999999</v>
      </c>
      <c r="C917" s="50">
        <v>198.0078</v>
      </c>
      <c r="D917" s="50">
        <v>204.91409999999999</v>
      </c>
      <c r="E917" s="50">
        <v>5060213</v>
      </c>
      <c r="F917" s="50" t="s">
        <v>944</v>
      </c>
      <c r="G917" s="25">
        <f t="shared" si="12"/>
        <v>-3.2797645452411484E-2</v>
      </c>
    </row>
    <row r="918" spans="1:7">
      <c r="A918" s="50">
        <v>204.96299999999999</v>
      </c>
      <c r="B918" s="50">
        <v>205.05090000000001</v>
      </c>
      <c r="C918" s="50">
        <v>201.71979999999999</v>
      </c>
      <c r="D918" s="50">
        <v>202.58920000000001</v>
      </c>
      <c r="E918" s="50">
        <v>4495041</v>
      </c>
      <c r="F918" s="50" t="s">
        <v>945</v>
      </c>
      <c r="G918" s="25">
        <f t="shared" si="12"/>
        <v>1.1717307734074645E-2</v>
      </c>
    </row>
    <row r="919" spans="1:7">
      <c r="A919" s="50">
        <v>201.88589999999999</v>
      </c>
      <c r="B919" s="50">
        <v>203.52699999999999</v>
      </c>
      <c r="C919" s="50">
        <v>200.91390000000001</v>
      </c>
      <c r="D919" s="50">
        <v>201.8468</v>
      </c>
      <c r="E919" s="50">
        <v>4230836</v>
      </c>
      <c r="F919" s="50" t="s">
        <v>946</v>
      </c>
      <c r="G919" s="25">
        <f t="shared" si="12"/>
        <v>1.9371127013156908E-4</v>
      </c>
    </row>
    <row r="920" spans="1:7">
      <c r="A920" s="50">
        <v>202.0129</v>
      </c>
      <c r="B920" s="50">
        <v>204.45500000000001</v>
      </c>
      <c r="C920" s="50">
        <v>201.7491</v>
      </c>
      <c r="D920" s="50">
        <v>203.18510000000001</v>
      </c>
      <c r="E920" s="50">
        <v>3525495</v>
      </c>
      <c r="F920" s="50" t="s">
        <v>947</v>
      </c>
      <c r="G920" s="25">
        <f t="shared" si="12"/>
        <v>-5.769123818626487E-3</v>
      </c>
    </row>
    <row r="921" spans="1:7">
      <c r="A921" s="50">
        <v>203.78100000000001</v>
      </c>
      <c r="B921" s="50">
        <v>206.35990000000001</v>
      </c>
      <c r="C921" s="50">
        <v>203.38050000000001</v>
      </c>
      <c r="D921" s="50">
        <v>205.08019999999999</v>
      </c>
      <c r="E921" s="50">
        <v>5139544</v>
      </c>
      <c r="F921" s="50" t="s">
        <v>948</v>
      </c>
      <c r="G921" s="25">
        <f t="shared" si="12"/>
        <v>-6.3350825676978806E-3</v>
      </c>
    </row>
    <row r="922" spans="1:7">
      <c r="A922" s="50">
        <v>207.89349999999999</v>
      </c>
      <c r="B922" s="50">
        <v>210.24770000000001</v>
      </c>
      <c r="C922" s="50">
        <v>207.4735</v>
      </c>
      <c r="D922" s="50">
        <v>209.15369999999999</v>
      </c>
      <c r="E922" s="50">
        <v>4178804</v>
      </c>
      <c r="F922" s="50" t="s">
        <v>949</v>
      </c>
      <c r="G922" s="25">
        <f t="shared" si="12"/>
        <v>-6.0252340742716903E-3</v>
      </c>
    </row>
    <row r="923" spans="1:7">
      <c r="A923" s="50">
        <v>210.26730000000001</v>
      </c>
      <c r="B923" s="50">
        <v>210.9999</v>
      </c>
      <c r="C923" s="50">
        <v>207.51249999999999</v>
      </c>
      <c r="D923" s="50">
        <v>208.91919999999999</v>
      </c>
      <c r="E923" s="50">
        <v>4516632</v>
      </c>
      <c r="F923" s="50" t="s">
        <v>950</v>
      </c>
      <c r="G923" s="25">
        <f t="shared" si="12"/>
        <v>6.452733879892314E-3</v>
      </c>
    </row>
    <row r="924" spans="1:7">
      <c r="A924" s="50">
        <v>209.55420000000001</v>
      </c>
      <c r="B924" s="50">
        <v>211.17570000000001</v>
      </c>
      <c r="C924" s="50">
        <v>207.82509999999999</v>
      </c>
      <c r="D924" s="50">
        <v>210.0231</v>
      </c>
      <c r="E924" s="50">
        <v>4902450</v>
      </c>
      <c r="F924" s="50" t="s">
        <v>951</v>
      </c>
      <c r="G924" s="25">
        <f t="shared" si="12"/>
        <v>-2.2326115555859616E-3</v>
      </c>
    </row>
    <row r="925" spans="1:7">
      <c r="A925" s="50">
        <v>212.11349999999999</v>
      </c>
      <c r="B925" s="50">
        <v>212.57259999999999</v>
      </c>
      <c r="C925" s="50">
        <v>207.21950000000001</v>
      </c>
      <c r="D925" s="50">
        <v>209.58349999999999</v>
      </c>
      <c r="E925" s="50">
        <v>6564448</v>
      </c>
      <c r="F925" s="50" t="s">
        <v>952</v>
      </c>
      <c r="G925" s="25">
        <f t="shared" si="12"/>
        <v>1.2071560976889995E-2</v>
      </c>
    </row>
    <row r="926" spans="1:7">
      <c r="A926" s="50">
        <v>211.4102</v>
      </c>
      <c r="B926" s="50">
        <v>211.72280000000001</v>
      </c>
      <c r="C926" s="50">
        <v>205.50020000000001</v>
      </c>
      <c r="D926" s="50">
        <v>205.50020000000001</v>
      </c>
      <c r="E926" s="50">
        <v>5290623</v>
      </c>
      <c r="F926" s="50" t="s">
        <v>953</v>
      </c>
      <c r="G926" s="25">
        <f t="shared" si="12"/>
        <v>2.8759096098203374E-2</v>
      </c>
    </row>
    <row r="927" spans="1:7">
      <c r="A927" s="50">
        <v>206.43799999999999</v>
      </c>
      <c r="B927" s="50">
        <v>208.2843</v>
      </c>
      <c r="C927" s="50">
        <v>205.23650000000001</v>
      </c>
      <c r="D927" s="50">
        <v>208.0694</v>
      </c>
      <c r="E927" s="50">
        <v>6443688</v>
      </c>
      <c r="F927" s="50" t="s">
        <v>954</v>
      </c>
      <c r="G927" s="25">
        <f t="shared" si="12"/>
        <v>-7.8406531666839197E-3</v>
      </c>
    </row>
    <row r="928" spans="1:7">
      <c r="A928" s="50">
        <v>206.19380000000001</v>
      </c>
      <c r="B928" s="50">
        <v>208.55779999999999</v>
      </c>
      <c r="C928" s="50">
        <v>205.71510000000001</v>
      </c>
      <c r="D928" s="50">
        <v>208.3526</v>
      </c>
      <c r="E928" s="50">
        <v>6639640</v>
      </c>
      <c r="F928" s="50" t="s">
        <v>955</v>
      </c>
      <c r="G928" s="25">
        <f t="shared" si="12"/>
        <v>-1.0361281788660137E-2</v>
      </c>
    </row>
    <row r="929" spans="1:7">
      <c r="A929" s="50">
        <v>206.82390000000001</v>
      </c>
      <c r="B929" s="50">
        <v>209.4957</v>
      </c>
      <c r="C929" s="50">
        <v>206.05350000000001</v>
      </c>
      <c r="D929" s="50">
        <v>209.48599999999999</v>
      </c>
      <c r="E929" s="50">
        <v>5746447</v>
      </c>
      <c r="F929" s="50" t="s">
        <v>956</v>
      </c>
      <c r="G929" s="25">
        <f t="shared" si="12"/>
        <v>-1.2707770447667022E-2</v>
      </c>
    </row>
    <row r="930" spans="1:7">
      <c r="A930" s="50">
        <v>205.02959999999999</v>
      </c>
      <c r="B930" s="50">
        <v>208.1403</v>
      </c>
      <c r="C930" s="50">
        <v>204.53229999999999</v>
      </c>
      <c r="D930" s="50">
        <v>206.72640000000001</v>
      </c>
      <c r="E930" s="50">
        <v>4596766</v>
      </c>
      <c r="F930" s="50" t="s">
        <v>957</v>
      </c>
      <c r="G930" s="25">
        <f t="shared" si="12"/>
        <v>-8.2079502182595965E-3</v>
      </c>
    </row>
    <row r="931" spans="1:7">
      <c r="A931" s="50">
        <v>208.01349999999999</v>
      </c>
      <c r="B931" s="50">
        <v>211.24119999999999</v>
      </c>
      <c r="C931" s="50">
        <v>206.7739</v>
      </c>
      <c r="D931" s="50">
        <v>209.876</v>
      </c>
      <c r="E931" s="50">
        <v>4065782</v>
      </c>
      <c r="F931" s="50" t="s">
        <v>958</v>
      </c>
      <c r="G931" s="25">
        <f t="shared" si="12"/>
        <v>-8.8742876746269461E-3</v>
      </c>
    </row>
    <row r="932" spans="1:7">
      <c r="A932" s="50">
        <v>210.5001</v>
      </c>
      <c r="B932" s="50">
        <v>210.57810000000001</v>
      </c>
      <c r="C932" s="50">
        <v>205.2637</v>
      </c>
      <c r="D932" s="50">
        <v>205.4684</v>
      </c>
      <c r="E932" s="50">
        <v>5553727</v>
      </c>
      <c r="F932" s="50" t="s">
        <v>959</v>
      </c>
      <c r="G932" s="25">
        <f t="shared" si="12"/>
        <v>2.4488923844250499E-2</v>
      </c>
    </row>
    <row r="933" spans="1:7">
      <c r="A933" s="50">
        <v>208.15979999999999</v>
      </c>
      <c r="B933" s="50">
        <v>209.53469999999999</v>
      </c>
      <c r="C933" s="50">
        <v>203.3622</v>
      </c>
      <c r="D933" s="50">
        <v>205.2929</v>
      </c>
      <c r="E933" s="50">
        <v>6789745</v>
      </c>
      <c r="F933" s="50" t="s">
        <v>960</v>
      </c>
      <c r="G933" s="25">
        <f t="shared" si="12"/>
        <v>1.3964925236089387E-2</v>
      </c>
    </row>
    <row r="934" spans="1:7">
      <c r="A934" s="50">
        <v>203.29390000000001</v>
      </c>
      <c r="B934" s="50">
        <v>205.09790000000001</v>
      </c>
      <c r="C934" s="50">
        <v>201.7337</v>
      </c>
      <c r="D934" s="50">
        <v>202.81610000000001</v>
      </c>
      <c r="E934" s="50">
        <v>9520093</v>
      </c>
      <c r="F934" s="50" t="s">
        <v>961</v>
      </c>
      <c r="G934" s="25">
        <f t="shared" si="12"/>
        <v>2.3558287532399191E-3</v>
      </c>
    </row>
    <row r="935" spans="1:7">
      <c r="A935" s="50">
        <v>201.12909999999999</v>
      </c>
      <c r="B935" s="50">
        <v>203.6429</v>
      </c>
      <c r="C935" s="50">
        <v>198.8571</v>
      </c>
      <c r="D935" s="50">
        <v>202.63079999999999</v>
      </c>
      <c r="E935" s="50">
        <v>9939408</v>
      </c>
      <c r="F935" s="50" t="s">
        <v>962</v>
      </c>
      <c r="G935" s="25">
        <f t="shared" si="12"/>
        <v>-7.4110155020855606E-3</v>
      </c>
    </row>
    <row r="936" spans="1:7">
      <c r="A936" s="50">
        <v>206.10230000000001</v>
      </c>
      <c r="B936" s="50">
        <v>208.66200000000001</v>
      </c>
      <c r="C936" s="50">
        <v>202.39680000000001</v>
      </c>
      <c r="D936" s="50">
        <v>203.2647</v>
      </c>
      <c r="E936" s="50">
        <v>8028363</v>
      </c>
      <c r="F936" s="50" t="s">
        <v>963</v>
      </c>
      <c r="G936" s="25">
        <f t="shared" si="12"/>
        <v>1.3960121949359694E-2</v>
      </c>
    </row>
    <row r="937" spans="1:7">
      <c r="A937" s="50">
        <v>206.83359999999999</v>
      </c>
      <c r="B937" s="50">
        <v>208.83260000000001</v>
      </c>
      <c r="C937" s="50">
        <v>204.6103</v>
      </c>
      <c r="D937" s="50">
        <v>206.72640000000001</v>
      </c>
      <c r="E937" s="50">
        <v>6059699</v>
      </c>
      <c r="F937" s="50" t="s">
        <v>964</v>
      </c>
      <c r="G937" s="25">
        <f t="shared" si="12"/>
        <v>5.1855979691017851E-4</v>
      </c>
    </row>
    <row r="938" spans="1:7">
      <c r="A938" s="50">
        <v>206.0925</v>
      </c>
      <c r="B938" s="50">
        <v>207.42840000000001</v>
      </c>
      <c r="C938" s="50">
        <v>202.74780000000001</v>
      </c>
      <c r="D938" s="50">
        <v>205.40020000000001</v>
      </c>
      <c r="E938" s="50">
        <v>7477062</v>
      </c>
      <c r="F938" s="50" t="s">
        <v>965</v>
      </c>
      <c r="G938" s="25">
        <f t="shared" si="12"/>
        <v>3.3704933101330603E-3</v>
      </c>
    </row>
    <row r="939" spans="1:7">
      <c r="A939" s="50">
        <v>205.23439999999999</v>
      </c>
      <c r="B939" s="50">
        <v>211.45570000000001</v>
      </c>
      <c r="C939" s="50">
        <v>196.19499999999999</v>
      </c>
      <c r="D939" s="50">
        <v>205.52699999999999</v>
      </c>
      <c r="E939" s="50">
        <v>17432242</v>
      </c>
      <c r="F939" s="50" t="s">
        <v>966</v>
      </c>
      <c r="G939" s="25">
        <f t="shared" si="12"/>
        <v>-1.4236572323830243E-3</v>
      </c>
    </row>
    <row r="940" spans="1:7">
      <c r="A940" s="50">
        <v>207.20419999999999</v>
      </c>
      <c r="B940" s="50">
        <v>209.798</v>
      </c>
      <c r="C940" s="50">
        <v>206.48259999999999</v>
      </c>
      <c r="D940" s="50">
        <v>208.53030000000001</v>
      </c>
      <c r="E940" s="50">
        <v>6140989</v>
      </c>
      <c r="F940" s="50" t="s">
        <v>967</v>
      </c>
      <c r="G940" s="25">
        <f t="shared" si="12"/>
        <v>-6.3592676939515647E-3</v>
      </c>
    </row>
    <row r="941" spans="1:7">
      <c r="A941" s="50">
        <v>208.93989999999999</v>
      </c>
      <c r="B941" s="50">
        <v>209.45670000000001</v>
      </c>
      <c r="C941" s="50">
        <v>206.35579999999999</v>
      </c>
      <c r="D941" s="50">
        <v>209.2422</v>
      </c>
      <c r="E941" s="50">
        <v>4357203</v>
      </c>
      <c r="F941" s="50" t="s">
        <v>968</v>
      </c>
      <c r="G941" s="25">
        <f t="shared" si="12"/>
        <v>-1.4447372470753894E-3</v>
      </c>
    </row>
    <row r="942" spans="1:7">
      <c r="A942" s="50">
        <v>208.38409999999999</v>
      </c>
      <c r="B942" s="50">
        <v>212.6454</v>
      </c>
      <c r="C942" s="50">
        <v>206.8434</v>
      </c>
      <c r="D942" s="50">
        <v>212.50880000000001</v>
      </c>
      <c r="E942" s="50">
        <v>5071466</v>
      </c>
      <c r="F942" s="50" t="s">
        <v>969</v>
      </c>
      <c r="G942" s="25">
        <f t="shared" si="12"/>
        <v>-1.9409549157493822E-2</v>
      </c>
    </row>
    <row r="943" spans="1:7">
      <c r="A943" s="50">
        <v>210.81209999999999</v>
      </c>
      <c r="B943" s="50">
        <v>211.50450000000001</v>
      </c>
      <c r="C943" s="50">
        <v>207.43819999999999</v>
      </c>
      <c r="D943" s="50">
        <v>207.8477</v>
      </c>
      <c r="E943" s="50">
        <v>4801270</v>
      </c>
      <c r="F943" s="50" t="s">
        <v>970</v>
      </c>
      <c r="G943" s="25">
        <f t="shared" si="12"/>
        <v>1.4262366145980865E-2</v>
      </c>
    </row>
    <row r="944" spans="1:7">
      <c r="A944" s="50">
        <v>208.06229999999999</v>
      </c>
      <c r="B944" s="50">
        <v>208.80340000000001</v>
      </c>
      <c r="C944" s="50">
        <v>205.95599999999999</v>
      </c>
      <c r="D944" s="50">
        <v>206.72640000000001</v>
      </c>
      <c r="E944" s="50">
        <v>4460290</v>
      </c>
      <c r="F944" s="50" t="s">
        <v>971</v>
      </c>
      <c r="G944" s="25">
        <f t="shared" si="12"/>
        <v>6.4621644840716641E-3</v>
      </c>
    </row>
    <row r="945" spans="1:7">
      <c r="A945" s="50">
        <v>208.3451</v>
      </c>
      <c r="B945" s="50">
        <v>208.78389999999999</v>
      </c>
      <c r="C945" s="50">
        <v>202.72829999999999</v>
      </c>
      <c r="D945" s="50">
        <v>203.04040000000001</v>
      </c>
      <c r="E945" s="50">
        <v>4927142</v>
      </c>
      <c r="F945" s="50" t="s">
        <v>972</v>
      </c>
      <c r="G945" s="25">
        <f t="shared" si="12"/>
        <v>2.6126327568306573E-2</v>
      </c>
    </row>
    <row r="946" spans="1:7">
      <c r="A946" s="50">
        <v>202.05549999999999</v>
      </c>
      <c r="B946" s="50">
        <v>207.61369999999999</v>
      </c>
      <c r="C946" s="50">
        <v>201.49969999999999</v>
      </c>
      <c r="D946" s="50">
        <v>206.2388</v>
      </c>
      <c r="E946" s="50">
        <v>4648889</v>
      </c>
      <c r="F946" s="50" t="s">
        <v>973</v>
      </c>
      <c r="G946" s="25">
        <f t="shared" si="12"/>
        <v>-2.0283768136742486E-2</v>
      </c>
    </row>
    <row r="947" spans="1:7">
      <c r="A947" s="50">
        <v>204.8151</v>
      </c>
      <c r="B947" s="50">
        <v>206.4436</v>
      </c>
      <c r="C947" s="50">
        <v>202.02629999999999</v>
      </c>
      <c r="D947" s="50">
        <v>204.1618</v>
      </c>
      <c r="E947" s="50">
        <v>7245682</v>
      </c>
      <c r="F947" s="50" t="s">
        <v>974</v>
      </c>
      <c r="G947" s="25">
        <f t="shared" si="12"/>
        <v>3.1999130101714179E-3</v>
      </c>
    </row>
    <row r="948" spans="1:7">
      <c r="A948" s="50">
        <v>200.7878</v>
      </c>
      <c r="B948" s="50">
        <v>200.95359999999999</v>
      </c>
      <c r="C948" s="50">
        <v>193.05510000000001</v>
      </c>
      <c r="D948" s="50">
        <v>195.0249</v>
      </c>
      <c r="E948" s="50">
        <v>5605463</v>
      </c>
      <c r="F948" s="50" t="s">
        <v>975</v>
      </c>
      <c r="G948" s="25">
        <f t="shared" si="12"/>
        <v>2.9549560081815196E-2</v>
      </c>
    </row>
    <row r="949" spans="1:7">
      <c r="A949" s="50">
        <v>199.07159999999999</v>
      </c>
      <c r="B949" s="50">
        <v>200.4563</v>
      </c>
      <c r="C949" s="50">
        <v>194.53729999999999</v>
      </c>
      <c r="D949" s="50">
        <v>195.4442</v>
      </c>
      <c r="E949" s="50">
        <v>7597330</v>
      </c>
      <c r="F949" s="50" t="s">
        <v>976</v>
      </c>
      <c r="G949" s="25">
        <f t="shared" si="12"/>
        <v>1.8559773070779162E-2</v>
      </c>
    </row>
    <row r="950" spans="1:7">
      <c r="A950" s="50">
        <v>199.72499999999999</v>
      </c>
      <c r="B950" s="50">
        <v>202.94290000000001</v>
      </c>
      <c r="C950" s="50">
        <v>197.71619999999999</v>
      </c>
      <c r="D950" s="50">
        <v>198.19399999999999</v>
      </c>
      <c r="E950" s="50">
        <v>6779493</v>
      </c>
      <c r="F950" s="50" t="s">
        <v>977</v>
      </c>
      <c r="G950" s="25">
        <f t="shared" si="12"/>
        <v>7.7247545334369061E-3</v>
      </c>
    </row>
    <row r="951" spans="1:7">
      <c r="A951" s="50">
        <v>199.959</v>
      </c>
      <c r="B951" s="50">
        <v>201.59719999999999</v>
      </c>
      <c r="C951" s="50">
        <v>196.9751</v>
      </c>
      <c r="D951" s="50">
        <v>196.9751</v>
      </c>
      <c r="E951" s="50">
        <v>5366255</v>
      </c>
      <c r="F951" s="50" t="s">
        <v>978</v>
      </c>
      <c r="G951" s="25">
        <f t="shared" si="12"/>
        <v>1.5148615231062257E-2</v>
      </c>
    </row>
    <row r="952" spans="1:7">
      <c r="A952" s="50">
        <v>198.5061</v>
      </c>
      <c r="B952" s="50">
        <v>199.02289999999999</v>
      </c>
      <c r="C952" s="50">
        <v>195.4734</v>
      </c>
      <c r="D952" s="50">
        <v>197.28720000000001</v>
      </c>
      <c r="E952" s="50">
        <v>3621759</v>
      </c>
      <c r="F952" s="50" t="s">
        <v>979</v>
      </c>
      <c r="G952" s="25">
        <f t="shared" si="12"/>
        <v>6.1783024950428089E-3</v>
      </c>
    </row>
    <row r="953" spans="1:7">
      <c r="A953" s="50">
        <v>197.7552</v>
      </c>
      <c r="B953" s="50">
        <v>198.36949999999999</v>
      </c>
      <c r="C953" s="50">
        <v>195.06389999999999</v>
      </c>
      <c r="D953" s="50">
        <v>197.5017</v>
      </c>
      <c r="E953" s="50">
        <v>4650703</v>
      </c>
      <c r="F953" s="50" t="s">
        <v>980</v>
      </c>
      <c r="G953" s="25">
        <f t="shared" si="12"/>
        <v>1.2835332556631052E-3</v>
      </c>
    </row>
    <row r="954" spans="1:7">
      <c r="A954" s="50">
        <v>196.11699999999999</v>
      </c>
      <c r="B954" s="50">
        <v>197.47239999999999</v>
      </c>
      <c r="C954" s="50">
        <v>193.72309999999999</v>
      </c>
      <c r="D954" s="50">
        <v>195.0249</v>
      </c>
      <c r="E954" s="50">
        <v>4111355</v>
      </c>
      <c r="F954" s="50" t="s">
        <v>981</v>
      </c>
      <c r="G954" s="25">
        <f t="shared" si="12"/>
        <v>5.5997977694128842E-3</v>
      </c>
    </row>
    <row r="955" spans="1:7">
      <c r="A955" s="50">
        <v>195.5514</v>
      </c>
      <c r="B955" s="50">
        <v>195.58070000000001</v>
      </c>
      <c r="C955" s="50">
        <v>189.31059999999999</v>
      </c>
      <c r="D955" s="50">
        <v>191.3486</v>
      </c>
      <c r="E955" s="50">
        <v>4110884</v>
      </c>
      <c r="F955" s="50" t="s">
        <v>982</v>
      </c>
      <c r="G955" s="25">
        <f t="shared" si="12"/>
        <v>2.1964101122244895E-2</v>
      </c>
    </row>
    <row r="956" spans="1:7">
      <c r="A956" s="50">
        <v>194.2253</v>
      </c>
      <c r="B956" s="50">
        <v>194.82980000000001</v>
      </c>
      <c r="C956" s="50">
        <v>189.8665</v>
      </c>
      <c r="D956" s="50">
        <v>191.8947</v>
      </c>
      <c r="E956" s="50">
        <v>4131776</v>
      </c>
      <c r="F956" s="50" t="s">
        <v>983</v>
      </c>
      <c r="G956" s="25">
        <f t="shared" si="12"/>
        <v>1.2145202551190781E-2</v>
      </c>
    </row>
    <row r="957" spans="1:7">
      <c r="A957" s="50">
        <v>191.9922</v>
      </c>
      <c r="B957" s="50">
        <v>193.90350000000001</v>
      </c>
      <c r="C957" s="50">
        <v>188.05269999999999</v>
      </c>
      <c r="D957" s="50">
        <v>190.51</v>
      </c>
      <c r="E957" s="50">
        <v>7045200</v>
      </c>
      <c r="F957" s="50" t="s">
        <v>984</v>
      </c>
      <c r="G957" s="25">
        <f t="shared" si="12"/>
        <v>7.7801690199990059E-3</v>
      </c>
    </row>
    <row r="958" spans="1:7">
      <c r="A958" s="50">
        <v>194.53729999999999</v>
      </c>
      <c r="B958" s="50">
        <v>195.6489</v>
      </c>
      <c r="C958" s="50">
        <v>192.41149999999999</v>
      </c>
      <c r="D958" s="50">
        <v>192.41149999999999</v>
      </c>
      <c r="E958" s="50">
        <v>4324567</v>
      </c>
      <c r="F958" s="50" t="s">
        <v>985</v>
      </c>
      <c r="G958" s="25">
        <f t="shared" si="12"/>
        <v>1.1048196183700121E-2</v>
      </c>
    </row>
    <row r="959" spans="1:7">
      <c r="A959" s="50">
        <v>193.19159999999999</v>
      </c>
      <c r="B959" s="50">
        <v>201.64599999999999</v>
      </c>
      <c r="C959" s="50">
        <v>192.58709999999999</v>
      </c>
      <c r="D959" s="50">
        <v>198.9254</v>
      </c>
      <c r="E959" s="50">
        <v>4372458</v>
      </c>
      <c r="F959" s="50" t="s">
        <v>986</v>
      </c>
      <c r="G959" s="25">
        <f t="shared" si="12"/>
        <v>-2.8823870657040285E-2</v>
      </c>
    </row>
    <row r="960" spans="1:7">
      <c r="A960" s="50">
        <v>198.49629999999999</v>
      </c>
      <c r="B960" s="50">
        <v>201.9385</v>
      </c>
      <c r="C960" s="50">
        <v>197.57470000000001</v>
      </c>
      <c r="D960" s="50">
        <v>200.6318</v>
      </c>
      <c r="E960" s="50">
        <v>6121223</v>
      </c>
      <c r="F960" s="50" t="s">
        <v>987</v>
      </c>
      <c r="G960" s="25">
        <f t="shared" si="12"/>
        <v>-1.0643875995729579E-2</v>
      </c>
    </row>
    <row r="961" spans="1:7">
      <c r="A961" s="50">
        <v>200.39779999999999</v>
      </c>
      <c r="B961" s="50">
        <v>200.52459999999999</v>
      </c>
      <c r="C961" s="50">
        <v>192.5968</v>
      </c>
      <c r="D961" s="50">
        <v>192.81129999999999</v>
      </c>
      <c r="E961" s="50">
        <v>7754785</v>
      </c>
      <c r="F961" s="50" t="s">
        <v>988</v>
      </c>
      <c r="G961" s="25">
        <f t="shared" si="12"/>
        <v>3.9346760278054171E-2</v>
      </c>
    </row>
    <row r="962" spans="1:7">
      <c r="A962" s="50">
        <v>191.7484</v>
      </c>
      <c r="B962" s="50">
        <v>192.548</v>
      </c>
      <c r="C962" s="50">
        <v>188.6378</v>
      </c>
      <c r="D962" s="50">
        <v>191.26089999999999</v>
      </c>
      <c r="E962" s="50">
        <v>4752787</v>
      </c>
      <c r="F962" s="50" t="s">
        <v>989</v>
      </c>
      <c r="G962" s="25">
        <f t="shared" si="12"/>
        <v>2.5488743386652413E-3</v>
      </c>
    </row>
    <row r="963" spans="1:7">
      <c r="A963" s="50">
        <v>188.99860000000001</v>
      </c>
      <c r="B963" s="50">
        <v>191.50470000000001</v>
      </c>
      <c r="C963" s="50">
        <v>186.27799999999999</v>
      </c>
      <c r="D963" s="50">
        <v>186.49250000000001</v>
      </c>
      <c r="E963" s="50">
        <v>5139086</v>
      </c>
      <c r="F963" s="50" t="s">
        <v>990</v>
      </c>
      <c r="G963" s="25">
        <f t="shared" si="12"/>
        <v>1.343807391718177E-2</v>
      </c>
    </row>
    <row r="964" spans="1:7">
      <c r="A964" s="50">
        <v>189.55439999999999</v>
      </c>
      <c r="B964" s="50">
        <v>191.83619999999999</v>
      </c>
      <c r="C964" s="50">
        <v>188.91079999999999</v>
      </c>
      <c r="D964" s="50">
        <v>190.8416</v>
      </c>
      <c r="E964" s="50">
        <v>6241638</v>
      </c>
      <c r="F964" s="50" t="s">
        <v>991</v>
      </c>
      <c r="G964" s="25">
        <f t="shared" si="12"/>
        <v>-6.7448606593112359E-3</v>
      </c>
    </row>
    <row r="965" spans="1:7">
      <c r="A965" s="50">
        <v>185.2834</v>
      </c>
      <c r="B965" s="50">
        <v>186.54640000000001</v>
      </c>
      <c r="C965" s="50">
        <v>181.28540000000001</v>
      </c>
      <c r="D965" s="50">
        <v>182.28</v>
      </c>
      <c r="E965" s="50">
        <v>15089338</v>
      </c>
      <c r="F965" s="50" t="s">
        <v>992</v>
      </c>
      <c r="G965" s="25">
        <f t="shared" si="12"/>
        <v>1.6476848804037658E-2</v>
      </c>
    </row>
    <row r="966" spans="1:7">
      <c r="A966" s="50">
        <v>184.34729999999999</v>
      </c>
      <c r="B966" s="50">
        <v>187.09710000000001</v>
      </c>
      <c r="C966" s="50">
        <v>182.86510000000001</v>
      </c>
      <c r="D966" s="50">
        <v>186.64850000000001</v>
      </c>
      <c r="E966" s="50">
        <v>9887176</v>
      </c>
      <c r="F966" s="50" t="s">
        <v>993</v>
      </c>
      <c r="G966" s="25">
        <f t="shared" si="12"/>
        <v>-1.2329057024299761E-2</v>
      </c>
    </row>
    <row r="967" spans="1:7">
      <c r="A967" s="50">
        <v>191.28039999999999</v>
      </c>
      <c r="B967" s="50">
        <v>193.88399999999999</v>
      </c>
      <c r="C967" s="50">
        <v>187.44810000000001</v>
      </c>
      <c r="D967" s="50">
        <v>191.10489999999999</v>
      </c>
      <c r="E967" s="50">
        <v>6490000</v>
      </c>
      <c r="F967" s="50" t="s">
        <v>994</v>
      </c>
      <c r="G967" s="25">
        <f t="shared" si="12"/>
        <v>9.1834379966182489E-4</v>
      </c>
    </row>
    <row r="968" spans="1:7">
      <c r="A968" s="50">
        <v>188.70609999999999</v>
      </c>
      <c r="B968" s="50">
        <v>189.50569999999999</v>
      </c>
      <c r="C968" s="50">
        <v>186.98009999999999</v>
      </c>
      <c r="D968" s="50">
        <v>187.92599999999999</v>
      </c>
      <c r="E968" s="50">
        <v>6441168</v>
      </c>
      <c r="F968" s="50" t="s">
        <v>995</v>
      </c>
      <c r="G968" s="25">
        <f t="shared" si="12"/>
        <v>4.1511020295221801E-3</v>
      </c>
    </row>
    <row r="969" spans="1:7">
      <c r="A969" s="50">
        <v>187.47739999999999</v>
      </c>
      <c r="B969" s="50">
        <v>191.0171</v>
      </c>
      <c r="C969" s="50">
        <v>186.32679999999999</v>
      </c>
      <c r="D969" s="50">
        <v>188.1892</v>
      </c>
      <c r="E969" s="50">
        <v>7119242</v>
      </c>
      <c r="F969" s="50" t="s">
        <v>996</v>
      </c>
      <c r="G969" s="25">
        <f t="shared" si="12"/>
        <v>-3.7823637063126858E-3</v>
      </c>
    </row>
    <row r="970" spans="1:7">
      <c r="A970" s="50">
        <v>194.5471</v>
      </c>
      <c r="B970" s="50">
        <v>198.35980000000001</v>
      </c>
      <c r="C970" s="50">
        <v>194.2253</v>
      </c>
      <c r="D970" s="50">
        <v>196.63380000000001</v>
      </c>
      <c r="E970" s="50">
        <v>5163771</v>
      </c>
      <c r="F970" s="50" t="s">
        <v>997</v>
      </c>
      <c r="G970" s="25">
        <f t="shared" si="12"/>
        <v>-1.0612112464896684E-2</v>
      </c>
    </row>
    <row r="971" spans="1:7">
      <c r="A971" s="50">
        <v>200.9829</v>
      </c>
      <c r="B971" s="50">
        <v>208.3938</v>
      </c>
      <c r="C971" s="50">
        <v>200.89510000000001</v>
      </c>
      <c r="D971" s="50">
        <v>207.30170000000001</v>
      </c>
      <c r="E971" s="50">
        <v>5140550</v>
      </c>
      <c r="F971" s="50" t="s">
        <v>998</v>
      </c>
      <c r="G971" s="25">
        <f t="shared" si="12"/>
        <v>-3.0481177916051871E-2</v>
      </c>
    </row>
    <row r="972" spans="1:7">
      <c r="A972" s="50">
        <v>208.18899999999999</v>
      </c>
      <c r="B972" s="50">
        <v>210.20750000000001</v>
      </c>
      <c r="C972" s="50">
        <v>207.53569999999999</v>
      </c>
      <c r="D972" s="50">
        <v>208.4426</v>
      </c>
      <c r="E972" s="50">
        <v>3646279</v>
      </c>
      <c r="F972" s="50" t="s">
        <v>999</v>
      </c>
      <c r="G972" s="25">
        <f t="shared" si="12"/>
        <v>-1.2166418956586211E-3</v>
      </c>
    </row>
    <row r="973" spans="1:7">
      <c r="A973" s="50">
        <v>209.16419999999999</v>
      </c>
      <c r="B973" s="50">
        <v>209.6225</v>
      </c>
      <c r="C973" s="50">
        <v>205.47819999999999</v>
      </c>
      <c r="D973" s="50">
        <v>205.8682</v>
      </c>
      <c r="E973" s="50">
        <v>4493312</v>
      </c>
      <c r="F973" s="50" t="s">
        <v>1000</v>
      </c>
      <c r="G973" s="25">
        <f t="shared" si="12"/>
        <v>1.6010243447020844E-2</v>
      </c>
    </row>
    <row r="974" spans="1:7">
      <c r="A974" s="50">
        <v>207.643</v>
      </c>
      <c r="B974" s="50">
        <v>212.16749999999999</v>
      </c>
      <c r="C974" s="50">
        <v>206.8141</v>
      </c>
      <c r="D974" s="50">
        <v>210.09049999999999</v>
      </c>
      <c r="E974" s="50">
        <v>3965080</v>
      </c>
      <c r="F974" s="50" t="s">
        <v>1001</v>
      </c>
      <c r="G974" s="25">
        <f t="shared" si="12"/>
        <v>-1.1649741420958981E-2</v>
      </c>
    </row>
    <row r="975" spans="1:7">
      <c r="A975" s="50">
        <v>207.36019999999999</v>
      </c>
      <c r="B975" s="50">
        <v>208.88140000000001</v>
      </c>
      <c r="C975" s="50">
        <v>206.0145</v>
      </c>
      <c r="D975" s="50">
        <v>207.65270000000001</v>
      </c>
      <c r="E975" s="50">
        <v>4352528</v>
      </c>
      <c r="F975" s="50" t="s">
        <v>1002</v>
      </c>
      <c r="G975" s="25">
        <f t="shared" si="12"/>
        <v>-1.4086019589439891E-3</v>
      </c>
    </row>
    <row r="976" spans="1:7">
      <c r="A976" s="50">
        <v>209.70050000000001</v>
      </c>
      <c r="B976" s="50">
        <v>209.8955</v>
      </c>
      <c r="C976" s="50">
        <v>205.82919999999999</v>
      </c>
      <c r="D976" s="50">
        <v>206.6191</v>
      </c>
      <c r="E976" s="50">
        <v>5337228</v>
      </c>
      <c r="F976" s="50" t="s">
        <v>1003</v>
      </c>
      <c r="G976" s="25">
        <f t="shared" si="12"/>
        <v>1.4913432494866097E-2</v>
      </c>
    </row>
    <row r="977" spans="1:7">
      <c r="A977" s="50">
        <v>204.70779999999999</v>
      </c>
      <c r="B977" s="50">
        <v>208.78389999999999</v>
      </c>
      <c r="C977" s="50">
        <v>203.62549999999999</v>
      </c>
      <c r="D977" s="50">
        <v>206.77510000000001</v>
      </c>
      <c r="E977" s="50">
        <v>5246111</v>
      </c>
      <c r="F977" s="50" t="s">
        <v>1004</v>
      </c>
      <c r="G977" s="25">
        <f t="shared" si="12"/>
        <v>-9.9978188863166784E-3</v>
      </c>
    </row>
    <row r="978" spans="1:7">
      <c r="A978" s="50">
        <v>206.8921</v>
      </c>
      <c r="B978" s="50">
        <v>209.0179</v>
      </c>
      <c r="C978" s="50">
        <v>203.90819999999999</v>
      </c>
      <c r="D978" s="50">
        <v>205.14670000000001</v>
      </c>
      <c r="E978" s="50">
        <v>9586408</v>
      </c>
      <c r="F978" s="50" t="s">
        <v>1005</v>
      </c>
      <c r="G978" s="25">
        <f t="shared" si="12"/>
        <v>8.508057892230303E-3</v>
      </c>
    </row>
    <row r="979" spans="1:7">
      <c r="A979" s="50">
        <v>207.58449999999999</v>
      </c>
      <c r="B979" s="50">
        <v>207.92580000000001</v>
      </c>
      <c r="C979" s="50">
        <v>204.42509999999999</v>
      </c>
      <c r="D979" s="50">
        <v>204.77610000000001</v>
      </c>
      <c r="E979" s="50">
        <v>4897174</v>
      </c>
      <c r="F979" s="50" t="s">
        <v>1006</v>
      </c>
      <c r="G979" s="25">
        <f t="shared" si="12"/>
        <v>1.3714491095396353E-2</v>
      </c>
    </row>
    <row r="980" spans="1:7">
      <c r="A980" s="50">
        <v>203.3622</v>
      </c>
      <c r="B980" s="50">
        <v>204.52260000000001</v>
      </c>
      <c r="C980" s="50">
        <v>199.5787</v>
      </c>
      <c r="D980" s="50">
        <v>200.0077</v>
      </c>
      <c r="E980" s="50">
        <v>9212253</v>
      </c>
      <c r="F980" s="50" t="s">
        <v>1007</v>
      </c>
      <c r="G980" s="25">
        <f t="shared" ref="G980:G1043" si="13">A980/D980-1</f>
        <v>1.6771854283610166E-2</v>
      </c>
    </row>
    <row r="981" spans="1:7">
      <c r="A981" s="50">
        <v>198.76929999999999</v>
      </c>
      <c r="B981" s="50">
        <v>199.85169999999999</v>
      </c>
      <c r="C981" s="50">
        <v>195.48320000000001</v>
      </c>
      <c r="D981" s="50">
        <v>195.6002</v>
      </c>
      <c r="E981" s="50">
        <v>5457179</v>
      </c>
      <c r="F981" s="50" t="s">
        <v>1008</v>
      </c>
      <c r="G981" s="25">
        <f t="shared" si="13"/>
        <v>1.6201926173899484E-2</v>
      </c>
    </row>
    <row r="982" spans="1:7">
      <c r="A982" s="50">
        <v>197.58940000000001</v>
      </c>
      <c r="B982" s="50">
        <v>199.58150000000001</v>
      </c>
      <c r="C982" s="50">
        <v>194.07900000000001</v>
      </c>
      <c r="D982" s="50">
        <v>198.83760000000001</v>
      </c>
      <c r="E982" s="50">
        <v>7458655</v>
      </c>
      <c r="F982" s="50" t="s">
        <v>1009</v>
      </c>
      <c r="G982" s="25">
        <f t="shared" si="13"/>
        <v>-6.277484741316508E-3</v>
      </c>
    </row>
    <row r="983" spans="1:7">
      <c r="A983" s="50">
        <v>202.39680000000001</v>
      </c>
      <c r="B983" s="50">
        <v>202.7869</v>
      </c>
      <c r="C983" s="50">
        <v>195.7757</v>
      </c>
      <c r="D983" s="50">
        <v>195.88300000000001</v>
      </c>
      <c r="E983" s="50">
        <v>12187430</v>
      </c>
      <c r="F983" s="50" t="s">
        <v>1010</v>
      </c>
      <c r="G983" s="25">
        <f t="shared" si="13"/>
        <v>3.3253523787158734E-2</v>
      </c>
    </row>
    <row r="984" spans="1:7">
      <c r="A984" s="50">
        <v>194.07900000000001</v>
      </c>
      <c r="B984" s="50">
        <v>196.64359999999999</v>
      </c>
      <c r="C984" s="50">
        <v>189.1936</v>
      </c>
      <c r="D984" s="50">
        <v>194.70310000000001</v>
      </c>
      <c r="E984" s="50">
        <v>6966630</v>
      </c>
      <c r="F984" s="50" t="s">
        <v>1011</v>
      </c>
      <c r="G984" s="25">
        <f t="shared" si="13"/>
        <v>-3.2053932371903793E-3</v>
      </c>
    </row>
    <row r="985" spans="1:7">
      <c r="A985" s="50">
        <v>192.46029999999999</v>
      </c>
      <c r="B985" s="50">
        <v>195.43440000000001</v>
      </c>
      <c r="C985" s="50">
        <v>188.50129999999999</v>
      </c>
      <c r="D985" s="50">
        <v>191.4657</v>
      </c>
      <c r="E985" s="50">
        <v>9012392</v>
      </c>
      <c r="F985" s="50" t="s">
        <v>1012</v>
      </c>
      <c r="G985" s="25">
        <f t="shared" si="13"/>
        <v>5.1946641095506063E-3</v>
      </c>
    </row>
    <row r="986" spans="1:7">
      <c r="A986" s="50">
        <v>195.01509999999999</v>
      </c>
      <c r="B986" s="50">
        <v>200.34899999999999</v>
      </c>
      <c r="C986" s="50">
        <v>194.1765</v>
      </c>
      <c r="D986" s="50">
        <v>197.7747</v>
      </c>
      <c r="E986" s="50">
        <v>8748239</v>
      </c>
      <c r="F986" s="50" t="s">
        <v>1013</v>
      </c>
      <c r="G986" s="25">
        <f t="shared" si="13"/>
        <v>-1.3953250845532894E-2</v>
      </c>
    </row>
    <row r="987" spans="1:7">
      <c r="A987" s="50">
        <v>198.9254</v>
      </c>
      <c r="B987" s="50">
        <v>199.7055</v>
      </c>
      <c r="C987" s="50">
        <v>195.1711</v>
      </c>
      <c r="D987" s="50">
        <v>197.804</v>
      </c>
      <c r="E987" s="50">
        <v>7265568</v>
      </c>
      <c r="F987" s="50" t="s">
        <v>1014</v>
      </c>
      <c r="G987" s="25">
        <f t="shared" si="13"/>
        <v>5.6692483468483434E-3</v>
      </c>
    </row>
    <row r="988" spans="1:7">
      <c r="A988" s="50">
        <v>192.88929999999999</v>
      </c>
      <c r="B988" s="50">
        <v>194.96639999999999</v>
      </c>
      <c r="C988" s="50">
        <v>191.00739999999999</v>
      </c>
      <c r="D988" s="50">
        <v>192.41149999999999</v>
      </c>
      <c r="E988" s="50">
        <v>5161272</v>
      </c>
      <c r="F988" s="50" t="s">
        <v>1015</v>
      </c>
      <c r="G988" s="25">
        <f t="shared" si="13"/>
        <v>2.4832195580826166E-3</v>
      </c>
    </row>
    <row r="989" spans="1:7">
      <c r="A989" s="50">
        <v>194.274</v>
      </c>
      <c r="B989" s="50">
        <v>195.5514</v>
      </c>
      <c r="C989" s="50">
        <v>191.61189999999999</v>
      </c>
      <c r="D989" s="50">
        <v>192.09950000000001</v>
      </c>
      <c r="E989" s="50">
        <v>6684482</v>
      </c>
      <c r="F989" s="50" t="s">
        <v>1016</v>
      </c>
      <c r="G989" s="25">
        <f t="shared" si="13"/>
        <v>1.1319654658132894E-2</v>
      </c>
    </row>
    <row r="990" spans="1:7">
      <c r="A990" s="50">
        <v>189.14490000000001</v>
      </c>
      <c r="B990" s="50">
        <v>191.18289999999999</v>
      </c>
      <c r="C990" s="50">
        <v>185.22489999999999</v>
      </c>
      <c r="D990" s="50">
        <v>189.6909</v>
      </c>
      <c r="E990" s="50">
        <v>9308563</v>
      </c>
      <c r="F990" s="50" t="s">
        <v>1017</v>
      </c>
      <c r="G990" s="25">
        <f t="shared" si="13"/>
        <v>-2.8783668589267286E-3</v>
      </c>
    </row>
    <row r="991" spans="1:7">
      <c r="A991" s="50">
        <v>191.46080000000001</v>
      </c>
      <c r="B991" s="50">
        <v>193.018</v>
      </c>
      <c r="C991" s="50">
        <v>186.28299999999999</v>
      </c>
      <c r="D991" s="50">
        <v>188.31710000000001</v>
      </c>
      <c r="E991" s="50">
        <v>9427340</v>
      </c>
      <c r="F991" s="50" t="s">
        <v>1018</v>
      </c>
      <c r="G991" s="25">
        <f t="shared" si="13"/>
        <v>1.6693651293483214E-2</v>
      </c>
    </row>
    <row r="992" spans="1:7">
      <c r="A992" s="50">
        <v>188.40469999999999</v>
      </c>
      <c r="B992" s="50">
        <v>192.4632</v>
      </c>
      <c r="C992" s="50">
        <v>185.86449999999999</v>
      </c>
      <c r="D992" s="50">
        <v>191.4511</v>
      </c>
      <c r="E992" s="50">
        <v>11016488</v>
      </c>
      <c r="F992" s="50" t="s">
        <v>1019</v>
      </c>
      <c r="G992" s="25">
        <f t="shared" si="13"/>
        <v>-1.591215720358885E-2</v>
      </c>
    </row>
    <row r="993" spans="1:7">
      <c r="A993" s="50">
        <v>187.84020000000001</v>
      </c>
      <c r="B993" s="50">
        <v>195.38300000000001</v>
      </c>
      <c r="C993" s="50">
        <v>186.94479999999999</v>
      </c>
      <c r="D993" s="50">
        <v>194.70179999999999</v>
      </c>
      <c r="E993" s="50">
        <v>10314141</v>
      </c>
      <c r="F993" s="50" t="s">
        <v>1020</v>
      </c>
      <c r="G993" s="25">
        <f t="shared" si="13"/>
        <v>-3.5241584823560879E-2</v>
      </c>
    </row>
    <row r="994" spans="1:7">
      <c r="A994" s="50">
        <v>197.39769999999999</v>
      </c>
      <c r="B994" s="50">
        <v>200.22020000000001</v>
      </c>
      <c r="C994" s="50">
        <v>194.8672</v>
      </c>
      <c r="D994" s="50">
        <v>198.30279999999999</v>
      </c>
      <c r="E994" s="50">
        <v>8825334</v>
      </c>
      <c r="F994" s="50" t="s">
        <v>1021</v>
      </c>
      <c r="G994" s="25">
        <f t="shared" si="13"/>
        <v>-4.5642320733746411E-3</v>
      </c>
    </row>
    <row r="995" spans="1:7">
      <c r="A995" s="50">
        <v>199.75299999999999</v>
      </c>
      <c r="B995" s="50">
        <v>208.8433</v>
      </c>
      <c r="C995" s="50">
        <v>197.64099999999999</v>
      </c>
      <c r="D995" s="50">
        <v>206.5951</v>
      </c>
      <c r="E995" s="50">
        <v>7749564</v>
      </c>
      <c r="F995" s="50" t="s">
        <v>1022</v>
      </c>
      <c r="G995" s="25">
        <f t="shared" si="13"/>
        <v>-3.3118404066698637E-2</v>
      </c>
    </row>
    <row r="996" spans="1:7">
      <c r="A996" s="50">
        <v>208.78489999999999</v>
      </c>
      <c r="B996" s="50">
        <v>209.0574</v>
      </c>
      <c r="C996" s="50">
        <v>199.84059999999999</v>
      </c>
      <c r="D996" s="50">
        <v>203.75309999999999</v>
      </c>
      <c r="E996" s="50">
        <v>7191137</v>
      </c>
      <c r="F996" s="50" t="s">
        <v>1023</v>
      </c>
      <c r="G996" s="25">
        <f t="shared" si="13"/>
        <v>2.4695575183886875E-2</v>
      </c>
    </row>
    <row r="997" spans="1:7">
      <c r="A997" s="50">
        <v>202.98419999999999</v>
      </c>
      <c r="B997" s="50">
        <v>207.89920000000001</v>
      </c>
      <c r="C997" s="50">
        <v>200.75550000000001</v>
      </c>
      <c r="D997" s="50">
        <v>207.89920000000001</v>
      </c>
      <c r="E997" s="50">
        <v>6616908</v>
      </c>
      <c r="F997" s="50" t="s">
        <v>1024</v>
      </c>
      <c r="G997" s="25">
        <f t="shared" si="13"/>
        <v>-2.3641264612850987E-2</v>
      </c>
    </row>
    <row r="998" spans="1:7">
      <c r="A998" s="50">
        <v>205.87479999999999</v>
      </c>
      <c r="B998" s="50">
        <v>206.46850000000001</v>
      </c>
      <c r="C998" s="50">
        <v>201.42699999999999</v>
      </c>
      <c r="D998" s="50">
        <v>206.10839999999999</v>
      </c>
      <c r="E998" s="50">
        <v>8803722</v>
      </c>
      <c r="F998" s="50" t="s">
        <v>1025</v>
      </c>
      <c r="G998" s="25">
        <f t="shared" si="13"/>
        <v>-1.1333841803633504E-3</v>
      </c>
    </row>
    <row r="999" spans="1:7">
      <c r="A999" s="50">
        <v>207.43209999999999</v>
      </c>
      <c r="B999" s="50">
        <v>215.28710000000001</v>
      </c>
      <c r="C999" s="50">
        <v>206.6729</v>
      </c>
      <c r="D999" s="50">
        <v>212.77529999999999</v>
      </c>
      <c r="E999" s="50">
        <v>7964954</v>
      </c>
      <c r="F999" s="50" t="s">
        <v>1026</v>
      </c>
      <c r="G999" s="25">
        <f t="shared" si="13"/>
        <v>-2.5111937334831635E-2</v>
      </c>
    </row>
    <row r="1000" spans="1:7">
      <c r="A1000" s="50">
        <v>214.76079999999999</v>
      </c>
      <c r="B1000" s="50">
        <v>218.91659999999999</v>
      </c>
      <c r="C1000" s="50">
        <v>213.40790000000001</v>
      </c>
      <c r="D1000" s="50">
        <v>214.5077</v>
      </c>
      <c r="E1000" s="50">
        <v>10801088</v>
      </c>
      <c r="F1000" s="50" t="s">
        <v>1027</v>
      </c>
      <c r="G1000" s="25">
        <f t="shared" si="13"/>
        <v>1.1799110241730304E-3</v>
      </c>
    </row>
    <row r="1001" spans="1:7">
      <c r="A1001" s="50">
        <v>208.38589999999999</v>
      </c>
      <c r="B1001" s="50">
        <v>215.87029999999999</v>
      </c>
      <c r="C1001" s="50">
        <v>207.35419999999999</v>
      </c>
      <c r="D1001" s="50">
        <v>211.55869999999999</v>
      </c>
      <c r="E1001" s="50">
        <v>15955804</v>
      </c>
      <c r="F1001" s="50" t="s">
        <v>1028</v>
      </c>
      <c r="G1001" s="25">
        <f t="shared" si="13"/>
        <v>-1.4997256080700017E-2</v>
      </c>
    </row>
    <row r="1002" spans="1:7">
      <c r="A1002" s="50">
        <v>195.72370000000001</v>
      </c>
      <c r="B1002" s="50">
        <v>202.98419999999999</v>
      </c>
      <c r="C1002" s="50">
        <v>195.72370000000001</v>
      </c>
      <c r="D1002" s="50">
        <v>201.44649999999999</v>
      </c>
      <c r="E1002" s="50">
        <v>8155285</v>
      </c>
      <c r="F1002" s="50" t="s">
        <v>1029</v>
      </c>
      <c r="G1002" s="25">
        <f t="shared" si="13"/>
        <v>-2.8408535268669266E-2</v>
      </c>
    </row>
    <row r="1003" spans="1:7">
      <c r="A1003" s="50">
        <v>204.33709999999999</v>
      </c>
      <c r="B1003" s="50">
        <v>204.90270000000001</v>
      </c>
      <c r="C1003" s="50">
        <v>199.84059999999999</v>
      </c>
      <c r="D1003" s="50">
        <v>200.83330000000001</v>
      </c>
      <c r="E1003" s="50">
        <v>6839415</v>
      </c>
      <c r="F1003" s="50" t="s">
        <v>1030</v>
      </c>
      <c r="G1003" s="25">
        <f t="shared" si="13"/>
        <v>1.7446309949594951E-2</v>
      </c>
    </row>
    <row r="1004" spans="1:7">
      <c r="A1004" s="50">
        <v>202.60470000000001</v>
      </c>
      <c r="B1004" s="50">
        <v>210.7704</v>
      </c>
      <c r="C1004" s="50">
        <v>202.39060000000001</v>
      </c>
      <c r="D1004" s="50">
        <v>210.4589</v>
      </c>
      <c r="E1004" s="50">
        <v>6201091</v>
      </c>
      <c r="F1004" s="50" t="s">
        <v>1031</v>
      </c>
      <c r="G1004" s="25">
        <f t="shared" si="13"/>
        <v>-3.7319400605058672E-2</v>
      </c>
    </row>
    <row r="1005" spans="1:7">
      <c r="A1005" s="50">
        <v>210.66329999999999</v>
      </c>
      <c r="B1005" s="50">
        <v>217.93360000000001</v>
      </c>
      <c r="C1005" s="50">
        <v>209.59270000000001</v>
      </c>
      <c r="D1005" s="50">
        <v>213.64150000000001</v>
      </c>
      <c r="E1005" s="50">
        <v>8850268</v>
      </c>
      <c r="F1005" s="50" t="s">
        <v>1032</v>
      </c>
      <c r="G1005" s="25">
        <f t="shared" si="13"/>
        <v>-1.394017548088744E-2</v>
      </c>
    </row>
    <row r="1006" spans="1:7">
      <c r="A1006" s="50">
        <v>211.9675</v>
      </c>
      <c r="B1006" s="50">
        <v>214.9152</v>
      </c>
      <c r="C1006" s="50">
        <v>211.57820000000001</v>
      </c>
      <c r="D1006" s="50">
        <v>212.8142</v>
      </c>
      <c r="E1006" s="50">
        <v>7178476</v>
      </c>
      <c r="F1006" s="50" t="s">
        <v>1033</v>
      </c>
      <c r="G1006" s="25">
        <f t="shared" si="13"/>
        <v>-3.9785878949807341E-3</v>
      </c>
    </row>
    <row r="1007" spans="1:7">
      <c r="A1007" s="50">
        <v>209.93340000000001</v>
      </c>
      <c r="B1007" s="50">
        <v>210.7217</v>
      </c>
      <c r="C1007" s="50">
        <v>206.76050000000001</v>
      </c>
      <c r="D1007" s="50">
        <v>207.40289999999999</v>
      </c>
      <c r="E1007" s="50">
        <v>5028806</v>
      </c>
      <c r="F1007" s="50" t="s">
        <v>1034</v>
      </c>
      <c r="G1007" s="25">
        <f t="shared" si="13"/>
        <v>1.2200890151487842E-2</v>
      </c>
    </row>
    <row r="1008" spans="1:7">
      <c r="A1008" s="50">
        <v>207.471</v>
      </c>
      <c r="B1008" s="50">
        <v>210.0617</v>
      </c>
      <c r="C1008" s="50">
        <v>205.86510000000001</v>
      </c>
      <c r="D1008" s="50">
        <v>206.0111</v>
      </c>
      <c r="E1008" s="50">
        <v>4744430</v>
      </c>
      <c r="F1008" s="50" t="s">
        <v>1035</v>
      </c>
      <c r="G1008" s="25">
        <f t="shared" si="13"/>
        <v>7.0865113578830741E-3</v>
      </c>
    </row>
    <row r="1009" spans="1:7">
      <c r="A1009" s="50">
        <v>207.10120000000001</v>
      </c>
      <c r="B1009" s="50">
        <v>210.17670000000001</v>
      </c>
      <c r="C1009" s="50">
        <v>206.84809999999999</v>
      </c>
      <c r="D1009" s="50">
        <v>208.54159999999999</v>
      </c>
      <c r="E1009" s="50">
        <v>8191575</v>
      </c>
      <c r="F1009" s="50" t="s">
        <v>1036</v>
      </c>
      <c r="G1009" s="25">
        <f t="shared" si="13"/>
        <v>-6.9070151950497705E-3</v>
      </c>
    </row>
    <row r="1010" spans="1:7">
      <c r="A1010" s="50">
        <v>207.56829999999999</v>
      </c>
      <c r="B1010" s="50">
        <v>208.1328</v>
      </c>
      <c r="C1010" s="50">
        <v>201.63239999999999</v>
      </c>
      <c r="D1010" s="50">
        <v>204.80430000000001</v>
      </c>
      <c r="E1010" s="50">
        <v>8052883</v>
      </c>
      <c r="F1010" s="50" t="s">
        <v>1037</v>
      </c>
      <c r="G1010" s="25">
        <f t="shared" si="13"/>
        <v>1.3495810390699692E-2</v>
      </c>
    </row>
    <row r="1011" spans="1:7">
      <c r="A1011" s="50">
        <v>205.7483</v>
      </c>
      <c r="B1011" s="50">
        <v>211.18889999999999</v>
      </c>
      <c r="C1011" s="50">
        <v>205.06700000000001</v>
      </c>
      <c r="D1011" s="50">
        <v>210.71199999999999</v>
      </c>
      <c r="E1011" s="50">
        <v>7446590</v>
      </c>
      <c r="F1011" s="50" t="s">
        <v>1038</v>
      </c>
      <c r="G1011" s="25">
        <f t="shared" si="13"/>
        <v>-2.3556797904248361E-2</v>
      </c>
    </row>
    <row r="1012" spans="1:7">
      <c r="A1012" s="50">
        <v>209.00880000000001</v>
      </c>
      <c r="B1012" s="50">
        <v>211.4906</v>
      </c>
      <c r="C1012" s="50">
        <v>207.7046</v>
      </c>
      <c r="D1012" s="50">
        <v>209.49539999999999</v>
      </c>
      <c r="E1012" s="50">
        <v>6942735</v>
      </c>
      <c r="F1012" s="50" t="s">
        <v>1039</v>
      </c>
      <c r="G1012" s="25">
        <f t="shared" si="13"/>
        <v>-2.3227240311719521E-3</v>
      </c>
    </row>
    <row r="1013" spans="1:7">
      <c r="A1013" s="50">
        <v>211.17910000000001</v>
      </c>
      <c r="B1013" s="50">
        <v>213.5393</v>
      </c>
      <c r="C1013" s="50">
        <v>207.38339999999999</v>
      </c>
      <c r="D1013" s="50">
        <v>209.06720000000001</v>
      </c>
      <c r="E1013" s="50">
        <v>5438734</v>
      </c>
      <c r="F1013" s="50" t="s">
        <v>1040</v>
      </c>
      <c r="G1013" s="25">
        <f t="shared" si="13"/>
        <v>1.0101536730773519E-2</v>
      </c>
    </row>
    <row r="1014" spans="1:7">
      <c r="A1014" s="50">
        <v>210.37129999999999</v>
      </c>
      <c r="B1014" s="50">
        <v>212.83369999999999</v>
      </c>
      <c r="C1014" s="50">
        <v>207.9674</v>
      </c>
      <c r="D1014" s="50">
        <v>212.4736</v>
      </c>
      <c r="E1014" s="50">
        <v>6995062</v>
      </c>
      <c r="F1014" s="50" t="s">
        <v>1041</v>
      </c>
      <c r="G1014" s="25">
        <f t="shared" si="13"/>
        <v>-9.8944057049912271E-3</v>
      </c>
    </row>
    <row r="1015" spans="1:7">
      <c r="A1015" s="50">
        <v>213.1549</v>
      </c>
      <c r="B1015" s="50">
        <v>216.9117</v>
      </c>
      <c r="C1015" s="50">
        <v>212.77529999999999</v>
      </c>
      <c r="D1015" s="50">
        <v>216.82409999999999</v>
      </c>
      <c r="E1015" s="50">
        <v>7430023</v>
      </c>
      <c r="F1015" s="50" t="s">
        <v>1042</v>
      </c>
      <c r="G1015" s="25">
        <f t="shared" si="13"/>
        <v>-1.6922473101467883E-2</v>
      </c>
    </row>
    <row r="1016" spans="1:7">
      <c r="A1016" s="50">
        <v>220.04560000000001</v>
      </c>
      <c r="B1016" s="50">
        <v>222.8681</v>
      </c>
      <c r="C1016" s="50">
        <v>219.28639999999999</v>
      </c>
      <c r="D1016" s="50">
        <v>220.76580000000001</v>
      </c>
      <c r="E1016" s="50">
        <v>4657961</v>
      </c>
      <c r="F1016" s="50" t="s">
        <v>1043</v>
      </c>
      <c r="G1016" s="25">
        <f t="shared" si="13"/>
        <v>-3.2622806612255806E-3</v>
      </c>
    </row>
    <row r="1017" spans="1:7">
      <c r="A1017" s="50">
        <v>221.6515</v>
      </c>
      <c r="B1017" s="50">
        <v>223.1114</v>
      </c>
      <c r="C1017" s="50">
        <v>218.94579999999999</v>
      </c>
      <c r="D1017" s="50">
        <v>219.7244</v>
      </c>
      <c r="E1017" s="50">
        <v>8521645</v>
      </c>
      <c r="F1017" s="50" t="s">
        <v>1044</v>
      </c>
      <c r="G1017" s="25">
        <f t="shared" si="13"/>
        <v>8.770532539854381E-3</v>
      </c>
    </row>
    <row r="1018" spans="1:7">
      <c r="A1018" s="50">
        <v>220.30840000000001</v>
      </c>
      <c r="B1018" s="50">
        <v>220.5712</v>
      </c>
      <c r="C1018" s="50">
        <v>216.28880000000001</v>
      </c>
      <c r="D1018" s="50">
        <v>217.11609999999999</v>
      </c>
      <c r="E1018" s="50">
        <v>6559565</v>
      </c>
      <c r="F1018" s="50" t="s">
        <v>1045</v>
      </c>
      <c r="G1018" s="25">
        <f t="shared" si="13"/>
        <v>1.4703193360602995E-2</v>
      </c>
    </row>
    <row r="1019" spans="1:7">
      <c r="A1019" s="50">
        <v>215.84110000000001</v>
      </c>
      <c r="B1019" s="50">
        <v>219.8801</v>
      </c>
      <c r="C1019" s="50">
        <v>214.54660000000001</v>
      </c>
      <c r="D1019" s="50">
        <v>217.9239</v>
      </c>
      <c r="E1019" s="50">
        <v>10759520</v>
      </c>
      <c r="F1019" s="50" t="s">
        <v>1046</v>
      </c>
      <c r="G1019" s="25">
        <f t="shared" si="13"/>
        <v>-9.5574647847253003E-3</v>
      </c>
    </row>
    <row r="1020" spans="1:7">
      <c r="A1020" s="50">
        <v>217.96279999999999</v>
      </c>
      <c r="B1020" s="50">
        <v>220.11369999999999</v>
      </c>
      <c r="C1020" s="50">
        <v>216.77539999999999</v>
      </c>
      <c r="D1020" s="50">
        <v>219.8023</v>
      </c>
      <c r="E1020" s="50">
        <v>7084039</v>
      </c>
      <c r="F1020" s="50" t="s">
        <v>1047</v>
      </c>
      <c r="G1020" s="25">
        <f t="shared" si="13"/>
        <v>-8.3688842200468905E-3</v>
      </c>
    </row>
    <row r="1021" spans="1:7">
      <c r="A1021" s="50">
        <v>222.0213</v>
      </c>
      <c r="B1021" s="50">
        <v>222.69290000000001</v>
      </c>
      <c r="C1021" s="50">
        <v>217.79730000000001</v>
      </c>
      <c r="D1021" s="50">
        <v>218.82900000000001</v>
      </c>
      <c r="E1021" s="50">
        <v>8032486</v>
      </c>
      <c r="F1021" s="50" t="s">
        <v>1048</v>
      </c>
      <c r="G1021" s="25">
        <f t="shared" si="13"/>
        <v>1.4588103039359535E-2</v>
      </c>
    </row>
    <row r="1022" spans="1:7">
      <c r="A1022" s="50">
        <v>214.86779999999999</v>
      </c>
      <c r="B1022" s="50">
        <v>215.07220000000001</v>
      </c>
      <c r="C1022" s="50">
        <v>211.69499999999999</v>
      </c>
      <c r="D1022" s="50">
        <v>212.6585</v>
      </c>
      <c r="E1022" s="50">
        <v>4316817</v>
      </c>
      <c r="F1022" s="50" t="s">
        <v>1049</v>
      </c>
      <c r="G1022" s="25">
        <f t="shared" si="13"/>
        <v>1.0388956942703809E-2</v>
      </c>
    </row>
    <row r="1023" spans="1:7">
      <c r="A1023" s="50">
        <v>212.59039999999999</v>
      </c>
      <c r="B1023" s="50">
        <v>213.077</v>
      </c>
      <c r="C1023" s="50">
        <v>209.9212</v>
      </c>
      <c r="D1023" s="50">
        <v>212.5806</v>
      </c>
      <c r="E1023" s="50">
        <v>5052523</v>
      </c>
      <c r="F1023" s="50" t="s">
        <v>1050</v>
      </c>
      <c r="G1023" s="25">
        <f t="shared" si="13"/>
        <v>4.6100161538609186E-5</v>
      </c>
    </row>
    <row r="1024" spans="1:7">
      <c r="A1024" s="50">
        <v>211.50030000000001</v>
      </c>
      <c r="B1024" s="50">
        <v>211.84100000000001</v>
      </c>
      <c r="C1024" s="50">
        <v>208.27879999999999</v>
      </c>
      <c r="D1024" s="50">
        <v>209.2423</v>
      </c>
      <c r="E1024" s="50">
        <v>5486991</v>
      </c>
      <c r="F1024" s="50" t="s">
        <v>1051</v>
      </c>
      <c r="G1024" s="25">
        <f t="shared" si="13"/>
        <v>1.0791317052049276E-2</v>
      </c>
    </row>
    <row r="1025" spans="1:7">
      <c r="A1025" s="50">
        <v>208.94059999999999</v>
      </c>
      <c r="B1025" s="50">
        <v>211.476</v>
      </c>
      <c r="C1025" s="50">
        <v>208.4735</v>
      </c>
      <c r="D1025" s="50">
        <v>209.54409999999999</v>
      </c>
      <c r="E1025" s="50">
        <v>6007963</v>
      </c>
      <c r="F1025" s="50" t="s">
        <v>1052</v>
      </c>
      <c r="G1025" s="25">
        <f t="shared" si="13"/>
        <v>-2.8800620012684464E-3</v>
      </c>
    </row>
    <row r="1026" spans="1:7">
      <c r="A1026" s="50">
        <v>212.6293</v>
      </c>
      <c r="B1026" s="50">
        <v>213.69990000000001</v>
      </c>
      <c r="C1026" s="50">
        <v>211.3689</v>
      </c>
      <c r="D1026" s="50">
        <v>212.0162</v>
      </c>
      <c r="E1026" s="50">
        <v>6259942</v>
      </c>
      <c r="F1026" s="50" t="s">
        <v>1053</v>
      </c>
      <c r="G1026" s="25">
        <f t="shared" si="13"/>
        <v>2.8917601579501184E-3</v>
      </c>
    </row>
    <row r="1027" spans="1:7">
      <c r="A1027" s="50">
        <v>211.23750000000001</v>
      </c>
      <c r="B1027" s="50">
        <v>212.22540000000001</v>
      </c>
      <c r="C1027" s="50">
        <v>208.8141</v>
      </c>
      <c r="D1027" s="50">
        <v>210.55629999999999</v>
      </c>
      <c r="E1027" s="50">
        <v>6101456</v>
      </c>
      <c r="F1027" s="50" t="s">
        <v>1054</v>
      </c>
      <c r="G1027" s="25">
        <f t="shared" si="13"/>
        <v>3.2352392210539538E-3</v>
      </c>
    </row>
    <row r="1028" spans="1:7">
      <c r="A1028" s="50">
        <v>213.25219999999999</v>
      </c>
      <c r="B1028" s="50">
        <v>213.3982</v>
      </c>
      <c r="C1028" s="50">
        <v>204.66800000000001</v>
      </c>
      <c r="D1028" s="50">
        <v>206.0403</v>
      </c>
      <c r="E1028" s="50">
        <v>14620818</v>
      </c>
      <c r="F1028" s="50" t="s">
        <v>1055</v>
      </c>
      <c r="G1028" s="25">
        <f t="shared" si="13"/>
        <v>3.5002375748821812E-2</v>
      </c>
    </row>
    <row r="1029" spans="1:7">
      <c r="A1029" s="50">
        <v>207.74350000000001</v>
      </c>
      <c r="B1029" s="50">
        <v>207.83109999999999</v>
      </c>
      <c r="C1029" s="50">
        <v>203.14</v>
      </c>
      <c r="D1029" s="50">
        <v>204.3176</v>
      </c>
      <c r="E1029" s="50">
        <v>6668467</v>
      </c>
      <c r="F1029" s="50" t="s">
        <v>1056</v>
      </c>
      <c r="G1029" s="25">
        <f t="shared" si="13"/>
        <v>1.6767522719530747E-2</v>
      </c>
    </row>
    <row r="1030" spans="1:7">
      <c r="A1030" s="50">
        <v>206.20580000000001</v>
      </c>
      <c r="B1030" s="50">
        <v>207.9528</v>
      </c>
      <c r="C1030" s="50">
        <v>201.46600000000001</v>
      </c>
      <c r="D1030" s="50">
        <v>204.38570000000001</v>
      </c>
      <c r="E1030" s="50">
        <v>9232292</v>
      </c>
      <c r="F1030" s="50" t="s">
        <v>1057</v>
      </c>
      <c r="G1030" s="25">
        <f t="shared" si="13"/>
        <v>8.9052218428196106E-3</v>
      </c>
    </row>
    <row r="1031" spans="1:7">
      <c r="A1031" s="50">
        <v>200.62889999999999</v>
      </c>
      <c r="B1031" s="50">
        <v>200.89169999999999</v>
      </c>
      <c r="C1031" s="50">
        <v>196.01570000000001</v>
      </c>
      <c r="D1031" s="50">
        <v>196.68719999999999</v>
      </c>
      <c r="E1031" s="50">
        <v>8277668</v>
      </c>
      <c r="F1031" s="50" t="s">
        <v>1058</v>
      </c>
      <c r="G1031" s="25">
        <f t="shared" si="13"/>
        <v>2.0040450014032318E-2</v>
      </c>
    </row>
    <row r="1032" spans="1:7">
      <c r="A1032" s="50">
        <v>194.9743</v>
      </c>
      <c r="B1032" s="50">
        <v>198.96469999999999</v>
      </c>
      <c r="C1032" s="50">
        <v>192.8623</v>
      </c>
      <c r="D1032" s="50">
        <v>193.11529999999999</v>
      </c>
      <c r="E1032" s="50">
        <v>7994657</v>
      </c>
      <c r="F1032" s="50" t="s">
        <v>1059</v>
      </c>
      <c r="G1032" s="25">
        <f t="shared" si="13"/>
        <v>9.6263734670427592E-3</v>
      </c>
    </row>
    <row r="1033" spans="1:7">
      <c r="A1033" s="50">
        <v>191.4511</v>
      </c>
      <c r="B1033" s="50">
        <v>195.47059999999999</v>
      </c>
      <c r="C1033" s="50">
        <v>191.20769999999999</v>
      </c>
      <c r="D1033" s="50">
        <v>195.38300000000001</v>
      </c>
      <c r="E1033" s="50">
        <v>5432099</v>
      </c>
      <c r="F1033" s="50" t="s">
        <v>1060</v>
      </c>
      <c r="G1033" s="25">
        <f t="shared" si="13"/>
        <v>-2.0124064017852161E-2</v>
      </c>
    </row>
    <row r="1034" spans="1:7">
      <c r="A1034" s="50">
        <v>192.67740000000001</v>
      </c>
      <c r="B1034" s="50">
        <v>194.59469999999999</v>
      </c>
      <c r="C1034" s="50">
        <v>191.05199999999999</v>
      </c>
      <c r="D1034" s="50">
        <v>191.636</v>
      </c>
      <c r="E1034" s="50">
        <v>7061604</v>
      </c>
      <c r="F1034" s="50" t="s">
        <v>1061</v>
      </c>
      <c r="G1034" s="25">
        <f t="shared" si="13"/>
        <v>5.4342607860735637E-3</v>
      </c>
    </row>
    <row r="1035" spans="1:7">
      <c r="A1035" s="50">
        <v>194.4195</v>
      </c>
      <c r="B1035" s="50">
        <v>195.1397</v>
      </c>
      <c r="C1035" s="50">
        <v>190.0204</v>
      </c>
      <c r="D1035" s="50">
        <v>191.2467</v>
      </c>
      <c r="E1035" s="50">
        <v>8457627</v>
      </c>
      <c r="F1035" s="50" t="s">
        <v>1062</v>
      </c>
      <c r="G1035" s="25">
        <f t="shared" si="13"/>
        <v>1.6590090181948236E-2</v>
      </c>
    </row>
    <row r="1036" spans="1:7">
      <c r="A1036" s="50">
        <v>186.5847</v>
      </c>
      <c r="B1036" s="50">
        <v>191.1688</v>
      </c>
      <c r="C1036" s="50">
        <v>181.67949999999999</v>
      </c>
      <c r="D1036" s="50">
        <v>184.93020000000001</v>
      </c>
      <c r="E1036" s="50">
        <v>11070893</v>
      </c>
      <c r="F1036" s="50" t="s">
        <v>1063</v>
      </c>
      <c r="G1036" s="25">
        <f t="shared" si="13"/>
        <v>8.9466187783282525E-3</v>
      </c>
    </row>
    <row r="1037" spans="1:7">
      <c r="A1037" s="50">
        <v>185.60169999999999</v>
      </c>
      <c r="B1037" s="50">
        <v>194.82830000000001</v>
      </c>
      <c r="C1037" s="50">
        <v>184.96420000000001</v>
      </c>
      <c r="D1037" s="50">
        <v>194.4974</v>
      </c>
      <c r="E1037" s="50">
        <v>13412350</v>
      </c>
      <c r="F1037" s="50" t="s">
        <v>1064</v>
      </c>
      <c r="G1037" s="25">
        <f t="shared" si="13"/>
        <v>-4.573685817908113E-2</v>
      </c>
    </row>
    <row r="1038" spans="1:7">
      <c r="A1038" s="50">
        <v>194.93530000000001</v>
      </c>
      <c r="B1038" s="50">
        <v>200.8528</v>
      </c>
      <c r="C1038" s="50">
        <v>191.59700000000001</v>
      </c>
      <c r="D1038" s="50">
        <v>199.51939999999999</v>
      </c>
      <c r="E1038" s="50">
        <v>10914620</v>
      </c>
      <c r="F1038" s="50" t="s">
        <v>1065</v>
      </c>
      <c r="G1038" s="25">
        <f t="shared" si="13"/>
        <v>-2.2975710632650137E-2</v>
      </c>
    </row>
    <row r="1039" spans="1:7">
      <c r="A1039" s="50">
        <v>201.68979999999999</v>
      </c>
      <c r="B1039" s="50">
        <v>205.84559999999999</v>
      </c>
      <c r="C1039" s="50">
        <v>201.0377</v>
      </c>
      <c r="D1039" s="50">
        <v>204.92099999999999</v>
      </c>
      <c r="E1039" s="50">
        <v>8610028</v>
      </c>
      <c r="F1039" s="50" t="s">
        <v>1066</v>
      </c>
      <c r="G1039" s="25">
        <f t="shared" si="13"/>
        <v>-1.576802767895924E-2</v>
      </c>
    </row>
    <row r="1040" spans="1:7">
      <c r="A1040" s="50">
        <v>202.90639999999999</v>
      </c>
      <c r="B1040" s="50">
        <v>204.91130000000001</v>
      </c>
      <c r="C1040" s="50">
        <v>200.67760000000001</v>
      </c>
      <c r="D1040" s="50">
        <v>201.36859999999999</v>
      </c>
      <c r="E1040" s="50">
        <v>8865706</v>
      </c>
      <c r="F1040" s="50" t="s">
        <v>1067</v>
      </c>
      <c r="G1040" s="25">
        <f t="shared" si="13"/>
        <v>7.6367417760265788E-3</v>
      </c>
    </row>
    <row r="1041" spans="1:7">
      <c r="A1041" s="50">
        <v>203.38329999999999</v>
      </c>
      <c r="B1041" s="50">
        <v>209.3981</v>
      </c>
      <c r="C1041" s="50">
        <v>201.73849999999999</v>
      </c>
      <c r="D1041" s="50">
        <v>208.74600000000001</v>
      </c>
      <c r="E1041" s="50">
        <v>9317829</v>
      </c>
      <c r="F1041" s="50" t="s">
        <v>1068</v>
      </c>
      <c r="G1041" s="25">
        <f t="shared" si="13"/>
        <v>-2.5690073103197264E-2</v>
      </c>
    </row>
    <row r="1042" spans="1:7">
      <c r="A1042" s="50">
        <v>210.34209999999999</v>
      </c>
      <c r="B1042" s="50">
        <v>212.80449999999999</v>
      </c>
      <c r="C1042" s="50">
        <v>207.53909999999999</v>
      </c>
      <c r="D1042" s="50">
        <v>210.2253</v>
      </c>
      <c r="E1042" s="50">
        <v>8409382</v>
      </c>
      <c r="F1042" s="50" t="s">
        <v>1069</v>
      </c>
      <c r="G1042" s="25">
        <f t="shared" si="13"/>
        <v>5.55594402766868E-4</v>
      </c>
    </row>
    <row r="1043" spans="1:7">
      <c r="A1043" s="50">
        <v>213.40790000000001</v>
      </c>
      <c r="B1043" s="50">
        <v>214.78020000000001</v>
      </c>
      <c r="C1043" s="50">
        <v>208.52209999999999</v>
      </c>
      <c r="D1043" s="50">
        <v>211.48089999999999</v>
      </c>
      <c r="E1043" s="50">
        <v>8463568</v>
      </c>
      <c r="F1043" s="50" t="s">
        <v>1070</v>
      </c>
      <c r="G1043" s="25">
        <f t="shared" si="13"/>
        <v>9.111933985527898E-3</v>
      </c>
    </row>
    <row r="1044" spans="1:7">
      <c r="A1044" s="50">
        <v>211.4906</v>
      </c>
      <c r="B1044" s="50">
        <v>212.03809999999999</v>
      </c>
      <c r="C1044" s="50">
        <v>196.0643</v>
      </c>
      <c r="D1044" s="50">
        <v>197.93299999999999</v>
      </c>
      <c r="E1044" s="50">
        <v>13463411</v>
      </c>
      <c r="F1044" s="50" t="s">
        <v>1071</v>
      </c>
      <c r="G1044" s="25">
        <f t="shared" ref="G1044:G1107" si="14">A1044/D1044-1</f>
        <v>6.8495905180035788E-2</v>
      </c>
    </row>
    <row r="1045" spans="1:7">
      <c r="A1045" s="50">
        <v>210.17670000000001</v>
      </c>
      <c r="B1045" s="50">
        <v>218.28399999999999</v>
      </c>
      <c r="C1045" s="50">
        <v>209.66079999999999</v>
      </c>
      <c r="D1045" s="50">
        <v>216.88249999999999</v>
      </c>
      <c r="E1045" s="50">
        <v>8669920</v>
      </c>
      <c r="F1045" s="50" t="s">
        <v>1072</v>
      </c>
      <c r="G1045" s="25">
        <f t="shared" si="14"/>
        <v>-3.0919046027226615E-2</v>
      </c>
    </row>
    <row r="1046" spans="1:7">
      <c r="A1046" s="50">
        <v>215.40309999999999</v>
      </c>
      <c r="B1046" s="50">
        <v>218.3424</v>
      </c>
      <c r="C1046" s="50">
        <v>214.04050000000001</v>
      </c>
      <c r="D1046" s="50">
        <v>215.11109999999999</v>
      </c>
      <c r="E1046" s="50">
        <v>9928821</v>
      </c>
      <c r="F1046" s="50" t="s">
        <v>1073</v>
      </c>
      <c r="G1046" s="25">
        <f t="shared" si="14"/>
        <v>1.357438086644569E-3</v>
      </c>
    </row>
    <row r="1047" spans="1:7">
      <c r="A1047" s="50">
        <v>216.73650000000001</v>
      </c>
      <c r="B1047" s="50">
        <v>219.70490000000001</v>
      </c>
      <c r="C1047" s="50">
        <v>215.9092</v>
      </c>
      <c r="D1047" s="50">
        <v>218.59540000000001</v>
      </c>
      <c r="E1047" s="50">
        <v>8121159</v>
      </c>
      <c r="F1047" s="50" t="s">
        <v>1074</v>
      </c>
      <c r="G1047" s="25">
        <f t="shared" si="14"/>
        <v>-8.5038385986164755E-3</v>
      </c>
    </row>
    <row r="1048" spans="1:7">
      <c r="A1048" s="50">
        <v>218.6052</v>
      </c>
      <c r="B1048" s="50">
        <v>222.69290000000001</v>
      </c>
      <c r="C1048" s="50">
        <v>218.17689999999999</v>
      </c>
      <c r="D1048" s="50">
        <v>222.2938</v>
      </c>
      <c r="E1048" s="50">
        <v>8131174</v>
      </c>
      <c r="F1048" s="50" t="s">
        <v>1075</v>
      </c>
      <c r="G1048" s="25">
        <f t="shared" si="14"/>
        <v>-1.6593355280264288E-2</v>
      </c>
    </row>
    <row r="1049" spans="1:7">
      <c r="A1049" s="50">
        <v>222.70259999999999</v>
      </c>
      <c r="B1049" s="50">
        <v>223.73429999999999</v>
      </c>
      <c r="C1049" s="50">
        <v>219.56379999999999</v>
      </c>
      <c r="D1049" s="50">
        <v>221.4179</v>
      </c>
      <c r="E1049" s="50">
        <v>9561287</v>
      </c>
      <c r="F1049" s="50" t="s">
        <v>1076</v>
      </c>
      <c r="G1049" s="25">
        <f t="shared" si="14"/>
        <v>5.8021505939673812E-3</v>
      </c>
    </row>
    <row r="1050" spans="1:7">
      <c r="A1050" s="50">
        <v>221.72929999999999</v>
      </c>
      <c r="B1050" s="50">
        <v>223.16</v>
      </c>
      <c r="C1050" s="50">
        <v>218.89709999999999</v>
      </c>
      <c r="D1050" s="50">
        <v>221.19399999999999</v>
      </c>
      <c r="E1050" s="50">
        <v>9461976</v>
      </c>
      <c r="F1050" s="50" t="s">
        <v>1077</v>
      </c>
      <c r="G1050" s="25">
        <f t="shared" si="14"/>
        <v>2.4200475600604232E-3</v>
      </c>
    </row>
    <row r="1051" spans="1:7">
      <c r="A1051" s="50">
        <v>219.31559999999999</v>
      </c>
      <c r="B1051" s="50">
        <v>221.18440000000001</v>
      </c>
      <c r="C1051" s="50">
        <v>216.85329999999999</v>
      </c>
      <c r="D1051" s="50">
        <v>217.32040000000001</v>
      </c>
      <c r="E1051" s="50">
        <v>8280829</v>
      </c>
      <c r="F1051" s="50" t="s">
        <v>1078</v>
      </c>
      <c r="G1051" s="25">
        <f t="shared" si="14"/>
        <v>9.1809144470560433E-3</v>
      </c>
    </row>
    <row r="1052" spans="1:7">
      <c r="A1052" s="50">
        <v>218.68299999999999</v>
      </c>
      <c r="B1052" s="50">
        <v>222.9751</v>
      </c>
      <c r="C1052" s="50">
        <v>217.56379999999999</v>
      </c>
      <c r="D1052" s="50">
        <v>221.1746</v>
      </c>
      <c r="E1052" s="50">
        <v>7535206</v>
      </c>
      <c r="F1052" s="50" t="s">
        <v>1079</v>
      </c>
      <c r="G1052" s="25">
        <f t="shared" si="14"/>
        <v>-1.1265308041701005E-2</v>
      </c>
    </row>
    <row r="1053" spans="1:7">
      <c r="A1053" s="50">
        <v>219.559</v>
      </c>
      <c r="B1053" s="50">
        <v>223.80240000000001</v>
      </c>
      <c r="C1053" s="50">
        <v>218.85820000000001</v>
      </c>
      <c r="D1053" s="50">
        <v>221.93369999999999</v>
      </c>
      <c r="E1053" s="50">
        <v>6794620</v>
      </c>
      <c r="F1053" s="50" t="s">
        <v>1080</v>
      </c>
      <c r="G1053" s="25">
        <f t="shared" si="14"/>
        <v>-1.0700042400050069E-2</v>
      </c>
    </row>
    <row r="1054" spans="1:7">
      <c r="A1054" s="50">
        <v>224.33279999999999</v>
      </c>
      <c r="B1054" s="50">
        <v>226.54830000000001</v>
      </c>
      <c r="C1054" s="50">
        <v>223.60409999999999</v>
      </c>
      <c r="D1054" s="50">
        <v>223.6138</v>
      </c>
      <c r="E1054" s="50">
        <v>7772795</v>
      </c>
      <c r="F1054" s="50" t="s">
        <v>1081</v>
      </c>
      <c r="G1054" s="25">
        <f t="shared" si="14"/>
        <v>3.2153650624424657E-3</v>
      </c>
    </row>
    <row r="1055" spans="1:7">
      <c r="A1055" s="50">
        <v>221.48580000000001</v>
      </c>
      <c r="B1055" s="50">
        <v>222.0299</v>
      </c>
      <c r="C1055" s="50">
        <v>218.3861</v>
      </c>
      <c r="D1055" s="50">
        <v>219.85339999999999</v>
      </c>
      <c r="E1055" s="50">
        <v>7542245</v>
      </c>
      <c r="F1055" s="50" t="s">
        <v>1082</v>
      </c>
      <c r="G1055" s="25">
        <f t="shared" si="14"/>
        <v>7.4249477151593357E-3</v>
      </c>
    </row>
    <row r="1056" spans="1:7">
      <c r="A1056" s="50">
        <v>220.72790000000001</v>
      </c>
      <c r="B1056" s="50">
        <v>223.40969999999999</v>
      </c>
      <c r="C1056" s="50">
        <v>219.6104</v>
      </c>
      <c r="D1056" s="50">
        <v>221.54409999999999</v>
      </c>
      <c r="E1056" s="50">
        <v>5984549</v>
      </c>
      <c r="F1056" s="50" t="s">
        <v>1083</v>
      </c>
      <c r="G1056" s="25">
        <f t="shared" si="14"/>
        <v>-3.6841423445714838E-3</v>
      </c>
    </row>
    <row r="1057" spans="1:7">
      <c r="A1057" s="50">
        <v>221.923</v>
      </c>
      <c r="B1057" s="50">
        <v>223.7012</v>
      </c>
      <c r="C1057" s="50">
        <v>218.5805</v>
      </c>
      <c r="D1057" s="50">
        <v>222.0299</v>
      </c>
      <c r="E1057" s="50">
        <v>10848120</v>
      </c>
      <c r="F1057" s="50" t="s">
        <v>1084</v>
      </c>
      <c r="G1057" s="25">
        <f t="shared" si="14"/>
        <v>-4.8146668534276849E-4</v>
      </c>
    </row>
    <row r="1058" spans="1:7">
      <c r="A1058" s="50">
        <v>224.98390000000001</v>
      </c>
      <c r="B1058" s="50">
        <v>226.87860000000001</v>
      </c>
      <c r="C1058" s="50">
        <v>224.02189999999999</v>
      </c>
      <c r="D1058" s="50">
        <v>226.44139999999999</v>
      </c>
      <c r="E1058" s="50">
        <v>9968000</v>
      </c>
      <c r="F1058" s="50" t="s">
        <v>1085</v>
      </c>
      <c r="G1058" s="25">
        <f t="shared" si="14"/>
        <v>-6.4365438475472159E-3</v>
      </c>
    </row>
    <row r="1059" spans="1:7">
      <c r="A1059" s="50">
        <v>228.75399999999999</v>
      </c>
      <c r="B1059" s="50">
        <v>229.17179999999999</v>
      </c>
      <c r="C1059" s="50">
        <v>223.49719999999999</v>
      </c>
      <c r="D1059" s="50">
        <v>224.75059999999999</v>
      </c>
      <c r="E1059" s="50">
        <v>10590512</v>
      </c>
      <c r="F1059" s="50" t="s">
        <v>1086</v>
      </c>
      <c r="G1059" s="25">
        <f t="shared" si="14"/>
        <v>1.7812633203203809E-2</v>
      </c>
    </row>
    <row r="1060" spans="1:7">
      <c r="A1060" s="50">
        <v>225.78059999999999</v>
      </c>
      <c r="B1060" s="50">
        <v>227.96700000000001</v>
      </c>
      <c r="C1060" s="50">
        <v>220.00880000000001</v>
      </c>
      <c r="D1060" s="50">
        <v>220.4752</v>
      </c>
      <c r="E1060" s="50">
        <v>12247202</v>
      </c>
      <c r="F1060" s="50" t="s">
        <v>1087</v>
      </c>
      <c r="G1060" s="25">
        <f t="shared" si="14"/>
        <v>2.4063477434196567E-2</v>
      </c>
    </row>
    <row r="1061" spans="1:7">
      <c r="A1061" s="50">
        <v>219.76589999999999</v>
      </c>
      <c r="B1061" s="50">
        <v>219.97</v>
      </c>
      <c r="C1061" s="50">
        <v>215.76259999999999</v>
      </c>
      <c r="D1061" s="50">
        <v>219.1635</v>
      </c>
      <c r="E1061" s="50">
        <v>12380639</v>
      </c>
      <c r="F1061" s="50" t="s">
        <v>1088</v>
      </c>
      <c r="G1061" s="25">
        <f t="shared" si="14"/>
        <v>2.7486328699806162E-3</v>
      </c>
    </row>
    <row r="1062" spans="1:7">
      <c r="A1062" s="50">
        <v>221.54409999999999</v>
      </c>
      <c r="B1062" s="50">
        <v>221.66069999999999</v>
      </c>
      <c r="C1062" s="50">
        <v>209.98099999999999</v>
      </c>
      <c r="D1062" s="50">
        <v>214.39250000000001</v>
      </c>
      <c r="E1062" s="50">
        <v>26425262</v>
      </c>
      <c r="F1062" s="50" t="s">
        <v>1089</v>
      </c>
      <c r="G1062" s="25">
        <f t="shared" si="14"/>
        <v>3.3357510174096383E-2</v>
      </c>
    </row>
    <row r="1063" spans="1:7">
      <c r="A1063" s="50">
        <v>200.31280000000001</v>
      </c>
      <c r="B1063" s="50">
        <v>204.98660000000001</v>
      </c>
      <c r="C1063" s="50">
        <v>200.0213</v>
      </c>
      <c r="D1063" s="50">
        <v>203.56790000000001</v>
      </c>
      <c r="E1063" s="50">
        <v>12009810</v>
      </c>
      <c r="F1063" s="50" t="s">
        <v>1090</v>
      </c>
      <c r="G1063" s="25">
        <f t="shared" si="14"/>
        <v>-1.5990242076476702E-2</v>
      </c>
    </row>
    <row r="1064" spans="1:7">
      <c r="A1064" s="50">
        <v>200.04069999999999</v>
      </c>
      <c r="B1064" s="50">
        <v>204.88939999999999</v>
      </c>
      <c r="C1064" s="50">
        <v>197.90299999999999</v>
      </c>
      <c r="D1064" s="50">
        <v>198.4957</v>
      </c>
      <c r="E1064" s="50">
        <v>10817631</v>
      </c>
      <c r="F1064" s="50" t="s">
        <v>1091</v>
      </c>
      <c r="G1064" s="25">
        <f t="shared" si="14"/>
        <v>7.7835439256366268E-3</v>
      </c>
    </row>
    <row r="1065" spans="1:7">
      <c r="A1065" s="50">
        <v>196.28030000000001</v>
      </c>
      <c r="B1065" s="50">
        <v>199.56460000000001</v>
      </c>
      <c r="C1065" s="50">
        <v>191.41220000000001</v>
      </c>
      <c r="D1065" s="50">
        <v>193.96770000000001</v>
      </c>
      <c r="E1065" s="50">
        <v>12125533</v>
      </c>
      <c r="F1065" s="50" t="s">
        <v>1092</v>
      </c>
      <c r="G1065" s="25">
        <f t="shared" si="14"/>
        <v>1.1922603608745197E-2</v>
      </c>
    </row>
    <row r="1066" spans="1:7">
      <c r="A1066" s="50">
        <v>196.1345</v>
      </c>
      <c r="B1066" s="50">
        <v>196.97989999999999</v>
      </c>
      <c r="C1066" s="50">
        <v>190.11009999999999</v>
      </c>
      <c r="D1066" s="50">
        <v>196.45519999999999</v>
      </c>
      <c r="E1066" s="50">
        <v>16071162</v>
      </c>
      <c r="F1066" s="50" t="s">
        <v>1093</v>
      </c>
      <c r="G1066" s="25">
        <f t="shared" si="14"/>
        <v>-1.6324332468674596E-3</v>
      </c>
    </row>
    <row r="1067" spans="1:7">
      <c r="A1067" s="50">
        <v>200.09899999999999</v>
      </c>
      <c r="B1067" s="50">
        <v>209.495</v>
      </c>
      <c r="C1067" s="50">
        <v>199.99209999999999</v>
      </c>
      <c r="D1067" s="50">
        <v>209.35919999999999</v>
      </c>
      <c r="E1067" s="50">
        <v>16200186</v>
      </c>
      <c r="F1067" s="50" t="s">
        <v>1094</v>
      </c>
      <c r="G1067" s="25">
        <f t="shared" si="14"/>
        <v>-4.4231158697587647E-2</v>
      </c>
    </row>
    <row r="1068" spans="1:7">
      <c r="A1068" s="50">
        <v>208.28059999999999</v>
      </c>
      <c r="B1068" s="50">
        <v>213.38489999999999</v>
      </c>
      <c r="C1068" s="50">
        <v>207.88220000000001</v>
      </c>
      <c r="D1068" s="50">
        <v>208.64009999999999</v>
      </c>
      <c r="E1068" s="50">
        <v>8532719</v>
      </c>
      <c r="F1068" s="50" t="s">
        <v>1095</v>
      </c>
      <c r="G1068" s="25">
        <f t="shared" si="14"/>
        <v>-1.7230628244522261E-3</v>
      </c>
    </row>
    <row r="1069" spans="1:7">
      <c r="A1069" s="50">
        <v>208.60130000000001</v>
      </c>
      <c r="B1069" s="50">
        <v>212.05070000000001</v>
      </c>
      <c r="C1069" s="50">
        <v>206.0992</v>
      </c>
      <c r="D1069" s="50">
        <v>206.96879999999999</v>
      </c>
      <c r="E1069" s="50">
        <v>9399847</v>
      </c>
      <c r="F1069" s="50" t="s">
        <v>1096</v>
      </c>
      <c r="G1069" s="25">
        <f t="shared" si="14"/>
        <v>7.8876622949932695E-3</v>
      </c>
    </row>
    <row r="1070" spans="1:7">
      <c r="A1070" s="50">
        <v>209.60210000000001</v>
      </c>
      <c r="B1070" s="50">
        <v>210.76320000000001</v>
      </c>
      <c r="C1070" s="50">
        <v>208.2612</v>
      </c>
      <c r="D1070" s="50">
        <v>209.76730000000001</v>
      </c>
      <c r="E1070" s="50">
        <v>9099883</v>
      </c>
      <c r="F1070" s="50" t="s">
        <v>1097</v>
      </c>
      <c r="G1070" s="25">
        <f t="shared" si="14"/>
        <v>-7.8753933525388398E-4</v>
      </c>
    </row>
    <row r="1071" spans="1:7">
      <c r="A1071" s="50">
        <v>208.5915</v>
      </c>
      <c r="B1071" s="50">
        <v>212.06530000000001</v>
      </c>
      <c r="C1071" s="50">
        <v>207.65870000000001</v>
      </c>
      <c r="D1071" s="50">
        <v>208.10570000000001</v>
      </c>
      <c r="E1071" s="50">
        <v>8838059</v>
      </c>
      <c r="F1071" s="50" t="s">
        <v>1098</v>
      </c>
      <c r="G1071" s="25">
        <f t="shared" si="14"/>
        <v>2.3343906485981947E-3</v>
      </c>
    </row>
    <row r="1072" spans="1:7">
      <c r="A1072" s="50">
        <v>208.91220000000001</v>
      </c>
      <c r="B1072" s="50">
        <v>214.23699999999999</v>
      </c>
      <c r="C1072" s="50">
        <v>208.577</v>
      </c>
      <c r="D1072" s="50">
        <v>210.7098</v>
      </c>
      <c r="E1072" s="50">
        <v>8867716</v>
      </c>
      <c r="F1072" s="50" t="s">
        <v>1099</v>
      </c>
      <c r="G1072" s="25">
        <f t="shared" si="14"/>
        <v>-8.5311646634375071E-3</v>
      </c>
    </row>
    <row r="1073" spans="1:7">
      <c r="A1073" s="50">
        <v>209.60210000000001</v>
      </c>
      <c r="B1073" s="50">
        <v>211.41909999999999</v>
      </c>
      <c r="C1073" s="50">
        <v>207.756</v>
      </c>
      <c r="D1073" s="50">
        <v>208.40690000000001</v>
      </c>
      <c r="E1073" s="50">
        <v>6923316</v>
      </c>
      <c r="F1073" s="50" t="s">
        <v>1100</v>
      </c>
      <c r="G1073" s="25">
        <f t="shared" si="14"/>
        <v>5.7349348797952615E-3</v>
      </c>
    </row>
    <row r="1074" spans="1:7">
      <c r="A1074" s="50">
        <v>208.30969999999999</v>
      </c>
      <c r="B1074" s="50">
        <v>208.8587</v>
      </c>
      <c r="C1074" s="50">
        <v>202.82939999999999</v>
      </c>
      <c r="D1074" s="50">
        <v>205.43360000000001</v>
      </c>
      <c r="E1074" s="50">
        <v>8803100</v>
      </c>
      <c r="F1074" s="50" t="s">
        <v>1101</v>
      </c>
      <c r="G1074" s="25">
        <f t="shared" si="14"/>
        <v>1.4000144085485333E-2</v>
      </c>
    </row>
    <row r="1075" spans="1:7">
      <c r="A1075" s="50">
        <v>205.96799999999999</v>
      </c>
      <c r="B1075" s="50">
        <v>208.13480000000001</v>
      </c>
      <c r="C1075" s="50">
        <v>200.65289999999999</v>
      </c>
      <c r="D1075" s="50">
        <v>207.9162</v>
      </c>
      <c r="E1075" s="50">
        <v>11978564</v>
      </c>
      <c r="F1075" s="50" t="s">
        <v>1102</v>
      </c>
      <c r="G1075" s="25">
        <f t="shared" si="14"/>
        <v>-9.3701212315346893E-3</v>
      </c>
    </row>
    <row r="1076" spans="1:7">
      <c r="A1076" s="50">
        <v>210.8167</v>
      </c>
      <c r="B1076" s="50">
        <v>213.965</v>
      </c>
      <c r="C1076" s="50">
        <v>209.5341</v>
      </c>
      <c r="D1076" s="50">
        <v>211.1568</v>
      </c>
      <c r="E1076" s="50">
        <v>10702084</v>
      </c>
      <c r="F1076" s="50" t="s">
        <v>1103</v>
      </c>
      <c r="G1076" s="25">
        <f t="shared" si="14"/>
        <v>-1.610651421124043E-3</v>
      </c>
    </row>
    <row r="1077" spans="1:7">
      <c r="A1077" s="50">
        <v>213.52770000000001</v>
      </c>
      <c r="B1077" s="50">
        <v>215.62649999999999</v>
      </c>
      <c r="C1077" s="50">
        <v>211.39</v>
      </c>
      <c r="D1077" s="50">
        <v>211.63290000000001</v>
      </c>
      <c r="E1077" s="50">
        <v>7877498</v>
      </c>
      <c r="F1077" s="50" t="s">
        <v>1104</v>
      </c>
      <c r="G1077" s="25">
        <f t="shared" si="14"/>
        <v>8.9532393120350662E-3</v>
      </c>
    </row>
    <row r="1078" spans="1:7">
      <c r="A1078" s="50">
        <v>213.7706</v>
      </c>
      <c r="B1078" s="50">
        <v>218.8914</v>
      </c>
      <c r="C1078" s="50">
        <v>213.69290000000001</v>
      </c>
      <c r="D1078" s="50">
        <v>216.33590000000001</v>
      </c>
      <c r="E1078" s="50">
        <v>9594587</v>
      </c>
      <c r="F1078" s="50" t="s">
        <v>1105</v>
      </c>
      <c r="G1078" s="25">
        <f t="shared" si="14"/>
        <v>-1.18579486807322E-2</v>
      </c>
    </row>
    <row r="1079" spans="1:7">
      <c r="A1079" s="50">
        <v>216.161</v>
      </c>
      <c r="B1079" s="50">
        <v>220.36840000000001</v>
      </c>
      <c r="C1079" s="50">
        <v>215.52940000000001</v>
      </c>
      <c r="D1079" s="50">
        <v>215.714</v>
      </c>
      <c r="E1079" s="50">
        <v>10629274</v>
      </c>
      <c r="F1079" s="50" t="s">
        <v>1106</v>
      </c>
      <c r="G1079" s="25">
        <f t="shared" si="14"/>
        <v>2.0721881750835891E-3</v>
      </c>
    </row>
    <row r="1080" spans="1:7">
      <c r="A1080" s="50">
        <v>215.1601</v>
      </c>
      <c r="B1080" s="50">
        <v>215.7723</v>
      </c>
      <c r="C1080" s="50">
        <v>210.86539999999999</v>
      </c>
      <c r="D1080" s="50">
        <v>211.36080000000001</v>
      </c>
      <c r="E1080" s="50">
        <v>7696504</v>
      </c>
      <c r="F1080" s="50" t="s">
        <v>1107</v>
      </c>
      <c r="G1080" s="25">
        <f t="shared" si="14"/>
        <v>1.7975424014292196E-2</v>
      </c>
    </row>
    <row r="1081" spans="1:7">
      <c r="A1081" s="50">
        <v>210.57380000000001</v>
      </c>
      <c r="B1081" s="50">
        <v>211.80779999999999</v>
      </c>
      <c r="C1081" s="50">
        <v>209.38829999999999</v>
      </c>
      <c r="D1081" s="50">
        <v>210.67089999999999</v>
      </c>
      <c r="E1081" s="50">
        <v>4723347</v>
      </c>
      <c r="F1081" s="50" t="s">
        <v>1108</v>
      </c>
      <c r="G1081" s="25">
        <f t="shared" si="14"/>
        <v>-4.6090845959256832E-4</v>
      </c>
    </row>
    <row r="1082" spans="1:7">
      <c r="A1082" s="50">
        <v>211.70089999999999</v>
      </c>
      <c r="B1082" s="50">
        <v>212.94470000000001</v>
      </c>
      <c r="C1082" s="50">
        <v>211.00129999999999</v>
      </c>
      <c r="D1082" s="50">
        <v>211.79810000000001</v>
      </c>
      <c r="E1082" s="50">
        <v>3812844</v>
      </c>
      <c r="F1082" s="50" t="s">
        <v>1109</v>
      </c>
      <c r="G1082" s="25">
        <f t="shared" si="14"/>
        <v>-4.5892762966248668E-4</v>
      </c>
    </row>
    <row r="1083" spans="1:7">
      <c r="A1083" s="50">
        <v>211.9924</v>
      </c>
      <c r="B1083" s="50">
        <v>212.7406</v>
      </c>
      <c r="C1083" s="50">
        <v>211.17619999999999</v>
      </c>
      <c r="D1083" s="50">
        <v>211.59399999999999</v>
      </c>
      <c r="E1083" s="50">
        <v>3223215</v>
      </c>
      <c r="F1083" s="50" t="s">
        <v>1110</v>
      </c>
      <c r="G1083" s="25">
        <f t="shared" si="14"/>
        <v>1.882851120542206E-3</v>
      </c>
    </row>
    <row r="1084" spans="1:7">
      <c r="A1084" s="50">
        <v>211.8758</v>
      </c>
      <c r="B1084" s="50">
        <v>213.50829999999999</v>
      </c>
      <c r="C1084" s="50">
        <v>209.47579999999999</v>
      </c>
      <c r="D1084" s="50">
        <v>209.89359999999999</v>
      </c>
      <c r="E1084" s="50">
        <v>4283621</v>
      </c>
      <c r="F1084" s="50" t="s">
        <v>1111</v>
      </c>
      <c r="G1084" s="25">
        <f t="shared" si="14"/>
        <v>9.4438324941781282E-3</v>
      </c>
    </row>
    <row r="1085" spans="1:7">
      <c r="A1085" s="50">
        <v>211.46770000000001</v>
      </c>
      <c r="B1085" s="50">
        <v>211.94380000000001</v>
      </c>
      <c r="C1085" s="50">
        <v>208.79560000000001</v>
      </c>
      <c r="D1085" s="50">
        <v>211.5163</v>
      </c>
      <c r="E1085" s="50">
        <v>4819103</v>
      </c>
      <c r="F1085" s="50" t="s">
        <v>1112</v>
      </c>
      <c r="G1085" s="25">
        <f t="shared" si="14"/>
        <v>-2.2976952603648293E-4</v>
      </c>
    </row>
    <row r="1086" spans="1:7">
      <c r="A1086" s="50">
        <v>210.4863</v>
      </c>
      <c r="B1086" s="50">
        <v>212.33</v>
      </c>
      <c r="C1086" s="50">
        <v>210.4863</v>
      </c>
      <c r="D1086" s="50">
        <v>212.25479999999999</v>
      </c>
      <c r="E1086" s="50">
        <v>4798217</v>
      </c>
      <c r="F1086" s="50" t="s">
        <v>1113</v>
      </c>
      <c r="G1086" s="25">
        <f t="shared" si="14"/>
        <v>-8.3319670509217625E-3</v>
      </c>
    </row>
    <row r="1087" spans="1:7">
      <c r="A1087" s="50">
        <v>211.7884</v>
      </c>
      <c r="B1087" s="50">
        <v>212.7406</v>
      </c>
      <c r="C1087" s="50">
        <v>207.79480000000001</v>
      </c>
      <c r="D1087" s="50">
        <v>207.79480000000001</v>
      </c>
      <c r="E1087" s="50">
        <v>6003398</v>
      </c>
      <c r="F1087" s="50" t="s">
        <v>1114</v>
      </c>
      <c r="G1087" s="25">
        <f t="shared" si="14"/>
        <v>1.9218960243470917E-2</v>
      </c>
    </row>
    <row r="1088" spans="1:7">
      <c r="A1088" s="50">
        <v>209.28139999999999</v>
      </c>
      <c r="B1088" s="50">
        <v>210.0393</v>
      </c>
      <c r="C1088" s="50">
        <v>204.40649999999999</v>
      </c>
      <c r="D1088" s="50">
        <v>204.6465</v>
      </c>
      <c r="E1088" s="50">
        <v>6993699</v>
      </c>
      <c r="F1088" s="50" t="s">
        <v>1115</v>
      </c>
      <c r="G1088" s="25">
        <f t="shared" si="14"/>
        <v>2.2648322839628365E-2</v>
      </c>
    </row>
    <row r="1089" spans="1:7">
      <c r="A1089" s="50">
        <v>202.82939999999999</v>
      </c>
      <c r="B1089" s="50">
        <v>203.83029999999999</v>
      </c>
      <c r="C1089" s="50">
        <v>201.0027</v>
      </c>
      <c r="D1089" s="50">
        <v>203.1695</v>
      </c>
      <c r="E1089" s="50">
        <v>9434415</v>
      </c>
      <c r="F1089" s="50" t="s">
        <v>1116</v>
      </c>
      <c r="G1089" s="25">
        <f t="shared" si="14"/>
        <v>-1.6739717329619097E-3</v>
      </c>
    </row>
    <row r="1090" spans="1:7">
      <c r="A1090" s="50">
        <v>205.88050000000001</v>
      </c>
      <c r="B1090" s="50">
        <v>207.1729</v>
      </c>
      <c r="C1090" s="50">
        <v>201.90629999999999</v>
      </c>
      <c r="D1090" s="50">
        <v>206.77449999999999</v>
      </c>
      <c r="E1090" s="50">
        <v>11663037</v>
      </c>
      <c r="F1090" s="50" t="s">
        <v>1117</v>
      </c>
      <c r="G1090" s="25">
        <f t="shared" si="14"/>
        <v>-4.3235505345193825E-3</v>
      </c>
    </row>
    <row r="1091" spans="1:7">
      <c r="A1091" s="50">
        <v>208.3</v>
      </c>
      <c r="B1091" s="50">
        <v>210.14619999999999</v>
      </c>
      <c r="C1091" s="50">
        <v>205.6182</v>
      </c>
      <c r="D1091" s="50">
        <v>209.19399999999999</v>
      </c>
      <c r="E1091" s="50">
        <v>8548404</v>
      </c>
      <c r="F1091" s="50" t="s">
        <v>1118</v>
      </c>
      <c r="G1091" s="25">
        <f t="shared" si="14"/>
        <v>-4.2735451303573813E-3</v>
      </c>
    </row>
    <row r="1092" spans="1:7">
      <c r="A1092" s="50">
        <v>206.29839999999999</v>
      </c>
      <c r="B1092" s="50">
        <v>206.47329999999999</v>
      </c>
      <c r="C1092" s="50">
        <v>201.9744</v>
      </c>
      <c r="D1092" s="50">
        <v>203.4708</v>
      </c>
      <c r="E1092" s="50">
        <v>10892534</v>
      </c>
      <c r="F1092" s="50" t="s">
        <v>1119</v>
      </c>
      <c r="G1092" s="25">
        <f t="shared" si="14"/>
        <v>1.3896834336917019E-2</v>
      </c>
    </row>
    <row r="1093" spans="1:7">
      <c r="A1093" s="50">
        <v>204.0343</v>
      </c>
      <c r="B1093" s="50">
        <v>207.32830000000001</v>
      </c>
      <c r="C1093" s="50">
        <v>202.54769999999999</v>
      </c>
      <c r="D1093" s="50">
        <v>204.76310000000001</v>
      </c>
      <c r="E1093" s="50">
        <v>9832274</v>
      </c>
      <c r="F1093" s="50" t="s">
        <v>1120</v>
      </c>
      <c r="G1093" s="25">
        <f t="shared" si="14"/>
        <v>-3.5592350379536342E-3</v>
      </c>
    </row>
    <row r="1094" spans="1:7">
      <c r="A1094" s="50">
        <v>205.04490000000001</v>
      </c>
      <c r="B1094" s="50">
        <v>207.27979999999999</v>
      </c>
      <c r="C1094" s="50">
        <v>204.0343</v>
      </c>
      <c r="D1094" s="50">
        <v>206.43440000000001</v>
      </c>
      <c r="E1094" s="50">
        <v>8844298</v>
      </c>
      <c r="F1094" s="50" t="s">
        <v>1121</v>
      </c>
      <c r="G1094" s="25">
        <f t="shared" si="14"/>
        <v>-6.7309518181077888E-3</v>
      </c>
    </row>
    <row r="1095" spans="1:7">
      <c r="A1095" s="50">
        <v>207.35749999999999</v>
      </c>
      <c r="B1095" s="50">
        <v>208.18340000000001</v>
      </c>
      <c r="C1095" s="50">
        <v>204.88939999999999</v>
      </c>
      <c r="D1095" s="50">
        <v>205.9</v>
      </c>
      <c r="E1095" s="50">
        <v>8882718</v>
      </c>
      <c r="F1095" s="50" t="s">
        <v>1122</v>
      </c>
      <c r="G1095" s="25">
        <f t="shared" si="14"/>
        <v>7.0786789703738418E-3</v>
      </c>
    </row>
    <row r="1096" spans="1:7">
      <c r="A1096" s="50">
        <v>205.40440000000001</v>
      </c>
      <c r="B1096" s="50">
        <v>206.19149999999999</v>
      </c>
      <c r="C1096" s="50">
        <v>201.3039</v>
      </c>
      <c r="D1096" s="50">
        <v>202.6157</v>
      </c>
      <c r="E1096" s="50">
        <v>10176774</v>
      </c>
      <c r="F1096" s="50" t="s">
        <v>1123</v>
      </c>
      <c r="G1096" s="25">
        <f t="shared" si="14"/>
        <v>1.3763494141865618E-2</v>
      </c>
    </row>
    <row r="1097" spans="1:7">
      <c r="A1097" s="50">
        <v>203.07239999999999</v>
      </c>
      <c r="B1097" s="50">
        <v>203.54849999999999</v>
      </c>
      <c r="C1097" s="50">
        <v>199.8852</v>
      </c>
      <c r="D1097" s="50">
        <v>201.78</v>
      </c>
      <c r="E1097" s="50">
        <v>11749206</v>
      </c>
      <c r="F1097" s="50" t="s">
        <v>1124</v>
      </c>
      <c r="G1097" s="25">
        <f t="shared" si="14"/>
        <v>6.4049955396965341E-3</v>
      </c>
    </row>
    <row r="1098" spans="1:7">
      <c r="A1098" s="50">
        <v>201.4982</v>
      </c>
      <c r="B1098" s="50">
        <v>202.0521</v>
      </c>
      <c r="C1098" s="50">
        <v>200.06010000000001</v>
      </c>
      <c r="D1098" s="50">
        <v>200.167</v>
      </c>
      <c r="E1098" s="50">
        <v>11897237</v>
      </c>
      <c r="F1098" s="50" t="s">
        <v>1125</v>
      </c>
      <c r="G1098" s="25">
        <f t="shared" si="14"/>
        <v>6.6504468768577851E-3</v>
      </c>
    </row>
    <row r="1099" spans="1:7">
      <c r="A1099" s="50">
        <v>196.941</v>
      </c>
      <c r="B1099" s="50">
        <v>198.4374</v>
      </c>
      <c r="C1099" s="50">
        <v>192.14089999999999</v>
      </c>
      <c r="D1099" s="50">
        <v>193.14169999999999</v>
      </c>
      <c r="E1099" s="50">
        <v>10722095</v>
      </c>
      <c r="F1099" s="50" t="s">
        <v>1126</v>
      </c>
      <c r="G1099" s="25">
        <f t="shared" si="14"/>
        <v>1.9671049804366625E-2</v>
      </c>
    </row>
    <row r="1100" spans="1:7">
      <c r="A1100" s="50">
        <v>190.7611</v>
      </c>
      <c r="B1100" s="50">
        <v>192.8502</v>
      </c>
      <c r="C1100" s="50">
        <v>188.54570000000001</v>
      </c>
      <c r="D1100" s="50">
        <v>192.6559</v>
      </c>
      <c r="E1100" s="50">
        <v>10660536</v>
      </c>
      <c r="F1100" s="50" t="s">
        <v>1127</v>
      </c>
      <c r="G1100" s="25">
        <f t="shared" si="14"/>
        <v>-9.8351516875424538E-3</v>
      </c>
    </row>
    <row r="1101" spans="1:7">
      <c r="A1101" s="50">
        <v>192.67529999999999</v>
      </c>
      <c r="B1101" s="50">
        <v>193.78790000000001</v>
      </c>
      <c r="C1101" s="50">
        <v>186.4177</v>
      </c>
      <c r="D1101" s="50">
        <v>186.5634</v>
      </c>
      <c r="E1101" s="50">
        <v>13976279</v>
      </c>
      <c r="F1101" s="50" t="s">
        <v>1128</v>
      </c>
      <c r="G1101" s="25">
        <f t="shared" si="14"/>
        <v>3.2760444974737846E-2</v>
      </c>
    </row>
    <row r="1102" spans="1:7">
      <c r="A1102" s="50">
        <v>184.77549999999999</v>
      </c>
      <c r="B1102" s="50">
        <v>191.2372</v>
      </c>
      <c r="C1102" s="50">
        <v>184.71719999999999</v>
      </c>
      <c r="D1102" s="50">
        <v>190.47929999999999</v>
      </c>
      <c r="E1102" s="50">
        <v>13213371</v>
      </c>
      <c r="F1102" s="50" t="s">
        <v>1129</v>
      </c>
      <c r="G1102" s="25">
        <f t="shared" si="14"/>
        <v>-2.9944461156671598E-2</v>
      </c>
    </row>
    <row r="1103" spans="1:7">
      <c r="A1103" s="50">
        <v>188.2833</v>
      </c>
      <c r="B1103" s="50">
        <v>192.06319999999999</v>
      </c>
      <c r="C1103" s="50">
        <v>187.10759999999999</v>
      </c>
      <c r="D1103" s="50">
        <v>189.74090000000001</v>
      </c>
      <c r="E1103" s="50">
        <v>16022982</v>
      </c>
      <c r="F1103" s="50" t="s">
        <v>1130</v>
      </c>
      <c r="G1103" s="25">
        <f t="shared" si="14"/>
        <v>-7.6820548442639858E-3</v>
      </c>
    </row>
    <row r="1104" spans="1:7">
      <c r="A1104" s="50">
        <v>190.732</v>
      </c>
      <c r="B1104" s="50">
        <v>195.5515</v>
      </c>
      <c r="C1104" s="50">
        <v>189.82830000000001</v>
      </c>
      <c r="D1104" s="50">
        <v>195.30860000000001</v>
      </c>
      <c r="E1104" s="50">
        <v>14633524</v>
      </c>
      <c r="F1104" s="50" t="s">
        <v>1131</v>
      </c>
      <c r="G1104" s="25">
        <f t="shared" si="14"/>
        <v>-2.343265990335297E-2</v>
      </c>
    </row>
    <row r="1105" spans="1:7">
      <c r="A1105" s="50">
        <v>192.05350000000001</v>
      </c>
      <c r="B1105" s="50">
        <v>193.54990000000001</v>
      </c>
      <c r="C1105" s="50">
        <v>187.09790000000001</v>
      </c>
      <c r="D1105" s="50">
        <v>187.84610000000001</v>
      </c>
      <c r="E1105" s="50">
        <v>10987553</v>
      </c>
      <c r="F1105" s="50" t="s">
        <v>1132</v>
      </c>
      <c r="G1105" s="25">
        <f t="shared" si="14"/>
        <v>2.2398122718544577E-2</v>
      </c>
    </row>
    <row r="1106" spans="1:7">
      <c r="A1106" s="50">
        <v>197.4949</v>
      </c>
      <c r="B1106" s="50">
        <v>198.17509999999999</v>
      </c>
      <c r="C1106" s="50">
        <v>192.0437</v>
      </c>
      <c r="D1106" s="50">
        <v>192.55869999999999</v>
      </c>
      <c r="E1106" s="50">
        <v>12026815</v>
      </c>
      <c r="F1106" s="50" t="s">
        <v>1133</v>
      </c>
      <c r="G1106" s="25">
        <f t="shared" si="14"/>
        <v>2.5634780459153461E-2</v>
      </c>
    </row>
    <row r="1107" spans="1:7">
      <c r="A1107" s="50">
        <v>192.86969999999999</v>
      </c>
      <c r="B1107" s="50">
        <v>193.28749999999999</v>
      </c>
      <c r="C1107" s="50">
        <v>188.87610000000001</v>
      </c>
      <c r="D1107" s="50">
        <v>191.39269999999999</v>
      </c>
      <c r="E1107" s="50">
        <v>14749103</v>
      </c>
      <c r="F1107" s="50" t="s">
        <v>1134</v>
      </c>
      <c r="G1107" s="25">
        <f t="shared" si="14"/>
        <v>7.7171177375103817E-3</v>
      </c>
    </row>
    <row r="1108" spans="1:7">
      <c r="A1108" s="50">
        <v>190.0421</v>
      </c>
      <c r="B1108" s="50">
        <v>195.9888</v>
      </c>
      <c r="C1108" s="50">
        <v>189.0898</v>
      </c>
      <c r="D1108" s="50">
        <v>194.33690000000001</v>
      </c>
      <c r="E1108" s="50">
        <v>21191921</v>
      </c>
      <c r="F1108" s="50" t="s">
        <v>1135</v>
      </c>
      <c r="G1108" s="25">
        <f t="shared" ref="G1108:G1171" si="15">A1108/D1108-1</f>
        <v>-2.2099765921963388E-2</v>
      </c>
    </row>
    <row r="1109" spans="1:7">
      <c r="A1109" s="50">
        <v>195.17259999999999</v>
      </c>
      <c r="B1109" s="50">
        <v>197.73779999999999</v>
      </c>
      <c r="C1109" s="50">
        <v>194.19120000000001</v>
      </c>
      <c r="D1109" s="50">
        <v>196.3192</v>
      </c>
      <c r="E1109" s="50">
        <v>18038726</v>
      </c>
      <c r="F1109" s="50" t="s">
        <v>1136</v>
      </c>
      <c r="G1109" s="25">
        <f t="shared" si="15"/>
        <v>-5.840488347548356E-3</v>
      </c>
    </row>
    <row r="1110" spans="1:7">
      <c r="A1110" s="50">
        <v>197.57259999999999</v>
      </c>
      <c r="B1110" s="50">
        <v>201.98410000000001</v>
      </c>
      <c r="C1110" s="50">
        <v>195.571</v>
      </c>
      <c r="D1110" s="50">
        <v>200.65289999999999</v>
      </c>
      <c r="E1110" s="50">
        <v>18292164</v>
      </c>
      <c r="F1110" s="50" t="s">
        <v>1137</v>
      </c>
      <c r="G1110" s="25">
        <f t="shared" si="15"/>
        <v>-1.5351385402354034E-2</v>
      </c>
    </row>
    <row r="1111" spans="1:7">
      <c r="A1111" s="50">
        <v>199.25360000000001</v>
      </c>
      <c r="B1111" s="50">
        <v>201.43989999999999</v>
      </c>
      <c r="C1111" s="50">
        <v>193.81219999999999</v>
      </c>
      <c r="D1111" s="50">
        <v>200.11840000000001</v>
      </c>
      <c r="E1111" s="50">
        <v>38379567</v>
      </c>
      <c r="F1111" s="50" t="s">
        <v>1138</v>
      </c>
      <c r="G1111" s="25">
        <f t="shared" si="15"/>
        <v>-4.321441706509721E-3</v>
      </c>
    </row>
    <row r="1112" spans="1:7">
      <c r="A1112" s="50">
        <v>209.08709999999999</v>
      </c>
      <c r="B1112" s="50">
        <v>209.5438</v>
      </c>
      <c r="C1112" s="50">
        <v>205.66679999999999</v>
      </c>
      <c r="D1112" s="50">
        <v>206.15260000000001</v>
      </c>
      <c r="E1112" s="50">
        <v>8719577</v>
      </c>
      <c r="F1112" s="50" t="s">
        <v>1139</v>
      </c>
      <c r="G1112" s="25">
        <f t="shared" si="15"/>
        <v>1.4234600970349121E-2</v>
      </c>
    </row>
    <row r="1113" spans="1:7">
      <c r="A1113" s="50">
        <v>206.2886</v>
      </c>
      <c r="B1113" s="50">
        <v>210.27250000000001</v>
      </c>
      <c r="C1113" s="50">
        <v>205.8125</v>
      </c>
      <c r="D1113" s="50">
        <v>207.57130000000001</v>
      </c>
      <c r="E1113" s="50">
        <v>9596933</v>
      </c>
      <c r="F1113" s="50" t="s">
        <v>1140</v>
      </c>
      <c r="G1113" s="25">
        <f t="shared" si="15"/>
        <v>-6.1795633596745114E-3</v>
      </c>
    </row>
    <row r="1114" spans="1:7">
      <c r="A1114" s="50">
        <v>206.08459999999999</v>
      </c>
      <c r="B1114" s="50">
        <v>207.5324</v>
      </c>
      <c r="C1114" s="50">
        <v>205.44720000000001</v>
      </c>
      <c r="D1114" s="50">
        <v>205.51130000000001</v>
      </c>
      <c r="E1114" s="50">
        <v>7660450</v>
      </c>
      <c r="F1114" s="50" t="s">
        <v>1141</v>
      </c>
      <c r="G1114" s="25">
        <f t="shared" si="15"/>
        <v>2.7896276263152942E-3</v>
      </c>
    </row>
    <row r="1115" spans="1:7">
      <c r="A1115" s="50">
        <v>204.46190000000001</v>
      </c>
      <c r="B1115" s="50">
        <v>210.64179999999999</v>
      </c>
      <c r="C1115" s="50">
        <v>204.20920000000001</v>
      </c>
      <c r="D1115" s="50">
        <v>210.34059999999999</v>
      </c>
      <c r="E1115" s="50">
        <v>13546919</v>
      </c>
      <c r="F1115" s="50" t="s">
        <v>1142</v>
      </c>
      <c r="G1115" s="25">
        <f t="shared" si="15"/>
        <v>-2.7948479751412569E-2</v>
      </c>
    </row>
    <row r="1116" spans="1:7">
      <c r="A1116" s="50">
        <v>209.4563</v>
      </c>
      <c r="B1116" s="50">
        <v>210.80699999999999</v>
      </c>
      <c r="C1116" s="50">
        <v>207.2895</v>
      </c>
      <c r="D1116" s="50">
        <v>207.50319999999999</v>
      </c>
      <c r="E1116" s="50">
        <v>10063587</v>
      </c>
      <c r="F1116" s="50" t="s">
        <v>1143</v>
      </c>
      <c r="G1116" s="25">
        <f t="shared" si="15"/>
        <v>9.4123849656295722E-3</v>
      </c>
    </row>
    <row r="1117" spans="1:7">
      <c r="A1117" s="50">
        <v>206.98339999999999</v>
      </c>
      <c r="B1117" s="50">
        <v>213.79259999999999</v>
      </c>
      <c r="C1117" s="50">
        <v>206.52269999999999</v>
      </c>
      <c r="D1117" s="50">
        <v>213.0943</v>
      </c>
      <c r="E1117" s="50">
        <v>11535021</v>
      </c>
      <c r="F1117" s="50" t="s">
        <v>1144</v>
      </c>
      <c r="G1117" s="25">
        <f t="shared" si="15"/>
        <v>-2.8676975404785643E-2</v>
      </c>
    </row>
    <row r="1118" spans="1:7">
      <c r="A1118" s="50">
        <v>213.87020000000001</v>
      </c>
      <c r="B1118" s="50">
        <v>214.95660000000001</v>
      </c>
      <c r="C1118" s="50">
        <v>211.60050000000001</v>
      </c>
      <c r="D1118" s="50">
        <v>211.81389999999999</v>
      </c>
      <c r="E1118" s="50">
        <v>13500101</v>
      </c>
      <c r="F1118" s="50" t="s">
        <v>1145</v>
      </c>
      <c r="G1118" s="25">
        <f t="shared" si="15"/>
        <v>9.7080503215323244E-3</v>
      </c>
    </row>
    <row r="1119" spans="1:7">
      <c r="A1119" s="50">
        <v>210.16489999999999</v>
      </c>
      <c r="B1119" s="50">
        <v>211.09119999999999</v>
      </c>
      <c r="C1119" s="50">
        <v>205.01429999999999</v>
      </c>
      <c r="D1119" s="50">
        <v>205.5866</v>
      </c>
      <c r="E1119" s="50">
        <v>14273638</v>
      </c>
      <c r="F1119" s="50" t="s">
        <v>1146</v>
      </c>
      <c r="G1119" s="25">
        <f t="shared" si="15"/>
        <v>2.2269447522357932E-2</v>
      </c>
    </row>
    <row r="1120" spans="1:7">
      <c r="A1120" s="50">
        <v>202.51179999999999</v>
      </c>
      <c r="B1120" s="50">
        <v>205.9836</v>
      </c>
      <c r="C1120" s="50">
        <v>201.62909999999999</v>
      </c>
      <c r="D1120" s="50">
        <v>202.88040000000001</v>
      </c>
      <c r="E1120" s="50">
        <v>11368187</v>
      </c>
      <c r="F1120" s="50" t="s">
        <v>1147</v>
      </c>
      <c r="G1120" s="25">
        <f t="shared" si="15"/>
        <v>-1.816833957346331E-3</v>
      </c>
    </row>
    <row r="1121" spans="1:7">
      <c r="A1121" s="50">
        <v>201.85220000000001</v>
      </c>
      <c r="B1121" s="50">
        <v>203.8407</v>
      </c>
      <c r="C1121" s="50">
        <v>200.52330000000001</v>
      </c>
      <c r="D1121" s="50">
        <v>203.39449999999999</v>
      </c>
      <c r="E1121" s="50">
        <v>11486714</v>
      </c>
      <c r="F1121" s="50" t="s">
        <v>1148</v>
      </c>
      <c r="G1121" s="25">
        <f t="shared" si="15"/>
        <v>-7.5828009115289641E-3</v>
      </c>
    </row>
    <row r="1122" spans="1:7">
      <c r="A1122" s="50">
        <v>202.86099999999999</v>
      </c>
      <c r="B1122" s="50">
        <v>206.94460000000001</v>
      </c>
      <c r="C1122" s="50">
        <v>201.5806</v>
      </c>
      <c r="D1122" s="50">
        <v>206.7603</v>
      </c>
      <c r="E1122" s="50">
        <v>14688722</v>
      </c>
      <c r="F1122" s="50" t="s">
        <v>1149</v>
      </c>
      <c r="G1122" s="25">
        <f t="shared" si="15"/>
        <v>-1.8859036285012176E-2</v>
      </c>
    </row>
    <row r="1123" spans="1:7">
      <c r="A1123" s="50">
        <v>206.0813</v>
      </c>
      <c r="B1123" s="50">
        <v>208.7876</v>
      </c>
      <c r="C1123" s="50">
        <v>205.10159999999999</v>
      </c>
      <c r="D1123" s="50">
        <v>207.0804</v>
      </c>
      <c r="E1123" s="50">
        <v>13210298</v>
      </c>
      <c r="F1123" s="50" t="s">
        <v>1150</v>
      </c>
      <c r="G1123" s="25">
        <f t="shared" si="15"/>
        <v>-4.8246961083714401E-3</v>
      </c>
    </row>
    <row r="1124" spans="1:7">
      <c r="A1124" s="50">
        <v>205.41200000000001</v>
      </c>
      <c r="B1124" s="50">
        <v>207.2501</v>
      </c>
      <c r="C1124" s="50">
        <v>202.279</v>
      </c>
      <c r="D1124" s="50">
        <v>202.9289</v>
      </c>
      <c r="E1124" s="50">
        <v>14329821</v>
      </c>
      <c r="F1124" s="50" t="s">
        <v>1151</v>
      </c>
      <c r="G1124" s="25">
        <f t="shared" si="15"/>
        <v>1.22363054252006E-2</v>
      </c>
    </row>
    <row r="1125" spans="1:7">
      <c r="A1125" s="50">
        <v>203.54</v>
      </c>
      <c r="B1125" s="50">
        <v>213.3852</v>
      </c>
      <c r="C1125" s="50">
        <v>202.73490000000001</v>
      </c>
      <c r="D1125" s="50">
        <v>212.66749999999999</v>
      </c>
      <c r="E1125" s="50">
        <v>23199407</v>
      </c>
      <c r="F1125" s="50" t="s">
        <v>1152</v>
      </c>
      <c r="G1125" s="25">
        <f t="shared" si="15"/>
        <v>-4.2919110818531281E-2</v>
      </c>
    </row>
    <row r="1126" spans="1:7">
      <c r="A1126" s="50">
        <v>209.30160000000001</v>
      </c>
      <c r="B1126" s="50">
        <v>218.00229999999999</v>
      </c>
      <c r="C1126" s="50">
        <v>209.18520000000001</v>
      </c>
      <c r="D1126" s="50">
        <v>218.00229999999999</v>
      </c>
      <c r="E1126" s="50">
        <v>22958064</v>
      </c>
      <c r="F1126" s="50" t="s">
        <v>1153</v>
      </c>
      <c r="G1126" s="25">
        <f t="shared" si="15"/>
        <v>-3.9911046810056527E-2</v>
      </c>
    </row>
    <row r="1127" spans="1:7">
      <c r="A1127" s="50">
        <v>224.86009999999999</v>
      </c>
      <c r="B1127" s="50">
        <v>229.8458</v>
      </c>
      <c r="C1127" s="50">
        <v>224.38480000000001</v>
      </c>
      <c r="D1127" s="50">
        <v>228.45869999999999</v>
      </c>
      <c r="E1127" s="50">
        <v>7814503</v>
      </c>
      <c r="F1127" s="50" t="s">
        <v>1154</v>
      </c>
      <c r="G1127" s="25">
        <f t="shared" si="15"/>
        <v>-1.5751643513685409E-2</v>
      </c>
    </row>
    <row r="1128" spans="1:7">
      <c r="A1128" s="50">
        <v>226.85820000000001</v>
      </c>
      <c r="B1128" s="50">
        <v>227.80879999999999</v>
      </c>
      <c r="C1128" s="50">
        <v>225.316</v>
      </c>
      <c r="D1128" s="50">
        <v>226.44110000000001</v>
      </c>
      <c r="E1128" s="50">
        <v>4938664</v>
      </c>
      <c r="F1128" s="50" t="s">
        <v>1155</v>
      </c>
      <c r="G1128" s="25">
        <f t="shared" si="15"/>
        <v>1.8419800999023295E-3</v>
      </c>
    </row>
    <row r="1129" spans="1:7">
      <c r="A1129" s="50">
        <v>224.2878</v>
      </c>
      <c r="B1129" s="50">
        <v>225.83</v>
      </c>
      <c r="C1129" s="50">
        <v>221.8434</v>
      </c>
      <c r="D1129" s="50">
        <v>223.376</v>
      </c>
      <c r="E1129" s="50">
        <v>3788001</v>
      </c>
      <c r="F1129" s="50" t="s">
        <v>1156</v>
      </c>
      <c r="G1129" s="25">
        <f t="shared" si="15"/>
        <v>4.0819067402049214E-3</v>
      </c>
    </row>
    <row r="1130" spans="1:7">
      <c r="A1130" s="50">
        <v>223.32749999999999</v>
      </c>
      <c r="B1130" s="50">
        <v>223.8998</v>
      </c>
      <c r="C1130" s="50">
        <v>219.50579999999999</v>
      </c>
      <c r="D1130" s="50">
        <v>223.77369999999999</v>
      </c>
      <c r="E1130" s="50">
        <v>5982197</v>
      </c>
      <c r="F1130" s="50" t="s">
        <v>1157</v>
      </c>
      <c r="G1130" s="25">
        <f t="shared" si="15"/>
        <v>-1.9939787383415064E-3</v>
      </c>
    </row>
    <row r="1131" spans="1:7">
      <c r="A1131" s="50">
        <v>224.47210000000001</v>
      </c>
      <c r="B1131" s="50">
        <v>226.78059999999999</v>
      </c>
      <c r="C1131" s="50">
        <v>224.36539999999999</v>
      </c>
      <c r="D1131" s="50">
        <v>226.446</v>
      </c>
      <c r="E1131" s="50">
        <v>5401813</v>
      </c>
      <c r="F1131" s="50" t="s">
        <v>1158</v>
      </c>
      <c r="G1131" s="25">
        <f t="shared" si="15"/>
        <v>-8.7168684807856778E-3</v>
      </c>
    </row>
    <row r="1132" spans="1:7">
      <c r="A1132" s="50">
        <v>226.50899999999999</v>
      </c>
      <c r="B1132" s="50">
        <v>226.62540000000001</v>
      </c>
      <c r="C1132" s="50">
        <v>223.7543</v>
      </c>
      <c r="D1132" s="50">
        <v>224.9862</v>
      </c>
      <c r="E1132" s="50">
        <v>4409660</v>
      </c>
      <c r="F1132" s="50" t="s">
        <v>1159</v>
      </c>
      <c r="G1132" s="25">
        <f t="shared" si="15"/>
        <v>6.7684151294611361E-3</v>
      </c>
    </row>
    <row r="1133" spans="1:7">
      <c r="A1133" s="50">
        <v>223.7252</v>
      </c>
      <c r="B1133" s="50">
        <v>225.77189999999999</v>
      </c>
      <c r="C1133" s="50">
        <v>221.29349999999999</v>
      </c>
      <c r="D1133" s="50">
        <v>223.26929999999999</v>
      </c>
      <c r="E1133" s="50">
        <v>5580210</v>
      </c>
      <c r="F1133" s="50" t="s">
        <v>1160</v>
      </c>
      <c r="G1133" s="25">
        <f t="shared" si="15"/>
        <v>2.0419287380755158E-3</v>
      </c>
    </row>
    <row r="1134" spans="1:7">
      <c r="A1134" s="50">
        <v>224.05500000000001</v>
      </c>
      <c r="B1134" s="50">
        <v>224.15199999999999</v>
      </c>
      <c r="C1134" s="50">
        <v>219.9229</v>
      </c>
      <c r="D1134" s="50">
        <v>220.3982</v>
      </c>
      <c r="E1134" s="50">
        <v>6355056</v>
      </c>
      <c r="F1134" s="50" t="s">
        <v>1161</v>
      </c>
      <c r="G1134" s="25">
        <f t="shared" si="15"/>
        <v>1.6591787047262718E-2</v>
      </c>
    </row>
    <row r="1135" spans="1:7">
      <c r="A1135" s="50">
        <v>218.4194</v>
      </c>
      <c r="B1135" s="50">
        <v>218.87530000000001</v>
      </c>
      <c r="C1135" s="50">
        <v>216.3631</v>
      </c>
      <c r="D1135" s="50">
        <v>217.3912</v>
      </c>
      <c r="E1135" s="50">
        <v>5591944</v>
      </c>
      <c r="F1135" s="50" t="s">
        <v>1162</v>
      </c>
      <c r="G1135" s="25">
        <f t="shared" si="15"/>
        <v>4.7297222702666897E-3</v>
      </c>
    </row>
    <row r="1136" spans="1:7">
      <c r="A1136" s="50">
        <v>215.78110000000001</v>
      </c>
      <c r="B1136" s="50">
        <v>219.07900000000001</v>
      </c>
      <c r="C1136" s="50">
        <v>212.06610000000001</v>
      </c>
      <c r="D1136" s="50">
        <v>216.43100000000001</v>
      </c>
      <c r="E1136" s="50">
        <v>9077425</v>
      </c>
      <c r="F1136" s="50" t="s">
        <v>1163</v>
      </c>
      <c r="G1136" s="25">
        <f t="shared" si="15"/>
        <v>-3.0028045889913813E-3</v>
      </c>
    </row>
    <row r="1137" spans="1:7">
      <c r="A1137" s="50">
        <v>217.32339999999999</v>
      </c>
      <c r="B1137" s="50">
        <v>219.4282</v>
      </c>
      <c r="C1137" s="50">
        <v>216.22730000000001</v>
      </c>
      <c r="D1137" s="50">
        <v>218.78800000000001</v>
      </c>
      <c r="E1137" s="50">
        <v>5448215</v>
      </c>
      <c r="F1137" s="50" t="s">
        <v>1164</v>
      </c>
      <c r="G1137" s="25">
        <f t="shared" si="15"/>
        <v>-6.6941514159827298E-3</v>
      </c>
    </row>
    <row r="1138" spans="1:7">
      <c r="A1138" s="50">
        <v>218.35149999999999</v>
      </c>
      <c r="B1138" s="50">
        <v>223.40029999999999</v>
      </c>
      <c r="C1138" s="50">
        <v>218.11869999999999</v>
      </c>
      <c r="D1138" s="50">
        <v>223.1044</v>
      </c>
      <c r="E1138" s="50">
        <v>5620197</v>
      </c>
      <c r="F1138" s="50" t="s">
        <v>1165</v>
      </c>
      <c r="G1138" s="25">
        <f t="shared" si="15"/>
        <v>-2.1303479447290163E-2</v>
      </c>
    </row>
    <row r="1139" spans="1:7">
      <c r="A1139" s="50">
        <v>223.35659999999999</v>
      </c>
      <c r="B1139" s="50">
        <v>225.74610000000001</v>
      </c>
      <c r="C1139" s="50">
        <v>223.26929999999999</v>
      </c>
      <c r="D1139" s="50">
        <v>224.06469999999999</v>
      </c>
      <c r="E1139" s="50">
        <v>3735169</v>
      </c>
      <c r="F1139" s="50" t="s">
        <v>1166</v>
      </c>
      <c r="G1139" s="25">
        <f t="shared" si="15"/>
        <v>-3.1602479105365955E-3</v>
      </c>
    </row>
    <row r="1140" spans="1:7">
      <c r="A1140" s="50">
        <v>223.62819999999999</v>
      </c>
      <c r="B1140" s="50">
        <v>224.2199</v>
      </c>
      <c r="C1140" s="50">
        <v>221.63</v>
      </c>
      <c r="D1140" s="50">
        <v>222.03739999999999</v>
      </c>
      <c r="E1140" s="50">
        <v>6561920</v>
      </c>
      <c r="F1140" s="50" t="s">
        <v>1167</v>
      </c>
      <c r="G1140" s="25">
        <f t="shared" si="15"/>
        <v>7.1645587635236208E-3</v>
      </c>
    </row>
    <row r="1141" spans="1:7">
      <c r="A1141" s="50">
        <v>219.70949999999999</v>
      </c>
      <c r="B1141" s="50">
        <v>219.81620000000001</v>
      </c>
      <c r="C1141" s="50">
        <v>214.60740000000001</v>
      </c>
      <c r="D1141" s="50">
        <v>215.37370000000001</v>
      </c>
      <c r="E1141" s="50">
        <v>5420941</v>
      </c>
      <c r="F1141" s="50" t="s">
        <v>1168</v>
      </c>
      <c r="G1141" s="25">
        <f t="shared" si="15"/>
        <v>2.0131520236686073E-2</v>
      </c>
    </row>
    <row r="1142" spans="1:7">
      <c r="A1142" s="50">
        <v>217.54640000000001</v>
      </c>
      <c r="B1142" s="50">
        <v>220.55340000000001</v>
      </c>
      <c r="C1142" s="50">
        <v>217.19730000000001</v>
      </c>
      <c r="D1142" s="50">
        <v>218.71039999999999</v>
      </c>
      <c r="E1142" s="50">
        <v>5813999</v>
      </c>
      <c r="F1142" s="50" t="s">
        <v>1169</v>
      </c>
      <c r="G1142" s="25">
        <f t="shared" si="15"/>
        <v>-5.3221063104451627E-3</v>
      </c>
    </row>
    <row r="1143" spans="1:7">
      <c r="A1143" s="50">
        <v>217.9829</v>
      </c>
      <c r="B1143" s="50">
        <v>223.41480000000001</v>
      </c>
      <c r="C1143" s="50">
        <v>214.1806</v>
      </c>
      <c r="D1143" s="50">
        <v>223.09469999999999</v>
      </c>
      <c r="E1143" s="50">
        <v>10283388</v>
      </c>
      <c r="F1143" s="50" t="s">
        <v>1170</v>
      </c>
      <c r="G1143" s="25">
        <f t="shared" si="15"/>
        <v>-2.2913139577049546E-2</v>
      </c>
    </row>
    <row r="1144" spans="1:7">
      <c r="A1144" s="50">
        <v>223.54089999999999</v>
      </c>
      <c r="B1144" s="50">
        <v>224.6079</v>
      </c>
      <c r="C1144" s="50">
        <v>216.76079999999999</v>
      </c>
      <c r="D1144" s="50">
        <v>217.43969999999999</v>
      </c>
      <c r="E1144" s="50">
        <v>7925368</v>
      </c>
      <c r="F1144" s="50" t="s">
        <v>1171</v>
      </c>
      <c r="G1144" s="25">
        <f t="shared" si="15"/>
        <v>2.8059273444545729E-2</v>
      </c>
    </row>
    <row r="1145" spans="1:7">
      <c r="A1145" s="50">
        <v>216.0624</v>
      </c>
      <c r="B1145" s="50">
        <v>221.91669999999999</v>
      </c>
      <c r="C1145" s="50">
        <v>215.946</v>
      </c>
      <c r="D1145" s="50">
        <v>220.7474</v>
      </c>
      <c r="E1145" s="50">
        <v>7134206</v>
      </c>
      <c r="F1145" s="50" t="s">
        <v>1172</v>
      </c>
      <c r="G1145" s="25">
        <f t="shared" si="15"/>
        <v>-2.1223353027034486E-2</v>
      </c>
    </row>
    <row r="1146" spans="1:7">
      <c r="A1146" s="50">
        <v>219.87440000000001</v>
      </c>
      <c r="B1146" s="50">
        <v>222.14410000000001</v>
      </c>
      <c r="C1146" s="50">
        <v>219.3021</v>
      </c>
      <c r="D1146" s="50">
        <v>219.99080000000001</v>
      </c>
      <c r="E1146" s="50">
        <v>6432682</v>
      </c>
      <c r="F1146" s="50" t="s">
        <v>1173</v>
      </c>
      <c r="G1146" s="25">
        <f t="shared" si="15"/>
        <v>-5.2911303563607515E-4</v>
      </c>
    </row>
    <row r="1147" spans="1:7">
      <c r="A1147" s="50">
        <v>218.78800000000001</v>
      </c>
      <c r="B1147" s="50">
        <v>221.99860000000001</v>
      </c>
      <c r="C1147" s="50">
        <v>217.2749</v>
      </c>
      <c r="D1147" s="50">
        <v>221.99860000000001</v>
      </c>
      <c r="E1147" s="50">
        <v>6951365</v>
      </c>
      <c r="F1147" s="50" t="s">
        <v>1174</v>
      </c>
      <c r="G1147" s="25">
        <f t="shared" si="15"/>
        <v>-1.4462253365561728E-2</v>
      </c>
    </row>
    <row r="1148" spans="1:7">
      <c r="A1148" s="50">
        <v>222.70670000000001</v>
      </c>
      <c r="B1148" s="50">
        <v>226.32470000000001</v>
      </c>
      <c r="C1148" s="50">
        <v>221.9016</v>
      </c>
      <c r="D1148" s="50">
        <v>224.76310000000001</v>
      </c>
      <c r="E1148" s="50">
        <v>6881067</v>
      </c>
      <c r="F1148" s="50" t="s">
        <v>1175</v>
      </c>
      <c r="G1148" s="25">
        <f t="shared" si="15"/>
        <v>-9.1491886346112272E-3</v>
      </c>
    </row>
    <row r="1149" spans="1:7">
      <c r="A1149" s="50">
        <v>224.637</v>
      </c>
      <c r="B1149" s="50">
        <v>224.9862</v>
      </c>
      <c r="C1149" s="50">
        <v>221.7561</v>
      </c>
      <c r="D1149" s="50">
        <v>222.05680000000001</v>
      </c>
      <c r="E1149" s="50">
        <v>6461244</v>
      </c>
      <c r="F1149" s="50" t="s">
        <v>1176</v>
      </c>
      <c r="G1149" s="25">
        <f t="shared" si="15"/>
        <v>1.1619549592716716E-2</v>
      </c>
    </row>
    <row r="1150" spans="1:7">
      <c r="A1150" s="50">
        <v>221.4555</v>
      </c>
      <c r="B1150" s="50">
        <v>221.83369999999999</v>
      </c>
      <c r="C1150" s="50">
        <v>217.624</v>
      </c>
      <c r="D1150" s="50">
        <v>218.2448</v>
      </c>
      <c r="E1150" s="50">
        <v>7952748</v>
      </c>
      <c r="F1150" s="50" t="s">
        <v>1177</v>
      </c>
      <c r="G1150" s="25">
        <f t="shared" si="15"/>
        <v>1.4711461624744349E-2</v>
      </c>
    </row>
    <row r="1151" spans="1:7">
      <c r="A1151" s="50">
        <v>216.0624</v>
      </c>
      <c r="B1151" s="50">
        <v>217.37190000000001</v>
      </c>
      <c r="C1151" s="50">
        <v>214.46190000000001</v>
      </c>
      <c r="D1151" s="50">
        <v>214.75290000000001</v>
      </c>
      <c r="E1151" s="50">
        <v>6005862</v>
      </c>
      <c r="F1151" s="50" t="s">
        <v>1178</v>
      </c>
      <c r="G1151" s="25">
        <f t="shared" si="15"/>
        <v>6.0977057818543123E-3</v>
      </c>
    </row>
    <row r="1152" spans="1:7">
      <c r="A1152" s="50">
        <v>213.5598</v>
      </c>
      <c r="B1152" s="50">
        <v>215.49979999999999</v>
      </c>
      <c r="C1152" s="50">
        <v>212.40559999999999</v>
      </c>
      <c r="D1152" s="50">
        <v>214.1224</v>
      </c>
      <c r="E1152" s="50">
        <v>7033629</v>
      </c>
      <c r="F1152" s="50" t="s">
        <v>1179</v>
      </c>
      <c r="G1152" s="25">
        <f t="shared" si="15"/>
        <v>-2.6274691484869939E-3</v>
      </c>
    </row>
    <row r="1153" spans="1:7">
      <c r="A1153" s="50">
        <v>213.4434</v>
      </c>
      <c r="B1153" s="50">
        <v>213.87989999999999</v>
      </c>
      <c r="C1153" s="50">
        <v>209.81569999999999</v>
      </c>
      <c r="D1153" s="50">
        <v>210.4462</v>
      </c>
      <c r="E1153" s="50">
        <v>8822592</v>
      </c>
      <c r="F1153" s="50" t="s">
        <v>1180</v>
      </c>
      <c r="G1153" s="25">
        <f t="shared" si="15"/>
        <v>1.4242119838704603E-2</v>
      </c>
    </row>
    <row r="1154" spans="1:7">
      <c r="A1154" s="50">
        <v>215.0924</v>
      </c>
      <c r="B1154" s="50">
        <v>216.98390000000001</v>
      </c>
      <c r="C1154" s="50">
        <v>212.71600000000001</v>
      </c>
      <c r="D1154" s="50">
        <v>215.7714</v>
      </c>
      <c r="E1154" s="50">
        <v>13833000</v>
      </c>
      <c r="F1154" s="50" t="s">
        <v>1181</v>
      </c>
      <c r="G1154" s="25">
        <f t="shared" si="15"/>
        <v>-3.146848933639923E-3</v>
      </c>
    </row>
    <row r="1155" spans="1:7">
      <c r="A1155" s="50">
        <v>217.5949</v>
      </c>
      <c r="B1155" s="50">
        <v>218.43879999999999</v>
      </c>
      <c r="C1155" s="50">
        <v>216.0624</v>
      </c>
      <c r="D1155" s="50">
        <v>217.13910000000001</v>
      </c>
      <c r="E1155" s="50">
        <v>5928460</v>
      </c>
      <c r="F1155" s="50" t="s">
        <v>1182</v>
      </c>
      <c r="G1155" s="25">
        <f t="shared" si="15"/>
        <v>2.0991152675864377E-3</v>
      </c>
    </row>
    <row r="1156" spans="1:7">
      <c r="A1156" s="50">
        <v>217.09059999999999</v>
      </c>
      <c r="B1156" s="50">
        <v>218.0848</v>
      </c>
      <c r="C1156" s="50">
        <v>214.7141</v>
      </c>
      <c r="D1156" s="50">
        <v>215.83930000000001</v>
      </c>
      <c r="E1156" s="50">
        <v>6535789</v>
      </c>
      <c r="F1156" s="50" t="s">
        <v>1183</v>
      </c>
      <c r="G1156" s="25">
        <f t="shared" si="15"/>
        <v>5.7973686905026245E-3</v>
      </c>
    </row>
    <row r="1157" spans="1:7">
      <c r="A1157" s="50">
        <v>216.334</v>
      </c>
      <c r="B1157" s="50">
        <v>219.03049999999999</v>
      </c>
      <c r="C1157" s="50">
        <v>215.60550000000001</v>
      </c>
      <c r="D1157" s="50">
        <v>218.2448</v>
      </c>
      <c r="E1157" s="50">
        <v>6575715</v>
      </c>
      <c r="F1157" s="50" t="s">
        <v>1184</v>
      </c>
      <c r="G1157" s="25">
        <f t="shared" si="15"/>
        <v>-8.7553059683437295E-3</v>
      </c>
    </row>
    <row r="1158" spans="1:7">
      <c r="A1158" s="50">
        <v>217.88589999999999</v>
      </c>
      <c r="B1158" s="50">
        <v>220.37880000000001</v>
      </c>
      <c r="C1158" s="50">
        <v>216.70349999999999</v>
      </c>
      <c r="D1158" s="50">
        <v>218.75890000000001</v>
      </c>
      <c r="E1158" s="50">
        <v>6808082</v>
      </c>
      <c r="F1158" s="50" t="s">
        <v>1185</v>
      </c>
      <c r="G1158" s="25">
        <f t="shared" si="15"/>
        <v>-3.9906947785897096E-3</v>
      </c>
    </row>
    <row r="1159" spans="1:7">
      <c r="A1159" s="50">
        <v>218.1575</v>
      </c>
      <c r="B1159" s="50">
        <v>223.1335</v>
      </c>
      <c r="C1159" s="50">
        <v>218.0702</v>
      </c>
      <c r="D1159" s="50">
        <v>222.94919999999999</v>
      </c>
      <c r="E1159" s="50">
        <v>6715397</v>
      </c>
      <c r="F1159" s="50" t="s">
        <v>1186</v>
      </c>
      <c r="G1159" s="25">
        <f t="shared" si="15"/>
        <v>-2.149233995905786E-2</v>
      </c>
    </row>
    <row r="1160" spans="1:7">
      <c r="A1160" s="50">
        <v>220.6601</v>
      </c>
      <c r="B1160" s="50">
        <v>223.09469999999999</v>
      </c>
      <c r="C1160" s="50">
        <v>220.2818</v>
      </c>
      <c r="D1160" s="50">
        <v>222.4254</v>
      </c>
      <c r="E1160" s="50">
        <v>5853038</v>
      </c>
      <c r="F1160" s="50" t="s">
        <v>1187</v>
      </c>
      <c r="G1160" s="25">
        <f t="shared" si="15"/>
        <v>-7.936593572496653E-3</v>
      </c>
    </row>
    <row r="1161" spans="1:7">
      <c r="A1161" s="50">
        <v>222.21199999999999</v>
      </c>
      <c r="B1161" s="50">
        <v>223.31049999999999</v>
      </c>
      <c r="C1161" s="50">
        <v>220.2236</v>
      </c>
      <c r="D1161" s="50">
        <v>220.55340000000001</v>
      </c>
      <c r="E1161" s="50">
        <v>10652636</v>
      </c>
      <c r="F1161" s="50" t="s">
        <v>1188</v>
      </c>
      <c r="G1161" s="25">
        <f t="shared" si="15"/>
        <v>7.520174252584555E-3</v>
      </c>
    </row>
    <row r="1162" spans="1:7">
      <c r="A1162" s="50">
        <v>219.47669999999999</v>
      </c>
      <c r="B1162" s="50">
        <v>221.15479999999999</v>
      </c>
      <c r="C1162" s="50">
        <v>219.07900000000001</v>
      </c>
      <c r="D1162" s="50">
        <v>219.93260000000001</v>
      </c>
      <c r="E1162" s="50">
        <v>9667640</v>
      </c>
      <c r="F1162" s="50" t="s">
        <v>1189</v>
      </c>
      <c r="G1162" s="25">
        <f t="shared" si="15"/>
        <v>-2.0729077908414606E-3</v>
      </c>
    </row>
    <row r="1163" spans="1:7">
      <c r="A1163" s="50">
        <v>218.35149999999999</v>
      </c>
      <c r="B1163" s="50">
        <v>220.47579999999999</v>
      </c>
      <c r="C1163" s="50">
        <v>216.64449999999999</v>
      </c>
      <c r="D1163" s="50">
        <v>217.2749</v>
      </c>
      <c r="E1163" s="50">
        <v>11534322</v>
      </c>
      <c r="F1163" s="50" t="s">
        <v>1190</v>
      </c>
      <c r="G1163" s="25">
        <f t="shared" si="15"/>
        <v>4.9550132113740375E-3</v>
      </c>
    </row>
    <row r="1164" spans="1:7">
      <c r="A1164" s="50">
        <v>217.4494</v>
      </c>
      <c r="B1164" s="50">
        <v>223.62819999999999</v>
      </c>
      <c r="C1164" s="50">
        <v>215.2961</v>
      </c>
      <c r="D1164" s="50">
        <v>223.51179999999999</v>
      </c>
      <c r="E1164" s="50">
        <v>19717015</v>
      </c>
      <c r="F1164" s="50" t="s">
        <v>1191</v>
      </c>
      <c r="G1164" s="25">
        <f t="shared" si="15"/>
        <v>-2.7123400196320757E-2</v>
      </c>
    </row>
    <row r="1165" spans="1:7">
      <c r="A1165" s="50">
        <v>223.21109999999999</v>
      </c>
      <c r="B1165" s="50">
        <v>223.85130000000001</v>
      </c>
      <c r="C1165" s="50">
        <v>221.9016</v>
      </c>
      <c r="D1165" s="50">
        <v>222.2217</v>
      </c>
      <c r="E1165" s="50">
        <v>8177611</v>
      </c>
      <c r="F1165" s="50" t="s">
        <v>1192</v>
      </c>
      <c r="G1165" s="25">
        <f t="shared" si="15"/>
        <v>4.4523104629294874E-3</v>
      </c>
    </row>
    <row r="1166" spans="1:7">
      <c r="A1166" s="50">
        <v>222.2217</v>
      </c>
      <c r="B1166" s="50">
        <v>224.87950000000001</v>
      </c>
      <c r="C1166" s="50">
        <v>221.79490000000001</v>
      </c>
      <c r="D1166" s="50">
        <v>223.97739999999999</v>
      </c>
      <c r="E1166" s="50">
        <v>9405086</v>
      </c>
      <c r="F1166" s="50" t="s">
        <v>1193</v>
      </c>
      <c r="G1166" s="25">
        <f t="shared" si="15"/>
        <v>-7.8387373011741257E-3</v>
      </c>
    </row>
    <row r="1167" spans="1:7">
      <c r="A1167" s="50">
        <v>224.2878</v>
      </c>
      <c r="B1167" s="50">
        <v>226.65450000000001</v>
      </c>
      <c r="C1167" s="50">
        <v>223.0171</v>
      </c>
      <c r="D1167" s="50">
        <v>225.70400000000001</v>
      </c>
      <c r="E1167" s="50">
        <v>6448011</v>
      </c>
      <c r="F1167" s="50" t="s">
        <v>1194</v>
      </c>
      <c r="G1167" s="25">
        <f t="shared" si="15"/>
        <v>-6.2745897281395457E-3</v>
      </c>
    </row>
    <row r="1168" spans="1:7">
      <c r="A1168" s="50">
        <v>225.70400000000001</v>
      </c>
      <c r="B1168" s="50">
        <v>226.0556</v>
      </c>
      <c r="C1168" s="50">
        <v>223.31780000000001</v>
      </c>
      <c r="D1168" s="50">
        <v>224.08410000000001</v>
      </c>
      <c r="E1168" s="50">
        <v>6368977</v>
      </c>
      <c r="F1168" s="50" t="s">
        <v>1195</v>
      </c>
      <c r="G1168" s="25">
        <f t="shared" si="15"/>
        <v>7.2289823329723113E-3</v>
      </c>
    </row>
    <row r="1169" spans="1:7">
      <c r="A1169" s="50">
        <v>223.59909999999999</v>
      </c>
      <c r="B1169" s="50">
        <v>225.64580000000001</v>
      </c>
      <c r="C1169" s="50">
        <v>223.24019999999999</v>
      </c>
      <c r="D1169" s="50">
        <v>225.16079999999999</v>
      </c>
      <c r="E1169" s="50">
        <v>5889143</v>
      </c>
      <c r="F1169" s="50" t="s">
        <v>1196</v>
      </c>
      <c r="G1169" s="25">
        <f t="shared" si="15"/>
        <v>-6.9359320094795063E-3</v>
      </c>
    </row>
    <row r="1170" spans="1:7">
      <c r="A1170" s="50">
        <v>225.607</v>
      </c>
      <c r="B1170" s="50">
        <v>227.94460000000001</v>
      </c>
      <c r="C1170" s="50">
        <v>225.11279999999999</v>
      </c>
      <c r="D1170" s="50">
        <v>227.94460000000001</v>
      </c>
      <c r="E1170" s="50">
        <v>5277076</v>
      </c>
      <c r="F1170" s="50" t="s">
        <v>1197</v>
      </c>
      <c r="G1170" s="25">
        <f t="shared" si="15"/>
        <v>-1.0255123394017684E-2</v>
      </c>
    </row>
    <row r="1171" spans="1:7">
      <c r="A1171" s="50">
        <v>227.20740000000001</v>
      </c>
      <c r="B1171" s="50">
        <v>229.09889999999999</v>
      </c>
      <c r="C1171" s="50">
        <v>226.92609999999999</v>
      </c>
      <c r="D1171" s="50">
        <v>227.98339999999999</v>
      </c>
      <c r="E1171" s="50">
        <v>5081770</v>
      </c>
      <c r="F1171" s="50" t="s">
        <v>1198</v>
      </c>
      <c r="G1171" s="25">
        <f t="shared" si="15"/>
        <v>-3.4037565892954813E-3</v>
      </c>
    </row>
    <row r="1172" spans="1:7">
      <c r="A1172" s="50">
        <v>227.1104</v>
      </c>
      <c r="B1172" s="50">
        <v>227.60509999999999</v>
      </c>
      <c r="C1172" s="50">
        <v>225.03469999999999</v>
      </c>
      <c r="D1172" s="50">
        <v>225.71369999999999</v>
      </c>
      <c r="E1172" s="50">
        <v>6342020</v>
      </c>
      <c r="F1172" s="50" t="s">
        <v>1199</v>
      </c>
      <c r="G1172" s="25">
        <f t="shared" ref="G1172:G1235" si="16">A1172/D1172-1</f>
        <v>6.1879274496852155E-3</v>
      </c>
    </row>
    <row r="1173" spans="1:7">
      <c r="A1173" s="50">
        <v>224.41390000000001</v>
      </c>
      <c r="B1173" s="50">
        <v>225.18989999999999</v>
      </c>
      <c r="C1173" s="50">
        <v>223.38570000000001</v>
      </c>
      <c r="D1173" s="50">
        <v>224.90860000000001</v>
      </c>
      <c r="E1173" s="50">
        <v>5522544</v>
      </c>
      <c r="F1173" s="50" t="s">
        <v>1200</v>
      </c>
      <c r="G1173" s="25">
        <f t="shared" si="16"/>
        <v>-2.1995601768896034E-3</v>
      </c>
    </row>
    <row r="1174" spans="1:7">
      <c r="A1174" s="50">
        <v>224.61760000000001</v>
      </c>
      <c r="B1174" s="50">
        <v>225.45179999999999</v>
      </c>
      <c r="C1174" s="50">
        <v>222.02770000000001</v>
      </c>
      <c r="D1174" s="50">
        <v>222.1635</v>
      </c>
      <c r="E1174" s="50">
        <v>5761294</v>
      </c>
      <c r="F1174" s="50" t="s">
        <v>1201</v>
      </c>
      <c r="G1174" s="25">
        <f t="shared" si="16"/>
        <v>1.1046369003009149E-2</v>
      </c>
    </row>
    <row r="1175" spans="1:7">
      <c r="A1175" s="50">
        <v>224.67580000000001</v>
      </c>
      <c r="B1175" s="50">
        <v>227.3141</v>
      </c>
      <c r="C1175" s="50">
        <v>224.5206</v>
      </c>
      <c r="D1175" s="50">
        <v>226.89699999999999</v>
      </c>
      <c r="E1175" s="50">
        <v>4996523</v>
      </c>
      <c r="F1175" s="50" t="s">
        <v>1202</v>
      </c>
      <c r="G1175" s="25">
        <f t="shared" si="16"/>
        <v>-9.7894639417884788E-3</v>
      </c>
    </row>
    <row r="1176" spans="1:7">
      <c r="A1176" s="50">
        <v>227.48869999999999</v>
      </c>
      <c r="B1176" s="50">
        <v>228.58959999999999</v>
      </c>
      <c r="C1176" s="50">
        <v>226.21799999999999</v>
      </c>
      <c r="D1176" s="50">
        <v>227.94460000000001</v>
      </c>
      <c r="E1176" s="50">
        <v>6850522</v>
      </c>
      <c r="F1176" s="50" t="s">
        <v>1203</v>
      </c>
      <c r="G1176" s="25">
        <f t="shared" si="16"/>
        <v>-2.0000473799336449E-3</v>
      </c>
    </row>
    <row r="1177" spans="1:7">
      <c r="A1177" s="50">
        <v>228.2938</v>
      </c>
      <c r="B1177" s="50">
        <v>228.4102</v>
      </c>
      <c r="C1177" s="50">
        <v>223.28870000000001</v>
      </c>
      <c r="D1177" s="50">
        <v>225.23840000000001</v>
      </c>
      <c r="E1177" s="50">
        <v>7576703</v>
      </c>
      <c r="F1177" s="50" t="s">
        <v>1204</v>
      </c>
      <c r="G1177" s="25">
        <f t="shared" si="16"/>
        <v>1.3565182491084959E-2</v>
      </c>
    </row>
    <row r="1178" spans="1:7">
      <c r="A1178" s="50">
        <v>225.6652</v>
      </c>
      <c r="B1178" s="50">
        <v>226.26650000000001</v>
      </c>
      <c r="C1178" s="50">
        <v>224.45269999999999</v>
      </c>
      <c r="D1178" s="50">
        <v>225.03469999999999</v>
      </c>
      <c r="E1178" s="50">
        <v>5445425</v>
      </c>
      <c r="F1178" s="50" t="s">
        <v>1205</v>
      </c>
      <c r="G1178" s="25">
        <f t="shared" si="16"/>
        <v>2.8017901239232312E-3</v>
      </c>
    </row>
    <row r="1179" spans="1:7">
      <c r="A1179" s="50">
        <v>224.83099999999999</v>
      </c>
      <c r="B1179" s="50">
        <v>227.0813</v>
      </c>
      <c r="C1179" s="50">
        <v>224.08410000000001</v>
      </c>
      <c r="D1179" s="50">
        <v>226.86789999999999</v>
      </c>
      <c r="E1179" s="50">
        <v>9868851</v>
      </c>
      <c r="F1179" s="50" t="s">
        <v>1206</v>
      </c>
      <c r="G1179" s="25">
        <f t="shared" si="16"/>
        <v>-8.9783526007866099E-3</v>
      </c>
    </row>
    <row r="1180" spans="1:7">
      <c r="A1180" s="50">
        <v>227.69239999999999</v>
      </c>
      <c r="B1180" s="50">
        <v>230.88900000000001</v>
      </c>
      <c r="C1180" s="50">
        <v>227.22749999999999</v>
      </c>
      <c r="D1180" s="50">
        <v>230.61770000000001</v>
      </c>
      <c r="E1180" s="50">
        <v>7375688</v>
      </c>
      <c r="F1180" s="50" t="s">
        <v>1207</v>
      </c>
      <c r="G1180" s="25">
        <f t="shared" si="16"/>
        <v>-1.2684629150321203E-2</v>
      </c>
    </row>
    <row r="1181" spans="1:7">
      <c r="A1181" s="50">
        <v>230.60810000000001</v>
      </c>
      <c r="B1181" s="50">
        <v>233.7756</v>
      </c>
      <c r="C1181" s="50">
        <v>228.17670000000001</v>
      </c>
      <c r="D1181" s="50">
        <v>232.9716</v>
      </c>
      <c r="E1181" s="50">
        <v>7186021</v>
      </c>
      <c r="F1181" s="50" t="s">
        <v>1208</v>
      </c>
      <c r="G1181" s="25">
        <f t="shared" si="16"/>
        <v>-1.0145013383605517E-2</v>
      </c>
    </row>
    <row r="1182" spans="1:7">
      <c r="A1182" s="50">
        <v>232.4776</v>
      </c>
      <c r="B1182" s="50">
        <v>234.58920000000001</v>
      </c>
      <c r="C1182" s="50">
        <v>230.58869999999999</v>
      </c>
      <c r="D1182" s="50">
        <v>234.17269999999999</v>
      </c>
      <c r="E1182" s="50">
        <v>5226949</v>
      </c>
      <c r="F1182" s="50" t="s">
        <v>1209</v>
      </c>
      <c r="G1182" s="25">
        <f t="shared" si="16"/>
        <v>-7.2386747046090383E-3</v>
      </c>
    </row>
    <row r="1183" spans="1:7">
      <c r="A1183" s="50">
        <v>233.83369999999999</v>
      </c>
      <c r="B1183" s="50">
        <v>234.99610000000001</v>
      </c>
      <c r="C1183" s="50">
        <v>232.34200000000001</v>
      </c>
      <c r="D1183" s="50">
        <v>232.4776</v>
      </c>
      <c r="E1183" s="50">
        <v>4509702</v>
      </c>
      <c r="F1183" s="50" t="s">
        <v>1210</v>
      </c>
      <c r="G1183" s="25">
        <f t="shared" si="16"/>
        <v>5.833250171199289E-3</v>
      </c>
    </row>
    <row r="1184" spans="1:7">
      <c r="A1184" s="50">
        <v>232.68100000000001</v>
      </c>
      <c r="B1184" s="50">
        <v>232.71969999999999</v>
      </c>
      <c r="C1184" s="50">
        <v>229.01949999999999</v>
      </c>
      <c r="D1184" s="50">
        <v>229.19380000000001</v>
      </c>
      <c r="E1184" s="50">
        <v>5337491</v>
      </c>
      <c r="F1184" s="50" t="s">
        <v>1211</v>
      </c>
      <c r="G1184" s="25">
        <f t="shared" si="16"/>
        <v>1.5215071262835167E-2</v>
      </c>
    </row>
    <row r="1185" spans="1:7">
      <c r="A1185" s="50">
        <v>229.25190000000001</v>
      </c>
      <c r="B1185" s="50">
        <v>230.1044</v>
      </c>
      <c r="C1185" s="50">
        <v>227.68270000000001</v>
      </c>
      <c r="D1185" s="50">
        <v>229.57159999999999</v>
      </c>
      <c r="E1185" s="50">
        <v>8171754</v>
      </c>
      <c r="F1185" s="50" t="s">
        <v>1212</v>
      </c>
      <c r="G1185" s="25">
        <f t="shared" si="16"/>
        <v>-1.3925938574282926E-3</v>
      </c>
    </row>
    <row r="1186" spans="1:7">
      <c r="A1186" s="50">
        <v>229.65880000000001</v>
      </c>
      <c r="B1186" s="50">
        <v>233.82400000000001</v>
      </c>
      <c r="C1186" s="50">
        <v>226.69470000000001</v>
      </c>
      <c r="D1186" s="50">
        <v>233.08779999999999</v>
      </c>
      <c r="E1186" s="50">
        <v>9838976</v>
      </c>
      <c r="F1186" s="50" t="s">
        <v>1213</v>
      </c>
      <c r="G1186" s="25">
        <f t="shared" si="16"/>
        <v>-1.4711194665700922E-2</v>
      </c>
    </row>
    <row r="1187" spans="1:7">
      <c r="A1187" s="50">
        <v>232.2645</v>
      </c>
      <c r="B1187" s="50">
        <v>240.06209999999999</v>
      </c>
      <c r="C1187" s="50">
        <v>230.89869999999999</v>
      </c>
      <c r="D1187" s="50">
        <v>238.52199999999999</v>
      </c>
      <c r="E1187" s="50">
        <v>9989546</v>
      </c>
      <c r="F1187" s="50" t="s">
        <v>1214</v>
      </c>
      <c r="G1187" s="25">
        <f t="shared" si="16"/>
        <v>-2.623447732284645E-2</v>
      </c>
    </row>
    <row r="1188" spans="1:7">
      <c r="A1188" s="50">
        <v>238.66730000000001</v>
      </c>
      <c r="B1188" s="50">
        <v>240.67240000000001</v>
      </c>
      <c r="C1188" s="50">
        <v>238.2895</v>
      </c>
      <c r="D1188" s="50">
        <v>239.4616</v>
      </c>
      <c r="E1188" s="50">
        <v>5804738</v>
      </c>
      <c r="F1188" s="50" t="s">
        <v>1215</v>
      </c>
      <c r="G1188" s="25">
        <f t="shared" si="16"/>
        <v>-3.3170245250178088E-3</v>
      </c>
    </row>
    <row r="1189" spans="1:7">
      <c r="A1189" s="50">
        <v>240.14930000000001</v>
      </c>
      <c r="B1189" s="50">
        <v>242.53219999999999</v>
      </c>
      <c r="C1189" s="50">
        <v>239.3502</v>
      </c>
      <c r="D1189" s="50">
        <v>240.33340000000001</v>
      </c>
      <c r="E1189" s="50">
        <v>7495335</v>
      </c>
      <c r="F1189" s="50" t="s">
        <v>1216</v>
      </c>
      <c r="G1189" s="25">
        <f t="shared" si="16"/>
        <v>-7.6601920498775566E-4</v>
      </c>
    </row>
    <row r="1190" spans="1:7">
      <c r="A1190" s="50">
        <v>239.2</v>
      </c>
      <c r="B1190" s="50">
        <v>243.61709999999999</v>
      </c>
      <c r="C1190" s="50">
        <v>238.20230000000001</v>
      </c>
      <c r="D1190" s="50">
        <v>242.21260000000001</v>
      </c>
      <c r="E1190" s="50">
        <v>9036543</v>
      </c>
      <c r="F1190" s="50" t="s">
        <v>1217</v>
      </c>
      <c r="G1190" s="25">
        <f t="shared" si="16"/>
        <v>-1.243783353962602E-2</v>
      </c>
    </row>
    <row r="1191" spans="1:7">
      <c r="A1191" s="50">
        <v>243.065</v>
      </c>
      <c r="B1191" s="50">
        <v>244.75040000000001</v>
      </c>
      <c r="C1191" s="50">
        <v>240.43989999999999</v>
      </c>
      <c r="D1191" s="50">
        <v>241.37950000000001</v>
      </c>
      <c r="E1191" s="50">
        <v>7038317</v>
      </c>
      <c r="F1191" s="50" t="s">
        <v>1218</v>
      </c>
      <c r="G1191" s="25">
        <f t="shared" si="16"/>
        <v>6.9827802278155104E-3</v>
      </c>
    </row>
    <row r="1192" spans="1:7">
      <c r="A1192" s="50">
        <v>242.40629999999999</v>
      </c>
      <c r="B1192" s="50">
        <v>242.5129</v>
      </c>
      <c r="C1192" s="50">
        <v>239.93620000000001</v>
      </c>
      <c r="D1192" s="50">
        <v>241.3989</v>
      </c>
      <c r="E1192" s="50">
        <v>4878988</v>
      </c>
      <c r="F1192" s="50" t="s">
        <v>1219</v>
      </c>
      <c r="G1192" s="25">
        <f t="shared" si="16"/>
        <v>4.1731756027056921E-3</v>
      </c>
    </row>
    <row r="1193" spans="1:7">
      <c r="A1193" s="50">
        <v>241.2149</v>
      </c>
      <c r="B1193" s="50">
        <v>242.1738</v>
      </c>
      <c r="C1193" s="50">
        <v>239.0257</v>
      </c>
      <c r="D1193" s="50">
        <v>239.0257</v>
      </c>
      <c r="E1193" s="50">
        <v>6766007</v>
      </c>
      <c r="F1193" s="50" t="s">
        <v>1220</v>
      </c>
      <c r="G1193" s="25">
        <f t="shared" si="16"/>
        <v>9.1588477724362516E-3</v>
      </c>
    </row>
    <row r="1194" spans="1:7">
      <c r="A1194" s="50">
        <v>236.48779999999999</v>
      </c>
      <c r="B1194" s="50">
        <v>237.65880000000001</v>
      </c>
      <c r="C1194" s="50">
        <v>235.52879999999999</v>
      </c>
      <c r="D1194" s="50">
        <v>236.13910000000001</v>
      </c>
      <c r="E1194" s="50">
        <v>10293570</v>
      </c>
      <c r="F1194" s="50" t="s">
        <v>1221</v>
      </c>
      <c r="G1194" s="25">
        <f t="shared" si="16"/>
        <v>1.4766720123857713E-3</v>
      </c>
    </row>
    <row r="1195" spans="1:7">
      <c r="A1195" s="50">
        <v>236.02289999999999</v>
      </c>
      <c r="B1195" s="50">
        <v>239.16130000000001</v>
      </c>
      <c r="C1195" s="50">
        <v>234.7055</v>
      </c>
      <c r="D1195" s="50">
        <v>235.6644</v>
      </c>
      <c r="E1195" s="50">
        <v>11241420</v>
      </c>
      <c r="F1195" s="50" t="s">
        <v>1222</v>
      </c>
      <c r="G1195" s="25">
        <f t="shared" si="16"/>
        <v>1.5212310387142658E-3</v>
      </c>
    </row>
    <row r="1196" spans="1:7">
      <c r="A1196" s="50">
        <v>235.09289999999999</v>
      </c>
      <c r="B1196" s="50">
        <v>236.5556</v>
      </c>
      <c r="C1196" s="50">
        <v>232.00290000000001</v>
      </c>
      <c r="D1196" s="50">
        <v>233.0975</v>
      </c>
      <c r="E1196" s="50">
        <v>7072288</v>
      </c>
      <c r="F1196" s="50" t="s">
        <v>1223</v>
      </c>
      <c r="G1196" s="25">
        <f t="shared" si="16"/>
        <v>8.5603663702955579E-3</v>
      </c>
    </row>
    <row r="1197" spans="1:7">
      <c r="A1197" s="50">
        <v>232.87469999999999</v>
      </c>
      <c r="B1197" s="50">
        <v>236.78809999999999</v>
      </c>
      <c r="C1197" s="50">
        <v>231.41200000000001</v>
      </c>
      <c r="D1197" s="50">
        <v>236.3425</v>
      </c>
      <c r="E1197" s="50">
        <v>11474571</v>
      </c>
      <c r="F1197" s="50" t="s">
        <v>1224</v>
      </c>
      <c r="G1197" s="25">
        <f t="shared" si="16"/>
        <v>-1.4672773623025992E-2</v>
      </c>
    </row>
    <row r="1198" spans="1:7">
      <c r="A1198" s="50">
        <v>240.34309999999999</v>
      </c>
      <c r="B1198" s="50">
        <v>242.6097</v>
      </c>
      <c r="C1198" s="50">
        <v>239.7619</v>
      </c>
      <c r="D1198" s="50">
        <v>242.15440000000001</v>
      </c>
      <c r="E1198" s="50">
        <v>8674464</v>
      </c>
      <c r="F1198" s="50" t="s">
        <v>1225</v>
      </c>
      <c r="G1198" s="25">
        <f t="shared" si="16"/>
        <v>-7.4799384194547125E-3</v>
      </c>
    </row>
    <row r="1199" spans="1:7">
      <c r="A1199" s="50">
        <v>240.75960000000001</v>
      </c>
      <c r="B1199" s="50">
        <v>241.0017</v>
      </c>
      <c r="C1199" s="50">
        <v>237.62110000000001</v>
      </c>
      <c r="D1199" s="50">
        <v>237.62110000000001</v>
      </c>
      <c r="E1199" s="50">
        <v>10135108</v>
      </c>
      <c r="F1199" s="50" t="s">
        <v>1226</v>
      </c>
      <c r="G1199" s="25">
        <f t="shared" si="16"/>
        <v>1.3208002151324116E-2</v>
      </c>
    </row>
    <row r="1200" spans="1:7">
      <c r="A1200" s="50">
        <v>238.27979999999999</v>
      </c>
      <c r="B1200" s="50">
        <v>239.07409999999999</v>
      </c>
      <c r="C1200" s="50">
        <v>235.20920000000001</v>
      </c>
      <c r="D1200" s="50">
        <v>235.5966</v>
      </c>
      <c r="E1200" s="50">
        <v>8693381</v>
      </c>
      <c r="F1200" s="50" t="s">
        <v>1227</v>
      </c>
      <c r="G1200" s="25">
        <f t="shared" si="16"/>
        <v>1.1388958923855386E-2</v>
      </c>
    </row>
    <row r="1201" spans="1:7">
      <c r="A1201" s="50">
        <v>234.75389999999999</v>
      </c>
      <c r="B1201" s="50">
        <v>234.87979999999999</v>
      </c>
      <c r="C1201" s="50">
        <v>230.7824</v>
      </c>
      <c r="D1201" s="50">
        <v>230.7824</v>
      </c>
      <c r="E1201" s="50">
        <v>8079187</v>
      </c>
      <c r="F1201" s="50" t="s">
        <v>1228</v>
      </c>
      <c r="G1201" s="25">
        <f t="shared" si="16"/>
        <v>1.7208851281553583E-2</v>
      </c>
    </row>
    <row r="1202" spans="1:7">
      <c r="A1202" s="50">
        <v>230.4143</v>
      </c>
      <c r="B1202" s="50">
        <v>231.02940000000001</v>
      </c>
      <c r="C1202" s="50">
        <v>229.8331</v>
      </c>
      <c r="D1202" s="50">
        <v>230.13339999999999</v>
      </c>
      <c r="E1202" s="50">
        <v>7010658</v>
      </c>
      <c r="F1202" s="50" t="s">
        <v>1229</v>
      </c>
      <c r="G1202" s="25">
        <f t="shared" si="16"/>
        <v>1.2205964019129656E-3</v>
      </c>
    </row>
    <row r="1203" spans="1:7">
      <c r="A1203" s="50">
        <v>230.99549999999999</v>
      </c>
      <c r="B1203" s="50">
        <v>231.94479999999999</v>
      </c>
      <c r="C1203" s="50">
        <v>229.9794</v>
      </c>
      <c r="D1203" s="50">
        <v>231.2764</v>
      </c>
      <c r="E1203" s="50">
        <v>5616130</v>
      </c>
      <c r="F1203" s="50" t="s">
        <v>1230</v>
      </c>
      <c r="G1203" s="25">
        <f t="shared" si="16"/>
        <v>-1.2145640454451767E-3</v>
      </c>
    </row>
    <row r="1204" spans="1:7">
      <c r="A1204" s="50">
        <v>229.19380000000001</v>
      </c>
      <c r="B1204" s="50">
        <v>229.63460000000001</v>
      </c>
      <c r="C1204" s="50">
        <v>227.19839999999999</v>
      </c>
      <c r="D1204" s="50">
        <v>229.54249999999999</v>
      </c>
      <c r="E1204" s="50">
        <v>6388031</v>
      </c>
      <c r="F1204" s="50" t="s">
        <v>1231</v>
      </c>
      <c r="G1204" s="25">
        <f t="shared" si="16"/>
        <v>-1.5191086617946103E-3</v>
      </c>
    </row>
    <row r="1205" spans="1:7">
      <c r="A1205" s="50">
        <v>232.4776</v>
      </c>
      <c r="B1205" s="50">
        <v>233.48500000000001</v>
      </c>
      <c r="C1205" s="50">
        <v>230.83090000000001</v>
      </c>
      <c r="D1205" s="50">
        <v>232.7294</v>
      </c>
      <c r="E1205" s="50">
        <v>4366112</v>
      </c>
      <c r="F1205" s="50" t="s">
        <v>1232</v>
      </c>
      <c r="G1205" s="25">
        <f t="shared" si="16"/>
        <v>-1.0819432353625924E-3</v>
      </c>
    </row>
    <row r="1206" spans="1:7">
      <c r="A1206" s="50">
        <v>232.09010000000001</v>
      </c>
      <c r="B1206" s="50">
        <v>233.0684</v>
      </c>
      <c r="C1206" s="50">
        <v>229.77500000000001</v>
      </c>
      <c r="D1206" s="50">
        <v>231.9932</v>
      </c>
      <c r="E1206" s="50">
        <v>8048717</v>
      </c>
      <c r="F1206" s="50" t="s">
        <v>1233</v>
      </c>
      <c r="G1206" s="25">
        <f t="shared" si="16"/>
        <v>4.1768465627445295E-4</v>
      </c>
    </row>
    <row r="1207" spans="1:7">
      <c r="A1207" s="50">
        <v>231.15049999999999</v>
      </c>
      <c r="B1207" s="50">
        <v>231.29580000000001</v>
      </c>
      <c r="C1207" s="50">
        <v>228.42859999999999</v>
      </c>
      <c r="D1207" s="50">
        <v>228.4383</v>
      </c>
      <c r="E1207" s="50">
        <v>4384578</v>
      </c>
      <c r="F1207" s="50" t="s">
        <v>1234</v>
      </c>
      <c r="G1207" s="25">
        <f t="shared" si="16"/>
        <v>1.187279015821785E-2</v>
      </c>
    </row>
    <row r="1208" spans="1:7">
      <c r="A1208" s="50">
        <v>227.77959999999999</v>
      </c>
      <c r="B1208" s="50">
        <v>228.8451</v>
      </c>
      <c r="C1208" s="50">
        <v>226.714</v>
      </c>
      <c r="D1208" s="50">
        <v>226.85939999999999</v>
      </c>
      <c r="E1208" s="50">
        <v>5329571</v>
      </c>
      <c r="F1208" s="50" t="s">
        <v>1235</v>
      </c>
      <c r="G1208" s="25">
        <f t="shared" si="16"/>
        <v>4.0562568709958668E-3</v>
      </c>
    </row>
    <row r="1209" spans="1:7">
      <c r="A1209" s="50">
        <v>226.4913</v>
      </c>
      <c r="B1209" s="50">
        <v>228.99039999999999</v>
      </c>
      <c r="C1209" s="50">
        <v>226.4913</v>
      </c>
      <c r="D1209" s="50">
        <v>227.74080000000001</v>
      </c>
      <c r="E1209" s="50">
        <v>7797146</v>
      </c>
      <c r="F1209" s="50" t="s">
        <v>1236</v>
      </c>
      <c r="G1209" s="25">
        <f t="shared" si="16"/>
        <v>-5.4865004426084552E-3</v>
      </c>
    </row>
    <row r="1210" spans="1:7">
      <c r="A1210" s="50">
        <v>228.55449999999999</v>
      </c>
      <c r="B1210" s="50">
        <v>229.10659999999999</v>
      </c>
      <c r="C1210" s="50">
        <v>226.8109</v>
      </c>
      <c r="D1210" s="50">
        <v>227.21780000000001</v>
      </c>
      <c r="E1210" s="50">
        <v>11897827</v>
      </c>
      <c r="F1210" s="50" t="s">
        <v>1237</v>
      </c>
      <c r="G1210" s="25">
        <f t="shared" si="16"/>
        <v>5.8829017797019656E-3</v>
      </c>
    </row>
    <row r="1211" spans="1:7">
      <c r="A1211" s="50">
        <v>226.75280000000001</v>
      </c>
      <c r="B1211" s="50">
        <v>230.89869999999999</v>
      </c>
      <c r="C1211" s="50">
        <v>224.59270000000001</v>
      </c>
      <c r="D1211" s="50">
        <v>230.5403</v>
      </c>
      <c r="E1211" s="50">
        <v>9301681</v>
      </c>
      <c r="F1211" s="50" t="s">
        <v>1238</v>
      </c>
      <c r="G1211" s="25">
        <f t="shared" si="16"/>
        <v>-1.6428797915158388E-2</v>
      </c>
    </row>
    <row r="1212" spans="1:7">
      <c r="A1212" s="50">
        <v>229.88159999999999</v>
      </c>
      <c r="B1212" s="50">
        <v>231.0052</v>
      </c>
      <c r="C1212" s="50">
        <v>228.91290000000001</v>
      </c>
      <c r="D1212" s="50">
        <v>228.99039999999999</v>
      </c>
      <c r="E1212" s="50">
        <v>7825157</v>
      </c>
      <c r="F1212" s="50" t="s">
        <v>1239</v>
      </c>
      <c r="G1212" s="25">
        <f t="shared" si="16"/>
        <v>3.891866209238426E-3</v>
      </c>
    </row>
    <row r="1213" spans="1:7">
      <c r="A1213" s="50">
        <v>228.83539999999999</v>
      </c>
      <c r="B1213" s="50">
        <v>230.7824</v>
      </c>
      <c r="C1213" s="50">
        <v>228.03139999999999</v>
      </c>
      <c r="D1213" s="50">
        <v>229.57159999999999</v>
      </c>
      <c r="E1213" s="50">
        <v>4611523</v>
      </c>
      <c r="F1213" s="50" t="s">
        <v>1240</v>
      </c>
      <c r="G1213" s="25">
        <f t="shared" si="16"/>
        <v>-3.2068426582382292E-3</v>
      </c>
    </row>
    <row r="1214" spans="1:7">
      <c r="A1214" s="50">
        <v>227.32429999999999</v>
      </c>
      <c r="B1214" s="50">
        <v>228.52549999999999</v>
      </c>
      <c r="C1214" s="50">
        <v>226.60749999999999</v>
      </c>
      <c r="D1214" s="50">
        <v>228.0702</v>
      </c>
      <c r="E1214" s="50">
        <v>6814700</v>
      </c>
      <c r="F1214" s="50" t="s">
        <v>1241</v>
      </c>
      <c r="G1214" s="25">
        <f t="shared" si="16"/>
        <v>-3.2704842631786635E-3</v>
      </c>
    </row>
    <row r="1215" spans="1:7">
      <c r="A1215" s="50">
        <v>228.5351</v>
      </c>
      <c r="B1215" s="50">
        <v>228.6901</v>
      </c>
      <c r="C1215" s="50">
        <v>225.92949999999999</v>
      </c>
      <c r="D1215" s="50">
        <v>226.9562</v>
      </c>
      <c r="E1215" s="50">
        <v>8858423</v>
      </c>
      <c r="F1215" s="50" t="s">
        <v>1242</v>
      </c>
      <c r="G1215" s="25">
        <f t="shared" si="16"/>
        <v>6.956848942659466E-3</v>
      </c>
    </row>
    <row r="1216" spans="1:7">
      <c r="A1216" s="50">
        <v>226.97559999999999</v>
      </c>
      <c r="B1216" s="50">
        <v>227.64400000000001</v>
      </c>
      <c r="C1216" s="50">
        <v>223.17850000000001</v>
      </c>
      <c r="D1216" s="50">
        <v>224.19560000000001</v>
      </c>
      <c r="E1216" s="50">
        <v>7298414</v>
      </c>
      <c r="F1216" s="50" t="s">
        <v>1243</v>
      </c>
      <c r="G1216" s="25">
        <f t="shared" si="16"/>
        <v>1.2399886527656889E-2</v>
      </c>
    </row>
    <row r="1217" spans="1:7">
      <c r="A1217" s="50">
        <v>223.18819999999999</v>
      </c>
      <c r="B1217" s="50">
        <v>224.90270000000001</v>
      </c>
      <c r="C1217" s="50">
        <v>222.03630000000001</v>
      </c>
      <c r="D1217" s="50">
        <v>223.2269</v>
      </c>
      <c r="E1217" s="50">
        <v>8839965</v>
      </c>
      <c r="F1217" s="50" t="s">
        <v>1244</v>
      </c>
      <c r="G1217" s="25">
        <f t="shared" si="16"/>
        <v>-1.7336620272923042E-4</v>
      </c>
    </row>
    <row r="1218" spans="1:7">
      <c r="A1218" s="50">
        <v>224.87360000000001</v>
      </c>
      <c r="B1218" s="50">
        <v>226.02629999999999</v>
      </c>
      <c r="C1218" s="50">
        <v>222.0258</v>
      </c>
      <c r="D1218" s="50">
        <v>222.0258</v>
      </c>
      <c r="E1218" s="50">
        <v>6876723</v>
      </c>
      <c r="F1218" s="50" t="s">
        <v>1245</v>
      </c>
      <c r="G1218" s="25">
        <f t="shared" si="16"/>
        <v>1.2826437287918768E-2</v>
      </c>
    </row>
    <row r="1219" spans="1:7">
      <c r="A1219" s="50">
        <v>222.40350000000001</v>
      </c>
      <c r="B1219" s="50">
        <v>226.84</v>
      </c>
      <c r="C1219" s="50">
        <v>220.8537</v>
      </c>
      <c r="D1219" s="50">
        <v>226.29750000000001</v>
      </c>
      <c r="E1219" s="50">
        <v>8905398</v>
      </c>
      <c r="F1219" s="50" t="s">
        <v>1246</v>
      </c>
      <c r="G1219" s="25">
        <f t="shared" si="16"/>
        <v>-1.7207437112650381E-2</v>
      </c>
    </row>
    <row r="1220" spans="1:7">
      <c r="A1220" s="50">
        <v>225.67760000000001</v>
      </c>
      <c r="B1220" s="50">
        <v>227.44059999999999</v>
      </c>
      <c r="C1220" s="50">
        <v>225.3289</v>
      </c>
      <c r="D1220" s="50">
        <v>227.09180000000001</v>
      </c>
      <c r="E1220" s="50">
        <v>7093998</v>
      </c>
      <c r="F1220" s="50" t="s">
        <v>1247</v>
      </c>
      <c r="G1220" s="25">
        <f t="shared" si="16"/>
        <v>-6.2274375384756553E-3</v>
      </c>
    </row>
    <row r="1221" spans="1:7">
      <c r="A1221" s="50">
        <v>226.7431</v>
      </c>
      <c r="B1221" s="50">
        <v>227.84739999999999</v>
      </c>
      <c r="C1221" s="50">
        <v>224.31270000000001</v>
      </c>
      <c r="D1221" s="50">
        <v>227.34370000000001</v>
      </c>
      <c r="E1221" s="50">
        <v>5805768</v>
      </c>
      <c r="F1221" s="50" t="s">
        <v>1248</v>
      </c>
      <c r="G1221" s="25">
        <f t="shared" si="16"/>
        <v>-2.6418150140075092E-3</v>
      </c>
    </row>
    <row r="1222" spans="1:7">
      <c r="A1222" s="50">
        <v>227.59549999999999</v>
      </c>
      <c r="B1222" s="50">
        <v>228.06049999999999</v>
      </c>
      <c r="C1222" s="50">
        <v>226.3827</v>
      </c>
      <c r="D1222" s="50">
        <v>227.04339999999999</v>
      </c>
      <c r="E1222" s="50">
        <v>5378341</v>
      </c>
      <c r="F1222" s="50" t="s">
        <v>1249</v>
      </c>
      <c r="G1222" s="25">
        <f t="shared" si="16"/>
        <v>2.4316936761870078E-3</v>
      </c>
    </row>
    <row r="1223" spans="1:7">
      <c r="A1223" s="50">
        <v>226.6172</v>
      </c>
      <c r="B1223" s="50">
        <v>226.91749999999999</v>
      </c>
      <c r="C1223" s="50">
        <v>224.85480000000001</v>
      </c>
      <c r="D1223" s="50">
        <v>225.7938</v>
      </c>
      <c r="E1223" s="50">
        <v>4452453</v>
      </c>
      <c r="F1223" s="50" t="s">
        <v>1250</v>
      </c>
      <c r="G1223" s="25">
        <f t="shared" si="16"/>
        <v>3.6466900331186825E-3</v>
      </c>
    </row>
    <row r="1224" spans="1:7">
      <c r="A1224" s="50">
        <v>225.02860000000001</v>
      </c>
      <c r="B1224" s="50">
        <v>227.489</v>
      </c>
      <c r="C1224" s="50">
        <v>224.84460000000001</v>
      </c>
      <c r="D1224" s="50">
        <v>225.21260000000001</v>
      </c>
      <c r="E1224" s="50">
        <v>4658980</v>
      </c>
      <c r="F1224" s="50" t="s">
        <v>1251</v>
      </c>
      <c r="G1224" s="25">
        <f t="shared" si="16"/>
        <v>-8.1700579807697515E-4</v>
      </c>
    </row>
    <row r="1225" spans="1:7">
      <c r="A1225" s="50">
        <v>224.77670000000001</v>
      </c>
      <c r="B1225" s="50">
        <v>225.55170000000001</v>
      </c>
      <c r="C1225" s="50">
        <v>222.946</v>
      </c>
      <c r="D1225" s="50">
        <v>224.87360000000001</v>
      </c>
      <c r="E1225" s="50">
        <v>4170603</v>
      </c>
      <c r="F1225" s="50" t="s">
        <v>1252</v>
      </c>
      <c r="G1225" s="25">
        <f t="shared" si="16"/>
        <v>-4.3090874162199366E-4</v>
      </c>
    </row>
    <row r="1226" spans="1:7">
      <c r="A1226" s="50">
        <v>224.06960000000001</v>
      </c>
      <c r="B1226" s="50">
        <v>227.32429999999999</v>
      </c>
      <c r="C1226" s="50">
        <v>222.86850000000001</v>
      </c>
      <c r="D1226" s="50">
        <v>225.55170000000001</v>
      </c>
      <c r="E1226" s="50">
        <v>5421294</v>
      </c>
      <c r="F1226" s="50" t="s">
        <v>1253</v>
      </c>
      <c r="G1226" s="25">
        <f t="shared" si="16"/>
        <v>-6.5709990215103709E-3</v>
      </c>
    </row>
    <row r="1227" spans="1:7">
      <c r="A1227" s="50">
        <v>222.92660000000001</v>
      </c>
      <c r="B1227" s="50">
        <v>223.4691</v>
      </c>
      <c r="C1227" s="50">
        <v>221.5608</v>
      </c>
      <c r="D1227" s="50">
        <v>222.16139999999999</v>
      </c>
      <c r="E1227" s="50">
        <v>5085741</v>
      </c>
      <c r="F1227" s="50" t="s">
        <v>1254</v>
      </c>
      <c r="G1227" s="25">
        <f t="shared" si="16"/>
        <v>3.444342716601545E-3</v>
      </c>
    </row>
    <row r="1228" spans="1:7">
      <c r="A1228" s="50">
        <v>220.96019999999999</v>
      </c>
      <c r="B1228" s="50">
        <v>223.1688</v>
      </c>
      <c r="C1228" s="50">
        <v>220.6309</v>
      </c>
      <c r="D1228" s="50">
        <v>221.82230000000001</v>
      </c>
      <c r="E1228" s="50">
        <v>6382407</v>
      </c>
      <c r="F1228" s="50" t="s">
        <v>1255</v>
      </c>
      <c r="G1228" s="25">
        <f t="shared" si="16"/>
        <v>-3.8864442393755638E-3</v>
      </c>
    </row>
    <row r="1229" spans="1:7">
      <c r="A1229" s="50">
        <v>222.46170000000001</v>
      </c>
      <c r="B1229" s="50">
        <v>225.80350000000001</v>
      </c>
      <c r="C1229" s="50">
        <v>221.60919999999999</v>
      </c>
      <c r="D1229" s="50">
        <v>222.03550000000001</v>
      </c>
      <c r="E1229" s="50">
        <v>9081362</v>
      </c>
      <c r="F1229" s="50" t="s">
        <v>1256</v>
      </c>
      <c r="G1229" s="25">
        <f t="shared" si="16"/>
        <v>1.9195128706894771E-3</v>
      </c>
    </row>
    <row r="1230" spans="1:7">
      <c r="A1230" s="50">
        <v>219.5266</v>
      </c>
      <c r="B1230" s="50">
        <v>222.86850000000001</v>
      </c>
      <c r="C1230" s="50">
        <v>219.1876</v>
      </c>
      <c r="D1230" s="50">
        <v>222.24860000000001</v>
      </c>
      <c r="E1230" s="50">
        <v>5091507</v>
      </c>
      <c r="F1230" s="50" t="s">
        <v>1257</v>
      </c>
      <c r="G1230" s="25">
        <f t="shared" si="16"/>
        <v>-1.2247546216264116E-2</v>
      </c>
    </row>
    <row r="1231" spans="1:7">
      <c r="A1231" s="50">
        <v>220.1756</v>
      </c>
      <c r="B1231" s="50">
        <v>222.2389</v>
      </c>
      <c r="C1231" s="50">
        <v>220.0284</v>
      </c>
      <c r="D1231" s="50">
        <v>220.45650000000001</v>
      </c>
      <c r="E1231" s="50">
        <v>5782053</v>
      </c>
      <c r="F1231" s="50" t="s">
        <v>1258</v>
      </c>
      <c r="G1231" s="25">
        <f t="shared" si="16"/>
        <v>-1.2741742702074843E-3</v>
      </c>
    </row>
    <row r="1232" spans="1:7">
      <c r="A1232" s="50">
        <v>219.74940000000001</v>
      </c>
      <c r="B1232" s="50">
        <v>221.26050000000001</v>
      </c>
      <c r="C1232" s="50">
        <v>219.2748</v>
      </c>
      <c r="D1232" s="50">
        <v>220.62119999999999</v>
      </c>
      <c r="E1232" s="50">
        <v>5969553</v>
      </c>
      <c r="F1232" s="50" t="s">
        <v>1259</v>
      </c>
      <c r="G1232" s="25">
        <f t="shared" si="16"/>
        <v>-3.9515694774572285E-3</v>
      </c>
    </row>
    <row r="1233" spans="1:7">
      <c r="A1233" s="50">
        <v>219.9528</v>
      </c>
      <c r="B1233" s="50">
        <v>222.16139999999999</v>
      </c>
      <c r="C1233" s="50">
        <v>219.28450000000001</v>
      </c>
      <c r="D1233" s="50">
        <v>220.90209999999999</v>
      </c>
      <c r="E1233" s="50">
        <v>4295635</v>
      </c>
      <c r="F1233" s="50" t="s">
        <v>1260</v>
      </c>
      <c r="G1233" s="25">
        <f t="shared" si="16"/>
        <v>-4.2973787935922658E-3</v>
      </c>
    </row>
    <row r="1234" spans="1:7">
      <c r="A1234" s="50">
        <v>221.8417</v>
      </c>
      <c r="B1234" s="50">
        <v>222.97499999999999</v>
      </c>
      <c r="C1234" s="50">
        <v>221.26050000000001</v>
      </c>
      <c r="D1234" s="50">
        <v>222.69409999999999</v>
      </c>
      <c r="E1234" s="50">
        <v>4689089</v>
      </c>
      <c r="F1234" s="50" t="s">
        <v>1261</v>
      </c>
      <c r="G1234" s="25">
        <f t="shared" si="16"/>
        <v>-3.8276721296163219E-3</v>
      </c>
    </row>
    <row r="1235" spans="1:7">
      <c r="A1235" s="50">
        <v>222.13229999999999</v>
      </c>
      <c r="B1235" s="50">
        <v>222.89760000000001</v>
      </c>
      <c r="C1235" s="50">
        <v>220.49529999999999</v>
      </c>
      <c r="D1235" s="50">
        <v>220.80529999999999</v>
      </c>
      <c r="E1235" s="50">
        <v>4040078</v>
      </c>
      <c r="F1235" s="50" t="s">
        <v>1262</v>
      </c>
      <c r="G1235" s="25">
        <f t="shared" si="16"/>
        <v>6.0098195106730312E-3</v>
      </c>
    </row>
    <row r="1236" spans="1:7">
      <c r="A1236" s="50">
        <v>219.66220000000001</v>
      </c>
      <c r="B1236" s="50">
        <v>222.12260000000001</v>
      </c>
      <c r="C1236" s="50">
        <v>219.45089999999999</v>
      </c>
      <c r="D1236" s="50">
        <v>219.7688</v>
      </c>
      <c r="E1236" s="50">
        <v>5603876</v>
      </c>
      <c r="F1236" s="50" t="s">
        <v>1263</v>
      </c>
      <c r="G1236" s="25">
        <f t="shared" ref="G1236:G1299" si="17">A1236/D1236-1</f>
        <v>-4.8505520346830977E-4</v>
      </c>
    </row>
    <row r="1237" spans="1:7">
      <c r="A1237" s="50">
        <v>219.3426</v>
      </c>
      <c r="B1237" s="50">
        <v>220.46619999999999</v>
      </c>
      <c r="C1237" s="50">
        <v>218.18020000000001</v>
      </c>
      <c r="D1237" s="50">
        <v>218.37389999999999</v>
      </c>
      <c r="E1237" s="50">
        <v>7478621</v>
      </c>
      <c r="F1237" s="50" t="s">
        <v>1264</v>
      </c>
      <c r="G1237" s="25">
        <f t="shared" si="17"/>
        <v>4.4359696831901552E-3</v>
      </c>
    </row>
    <row r="1238" spans="1:7">
      <c r="A1238" s="50">
        <v>217.5506</v>
      </c>
      <c r="B1238" s="50">
        <v>217.80240000000001</v>
      </c>
      <c r="C1238" s="50">
        <v>214.84229999999999</v>
      </c>
      <c r="D1238" s="50">
        <v>215.77789999999999</v>
      </c>
      <c r="E1238" s="50">
        <v>9311863</v>
      </c>
      <c r="F1238" s="50" t="s">
        <v>1265</v>
      </c>
      <c r="G1238" s="25">
        <f t="shared" si="17"/>
        <v>8.2153918450407204E-3</v>
      </c>
    </row>
    <row r="1239" spans="1:7">
      <c r="A1239" s="50">
        <v>218.4999</v>
      </c>
      <c r="B1239" s="50">
        <v>221.9966</v>
      </c>
      <c r="C1239" s="50">
        <v>218.36420000000001</v>
      </c>
      <c r="D1239" s="50">
        <v>221.23150000000001</v>
      </c>
      <c r="E1239" s="50">
        <v>6900034</v>
      </c>
      <c r="F1239" s="50" t="s">
        <v>1266</v>
      </c>
      <c r="G1239" s="25">
        <f t="shared" si="17"/>
        <v>-1.2347247114448012E-2</v>
      </c>
    </row>
    <row r="1240" spans="1:7">
      <c r="A1240" s="50">
        <v>219.3426</v>
      </c>
      <c r="B1240" s="50">
        <v>220.04</v>
      </c>
      <c r="C1240" s="50">
        <v>218.25280000000001</v>
      </c>
      <c r="D1240" s="50">
        <v>219.0907</v>
      </c>
      <c r="E1240" s="50">
        <v>5534164</v>
      </c>
      <c r="F1240" s="50" t="s">
        <v>1267</v>
      </c>
      <c r="G1240" s="25">
        <f t="shared" si="17"/>
        <v>1.1497521346182094E-3</v>
      </c>
    </row>
    <row r="1241" spans="1:7">
      <c r="A1241" s="50">
        <v>219.82689999999999</v>
      </c>
      <c r="B1241" s="50">
        <v>220.37899999999999</v>
      </c>
      <c r="C1241" s="50">
        <v>217.87020000000001</v>
      </c>
      <c r="D1241" s="50">
        <v>218.74199999999999</v>
      </c>
      <c r="E1241" s="50">
        <v>4777231</v>
      </c>
      <c r="F1241" s="50" t="s">
        <v>1268</v>
      </c>
      <c r="G1241" s="25">
        <f t="shared" si="17"/>
        <v>4.9597242413437215E-3</v>
      </c>
    </row>
    <row r="1242" spans="1:7">
      <c r="A1242" s="50">
        <v>216.72720000000001</v>
      </c>
      <c r="B1242" s="50">
        <v>217.8509</v>
      </c>
      <c r="C1242" s="50">
        <v>213.9665</v>
      </c>
      <c r="D1242" s="50">
        <v>214.56710000000001</v>
      </c>
      <c r="E1242" s="50">
        <v>6650401</v>
      </c>
      <c r="F1242" s="50" t="s">
        <v>1269</v>
      </c>
      <c r="G1242" s="25">
        <f t="shared" si="17"/>
        <v>1.0067247029017956E-2</v>
      </c>
    </row>
    <row r="1243" spans="1:7">
      <c r="A1243" s="50">
        <v>213.40469999999999</v>
      </c>
      <c r="B1243" s="50">
        <v>217.63159999999999</v>
      </c>
      <c r="C1243" s="50">
        <v>213.09520000000001</v>
      </c>
      <c r="D1243" s="50">
        <v>216.3065</v>
      </c>
      <c r="E1243" s="50">
        <v>7721250</v>
      </c>
      <c r="F1243" s="50" t="s">
        <v>1270</v>
      </c>
      <c r="G1243" s="25">
        <f t="shared" si="17"/>
        <v>-1.3415223305818458E-2</v>
      </c>
    </row>
    <row r="1244" spans="1:7">
      <c r="A1244" s="50">
        <v>218.0959</v>
      </c>
      <c r="B1244" s="50">
        <v>219.0051</v>
      </c>
      <c r="C1244" s="50">
        <v>214.76400000000001</v>
      </c>
      <c r="D1244" s="50">
        <v>216.41290000000001</v>
      </c>
      <c r="E1244" s="50">
        <v>7633289</v>
      </c>
      <c r="F1244" s="50" t="s">
        <v>1271</v>
      </c>
      <c r="G1244" s="25">
        <f t="shared" si="17"/>
        <v>7.7768007360003999E-3</v>
      </c>
    </row>
    <row r="1245" spans="1:7">
      <c r="A1245" s="50">
        <v>218.56979999999999</v>
      </c>
      <c r="B1245" s="50">
        <v>224.4024</v>
      </c>
      <c r="C1245" s="50">
        <v>217.78639999999999</v>
      </c>
      <c r="D1245" s="50">
        <v>224.0155</v>
      </c>
      <c r="E1245" s="50">
        <v>9627426</v>
      </c>
      <c r="F1245" s="50" t="s">
        <v>1272</v>
      </c>
      <c r="G1245" s="25">
        <f t="shared" si="17"/>
        <v>-2.4309478585187283E-2</v>
      </c>
    </row>
    <row r="1246" spans="1:7">
      <c r="A1246" s="50">
        <v>224.51840000000001</v>
      </c>
      <c r="B1246" s="50">
        <v>225.58240000000001</v>
      </c>
      <c r="C1246" s="50">
        <v>223.1498</v>
      </c>
      <c r="D1246" s="50">
        <v>224.7312</v>
      </c>
      <c r="E1246" s="50">
        <v>4529048</v>
      </c>
      <c r="F1246" s="50" t="s">
        <v>1273</v>
      </c>
      <c r="G1246" s="25">
        <f t="shared" si="17"/>
        <v>-9.4690901841842923E-4</v>
      </c>
    </row>
    <row r="1247" spans="1:7">
      <c r="A1247" s="50">
        <v>223.74459999999999</v>
      </c>
      <c r="B1247" s="50">
        <v>223.99610000000001</v>
      </c>
      <c r="C1247" s="50">
        <v>221.17179999999999</v>
      </c>
      <c r="D1247" s="50">
        <v>222.11</v>
      </c>
      <c r="E1247" s="50">
        <v>6124286</v>
      </c>
      <c r="F1247" s="50" t="s">
        <v>1274</v>
      </c>
      <c r="G1247" s="25">
        <f t="shared" si="17"/>
        <v>7.3594165053350036E-3</v>
      </c>
    </row>
    <row r="1248" spans="1:7">
      <c r="A1248" s="50">
        <v>221.7037</v>
      </c>
      <c r="B1248" s="50">
        <v>223.5222</v>
      </c>
      <c r="C1248" s="50">
        <v>221.17179999999999</v>
      </c>
      <c r="D1248" s="50">
        <v>226.1918</v>
      </c>
      <c r="E1248" s="50">
        <v>3887826</v>
      </c>
      <c r="F1248" s="50" t="s">
        <v>1275</v>
      </c>
      <c r="G1248" s="25">
        <f t="shared" si="17"/>
        <v>-1.9842010187814063E-2</v>
      </c>
    </row>
    <row r="1249" spans="1:7">
      <c r="A1249" s="50">
        <v>224.4314</v>
      </c>
      <c r="B1249" s="50">
        <v>224.78210000000001</v>
      </c>
      <c r="C1249" s="50">
        <v>222.69030000000001</v>
      </c>
      <c r="D1249" s="50">
        <v>224.0155</v>
      </c>
      <c r="E1249" s="50">
        <v>5884506</v>
      </c>
      <c r="F1249" s="50" t="s">
        <v>1276</v>
      </c>
      <c r="G1249" s="25">
        <f t="shared" si="17"/>
        <v>1.856567960699218E-3</v>
      </c>
    </row>
    <row r="1250" spans="1:7">
      <c r="A1250" s="50">
        <v>224.9924</v>
      </c>
      <c r="B1250" s="50">
        <v>228.01990000000001</v>
      </c>
      <c r="C1250" s="50">
        <v>223.8075</v>
      </c>
      <c r="D1250" s="50">
        <v>226.3852</v>
      </c>
      <c r="E1250" s="50">
        <v>8174440</v>
      </c>
      <c r="F1250" s="50" t="s">
        <v>1277</v>
      </c>
      <c r="G1250" s="25">
        <f t="shared" si="17"/>
        <v>-6.1523456480370164E-3</v>
      </c>
    </row>
    <row r="1251" spans="1:7">
      <c r="A1251" s="50">
        <v>225.91130000000001</v>
      </c>
      <c r="B1251" s="50">
        <v>228.2037</v>
      </c>
      <c r="C1251" s="50">
        <v>224.68289999999999</v>
      </c>
      <c r="D1251" s="50">
        <v>227.61359999999999</v>
      </c>
      <c r="E1251" s="50">
        <v>10260248</v>
      </c>
      <c r="F1251" s="50" t="s">
        <v>1278</v>
      </c>
      <c r="G1251" s="25">
        <f t="shared" si="17"/>
        <v>-7.4789028423608572E-3</v>
      </c>
    </row>
    <row r="1252" spans="1:7">
      <c r="A1252" s="50">
        <v>229.10319999999999</v>
      </c>
      <c r="B1252" s="50">
        <v>229.72229999999999</v>
      </c>
      <c r="C1252" s="50">
        <v>225.5147</v>
      </c>
      <c r="D1252" s="50">
        <v>227.5266</v>
      </c>
      <c r="E1252" s="50">
        <v>7411371</v>
      </c>
      <c r="F1252" s="50" t="s">
        <v>1279</v>
      </c>
      <c r="G1252" s="25">
        <f t="shared" si="17"/>
        <v>6.9292996950685026E-3</v>
      </c>
    </row>
    <row r="1253" spans="1:7">
      <c r="A1253" s="50">
        <v>225.8049</v>
      </c>
      <c r="B1253" s="50">
        <v>228.5325</v>
      </c>
      <c r="C1253" s="50">
        <v>223.1206</v>
      </c>
      <c r="D1253" s="50">
        <v>223.38679999999999</v>
      </c>
      <c r="E1253" s="50">
        <v>10111448</v>
      </c>
      <c r="F1253" s="50" t="s">
        <v>1280</v>
      </c>
      <c r="G1253" s="25">
        <f t="shared" si="17"/>
        <v>1.0824721962085615E-2</v>
      </c>
    </row>
    <row r="1254" spans="1:7">
      <c r="A1254" s="50">
        <v>222.38079999999999</v>
      </c>
      <c r="B1254" s="50">
        <v>223.5899</v>
      </c>
      <c r="C1254" s="50">
        <v>221.48609999999999</v>
      </c>
      <c r="D1254" s="50">
        <v>223.4641</v>
      </c>
      <c r="E1254" s="50">
        <v>6642114</v>
      </c>
      <c r="F1254" s="50" t="s">
        <v>1281</v>
      </c>
      <c r="G1254" s="25">
        <f t="shared" si="17"/>
        <v>-4.8477585437661785E-3</v>
      </c>
    </row>
    <row r="1255" spans="1:7">
      <c r="A1255" s="50">
        <v>222.79669999999999</v>
      </c>
      <c r="B1255" s="50">
        <v>225.32130000000001</v>
      </c>
      <c r="C1255" s="50">
        <v>222.00360000000001</v>
      </c>
      <c r="D1255" s="50">
        <v>223.21270000000001</v>
      </c>
      <c r="E1255" s="50">
        <v>5650039</v>
      </c>
      <c r="F1255" s="50" t="s">
        <v>1282</v>
      </c>
      <c r="G1255" s="25">
        <f t="shared" si="17"/>
        <v>-1.8636932396768335E-3</v>
      </c>
    </row>
    <row r="1256" spans="1:7">
      <c r="A1256" s="50">
        <v>222.46789999999999</v>
      </c>
      <c r="B1256" s="50">
        <v>224.22829999999999</v>
      </c>
      <c r="C1256" s="50">
        <v>220.25290000000001</v>
      </c>
      <c r="D1256" s="50">
        <v>221.1234</v>
      </c>
      <c r="E1256" s="50">
        <v>5345445</v>
      </c>
      <c r="F1256" s="50" t="s">
        <v>1283</v>
      </c>
      <c r="G1256" s="25">
        <f t="shared" si="17"/>
        <v>6.0803153352380068E-3</v>
      </c>
    </row>
    <row r="1257" spans="1:7">
      <c r="A1257" s="50">
        <v>220.1174</v>
      </c>
      <c r="B1257" s="50">
        <v>223.37209999999999</v>
      </c>
      <c r="C1257" s="50">
        <v>219.4597</v>
      </c>
      <c r="D1257" s="50">
        <v>219.8563</v>
      </c>
      <c r="E1257" s="50">
        <v>7302953</v>
      </c>
      <c r="F1257" s="50" t="s">
        <v>1284</v>
      </c>
      <c r="G1257" s="25">
        <f t="shared" si="17"/>
        <v>1.1875938965588695E-3</v>
      </c>
    </row>
    <row r="1258" spans="1:7">
      <c r="A1258" s="50">
        <v>220.00139999999999</v>
      </c>
      <c r="B1258" s="50">
        <v>220.4076</v>
      </c>
      <c r="C1258" s="50">
        <v>215.56649999999999</v>
      </c>
      <c r="D1258" s="50">
        <v>215.99700000000001</v>
      </c>
      <c r="E1258" s="50">
        <v>9490560</v>
      </c>
      <c r="F1258" s="50" t="s">
        <v>1285</v>
      </c>
      <c r="G1258" s="25">
        <f t="shared" si="17"/>
        <v>1.85391463770328E-2</v>
      </c>
    </row>
    <row r="1259" spans="1:7">
      <c r="A1259" s="50">
        <v>215.96789999999999</v>
      </c>
      <c r="B1259" s="50">
        <v>217.9992</v>
      </c>
      <c r="C1259" s="50">
        <v>214.5558</v>
      </c>
      <c r="D1259" s="50">
        <v>217.4188</v>
      </c>
      <c r="E1259" s="50">
        <v>5799134</v>
      </c>
      <c r="F1259" s="50" t="s">
        <v>1286</v>
      </c>
      <c r="G1259" s="25">
        <f t="shared" si="17"/>
        <v>-6.6732959615268816E-3</v>
      </c>
    </row>
    <row r="1260" spans="1:7">
      <c r="A1260" s="50">
        <v>218.39570000000001</v>
      </c>
      <c r="B1260" s="50">
        <v>220.12710000000001</v>
      </c>
      <c r="C1260" s="50">
        <v>217.709</v>
      </c>
      <c r="D1260" s="50">
        <v>218.3571</v>
      </c>
      <c r="E1260" s="50">
        <v>6541636</v>
      </c>
      <c r="F1260" s="50" t="s">
        <v>1287</v>
      </c>
      <c r="G1260" s="25">
        <f t="shared" si="17"/>
        <v>1.7677465033205664E-4</v>
      </c>
    </row>
    <row r="1261" spans="1:7">
      <c r="A1261" s="50">
        <v>218.99539999999999</v>
      </c>
      <c r="B1261" s="50">
        <v>220.3399</v>
      </c>
      <c r="C1261" s="50">
        <v>218.36670000000001</v>
      </c>
      <c r="D1261" s="50">
        <v>219.73050000000001</v>
      </c>
      <c r="E1261" s="50">
        <v>6829350</v>
      </c>
      <c r="F1261" s="50" t="s">
        <v>1288</v>
      </c>
      <c r="G1261" s="25">
        <f t="shared" si="17"/>
        <v>-3.3454618271019365E-3</v>
      </c>
    </row>
    <row r="1262" spans="1:7">
      <c r="A1262" s="50">
        <v>218.86969999999999</v>
      </c>
      <c r="B1262" s="50">
        <v>220.1713</v>
      </c>
      <c r="C1262" s="50">
        <v>216.5241</v>
      </c>
      <c r="D1262" s="50">
        <v>216.55799999999999</v>
      </c>
      <c r="E1262" s="50">
        <v>8698106</v>
      </c>
      <c r="F1262" s="50" t="s">
        <v>1289</v>
      </c>
      <c r="G1262" s="25">
        <f t="shared" si="17"/>
        <v>1.067473840726274E-2</v>
      </c>
    </row>
    <row r="1263" spans="1:7">
      <c r="A1263" s="50">
        <v>214.7105</v>
      </c>
      <c r="B1263" s="50">
        <v>215.7938</v>
      </c>
      <c r="C1263" s="50">
        <v>212.8631</v>
      </c>
      <c r="D1263" s="50">
        <v>213.76259999999999</v>
      </c>
      <c r="E1263" s="50">
        <v>4972551</v>
      </c>
      <c r="F1263" s="50" t="s">
        <v>1290</v>
      </c>
      <c r="G1263" s="25">
        <f t="shared" si="17"/>
        <v>4.4343584892774235E-3</v>
      </c>
    </row>
    <row r="1264" spans="1:7">
      <c r="A1264" s="50">
        <v>213.78190000000001</v>
      </c>
      <c r="B1264" s="50">
        <v>214.35749999999999</v>
      </c>
      <c r="C1264" s="50">
        <v>213.00810000000001</v>
      </c>
      <c r="D1264" s="50">
        <v>213.76259999999999</v>
      </c>
      <c r="E1264" s="50">
        <v>4764036</v>
      </c>
      <c r="F1264" s="50" t="s">
        <v>1291</v>
      </c>
      <c r="G1264" s="25">
        <f t="shared" si="17"/>
        <v>9.0287075475314893E-5</v>
      </c>
    </row>
    <row r="1265" spans="1:7">
      <c r="A1265" s="50">
        <v>214.21719999999999</v>
      </c>
      <c r="B1265" s="50">
        <v>214.64279999999999</v>
      </c>
      <c r="C1265" s="50">
        <v>212.04089999999999</v>
      </c>
      <c r="D1265" s="50">
        <v>213.0275</v>
      </c>
      <c r="E1265" s="50">
        <v>6315207</v>
      </c>
      <c r="F1265" s="50" t="s">
        <v>1292</v>
      </c>
      <c r="G1265" s="25">
        <f t="shared" si="17"/>
        <v>5.5847249768221641E-3</v>
      </c>
    </row>
    <row r="1266" spans="1:7">
      <c r="A1266" s="50">
        <v>215.2328</v>
      </c>
      <c r="B1266" s="50">
        <v>215.31020000000001</v>
      </c>
      <c r="C1266" s="50">
        <v>212.32140000000001</v>
      </c>
      <c r="D1266" s="50">
        <v>213.76259999999999</v>
      </c>
      <c r="E1266" s="50">
        <v>5724939</v>
      </c>
      <c r="F1266" s="50" t="s">
        <v>1293</v>
      </c>
      <c r="G1266" s="25">
        <f t="shared" si="17"/>
        <v>6.8777232312855485E-3</v>
      </c>
    </row>
    <row r="1267" spans="1:7">
      <c r="A1267" s="50">
        <v>213.47239999999999</v>
      </c>
      <c r="B1267" s="50">
        <v>215.523</v>
      </c>
      <c r="C1267" s="50">
        <v>210.96719999999999</v>
      </c>
      <c r="D1267" s="50">
        <v>212.7663</v>
      </c>
      <c r="E1267" s="50">
        <v>11041976</v>
      </c>
      <c r="F1267" s="50" t="s">
        <v>1294</v>
      </c>
      <c r="G1267" s="25">
        <f t="shared" si="17"/>
        <v>3.3186646569498546E-3</v>
      </c>
    </row>
    <row r="1268" spans="1:7">
      <c r="A1268" s="50">
        <v>212.08930000000001</v>
      </c>
      <c r="B1268" s="50">
        <v>213.8013</v>
      </c>
      <c r="C1268" s="50">
        <v>211.47989999999999</v>
      </c>
      <c r="D1268" s="50">
        <v>211.9442</v>
      </c>
      <c r="E1268" s="50">
        <v>5614322</v>
      </c>
      <c r="F1268" s="50" t="s">
        <v>1295</v>
      </c>
      <c r="G1268" s="25">
        <f t="shared" si="17"/>
        <v>6.8461415787757218E-4</v>
      </c>
    </row>
    <row r="1269" spans="1:7">
      <c r="A1269" s="50">
        <v>211.4896</v>
      </c>
      <c r="B1269" s="50">
        <v>212.215</v>
      </c>
      <c r="C1269" s="50">
        <v>208.28800000000001</v>
      </c>
      <c r="D1269" s="50">
        <v>210.4933</v>
      </c>
      <c r="E1269" s="50">
        <v>7828103</v>
      </c>
      <c r="F1269" s="50" t="s">
        <v>1296</v>
      </c>
      <c r="G1269" s="25">
        <f t="shared" si="17"/>
        <v>4.733167278958561E-3</v>
      </c>
    </row>
    <row r="1270" spans="1:7">
      <c r="A1270" s="50">
        <v>211.86680000000001</v>
      </c>
      <c r="B1270" s="50">
        <v>213.28870000000001</v>
      </c>
      <c r="C1270" s="50">
        <v>210.19229999999999</v>
      </c>
      <c r="D1270" s="50">
        <v>211.44120000000001</v>
      </c>
      <c r="E1270" s="50">
        <v>10440483</v>
      </c>
      <c r="F1270" s="50" t="s">
        <v>1297</v>
      </c>
      <c r="G1270" s="25">
        <f t="shared" si="17"/>
        <v>2.0128527458225243E-3</v>
      </c>
    </row>
    <row r="1271" spans="1:7">
      <c r="A1271" s="50">
        <v>209.75819999999999</v>
      </c>
      <c r="B1271" s="50">
        <v>210.60939999999999</v>
      </c>
      <c r="C1271" s="50">
        <v>205.3475</v>
      </c>
      <c r="D1271" s="50">
        <v>206.78290000000001</v>
      </c>
      <c r="E1271" s="50">
        <v>6138428</v>
      </c>
      <c r="F1271" s="50" t="s">
        <v>1298</v>
      </c>
      <c r="G1271" s="25">
        <f t="shared" si="17"/>
        <v>1.4388520520797199E-2</v>
      </c>
    </row>
    <row r="1272" spans="1:7">
      <c r="A1272" s="50">
        <v>204.7962</v>
      </c>
      <c r="B1272" s="50">
        <v>207.09819999999999</v>
      </c>
      <c r="C1272" s="50">
        <v>204.6172</v>
      </c>
      <c r="D1272" s="50">
        <v>205.58930000000001</v>
      </c>
      <c r="E1272" s="50">
        <v>13179961</v>
      </c>
      <c r="F1272" s="50" t="s">
        <v>1299</v>
      </c>
      <c r="G1272" s="25">
        <f t="shared" si="17"/>
        <v>-3.857691037422728E-3</v>
      </c>
    </row>
    <row r="1273" spans="1:7">
      <c r="A1273" s="50">
        <v>204.9606</v>
      </c>
      <c r="B1273" s="50">
        <v>207.1369</v>
      </c>
      <c r="C1273" s="50">
        <v>204.48670000000001</v>
      </c>
      <c r="D1273" s="50">
        <v>206.0343</v>
      </c>
      <c r="E1273" s="50">
        <v>5497997</v>
      </c>
      <c r="F1273" s="50" t="s">
        <v>1300</v>
      </c>
      <c r="G1273" s="25">
        <f t="shared" si="17"/>
        <v>-5.2112682208739214E-3</v>
      </c>
    </row>
    <row r="1274" spans="1:7">
      <c r="A1274" s="50">
        <v>207.48509999999999</v>
      </c>
      <c r="B1274" s="50">
        <v>208.2396</v>
      </c>
      <c r="C1274" s="50">
        <v>204.2062</v>
      </c>
      <c r="D1274" s="50">
        <v>205.49260000000001</v>
      </c>
      <c r="E1274" s="50">
        <v>7792260</v>
      </c>
      <c r="F1274" s="50" t="s">
        <v>1301</v>
      </c>
      <c r="G1274" s="25">
        <f t="shared" si="17"/>
        <v>9.6962129049902313E-3</v>
      </c>
    </row>
    <row r="1275" spans="1:7">
      <c r="A1275" s="50">
        <v>206.53720000000001</v>
      </c>
      <c r="B1275" s="50">
        <v>206.70169999999999</v>
      </c>
      <c r="C1275" s="50">
        <v>200.8982</v>
      </c>
      <c r="D1275" s="50">
        <v>201.43010000000001</v>
      </c>
      <c r="E1275" s="50">
        <v>7399940</v>
      </c>
      <c r="F1275" s="50" t="s">
        <v>1302</v>
      </c>
      <c r="G1275" s="25">
        <f t="shared" si="17"/>
        <v>2.5354204758871735E-2</v>
      </c>
    </row>
    <row r="1276" spans="1:7">
      <c r="A1276" s="50">
        <v>201.1593</v>
      </c>
      <c r="B1276" s="50">
        <v>201.98150000000001</v>
      </c>
      <c r="C1276" s="50">
        <v>199.041</v>
      </c>
      <c r="D1276" s="50">
        <v>200.8691</v>
      </c>
      <c r="E1276" s="50">
        <v>8390834</v>
      </c>
      <c r="F1276" s="50" t="s">
        <v>1303</v>
      </c>
      <c r="G1276" s="25">
        <f t="shared" si="17"/>
        <v>1.4447219607196526E-3</v>
      </c>
    </row>
    <row r="1277" spans="1:7">
      <c r="A1277" s="50">
        <v>201.256</v>
      </c>
      <c r="B1277" s="50">
        <v>204.22550000000001</v>
      </c>
      <c r="C1277" s="50">
        <v>201.1206</v>
      </c>
      <c r="D1277" s="50">
        <v>201.91380000000001</v>
      </c>
      <c r="E1277" s="50">
        <v>10101640</v>
      </c>
      <c r="F1277" s="50" t="s">
        <v>1304</v>
      </c>
      <c r="G1277" s="25">
        <f t="shared" si="17"/>
        <v>-3.2578258643045643E-3</v>
      </c>
    </row>
    <row r="1278" spans="1:7">
      <c r="A1278" s="50">
        <v>201.33340000000001</v>
      </c>
      <c r="B1278" s="50">
        <v>203.08410000000001</v>
      </c>
      <c r="C1278" s="50">
        <v>200.7047</v>
      </c>
      <c r="D1278" s="50">
        <v>202.2039</v>
      </c>
      <c r="E1278" s="50">
        <v>8820746</v>
      </c>
      <c r="F1278" s="50" t="s">
        <v>1305</v>
      </c>
      <c r="G1278" s="25">
        <f t="shared" si="17"/>
        <v>-4.3050603870646853E-3</v>
      </c>
    </row>
    <row r="1279" spans="1:7">
      <c r="A1279" s="50">
        <v>201.1883</v>
      </c>
      <c r="B1279" s="50">
        <v>205.33779999999999</v>
      </c>
      <c r="C1279" s="50">
        <v>199.47630000000001</v>
      </c>
      <c r="D1279" s="50">
        <v>199.78579999999999</v>
      </c>
      <c r="E1279" s="50">
        <v>11371584</v>
      </c>
      <c r="F1279" s="50" t="s">
        <v>1306</v>
      </c>
      <c r="G1279" s="25">
        <f t="shared" si="17"/>
        <v>7.0200184397490872E-3</v>
      </c>
    </row>
    <row r="1280" spans="1:7">
      <c r="A1280" s="50">
        <v>200.12440000000001</v>
      </c>
      <c r="B1280" s="50">
        <v>212.95869999999999</v>
      </c>
      <c r="C1280" s="50">
        <v>200.10499999999999</v>
      </c>
      <c r="D1280" s="50">
        <v>211.9442</v>
      </c>
      <c r="E1280" s="50">
        <v>32209683</v>
      </c>
      <c r="F1280" s="50" t="s">
        <v>1307</v>
      </c>
      <c r="G1280" s="25">
        <f t="shared" si="17"/>
        <v>-5.5768452262435098E-2</v>
      </c>
    </row>
    <row r="1281" spans="1:7">
      <c r="A1281" s="50">
        <v>213.43369999999999</v>
      </c>
      <c r="B1281" s="50">
        <v>215.2328</v>
      </c>
      <c r="C1281" s="50">
        <v>212.38910000000001</v>
      </c>
      <c r="D1281" s="50">
        <v>214.17850000000001</v>
      </c>
      <c r="E1281" s="50">
        <v>9323007</v>
      </c>
      <c r="F1281" s="50" t="s">
        <v>1308</v>
      </c>
      <c r="G1281" s="25">
        <f t="shared" si="17"/>
        <v>-3.4774732291057431E-3</v>
      </c>
    </row>
    <row r="1282" spans="1:7">
      <c r="A1282" s="50">
        <v>215.7165</v>
      </c>
      <c r="B1282" s="50">
        <v>218.83099999999999</v>
      </c>
      <c r="C1282" s="50">
        <v>214.49770000000001</v>
      </c>
      <c r="D1282" s="50">
        <v>217.68</v>
      </c>
      <c r="E1282" s="50">
        <v>8675616</v>
      </c>
      <c r="F1282" s="50" t="s">
        <v>1309</v>
      </c>
      <c r="G1282" s="25">
        <f t="shared" si="17"/>
        <v>-9.0201212789415841E-3</v>
      </c>
    </row>
    <row r="1283" spans="1:7">
      <c r="A1283" s="50">
        <v>217.34139999999999</v>
      </c>
      <c r="B1283" s="50">
        <v>218.1926</v>
      </c>
      <c r="C1283" s="50">
        <v>215.01519999999999</v>
      </c>
      <c r="D1283" s="50">
        <v>216.38390000000001</v>
      </c>
      <c r="E1283" s="50">
        <v>8949319</v>
      </c>
      <c r="F1283" s="50" t="s">
        <v>1310</v>
      </c>
      <c r="G1283" s="25">
        <f t="shared" si="17"/>
        <v>4.4250057421091338E-3</v>
      </c>
    </row>
    <row r="1284" spans="1:7">
      <c r="A1284" s="50">
        <v>215.95830000000001</v>
      </c>
      <c r="B1284" s="50">
        <v>219.64830000000001</v>
      </c>
      <c r="C1284" s="50">
        <v>214.47900000000001</v>
      </c>
      <c r="D1284" s="50">
        <v>216.88679999999999</v>
      </c>
      <c r="E1284" s="50">
        <v>9306996</v>
      </c>
      <c r="F1284" s="50" t="s">
        <v>1311</v>
      </c>
      <c r="G1284" s="25">
        <f t="shared" si="17"/>
        <v>-4.2810350837394484E-3</v>
      </c>
    </row>
    <row r="1285" spans="1:7">
      <c r="A1285" s="50">
        <v>217.01259999999999</v>
      </c>
      <c r="B1285" s="50">
        <v>219.12119999999999</v>
      </c>
      <c r="C1285" s="50">
        <v>216.1035</v>
      </c>
      <c r="D1285" s="50">
        <v>217.9024</v>
      </c>
      <c r="E1285" s="50">
        <v>8172396</v>
      </c>
      <c r="F1285" s="50" t="s">
        <v>1312</v>
      </c>
      <c r="G1285" s="25">
        <f t="shared" si="17"/>
        <v>-4.0834795761772735E-3</v>
      </c>
    </row>
    <row r="1286" spans="1:7">
      <c r="A1286" s="50">
        <v>218.744</v>
      </c>
      <c r="B1286" s="50">
        <v>220.75559999999999</v>
      </c>
      <c r="C1286" s="50">
        <v>216.48060000000001</v>
      </c>
      <c r="D1286" s="50">
        <v>217.17699999999999</v>
      </c>
      <c r="E1286" s="50">
        <v>10053421</v>
      </c>
      <c r="F1286" s="50" t="s">
        <v>1313</v>
      </c>
      <c r="G1286" s="25">
        <f t="shared" si="17"/>
        <v>7.2153128554128809E-3</v>
      </c>
    </row>
    <row r="1287" spans="1:7">
      <c r="A1287" s="50">
        <v>215.86150000000001</v>
      </c>
      <c r="B1287" s="50">
        <v>216.8433</v>
      </c>
      <c r="C1287" s="50">
        <v>212.215</v>
      </c>
      <c r="D1287" s="50">
        <v>213.49180000000001</v>
      </c>
      <c r="E1287" s="50">
        <v>7822898</v>
      </c>
      <c r="F1287" s="50" t="s">
        <v>1314</v>
      </c>
      <c r="G1287" s="25">
        <f t="shared" si="17"/>
        <v>1.1099723736462064E-2</v>
      </c>
    </row>
    <row r="1288" spans="1:7">
      <c r="A1288" s="50">
        <v>213.14359999999999</v>
      </c>
      <c r="B1288" s="50">
        <v>217.63159999999999</v>
      </c>
      <c r="C1288" s="50">
        <v>212.97909999999999</v>
      </c>
      <c r="D1288" s="50">
        <v>214.78790000000001</v>
      </c>
      <c r="E1288" s="50">
        <v>9228559</v>
      </c>
      <c r="F1288" s="50" t="s">
        <v>1315</v>
      </c>
      <c r="G1288" s="25">
        <f t="shared" si="17"/>
        <v>-7.6554591762385549E-3</v>
      </c>
    </row>
    <row r="1289" spans="1:7">
      <c r="A1289" s="50">
        <v>213.0565</v>
      </c>
      <c r="B1289" s="50">
        <v>218.72460000000001</v>
      </c>
      <c r="C1289" s="50">
        <v>208.74260000000001</v>
      </c>
      <c r="D1289" s="50">
        <v>209.87430000000001</v>
      </c>
      <c r="E1289" s="50">
        <v>14750387</v>
      </c>
      <c r="F1289" s="50" t="s">
        <v>1316</v>
      </c>
      <c r="G1289" s="25">
        <f t="shared" si="17"/>
        <v>1.5162409118219866E-2</v>
      </c>
    </row>
    <row r="1290" spans="1:7">
      <c r="A1290" s="50">
        <v>208.35570000000001</v>
      </c>
      <c r="B1290" s="50">
        <v>209.0231</v>
      </c>
      <c r="C1290" s="50">
        <v>202.76499999999999</v>
      </c>
      <c r="D1290" s="50">
        <v>206.73070000000001</v>
      </c>
      <c r="E1290" s="50">
        <v>7582002</v>
      </c>
      <c r="F1290" s="50" t="s">
        <v>1317</v>
      </c>
      <c r="G1290" s="25">
        <f t="shared" si="17"/>
        <v>7.8604677486218133E-3</v>
      </c>
    </row>
    <row r="1291" spans="1:7">
      <c r="A1291" s="50">
        <v>204.5737</v>
      </c>
      <c r="B1291" s="50">
        <v>209.91290000000001</v>
      </c>
      <c r="C1291" s="50">
        <v>201.8364</v>
      </c>
      <c r="D1291" s="50">
        <v>208.8973</v>
      </c>
      <c r="E1291" s="50">
        <v>10658902</v>
      </c>
      <c r="F1291" s="50" t="s">
        <v>1318</v>
      </c>
      <c r="G1291" s="25">
        <f t="shared" si="17"/>
        <v>-2.0697251711726317E-2</v>
      </c>
    </row>
    <row r="1292" spans="1:7">
      <c r="A1292" s="50">
        <v>207.81399999999999</v>
      </c>
      <c r="B1292" s="50">
        <v>210.07740000000001</v>
      </c>
      <c r="C1292" s="50">
        <v>205.88919999999999</v>
      </c>
      <c r="D1292" s="50">
        <v>208.10419999999999</v>
      </c>
      <c r="E1292" s="50">
        <v>6484597</v>
      </c>
      <c r="F1292" s="50" t="s">
        <v>1319</v>
      </c>
      <c r="G1292" s="25">
        <f t="shared" si="17"/>
        <v>-1.3944937199730223E-3</v>
      </c>
    </row>
    <row r="1293" spans="1:7">
      <c r="A1293" s="50">
        <v>208.7039</v>
      </c>
      <c r="B1293" s="50">
        <v>210.79310000000001</v>
      </c>
      <c r="C1293" s="50">
        <v>207.785</v>
      </c>
      <c r="D1293" s="50">
        <v>209.85489999999999</v>
      </c>
      <c r="E1293" s="50">
        <v>6155184</v>
      </c>
      <c r="F1293" s="50" t="s">
        <v>1320</v>
      </c>
      <c r="G1293" s="25">
        <f t="shared" si="17"/>
        <v>-5.4847420765490318E-3</v>
      </c>
    </row>
    <row r="1294" spans="1:7">
      <c r="A1294" s="50">
        <v>209.53569999999999</v>
      </c>
      <c r="B1294" s="50">
        <v>210.66739999999999</v>
      </c>
      <c r="C1294" s="50">
        <v>207.756</v>
      </c>
      <c r="D1294" s="50">
        <v>207.93010000000001</v>
      </c>
      <c r="E1294" s="50">
        <v>6982504</v>
      </c>
      <c r="F1294" s="50" t="s">
        <v>1321</v>
      </c>
      <c r="G1294" s="25">
        <f t="shared" si="17"/>
        <v>7.7218257481719288E-3</v>
      </c>
    </row>
    <row r="1295" spans="1:7">
      <c r="A1295" s="50">
        <v>205.43459999999999</v>
      </c>
      <c r="B1295" s="50">
        <v>208.16220000000001</v>
      </c>
      <c r="C1295" s="50">
        <v>203.83860000000001</v>
      </c>
      <c r="D1295" s="50">
        <v>207.0402</v>
      </c>
      <c r="E1295" s="50">
        <v>11730004</v>
      </c>
      <c r="F1295" s="50" t="s">
        <v>1322</v>
      </c>
      <c r="G1295" s="25">
        <f t="shared" si="17"/>
        <v>-7.7550156926046165E-3</v>
      </c>
    </row>
    <row r="1296" spans="1:7">
      <c r="A1296" s="50">
        <v>206.75</v>
      </c>
      <c r="B1296" s="50">
        <v>213.22579999999999</v>
      </c>
      <c r="C1296" s="50">
        <v>205.6183</v>
      </c>
      <c r="D1296" s="50">
        <v>212.1086</v>
      </c>
      <c r="E1296" s="50">
        <v>11404326</v>
      </c>
      <c r="F1296" s="50" t="s">
        <v>1323</v>
      </c>
      <c r="G1296" s="25">
        <f t="shared" si="17"/>
        <v>-2.526347352252567E-2</v>
      </c>
    </row>
    <row r="1297" spans="1:7">
      <c r="A1297" s="50">
        <v>212.244</v>
      </c>
      <c r="B1297" s="50">
        <v>213.30799999999999</v>
      </c>
      <c r="C1297" s="50">
        <v>204.36940000000001</v>
      </c>
      <c r="D1297" s="50">
        <v>205.40559999999999</v>
      </c>
      <c r="E1297" s="50">
        <v>12038951</v>
      </c>
      <c r="F1297" s="50" t="s">
        <v>1324</v>
      </c>
      <c r="G1297" s="25">
        <f t="shared" si="17"/>
        <v>3.3292178986356724E-2</v>
      </c>
    </row>
    <row r="1298" spans="1:7">
      <c r="A1298" s="50">
        <v>205.16370000000001</v>
      </c>
      <c r="B1298" s="50">
        <v>206.90479999999999</v>
      </c>
      <c r="C1298" s="50">
        <v>199.78579999999999</v>
      </c>
      <c r="D1298" s="50">
        <v>200.608</v>
      </c>
      <c r="E1298" s="50">
        <v>10571717</v>
      </c>
      <c r="F1298" s="50" t="s">
        <v>1325</v>
      </c>
      <c r="G1298" s="25">
        <f t="shared" si="17"/>
        <v>2.2709463231775473E-2</v>
      </c>
    </row>
    <row r="1299" spans="1:7">
      <c r="A1299" s="50">
        <v>201.49789999999999</v>
      </c>
      <c r="B1299" s="50">
        <v>203.7516</v>
      </c>
      <c r="C1299" s="50">
        <v>196.45849999999999</v>
      </c>
      <c r="D1299" s="50">
        <v>196.88409999999999</v>
      </c>
      <c r="E1299" s="50">
        <v>8337693</v>
      </c>
      <c r="F1299" s="50" t="s">
        <v>1326</v>
      </c>
      <c r="G1299" s="25">
        <f t="shared" si="17"/>
        <v>2.3434091427393167E-2</v>
      </c>
    </row>
    <row r="1300" spans="1:7">
      <c r="A1300" s="50">
        <v>198.02539999999999</v>
      </c>
      <c r="B1300" s="50">
        <v>202.66820000000001</v>
      </c>
      <c r="C1300" s="50">
        <v>197.0872</v>
      </c>
      <c r="D1300" s="50">
        <v>202.4845</v>
      </c>
      <c r="E1300" s="50">
        <v>15011520</v>
      </c>
      <c r="F1300" s="50" t="s">
        <v>1327</v>
      </c>
      <c r="G1300" s="25">
        <f t="shared" ref="G1300:G1363" si="18">A1300/D1300-1</f>
        <v>-2.202193254298479E-2</v>
      </c>
    </row>
    <row r="1301" spans="1:7">
      <c r="A1301" s="50">
        <v>202.4941</v>
      </c>
      <c r="B1301" s="50">
        <v>202.83269999999999</v>
      </c>
      <c r="C1301" s="50">
        <v>198.24789999999999</v>
      </c>
      <c r="D1301" s="50">
        <v>199.1378</v>
      </c>
      <c r="E1301" s="50">
        <v>7329287</v>
      </c>
      <c r="F1301" s="50" t="s">
        <v>1328</v>
      </c>
      <c r="G1301" s="25">
        <f t="shared" si="18"/>
        <v>1.6854158276329301E-2</v>
      </c>
    </row>
    <row r="1302" spans="1:7">
      <c r="A1302" s="50">
        <v>200.71440000000001</v>
      </c>
      <c r="B1302" s="50">
        <v>201.45920000000001</v>
      </c>
      <c r="C1302" s="50">
        <v>198.34719999999999</v>
      </c>
      <c r="D1302" s="50">
        <v>198.53809999999999</v>
      </c>
      <c r="E1302" s="50">
        <v>8375014</v>
      </c>
      <c r="F1302" s="50" t="s">
        <v>1329</v>
      </c>
      <c r="G1302" s="25">
        <f t="shared" si="18"/>
        <v>1.0961623990559222E-2</v>
      </c>
    </row>
    <row r="1303" spans="1:7">
      <c r="A1303" s="50">
        <v>201.0916</v>
      </c>
      <c r="B1303" s="50">
        <v>204.13849999999999</v>
      </c>
      <c r="C1303" s="50">
        <v>200.55959999999999</v>
      </c>
      <c r="D1303" s="50">
        <v>203.7612</v>
      </c>
      <c r="E1303" s="50">
        <v>9652749</v>
      </c>
      <c r="F1303" s="50" t="s">
        <v>1330</v>
      </c>
      <c r="G1303" s="25">
        <f t="shared" si="18"/>
        <v>-1.310161110162289E-2</v>
      </c>
    </row>
    <row r="1304" spans="1:7">
      <c r="A1304" s="50">
        <v>203.08410000000001</v>
      </c>
      <c r="B1304" s="50">
        <v>204.2158</v>
      </c>
      <c r="C1304" s="50">
        <v>200.87880000000001</v>
      </c>
      <c r="D1304" s="50">
        <v>202.50380000000001</v>
      </c>
      <c r="E1304" s="50">
        <v>6911014</v>
      </c>
      <c r="F1304" s="50" t="s">
        <v>1331</v>
      </c>
      <c r="G1304" s="25">
        <f t="shared" si="18"/>
        <v>2.8656252376497715E-3</v>
      </c>
    </row>
    <row r="1305" spans="1:7">
      <c r="A1305" s="50">
        <v>203.7612</v>
      </c>
      <c r="B1305" s="50">
        <v>204.66079999999999</v>
      </c>
      <c r="C1305" s="50">
        <v>200.4049</v>
      </c>
      <c r="D1305" s="50">
        <v>200.5403</v>
      </c>
      <c r="E1305" s="50">
        <v>8411071</v>
      </c>
      <c r="F1305" s="50" t="s">
        <v>1332</v>
      </c>
      <c r="G1305" s="25">
        <f t="shared" si="18"/>
        <v>1.6061110908879739E-2</v>
      </c>
    </row>
    <row r="1306" spans="1:7">
      <c r="A1306" s="50">
        <v>199.3699</v>
      </c>
      <c r="B1306" s="50">
        <v>200.8475</v>
      </c>
      <c r="C1306" s="50">
        <v>198.887</v>
      </c>
      <c r="D1306" s="50">
        <v>200.8475</v>
      </c>
      <c r="E1306" s="50">
        <v>8467602</v>
      </c>
      <c r="F1306" s="50" t="s">
        <v>1333</v>
      </c>
      <c r="G1306" s="25">
        <f t="shared" si="18"/>
        <v>-7.3568254521465537E-3</v>
      </c>
    </row>
    <row r="1307" spans="1:7">
      <c r="A1307" s="50">
        <v>199.44720000000001</v>
      </c>
      <c r="B1307" s="50">
        <v>200.51910000000001</v>
      </c>
      <c r="C1307" s="50">
        <v>196.72370000000001</v>
      </c>
      <c r="D1307" s="50">
        <v>198.7132</v>
      </c>
      <c r="E1307" s="50">
        <v>7619438</v>
      </c>
      <c r="F1307" s="50" t="s">
        <v>1334</v>
      </c>
      <c r="G1307" s="25">
        <f t="shared" si="18"/>
        <v>3.6937656884394876E-3</v>
      </c>
    </row>
    <row r="1308" spans="1:7">
      <c r="A1308" s="50">
        <v>199.80449999999999</v>
      </c>
      <c r="B1308" s="50">
        <v>203.4357</v>
      </c>
      <c r="C1308" s="50">
        <v>198.85810000000001</v>
      </c>
      <c r="D1308" s="50">
        <v>202.80799999999999</v>
      </c>
      <c r="E1308" s="50">
        <v>8637076</v>
      </c>
      <c r="F1308" s="50" t="s">
        <v>1335</v>
      </c>
      <c r="G1308" s="25">
        <f t="shared" si="18"/>
        <v>-1.4809573586840763E-2</v>
      </c>
    </row>
    <row r="1309" spans="1:7">
      <c r="A1309" s="50">
        <v>201.62010000000001</v>
      </c>
      <c r="B1309" s="50">
        <v>202.93350000000001</v>
      </c>
      <c r="C1309" s="50">
        <v>201.51390000000001</v>
      </c>
      <c r="D1309" s="50">
        <v>202.78870000000001</v>
      </c>
      <c r="E1309" s="50">
        <v>10283953</v>
      </c>
      <c r="F1309" s="50" t="s">
        <v>1336</v>
      </c>
      <c r="G1309" s="25">
        <f t="shared" si="18"/>
        <v>-5.7626485104939063E-3</v>
      </c>
    </row>
    <row r="1310" spans="1:7">
      <c r="A1310" s="50">
        <v>202.08369999999999</v>
      </c>
      <c r="B1310" s="50">
        <v>202.49889999999999</v>
      </c>
      <c r="C1310" s="50">
        <v>196.14429999999999</v>
      </c>
      <c r="D1310" s="50">
        <v>196.27950000000001</v>
      </c>
      <c r="E1310" s="50">
        <v>14534751</v>
      </c>
      <c r="F1310" s="50" t="s">
        <v>1337</v>
      </c>
      <c r="G1310" s="25">
        <f t="shared" si="18"/>
        <v>2.9571096319279233E-2</v>
      </c>
    </row>
    <row r="1311" spans="1:7">
      <c r="A1311" s="50">
        <v>194.4639</v>
      </c>
      <c r="B1311" s="50">
        <v>196.5402</v>
      </c>
      <c r="C1311" s="50">
        <v>194.09690000000001</v>
      </c>
      <c r="D1311" s="50">
        <v>196.11529999999999</v>
      </c>
      <c r="E1311" s="50">
        <v>13458644</v>
      </c>
      <c r="F1311" s="50" t="s">
        <v>1338</v>
      </c>
      <c r="G1311" s="25">
        <f t="shared" si="18"/>
        <v>-8.4205566827268985E-3</v>
      </c>
    </row>
    <row r="1312" spans="1:7">
      <c r="A1312" s="50">
        <v>195.6711</v>
      </c>
      <c r="B1312" s="50">
        <v>197.35149999999999</v>
      </c>
      <c r="C1312" s="50">
        <v>193.15049999999999</v>
      </c>
      <c r="D1312" s="50">
        <v>193.97130000000001</v>
      </c>
      <c r="E1312" s="50">
        <v>11305053</v>
      </c>
      <c r="F1312" s="50" t="s">
        <v>1339</v>
      </c>
      <c r="G1312" s="25">
        <f t="shared" si="18"/>
        <v>8.763152074559466E-3</v>
      </c>
    </row>
    <row r="1313" spans="1:7">
      <c r="A1313" s="50">
        <v>191.56659999999999</v>
      </c>
      <c r="B1313" s="50">
        <v>192.38749999999999</v>
      </c>
      <c r="C1313" s="50">
        <v>188.34100000000001</v>
      </c>
      <c r="D1313" s="50">
        <v>188.45689999999999</v>
      </c>
      <c r="E1313" s="50">
        <v>12970674</v>
      </c>
      <c r="F1313" s="50" t="s">
        <v>1340</v>
      </c>
      <c r="G1313" s="25">
        <f t="shared" si="18"/>
        <v>1.6500855102678624E-2</v>
      </c>
    </row>
    <row r="1314" spans="1:7">
      <c r="A1314" s="50">
        <v>186.63159999999999</v>
      </c>
      <c r="B1314" s="50">
        <v>196.096</v>
      </c>
      <c r="C1314" s="50">
        <v>186.20670000000001</v>
      </c>
      <c r="D1314" s="50">
        <v>191.04509999999999</v>
      </c>
      <c r="E1314" s="50">
        <v>21503035</v>
      </c>
      <c r="F1314" s="50" t="s">
        <v>1341</v>
      </c>
      <c r="G1314" s="25">
        <f t="shared" si="18"/>
        <v>-2.3101874897602737E-2</v>
      </c>
    </row>
    <row r="1315" spans="1:7">
      <c r="A1315" s="50">
        <v>191.4314</v>
      </c>
      <c r="B1315" s="50">
        <v>195.08199999999999</v>
      </c>
      <c r="C1315" s="50">
        <v>191.38310000000001</v>
      </c>
      <c r="D1315" s="50">
        <v>193.15049999999999</v>
      </c>
      <c r="E1315" s="50">
        <v>11041253</v>
      </c>
      <c r="F1315" s="50" t="s">
        <v>1342</v>
      </c>
      <c r="G1315" s="25">
        <f t="shared" si="18"/>
        <v>-8.9003134861157518E-3</v>
      </c>
    </row>
    <row r="1316" spans="1:7">
      <c r="A1316" s="50">
        <v>188.2927</v>
      </c>
      <c r="B1316" s="50">
        <v>192.86070000000001</v>
      </c>
      <c r="C1316" s="50">
        <v>187.31729999999999</v>
      </c>
      <c r="D1316" s="50">
        <v>190.87129999999999</v>
      </c>
      <c r="E1316" s="50">
        <v>13772435</v>
      </c>
      <c r="F1316" s="50" t="s">
        <v>1343</v>
      </c>
      <c r="G1316" s="25">
        <f t="shared" si="18"/>
        <v>-1.3509626643712247E-2</v>
      </c>
    </row>
    <row r="1317" spans="1:7">
      <c r="A1317" s="50">
        <v>195.0916</v>
      </c>
      <c r="B1317" s="50">
        <v>196.52090000000001</v>
      </c>
      <c r="C1317" s="50">
        <v>194.0873</v>
      </c>
      <c r="D1317" s="50">
        <v>194.8502</v>
      </c>
      <c r="E1317" s="50">
        <v>9605270</v>
      </c>
      <c r="F1317" s="50" t="s">
        <v>1344</v>
      </c>
      <c r="G1317" s="25">
        <f t="shared" si="18"/>
        <v>1.238900447625868E-3</v>
      </c>
    </row>
    <row r="1318" spans="1:7">
      <c r="A1318" s="50">
        <v>194.09690000000001</v>
      </c>
      <c r="B1318" s="50">
        <v>194.73429999999999</v>
      </c>
      <c r="C1318" s="50">
        <v>189.04599999999999</v>
      </c>
      <c r="D1318" s="50">
        <v>193.47880000000001</v>
      </c>
      <c r="E1318" s="50">
        <v>19282359</v>
      </c>
      <c r="F1318" s="50" t="s">
        <v>1345</v>
      </c>
      <c r="G1318" s="25">
        <f t="shared" si="18"/>
        <v>3.1946652553147548E-3</v>
      </c>
    </row>
    <row r="1319" spans="1:7">
      <c r="A1319" s="50">
        <v>195.10130000000001</v>
      </c>
      <c r="B1319" s="50">
        <v>198.2979</v>
      </c>
      <c r="C1319" s="50">
        <v>194.8888</v>
      </c>
      <c r="D1319" s="50">
        <v>197.00380000000001</v>
      </c>
      <c r="E1319" s="50">
        <v>7316201</v>
      </c>
      <c r="F1319" s="50" t="s">
        <v>1346</v>
      </c>
      <c r="G1319" s="25">
        <f t="shared" si="18"/>
        <v>-9.6571741255752075E-3</v>
      </c>
    </row>
    <row r="1320" spans="1:7">
      <c r="A1320" s="50">
        <v>198.11439999999999</v>
      </c>
      <c r="B1320" s="50">
        <v>200.07749999999999</v>
      </c>
      <c r="C1320" s="50">
        <v>197.73779999999999</v>
      </c>
      <c r="D1320" s="50">
        <v>198.9933</v>
      </c>
      <c r="E1320" s="50">
        <v>6517948</v>
      </c>
      <c r="F1320" s="50" t="s">
        <v>1347</v>
      </c>
      <c r="G1320" s="25">
        <f t="shared" si="18"/>
        <v>-4.4167316186023431E-3</v>
      </c>
    </row>
    <row r="1321" spans="1:7">
      <c r="A1321" s="50">
        <v>198.9546</v>
      </c>
      <c r="B1321" s="50">
        <v>200.0942</v>
      </c>
      <c r="C1321" s="50">
        <v>195.30410000000001</v>
      </c>
      <c r="D1321" s="50">
        <v>196.07669999999999</v>
      </c>
      <c r="E1321" s="50">
        <v>12675730</v>
      </c>
      <c r="F1321" s="50" t="s">
        <v>1348</v>
      </c>
      <c r="G1321" s="25">
        <f t="shared" si="18"/>
        <v>1.467741960161506E-2</v>
      </c>
    </row>
    <row r="1322" spans="1:7">
      <c r="A1322" s="50">
        <v>194.75360000000001</v>
      </c>
      <c r="B1322" s="50">
        <v>197.1728</v>
      </c>
      <c r="C1322" s="50">
        <v>193.21809999999999</v>
      </c>
      <c r="D1322" s="50">
        <v>196.096</v>
      </c>
      <c r="E1322" s="50">
        <v>9772034</v>
      </c>
      <c r="F1322" s="50" t="s">
        <v>1349</v>
      </c>
      <c r="G1322" s="25">
        <f t="shared" si="18"/>
        <v>-6.8456266318537295E-3</v>
      </c>
    </row>
    <row r="1323" spans="1:7">
      <c r="A1323" s="50">
        <v>194.68600000000001</v>
      </c>
      <c r="B1323" s="50">
        <v>196.2988</v>
      </c>
      <c r="C1323" s="50">
        <v>193.5609</v>
      </c>
      <c r="D1323" s="50">
        <v>194.6377</v>
      </c>
      <c r="E1323" s="50">
        <v>8755049</v>
      </c>
      <c r="F1323" s="50" t="s">
        <v>1350</v>
      </c>
      <c r="G1323" s="25">
        <f t="shared" si="18"/>
        <v>2.4815336391670328E-4</v>
      </c>
    </row>
    <row r="1324" spans="1:7">
      <c r="A1324" s="50">
        <v>194.9468</v>
      </c>
      <c r="B1324" s="50">
        <v>203.97649999999999</v>
      </c>
      <c r="C1324" s="50">
        <v>194.8212</v>
      </c>
      <c r="D1324" s="50">
        <v>203.35849999999999</v>
      </c>
      <c r="E1324" s="50">
        <v>12887478</v>
      </c>
      <c r="F1324" s="50" t="s">
        <v>1351</v>
      </c>
      <c r="G1324" s="25">
        <f t="shared" si="18"/>
        <v>-4.1363896763597308E-2</v>
      </c>
    </row>
    <row r="1325" spans="1:7">
      <c r="A1325" s="50">
        <v>202.18020000000001</v>
      </c>
      <c r="B1325" s="50">
        <v>203.77369999999999</v>
      </c>
      <c r="C1325" s="50">
        <v>201.48490000000001</v>
      </c>
      <c r="D1325" s="50">
        <v>202.23820000000001</v>
      </c>
      <c r="E1325" s="50">
        <v>6688464</v>
      </c>
      <c r="F1325" s="50" t="s">
        <v>1352</v>
      </c>
      <c r="G1325" s="25">
        <f t="shared" si="18"/>
        <v>-2.867905272099236E-4</v>
      </c>
    </row>
    <row r="1326" spans="1:7">
      <c r="A1326" s="50">
        <v>201.70699999999999</v>
      </c>
      <c r="B1326" s="50">
        <v>205.50239999999999</v>
      </c>
      <c r="C1326" s="50">
        <v>200.3646</v>
      </c>
      <c r="D1326" s="50">
        <v>205.06780000000001</v>
      </c>
      <c r="E1326" s="50">
        <v>9331611</v>
      </c>
      <c r="F1326" s="50" t="s">
        <v>1353</v>
      </c>
      <c r="G1326" s="25">
        <f t="shared" si="18"/>
        <v>-1.6388726070109549E-2</v>
      </c>
    </row>
    <row r="1327" spans="1:7">
      <c r="A1327" s="50">
        <v>205.59899999999999</v>
      </c>
      <c r="B1327" s="50">
        <v>207.50149999999999</v>
      </c>
      <c r="C1327" s="50">
        <v>205.203</v>
      </c>
      <c r="D1327" s="50">
        <v>206.63239999999999</v>
      </c>
      <c r="E1327" s="50">
        <v>7354527</v>
      </c>
      <c r="F1327" s="50" t="s">
        <v>1354</v>
      </c>
      <c r="G1327" s="25">
        <f t="shared" si="18"/>
        <v>-5.001151803879722E-3</v>
      </c>
    </row>
    <row r="1328" spans="1:7">
      <c r="A1328" s="50">
        <v>208.07130000000001</v>
      </c>
      <c r="B1328" s="50">
        <v>208.7184</v>
      </c>
      <c r="C1328" s="50">
        <v>205.46379999999999</v>
      </c>
      <c r="D1328" s="50">
        <v>206.83519999999999</v>
      </c>
      <c r="E1328" s="50">
        <v>6513279</v>
      </c>
      <c r="F1328" s="50" t="s">
        <v>1355</v>
      </c>
      <c r="G1328" s="25">
        <f t="shared" si="18"/>
        <v>5.9762554922955236E-3</v>
      </c>
    </row>
    <row r="1329" spans="1:7">
      <c r="A1329" s="50">
        <v>206.48750000000001</v>
      </c>
      <c r="B1329" s="50">
        <v>207.8492</v>
      </c>
      <c r="C1329" s="50">
        <v>204.93260000000001</v>
      </c>
      <c r="D1329" s="50">
        <v>204.93260000000001</v>
      </c>
      <c r="E1329" s="50">
        <v>10967869</v>
      </c>
      <c r="F1329" s="50" t="s">
        <v>1356</v>
      </c>
      <c r="G1329" s="25">
        <f t="shared" si="18"/>
        <v>7.5873726288546717E-3</v>
      </c>
    </row>
    <row r="1330" spans="1:7">
      <c r="A1330" s="50">
        <v>205.3383</v>
      </c>
      <c r="B1330" s="50">
        <v>208.76669999999999</v>
      </c>
      <c r="C1330" s="50">
        <v>204.80709999999999</v>
      </c>
      <c r="D1330" s="50">
        <v>206.4778</v>
      </c>
      <c r="E1330" s="50">
        <v>7206248</v>
      </c>
      <c r="F1330" s="50" t="s">
        <v>1357</v>
      </c>
      <c r="G1330" s="25">
        <f t="shared" si="18"/>
        <v>-5.5187531056607453E-3</v>
      </c>
    </row>
    <row r="1331" spans="1:7">
      <c r="A1331" s="50">
        <v>207.1635</v>
      </c>
      <c r="B1331" s="50">
        <v>210.97819999999999</v>
      </c>
      <c r="C1331" s="50">
        <v>206.32329999999999</v>
      </c>
      <c r="D1331" s="50">
        <v>208.90190000000001</v>
      </c>
      <c r="E1331" s="50">
        <v>6869718</v>
      </c>
      <c r="F1331" s="50" t="s">
        <v>1358</v>
      </c>
      <c r="G1331" s="25">
        <f t="shared" si="18"/>
        <v>-8.3216093295466198E-3</v>
      </c>
    </row>
    <row r="1332" spans="1:7">
      <c r="A1332" s="50">
        <v>210.3022</v>
      </c>
      <c r="B1332" s="50">
        <v>212.70689999999999</v>
      </c>
      <c r="C1332" s="50">
        <v>206.90280000000001</v>
      </c>
      <c r="D1332" s="50">
        <v>212.70689999999999</v>
      </c>
      <c r="E1332" s="50">
        <v>10318329</v>
      </c>
      <c r="F1332" s="50" t="s">
        <v>1359</v>
      </c>
      <c r="G1332" s="25">
        <f t="shared" si="18"/>
        <v>-1.1305227992133737E-2</v>
      </c>
    </row>
    <row r="1333" spans="1:7">
      <c r="A1333" s="50">
        <v>211.239</v>
      </c>
      <c r="B1333" s="50">
        <v>212.29169999999999</v>
      </c>
      <c r="C1333" s="50">
        <v>208.79560000000001</v>
      </c>
      <c r="D1333" s="50">
        <v>210.9203</v>
      </c>
      <c r="E1333" s="50">
        <v>5922170</v>
      </c>
      <c r="F1333" s="50" t="s">
        <v>1360</v>
      </c>
      <c r="G1333" s="25">
        <f t="shared" si="18"/>
        <v>1.5109972819118411E-3</v>
      </c>
    </row>
    <row r="1334" spans="1:7">
      <c r="A1334" s="50">
        <v>210.8817</v>
      </c>
      <c r="B1334" s="50">
        <v>212.84209999999999</v>
      </c>
      <c r="C1334" s="50">
        <v>208.2645</v>
      </c>
      <c r="D1334" s="50">
        <v>208.60249999999999</v>
      </c>
      <c r="E1334" s="50">
        <v>8875066</v>
      </c>
      <c r="F1334" s="50" t="s">
        <v>1361</v>
      </c>
      <c r="G1334" s="25">
        <f t="shared" si="18"/>
        <v>1.0926043551731102E-2</v>
      </c>
    </row>
    <row r="1335" spans="1:7">
      <c r="A1335" s="50">
        <v>207.0283</v>
      </c>
      <c r="B1335" s="50">
        <v>207.86850000000001</v>
      </c>
      <c r="C1335" s="50">
        <v>206.22669999999999</v>
      </c>
      <c r="D1335" s="50">
        <v>207.26009999999999</v>
      </c>
      <c r="E1335" s="50">
        <v>6093412</v>
      </c>
      <c r="F1335" s="50" t="s">
        <v>1362</v>
      </c>
      <c r="G1335" s="25">
        <f t="shared" si="18"/>
        <v>-1.1184014675279519E-3</v>
      </c>
    </row>
    <row r="1336" spans="1:7">
      <c r="A1336" s="50">
        <v>205.34790000000001</v>
      </c>
      <c r="B1336" s="50">
        <v>206.14949999999999</v>
      </c>
      <c r="C1336" s="50">
        <v>201.79390000000001</v>
      </c>
      <c r="D1336" s="50">
        <v>202.66309999999999</v>
      </c>
      <c r="E1336" s="50">
        <v>5816208</v>
      </c>
      <c r="F1336" s="50" t="s">
        <v>1363</v>
      </c>
      <c r="G1336" s="25">
        <f t="shared" si="18"/>
        <v>1.3247601561409139E-2</v>
      </c>
    </row>
    <row r="1337" spans="1:7">
      <c r="A1337" s="50">
        <v>201.55250000000001</v>
      </c>
      <c r="B1337" s="50">
        <v>201.6645</v>
      </c>
      <c r="C1337" s="50">
        <v>199.52440000000001</v>
      </c>
      <c r="D1337" s="50">
        <v>199.56309999999999</v>
      </c>
      <c r="E1337" s="50">
        <v>3367895</v>
      </c>
      <c r="F1337" s="50" t="s">
        <v>1364</v>
      </c>
      <c r="G1337" s="25">
        <f t="shared" si="18"/>
        <v>9.9687767929041993E-3</v>
      </c>
    </row>
    <row r="1338" spans="1:7">
      <c r="A1338" s="50">
        <v>198.2689</v>
      </c>
      <c r="B1338" s="50">
        <v>200.2294</v>
      </c>
      <c r="C1338" s="50">
        <v>198.0855</v>
      </c>
      <c r="D1338" s="50">
        <v>200.2294</v>
      </c>
      <c r="E1338" s="50">
        <v>6523085</v>
      </c>
      <c r="F1338" s="50" t="s">
        <v>1365</v>
      </c>
      <c r="G1338" s="25">
        <f t="shared" si="18"/>
        <v>-9.7912694139821177E-3</v>
      </c>
    </row>
    <row r="1339" spans="1:7">
      <c r="A1339" s="50">
        <v>198.79040000000001</v>
      </c>
      <c r="B1339" s="50">
        <v>201.2628</v>
      </c>
      <c r="C1339" s="50">
        <v>198.55869999999999</v>
      </c>
      <c r="D1339" s="50">
        <v>201.25309999999999</v>
      </c>
      <c r="E1339" s="50">
        <v>7403829</v>
      </c>
      <c r="F1339" s="50" t="s">
        <v>1366</v>
      </c>
      <c r="G1339" s="25">
        <f t="shared" si="18"/>
        <v>-1.2236830140753052E-2</v>
      </c>
    </row>
    <row r="1340" spans="1:7">
      <c r="A1340" s="50">
        <v>201.8519</v>
      </c>
      <c r="B1340" s="50">
        <v>202.6148</v>
      </c>
      <c r="C1340" s="50">
        <v>197.7764</v>
      </c>
      <c r="D1340" s="50">
        <v>201.13720000000001</v>
      </c>
      <c r="E1340" s="50">
        <v>7576684</v>
      </c>
      <c r="F1340" s="50" t="s">
        <v>1367</v>
      </c>
      <c r="G1340" s="25">
        <f t="shared" si="18"/>
        <v>3.5532959591761948E-3</v>
      </c>
    </row>
    <row r="1341" spans="1:7">
      <c r="A1341" s="50">
        <v>204.07310000000001</v>
      </c>
      <c r="B1341" s="50">
        <v>204.72020000000001</v>
      </c>
      <c r="C1341" s="50">
        <v>202.6824</v>
      </c>
      <c r="D1341" s="50">
        <v>203.79300000000001</v>
      </c>
      <c r="E1341" s="50">
        <v>13298241</v>
      </c>
      <c r="F1341" s="50" t="s">
        <v>1368</v>
      </c>
      <c r="G1341" s="25">
        <f t="shared" si="18"/>
        <v>1.3744338618106866E-3</v>
      </c>
    </row>
    <row r="1342" spans="1:7">
      <c r="A1342" s="50">
        <v>203.94759999999999</v>
      </c>
      <c r="B1342" s="50">
        <v>204.52699999999999</v>
      </c>
      <c r="C1342" s="50">
        <v>201.69739999999999</v>
      </c>
      <c r="D1342" s="50">
        <v>201.84219999999999</v>
      </c>
      <c r="E1342" s="50">
        <v>6517228</v>
      </c>
      <c r="F1342" s="50" t="s">
        <v>1369</v>
      </c>
      <c r="G1342" s="25">
        <f t="shared" si="18"/>
        <v>1.0430920788616183E-2</v>
      </c>
    </row>
    <row r="1343" spans="1:7">
      <c r="A1343" s="50">
        <v>201.13720000000001</v>
      </c>
      <c r="B1343" s="50">
        <v>201.96289999999999</v>
      </c>
      <c r="C1343" s="50">
        <v>200.04589999999999</v>
      </c>
      <c r="D1343" s="50">
        <v>201.34</v>
      </c>
      <c r="E1343" s="50">
        <v>7504356</v>
      </c>
      <c r="F1343" s="50" t="s">
        <v>1370</v>
      </c>
      <c r="G1343" s="25">
        <f t="shared" si="18"/>
        <v>-1.0072514155160528E-3</v>
      </c>
    </row>
    <row r="1344" spans="1:7">
      <c r="A1344" s="50">
        <v>201.22409999999999</v>
      </c>
      <c r="B1344" s="50">
        <v>202.2672</v>
      </c>
      <c r="C1344" s="50">
        <v>199.09950000000001</v>
      </c>
      <c r="D1344" s="50">
        <v>201.398</v>
      </c>
      <c r="E1344" s="50">
        <v>9799032</v>
      </c>
      <c r="F1344" s="50" t="s">
        <v>1371</v>
      </c>
      <c r="G1344" s="25">
        <f t="shared" si="18"/>
        <v>-8.6346438395612513E-4</v>
      </c>
    </row>
    <row r="1345" spans="1:7">
      <c r="A1345" s="50">
        <v>200.15219999999999</v>
      </c>
      <c r="B1345" s="50">
        <v>204.0635</v>
      </c>
      <c r="C1345" s="50">
        <v>199.8817</v>
      </c>
      <c r="D1345" s="50">
        <v>200.73159999999999</v>
      </c>
      <c r="E1345" s="50">
        <v>11967704</v>
      </c>
      <c r="F1345" s="50" t="s">
        <v>1372</v>
      </c>
      <c r="G1345" s="25">
        <f t="shared" si="18"/>
        <v>-2.8864413973683778E-3</v>
      </c>
    </row>
    <row r="1346" spans="1:7">
      <c r="A1346" s="50">
        <v>199.17679999999999</v>
      </c>
      <c r="B1346" s="50">
        <v>199.80449999999999</v>
      </c>
      <c r="C1346" s="50">
        <v>197.49629999999999</v>
      </c>
      <c r="D1346" s="50">
        <v>198.32689999999999</v>
      </c>
      <c r="E1346" s="50">
        <v>9227638</v>
      </c>
      <c r="F1346" s="50" t="s">
        <v>1373</v>
      </c>
      <c r="G1346" s="25">
        <f t="shared" si="18"/>
        <v>4.2853490877938771E-3</v>
      </c>
    </row>
    <row r="1347" spans="1:7">
      <c r="A1347" s="50">
        <v>200.49979999999999</v>
      </c>
      <c r="B1347" s="50">
        <v>202.13200000000001</v>
      </c>
      <c r="C1347" s="50">
        <v>200.15219999999999</v>
      </c>
      <c r="D1347" s="50">
        <v>201.369</v>
      </c>
      <c r="E1347" s="50">
        <v>10492035</v>
      </c>
      <c r="F1347" s="50" t="s">
        <v>1374</v>
      </c>
      <c r="G1347" s="25">
        <f t="shared" si="18"/>
        <v>-4.3164538732377578E-3</v>
      </c>
    </row>
    <row r="1348" spans="1:7">
      <c r="A1348" s="50">
        <v>202.4024</v>
      </c>
      <c r="B1348" s="50">
        <v>206.18809999999999</v>
      </c>
      <c r="C1348" s="50">
        <v>201.79390000000001</v>
      </c>
      <c r="D1348" s="50">
        <v>205.92740000000001</v>
      </c>
      <c r="E1348" s="50">
        <v>6251066</v>
      </c>
      <c r="F1348" s="50" t="s">
        <v>1375</v>
      </c>
      <c r="G1348" s="25">
        <f t="shared" si="18"/>
        <v>-1.711768322233953E-2</v>
      </c>
    </row>
    <row r="1349" spans="1:7">
      <c r="A1349" s="50">
        <v>205.48310000000001</v>
      </c>
      <c r="B1349" s="50">
        <v>205.83080000000001</v>
      </c>
      <c r="C1349" s="50">
        <v>202.70169999999999</v>
      </c>
      <c r="D1349" s="50">
        <v>202.75970000000001</v>
      </c>
      <c r="E1349" s="50">
        <v>8646231</v>
      </c>
      <c r="F1349" s="50" t="s">
        <v>1376</v>
      </c>
      <c r="G1349" s="25">
        <f t="shared" si="18"/>
        <v>1.3431663195398347E-2</v>
      </c>
    </row>
    <row r="1350" spans="1:7">
      <c r="A1350" s="50">
        <v>205.3672</v>
      </c>
      <c r="B1350" s="50">
        <v>207.15389999999999</v>
      </c>
      <c r="C1350" s="50">
        <v>204.5445</v>
      </c>
      <c r="D1350" s="50">
        <v>204.7105</v>
      </c>
      <c r="E1350" s="50">
        <v>10624498</v>
      </c>
      <c r="F1350" s="50" t="s">
        <v>1377</v>
      </c>
      <c r="G1350" s="25">
        <f t="shared" si="18"/>
        <v>3.2079448782549314E-3</v>
      </c>
    </row>
    <row r="1351" spans="1:7">
      <c r="A1351" s="50">
        <v>205.39619999999999</v>
      </c>
      <c r="B1351" s="50">
        <v>205.4348</v>
      </c>
      <c r="C1351" s="50">
        <v>201.369</v>
      </c>
      <c r="D1351" s="50">
        <v>202.55690000000001</v>
      </c>
      <c r="E1351" s="50">
        <v>5720129</v>
      </c>
      <c r="F1351" s="50" t="s">
        <v>1378</v>
      </c>
      <c r="G1351" s="25">
        <f t="shared" si="18"/>
        <v>1.4017295880811576E-2</v>
      </c>
    </row>
    <row r="1352" spans="1:7">
      <c r="A1352" s="50">
        <v>200.9248</v>
      </c>
      <c r="B1352" s="50">
        <v>203.88290000000001</v>
      </c>
      <c r="C1352" s="50">
        <v>200.49979999999999</v>
      </c>
      <c r="D1352" s="50">
        <v>202.59549999999999</v>
      </c>
      <c r="E1352" s="50">
        <v>9203327</v>
      </c>
      <c r="F1352" s="50" t="s">
        <v>1379</v>
      </c>
      <c r="G1352" s="25">
        <f t="shared" si="18"/>
        <v>-8.2464812890710171E-3</v>
      </c>
    </row>
    <row r="1353" spans="1:7">
      <c r="A1353" s="50">
        <v>202.98179999999999</v>
      </c>
      <c r="B1353" s="50">
        <v>204.16</v>
      </c>
      <c r="C1353" s="50">
        <v>201.34</v>
      </c>
      <c r="D1353" s="50">
        <v>203.77369999999999</v>
      </c>
      <c r="E1353" s="50">
        <v>9728898</v>
      </c>
      <c r="F1353" s="50" t="s">
        <v>1380</v>
      </c>
      <c r="G1353" s="25">
        <f t="shared" si="18"/>
        <v>-3.886173730957454E-3</v>
      </c>
    </row>
    <row r="1354" spans="1:7">
      <c r="A1354" s="50">
        <v>203.96690000000001</v>
      </c>
      <c r="B1354" s="50">
        <v>206.35230000000001</v>
      </c>
      <c r="C1354" s="50">
        <v>203.8124</v>
      </c>
      <c r="D1354" s="50">
        <v>204.86500000000001</v>
      </c>
      <c r="E1354" s="50">
        <v>8049443</v>
      </c>
      <c r="F1354" s="50" t="s">
        <v>1381</v>
      </c>
      <c r="G1354" s="25">
        <f t="shared" si="18"/>
        <v>-4.3838625436263268E-3</v>
      </c>
    </row>
    <row r="1355" spans="1:7">
      <c r="A1355" s="50">
        <v>203.14599999999999</v>
      </c>
      <c r="B1355" s="50">
        <v>203.3295</v>
      </c>
      <c r="C1355" s="50">
        <v>199.52440000000001</v>
      </c>
      <c r="D1355" s="50">
        <v>202.36369999999999</v>
      </c>
      <c r="E1355" s="50">
        <v>7725515</v>
      </c>
      <c r="F1355" s="50" t="s">
        <v>1382</v>
      </c>
      <c r="G1355" s="25">
        <f t="shared" si="18"/>
        <v>3.8658119020358317E-3</v>
      </c>
    </row>
    <row r="1356" spans="1:7">
      <c r="A1356" s="50">
        <v>203.77369999999999</v>
      </c>
      <c r="B1356" s="50">
        <v>204.76849999999999</v>
      </c>
      <c r="C1356" s="50">
        <v>201.65870000000001</v>
      </c>
      <c r="D1356" s="50">
        <v>204.73949999999999</v>
      </c>
      <c r="E1356" s="50">
        <v>3512893</v>
      </c>
      <c r="F1356" s="50" t="s">
        <v>1383</v>
      </c>
      <c r="G1356" s="25">
        <f t="shared" si="18"/>
        <v>-4.7172138253732676E-3</v>
      </c>
    </row>
    <row r="1357" spans="1:7">
      <c r="A1357" s="50">
        <v>203.66749999999999</v>
      </c>
      <c r="B1357" s="50">
        <v>204.69120000000001</v>
      </c>
      <c r="C1357" s="50">
        <v>201.7167</v>
      </c>
      <c r="D1357" s="50">
        <v>202.48929999999999</v>
      </c>
      <c r="E1357" s="50">
        <v>6772894</v>
      </c>
      <c r="F1357" s="50" t="s">
        <v>1384</v>
      </c>
      <c r="G1357" s="25">
        <f t="shared" si="18"/>
        <v>5.8185790557823136E-3</v>
      </c>
    </row>
    <row r="1358" spans="1:7">
      <c r="A1358" s="50">
        <v>202.49889999999999</v>
      </c>
      <c r="B1358" s="50">
        <v>206.49719999999999</v>
      </c>
      <c r="C1358" s="50">
        <v>202.2285</v>
      </c>
      <c r="D1358" s="50">
        <v>203.62889999999999</v>
      </c>
      <c r="E1358" s="50">
        <v>10112747</v>
      </c>
      <c r="F1358" s="50" t="s">
        <v>1385</v>
      </c>
      <c r="G1358" s="25">
        <f t="shared" si="18"/>
        <v>-5.5493105349977423E-3</v>
      </c>
    </row>
    <row r="1359" spans="1:7">
      <c r="A1359" s="50">
        <v>201.03100000000001</v>
      </c>
      <c r="B1359" s="50">
        <v>201.84219999999999</v>
      </c>
      <c r="C1359" s="50">
        <v>197.68950000000001</v>
      </c>
      <c r="D1359" s="50">
        <v>197.68950000000001</v>
      </c>
      <c r="E1359" s="50">
        <v>6107265</v>
      </c>
      <c r="F1359" s="50" t="s">
        <v>1386</v>
      </c>
      <c r="G1359" s="25">
        <f t="shared" si="18"/>
        <v>1.6902769241664339E-2</v>
      </c>
    </row>
    <row r="1360" spans="1:7">
      <c r="A1360" s="50">
        <v>196.89760000000001</v>
      </c>
      <c r="B1360" s="50">
        <v>200.98269999999999</v>
      </c>
      <c r="C1360" s="50">
        <v>196.82509999999999</v>
      </c>
      <c r="D1360" s="50">
        <v>200.03630000000001</v>
      </c>
      <c r="E1360" s="50">
        <v>9654712</v>
      </c>
      <c r="F1360" s="50" t="s">
        <v>1387</v>
      </c>
      <c r="G1360" s="25">
        <f t="shared" si="18"/>
        <v>-1.5690652146635342E-2</v>
      </c>
    </row>
    <row r="1361" spans="1:7">
      <c r="A1361" s="50">
        <v>200.46119999999999</v>
      </c>
      <c r="B1361" s="50">
        <v>201.58150000000001</v>
      </c>
      <c r="C1361" s="50">
        <v>198.49109999999999</v>
      </c>
      <c r="D1361" s="50">
        <v>200.14250000000001</v>
      </c>
      <c r="E1361" s="50">
        <v>5657248</v>
      </c>
      <c r="F1361" s="50" t="s">
        <v>1388</v>
      </c>
      <c r="G1361" s="25">
        <f t="shared" si="18"/>
        <v>1.5923654396241549E-3</v>
      </c>
    </row>
    <row r="1362" spans="1:7">
      <c r="A1362" s="50">
        <v>200.7123</v>
      </c>
      <c r="B1362" s="50">
        <v>203.9186</v>
      </c>
      <c r="C1362" s="50">
        <v>200.55779999999999</v>
      </c>
      <c r="D1362" s="50">
        <v>202.5376</v>
      </c>
      <c r="E1362" s="50">
        <v>6977923</v>
      </c>
      <c r="F1362" s="50" t="s">
        <v>1389</v>
      </c>
      <c r="G1362" s="25">
        <f t="shared" si="18"/>
        <v>-9.0121537926785011E-3</v>
      </c>
    </row>
    <row r="1363" spans="1:7">
      <c r="A1363" s="50">
        <v>203.49369999999999</v>
      </c>
      <c r="B1363" s="50">
        <v>204.82640000000001</v>
      </c>
      <c r="C1363" s="50">
        <v>202.32509999999999</v>
      </c>
      <c r="D1363" s="50">
        <v>203.34880000000001</v>
      </c>
      <c r="E1363" s="50">
        <v>7268825</v>
      </c>
      <c r="F1363" s="50" t="s">
        <v>1390</v>
      </c>
      <c r="G1363" s="25">
        <f t="shared" si="18"/>
        <v>7.1256874886893584E-4</v>
      </c>
    </row>
    <row r="1364" spans="1:7">
      <c r="A1364" s="50">
        <v>205.41550000000001</v>
      </c>
      <c r="B1364" s="50">
        <v>207.72370000000001</v>
      </c>
      <c r="C1364" s="50">
        <v>204.5753</v>
      </c>
      <c r="D1364" s="50">
        <v>207.22149999999999</v>
      </c>
      <c r="E1364" s="50">
        <v>12083214</v>
      </c>
      <c r="F1364" s="50" t="s">
        <v>1391</v>
      </c>
      <c r="G1364" s="25">
        <f t="shared" ref="G1364:G1427" si="19">A1364/D1364-1</f>
        <v>-8.7153118764220494E-3</v>
      </c>
    </row>
    <row r="1365" spans="1:7">
      <c r="A1365" s="50">
        <v>203.2715</v>
      </c>
      <c r="B1365" s="50">
        <v>204.04409999999999</v>
      </c>
      <c r="C1365" s="50">
        <v>200.2004</v>
      </c>
      <c r="D1365" s="50">
        <v>202.72110000000001</v>
      </c>
      <c r="E1365" s="50">
        <v>6378517</v>
      </c>
      <c r="F1365" s="50" t="s">
        <v>1392</v>
      </c>
      <c r="G1365" s="25">
        <f t="shared" si="19"/>
        <v>2.7150602477985508E-3</v>
      </c>
    </row>
    <row r="1366" spans="1:7">
      <c r="A1366" s="50">
        <v>201.1276</v>
      </c>
      <c r="B1366" s="50">
        <v>205.261</v>
      </c>
      <c r="C1366" s="50">
        <v>200.04589999999999</v>
      </c>
      <c r="D1366" s="50">
        <v>204.18899999999999</v>
      </c>
      <c r="E1366" s="50">
        <v>7303816</v>
      </c>
      <c r="F1366" s="50" t="s">
        <v>1393</v>
      </c>
      <c r="G1366" s="25">
        <f t="shared" si="19"/>
        <v>-1.4992972197326981E-2</v>
      </c>
    </row>
    <row r="1367" spans="1:7">
      <c r="A1367" s="50">
        <v>205.10650000000001</v>
      </c>
      <c r="B1367" s="50">
        <v>206.6301</v>
      </c>
      <c r="C1367" s="50">
        <v>204.11320000000001</v>
      </c>
      <c r="D1367" s="50">
        <v>204.59540000000001</v>
      </c>
      <c r="E1367" s="50">
        <v>5331383</v>
      </c>
      <c r="F1367" s="50" t="s">
        <v>1394</v>
      </c>
      <c r="G1367" s="25">
        <f t="shared" si="19"/>
        <v>2.4981011303284451E-3</v>
      </c>
    </row>
    <row r="1368" spans="1:7">
      <c r="A1368" s="50">
        <v>205.69470000000001</v>
      </c>
      <c r="B1368" s="50">
        <v>206.4179</v>
      </c>
      <c r="C1368" s="50">
        <v>203.0284</v>
      </c>
      <c r="D1368" s="50">
        <v>204.37360000000001</v>
      </c>
      <c r="E1368" s="50">
        <v>7943557</v>
      </c>
      <c r="F1368" s="50" t="s">
        <v>1395</v>
      </c>
      <c r="G1368" s="25">
        <f t="shared" si="19"/>
        <v>6.4641421396893772E-3</v>
      </c>
    </row>
    <row r="1369" spans="1:7">
      <c r="A1369" s="50">
        <v>205.0872</v>
      </c>
      <c r="B1369" s="50">
        <v>209.87979999999999</v>
      </c>
      <c r="C1369" s="50">
        <v>204.70150000000001</v>
      </c>
      <c r="D1369" s="50">
        <v>207.02539999999999</v>
      </c>
      <c r="E1369" s="50">
        <v>17916898</v>
      </c>
      <c r="F1369" s="50" t="s">
        <v>1396</v>
      </c>
      <c r="G1369" s="25">
        <f t="shared" si="19"/>
        <v>-9.3621362402873665E-3</v>
      </c>
    </row>
    <row r="1370" spans="1:7">
      <c r="A1370" s="50">
        <v>191.3845</v>
      </c>
      <c r="B1370" s="50">
        <v>192.5513</v>
      </c>
      <c r="C1370" s="50">
        <v>188.4496</v>
      </c>
      <c r="D1370" s="50">
        <v>190.30449999999999</v>
      </c>
      <c r="E1370" s="50">
        <v>6180509</v>
      </c>
      <c r="F1370" s="50" t="s">
        <v>1397</v>
      </c>
      <c r="G1370" s="25">
        <f t="shared" si="19"/>
        <v>5.6751154071501553E-3</v>
      </c>
    </row>
    <row r="1371" spans="1:7">
      <c r="A1371" s="50">
        <v>190.58410000000001</v>
      </c>
      <c r="B1371" s="50">
        <v>193.81450000000001</v>
      </c>
      <c r="C1371" s="50">
        <v>190.2466</v>
      </c>
      <c r="D1371" s="50">
        <v>191.2784</v>
      </c>
      <c r="E1371" s="50">
        <v>7132143</v>
      </c>
      <c r="F1371" s="50" t="s">
        <v>1398</v>
      </c>
      <c r="G1371" s="25">
        <f t="shared" si="19"/>
        <v>-3.6297877857615068E-3</v>
      </c>
    </row>
    <row r="1372" spans="1:7">
      <c r="A1372" s="50">
        <v>187.04509999999999</v>
      </c>
      <c r="B1372" s="50">
        <v>189.85130000000001</v>
      </c>
      <c r="C1372" s="50">
        <v>184.69229999999999</v>
      </c>
      <c r="D1372" s="50">
        <v>186.00370000000001</v>
      </c>
      <c r="E1372" s="50">
        <v>8102656</v>
      </c>
      <c r="F1372" s="50" t="s">
        <v>1399</v>
      </c>
      <c r="G1372" s="25">
        <f t="shared" si="19"/>
        <v>5.5988133569384591E-3</v>
      </c>
    </row>
    <row r="1373" spans="1:7">
      <c r="A1373" s="50">
        <v>181.61609999999999</v>
      </c>
      <c r="B1373" s="50">
        <v>182.7637</v>
      </c>
      <c r="C1373" s="50">
        <v>178.5497</v>
      </c>
      <c r="D1373" s="50">
        <v>180.16</v>
      </c>
      <c r="E1373" s="50">
        <v>6467857</v>
      </c>
      <c r="F1373" s="50" t="s">
        <v>1400</v>
      </c>
      <c r="G1373" s="25">
        <f t="shared" si="19"/>
        <v>8.0822602131438437E-3</v>
      </c>
    </row>
    <row r="1374" spans="1:7">
      <c r="A1374" s="50">
        <v>178.1447</v>
      </c>
      <c r="B1374" s="50">
        <v>180.24680000000001</v>
      </c>
      <c r="C1374" s="50">
        <v>177.32499999999999</v>
      </c>
      <c r="D1374" s="50">
        <v>177.9229</v>
      </c>
      <c r="E1374" s="50">
        <v>8057085</v>
      </c>
      <c r="F1374" s="50" t="s">
        <v>1401</v>
      </c>
      <c r="G1374" s="25">
        <f t="shared" si="19"/>
        <v>1.2466073788139909E-3</v>
      </c>
    </row>
    <row r="1375" spans="1:7">
      <c r="A1375" s="50">
        <v>175.22280000000001</v>
      </c>
      <c r="B1375" s="50">
        <v>177.64320000000001</v>
      </c>
      <c r="C1375" s="50">
        <v>172.8314</v>
      </c>
      <c r="D1375" s="50">
        <v>176.13890000000001</v>
      </c>
      <c r="E1375" s="50">
        <v>10256303</v>
      </c>
      <c r="F1375" s="50" t="s">
        <v>1402</v>
      </c>
      <c r="G1375" s="25">
        <f t="shared" si="19"/>
        <v>-5.2010089764384926E-3</v>
      </c>
    </row>
    <row r="1376" spans="1:7">
      <c r="A1376" s="50">
        <v>178.27</v>
      </c>
      <c r="B1376" s="50">
        <v>180.32400000000001</v>
      </c>
      <c r="C1376" s="50">
        <v>172.9374</v>
      </c>
      <c r="D1376" s="50">
        <v>176.46680000000001</v>
      </c>
      <c r="E1376" s="50">
        <v>16820865</v>
      </c>
      <c r="F1376" s="50" t="s">
        <v>1403</v>
      </c>
      <c r="G1376" s="25">
        <f t="shared" si="19"/>
        <v>1.0218352687304311E-2</v>
      </c>
    </row>
    <row r="1377" spans="1:7">
      <c r="A1377" s="50">
        <v>174.4128</v>
      </c>
      <c r="B1377" s="50">
        <v>178.1061</v>
      </c>
      <c r="C1377" s="50">
        <v>172.9374</v>
      </c>
      <c r="D1377" s="50">
        <v>177.4118</v>
      </c>
      <c r="E1377" s="50">
        <v>17809450</v>
      </c>
      <c r="F1377" s="50" t="s">
        <v>1404</v>
      </c>
      <c r="G1377" s="25">
        <f t="shared" si="19"/>
        <v>-1.6904174355933499E-2</v>
      </c>
    </row>
    <row r="1378" spans="1:7">
      <c r="A1378" s="50">
        <v>183.2747</v>
      </c>
      <c r="B1378" s="50">
        <v>186.78479999999999</v>
      </c>
      <c r="C1378" s="50">
        <v>182.46469999999999</v>
      </c>
      <c r="D1378" s="50">
        <v>186.10980000000001</v>
      </c>
      <c r="E1378" s="50">
        <v>8690350</v>
      </c>
      <c r="F1378" s="50" t="s">
        <v>1405</v>
      </c>
      <c r="G1378" s="25">
        <f t="shared" si="19"/>
        <v>-1.5233480450787762E-2</v>
      </c>
    </row>
    <row r="1379" spans="1:7">
      <c r="A1379" s="50">
        <v>186.1773</v>
      </c>
      <c r="B1379" s="50">
        <v>189.40770000000001</v>
      </c>
      <c r="C1379" s="50">
        <v>183.91120000000001</v>
      </c>
      <c r="D1379" s="50">
        <v>189.0027</v>
      </c>
      <c r="E1379" s="50">
        <v>12608686</v>
      </c>
      <c r="F1379" s="50" t="s">
        <v>1406</v>
      </c>
      <c r="G1379" s="25">
        <f t="shared" si="19"/>
        <v>-1.4948992792166438E-2</v>
      </c>
    </row>
    <row r="1380" spans="1:7">
      <c r="A1380" s="50">
        <v>190.9409</v>
      </c>
      <c r="B1380" s="50">
        <v>192.74420000000001</v>
      </c>
      <c r="C1380" s="50">
        <v>189.02199999999999</v>
      </c>
      <c r="D1380" s="50">
        <v>192.61879999999999</v>
      </c>
      <c r="E1380" s="50">
        <v>5877238</v>
      </c>
      <c r="F1380" s="50" t="s">
        <v>1407</v>
      </c>
      <c r="G1380" s="25">
        <f t="shared" si="19"/>
        <v>-8.7109877125182145E-3</v>
      </c>
    </row>
    <row r="1381" spans="1:7">
      <c r="A1381" s="50">
        <v>190.92160000000001</v>
      </c>
      <c r="B1381" s="50">
        <v>192.63470000000001</v>
      </c>
      <c r="C1381" s="50">
        <v>188.77119999999999</v>
      </c>
      <c r="D1381" s="50">
        <v>192.2234</v>
      </c>
      <c r="E1381" s="50">
        <v>4911939</v>
      </c>
      <c r="F1381" s="50" t="s">
        <v>1408</v>
      </c>
      <c r="G1381" s="25">
        <f t="shared" si="19"/>
        <v>-6.7723284470048162E-3</v>
      </c>
    </row>
    <row r="1382" spans="1:7">
      <c r="A1382" s="50">
        <v>191.3459</v>
      </c>
      <c r="B1382" s="50">
        <v>193.26490000000001</v>
      </c>
      <c r="C1382" s="50">
        <v>190.76730000000001</v>
      </c>
      <c r="D1382" s="50">
        <v>190.76730000000001</v>
      </c>
      <c r="E1382" s="50">
        <v>6067207</v>
      </c>
      <c r="F1382" s="50" t="s">
        <v>1409</v>
      </c>
      <c r="G1382" s="25">
        <f t="shared" si="19"/>
        <v>3.033014568010417E-3</v>
      </c>
    </row>
    <row r="1383" spans="1:7">
      <c r="A1383" s="50">
        <v>190.642</v>
      </c>
      <c r="B1383" s="50">
        <v>192.53200000000001</v>
      </c>
      <c r="C1383" s="50">
        <v>189.68729999999999</v>
      </c>
      <c r="D1383" s="50">
        <v>190.4973</v>
      </c>
      <c r="E1383" s="50">
        <v>7429822</v>
      </c>
      <c r="F1383" s="50" t="s">
        <v>1410</v>
      </c>
      <c r="G1383" s="25">
        <f t="shared" si="19"/>
        <v>7.5959081834753306E-4</v>
      </c>
    </row>
    <row r="1384" spans="1:7">
      <c r="A1384" s="50">
        <v>189.93799999999999</v>
      </c>
      <c r="B1384" s="50">
        <v>193.89169999999999</v>
      </c>
      <c r="C1384" s="50">
        <v>189.48480000000001</v>
      </c>
      <c r="D1384" s="50">
        <v>193.67949999999999</v>
      </c>
      <c r="E1384" s="50">
        <v>7449606</v>
      </c>
      <c r="F1384" s="50" t="s">
        <v>1411</v>
      </c>
      <c r="G1384" s="25">
        <f t="shared" si="19"/>
        <v>-1.9317997000198761E-2</v>
      </c>
    </row>
    <row r="1385" spans="1:7">
      <c r="A1385" s="50">
        <v>193.11060000000001</v>
      </c>
      <c r="B1385" s="50">
        <v>195.4153</v>
      </c>
      <c r="C1385" s="50">
        <v>192.29089999999999</v>
      </c>
      <c r="D1385" s="50">
        <v>192.8502</v>
      </c>
      <c r="E1385" s="50">
        <v>6387996</v>
      </c>
      <c r="F1385" s="50" t="s">
        <v>1412</v>
      </c>
      <c r="G1385" s="25">
        <f t="shared" si="19"/>
        <v>1.3502708319721446E-3</v>
      </c>
    </row>
    <row r="1386" spans="1:7">
      <c r="A1386" s="50">
        <v>192.42590000000001</v>
      </c>
      <c r="B1386" s="50">
        <v>197.3921</v>
      </c>
      <c r="C1386" s="50">
        <v>190.5455</v>
      </c>
      <c r="D1386" s="50">
        <v>193.8338</v>
      </c>
      <c r="E1386" s="50">
        <v>8887367</v>
      </c>
      <c r="F1386" s="50" t="s">
        <v>1413</v>
      </c>
      <c r="G1386" s="25">
        <f t="shared" si="19"/>
        <v>-7.2634390906022306E-3</v>
      </c>
    </row>
    <row r="1387" spans="1:7">
      <c r="A1387" s="50">
        <v>194.9813</v>
      </c>
      <c r="B1387" s="50">
        <v>197.6523</v>
      </c>
      <c r="C1387" s="50">
        <v>193.9495</v>
      </c>
      <c r="D1387" s="50">
        <v>197.40170000000001</v>
      </c>
      <c r="E1387" s="50">
        <v>5321915</v>
      </c>
      <c r="F1387" s="50" t="s">
        <v>1414</v>
      </c>
      <c r="G1387" s="25">
        <f t="shared" si="19"/>
        <v>-1.226129258258668E-2</v>
      </c>
    </row>
    <row r="1388" spans="1:7">
      <c r="A1388" s="50">
        <v>197.0256</v>
      </c>
      <c r="B1388" s="50">
        <v>197.88390000000001</v>
      </c>
      <c r="C1388" s="50">
        <v>195.7817</v>
      </c>
      <c r="D1388" s="50">
        <v>196.11920000000001</v>
      </c>
      <c r="E1388" s="50">
        <v>5621674</v>
      </c>
      <c r="F1388" s="50" t="s">
        <v>1415</v>
      </c>
      <c r="G1388" s="25">
        <f t="shared" si="19"/>
        <v>4.621679060489603E-3</v>
      </c>
    </row>
    <row r="1389" spans="1:7">
      <c r="A1389" s="50">
        <v>199.03139999999999</v>
      </c>
      <c r="B1389" s="50">
        <v>200.5453</v>
      </c>
      <c r="C1389" s="50">
        <v>198.3853</v>
      </c>
      <c r="D1389" s="50">
        <v>199.5521</v>
      </c>
      <c r="E1389" s="50">
        <v>6622714</v>
      </c>
      <c r="F1389" s="50" t="s">
        <v>1416</v>
      </c>
      <c r="G1389" s="25">
        <f t="shared" si="19"/>
        <v>-2.6093436250482771E-3</v>
      </c>
    </row>
    <row r="1390" spans="1:7">
      <c r="A1390" s="50">
        <v>199.2628</v>
      </c>
      <c r="B1390" s="50">
        <v>199.68709999999999</v>
      </c>
      <c r="C1390" s="50">
        <v>196.40369999999999</v>
      </c>
      <c r="D1390" s="50">
        <v>196.71709999999999</v>
      </c>
      <c r="E1390" s="50">
        <v>5562948</v>
      </c>
      <c r="F1390" s="50" t="s">
        <v>1417</v>
      </c>
      <c r="G1390" s="25">
        <f t="shared" si="19"/>
        <v>1.2940918710168114E-2</v>
      </c>
    </row>
    <row r="1391" spans="1:7">
      <c r="A1391" s="50">
        <v>195.73349999999999</v>
      </c>
      <c r="B1391" s="50">
        <v>197.00640000000001</v>
      </c>
      <c r="C1391" s="50">
        <v>195.0103</v>
      </c>
      <c r="D1391" s="50">
        <v>196.71709999999999</v>
      </c>
      <c r="E1391" s="50">
        <v>3955634</v>
      </c>
      <c r="F1391" s="50" t="s">
        <v>1418</v>
      </c>
      <c r="G1391" s="25">
        <f t="shared" si="19"/>
        <v>-5.0000737099112902E-3</v>
      </c>
    </row>
    <row r="1392" spans="1:7">
      <c r="A1392" s="50">
        <v>195.24170000000001</v>
      </c>
      <c r="B1392" s="50">
        <v>195.55029999999999</v>
      </c>
      <c r="C1392" s="50">
        <v>192.8502</v>
      </c>
      <c r="D1392" s="50">
        <v>194.7885</v>
      </c>
      <c r="E1392" s="50">
        <v>6713433</v>
      </c>
      <c r="F1392" s="50" t="s">
        <v>1419</v>
      </c>
      <c r="G1392" s="25">
        <f t="shared" si="19"/>
        <v>2.326626058519965E-3</v>
      </c>
    </row>
    <row r="1393" spans="1:7">
      <c r="A1393" s="50">
        <v>193.2938</v>
      </c>
      <c r="B1393" s="50">
        <v>197.77780000000001</v>
      </c>
      <c r="C1393" s="50">
        <v>192.58019999999999</v>
      </c>
      <c r="D1393" s="50">
        <v>196.82310000000001</v>
      </c>
      <c r="E1393" s="50">
        <v>5841141</v>
      </c>
      <c r="F1393" s="50" t="s">
        <v>1420</v>
      </c>
      <c r="G1393" s="25">
        <f t="shared" si="19"/>
        <v>-1.7931330214796981E-2</v>
      </c>
    </row>
    <row r="1394" spans="1:7">
      <c r="A1394" s="50">
        <v>196.27350000000001</v>
      </c>
      <c r="B1394" s="50">
        <v>196.37960000000001</v>
      </c>
      <c r="C1394" s="50">
        <v>193.8724</v>
      </c>
      <c r="D1394" s="50">
        <v>195.47309999999999</v>
      </c>
      <c r="E1394" s="50">
        <v>6090528</v>
      </c>
      <c r="F1394" s="50" t="s">
        <v>1421</v>
      </c>
      <c r="G1394" s="25">
        <f t="shared" si="19"/>
        <v>4.0946810584168158E-3</v>
      </c>
    </row>
    <row r="1395" spans="1:7">
      <c r="A1395" s="50">
        <v>194.26769999999999</v>
      </c>
      <c r="B1395" s="50">
        <v>195.58879999999999</v>
      </c>
      <c r="C1395" s="50">
        <v>192.28129999999999</v>
      </c>
      <c r="D1395" s="50">
        <v>192.85990000000001</v>
      </c>
      <c r="E1395" s="50">
        <v>6019734</v>
      </c>
      <c r="F1395" s="50" t="s">
        <v>1422</v>
      </c>
      <c r="G1395" s="25">
        <f t="shared" si="19"/>
        <v>7.2995993464683995E-3</v>
      </c>
    </row>
    <row r="1396" spans="1:7">
      <c r="A1396" s="50">
        <v>196.09030000000001</v>
      </c>
      <c r="B1396" s="50">
        <v>197.86940000000001</v>
      </c>
      <c r="C1396" s="50">
        <v>194.43719999999999</v>
      </c>
      <c r="D1396" s="50">
        <v>194.99100000000001</v>
      </c>
      <c r="E1396" s="50">
        <v>7234628</v>
      </c>
      <c r="F1396" s="50" t="s">
        <v>1423</v>
      </c>
      <c r="G1396" s="25">
        <f t="shared" si="19"/>
        <v>5.6376960987942759E-3</v>
      </c>
    </row>
    <row r="1397" spans="1:7">
      <c r="A1397" s="50">
        <v>192.83090000000001</v>
      </c>
      <c r="B1397" s="50">
        <v>195.3092</v>
      </c>
      <c r="C1397" s="50">
        <v>191.7895</v>
      </c>
      <c r="D1397" s="50">
        <v>193.67949999999999</v>
      </c>
      <c r="E1397" s="50">
        <v>9157591</v>
      </c>
      <c r="F1397" s="50" t="s">
        <v>1424</v>
      </c>
      <c r="G1397" s="25">
        <f t="shared" si="19"/>
        <v>-4.3814652557445655E-3</v>
      </c>
    </row>
    <row r="1398" spans="1:7">
      <c r="A1398" s="50">
        <v>192.31989999999999</v>
      </c>
      <c r="B1398" s="50">
        <v>195.1549</v>
      </c>
      <c r="C1398" s="50">
        <v>192.25239999999999</v>
      </c>
      <c r="D1398" s="50">
        <v>193.41919999999999</v>
      </c>
      <c r="E1398" s="50">
        <v>5559814</v>
      </c>
      <c r="F1398" s="50" t="s">
        <v>1425</v>
      </c>
      <c r="G1398" s="25">
        <f t="shared" si="19"/>
        <v>-5.6835102202883458E-3</v>
      </c>
    </row>
    <row r="1399" spans="1:7">
      <c r="A1399" s="50">
        <v>193.16839999999999</v>
      </c>
      <c r="B1399" s="50">
        <v>194.51849999999999</v>
      </c>
      <c r="C1399" s="50">
        <v>192.69589999999999</v>
      </c>
      <c r="D1399" s="50">
        <v>193.4674</v>
      </c>
      <c r="E1399" s="50">
        <v>5565280</v>
      </c>
      <c r="F1399" s="50" t="s">
        <v>1426</v>
      </c>
      <c r="G1399" s="25">
        <f t="shared" si="19"/>
        <v>-1.5454800136870395E-3</v>
      </c>
    </row>
    <row r="1400" spans="1:7">
      <c r="A1400" s="50">
        <v>190.208</v>
      </c>
      <c r="B1400" s="50">
        <v>191.06630000000001</v>
      </c>
      <c r="C1400" s="50">
        <v>186.60159999999999</v>
      </c>
      <c r="D1400" s="50">
        <v>188.05770000000001</v>
      </c>
      <c r="E1400" s="50">
        <v>5496052</v>
      </c>
      <c r="F1400" s="50" t="s">
        <v>1427</v>
      </c>
      <c r="G1400" s="25">
        <f t="shared" si="19"/>
        <v>1.1434256613794602E-2</v>
      </c>
    </row>
    <row r="1401" spans="1:7">
      <c r="A1401" s="50">
        <v>188.53980000000001</v>
      </c>
      <c r="B1401" s="50">
        <v>190.6131</v>
      </c>
      <c r="C1401" s="50">
        <v>186.23509999999999</v>
      </c>
      <c r="D1401" s="50">
        <v>188.18299999999999</v>
      </c>
      <c r="E1401" s="50">
        <v>9865265</v>
      </c>
      <c r="F1401" s="50" t="s">
        <v>1428</v>
      </c>
      <c r="G1401" s="25">
        <f t="shared" si="19"/>
        <v>1.8960267399288355E-3</v>
      </c>
    </row>
    <row r="1402" spans="1:7">
      <c r="A1402" s="50">
        <v>188.39519999999999</v>
      </c>
      <c r="B1402" s="50">
        <v>193.911</v>
      </c>
      <c r="C1402" s="50">
        <v>187.62370000000001</v>
      </c>
      <c r="D1402" s="50">
        <v>193.63130000000001</v>
      </c>
      <c r="E1402" s="50">
        <v>6310558</v>
      </c>
      <c r="F1402" s="50" t="s">
        <v>1429</v>
      </c>
      <c r="G1402" s="25">
        <f t="shared" si="19"/>
        <v>-2.7041599162945351E-2</v>
      </c>
    </row>
    <row r="1403" spans="1:7">
      <c r="A1403" s="50">
        <v>193.3999</v>
      </c>
      <c r="B1403" s="50">
        <v>193.5445</v>
      </c>
      <c r="C1403" s="50">
        <v>189.7741</v>
      </c>
      <c r="D1403" s="50">
        <v>191.0181</v>
      </c>
      <c r="E1403" s="50">
        <v>7543137</v>
      </c>
      <c r="F1403" s="50" t="s">
        <v>1430</v>
      </c>
      <c r="G1403" s="25">
        <f t="shared" si="19"/>
        <v>1.2468975453111542E-2</v>
      </c>
    </row>
    <row r="1404" spans="1:7">
      <c r="A1404" s="50">
        <v>190.40090000000001</v>
      </c>
      <c r="B1404" s="50">
        <v>194.0652</v>
      </c>
      <c r="C1404" s="50">
        <v>187.7491</v>
      </c>
      <c r="D1404" s="50">
        <v>192.7731</v>
      </c>
      <c r="E1404" s="50">
        <v>9656041</v>
      </c>
      <c r="F1404" s="50" t="s">
        <v>1431</v>
      </c>
      <c r="G1404" s="25">
        <f t="shared" si="19"/>
        <v>-1.2305658828954846E-2</v>
      </c>
    </row>
    <row r="1405" spans="1:7">
      <c r="A1405" s="50">
        <v>195.3767</v>
      </c>
      <c r="B1405" s="50">
        <v>198.37569999999999</v>
      </c>
      <c r="C1405" s="50">
        <v>194.51849999999999</v>
      </c>
      <c r="D1405" s="50">
        <v>198.13460000000001</v>
      </c>
      <c r="E1405" s="50">
        <v>9084141</v>
      </c>
      <c r="F1405" s="50" t="s">
        <v>1432</v>
      </c>
      <c r="G1405" s="25">
        <f t="shared" si="19"/>
        <v>-1.3919325549399231E-2</v>
      </c>
    </row>
    <row r="1406" spans="1:7">
      <c r="A1406" s="50">
        <v>197.9417</v>
      </c>
      <c r="B1406" s="50">
        <v>198.2407</v>
      </c>
      <c r="C1406" s="50">
        <v>194.7885</v>
      </c>
      <c r="D1406" s="50">
        <v>195.60810000000001</v>
      </c>
      <c r="E1406" s="50">
        <v>7474944</v>
      </c>
      <c r="F1406" s="50" t="s">
        <v>1433</v>
      </c>
      <c r="G1406" s="25">
        <f t="shared" si="19"/>
        <v>1.1929976314886792E-2</v>
      </c>
    </row>
    <row r="1407" spans="1:7">
      <c r="A1407" s="50">
        <v>197.80670000000001</v>
      </c>
      <c r="B1407" s="50">
        <v>200.32839999999999</v>
      </c>
      <c r="C1407" s="50">
        <v>197.63310000000001</v>
      </c>
      <c r="D1407" s="50">
        <v>199.35919999999999</v>
      </c>
      <c r="E1407" s="50">
        <v>6135541</v>
      </c>
      <c r="F1407" s="50" t="s">
        <v>1434</v>
      </c>
      <c r="G1407" s="25">
        <f t="shared" si="19"/>
        <v>-7.7874509929813929E-3</v>
      </c>
    </row>
    <row r="1408" spans="1:7">
      <c r="A1408" s="50">
        <v>198.0574</v>
      </c>
      <c r="B1408" s="50">
        <v>200.77680000000001</v>
      </c>
      <c r="C1408" s="50">
        <v>197.45959999999999</v>
      </c>
      <c r="D1408" s="50">
        <v>199.3689</v>
      </c>
      <c r="E1408" s="50">
        <v>6328575</v>
      </c>
      <c r="F1408" s="50" t="s">
        <v>1435</v>
      </c>
      <c r="G1408" s="25">
        <f t="shared" si="19"/>
        <v>-6.5782576921475933E-3</v>
      </c>
    </row>
    <row r="1409" spans="1:7">
      <c r="A1409" s="50">
        <v>197.66210000000001</v>
      </c>
      <c r="B1409" s="50">
        <v>199.041</v>
      </c>
      <c r="C1409" s="50">
        <v>195.8878</v>
      </c>
      <c r="D1409" s="50">
        <v>196.09030000000001</v>
      </c>
      <c r="E1409" s="50">
        <v>11730452</v>
      </c>
      <c r="F1409" s="50" t="s">
        <v>1436</v>
      </c>
      <c r="G1409" s="25">
        <f t="shared" si="19"/>
        <v>8.0156948099932013E-3</v>
      </c>
    </row>
    <row r="1410" spans="1:7">
      <c r="A1410" s="50">
        <v>193.51560000000001</v>
      </c>
      <c r="B1410" s="50">
        <v>195.18379999999999</v>
      </c>
      <c r="C1410" s="50">
        <v>191.80879999999999</v>
      </c>
      <c r="D1410" s="50">
        <v>194.3835</v>
      </c>
      <c r="E1410" s="50">
        <v>7439317</v>
      </c>
      <c r="F1410" s="50" t="s">
        <v>1437</v>
      </c>
      <c r="G1410" s="25">
        <f t="shared" si="19"/>
        <v>-4.464885136855723E-3</v>
      </c>
    </row>
    <row r="1411" spans="1:7">
      <c r="A1411" s="50">
        <v>194.3449</v>
      </c>
      <c r="B1411" s="50">
        <v>199.61</v>
      </c>
      <c r="C1411" s="50">
        <v>193.2938</v>
      </c>
      <c r="D1411" s="50">
        <v>197.54640000000001</v>
      </c>
      <c r="E1411" s="50">
        <v>7242970</v>
      </c>
      <c r="F1411" s="50" t="s">
        <v>1438</v>
      </c>
      <c r="G1411" s="25">
        <f t="shared" si="19"/>
        <v>-1.6206319123001078E-2</v>
      </c>
    </row>
    <row r="1412" spans="1:7">
      <c r="A1412" s="50">
        <v>196.7749</v>
      </c>
      <c r="B1412" s="50">
        <v>198.92529999999999</v>
      </c>
      <c r="C1412" s="50">
        <v>194.73660000000001</v>
      </c>
      <c r="D1412" s="50">
        <v>197.05459999999999</v>
      </c>
      <c r="E1412" s="50">
        <v>7532626</v>
      </c>
      <c r="F1412" s="50" t="s">
        <v>1439</v>
      </c>
      <c r="G1412" s="25">
        <f t="shared" si="19"/>
        <v>-1.41940355617165E-3</v>
      </c>
    </row>
    <row r="1413" spans="1:7">
      <c r="A1413" s="50">
        <v>192.97559999999999</v>
      </c>
      <c r="B1413" s="50">
        <v>195.02950000000001</v>
      </c>
      <c r="C1413" s="50">
        <v>192.1019</v>
      </c>
      <c r="D1413" s="50">
        <v>193.61199999999999</v>
      </c>
      <c r="E1413" s="50">
        <v>14186879</v>
      </c>
      <c r="F1413" s="50" t="s">
        <v>1440</v>
      </c>
      <c r="G1413" s="25">
        <f t="shared" si="19"/>
        <v>-3.2869863438217406E-3</v>
      </c>
    </row>
    <row r="1414" spans="1:7">
      <c r="A1414" s="50">
        <v>197.3535</v>
      </c>
      <c r="B1414" s="50">
        <v>202.98500000000001</v>
      </c>
      <c r="C1414" s="50">
        <v>193.00450000000001</v>
      </c>
      <c r="D1414" s="50">
        <v>201.04679999999999</v>
      </c>
      <c r="E1414" s="50">
        <v>13243604</v>
      </c>
      <c r="F1414" s="50" t="s">
        <v>1441</v>
      </c>
      <c r="G1414" s="25">
        <f t="shared" si="19"/>
        <v>-1.8370349590244639E-2</v>
      </c>
    </row>
    <row r="1415" spans="1:7">
      <c r="A1415" s="50">
        <v>201.5</v>
      </c>
      <c r="B1415" s="50">
        <v>207.2569</v>
      </c>
      <c r="C1415" s="50">
        <v>199.6968</v>
      </c>
      <c r="D1415" s="50">
        <v>207.2569</v>
      </c>
      <c r="E1415" s="50">
        <v>11310193</v>
      </c>
      <c r="F1415" s="50" t="s">
        <v>1442</v>
      </c>
      <c r="G1415" s="25">
        <f t="shared" si="19"/>
        <v>-2.7776638558233757E-2</v>
      </c>
    </row>
    <row r="1416" spans="1:7">
      <c r="A1416" s="50">
        <v>208.75149999999999</v>
      </c>
      <c r="B1416" s="50">
        <v>209.59049999999999</v>
      </c>
      <c r="C1416" s="50">
        <v>206.13829999999999</v>
      </c>
      <c r="D1416" s="50">
        <v>206.4854</v>
      </c>
      <c r="E1416" s="50">
        <v>9863801</v>
      </c>
      <c r="F1416" s="50" t="s">
        <v>1443</v>
      </c>
      <c r="G1416" s="25">
        <f t="shared" si="19"/>
        <v>1.0974625808894967E-2</v>
      </c>
    </row>
    <row r="1417" spans="1:7">
      <c r="A1417" s="50">
        <v>205.73330000000001</v>
      </c>
      <c r="B1417" s="50">
        <v>206.25399999999999</v>
      </c>
      <c r="C1417" s="50">
        <v>203.5829</v>
      </c>
      <c r="D1417" s="50">
        <v>204.63399999999999</v>
      </c>
      <c r="E1417" s="50">
        <v>5648766</v>
      </c>
      <c r="F1417" s="50" t="s">
        <v>1444</v>
      </c>
      <c r="G1417" s="25">
        <f t="shared" si="19"/>
        <v>5.3720300634305662E-3</v>
      </c>
    </row>
    <row r="1418" spans="1:7">
      <c r="A1418" s="50">
        <v>204.42179999999999</v>
      </c>
      <c r="B1418" s="50">
        <v>208.2501</v>
      </c>
      <c r="C1418" s="50">
        <v>204.00720000000001</v>
      </c>
      <c r="D1418" s="50">
        <v>207.8451</v>
      </c>
      <c r="E1418" s="50">
        <v>9326852</v>
      </c>
      <c r="F1418" s="50" t="s">
        <v>1445</v>
      </c>
      <c r="G1418" s="25">
        <f t="shared" si="19"/>
        <v>-1.6470438802743015E-2</v>
      </c>
    </row>
    <row r="1419" spans="1:7">
      <c r="A1419" s="50">
        <v>208.00899999999999</v>
      </c>
      <c r="B1419" s="50">
        <v>208.44290000000001</v>
      </c>
      <c r="C1419" s="50">
        <v>203.67930000000001</v>
      </c>
      <c r="D1419" s="50">
        <v>204.4315</v>
      </c>
      <c r="E1419" s="50">
        <v>7349837</v>
      </c>
      <c r="F1419" s="50" t="s">
        <v>1446</v>
      </c>
      <c r="G1419" s="25">
        <f t="shared" si="19"/>
        <v>1.7499749304779266E-2</v>
      </c>
    </row>
    <row r="1420" spans="1:7">
      <c r="A1420" s="50">
        <v>203.49610000000001</v>
      </c>
      <c r="B1420" s="50">
        <v>204.60499999999999</v>
      </c>
      <c r="C1420" s="50">
        <v>201.58680000000001</v>
      </c>
      <c r="D1420" s="50">
        <v>203.66970000000001</v>
      </c>
      <c r="E1420" s="50">
        <v>8619578</v>
      </c>
      <c r="F1420" s="50" t="s">
        <v>1447</v>
      </c>
      <c r="G1420" s="25">
        <f t="shared" si="19"/>
        <v>-8.5236046402581422E-4</v>
      </c>
    </row>
    <row r="1421" spans="1:7">
      <c r="A1421" s="50">
        <v>202.75360000000001</v>
      </c>
      <c r="B1421" s="50">
        <v>203.27430000000001</v>
      </c>
      <c r="C1421" s="50">
        <v>199.90170000000001</v>
      </c>
      <c r="D1421" s="50">
        <v>200.67070000000001</v>
      </c>
      <c r="E1421" s="50">
        <v>7035221</v>
      </c>
      <c r="F1421" s="50" t="s">
        <v>1448</v>
      </c>
      <c r="G1421" s="25">
        <f t="shared" si="19"/>
        <v>1.0379691703870986E-2</v>
      </c>
    </row>
    <row r="1422" spans="1:7">
      <c r="A1422" s="50">
        <v>200.67070000000001</v>
      </c>
      <c r="B1422" s="50">
        <v>200.7671</v>
      </c>
      <c r="C1422" s="50">
        <v>198.2028</v>
      </c>
      <c r="D1422" s="50">
        <v>199.79320000000001</v>
      </c>
      <c r="E1422" s="50">
        <v>5828348</v>
      </c>
      <c r="F1422" s="50" t="s">
        <v>1449</v>
      </c>
      <c r="G1422" s="25">
        <f t="shared" si="19"/>
        <v>4.392041370777422E-3</v>
      </c>
    </row>
    <row r="1423" spans="1:7">
      <c r="A1423" s="50">
        <v>199.041</v>
      </c>
      <c r="B1423" s="50">
        <v>199.0796</v>
      </c>
      <c r="C1423" s="50">
        <v>197.3631</v>
      </c>
      <c r="D1423" s="50">
        <v>197.691</v>
      </c>
      <c r="E1423" s="50">
        <v>6159596</v>
      </c>
      <c r="F1423" s="50" t="s">
        <v>1450</v>
      </c>
      <c r="G1423" s="25">
        <f t="shared" si="19"/>
        <v>6.8288389456272469E-3</v>
      </c>
    </row>
    <row r="1424" spans="1:7">
      <c r="A1424" s="50">
        <v>196.8424</v>
      </c>
      <c r="B1424" s="50">
        <v>197.81639999999999</v>
      </c>
      <c r="C1424" s="50">
        <v>196.0806</v>
      </c>
      <c r="D1424" s="50">
        <v>197.19919999999999</v>
      </c>
      <c r="E1424" s="50">
        <v>9998308</v>
      </c>
      <c r="F1424" s="50" t="s">
        <v>1451</v>
      </c>
      <c r="G1424" s="25">
        <f t="shared" si="19"/>
        <v>-1.8093379689166911E-3</v>
      </c>
    </row>
    <row r="1425" spans="1:7">
      <c r="A1425" s="50">
        <v>196.86170000000001</v>
      </c>
      <c r="B1425" s="50">
        <v>197.1414</v>
      </c>
      <c r="C1425" s="50">
        <v>192.47409999999999</v>
      </c>
      <c r="D1425" s="50">
        <v>192.76339999999999</v>
      </c>
      <c r="E1425" s="50">
        <v>8849171</v>
      </c>
      <c r="F1425" s="50" t="s">
        <v>1452</v>
      </c>
      <c r="G1425" s="25">
        <f t="shared" si="19"/>
        <v>2.1260778757793419E-2</v>
      </c>
    </row>
    <row r="1426" spans="1:7">
      <c r="A1426" s="50">
        <v>193.81450000000001</v>
      </c>
      <c r="B1426" s="50">
        <v>195.6009</v>
      </c>
      <c r="C1426" s="50">
        <v>191.79910000000001</v>
      </c>
      <c r="D1426" s="50">
        <v>191.8184</v>
      </c>
      <c r="E1426" s="50">
        <v>9467594</v>
      </c>
      <c r="F1426" s="50" t="s">
        <v>1453</v>
      </c>
      <c r="G1426" s="25">
        <f t="shared" si="19"/>
        <v>1.0406196694373593E-2</v>
      </c>
    </row>
    <row r="1427" spans="1:7">
      <c r="A1427" s="50">
        <v>191.90520000000001</v>
      </c>
      <c r="B1427" s="50">
        <v>192.9563</v>
      </c>
      <c r="C1427" s="50">
        <v>189.79560000000001</v>
      </c>
      <c r="D1427" s="50">
        <v>192.84059999999999</v>
      </c>
      <c r="E1427" s="50">
        <v>6519888</v>
      </c>
      <c r="F1427" s="50" t="s">
        <v>1454</v>
      </c>
      <c r="G1427" s="25">
        <f t="shared" si="19"/>
        <v>-4.8506382991962971E-3</v>
      </c>
    </row>
    <row r="1428" spans="1:7">
      <c r="A1428" s="50">
        <v>192.31020000000001</v>
      </c>
      <c r="B1428" s="50">
        <v>193.30340000000001</v>
      </c>
      <c r="C1428" s="50">
        <v>189.68729999999999</v>
      </c>
      <c r="D1428" s="50">
        <v>190.25630000000001</v>
      </c>
      <c r="E1428" s="50">
        <v>6256203</v>
      </c>
      <c r="F1428" s="50" t="s">
        <v>1455</v>
      </c>
      <c r="G1428" s="25">
        <f t="shared" ref="G1428:G1466" si="20">A1428/D1428-1</f>
        <v>1.0795437522962414E-2</v>
      </c>
    </row>
    <row r="1429" spans="1:7">
      <c r="A1429" s="50">
        <v>189.6198</v>
      </c>
      <c r="B1429" s="50">
        <v>190.99879999999999</v>
      </c>
      <c r="C1429" s="50">
        <v>188.7809</v>
      </c>
      <c r="D1429" s="50">
        <v>189.97659999999999</v>
      </c>
      <c r="E1429" s="50">
        <v>5014416</v>
      </c>
      <c r="F1429" s="50" t="s">
        <v>1456</v>
      </c>
      <c r="G1429" s="25">
        <f t="shared" si="20"/>
        <v>-1.8781260428916147E-3</v>
      </c>
    </row>
    <row r="1430" spans="1:7">
      <c r="A1430" s="50">
        <v>190.52629999999999</v>
      </c>
      <c r="B1430" s="50">
        <v>192.80199999999999</v>
      </c>
      <c r="C1430" s="50">
        <v>189.99590000000001</v>
      </c>
      <c r="D1430" s="50">
        <v>190.09229999999999</v>
      </c>
      <c r="E1430" s="50">
        <v>7014804</v>
      </c>
      <c r="F1430" s="50" t="s">
        <v>1457</v>
      </c>
      <c r="G1430" s="25">
        <f t="shared" si="20"/>
        <v>2.2831014196786903E-3</v>
      </c>
    </row>
    <row r="1431" spans="1:7">
      <c r="A1431" s="50">
        <v>191.35560000000001</v>
      </c>
      <c r="B1431" s="50">
        <v>192.7902</v>
      </c>
      <c r="C1431" s="50">
        <v>190.8741</v>
      </c>
      <c r="D1431" s="50">
        <v>191.60589999999999</v>
      </c>
      <c r="E1431" s="50">
        <v>5432755</v>
      </c>
      <c r="F1431" s="50" t="s">
        <v>1458</v>
      </c>
      <c r="G1431" s="25">
        <f t="shared" si="20"/>
        <v>-1.3063272059993247E-3</v>
      </c>
    </row>
    <row r="1432" spans="1:7">
      <c r="A1432" s="50">
        <v>190.42160000000001</v>
      </c>
      <c r="B1432" s="50">
        <v>195.35140000000001</v>
      </c>
      <c r="C1432" s="50">
        <v>189.03989999999999</v>
      </c>
      <c r="D1432" s="50">
        <v>190.46969999999999</v>
      </c>
      <c r="E1432" s="50">
        <v>11549610</v>
      </c>
      <c r="F1432" s="50" t="s">
        <v>1459</v>
      </c>
      <c r="G1432" s="25">
        <f t="shared" si="20"/>
        <v>-2.5253360508248335E-4</v>
      </c>
    </row>
    <row r="1433" spans="1:7">
      <c r="A1433" s="50">
        <v>189.47800000000001</v>
      </c>
      <c r="B1433" s="50">
        <v>190.94149999999999</v>
      </c>
      <c r="C1433" s="50">
        <v>188.07230000000001</v>
      </c>
      <c r="D1433" s="50">
        <v>189.06399999999999</v>
      </c>
      <c r="E1433" s="50">
        <v>5525401</v>
      </c>
      <c r="F1433" s="50" t="s">
        <v>1460</v>
      </c>
      <c r="G1433" s="25">
        <f t="shared" si="20"/>
        <v>2.1897346930139783E-3</v>
      </c>
    </row>
    <row r="1434" spans="1:7">
      <c r="A1434" s="50">
        <v>189.06399999999999</v>
      </c>
      <c r="B1434" s="50">
        <v>190.62379999999999</v>
      </c>
      <c r="C1434" s="50">
        <v>188.04339999999999</v>
      </c>
      <c r="D1434" s="50">
        <v>190.2483</v>
      </c>
      <c r="E1434" s="50">
        <v>5653969</v>
      </c>
      <c r="F1434" s="50" t="s">
        <v>1461</v>
      </c>
      <c r="G1434" s="25">
        <f t="shared" si="20"/>
        <v>-6.2250227728710694E-3</v>
      </c>
    </row>
    <row r="1435" spans="1:7">
      <c r="A1435" s="50">
        <v>191.3844</v>
      </c>
      <c r="B1435" s="50">
        <v>191.52889999999999</v>
      </c>
      <c r="C1435" s="50">
        <v>187.5523</v>
      </c>
      <c r="D1435" s="50">
        <v>188.69810000000001</v>
      </c>
      <c r="E1435" s="50">
        <v>7480317</v>
      </c>
      <c r="F1435" s="50" t="s">
        <v>1462</v>
      </c>
      <c r="G1435" s="25">
        <f t="shared" si="20"/>
        <v>1.4235967399777616E-2</v>
      </c>
    </row>
    <row r="1436" spans="1:7">
      <c r="A1436" s="50">
        <v>188.81370000000001</v>
      </c>
      <c r="B1436" s="50">
        <v>190.81639999999999</v>
      </c>
      <c r="C1436" s="50">
        <v>185.92509999999999</v>
      </c>
      <c r="D1436" s="50">
        <v>186.36799999999999</v>
      </c>
      <c r="E1436" s="50">
        <v>8907332</v>
      </c>
      <c r="F1436" s="50" t="s">
        <v>1463</v>
      </c>
      <c r="G1436" s="25">
        <f t="shared" si="20"/>
        <v>1.3122961023351642E-2</v>
      </c>
    </row>
    <row r="1437" spans="1:7">
      <c r="A1437" s="50">
        <v>185.14519999999999</v>
      </c>
      <c r="B1437" s="50">
        <v>185.77109999999999</v>
      </c>
      <c r="C1437" s="50">
        <v>183.01730000000001</v>
      </c>
      <c r="D1437" s="50">
        <v>184.0283</v>
      </c>
      <c r="E1437" s="50">
        <v>8203979</v>
      </c>
      <c r="F1437" s="50" t="s">
        <v>1464</v>
      </c>
      <c r="G1437" s="25">
        <f t="shared" si="20"/>
        <v>6.0691752301140767E-3</v>
      </c>
    </row>
    <row r="1438" spans="1:7">
      <c r="A1438" s="50">
        <v>183.60470000000001</v>
      </c>
      <c r="B1438" s="50">
        <v>186.15620000000001</v>
      </c>
      <c r="C1438" s="50">
        <v>183.143</v>
      </c>
      <c r="D1438" s="50">
        <v>184.67339999999999</v>
      </c>
      <c r="E1438" s="50">
        <v>11407911</v>
      </c>
      <c r="F1438" s="50" t="s">
        <v>1465</v>
      </c>
      <c r="G1438" s="25">
        <f t="shared" si="20"/>
        <v>-5.7869731103665778E-3</v>
      </c>
    </row>
    <row r="1439" spans="1:7">
      <c r="A1439" s="50">
        <v>183.3254</v>
      </c>
      <c r="B1439" s="50">
        <v>187.45599999999999</v>
      </c>
      <c r="C1439" s="50">
        <v>182.40110000000001</v>
      </c>
      <c r="D1439" s="50">
        <v>187.1961</v>
      </c>
      <c r="E1439" s="50">
        <v>14186004</v>
      </c>
      <c r="F1439" s="50" t="s">
        <v>1466</v>
      </c>
      <c r="G1439" s="25">
        <f t="shared" si="20"/>
        <v>-2.0677247015295719E-2</v>
      </c>
    </row>
    <row r="1440" spans="1:7">
      <c r="A1440" s="50">
        <v>186.84950000000001</v>
      </c>
      <c r="B1440" s="50">
        <v>189.25659999999999</v>
      </c>
      <c r="C1440" s="50">
        <v>184.98150000000001</v>
      </c>
      <c r="D1440" s="50">
        <v>187.94710000000001</v>
      </c>
      <c r="E1440" s="50">
        <v>10499358</v>
      </c>
      <c r="F1440" s="50" t="s">
        <v>1467</v>
      </c>
      <c r="G1440" s="25">
        <f t="shared" si="20"/>
        <v>-5.8399411323718509E-3</v>
      </c>
    </row>
    <row r="1441" spans="1:7">
      <c r="A1441" s="50">
        <v>191.20150000000001</v>
      </c>
      <c r="B1441" s="50">
        <v>191.5</v>
      </c>
      <c r="C1441" s="50">
        <v>185.87700000000001</v>
      </c>
      <c r="D1441" s="50">
        <v>185.91550000000001</v>
      </c>
      <c r="E1441" s="50">
        <v>9471295</v>
      </c>
      <c r="F1441" s="50" t="s">
        <v>1468</v>
      </c>
      <c r="G1441" s="25">
        <f t="shared" si="20"/>
        <v>2.8432271650292718E-2</v>
      </c>
    </row>
    <row r="1442" spans="1:7">
      <c r="A1442" s="50">
        <v>189.4299</v>
      </c>
      <c r="B1442" s="50">
        <v>191.9573</v>
      </c>
      <c r="C1442" s="50">
        <v>189.40100000000001</v>
      </c>
      <c r="D1442" s="50">
        <v>190.34460000000001</v>
      </c>
      <c r="E1442" s="50">
        <v>6897278</v>
      </c>
      <c r="F1442" s="50" t="s">
        <v>1469</v>
      </c>
      <c r="G1442" s="25">
        <f t="shared" si="20"/>
        <v>-4.8054948761352412E-3</v>
      </c>
    </row>
    <row r="1443" spans="1:7">
      <c r="A1443" s="50">
        <v>189.59360000000001</v>
      </c>
      <c r="B1443" s="50">
        <v>190.46010000000001</v>
      </c>
      <c r="C1443" s="50">
        <v>186.98429999999999</v>
      </c>
      <c r="D1443" s="50">
        <v>187.90860000000001</v>
      </c>
      <c r="E1443" s="50">
        <v>5604702</v>
      </c>
      <c r="F1443" s="50" t="s">
        <v>1470</v>
      </c>
      <c r="G1443" s="25">
        <f t="shared" si="20"/>
        <v>8.9671255067622635E-3</v>
      </c>
    </row>
    <row r="1444" spans="1:7">
      <c r="A1444" s="50">
        <v>187.899</v>
      </c>
      <c r="B1444" s="50">
        <v>190.14240000000001</v>
      </c>
      <c r="C1444" s="50">
        <v>186.82060000000001</v>
      </c>
      <c r="D1444" s="50">
        <v>188.39959999999999</v>
      </c>
      <c r="E1444" s="50">
        <v>7160336</v>
      </c>
      <c r="F1444" s="50" t="s">
        <v>1471</v>
      </c>
      <c r="G1444" s="25">
        <f t="shared" si="20"/>
        <v>-2.657118167979089E-3</v>
      </c>
    </row>
    <row r="1445" spans="1:7">
      <c r="A1445" s="50">
        <v>190.0942</v>
      </c>
      <c r="B1445" s="50">
        <v>193.48339999999999</v>
      </c>
      <c r="C1445" s="50">
        <v>189.13140000000001</v>
      </c>
      <c r="D1445" s="50">
        <v>191.0667</v>
      </c>
      <c r="E1445" s="50">
        <v>6106708</v>
      </c>
      <c r="F1445" s="50" t="s">
        <v>1472</v>
      </c>
      <c r="G1445" s="25">
        <f t="shared" si="20"/>
        <v>-5.0898455879543336E-3</v>
      </c>
    </row>
    <row r="1446" spans="1:7">
      <c r="A1446" s="50">
        <v>191.47110000000001</v>
      </c>
      <c r="B1446" s="50">
        <v>191.60589999999999</v>
      </c>
      <c r="C1446" s="50">
        <v>188.9581</v>
      </c>
      <c r="D1446" s="50">
        <v>189.17949999999999</v>
      </c>
      <c r="E1446" s="50">
        <v>6823385</v>
      </c>
      <c r="F1446" s="50" t="s">
        <v>1473</v>
      </c>
      <c r="G1446" s="25">
        <f t="shared" si="20"/>
        <v>1.2113363234388608E-2</v>
      </c>
    </row>
    <row r="1447" spans="1:7">
      <c r="A1447" s="50">
        <v>189.17949999999999</v>
      </c>
      <c r="B1447" s="50">
        <v>192.73240000000001</v>
      </c>
      <c r="C1447" s="50">
        <v>188.4093</v>
      </c>
      <c r="D1447" s="50">
        <v>192.56870000000001</v>
      </c>
      <c r="E1447" s="50">
        <v>7219418</v>
      </c>
      <c r="F1447" s="50" t="s">
        <v>1474</v>
      </c>
      <c r="G1447" s="25">
        <f t="shared" si="20"/>
        <v>-1.7599952640278582E-2</v>
      </c>
    </row>
    <row r="1448" spans="1:7">
      <c r="A1448" s="50">
        <v>191.09559999999999</v>
      </c>
      <c r="B1448" s="50">
        <v>192.06809999999999</v>
      </c>
      <c r="C1448" s="50">
        <v>186.47399999999999</v>
      </c>
      <c r="D1448" s="50">
        <v>187.5042</v>
      </c>
      <c r="E1448" s="50">
        <v>6985253</v>
      </c>
      <c r="F1448" s="50" t="s">
        <v>1475</v>
      </c>
      <c r="G1448" s="25">
        <f t="shared" si="20"/>
        <v>1.9153704290357121E-2</v>
      </c>
    </row>
    <row r="1449" spans="1:7">
      <c r="A1449" s="50">
        <v>187.84119999999999</v>
      </c>
      <c r="B1449" s="50">
        <v>188.30330000000001</v>
      </c>
      <c r="C1449" s="50">
        <v>185.9444</v>
      </c>
      <c r="D1449" s="50">
        <v>187.5908</v>
      </c>
      <c r="E1449" s="50">
        <v>6420921</v>
      </c>
      <c r="F1449" s="50" t="s">
        <v>1476</v>
      </c>
      <c r="G1449" s="25">
        <f t="shared" si="20"/>
        <v>1.3348202577097013E-3</v>
      </c>
    </row>
    <row r="1450" spans="1:7">
      <c r="A1450" s="50">
        <v>186.31030000000001</v>
      </c>
      <c r="B1450" s="50">
        <v>188.43809999999999</v>
      </c>
      <c r="C1450" s="50">
        <v>185.36670000000001</v>
      </c>
      <c r="D1450" s="50">
        <v>188.07230000000001</v>
      </c>
      <c r="E1450" s="50">
        <v>5063990</v>
      </c>
      <c r="F1450" s="50" t="s">
        <v>1477</v>
      </c>
      <c r="G1450" s="25">
        <f t="shared" si="20"/>
        <v>-9.3687374483111263E-3</v>
      </c>
    </row>
    <row r="1451" spans="1:7">
      <c r="A1451" s="50">
        <v>189.24690000000001</v>
      </c>
      <c r="B1451" s="50">
        <v>190.41679999999999</v>
      </c>
      <c r="C1451" s="50">
        <v>187.2731</v>
      </c>
      <c r="D1451" s="50">
        <v>187.976</v>
      </c>
      <c r="E1451" s="50">
        <v>7681064</v>
      </c>
      <c r="F1451" s="50" t="s">
        <v>1478</v>
      </c>
      <c r="G1451" s="25">
        <f t="shared" si="20"/>
        <v>6.7609694854662283E-3</v>
      </c>
    </row>
    <row r="1452" spans="1:7">
      <c r="A1452" s="50">
        <v>186.14660000000001</v>
      </c>
      <c r="B1452" s="50">
        <v>186.28139999999999</v>
      </c>
      <c r="C1452" s="50">
        <v>180.2251</v>
      </c>
      <c r="D1452" s="50">
        <v>182.4589</v>
      </c>
      <c r="E1452" s="50">
        <v>8003917</v>
      </c>
      <c r="F1452" s="50" t="s">
        <v>1479</v>
      </c>
      <c r="G1452" s="25">
        <f t="shared" si="20"/>
        <v>2.0211126999011952E-2</v>
      </c>
    </row>
    <row r="1453" spans="1:7">
      <c r="A1453" s="50">
        <v>181.9967</v>
      </c>
      <c r="B1453" s="50">
        <v>187.9375</v>
      </c>
      <c r="C1453" s="50">
        <v>181.68860000000001</v>
      </c>
      <c r="D1453" s="50">
        <v>186.4162</v>
      </c>
      <c r="E1453" s="50">
        <v>8564070</v>
      </c>
      <c r="F1453" s="50" t="s">
        <v>1480</v>
      </c>
      <c r="G1453" s="25">
        <f t="shared" si="20"/>
        <v>-2.3707703515037815E-2</v>
      </c>
    </row>
    <row r="1454" spans="1:7">
      <c r="A1454" s="50">
        <v>185.3956</v>
      </c>
      <c r="B1454" s="50">
        <v>185.65549999999999</v>
      </c>
      <c r="C1454" s="50">
        <v>182.40110000000001</v>
      </c>
      <c r="D1454" s="50">
        <v>184.529</v>
      </c>
      <c r="E1454" s="50">
        <v>7674187</v>
      </c>
      <c r="F1454" s="50" t="s">
        <v>1481</v>
      </c>
      <c r="G1454" s="25">
        <f t="shared" si="20"/>
        <v>4.6962808013917279E-3</v>
      </c>
    </row>
    <row r="1455" spans="1:7">
      <c r="A1455" s="50">
        <v>185.06819999999999</v>
      </c>
      <c r="B1455" s="50">
        <v>188.22630000000001</v>
      </c>
      <c r="C1455" s="50">
        <v>182.8922</v>
      </c>
      <c r="D1455" s="50">
        <v>187.75450000000001</v>
      </c>
      <c r="E1455" s="50">
        <v>8548236</v>
      </c>
      <c r="F1455" s="50" t="s">
        <v>1482</v>
      </c>
      <c r="G1455" s="25">
        <f t="shared" si="20"/>
        <v>-1.4307513268656757E-2</v>
      </c>
    </row>
    <row r="1456" spans="1:7">
      <c r="A1456" s="50">
        <v>187.8219</v>
      </c>
      <c r="B1456" s="50">
        <v>188.2552</v>
      </c>
      <c r="C1456" s="50">
        <v>185.9444</v>
      </c>
      <c r="D1456" s="50">
        <v>187.83160000000001</v>
      </c>
      <c r="E1456" s="50">
        <v>8367953</v>
      </c>
      <c r="F1456" s="50" t="s">
        <v>1483</v>
      </c>
      <c r="G1456" s="25">
        <f t="shared" si="20"/>
        <v>-5.1642002730112324E-5</v>
      </c>
    </row>
    <row r="1457" spans="1:7">
      <c r="A1457" s="50">
        <v>186.98429999999999</v>
      </c>
      <c r="B1457" s="50">
        <v>191.50960000000001</v>
      </c>
      <c r="C1457" s="50">
        <v>186.6087</v>
      </c>
      <c r="D1457" s="50">
        <v>189.4973</v>
      </c>
      <c r="E1457" s="50">
        <v>7660130</v>
      </c>
      <c r="F1457" s="50" t="s">
        <v>1484</v>
      </c>
      <c r="G1457" s="25">
        <f t="shared" si="20"/>
        <v>-1.3261402669061839E-2</v>
      </c>
    </row>
    <row r="1458" spans="1:7">
      <c r="A1458" s="50">
        <v>190.41200000000001</v>
      </c>
      <c r="B1458" s="50">
        <v>191.7792</v>
      </c>
      <c r="C1458" s="50">
        <v>188.4093</v>
      </c>
      <c r="D1458" s="50">
        <v>191.3459</v>
      </c>
      <c r="E1458" s="50">
        <v>7292237</v>
      </c>
      <c r="F1458" s="50" t="s">
        <v>1485</v>
      </c>
      <c r="G1458" s="25">
        <f t="shared" si="20"/>
        <v>-4.8806898919704356E-3</v>
      </c>
    </row>
    <row r="1459" spans="1:7">
      <c r="A1459" s="50">
        <v>188.39959999999999</v>
      </c>
      <c r="B1459" s="50">
        <v>190.5626</v>
      </c>
      <c r="C1459" s="50">
        <v>187.75450000000001</v>
      </c>
      <c r="D1459" s="50">
        <v>188.7174</v>
      </c>
      <c r="E1459" s="50">
        <v>6299276</v>
      </c>
      <c r="F1459" s="50" t="s">
        <v>1486</v>
      </c>
      <c r="G1459" s="25">
        <f t="shared" si="20"/>
        <v>-1.6839994616288934E-3</v>
      </c>
    </row>
    <row r="1460" spans="1:7">
      <c r="A1460" s="50">
        <v>186.57990000000001</v>
      </c>
      <c r="B1460" s="50">
        <v>188.0915</v>
      </c>
      <c r="C1460" s="50">
        <v>185.50069999999999</v>
      </c>
      <c r="D1460" s="50">
        <v>186.6473</v>
      </c>
      <c r="E1460" s="50">
        <v>6394132</v>
      </c>
      <c r="F1460" s="50" t="s">
        <v>1487</v>
      </c>
      <c r="G1460" s="25">
        <f t="shared" si="20"/>
        <v>-3.6110889361906651E-4</v>
      </c>
    </row>
    <row r="1461" spans="1:7">
      <c r="A1461" s="50">
        <v>185.99250000000001</v>
      </c>
      <c r="B1461" s="50">
        <v>186.55099999999999</v>
      </c>
      <c r="C1461" s="50">
        <v>183.09440000000001</v>
      </c>
      <c r="D1461" s="50">
        <v>184.3749</v>
      </c>
      <c r="E1461" s="50">
        <v>9040104</v>
      </c>
      <c r="F1461" s="50" t="s">
        <v>1488</v>
      </c>
      <c r="G1461" s="25">
        <f t="shared" si="20"/>
        <v>8.7734284872833523E-3</v>
      </c>
    </row>
    <row r="1462" spans="1:7">
      <c r="A1462" s="50">
        <v>184.26900000000001</v>
      </c>
      <c r="B1462" s="50">
        <v>184.3364</v>
      </c>
      <c r="C1462" s="50">
        <v>180.3407</v>
      </c>
      <c r="D1462" s="50">
        <v>182.8537</v>
      </c>
      <c r="E1462" s="50">
        <v>8020373</v>
      </c>
      <c r="F1462" s="50" t="s">
        <v>1489</v>
      </c>
      <c r="G1462" s="25">
        <f t="shared" si="20"/>
        <v>7.7400676059604656E-3</v>
      </c>
    </row>
    <row r="1463" spans="1:7">
      <c r="A1463" s="50">
        <v>182.23740000000001</v>
      </c>
      <c r="B1463" s="50">
        <v>186.91200000000001</v>
      </c>
      <c r="C1463" s="50">
        <v>182.05449999999999</v>
      </c>
      <c r="D1463" s="50">
        <v>185.92509999999999</v>
      </c>
      <c r="E1463" s="50">
        <v>11835980</v>
      </c>
      <c r="F1463" s="50" t="s">
        <v>1490</v>
      </c>
      <c r="G1463" s="25">
        <f t="shared" si="20"/>
        <v>-1.9834331136570515E-2</v>
      </c>
    </row>
    <row r="1464" spans="1:7">
      <c r="A1464" s="50">
        <v>186.7724</v>
      </c>
      <c r="B1464" s="50">
        <v>187.02279999999999</v>
      </c>
      <c r="C1464" s="50">
        <v>182.84399999999999</v>
      </c>
      <c r="D1464" s="50">
        <v>183.99940000000001</v>
      </c>
      <c r="E1464" s="50">
        <v>9936587</v>
      </c>
      <c r="F1464" s="50" t="s">
        <v>1491</v>
      </c>
      <c r="G1464" s="25">
        <f t="shared" si="20"/>
        <v>1.5070701317504209E-2</v>
      </c>
    </row>
    <row r="1465" spans="1:7">
      <c r="A1465" s="50">
        <v>184.2979</v>
      </c>
      <c r="B1465" s="50">
        <v>190.14240000000001</v>
      </c>
      <c r="C1465" s="50">
        <v>183.60470000000001</v>
      </c>
      <c r="D1465" s="50">
        <v>189.6995</v>
      </c>
      <c r="E1465" s="50">
        <v>9453097</v>
      </c>
      <c r="F1465" s="50" t="s">
        <v>1492</v>
      </c>
      <c r="G1465" s="25">
        <f t="shared" si="20"/>
        <v>-2.8474508367180684E-2</v>
      </c>
    </row>
    <row r="1466" spans="1:7">
      <c r="A1466" s="50">
        <v>190.61420000000001</v>
      </c>
      <c r="B1466" s="50">
        <v>192.7131</v>
      </c>
      <c r="C1466" s="50">
        <v>188.54409999999999</v>
      </c>
      <c r="D1466" s="50">
        <v>188.9581</v>
      </c>
      <c r="E1466" s="50">
        <v>9866782</v>
      </c>
      <c r="F1466" s="50" t="s">
        <v>1493</v>
      </c>
      <c r="G1466" s="25">
        <f t="shared" si="20"/>
        <v>8.7643768645007114E-3</v>
      </c>
    </row>
    <row r="1467" spans="1:7">
      <c r="G1467" s="25"/>
    </row>
    <row r="1468" spans="1:7">
      <c r="G1468" s="25"/>
    </row>
    <row r="1469" spans="1:7">
      <c r="G1469" s="25"/>
    </row>
    <row r="1470" spans="1:7">
      <c r="G1470" s="25"/>
    </row>
    <row r="1471" spans="1:7">
      <c r="G1471" s="25"/>
    </row>
    <row r="1472" spans="1:7">
      <c r="G1472" s="25"/>
    </row>
    <row r="1473" spans="7:7">
      <c r="G1473" s="25"/>
    </row>
    <row r="1474" spans="7:7">
      <c r="G1474" s="25"/>
    </row>
    <row r="1475" spans="7:7">
      <c r="G1475" s="25"/>
    </row>
    <row r="1476" spans="7:7">
      <c r="G1476" s="25"/>
    </row>
    <row r="1477" spans="7:7">
      <c r="G1477" s="25"/>
    </row>
    <row r="1478" spans="7:7">
      <c r="G1478" s="25"/>
    </row>
    <row r="1479" spans="7:7">
      <c r="G1479" s="25"/>
    </row>
    <row r="1480" spans="7:7">
      <c r="G1480" s="25"/>
    </row>
    <row r="1481" spans="7:7">
      <c r="G1481" s="25"/>
    </row>
    <row r="1482" spans="7:7">
      <c r="G1482" s="25"/>
    </row>
    <row r="1483" spans="7:7">
      <c r="G1483" s="25"/>
    </row>
    <row r="1484" spans="7:7">
      <c r="G1484" s="25"/>
    </row>
    <row r="1485" spans="7:7">
      <c r="G1485" s="25"/>
    </row>
    <row r="1486" spans="7:7">
      <c r="G1486" s="25"/>
    </row>
    <row r="1487" spans="7:7">
      <c r="G1487" s="25"/>
    </row>
    <row r="1488" spans="7:7">
      <c r="G1488" s="25"/>
    </row>
    <row r="1489" spans="7:7">
      <c r="G1489" s="25"/>
    </row>
    <row r="1490" spans="7:7">
      <c r="G1490" s="25"/>
    </row>
    <row r="1491" spans="7:7">
      <c r="G1491" s="25"/>
    </row>
    <row r="1492" spans="7:7">
      <c r="G1492" s="25"/>
    </row>
    <row r="1493" spans="7:7">
      <c r="G1493" s="25"/>
    </row>
    <row r="1494" spans="7:7">
      <c r="G1494" s="25"/>
    </row>
    <row r="1495" spans="7:7">
      <c r="G1495" s="25"/>
    </row>
    <row r="1496" spans="7:7">
      <c r="G1496" s="25"/>
    </row>
    <row r="1497" spans="7:7">
      <c r="G1497" s="25"/>
    </row>
    <row r="1498" spans="7:7">
      <c r="G1498" s="25"/>
    </row>
    <row r="1499" spans="7:7">
      <c r="G1499" s="25"/>
    </row>
    <row r="1500" spans="7:7">
      <c r="G1500" s="25"/>
    </row>
    <row r="1501" spans="7:7">
      <c r="G1501" s="25"/>
    </row>
    <row r="1502" spans="7:7">
      <c r="G1502" s="25"/>
    </row>
    <row r="1503" spans="7:7">
      <c r="G1503" s="25"/>
    </row>
    <row r="1504" spans="7:7">
      <c r="G1504" s="25"/>
    </row>
    <row r="1505" spans="7:7">
      <c r="G1505" s="25"/>
    </row>
    <row r="1506" spans="7:7">
      <c r="G1506" s="25"/>
    </row>
    <row r="1507" spans="7:7">
      <c r="G1507" s="25"/>
    </row>
    <row r="1508" spans="7:7">
      <c r="G1508" s="25"/>
    </row>
    <row r="1509" spans="7:7">
      <c r="G1509" s="25"/>
    </row>
    <row r="1510" spans="7:7">
      <c r="G1510" s="25"/>
    </row>
    <row r="1511" spans="7:7">
      <c r="G1511" s="25"/>
    </row>
    <row r="1512" spans="7:7">
      <c r="G1512" s="25"/>
    </row>
    <row r="1513" spans="7:7">
      <c r="G1513" s="25"/>
    </row>
    <row r="1514" spans="7:7">
      <c r="G1514" s="25"/>
    </row>
    <row r="1515" spans="7:7">
      <c r="G1515" s="25"/>
    </row>
    <row r="1516" spans="7:7">
      <c r="G1516" s="25"/>
    </row>
    <row r="1517" spans="7:7">
      <c r="G1517" s="25"/>
    </row>
    <row r="1518" spans="7:7">
      <c r="G1518" s="25"/>
    </row>
    <row r="1519" spans="7:7">
      <c r="G1519" s="25"/>
    </row>
    <row r="1520" spans="7:7">
      <c r="G1520" s="25"/>
    </row>
    <row r="1521" spans="7:7">
      <c r="G1521" s="25"/>
    </row>
    <row r="1522" spans="7:7">
      <c r="G1522" s="25"/>
    </row>
    <row r="1523" spans="7:7">
      <c r="G1523" s="25"/>
    </row>
    <row r="1524" spans="7:7">
      <c r="G1524" s="25"/>
    </row>
    <row r="1525" spans="7:7">
      <c r="G1525" s="25"/>
    </row>
    <row r="1526" spans="7:7">
      <c r="G1526" s="25"/>
    </row>
    <row r="1527" spans="7:7">
      <c r="G1527" s="25"/>
    </row>
    <row r="1528" spans="7:7">
      <c r="G1528" s="25"/>
    </row>
    <row r="1529" spans="7:7">
      <c r="G1529" s="25"/>
    </row>
    <row r="1530" spans="7:7">
      <c r="G1530" s="25"/>
    </row>
    <row r="1531" spans="7:7">
      <c r="G1531" s="25"/>
    </row>
    <row r="1532" spans="7:7">
      <c r="G1532" s="25"/>
    </row>
    <row r="1533" spans="7:7">
      <c r="G1533" s="25"/>
    </row>
    <row r="1534" spans="7:7">
      <c r="G1534" s="25"/>
    </row>
    <row r="1535" spans="7:7">
      <c r="G1535" s="25"/>
    </row>
    <row r="1536" spans="7:7">
      <c r="G1536" s="25"/>
    </row>
    <row r="1537" spans="7:7">
      <c r="G1537" s="25"/>
    </row>
    <row r="1538" spans="7:7">
      <c r="G1538" s="25"/>
    </row>
    <row r="1539" spans="7:7">
      <c r="G1539" s="25"/>
    </row>
    <row r="1540" spans="7:7">
      <c r="G1540" s="25"/>
    </row>
    <row r="1541" spans="7:7">
      <c r="G1541" s="25"/>
    </row>
    <row r="1542" spans="7:7">
      <c r="G1542" s="25"/>
    </row>
    <row r="1543" spans="7:7">
      <c r="G1543" s="25"/>
    </row>
    <row r="1544" spans="7:7">
      <c r="G1544" s="25"/>
    </row>
    <row r="1545" spans="7:7">
      <c r="G1545" s="25"/>
    </row>
    <row r="1546" spans="7:7">
      <c r="G1546" s="25"/>
    </row>
    <row r="1547" spans="7:7">
      <c r="G1547" s="25"/>
    </row>
    <row r="1548" spans="7:7">
      <c r="G1548" s="25"/>
    </row>
    <row r="1549" spans="7:7">
      <c r="G1549" s="25"/>
    </row>
    <row r="1550" spans="7:7">
      <c r="G1550" s="25"/>
    </row>
    <row r="1551" spans="7:7">
      <c r="G1551" s="25"/>
    </row>
    <row r="1552" spans="7:7">
      <c r="G1552" s="25"/>
    </row>
    <row r="1553" spans="7:7">
      <c r="G1553" s="25"/>
    </row>
    <row r="1554" spans="7:7">
      <c r="G1554" s="25"/>
    </row>
    <row r="1555" spans="7:7">
      <c r="G1555" s="25"/>
    </row>
    <row r="1556" spans="7:7">
      <c r="G1556" s="25"/>
    </row>
    <row r="1557" spans="7:7">
      <c r="G1557" s="25"/>
    </row>
  </sheetData>
  <sortState xmlns:xlrd2="http://schemas.microsoft.com/office/spreadsheetml/2017/richdata2" ref="I209:I241">
    <sortCondition ref="I209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36E60-677E-467E-9C59-7853ADE8E695}">
  <dimension ref="B2"/>
  <sheetViews>
    <sheetView workbookViewId="0">
      <selection activeCell="B3" sqref="B3"/>
    </sheetView>
  </sheetViews>
  <sheetFormatPr defaultRowHeight="14.25"/>
  <cols>
    <col min="1" max="1" width="3.140625" style="1" customWidth="1"/>
    <col min="2" max="16384" width="9.140625" style="1"/>
  </cols>
  <sheetData>
    <row r="2" spans="2:2">
      <c r="B2" s="1" t="s">
        <v>1495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E91AA-1C60-4E81-8248-C4E222992A2D}">
  <dimension ref="A1"/>
  <sheetViews>
    <sheetView workbookViewId="0"/>
  </sheetViews>
  <sheetFormatPr defaultRowHeight="15"/>
  <cols>
    <col min="1" max="1" width="3.42578125" customWidth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DEFC2-2ED5-49F9-B48F-A29020AE2D14}">
  <dimension ref="A1"/>
  <sheetViews>
    <sheetView workbookViewId="0"/>
  </sheetViews>
  <sheetFormatPr defaultRowHeight="15"/>
  <cols>
    <col min="1" max="1" width="3.28515625" customWidth="1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63948-7FD9-4D33-AAA7-BDE5D55568DA}">
  <dimension ref="A1"/>
  <sheetViews>
    <sheetView workbookViewId="0">
      <selection sqref="A1:XFD1048576"/>
    </sheetView>
  </sheetViews>
  <sheetFormatPr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C31F-8910-447E-89B3-28B6120F3B0A}">
  <dimension ref="B2:Z8"/>
  <sheetViews>
    <sheetView workbookViewId="0">
      <selection activeCell="D15" sqref="D15"/>
    </sheetView>
  </sheetViews>
  <sheetFormatPr defaultRowHeight="14.25"/>
  <cols>
    <col min="1" max="1" width="3.140625" style="1" customWidth="1"/>
    <col min="2" max="16384" width="9.140625" style="1"/>
  </cols>
  <sheetData>
    <row r="2" spans="2:26" ht="15">
      <c r="B2" s="3" t="s">
        <v>11</v>
      </c>
      <c r="C2" s="4"/>
      <c r="D2" s="4"/>
      <c r="E2" s="4"/>
      <c r="F2" s="4"/>
      <c r="G2" s="3" t="s">
        <v>11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2:26" ht="15">
      <c r="B3" s="7" t="s">
        <v>12</v>
      </c>
      <c r="C3" s="8"/>
      <c r="D3" s="8"/>
      <c r="E3" s="8"/>
      <c r="F3" s="9"/>
      <c r="G3" s="10" t="s">
        <v>13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</row>
    <row r="4" spans="2:26" ht="15">
      <c r="B4" s="12" t="s">
        <v>12</v>
      </c>
      <c r="C4" s="13"/>
      <c r="D4" s="13"/>
      <c r="E4" s="13"/>
      <c r="F4" s="14"/>
      <c r="G4" s="15" t="s">
        <v>14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6"/>
    </row>
    <row r="5" spans="2:26" ht="15">
      <c r="B5" s="12" t="s">
        <v>12</v>
      </c>
      <c r="C5" s="13"/>
      <c r="D5" s="13"/>
      <c r="E5" s="13"/>
      <c r="F5" s="14"/>
      <c r="G5" s="17" t="s">
        <v>13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8"/>
    </row>
    <row r="6" spans="2:26" ht="15">
      <c r="B6" s="12" t="s">
        <v>12</v>
      </c>
      <c r="C6" s="13"/>
      <c r="D6" s="13"/>
      <c r="E6" s="13"/>
      <c r="F6" s="14"/>
      <c r="G6" s="15" t="s">
        <v>14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6"/>
    </row>
    <row r="7" spans="2:26" ht="15">
      <c r="B7" s="12" t="s">
        <v>12</v>
      </c>
      <c r="C7" s="13"/>
      <c r="D7" s="13"/>
      <c r="E7" s="13"/>
      <c r="F7" s="14"/>
      <c r="G7" s="17" t="s">
        <v>13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8"/>
    </row>
    <row r="8" spans="2:26" ht="15">
      <c r="B8" s="19" t="s">
        <v>12</v>
      </c>
      <c r="C8" s="20"/>
      <c r="D8" s="20"/>
      <c r="E8" s="20"/>
      <c r="F8" s="21"/>
      <c r="G8" s="22" t="s">
        <v>14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</vt:lpstr>
      <vt:lpstr>Model</vt:lpstr>
      <vt:lpstr>Notes | Quant Analysis</vt:lpstr>
      <vt:lpstr>Management</vt:lpstr>
      <vt:lpstr>IPO</vt:lpstr>
      <vt:lpstr>Formation | History</vt:lpstr>
      <vt:lpstr>Product Lines</vt:lpstr>
      <vt:lpstr>Table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Jacob H</cp:lastModifiedBy>
  <dcterms:created xsi:type="dcterms:W3CDTF">2015-06-05T18:17:20Z</dcterms:created>
  <dcterms:modified xsi:type="dcterms:W3CDTF">2026-01-10T12:14:03Z</dcterms:modified>
</cp:coreProperties>
</file>