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Equity Research\Models\Industrials\"/>
    </mc:Choice>
  </mc:AlternateContent>
  <xr:revisionPtr revIDLastSave="0" documentId="13_ncr:1_{62585C98-8523-40D9-A215-E7C08026B78A}" xr6:coauthVersionLast="47" xr6:coauthVersionMax="47" xr10:uidLastSave="{00000000-0000-0000-0000-000000000000}"/>
  <bookViews>
    <workbookView xWindow="-120" yWindow="-120" windowWidth="29040" windowHeight="15720" xr2:uid="{00000000-000D-0000-FFFF-FFFF00000000}"/>
  </bookViews>
  <sheets>
    <sheet name="Main" sheetId="1" r:id="rId1"/>
    <sheet name="Bull Case" sheetId="7" r:id="rId2"/>
    <sheet name="Base Case" sheetId="2" r:id="rId3"/>
    <sheet name="Notes | Quant Analysis" sheetId="3" r:id="rId4"/>
    <sheet name="Product Lines" sheetId="5" r:id="rId5"/>
    <sheet name="Management" sheetId="6" r:id="rId6"/>
    <sheet name="Table Formatting" sheetId="4"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1" i="7" l="1"/>
  <c r="AJ101" i="7"/>
  <c r="AI101" i="7"/>
  <c r="AH101" i="7"/>
  <c r="AG101" i="7"/>
  <c r="AF101" i="7"/>
  <c r="W101" i="7"/>
  <c r="V101" i="7"/>
  <c r="U101" i="7"/>
  <c r="T101" i="7"/>
  <c r="S101" i="7"/>
  <c r="R101" i="7"/>
  <c r="Q101" i="7"/>
  <c r="P101" i="7"/>
  <c r="O101" i="7"/>
  <c r="N101" i="7"/>
  <c r="M101" i="7"/>
  <c r="L101" i="7"/>
  <c r="K101" i="7"/>
  <c r="J101" i="7"/>
  <c r="I101" i="7"/>
  <c r="H101" i="7"/>
  <c r="G101" i="7"/>
  <c r="F101" i="7"/>
  <c r="E101" i="7"/>
  <c r="D101" i="7"/>
  <c r="C101" i="7"/>
  <c r="X101" i="7"/>
  <c r="X108" i="7"/>
  <c r="X110" i="7"/>
  <c r="X105" i="7"/>
  <c r="X104" i="7"/>
  <c r="X106" i="7" s="1"/>
  <c r="X97" i="7"/>
  <c r="X95" i="7"/>
  <c r="X94" i="7"/>
  <c r="X93" i="7"/>
  <c r="X92" i="7"/>
  <c r="X88" i="7"/>
  <c r="X90" i="7" s="1"/>
  <c r="X75" i="7"/>
  <c r="X96" i="7" s="1"/>
  <c r="X57" i="7"/>
  <c r="X56" i="7"/>
  <c r="X55" i="7"/>
  <c r="X39" i="7"/>
  <c r="X43" i="7" s="1"/>
  <c r="X30" i="7"/>
  <c r="X27" i="7"/>
  <c r="X26" i="7"/>
  <c r="X25" i="7"/>
  <c r="X24" i="7"/>
  <c r="X22" i="7"/>
  <c r="X28" i="7" s="1"/>
  <c r="X15" i="7"/>
  <c r="X12" i="7"/>
  <c r="X11" i="7"/>
  <c r="X10" i="7"/>
  <c r="X9" i="7"/>
  <c r="X7" i="7"/>
  <c r="X14" i="7" s="1"/>
  <c r="X99" i="2"/>
  <c r="X39" i="2"/>
  <c r="C6" i="1"/>
  <c r="X104" i="2"/>
  <c r="X105" i="2" s="1"/>
  <c r="X103" i="2"/>
  <c r="X97" i="2"/>
  <c r="X95" i="2"/>
  <c r="X94" i="2"/>
  <c r="X93" i="2"/>
  <c r="X92" i="2"/>
  <c r="X88" i="2"/>
  <c r="X90" i="2" s="1"/>
  <c r="X75" i="2"/>
  <c r="X96" i="2" s="1"/>
  <c r="X56" i="2"/>
  <c r="X55" i="2"/>
  <c r="X27" i="2"/>
  <c r="X26" i="2"/>
  <c r="X25" i="2"/>
  <c r="X24" i="2"/>
  <c r="X22" i="2"/>
  <c r="X28" i="2" s="1"/>
  <c r="X16" i="2"/>
  <c r="X11" i="2"/>
  <c r="X10" i="2"/>
  <c r="X9" i="2"/>
  <c r="X7" i="2"/>
  <c r="X14" i="2" s="1"/>
  <c r="W108" i="7"/>
  <c r="V108" i="7"/>
  <c r="U108" i="7"/>
  <c r="T108" i="7"/>
  <c r="S108" i="7"/>
  <c r="R108" i="7"/>
  <c r="Q108" i="7"/>
  <c r="P108" i="7"/>
  <c r="O108" i="7"/>
  <c r="N108" i="7"/>
  <c r="M108" i="7"/>
  <c r="L108" i="7"/>
  <c r="K108" i="7"/>
  <c r="J108" i="7"/>
  <c r="I108" i="7"/>
  <c r="H108" i="7"/>
  <c r="G108" i="7"/>
  <c r="F108" i="7"/>
  <c r="E108" i="7"/>
  <c r="D108" i="7"/>
  <c r="C108" i="7"/>
  <c r="BE65" i="7"/>
  <c r="W110" i="7"/>
  <c r="V110" i="7"/>
  <c r="U110" i="7"/>
  <c r="T110" i="7"/>
  <c r="S110" i="7"/>
  <c r="R110" i="7"/>
  <c r="Q110" i="7"/>
  <c r="P110" i="7"/>
  <c r="O110" i="7"/>
  <c r="N110" i="7"/>
  <c r="M110" i="7"/>
  <c r="L110" i="7"/>
  <c r="K110" i="7"/>
  <c r="J110" i="7"/>
  <c r="I110" i="7"/>
  <c r="H110" i="7"/>
  <c r="G110" i="7"/>
  <c r="F110" i="7"/>
  <c r="E110" i="7"/>
  <c r="D110" i="7"/>
  <c r="C110" i="7"/>
  <c r="W105" i="7"/>
  <c r="V105" i="7"/>
  <c r="U105" i="7"/>
  <c r="T105" i="7"/>
  <c r="T106" i="7" s="1"/>
  <c r="S105" i="7"/>
  <c r="R105" i="7"/>
  <c r="Q105" i="7"/>
  <c r="P105" i="7"/>
  <c r="O105" i="7"/>
  <c r="N105" i="7"/>
  <c r="M105" i="7"/>
  <c r="L105" i="7"/>
  <c r="L106" i="7" s="1"/>
  <c r="K105" i="7"/>
  <c r="J105" i="7"/>
  <c r="I105" i="7"/>
  <c r="H105" i="7"/>
  <c r="G105" i="7"/>
  <c r="F105" i="7"/>
  <c r="E105" i="7"/>
  <c r="D105" i="7"/>
  <c r="C105" i="7"/>
  <c r="W104" i="7"/>
  <c r="W109" i="7" s="1"/>
  <c r="V104" i="7"/>
  <c r="V109" i="7" s="1"/>
  <c r="U104" i="7"/>
  <c r="U109" i="7" s="1"/>
  <c r="T104" i="7"/>
  <c r="T109" i="7" s="1"/>
  <c r="S104" i="7"/>
  <c r="R104" i="7"/>
  <c r="Q104" i="7"/>
  <c r="P104" i="7"/>
  <c r="P109" i="7" s="1"/>
  <c r="O104" i="7"/>
  <c r="O109" i="7" s="1"/>
  <c r="N104" i="7"/>
  <c r="N109" i="7" s="1"/>
  <c r="M104" i="7"/>
  <c r="M109" i="7" s="1"/>
  <c r="L104" i="7"/>
  <c r="L109" i="7" s="1"/>
  <c r="K104" i="7"/>
  <c r="J104" i="7"/>
  <c r="I104" i="7"/>
  <c r="H104" i="7"/>
  <c r="H109" i="7" s="1"/>
  <c r="G104" i="7"/>
  <c r="G109" i="7" s="1"/>
  <c r="F104" i="7"/>
  <c r="F109" i="7" s="1"/>
  <c r="E104" i="7"/>
  <c r="E109" i="7" s="1"/>
  <c r="D104" i="7"/>
  <c r="C104" i="7"/>
  <c r="AK103" i="7"/>
  <c r="AJ103" i="7"/>
  <c r="AI103" i="7"/>
  <c r="AH103" i="7"/>
  <c r="AG103" i="7"/>
  <c r="AF103" i="7"/>
  <c r="AK102" i="7"/>
  <c r="AJ102" i="7"/>
  <c r="AI102" i="7"/>
  <c r="AH102" i="7"/>
  <c r="AG102" i="7"/>
  <c r="AF102" i="7"/>
  <c r="W97" i="7"/>
  <c r="U97" i="7"/>
  <c r="T97" i="7"/>
  <c r="S97" i="7"/>
  <c r="Q97" i="7"/>
  <c r="P97" i="7"/>
  <c r="O97" i="7"/>
  <c r="V96" i="7"/>
  <c r="W95" i="7"/>
  <c r="V95" i="7"/>
  <c r="U95" i="7"/>
  <c r="T95" i="7"/>
  <c r="S95" i="7"/>
  <c r="R95" i="7"/>
  <c r="Q95" i="7"/>
  <c r="P95" i="7"/>
  <c r="O95" i="7"/>
  <c r="N95" i="7"/>
  <c r="W94" i="7"/>
  <c r="V94" i="7"/>
  <c r="U94" i="7"/>
  <c r="T94" i="7"/>
  <c r="S94" i="7"/>
  <c r="R94" i="7"/>
  <c r="Q94" i="7"/>
  <c r="P94" i="7"/>
  <c r="O94" i="7"/>
  <c r="N94" i="7"/>
  <c r="W93" i="7"/>
  <c r="V93" i="7"/>
  <c r="U93" i="7"/>
  <c r="T93" i="7"/>
  <c r="S93" i="7"/>
  <c r="R93" i="7"/>
  <c r="Q93" i="7"/>
  <c r="P93" i="7"/>
  <c r="O93" i="7"/>
  <c r="N93" i="7"/>
  <c r="W92" i="7"/>
  <c r="V92" i="7"/>
  <c r="U92" i="7"/>
  <c r="T92" i="7"/>
  <c r="S92" i="7"/>
  <c r="R92" i="7"/>
  <c r="Q92" i="7"/>
  <c r="P92" i="7"/>
  <c r="O92" i="7"/>
  <c r="N92" i="7"/>
  <c r="AK89" i="7"/>
  <c r="AJ89" i="7"/>
  <c r="AI89" i="7"/>
  <c r="W88" i="7"/>
  <c r="W90" i="7" s="1"/>
  <c r="V88" i="7"/>
  <c r="AK88" i="7" s="1"/>
  <c r="T88" i="7"/>
  <c r="T90" i="7" s="1"/>
  <c r="S88" i="7"/>
  <c r="S90" i="7" s="1"/>
  <c r="R88" i="7"/>
  <c r="R90" i="7" s="1"/>
  <c r="AJ90" i="7" s="1"/>
  <c r="Q88" i="7"/>
  <c r="Q90" i="7" s="1"/>
  <c r="P88" i="7"/>
  <c r="P90" i="7" s="1"/>
  <c r="O88" i="7"/>
  <c r="O90" i="7" s="1"/>
  <c r="N88" i="7"/>
  <c r="AI88" i="7" s="1"/>
  <c r="AK87" i="7"/>
  <c r="AJ87" i="7"/>
  <c r="AI87" i="7"/>
  <c r="U87" i="7"/>
  <c r="U88" i="7" s="1"/>
  <c r="U90" i="7" s="1"/>
  <c r="AK86" i="7"/>
  <c r="AJ86" i="7"/>
  <c r="AI86" i="7"/>
  <c r="AK85" i="7"/>
  <c r="AJ85" i="7"/>
  <c r="AI85" i="7"/>
  <c r="AK84" i="7"/>
  <c r="AJ84" i="7"/>
  <c r="AI84" i="7"/>
  <c r="AK83" i="7"/>
  <c r="AJ83" i="7"/>
  <c r="AI83" i="7"/>
  <c r="AK82" i="7"/>
  <c r="AJ82" i="7"/>
  <c r="AI82" i="7"/>
  <c r="AZ81" i="7"/>
  <c r="AK81" i="7"/>
  <c r="AJ81" i="7"/>
  <c r="AI81" i="7"/>
  <c r="AK80" i="7"/>
  <c r="AJ80" i="7"/>
  <c r="AI80" i="7"/>
  <c r="AK79" i="7"/>
  <c r="AJ79" i="7"/>
  <c r="AI79" i="7"/>
  <c r="AK78" i="7"/>
  <c r="AJ78" i="7"/>
  <c r="AI78" i="7"/>
  <c r="AK77" i="7"/>
  <c r="AJ77" i="7"/>
  <c r="AI77" i="7"/>
  <c r="AK75" i="7"/>
  <c r="W75" i="7"/>
  <c r="W96" i="7" s="1"/>
  <c r="V75" i="7"/>
  <c r="U75" i="7"/>
  <c r="U96" i="7" s="1"/>
  <c r="T75" i="7"/>
  <c r="T96" i="7" s="1"/>
  <c r="S75" i="7"/>
  <c r="S96" i="7" s="1"/>
  <c r="R75" i="7"/>
  <c r="Q75" i="7"/>
  <c r="Q96" i="7" s="1"/>
  <c r="O75" i="7"/>
  <c r="O96" i="7" s="1"/>
  <c r="N75" i="7"/>
  <c r="AI75" i="7" s="1"/>
  <c r="AZ74" i="7"/>
  <c r="AK74" i="7"/>
  <c r="AJ74" i="7"/>
  <c r="AI74" i="7"/>
  <c r="P74" i="7"/>
  <c r="P75" i="7" s="1"/>
  <c r="P96" i="7" s="1"/>
  <c r="AK73" i="7"/>
  <c r="AJ73" i="7"/>
  <c r="AI73" i="7"/>
  <c r="BE72" i="7"/>
  <c r="AK72" i="7"/>
  <c r="AJ72" i="7"/>
  <c r="AI72" i="7"/>
  <c r="AK71" i="7"/>
  <c r="AX64" i="7" s="1"/>
  <c r="AJ71" i="7"/>
  <c r="AI71" i="7"/>
  <c r="BE70" i="7"/>
  <c r="AK70" i="7"/>
  <c r="AJ70" i="7"/>
  <c r="AI70" i="7"/>
  <c r="AK69" i="7"/>
  <c r="AJ69" i="7"/>
  <c r="AI69" i="7"/>
  <c r="AK68" i="7"/>
  <c r="AJ68" i="7"/>
  <c r="AI68" i="7"/>
  <c r="AK67" i="7"/>
  <c r="AJ67" i="7"/>
  <c r="AI67" i="7"/>
  <c r="AK66" i="7"/>
  <c r="AJ66" i="7"/>
  <c r="AI66" i="7"/>
  <c r="AK65" i="7"/>
  <c r="AJ65" i="7"/>
  <c r="AI65" i="7"/>
  <c r="AK64" i="7"/>
  <c r="AJ64" i="7"/>
  <c r="AI64" i="7"/>
  <c r="AK63" i="7"/>
  <c r="AL44" i="7" s="1"/>
  <c r="AJ63" i="7"/>
  <c r="AI63" i="7"/>
  <c r="AK62" i="7"/>
  <c r="AJ62" i="7"/>
  <c r="AI62" i="7"/>
  <c r="W57" i="7"/>
  <c r="U57" i="7"/>
  <c r="T57" i="7"/>
  <c r="S57" i="7"/>
  <c r="Q57" i="7"/>
  <c r="P57" i="7"/>
  <c r="O57" i="7"/>
  <c r="M57" i="7"/>
  <c r="L57" i="7"/>
  <c r="K57" i="7"/>
  <c r="I57" i="7"/>
  <c r="H57" i="7"/>
  <c r="G57" i="7"/>
  <c r="E57" i="7"/>
  <c r="D57" i="7"/>
  <c r="C57" i="7"/>
  <c r="W56" i="7"/>
  <c r="U56" i="7"/>
  <c r="T56" i="7"/>
  <c r="S56" i="7"/>
  <c r="Q56" i="7"/>
  <c r="P56" i="7"/>
  <c r="O56" i="7"/>
  <c r="M56" i="7"/>
  <c r="L56" i="7"/>
  <c r="K56" i="7"/>
  <c r="I56" i="7"/>
  <c r="H56" i="7"/>
  <c r="G56" i="7"/>
  <c r="E56" i="7"/>
  <c r="D56" i="7"/>
  <c r="C56" i="7"/>
  <c r="W55" i="7"/>
  <c r="U55" i="7"/>
  <c r="T55" i="7"/>
  <c r="S55" i="7"/>
  <c r="Q55" i="7"/>
  <c r="P55" i="7"/>
  <c r="O55" i="7"/>
  <c r="M55" i="7"/>
  <c r="L55" i="7"/>
  <c r="K55" i="7"/>
  <c r="I55" i="7"/>
  <c r="H55" i="7"/>
  <c r="G55" i="7"/>
  <c r="E55" i="7"/>
  <c r="D55" i="7"/>
  <c r="C55" i="7"/>
  <c r="AK51" i="7"/>
  <c r="AK105" i="7" s="1"/>
  <c r="AJ51" i="7"/>
  <c r="AJ105" i="7" s="1"/>
  <c r="AI51" i="7"/>
  <c r="AI105" i="7" s="1"/>
  <c r="AH51" i="7"/>
  <c r="AH105" i="7" s="1"/>
  <c r="AG51" i="7"/>
  <c r="AG105" i="7" s="1"/>
  <c r="AF51" i="7"/>
  <c r="AF105" i="7" s="1"/>
  <c r="V49" i="7"/>
  <c r="AK49" i="7" s="1"/>
  <c r="R49" i="7"/>
  <c r="AJ49" i="7" s="1"/>
  <c r="N49" i="7"/>
  <c r="J49" i="7"/>
  <c r="F49" i="7"/>
  <c r="AF49" i="7" s="1"/>
  <c r="V47" i="7"/>
  <c r="AK47" i="7" s="1"/>
  <c r="R47" i="7"/>
  <c r="AI47" i="7" s="1"/>
  <c r="N47" i="7"/>
  <c r="AH47" i="7" s="1"/>
  <c r="J47" i="7"/>
  <c r="AG47" i="7" s="1"/>
  <c r="F47" i="7"/>
  <c r="AF47" i="7" s="1"/>
  <c r="AF46" i="7"/>
  <c r="V46" i="7"/>
  <c r="AK46" i="7" s="1"/>
  <c r="R46" i="7"/>
  <c r="N46" i="7"/>
  <c r="AH46" i="7" s="1"/>
  <c r="J46" i="7"/>
  <c r="AG46" i="7" s="1"/>
  <c r="F46" i="7"/>
  <c r="V45" i="7"/>
  <c r="AK45" i="7" s="1"/>
  <c r="R45" i="7"/>
  <c r="AJ45" i="7" s="1"/>
  <c r="N45" i="7"/>
  <c r="AH45" i="7" s="1"/>
  <c r="J45" i="7"/>
  <c r="AG45" i="7" s="1"/>
  <c r="F45" i="7"/>
  <c r="AF45" i="7" s="1"/>
  <c r="V44" i="7"/>
  <c r="AK44" i="7" s="1"/>
  <c r="R44" i="7"/>
  <c r="AI44" i="7" s="1"/>
  <c r="N44" i="7"/>
  <c r="AH44" i="7" s="1"/>
  <c r="J44" i="7"/>
  <c r="AG44" i="7" s="1"/>
  <c r="F44" i="7"/>
  <c r="AF44" i="7" s="1"/>
  <c r="AG42" i="7"/>
  <c r="V42" i="7"/>
  <c r="AK42" i="7" s="1"/>
  <c r="R42" i="7"/>
  <c r="N42" i="7"/>
  <c r="N57" i="7" s="1"/>
  <c r="J42" i="7"/>
  <c r="J57" i="7" s="1"/>
  <c r="F42" i="7"/>
  <c r="AF42" i="7" s="1"/>
  <c r="V41" i="7"/>
  <c r="R41" i="7"/>
  <c r="AJ41" i="7" s="1"/>
  <c r="N41" i="7"/>
  <c r="N56" i="7" s="1"/>
  <c r="J41" i="7"/>
  <c r="AG41" i="7" s="1"/>
  <c r="F41" i="7"/>
  <c r="F56" i="7" s="1"/>
  <c r="V40" i="7"/>
  <c r="R40" i="7"/>
  <c r="R55" i="7" s="1"/>
  <c r="N40" i="7"/>
  <c r="J40" i="7"/>
  <c r="F40" i="7"/>
  <c r="F55" i="7" s="1"/>
  <c r="W39" i="7"/>
  <c r="U39" i="7"/>
  <c r="U54" i="7" s="1"/>
  <c r="T39" i="7"/>
  <c r="T54" i="7" s="1"/>
  <c r="S39" i="7"/>
  <c r="Q39" i="7"/>
  <c r="Q54" i="7" s="1"/>
  <c r="P39" i="7"/>
  <c r="P43" i="7" s="1"/>
  <c r="P58" i="7" s="1"/>
  <c r="O39" i="7"/>
  <c r="M39" i="7"/>
  <c r="M54" i="7" s="1"/>
  <c r="L39" i="7"/>
  <c r="L54" i="7" s="1"/>
  <c r="K39" i="7"/>
  <c r="I39" i="7"/>
  <c r="I54" i="7" s="1"/>
  <c r="H39" i="7"/>
  <c r="H43" i="7" s="1"/>
  <c r="H58" i="7" s="1"/>
  <c r="G39" i="7"/>
  <c r="E39" i="7"/>
  <c r="E54" i="7" s="1"/>
  <c r="D39" i="7"/>
  <c r="D54" i="7" s="1"/>
  <c r="C39" i="7"/>
  <c r="V38" i="7"/>
  <c r="AK38" i="7" s="1"/>
  <c r="R38" i="7"/>
  <c r="R97" i="7" s="1"/>
  <c r="N38" i="7"/>
  <c r="J38" i="7"/>
  <c r="AG38" i="7" s="1"/>
  <c r="F38" i="7"/>
  <c r="F39" i="7" s="1"/>
  <c r="AK37" i="7"/>
  <c r="AJ37" i="7"/>
  <c r="AI37" i="7"/>
  <c r="AH37" i="7"/>
  <c r="AG37" i="7"/>
  <c r="AF37" i="7"/>
  <c r="AK35" i="7"/>
  <c r="AJ35" i="7"/>
  <c r="AI35" i="7"/>
  <c r="W27" i="7"/>
  <c r="U27" i="7"/>
  <c r="T27" i="7"/>
  <c r="S27" i="7"/>
  <c r="W26" i="7"/>
  <c r="U26" i="7"/>
  <c r="T26" i="7"/>
  <c r="S26" i="7"/>
  <c r="W25" i="7"/>
  <c r="U25" i="7"/>
  <c r="T25" i="7"/>
  <c r="S25" i="7"/>
  <c r="W24" i="7"/>
  <c r="U24" i="7"/>
  <c r="T24" i="7"/>
  <c r="S24" i="7"/>
  <c r="W22" i="7"/>
  <c r="W32" i="7" s="1"/>
  <c r="U22" i="7"/>
  <c r="T22" i="7"/>
  <c r="S22" i="7"/>
  <c r="Q22" i="7"/>
  <c r="P22" i="7"/>
  <c r="P32" i="7" s="1"/>
  <c r="O22" i="7"/>
  <c r="O32" i="7" s="1"/>
  <c r="AK21" i="7"/>
  <c r="V21" i="7"/>
  <c r="R21" i="7"/>
  <c r="AI21" i="7" s="1"/>
  <c r="V20" i="7"/>
  <c r="R20" i="7"/>
  <c r="V19" i="7"/>
  <c r="R19" i="7"/>
  <c r="AJ19" i="7" s="1"/>
  <c r="V18" i="7"/>
  <c r="AK18" i="7" s="1"/>
  <c r="R18" i="7"/>
  <c r="U14" i="7"/>
  <c r="W11" i="7"/>
  <c r="U11" i="7"/>
  <c r="T11" i="7"/>
  <c r="S11" i="7"/>
  <c r="W10" i="7"/>
  <c r="U10" i="7"/>
  <c r="T10" i="7"/>
  <c r="S10" i="7"/>
  <c r="W9" i="7"/>
  <c r="U9" i="7"/>
  <c r="T9" i="7"/>
  <c r="S9" i="7"/>
  <c r="W7" i="7"/>
  <c r="W12" i="7" s="1"/>
  <c r="U7" i="7"/>
  <c r="U15" i="7" s="1"/>
  <c r="T7" i="7"/>
  <c r="T15" i="7" s="1"/>
  <c r="S7" i="7"/>
  <c r="S15" i="7" s="1"/>
  <c r="Q7" i="7"/>
  <c r="Q15" i="7" s="1"/>
  <c r="P7" i="7"/>
  <c r="P16" i="7" s="1"/>
  <c r="O7" i="7"/>
  <c r="AJ6" i="7"/>
  <c r="AI6" i="7"/>
  <c r="V6" i="7"/>
  <c r="AK6" i="7" s="1"/>
  <c r="AL6" i="7" s="1"/>
  <c r="AM6" i="7" s="1"/>
  <c r="AN6" i="7" s="1"/>
  <c r="AO6" i="7" s="1"/>
  <c r="AP6" i="7" s="1"/>
  <c r="AQ6" i="7" s="1"/>
  <c r="AR6" i="7" s="1"/>
  <c r="AS6" i="7" s="1"/>
  <c r="AT6" i="7" s="1"/>
  <c r="AU6" i="7" s="1"/>
  <c r="R6" i="7"/>
  <c r="V5" i="7"/>
  <c r="AK5" i="7" s="1"/>
  <c r="AL5" i="7" s="1"/>
  <c r="AM5" i="7" s="1"/>
  <c r="AN5" i="7" s="1"/>
  <c r="AO5" i="7" s="1"/>
  <c r="AP5" i="7" s="1"/>
  <c r="AQ5" i="7" s="1"/>
  <c r="AR5" i="7" s="1"/>
  <c r="AS5" i="7" s="1"/>
  <c r="AT5" i="7" s="1"/>
  <c r="AU5" i="7" s="1"/>
  <c r="R5" i="7"/>
  <c r="V4" i="7"/>
  <c r="AK4" i="7" s="1"/>
  <c r="R4" i="7"/>
  <c r="AM3" i="7"/>
  <c r="AN3" i="7" s="1"/>
  <c r="AO3" i="7" s="1"/>
  <c r="AP3" i="7" s="1"/>
  <c r="AQ3" i="7" s="1"/>
  <c r="AR3" i="7" s="1"/>
  <c r="AS3" i="7" s="1"/>
  <c r="AT3" i="7" s="1"/>
  <c r="AU3" i="7" s="1"/>
  <c r="AV3" i="7" s="1"/>
  <c r="AW3" i="7" s="1"/>
  <c r="AX3" i="7" s="1"/>
  <c r="AY3" i="7" s="1"/>
  <c r="AZ3" i="7" s="1"/>
  <c r="BA3" i="7" s="1"/>
  <c r="BB3" i="7" s="1"/>
  <c r="BC3" i="7" s="1"/>
  <c r="BD3" i="7" s="1"/>
  <c r="BE3" i="7" s="1"/>
  <c r="BF3" i="7" s="1"/>
  <c r="BG3" i="7" s="1"/>
  <c r="BH3" i="7" s="1"/>
  <c r="BI3" i="7" s="1"/>
  <c r="BJ3" i="7" s="1"/>
  <c r="BK3" i="7" s="1"/>
  <c r="BL3" i="7" s="1"/>
  <c r="BM3" i="7" s="1"/>
  <c r="BN3" i="7" s="1"/>
  <c r="BO3" i="7" s="1"/>
  <c r="BP3" i="7" s="1"/>
  <c r="BQ3" i="7" s="1"/>
  <c r="BR3" i="7" s="1"/>
  <c r="BS3" i="7" s="1"/>
  <c r="BT3" i="7" s="1"/>
  <c r="BU3" i="7" s="1"/>
  <c r="BV3" i="7" s="1"/>
  <c r="BW3" i="7" s="1"/>
  <c r="BX3" i="7" s="1"/>
  <c r="BY3" i="7" s="1"/>
  <c r="BZ3" i="7" s="1"/>
  <c r="CA3" i="7" s="1"/>
  <c r="CB3" i="7" s="1"/>
  <c r="CC3" i="7" s="1"/>
  <c r="CD3" i="7" s="1"/>
  <c r="CE3" i="7" s="1"/>
  <c r="CF3" i="7" s="1"/>
  <c r="CG3" i="7" s="1"/>
  <c r="CH3" i="7" s="1"/>
  <c r="CI3" i="7" s="1"/>
  <c r="CJ3" i="7" s="1"/>
  <c r="CK3" i="7" s="1"/>
  <c r="CL3" i="7" s="1"/>
  <c r="CM3" i="7" s="1"/>
  <c r="CN3" i="7" s="1"/>
  <c r="CO3" i="7" s="1"/>
  <c r="CP3" i="7" s="1"/>
  <c r="CQ3" i="7" s="1"/>
  <c r="CR3" i="7" s="1"/>
  <c r="CS3" i="7" s="1"/>
  <c r="AK3" i="7"/>
  <c r="AG3" i="7"/>
  <c r="AH3" i="7" s="1"/>
  <c r="AI3" i="7" s="1"/>
  <c r="AJ3" i="7" s="1"/>
  <c r="BE65" i="2"/>
  <c r="M106" i="7" l="1"/>
  <c r="O31" i="7"/>
  <c r="AG56" i="7"/>
  <c r="J56" i="7"/>
  <c r="P31" i="7"/>
  <c r="AK97" i="7"/>
  <c r="O33" i="7"/>
  <c r="AI49" i="7"/>
  <c r="AW64" i="7"/>
  <c r="AZ64" i="7" s="1"/>
  <c r="AI94" i="7"/>
  <c r="S28" i="7"/>
  <c r="P33" i="7"/>
  <c r="AH42" i="7"/>
  <c r="AJ44" i="7"/>
  <c r="AI45" i="7"/>
  <c r="AJ47" i="7"/>
  <c r="I106" i="7"/>
  <c r="Q106" i="7"/>
  <c r="T28" i="7"/>
  <c r="AF41" i="7"/>
  <c r="AF56" i="7" s="1"/>
  <c r="M43" i="7"/>
  <c r="M48" i="7" s="1"/>
  <c r="AJ92" i="7"/>
  <c r="E106" i="7"/>
  <c r="AK92" i="7"/>
  <c r="X109" i="7"/>
  <c r="AJ21" i="7"/>
  <c r="V22" i="7"/>
  <c r="V32" i="7" s="1"/>
  <c r="D106" i="7"/>
  <c r="X48" i="7"/>
  <c r="X58" i="7"/>
  <c r="X16" i="7"/>
  <c r="X31" i="7"/>
  <c r="X54" i="7"/>
  <c r="X32" i="7"/>
  <c r="X33" i="7"/>
  <c r="X43" i="2"/>
  <c r="X58" i="2" s="1"/>
  <c r="X54" i="2"/>
  <c r="X57" i="2"/>
  <c r="X107" i="2"/>
  <c r="X108" i="2"/>
  <c r="X30" i="2"/>
  <c r="X31" i="2"/>
  <c r="X15" i="2"/>
  <c r="X32" i="2"/>
  <c r="X33" i="2"/>
  <c r="X12" i="2"/>
  <c r="H54" i="7"/>
  <c r="W15" i="7"/>
  <c r="AI19" i="7"/>
  <c r="T31" i="7"/>
  <c r="S33" i="7"/>
  <c r="AF38" i="7"/>
  <c r="AF40" i="7"/>
  <c r="AF55" i="7" s="1"/>
  <c r="D43" i="7"/>
  <c r="D58" i="7" s="1"/>
  <c r="P48" i="7"/>
  <c r="P59" i="7" s="1"/>
  <c r="U106" i="7"/>
  <c r="R39" i="7"/>
  <c r="Q109" i="7"/>
  <c r="V31" i="7"/>
  <c r="S16" i="7"/>
  <c r="W28" i="7"/>
  <c r="W31" i="7"/>
  <c r="W33" i="7"/>
  <c r="AJ38" i="7"/>
  <c r="AJ97" i="7" s="1"/>
  <c r="AI40" i="7"/>
  <c r="E43" i="7"/>
  <c r="N96" i="7"/>
  <c r="G106" i="7"/>
  <c r="O106" i="7"/>
  <c r="W106" i="7"/>
  <c r="D109" i="7"/>
  <c r="V9" i="7"/>
  <c r="U16" i="7"/>
  <c r="O30" i="7"/>
  <c r="I43" i="7"/>
  <c r="I48" i="7" s="1"/>
  <c r="V57" i="7"/>
  <c r="AJ88" i="7"/>
  <c r="S12" i="7"/>
  <c r="P30" i="7"/>
  <c r="AI39" i="7"/>
  <c r="AI54" i="7" s="1"/>
  <c r="L43" i="7"/>
  <c r="L58" i="7" s="1"/>
  <c r="AJ93" i="7"/>
  <c r="I109" i="7"/>
  <c r="V25" i="7"/>
  <c r="AH57" i="7"/>
  <c r="T12" i="7"/>
  <c r="T30" i="7"/>
  <c r="T32" i="7"/>
  <c r="AK94" i="7"/>
  <c r="AK93" i="7"/>
  <c r="S14" i="7"/>
  <c r="V27" i="7"/>
  <c r="W30" i="7"/>
  <c r="U43" i="7"/>
  <c r="U48" i="7" s="1"/>
  <c r="R56" i="7"/>
  <c r="AI110" i="7"/>
  <c r="U28" i="7"/>
  <c r="U33" i="7"/>
  <c r="U31" i="7"/>
  <c r="U32" i="7"/>
  <c r="U30" i="7"/>
  <c r="AK96" i="7"/>
  <c r="AK95" i="7"/>
  <c r="AL4" i="7"/>
  <c r="Q16" i="7"/>
  <c r="Q14" i="7"/>
  <c r="AK27" i="7"/>
  <c r="V30" i="7"/>
  <c r="C43" i="7"/>
  <c r="C54" i="7"/>
  <c r="AF39" i="7"/>
  <c r="AF54" i="7" s="1"/>
  <c r="J55" i="7"/>
  <c r="AG40" i="7"/>
  <c r="AG55" i="7" s="1"/>
  <c r="R7" i="7"/>
  <c r="AI7" i="7" s="1"/>
  <c r="AI16" i="7" s="1"/>
  <c r="W54" i="7"/>
  <c r="W43" i="7"/>
  <c r="BE66" i="7"/>
  <c r="BE67" i="7" s="1"/>
  <c r="AZ76" i="7"/>
  <c r="AK110" i="7"/>
  <c r="J106" i="7"/>
  <c r="J109" i="7"/>
  <c r="R106" i="7"/>
  <c r="R109" i="7"/>
  <c r="AI104" i="7"/>
  <c r="AI109" i="7" s="1"/>
  <c r="AG49" i="7"/>
  <c r="V55" i="7"/>
  <c r="AK40" i="7"/>
  <c r="AK55" i="7" s="1"/>
  <c r="V11" i="7"/>
  <c r="AI18" i="7"/>
  <c r="AK20" i="7"/>
  <c r="V26" i="7"/>
  <c r="R22" i="7"/>
  <c r="R30" i="7" s="1"/>
  <c r="S32" i="7"/>
  <c r="F54" i="7"/>
  <c r="F43" i="7"/>
  <c r="AJ25" i="7"/>
  <c r="G43" i="7"/>
  <c r="G54" i="7"/>
  <c r="AJ4" i="7"/>
  <c r="AK9" i="7" s="1"/>
  <c r="AI4" i="7"/>
  <c r="AJ5" i="7"/>
  <c r="AI5" i="7"/>
  <c r="V7" i="7"/>
  <c r="V15" i="7" s="1"/>
  <c r="V10" i="7"/>
  <c r="AJ18" i="7"/>
  <c r="AK24" i="7" s="1"/>
  <c r="S31" i="7"/>
  <c r="R43" i="7"/>
  <c r="R54" i="7"/>
  <c r="R57" i="7"/>
  <c r="AI42" i="7"/>
  <c r="AI57" i="7" s="1"/>
  <c r="AJ42" i="7"/>
  <c r="AJ57" i="7" s="1"/>
  <c r="I58" i="7"/>
  <c r="AK22" i="7"/>
  <c r="O54" i="7"/>
  <c r="O43" i="7"/>
  <c r="AJ20" i="7"/>
  <c r="AI20" i="7"/>
  <c r="O16" i="7"/>
  <c r="O14" i="7"/>
  <c r="W16" i="7"/>
  <c r="W14" i="7"/>
  <c r="AK11" i="7"/>
  <c r="O15" i="7"/>
  <c r="V33" i="7"/>
  <c r="V24" i="7"/>
  <c r="S30" i="7"/>
  <c r="AJ95" i="7"/>
  <c r="N97" i="7"/>
  <c r="N39" i="7"/>
  <c r="AH39" i="7" s="1"/>
  <c r="AH54" i="7" s="1"/>
  <c r="AH38" i="7"/>
  <c r="J39" i="7"/>
  <c r="AG39" i="7" s="1"/>
  <c r="AG54" i="7" s="1"/>
  <c r="S43" i="7"/>
  <c r="S54" i="7"/>
  <c r="K43" i="7"/>
  <c r="K54" i="7"/>
  <c r="AJ27" i="7"/>
  <c r="V97" i="7"/>
  <c r="V39" i="7"/>
  <c r="AK39" i="7" s="1"/>
  <c r="AK54" i="7" s="1"/>
  <c r="AH40" i="7"/>
  <c r="AH55" i="7" s="1"/>
  <c r="N55" i="7"/>
  <c r="AK57" i="7"/>
  <c r="L48" i="7"/>
  <c r="AJ11" i="7"/>
  <c r="T14" i="7"/>
  <c r="P15" i="7"/>
  <c r="T16" i="7"/>
  <c r="AK19" i="7"/>
  <c r="Q31" i="7"/>
  <c r="Q33" i="7"/>
  <c r="AI95" i="7"/>
  <c r="AI96" i="7"/>
  <c r="V56" i="7"/>
  <c r="AK41" i="7"/>
  <c r="AK56" i="7" s="1"/>
  <c r="AG57" i="7"/>
  <c r="AJ94" i="7"/>
  <c r="AI92" i="7"/>
  <c r="AI93" i="7"/>
  <c r="AJ110" i="7"/>
  <c r="C106" i="7"/>
  <c r="AF104" i="7"/>
  <c r="AF109" i="7" s="1"/>
  <c r="C109" i="7"/>
  <c r="T33" i="7"/>
  <c r="AJ39" i="7"/>
  <c r="AJ54" i="7" s="1"/>
  <c r="AI55" i="7"/>
  <c r="AI41" i="7"/>
  <c r="AI56" i="7" s="1"/>
  <c r="AF57" i="7"/>
  <c r="E48" i="7"/>
  <c r="E58" i="7"/>
  <c r="Q43" i="7"/>
  <c r="F57" i="7"/>
  <c r="N90" i="7"/>
  <c r="AI90" i="7" s="1"/>
  <c r="K106" i="7"/>
  <c r="K109" i="7"/>
  <c r="S106" i="7"/>
  <c r="AK104" i="7"/>
  <c r="AK109" i="7" s="1"/>
  <c r="S109" i="7"/>
  <c r="U12" i="7"/>
  <c r="P14" i="7"/>
  <c r="Q30" i="7"/>
  <c r="Q32" i="7"/>
  <c r="AJ40" i="7"/>
  <c r="AJ55" i="7" s="1"/>
  <c r="T43" i="7"/>
  <c r="AJ46" i="7"/>
  <c r="AI46" i="7"/>
  <c r="H48" i="7"/>
  <c r="AF110" i="7"/>
  <c r="AI38" i="7"/>
  <c r="AI97" i="7" s="1"/>
  <c r="U58" i="7"/>
  <c r="AH49" i="7"/>
  <c r="P54" i="7"/>
  <c r="V90" i="7"/>
  <c r="AK90" i="7" s="1"/>
  <c r="AG110" i="7"/>
  <c r="AJ75" i="7"/>
  <c r="AJ96" i="7" s="1"/>
  <c r="R96" i="7"/>
  <c r="AZ70" i="7"/>
  <c r="AL45" i="7"/>
  <c r="AL86" i="7" s="1"/>
  <c r="AH110" i="7"/>
  <c r="AJ56" i="7"/>
  <c r="AH104" i="7"/>
  <c r="AH109" i="7" s="1"/>
  <c r="AH41" i="7"/>
  <c r="AH56" i="7" s="1"/>
  <c r="AJ104" i="7"/>
  <c r="AJ109" i="7" s="1"/>
  <c r="F106" i="7"/>
  <c r="N106" i="7"/>
  <c r="V106" i="7"/>
  <c r="H106" i="7"/>
  <c r="P106" i="7"/>
  <c r="AG104" i="7"/>
  <c r="AG109" i="7" s="1"/>
  <c r="BE66" i="2"/>
  <c r="BE72" i="2"/>
  <c r="BE70" i="2"/>
  <c r="AG106" i="7" l="1"/>
  <c r="P50" i="7"/>
  <c r="AI106" i="7"/>
  <c r="AI22" i="7"/>
  <c r="AI31" i="7" s="1"/>
  <c r="AJ22" i="7"/>
  <c r="AJ33" i="7" s="1"/>
  <c r="M58" i="7"/>
  <c r="X50" i="7"/>
  <c r="X59" i="7"/>
  <c r="X48" i="2"/>
  <c r="X50" i="2" s="1"/>
  <c r="AI14" i="7"/>
  <c r="D48" i="7"/>
  <c r="D50" i="7" s="1"/>
  <c r="AK28" i="7"/>
  <c r="AM45" i="7"/>
  <c r="AM86" i="7" s="1"/>
  <c r="D59" i="7"/>
  <c r="AI43" i="7"/>
  <c r="AI58" i="7" s="1"/>
  <c r="O58" i="7"/>
  <c r="O48" i="7"/>
  <c r="W58" i="7"/>
  <c r="W48" i="7"/>
  <c r="R58" i="7"/>
  <c r="R48" i="7"/>
  <c r="H59" i="7"/>
  <c r="H50" i="7"/>
  <c r="S48" i="7"/>
  <c r="S58" i="7"/>
  <c r="AJ9" i="7"/>
  <c r="C48" i="7"/>
  <c r="AF43" i="7"/>
  <c r="AF58" i="7" s="1"/>
  <c r="C58" i="7"/>
  <c r="AK10" i="7"/>
  <c r="AJ10" i="7"/>
  <c r="AL7" i="7"/>
  <c r="AM4" i="7"/>
  <c r="P52" i="7"/>
  <c r="P98" i="7"/>
  <c r="P60" i="7"/>
  <c r="P99" i="7"/>
  <c r="AJ30" i="7"/>
  <c r="AJ24" i="7"/>
  <c r="AJ106" i="7"/>
  <c r="Q58" i="7"/>
  <c r="Q48" i="7"/>
  <c r="AJ43" i="7"/>
  <c r="AJ58" i="7" s="1"/>
  <c r="R33" i="7"/>
  <c r="R31" i="7"/>
  <c r="AK33" i="7"/>
  <c r="I59" i="7"/>
  <c r="I50" i="7"/>
  <c r="T48" i="7"/>
  <c r="T58" i="7"/>
  <c r="AK106" i="7"/>
  <c r="N54" i="7"/>
  <c r="N43" i="7"/>
  <c r="AK30" i="7"/>
  <c r="AI32" i="7"/>
  <c r="G58" i="7"/>
  <c r="G48" i="7"/>
  <c r="R16" i="7"/>
  <c r="R15" i="7"/>
  <c r="AJ7" i="7"/>
  <c r="AJ15" i="7" s="1"/>
  <c r="R14" i="7"/>
  <c r="J43" i="7"/>
  <c r="AG43" i="7" s="1"/>
  <c r="AG58" i="7" s="1"/>
  <c r="J54" i="7"/>
  <c r="U59" i="7"/>
  <c r="U50" i="7"/>
  <c r="E59" i="7"/>
  <c r="E50" i="7"/>
  <c r="M59" i="7"/>
  <c r="M50" i="7"/>
  <c r="AJ32" i="7"/>
  <c r="AJ26" i="7"/>
  <c r="V12" i="7"/>
  <c r="V14" i="7"/>
  <c r="V16" i="7"/>
  <c r="AK7" i="7"/>
  <c r="AJ28" i="7"/>
  <c r="AK32" i="7"/>
  <c r="AK26" i="7"/>
  <c r="F48" i="7"/>
  <c r="F58" i="7"/>
  <c r="L59" i="7"/>
  <c r="L50" i="7"/>
  <c r="AF106" i="7"/>
  <c r="AK25" i="7"/>
  <c r="AK31" i="7"/>
  <c r="AH43" i="7"/>
  <c r="AH58" i="7" s="1"/>
  <c r="K48" i="7"/>
  <c r="K58" i="7"/>
  <c r="AH106" i="7"/>
  <c r="V54" i="7"/>
  <c r="V43" i="7"/>
  <c r="R32" i="7"/>
  <c r="AI15" i="7"/>
  <c r="AJ31" i="7"/>
  <c r="AI30" i="7"/>
  <c r="V28" i="7"/>
  <c r="AX64" i="2"/>
  <c r="AW64" i="2"/>
  <c r="T362" i="3"/>
  <c r="T363" i="3" s="1"/>
  <c r="T364" i="3" s="1"/>
  <c r="T365" i="3" s="1"/>
  <c r="T308" i="3"/>
  <c r="T309" i="3" s="1"/>
  <c r="T310" i="3" s="1"/>
  <c r="T311" i="3" s="1"/>
  <c r="T312" i="3" s="1"/>
  <c r="T313" i="3" s="1"/>
  <c r="T314" i="3" s="1"/>
  <c r="T315" i="3" s="1"/>
  <c r="T316" i="3" s="1"/>
  <c r="T317" i="3" s="1"/>
  <c r="T318" i="3" s="1"/>
  <c r="T319" i="3" s="1"/>
  <c r="T320" i="3" s="1"/>
  <c r="T321" i="3" s="1"/>
  <c r="T322" i="3" s="1"/>
  <c r="T323" i="3" s="1"/>
  <c r="T324" i="3" s="1"/>
  <c r="T325" i="3" s="1"/>
  <c r="T326" i="3" s="1"/>
  <c r="T327" i="3" s="1"/>
  <c r="T328" i="3" s="1"/>
  <c r="T329" i="3" s="1"/>
  <c r="T330" i="3" s="1"/>
  <c r="T331" i="3" s="1"/>
  <c r="T332" i="3" s="1"/>
  <c r="T333" i="3" s="1"/>
  <c r="T334" i="3" s="1"/>
  <c r="T335" i="3" s="1"/>
  <c r="T336" i="3" s="1"/>
  <c r="T337" i="3" s="1"/>
  <c r="T338" i="3" s="1"/>
  <c r="T339" i="3" s="1"/>
  <c r="T340" i="3" s="1"/>
  <c r="T341" i="3" s="1"/>
  <c r="T342" i="3" s="1"/>
  <c r="T343" i="3" s="1"/>
  <c r="T344" i="3" s="1"/>
  <c r="T345" i="3" s="1"/>
  <c r="T346" i="3" s="1"/>
  <c r="T347" i="3" s="1"/>
  <c r="T348" i="3" s="1"/>
  <c r="T349" i="3" s="1"/>
  <c r="T350" i="3" s="1"/>
  <c r="T351" i="3" s="1"/>
  <c r="T352" i="3" s="1"/>
  <c r="T353" i="3" s="1"/>
  <c r="T354" i="3" s="1"/>
  <c r="T355" i="3" s="1"/>
  <c r="T356" i="3" s="1"/>
  <c r="T357" i="3" s="1"/>
  <c r="T358" i="3" s="1"/>
  <c r="T359" i="3" s="1"/>
  <c r="T360" i="3" s="1"/>
  <c r="T361" i="3" s="1"/>
  <c r="T306" i="3"/>
  <c r="T305" i="3" s="1"/>
  <c r="T304" i="3" s="1"/>
  <c r="T303" i="3" s="1"/>
  <c r="T302" i="3" s="1"/>
  <c r="T301" i="3" s="1"/>
  <c r="T300" i="3" s="1"/>
  <c r="T299" i="3" s="1"/>
  <c r="T298" i="3" s="1"/>
  <c r="T297" i="3" s="1"/>
  <c r="T296" i="3" s="1"/>
  <c r="T295" i="3" s="1"/>
  <c r="T294" i="3" s="1"/>
  <c r="T293" i="3" s="1"/>
  <c r="T292" i="3" s="1"/>
  <c r="T291" i="3" s="1"/>
  <c r="T290" i="3" s="1"/>
  <c r="T289" i="3" s="1"/>
  <c r="T288" i="3" s="1"/>
  <c r="T287" i="3" s="1"/>
  <c r="T286" i="3" s="1"/>
  <c r="T285" i="3" s="1"/>
  <c r="T284" i="3" s="1"/>
  <c r="T283" i="3" s="1"/>
  <c r="T282" i="3" s="1"/>
  <c r="T281" i="3" s="1"/>
  <c r="T280" i="3" s="1"/>
  <c r="T279" i="3" s="1"/>
  <c r="T278" i="3" s="1"/>
  <c r="T277" i="3" s="1"/>
  <c r="T276" i="3" s="1"/>
  <c r="T275" i="3" s="1"/>
  <c r="T274" i="3" s="1"/>
  <c r="T273" i="3" s="1"/>
  <c r="T272" i="3" s="1"/>
  <c r="T271" i="3" s="1"/>
  <c r="T270" i="3" s="1"/>
  <c r="T269" i="3" s="1"/>
  <c r="T268" i="3" s="1"/>
  <c r="T267" i="3" s="1"/>
  <c r="T266" i="3" s="1"/>
  <c r="T265" i="3" s="1"/>
  <c r="T264" i="3" s="1"/>
  <c r="T263" i="3" s="1"/>
  <c r="T262" i="3" s="1"/>
  <c r="T261" i="3" s="1"/>
  <c r="T260" i="3" s="1"/>
  <c r="T259" i="3" s="1"/>
  <c r="T258" i="3" s="1"/>
  <c r="T257" i="3" s="1"/>
  <c r="T256" i="3" s="1"/>
  <c r="T255" i="3" s="1"/>
  <c r="T254" i="3" s="1"/>
  <c r="T253" i="3" s="1"/>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1222" i="3"/>
  <c r="O1221" i="3"/>
  <c r="O1220" i="3"/>
  <c r="O1219" i="3"/>
  <c r="O1218" i="3"/>
  <c r="O1217" i="3"/>
  <c r="O1216" i="3"/>
  <c r="O1215" i="3"/>
  <c r="O1214" i="3"/>
  <c r="O1213" i="3"/>
  <c r="O1212" i="3"/>
  <c r="O1211" i="3"/>
  <c r="O1210" i="3"/>
  <c r="O1209" i="3"/>
  <c r="O1208" i="3"/>
  <c r="O1207" i="3"/>
  <c r="O1206" i="3"/>
  <c r="O1205" i="3"/>
  <c r="O1204" i="3"/>
  <c r="O1203" i="3"/>
  <c r="O1202" i="3"/>
  <c r="O1201" i="3"/>
  <c r="O1200" i="3"/>
  <c r="O1199" i="3"/>
  <c r="O1198" i="3"/>
  <c r="O1197" i="3"/>
  <c r="O1196" i="3"/>
  <c r="O1195" i="3"/>
  <c r="O1194" i="3"/>
  <c r="O1193" i="3"/>
  <c r="O1192" i="3"/>
  <c r="O1191" i="3"/>
  <c r="O1190" i="3"/>
  <c r="O1189" i="3"/>
  <c r="O1188" i="3"/>
  <c r="O1187" i="3"/>
  <c r="O1186" i="3"/>
  <c r="O1185" i="3"/>
  <c r="O1184" i="3"/>
  <c r="O1183" i="3"/>
  <c r="O1182" i="3"/>
  <c r="O1181" i="3"/>
  <c r="O1180" i="3"/>
  <c r="O1179" i="3"/>
  <c r="O1178" i="3"/>
  <c r="O1177" i="3"/>
  <c r="O1176" i="3"/>
  <c r="O1175" i="3"/>
  <c r="O1174" i="3"/>
  <c r="O1173" i="3"/>
  <c r="O1172" i="3"/>
  <c r="O1171" i="3"/>
  <c r="O1170" i="3"/>
  <c r="O1169" i="3"/>
  <c r="O1168" i="3"/>
  <c r="O1167" i="3"/>
  <c r="O1166" i="3"/>
  <c r="O1165" i="3"/>
  <c r="O1164" i="3"/>
  <c r="O1163" i="3"/>
  <c r="O1162" i="3"/>
  <c r="O1161" i="3"/>
  <c r="O1160" i="3"/>
  <c r="O1159" i="3"/>
  <c r="O1158" i="3"/>
  <c r="O1157" i="3"/>
  <c r="O1156" i="3"/>
  <c r="O1155" i="3"/>
  <c r="O1154" i="3"/>
  <c r="O1153" i="3"/>
  <c r="O1152" i="3"/>
  <c r="O1151" i="3"/>
  <c r="O1150" i="3"/>
  <c r="O1149" i="3"/>
  <c r="O1148" i="3"/>
  <c r="O1147" i="3"/>
  <c r="O1146" i="3"/>
  <c r="O1145" i="3"/>
  <c r="O1144" i="3"/>
  <c r="O1143" i="3"/>
  <c r="O1142" i="3"/>
  <c r="O1141" i="3"/>
  <c r="O1140" i="3"/>
  <c r="O1139" i="3"/>
  <c r="O1138" i="3"/>
  <c r="O1137" i="3"/>
  <c r="O1136" i="3"/>
  <c r="O1135" i="3"/>
  <c r="O1134" i="3"/>
  <c r="O1133" i="3"/>
  <c r="O1132" i="3"/>
  <c r="O1131" i="3"/>
  <c r="O1130" i="3"/>
  <c r="O1129" i="3"/>
  <c r="O1128" i="3"/>
  <c r="O1127" i="3"/>
  <c r="O1126" i="3"/>
  <c r="O1125" i="3"/>
  <c r="O1124" i="3"/>
  <c r="O1123" i="3"/>
  <c r="O1122" i="3"/>
  <c r="O1121" i="3"/>
  <c r="O1120" i="3"/>
  <c r="O1119" i="3"/>
  <c r="O1118" i="3"/>
  <c r="O1117" i="3"/>
  <c r="O1116" i="3"/>
  <c r="O1115" i="3"/>
  <c r="O1114" i="3"/>
  <c r="O1113" i="3"/>
  <c r="O1112" i="3"/>
  <c r="O1111" i="3"/>
  <c r="O1110" i="3"/>
  <c r="O1109" i="3"/>
  <c r="O1108" i="3"/>
  <c r="O1107" i="3"/>
  <c r="O1106" i="3"/>
  <c r="O1105" i="3"/>
  <c r="O1104" i="3"/>
  <c r="O1103" i="3"/>
  <c r="O1102" i="3"/>
  <c r="O1101" i="3"/>
  <c r="O1100" i="3"/>
  <c r="O1099" i="3"/>
  <c r="O1098" i="3"/>
  <c r="O1097" i="3"/>
  <c r="O1096" i="3"/>
  <c r="O1095" i="3"/>
  <c r="O1094" i="3"/>
  <c r="O1093" i="3"/>
  <c r="O1092" i="3"/>
  <c r="O1091" i="3"/>
  <c r="O1090" i="3"/>
  <c r="O1089" i="3"/>
  <c r="O1088" i="3"/>
  <c r="O1087" i="3"/>
  <c r="O1086" i="3"/>
  <c r="O1085" i="3"/>
  <c r="O1084" i="3"/>
  <c r="O1083" i="3"/>
  <c r="O1082" i="3"/>
  <c r="O1081" i="3"/>
  <c r="O1080" i="3"/>
  <c r="O1079" i="3"/>
  <c r="O1078" i="3"/>
  <c r="O1077" i="3"/>
  <c r="O1076" i="3"/>
  <c r="O1075" i="3"/>
  <c r="O1074" i="3"/>
  <c r="O1073" i="3"/>
  <c r="O1072" i="3"/>
  <c r="O1071" i="3"/>
  <c r="O1070" i="3"/>
  <c r="O1069" i="3"/>
  <c r="O1068" i="3"/>
  <c r="O1067" i="3"/>
  <c r="O1066" i="3"/>
  <c r="O1065" i="3"/>
  <c r="O1064" i="3"/>
  <c r="O1063" i="3"/>
  <c r="O1062" i="3"/>
  <c r="O1061" i="3"/>
  <c r="O1060" i="3"/>
  <c r="O1059" i="3"/>
  <c r="O1058" i="3"/>
  <c r="O1057" i="3"/>
  <c r="O1056" i="3"/>
  <c r="O1055" i="3"/>
  <c r="O1054" i="3"/>
  <c r="O1053" i="3"/>
  <c r="O1052" i="3"/>
  <c r="O1051" i="3"/>
  <c r="O1050" i="3"/>
  <c r="O1049" i="3"/>
  <c r="O1048" i="3"/>
  <c r="O1047" i="3"/>
  <c r="O1046" i="3"/>
  <c r="O1045" i="3"/>
  <c r="O1044" i="3"/>
  <c r="O1043" i="3"/>
  <c r="O1042" i="3"/>
  <c r="O1041" i="3"/>
  <c r="O1040" i="3"/>
  <c r="O1039" i="3"/>
  <c r="O1038" i="3"/>
  <c r="O1037" i="3"/>
  <c r="O1036" i="3"/>
  <c r="O1035" i="3"/>
  <c r="O1034" i="3"/>
  <c r="O1033" i="3"/>
  <c r="O1032" i="3"/>
  <c r="O1031" i="3"/>
  <c r="O1030" i="3"/>
  <c r="O1029" i="3"/>
  <c r="O1028" i="3"/>
  <c r="O1027" i="3"/>
  <c r="O1026" i="3"/>
  <c r="O1025" i="3"/>
  <c r="O1024" i="3"/>
  <c r="O1023" i="3"/>
  <c r="O1022" i="3"/>
  <c r="O1021" i="3"/>
  <c r="O1020" i="3"/>
  <c r="O1019" i="3"/>
  <c r="O1018" i="3"/>
  <c r="O1017" i="3"/>
  <c r="O1016" i="3"/>
  <c r="O1015" i="3"/>
  <c r="O1014" i="3"/>
  <c r="O1013" i="3"/>
  <c r="O1012" i="3"/>
  <c r="O1011" i="3"/>
  <c r="O1010" i="3"/>
  <c r="O1009" i="3"/>
  <c r="O1008" i="3"/>
  <c r="O1007" i="3"/>
  <c r="O1006" i="3"/>
  <c r="O1005" i="3"/>
  <c r="O1004" i="3"/>
  <c r="O1003" i="3"/>
  <c r="O1002" i="3"/>
  <c r="O1001" i="3"/>
  <c r="O1000" i="3"/>
  <c r="O999" i="3"/>
  <c r="O998" i="3"/>
  <c r="O997" i="3"/>
  <c r="O996" i="3"/>
  <c r="O995" i="3"/>
  <c r="O994" i="3"/>
  <c r="O993" i="3"/>
  <c r="O992" i="3"/>
  <c r="O991" i="3"/>
  <c r="O990" i="3"/>
  <c r="O989" i="3"/>
  <c r="O988" i="3"/>
  <c r="O987" i="3"/>
  <c r="O986" i="3"/>
  <c r="O985" i="3"/>
  <c r="O984" i="3"/>
  <c r="O983" i="3"/>
  <c r="O982" i="3"/>
  <c r="O981" i="3"/>
  <c r="O980" i="3"/>
  <c r="O979" i="3"/>
  <c r="O978" i="3"/>
  <c r="O977" i="3"/>
  <c r="O976" i="3"/>
  <c r="O975" i="3"/>
  <c r="O974" i="3"/>
  <c r="O973" i="3"/>
  <c r="O972" i="3"/>
  <c r="O971" i="3"/>
  <c r="O970" i="3"/>
  <c r="O969" i="3"/>
  <c r="O968" i="3"/>
  <c r="O967" i="3"/>
  <c r="O966" i="3"/>
  <c r="O965" i="3"/>
  <c r="O964" i="3"/>
  <c r="O963" i="3"/>
  <c r="O962" i="3"/>
  <c r="O961" i="3"/>
  <c r="O960" i="3"/>
  <c r="O959" i="3"/>
  <c r="O958" i="3"/>
  <c r="O957" i="3"/>
  <c r="O956" i="3"/>
  <c r="O955" i="3"/>
  <c r="O954" i="3"/>
  <c r="O953" i="3"/>
  <c r="O952" i="3"/>
  <c r="O951" i="3"/>
  <c r="O950" i="3"/>
  <c r="O949" i="3"/>
  <c r="O948" i="3"/>
  <c r="O947" i="3"/>
  <c r="O946" i="3"/>
  <c r="O945" i="3"/>
  <c r="O944" i="3"/>
  <c r="O943" i="3"/>
  <c r="O942" i="3"/>
  <c r="O941" i="3"/>
  <c r="O940" i="3"/>
  <c r="O939" i="3"/>
  <c r="O938" i="3"/>
  <c r="O937" i="3"/>
  <c r="O936" i="3"/>
  <c r="O935" i="3"/>
  <c r="O934" i="3"/>
  <c r="O933" i="3"/>
  <c r="O932" i="3"/>
  <c r="O931" i="3"/>
  <c r="O930" i="3"/>
  <c r="O929" i="3"/>
  <c r="O928" i="3"/>
  <c r="O927" i="3"/>
  <c r="O926" i="3"/>
  <c r="O925" i="3"/>
  <c r="O924" i="3"/>
  <c r="O923" i="3"/>
  <c r="O922" i="3"/>
  <c r="O921" i="3"/>
  <c r="O920" i="3"/>
  <c r="O919" i="3"/>
  <c r="O918" i="3"/>
  <c r="O917" i="3"/>
  <c r="O916" i="3"/>
  <c r="O915" i="3"/>
  <c r="O914" i="3"/>
  <c r="O913" i="3"/>
  <c r="O912" i="3"/>
  <c r="O911" i="3"/>
  <c r="O910" i="3"/>
  <c r="O909" i="3"/>
  <c r="O908" i="3"/>
  <c r="O907" i="3"/>
  <c r="O906" i="3"/>
  <c r="O905" i="3"/>
  <c r="O904" i="3"/>
  <c r="O903" i="3"/>
  <c r="O902" i="3"/>
  <c r="O901" i="3"/>
  <c r="O900" i="3"/>
  <c r="O899" i="3"/>
  <c r="O898" i="3"/>
  <c r="O897" i="3"/>
  <c r="O896" i="3"/>
  <c r="O895" i="3"/>
  <c r="O894" i="3"/>
  <c r="O893" i="3"/>
  <c r="O892" i="3"/>
  <c r="O891" i="3"/>
  <c r="O890" i="3"/>
  <c r="O889" i="3"/>
  <c r="O888" i="3"/>
  <c r="O887" i="3"/>
  <c r="O886" i="3"/>
  <c r="O885" i="3"/>
  <c r="O884" i="3"/>
  <c r="O883" i="3"/>
  <c r="O882" i="3"/>
  <c r="O881" i="3"/>
  <c r="O880" i="3"/>
  <c r="O879" i="3"/>
  <c r="O878" i="3"/>
  <c r="O877" i="3"/>
  <c r="O876" i="3"/>
  <c r="O875" i="3"/>
  <c r="O874" i="3"/>
  <c r="O873" i="3"/>
  <c r="O872" i="3"/>
  <c r="O871" i="3"/>
  <c r="O870" i="3"/>
  <c r="O869" i="3"/>
  <c r="O868" i="3"/>
  <c r="O867" i="3"/>
  <c r="O866" i="3"/>
  <c r="O865" i="3"/>
  <c r="O864" i="3"/>
  <c r="O863" i="3"/>
  <c r="O862" i="3"/>
  <c r="O861" i="3"/>
  <c r="O860" i="3"/>
  <c r="O859" i="3"/>
  <c r="O858" i="3"/>
  <c r="O857" i="3"/>
  <c r="O856" i="3"/>
  <c r="O855" i="3"/>
  <c r="O854" i="3"/>
  <c r="O853" i="3"/>
  <c r="O852" i="3"/>
  <c r="O851" i="3"/>
  <c r="O850" i="3"/>
  <c r="O849" i="3"/>
  <c r="O848" i="3"/>
  <c r="O847" i="3"/>
  <c r="O846" i="3"/>
  <c r="O845" i="3"/>
  <c r="O844" i="3"/>
  <c r="O843" i="3"/>
  <c r="O842" i="3"/>
  <c r="O841" i="3"/>
  <c r="O840" i="3"/>
  <c r="O839" i="3"/>
  <c r="O838" i="3"/>
  <c r="O837" i="3"/>
  <c r="O836" i="3"/>
  <c r="O835" i="3"/>
  <c r="O834" i="3"/>
  <c r="O833" i="3"/>
  <c r="O832" i="3"/>
  <c r="O831" i="3"/>
  <c r="O830" i="3"/>
  <c r="O829" i="3"/>
  <c r="O828" i="3"/>
  <c r="O827" i="3"/>
  <c r="O826" i="3"/>
  <c r="O825" i="3"/>
  <c r="O824" i="3"/>
  <c r="O823" i="3"/>
  <c r="O822" i="3"/>
  <c r="O821" i="3"/>
  <c r="O820" i="3"/>
  <c r="O819" i="3"/>
  <c r="O818" i="3"/>
  <c r="O817" i="3"/>
  <c r="O816" i="3"/>
  <c r="O815" i="3"/>
  <c r="O814" i="3"/>
  <c r="O813" i="3"/>
  <c r="O812" i="3"/>
  <c r="O811" i="3"/>
  <c r="O810" i="3"/>
  <c r="O809" i="3"/>
  <c r="O808" i="3"/>
  <c r="O807" i="3"/>
  <c r="O806" i="3"/>
  <c r="O805" i="3"/>
  <c r="O804" i="3"/>
  <c r="O803" i="3"/>
  <c r="O802" i="3"/>
  <c r="O801" i="3"/>
  <c r="O800" i="3"/>
  <c r="O799" i="3"/>
  <c r="O798" i="3"/>
  <c r="O797" i="3"/>
  <c r="O796" i="3"/>
  <c r="O795" i="3"/>
  <c r="O794" i="3"/>
  <c r="O793" i="3"/>
  <c r="O792" i="3"/>
  <c r="O791" i="3"/>
  <c r="O790" i="3"/>
  <c r="O789" i="3"/>
  <c r="O788" i="3"/>
  <c r="O787" i="3"/>
  <c r="O786" i="3"/>
  <c r="O785" i="3"/>
  <c r="O784" i="3"/>
  <c r="O783" i="3"/>
  <c r="O782" i="3"/>
  <c r="O781" i="3"/>
  <c r="O780" i="3"/>
  <c r="O779" i="3"/>
  <c r="O778" i="3"/>
  <c r="O777" i="3"/>
  <c r="O776" i="3"/>
  <c r="O775" i="3"/>
  <c r="O774" i="3"/>
  <c r="O773" i="3"/>
  <c r="O772" i="3"/>
  <c r="O771" i="3"/>
  <c r="O770" i="3"/>
  <c r="O769" i="3"/>
  <c r="O768" i="3"/>
  <c r="O767" i="3"/>
  <c r="O766" i="3"/>
  <c r="O765" i="3"/>
  <c r="O764" i="3"/>
  <c r="O763" i="3"/>
  <c r="O762" i="3"/>
  <c r="O761" i="3"/>
  <c r="O760" i="3"/>
  <c r="O759" i="3"/>
  <c r="O758" i="3"/>
  <c r="O757" i="3"/>
  <c r="O756" i="3"/>
  <c r="O755" i="3"/>
  <c r="O754" i="3"/>
  <c r="O753" i="3"/>
  <c r="O752" i="3"/>
  <c r="O751" i="3"/>
  <c r="O750" i="3"/>
  <c r="O749" i="3"/>
  <c r="O748" i="3"/>
  <c r="O747" i="3"/>
  <c r="O746" i="3"/>
  <c r="O745" i="3"/>
  <c r="O744" i="3"/>
  <c r="O743" i="3"/>
  <c r="O742" i="3"/>
  <c r="O741" i="3"/>
  <c r="O740" i="3"/>
  <c r="O739" i="3"/>
  <c r="O738" i="3"/>
  <c r="O737" i="3"/>
  <c r="O736" i="3"/>
  <c r="O735" i="3"/>
  <c r="O734" i="3"/>
  <c r="O733" i="3"/>
  <c r="O732" i="3"/>
  <c r="O731" i="3"/>
  <c r="O730" i="3"/>
  <c r="O729" i="3"/>
  <c r="O728" i="3"/>
  <c r="O727" i="3"/>
  <c r="O726" i="3"/>
  <c r="O725" i="3"/>
  <c r="O724" i="3"/>
  <c r="O723" i="3"/>
  <c r="O722" i="3"/>
  <c r="O721" i="3"/>
  <c r="O720" i="3"/>
  <c r="O719" i="3"/>
  <c r="O718" i="3"/>
  <c r="O717" i="3"/>
  <c r="O716" i="3"/>
  <c r="O715" i="3"/>
  <c r="O714" i="3"/>
  <c r="O713" i="3"/>
  <c r="O712" i="3"/>
  <c r="O711" i="3"/>
  <c r="O710" i="3"/>
  <c r="O709" i="3"/>
  <c r="O708" i="3"/>
  <c r="O707" i="3"/>
  <c r="O706" i="3"/>
  <c r="O705" i="3"/>
  <c r="O704" i="3"/>
  <c r="O703" i="3"/>
  <c r="O702" i="3"/>
  <c r="O701" i="3"/>
  <c r="O700" i="3"/>
  <c r="O699" i="3"/>
  <c r="O698" i="3"/>
  <c r="O697" i="3"/>
  <c r="O696" i="3"/>
  <c r="O695" i="3"/>
  <c r="O694" i="3"/>
  <c r="O693" i="3"/>
  <c r="O692" i="3"/>
  <c r="O691" i="3"/>
  <c r="O690" i="3"/>
  <c r="O689" i="3"/>
  <c r="O688" i="3"/>
  <c r="O687" i="3"/>
  <c r="O686" i="3"/>
  <c r="O685" i="3"/>
  <c r="O684" i="3"/>
  <c r="O683" i="3"/>
  <c r="O682" i="3"/>
  <c r="O681" i="3"/>
  <c r="O680" i="3"/>
  <c r="O679" i="3"/>
  <c r="O678" i="3"/>
  <c r="O677" i="3"/>
  <c r="O676" i="3"/>
  <c r="O675" i="3"/>
  <c r="O674" i="3"/>
  <c r="O673" i="3"/>
  <c r="O672" i="3"/>
  <c r="O671" i="3"/>
  <c r="O670" i="3"/>
  <c r="O669" i="3"/>
  <c r="O668" i="3"/>
  <c r="O667" i="3"/>
  <c r="O666" i="3"/>
  <c r="O665" i="3"/>
  <c r="O664" i="3"/>
  <c r="O663" i="3"/>
  <c r="O662" i="3"/>
  <c r="O661" i="3"/>
  <c r="O660" i="3"/>
  <c r="O659" i="3"/>
  <c r="O658" i="3"/>
  <c r="O657" i="3"/>
  <c r="O656" i="3"/>
  <c r="O655" i="3"/>
  <c r="O654" i="3"/>
  <c r="O653" i="3"/>
  <c r="O652" i="3"/>
  <c r="O651" i="3"/>
  <c r="O650" i="3"/>
  <c r="O649" i="3"/>
  <c r="O648" i="3"/>
  <c r="O647" i="3"/>
  <c r="O646" i="3"/>
  <c r="O645" i="3"/>
  <c r="O644" i="3"/>
  <c r="O643" i="3"/>
  <c r="O642" i="3"/>
  <c r="O641" i="3"/>
  <c r="O640" i="3"/>
  <c r="O639" i="3"/>
  <c r="O638" i="3"/>
  <c r="O637" i="3"/>
  <c r="O636" i="3"/>
  <c r="O635" i="3"/>
  <c r="O634" i="3"/>
  <c r="O633" i="3"/>
  <c r="O632" i="3"/>
  <c r="O631" i="3"/>
  <c r="O630" i="3"/>
  <c r="O629" i="3"/>
  <c r="O628" i="3"/>
  <c r="O627" i="3"/>
  <c r="O626" i="3"/>
  <c r="O625" i="3"/>
  <c r="O624" i="3"/>
  <c r="O623" i="3"/>
  <c r="O622" i="3"/>
  <c r="O621" i="3"/>
  <c r="O620" i="3"/>
  <c r="O619" i="3"/>
  <c r="O618" i="3"/>
  <c r="O617" i="3"/>
  <c r="O616" i="3"/>
  <c r="O615" i="3"/>
  <c r="O614" i="3"/>
  <c r="O613" i="3"/>
  <c r="O612" i="3"/>
  <c r="O611" i="3"/>
  <c r="O610" i="3"/>
  <c r="O609" i="3"/>
  <c r="O608" i="3"/>
  <c r="O607" i="3"/>
  <c r="O606" i="3"/>
  <c r="O605" i="3"/>
  <c r="O604" i="3"/>
  <c r="O603" i="3"/>
  <c r="O602" i="3"/>
  <c r="O601" i="3"/>
  <c r="O600" i="3"/>
  <c r="O599" i="3"/>
  <c r="O598" i="3"/>
  <c r="O597" i="3"/>
  <c r="O596" i="3"/>
  <c r="O595" i="3"/>
  <c r="O594" i="3"/>
  <c r="O593" i="3"/>
  <c r="O592" i="3"/>
  <c r="O591" i="3"/>
  <c r="O590" i="3"/>
  <c r="O589" i="3"/>
  <c r="O588" i="3"/>
  <c r="O587" i="3"/>
  <c r="O586" i="3"/>
  <c r="O585" i="3"/>
  <c r="O584" i="3"/>
  <c r="O583" i="3"/>
  <c r="O582" i="3"/>
  <c r="O581" i="3"/>
  <c r="O580" i="3"/>
  <c r="O579" i="3"/>
  <c r="O578" i="3"/>
  <c r="O577" i="3"/>
  <c r="O576" i="3"/>
  <c r="O575" i="3"/>
  <c r="O574" i="3"/>
  <c r="O573" i="3"/>
  <c r="O572" i="3"/>
  <c r="O571" i="3"/>
  <c r="O570" i="3"/>
  <c r="O569" i="3"/>
  <c r="O568" i="3"/>
  <c r="O567" i="3"/>
  <c r="O566" i="3"/>
  <c r="O565" i="3"/>
  <c r="O564" i="3"/>
  <c r="O563" i="3"/>
  <c r="O562" i="3"/>
  <c r="O561" i="3"/>
  <c r="O560" i="3"/>
  <c r="O559" i="3"/>
  <c r="O558" i="3"/>
  <c r="O557" i="3"/>
  <c r="O556" i="3"/>
  <c r="O555" i="3"/>
  <c r="O554" i="3"/>
  <c r="O553" i="3"/>
  <c r="O552" i="3"/>
  <c r="O551" i="3"/>
  <c r="O550" i="3"/>
  <c r="O549" i="3"/>
  <c r="O548" i="3"/>
  <c r="O547" i="3"/>
  <c r="O546" i="3"/>
  <c r="O545" i="3"/>
  <c r="O544" i="3"/>
  <c r="O543" i="3"/>
  <c r="O542" i="3"/>
  <c r="O541" i="3"/>
  <c r="O540" i="3"/>
  <c r="O539" i="3"/>
  <c r="O538" i="3"/>
  <c r="O537" i="3"/>
  <c r="O536" i="3"/>
  <c r="O535" i="3"/>
  <c r="O534" i="3"/>
  <c r="O533" i="3"/>
  <c r="O532" i="3"/>
  <c r="O531" i="3"/>
  <c r="O530" i="3"/>
  <c r="O529" i="3"/>
  <c r="O528" i="3"/>
  <c r="O527" i="3"/>
  <c r="O526" i="3"/>
  <c r="O525" i="3"/>
  <c r="O524" i="3"/>
  <c r="O523" i="3"/>
  <c r="O522" i="3"/>
  <c r="O521" i="3"/>
  <c r="O520" i="3"/>
  <c r="O519" i="3"/>
  <c r="O518" i="3"/>
  <c r="O517" i="3"/>
  <c r="O516" i="3"/>
  <c r="O515" i="3"/>
  <c r="O514" i="3"/>
  <c r="O513" i="3"/>
  <c r="O512" i="3"/>
  <c r="O511" i="3"/>
  <c r="O510" i="3"/>
  <c r="O509" i="3"/>
  <c r="O508" i="3"/>
  <c r="O507" i="3"/>
  <c r="O506" i="3"/>
  <c r="O505" i="3"/>
  <c r="O504" i="3"/>
  <c r="O503" i="3"/>
  <c r="O502" i="3"/>
  <c r="O501" i="3"/>
  <c r="O500" i="3"/>
  <c r="O499" i="3"/>
  <c r="O498" i="3"/>
  <c r="O497" i="3"/>
  <c r="O496" i="3"/>
  <c r="O495" i="3"/>
  <c r="O494" i="3"/>
  <c r="O493" i="3"/>
  <c r="O492" i="3"/>
  <c r="O491" i="3"/>
  <c r="O490" i="3"/>
  <c r="O489" i="3"/>
  <c r="O488" i="3"/>
  <c r="O487" i="3"/>
  <c r="O486" i="3"/>
  <c r="O485" i="3"/>
  <c r="O484" i="3"/>
  <c r="O483" i="3"/>
  <c r="O482" i="3"/>
  <c r="O481" i="3"/>
  <c r="O480" i="3"/>
  <c r="O479" i="3"/>
  <c r="O478" i="3"/>
  <c r="O477" i="3"/>
  <c r="O476" i="3"/>
  <c r="O475" i="3"/>
  <c r="O474" i="3"/>
  <c r="O473" i="3"/>
  <c r="O472" i="3"/>
  <c r="O471" i="3"/>
  <c r="O470" i="3"/>
  <c r="O469" i="3"/>
  <c r="O468" i="3"/>
  <c r="O467" i="3"/>
  <c r="O466" i="3"/>
  <c r="O465" i="3"/>
  <c r="O464" i="3"/>
  <c r="O463" i="3"/>
  <c r="O462" i="3"/>
  <c r="O461" i="3"/>
  <c r="O460" i="3"/>
  <c r="O459" i="3"/>
  <c r="O458" i="3"/>
  <c r="O457" i="3"/>
  <c r="O456" i="3"/>
  <c r="O455" i="3"/>
  <c r="O454" i="3"/>
  <c r="O453" i="3"/>
  <c r="O452" i="3"/>
  <c r="O451" i="3"/>
  <c r="O450" i="3"/>
  <c r="O449" i="3"/>
  <c r="O448" i="3"/>
  <c r="O447" i="3"/>
  <c r="O446" i="3"/>
  <c r="O445" i="3"/>
  <c r="O444" i="3"/>
  <c r="O443" i="3"/>
  <c r="O442" i="3"/>
  <c r="O441" i="3"/>
  <c r="O440" i="3"/>
  <c r="O439" i="3"/>
  <c r="O438" i="3"/>
  <c r="O437" i="3"/>
  <c r="O436" i="3"/>
  <c r="O435" i="3"/>
  <c r="O434" i="3"/>
  <c r="O433" i="3"/>
  <c r="O432" i="3"/>
  <c r="O431" i="3"/>
  <c r="O430" i="3"/>
  <c r="O429" i="3"/>
  <c r="O428" i="3"/>
  <c r="O427" i="3"/>
  <c r="O426" i="3"/>
  <c r="O425" i="3"/>
  <c r="O424" i="3"/>
  <c r="O423" i="3"/>
  <c r="O422" i="3"/>
  <c r="O421" i="3"/>
  <c r="O420" i="3"/>
  <c r="O419" i="3"/>
  <c r="O418" i="3"/>
  <c r="O417" i="3"/>
  <c r="O416" i="3"/>
  <c r="O415" i="3"/>
  <c r="O414" i="3"/>
  <c r="O413" i="3"/>
  <c r="O412" i="3"/>
  <c r="O411" i="3"/>
  <c r="O410" i="3"/>
  <c r="O409" i="3"/>
  <c r="O408" i="3"/>
  <c r="O407" i="3"/>
  <c r="O406" i="3"/>
  <c r="O405" i="3"/>
  <c r="O404" i="3"/>
  <c r="O403" i="3"/>
  <c r="O402" i="3"/>
  <c r="O401" i="3"/>
  <c r="O400" i="3"/>
  <c r="O399" i="3"/>
  <c r="O398" i="3"/>
  <c r="O397" i="3"/>
  <c r="O396" i="3"/>
  <c r="O395" i="3"/>
  <c r="O394" i="3"/>
  <c r="O393" i="3"/>
  <c r="O392" i="3"/>
  <c r="O391" i="3"/>
  <c r="O390" i="3"/>
  <c r="O389" i="3"/>
  <c r="O388" i="3"/>
  <c r="O387" i="3"/>
  <c r="O386" i="3"/>
  <c r="O385" i="3"/>
  <c r="O384" i="3"/>
  <c r="O383" i="3"/>
  <c r="O382" i="3"/>
  <c r="O381" i="3"/>
  <c r="O380" i="3"/>
  <c r="O379" i="3"/>
  <c r="O378" i="3"/>
  <c r="O377" i="3"/>
  <c r="O376" i="3"/>
  <c r="O375" i="3"/>
  <c r="O374" i="3"/>
  <c r="O373" i="3"/>
  <c r="O372" i="3"/>
  <c r="O371" i="3"/>
  <c r="O370" i="3"/>
  <c r="O369" i="3"/>
  <c r="O368" i="3"/>
  <c r="O367" i="3"/>
  <c r="O366" i="3"/>
  <c r="O365" i="3"/>
  <c r="O364" i="3"/>
  <c r="O363" i="3"/>
  <c r="O362" i="3"/>
  <c r="O361" i="3"/>
  <c r="O360" i="3"/>
  <c r="O359" i="3"/>
  <c r="O358" i="3"/>
  <c r="O357" i="3"/>
  <c r="O356" i="3"/>
  <c r="O355" i="3"/>
  <c r="O354" i="3"/>
  <c r="O353" i="3"/>
  <c r="O352" i="3"/>
  <c r="O351" i="3"/>
  <c r="O350" i="3"/>
  <c r="O349" i="3"/>
  <c r="O348" i="3"/>
  <c r="O347" i="3"/>
  <c r="O346" i="3"/>
  <c r="O345" i="3"/>
  <c r="O344" i="3"/>
  <c r="O343" i="3"/>
  <c r="O342" i="3"/>
  <c r="O341" i="3"/>
  <c r="O340" i="3"/>
  <c r="O339" i="3"/>
  <c r="O338" i="3"/>
  <c r="O337" i="3"/>
  <c r="O336" i="3"/>
  <c r="O335" i="3"/>
  <c r="O334" i="3"/>
  <c r="O333" i="3"/>
  <c r="O332" i="3"/>
  <c r="O331" i="3"/>
  <c r="O330" i="3"/>
  <c r="O329" i="3"/>
  <c r="O328" i="3"/>
  <c r="O327" i="3"/>
  <c r="O326" i="3"/>
  <c r="O325" i="3"/>
  <c r="O324" i="3"/>
  <c r="O323" i="3"/>
  <c r="O322" i="3"/>
  <c r="O321" i="3"/>
  <c r="O320" i="3"/>
  <c r="O319" i="3"/>
  <c r="O318" i="3"/>
  <c r="O317" i="3"/>
  <c r="O316" i="3"/>
  <c r="O315" i="3"/>
  <c r="O314" i="3"/>
  <c r="O313" i="3"/>
  <c r="O312" i="3"/>
  <c r="O311" i="3"/>
  <c r="O310" i="3"/>
  <c r="O309" i="3"/>
  <c r="O308" i="3"/>
  <c r="O307" i="3"/>
  <c r="O306" i="3"/>
  <c r="O305" i="3"/>
  <c r="O304" i="3"/>
  <c r="O303" i="3"/>
  <c r="O302" i="3"/>
  <c r="O301" i="3"/>
  <c r="O300" i="3"/>
  <c r="O299" i="3"/>
  <c r="O298" i="3"/>
  <c r="O297" i="3"/>
  <c r="O296" i="3"/>
  <c r="O295" i="3"/>
  <c r="O294" i="3"/>
  <c r="O293" i="3"/>
  <c r="O292" i="3"/>
  <c r="O291" i="3"/>
  <c r="O290" i="3"/>
  <c r="O289" i="3"/>
  <c r="O288" i="3"/>
  <c r="O287" i="3"/>
  <c r="O286" i="3"/>
  <c r="O285" i="3"/>
  <c r="O284" i="3"/>
  <c r="O283" i="3"/>
  <c r="O282" i="3"/>
  <c r="O281" i="3"/>
  <c r="O280" i="3"/>
  <c r="O279" i="3"/>
  <c r="O278" i="3"/>
  <c r="O277" i="3"/>
  <c r="O276" i="3"/>
  <c r="O275" i="3"/>
  <c r="O274" i="3"/>
  <c r="O273" i="3"/>
  <c r="O272" i="3"/>
  <c r="O271" i="3"/>
  <c r="O270" i="3"/>
  <c r="O269" i="3"/>
  <c r="O268" i="3"/>
  <c r="O267" i="3"/>
  <c r="O266" i="3"/>
  <c r="O265" i="3"/>
  <c r="O264" i="3"/>
  <c r="O263" i="3"/>
  <c r="O262" i="3"/>
  <c r="O261" i="3"/>
  <c r="O260" i="3"/>
  <c r="O259" i="3"/>
  <c r="O258" i="3"/>
  <c r="O257" i="3"/>
  <c r="O256" i="3"/>
  <c r="O255" i="3"/>
  <c r="O254" i="3"/>
  <c r="O253" i="3"/>
  <c r="O252" i="3"/>
  <c r="O251" i="3"/>
  <c r="O250" i="3"/>
  <c r="O249" i="3"/>
  <c r="O248" i="3"/>
  <c r="O247" i="3"/>
  <c r="O246" i="3"/>
  <c r="O245" i="3"/>
  <c r="O244" i="3"/>
  <c r="O243" i="3"/>
  <c r="O242" i="3"/>
  <c r="O241" i="3"/>
  <c r="O240" i="3"/>
  <c r="O239" i="3"/>
  <c r="O238" i="3"/>
  <c r="O237" i="3"/>
  <c r="O236" i="3"/>
  <c r="O235" i="3"/>
  <c r="O234" i="3"/>
  <c r="O233" i="3"/>
  <c r="O232" i="3"/>
  <c r="O231" i="3"/>
  <c r="O230" i="3"/>
  <c r="O229" i="3"/>
  <c r="O228" i="3"/>
  <c r="O227" i="3"/>
  <c r="O226" i="3"/>
  <c r="O225" i="3"/>
  <c r="O224" i="3"/>
  <c r="O223" i="3"/>
  <c r="O222" i="3"/>
  <c r="S238" i="3" s="1"/>
  <c r="O221" i="3"/>
  <c r="O220" i="3"/>
  <c r="S244" i="3" s="1"/>
  <c r="O1222" i="3"/>
  <c r="AZ70" i="2"/>
  <c r="AL45" i="2"/>
  <c r="AL86" i="2" s="1"/>
  <c r="AL44" i="2"/>
  <c r="AH108" i="2"/>
  <c r="AG108" i="2"/>
  <c r="AF108" i="2"/>
  <c r="AH107" i="2"/>
  <c r="AG107" i="2"/>
  <c r="AF107" i="2"/>
  <c r="AK102" i="2"/>
  <c r="AJ102" i="2"/>
  <c r="AI102" i="2"/>
  <c r="AH102" i="2"/>
  <c r="AG102" i="2"/>
  <c r="AF102" i="2"/>
  <c r="AK101" i="2"/>
  <c r="AJ101" i="2"/>
  <c r="AI101" i="2"/>
  <c r="AH101" i="2"/>
  <c r="AG101" i="2"/>
  <c r="AF101" i="2"/>
  <c r="AK35" i="2"/>
  <c r="AJ35" i="2"/>
  <c r="AI35" i="2"/>
  <c r="AK89" i="2"/>
  <c r="AJ89" i="2"/>
  <c r="AI89" i="2"/>
  <c r="AK87" i="2"/>
  <c r="AJ87" i="2"/>
  <c r="AI87" i="2"/>
  <c r="AK86" i="2"/>
  <c r="AJ86" i="2"/>
  <c r="AI86" i="2"/>
  <c r="AK85" i="2"/>
  <c r="AJ85" i="2"/>
  <c r="AI85" i="2"/>
  <c r="AK84" i="2"/>
  <c r="AJ84" i="2"/>
  <c r="AI84" i="2"/>
  <c r="AK83" i="2"/>
  <c r="AJ83" i="2"/>
  <c r="AI83" i="2"/>
  <c r="AK82" i="2"/>
  <c r="AJ82" i="2"/>
  <c r="AI82" i="2"/>
  <c r="AK81" i="2"/>
  <c r="AJ81" i="2"/>
  <c r="AI81" i="2"/>
  <c r="AK80" i="2"/>
  <c r="AJ80" i="2"/>
  <c r="AI80" i="2"/>
  <c r="AK79" i="2"/>
  <c r="AJ79" i="2"/>
  <c r="AI79" i="2"/>
  <c r="AK78" i="2"/>
  <c r="AJ78" i="2"/>
  <c r="AI78" i="2"/>
  <c r="AK77" i="2"/>
  <c r="AJ77" i="2"/>
  <c r="AI77" i="2"/>
  <c r="AK74" i="2"/>
  <c r="AJ74" i="2"/>
  <c r="AI74" i="2"/>
  <c r="AK73" i="2"/>
  <c r="AJ73" i="2"/>
  <c r="AI73" i="2"/>
  <c r="AK72" i="2"/>
  <c r="AJ72" i="2"/>
  <c r="AI72" i="2"/>
  <c r="AK71" i="2"/>
  <c r="AJ71" i="2"/>
  <c r="AI71" i="2"/>
  <c r="AK70" i="2"/>
  <c r="AJ70" i="2"/>
  <c r="AI70" i="2"/>
  <c r="AK69" i="2"/>
  <c r="AJ69" i="2"/>
  <c r="AI69" i="2"/>
  <c r="AK68" i="2"/>
  <c r="AJ68" i="2"/>
  <c r="AI68" i="2"/>
  <c r="AK67" i="2"/>
  <c r="AJ67" i="2"/>
  <c r="AI67" i="2"/>
  <c r="AK66" i="2"/>
  <c r="AJ66" i="2"/>
  <c r="AI66" i="2"/>
  <c r="AK65" i="2"/>
  <c r="AJ65" i="2"/>
  <c r="AI65" i="2"/>
  <c r="AK64" i="2"/>
  <c r="AJ64" i="2"/>
  <c r="AI64" i="2"/>
  <c r="AK63" i="2"/>
  <c r="AJ63" i="2"/>
  <c r="AI63" i="2"/>
  <c r="AI62" i="2"/>
  <c r="AJ62" i="2"/>
  <c r="W93" i="2"/>
  <c r="N93" i="2"/>
  <c r="O93" i="2"/>
  <c r="P93" i="2"/>
  <c r="Q93" i="2"/>
  <c r="R93" i="2"/>
  <c r="S93" i="2"/>
  <c r="T93" i="2"/>
  <c r="U93" i="2"/>
  <c r="O97" i="2"/>
  <c r="P97" i="2"/>
  <c r="Q97" i="2"/>
  <c r="S97" i="2"/>
  <c r="T97" i="2"/>
  <c r="U97" i="2"/>
  <c r="W97" i="2"/>
  <c r="V95" i="2"/>
  <c r="U95" i="2"/>
  <c r="T95" i="2"/>
  <c r="S95" i="2"/>
  <c r="R95" i="2"/>
  <c r="Q95" i="2"/>
  <c r="P95" i="2"/>
  <c r="O95" i="2"/>
  <c r="N95" i="2"/>
  <c r="V94" i="2"/>
  <c r="U94" i="2"/>
  <c r="T94" i="2"/>
  <c r="S94" i="2"/>
  <c r="R94" i="2"/>
  <c r="Q94" i="2"/>
  <c r="P94" i="2"/>
  <c r="O94" i="2"/>
  <c r="N94" i="2"/>
  <c r="V93" i="2"/>
  <c r="V92" i="2"/>
  <c r="U92" i="2"/>
  <c r="T92" i="2"/>
  <c r="S92" i="2"/>
  <c r="R92" i="2"/>
  <c r="Q92" i="2"/>
  <c r="P92" i="2"/>
  <c r="O92" i="2"/>
  <c r="N92" i="2"/>
  <c r="W95" i="2"/>
  <c r="W94" i="2"/>
  <c r="W92" i="2"/>
  <c r="AI33" i="7" l="1"/>
  <c r="X60" i="7"/>
  <c r="X52" i="7"/>
  <c r="X99" i="7"/>
  <c r="X98" i="7"/>
  <c r="X59" i="2"/>
  <c r="X60" i="2"/>
  <c r="X98" i="2"/>
  <c r="X52" i="2"/>
  <c r="AN45" i="7"/>
  <c r="AN86" i="7" s="1"/>
  <c r="U99" i="7"/>
  <c r="U98" i="7"/>
  <c r="U60" i="7"/>
  <c r="U52" i="7"/>
  <c r="S59" i="7"/>
  <c r="S50" i="7"/>
  <c r="Q59" i="7"/>
  <c r="Q50" i="7"/>
  <c r="AJ48" i="7"/>
  <c r="AJ59" i="7" s="1"/>
  <c r="H52" i="7"/>
  <c r="H60" i="7"/>
  <c r="AI48" i="7"/>
  <c r="AI59" i="7" s="1"/>
  <c r="O50" i="7"/>
  <c r="O59" i="7"/>
  <c r="F50" i="7"/>
  <c r="F59" i="7"/>
  <c r="T59" i="7"/>
  <c r="T50" i="7"/>
  <c r="D52" i="7"/>
  <c r="D60" i="7"/>
  <c r="J58" i="7"/>
  <c r="J48" i="7"/>
  <c r="I60" i="7"/>
  <c r="I52" i="7"/>
  <c r="C59" i="7"/>
  <c r="C50" i="7"/>
  <c r="AF48" i="7"/>
  <c r="AF59" i="7" s="1"/>
  <c r="R50" i="7"/>
  <c r="R59" i="7"/>
  <c r="M60" i="7"/>
  <c r="M52" i="7"/>
  <c r="AM7" i="7"/>
  <c r="AN4" i="7"/>
  <c r="L52" i="7"/>
  <c r="L60" i="7"/>
  <c r="AJ12" i="7"/>
  <c r="AJ16" i="7"/>
  <c r="AL37" i="7"/>
  <c r="AL12" i="7"/>
  <c r="AJ14" i="7"/>
  <c r="W59" i="7"/>
  <c r="W50" i="7"/>
  <c r="K59" i="7"/>
  <c r="K50" i="7"/>
  <c r="AH48" i="7"/>
  <c r="AH59" i="7" s="1"/>
  <c r="AG48" i="7"/>
  <c r="AG59" i="7" s="1"/>
  <c r="G59" i="7"/>
  <c r="G50" i="7"/>
  <c r="V48" i="7"/>
  <c r="V58" i="7"/>
  <c r="AK12" i="7"/>
  <c r="AK16" i="7"/>
  <c r="AK14" i="7"/>
  <c r="AK15" i="7"/>
  <c r="E60" i="7"/>
  <c r="E52" i="7"/>
  <c r="N48" i="7"/>
  <c r="N58" i="7"/>
  <c r="AK43" i="7"/>
  <c r="AK58" i="7" s="1"/>
  <c r="S239" i="3"/>
  <c r="S240" i="3"/>
  <c r="U365" i="3" s="1"/>
  <c r="S241" i="3"/>
  <c r="S242" i="3"/>
  <c r="U355" i="3" s="1"/>
  <c r="T252" i="3"/>
  <c r="AM45" i="2"/>
  <c r="AM86" i="2" s="1"/>
  <c r="AN45" i="2" s="1"/>
  <c r="AN86" i="2" s="1"/>
  <c r="AI94" i="2"/>
  <c r="AI92" i="2"/>
  <c r="AI93" i="2"/>
  <c r="AJ94" i="2"/>
  <c r="AJ92" i="2"/>
  <c r="AJ93" i="2"/>
  <c r="AO45" i="7" l="1"/>
  <c r="AO86" i="7" s="1"/>
  <c r="R98" i="7"/>
  <c r="R60" i="7"/>
  <c r="R99" i="7"/>
  <c r="R52" i="7"/>
  <c r="S99" i="7"/>
  <c r="S60" i="7"/>
  <c r="S98" i="7"/>
  <c r="S52" i="7"/>
  <c r="T99" i="7"/>
  <c r="T52" i="7"/>
  <c r="T60" i="7"/>
  <c r="T98" i="7"/>
  <c r="AN7" i="7"/>
  <c r="AO4" i="7"/>
  <c r="O52" i="7"/>
  <c r="O98" i="7"/>
  <c r="O60" i="7"/>
  <c r="AI50" i="7"/>
  <c r="O99" i="7"/>
  <c r="K60" i="7"/>
  <c r="K52" i="7"/>
  <c r="W52" i="7"/>
  <c r="W98" i="7"/>
  <c r="W60" i="7"/>
  <c r="W99" i="7"/>
  <c r="G52" i="7"/>
  <c r="G60" i="7"/>
  <c r="AM37" i="7"/>
  <c r="AM12" i="7"/>
  <c r="Q98" i="7"/>
  <c r="Q60" i="7"/>
  <c r="Q99" i="7"/>
  <c r="Q52" i="7"/>
  <c r="AJ50" i="7"/>
  <c r="AF50" i="7"/>
  <c r="C60" i="7"/>
  <c r="C52" i="7"/>
  <c r="N50" i="7"/>
  <c r="N59" i="7"/>
  <c r="F52" i="7"/>
  <c r="F60" i="7"/>
  <c r="V50" i="7"/>
  <c r="V59" i="7"/>
  <c r="AL39" i="7"/>
  <c r="AL42" i="7"/>
  <c r="AL41" i="7"/>
  <c r="AL38" i="7"/>
  <c r="AL40" i="7"/>
  <c r="J50" i="7"/>
  <c r="AG50" i="7" s="1"/>
  <c r="J59" i="7"/>
  <c r="AK48" i="7"/>
  <c r="AK59" i="7" s="1"/>
  <c r="U346" i="3"/>
  <c r="U316" i="3"/>
  <c r="U333" i="3"/>
  <c r="U358" i="3"/>
  <c r="U320" i="3"/>
  <c r="U311" i="3"/>
  <c r="U290" i="3"/>
  <c r="U354" i="3"/>
  <c r="U260" i="3"/>
  <c r="U324" i="3"/>
  <c r="U349" i="3"/>
  <c r="U302" i="3"/>
  <c r="U255" i="3"/>
  <c r="U264" i="3"/>
  <c r="U328" i="3"/>
  <c r="U273" i="3"/>
  <c r="U331" i="3"/>
  <c r="U363" i="3"/>
  <c r="U298" i="3"/>
  <c r="U268" i="3"/>
  <c r="U285" i="3"/>
  <c r="U310" i="3"/>
  <c r="U272" i="3"/>
  <c r="U281" i="3"/>
  <c r="U351" i="3"/>
  <c r="U345" i="3"/>
  <c r="U306" i="3"/>
  <c r="U259" i="3"/>
  <c r="U276" i="3"/>
  <c r="U340" i="3"/>
  <c r="U293" i="3"/>
  <c r="U254" i="3"/>
  <c r="U318" i="3"/>
  <c r="U279" i="3"/>
  <c r="U280" i="3"/>
  <c r="U344" i="3"/>
  <c r="U289" i="3"/>
  <c r="U313" i="3"/>
  <c r="U319" i="3"/>
  <c r="U314" i="3"/>
  <c r="U267" i="3"/>
  <c r="U284" i="3"/>
  <c r="U348" i="3"/>
  <c r="U301" i="3"/>
  <c r="U262" i="3"/>
  <c r="U326" i="3"/>
  <c r="U287" i="3"/>
  <c r="U288" i="3"/>
  <c r="U352" i="3"/>
  <c r="U297" i="3"/>
  <c r="U335" i="3"/>
  <c r="U359" i="3"/>
  <c r="U269" i="3"/>
  <c r="U307" i="3"/>
  <c r="U339" i="3"/>
  <c r="U258" i="3"/>
  <c r="U322" i="3"/>
  <c r="U275" i="3"/>
  <c r="U292" i="3"/>
  <c r="U356" i="3"/>
  <c r="U309" i="3"/>
  <c r="U270" i="3"/>
  <c r="U334" i="3"/>
  <c r="U295" i="3"/>
  <c r="U296" i="3"/>
  <c r="U360" i="3"/>
  <c r="U305" i="3"/>
  <c r="U353" i="3"/>
  <c r="U321" i="3"/>
  <c r="U343" i="3"/>
  <c r="U362" i="3"/>
  <c r="U332" i="3"/>
  <c r="U357" i="3"/>
  <c r="U263" i="3"/>
  <c r="U336" i="3"/>
  <c r="U341" i="3"/>
  <c r="U266" i="3"/>
  <c r="U330" i="3"/>
  <c r="U283" i="3"/>
  <c r="U300" i="3"/>
  <c r="U364" i="3"/>
  <c r="U317" i="3"/>
  <c r="U278" i="3"/>
  <c r="U342" i="3"/>
  <c r="U303" i="3"/>
  <c r="U304" i="3"/>
  <c r="U329" i="3"/>
  <c r="U315" i="3"/>
  <c r="U327" i="3"/>
  <c r="U282" i="3"/>
  <c r="U299" i="3"/>
  <c r="U294" i="3"/>
  <c r="U256" i="3"/>
  <c r="U265" i="3"/>
  <c r="U277" i="3"/>
  <c r="U274" i="3"/>
  <c r="U338" i="3"/>
  <c r="U291" i="3"/>
  <c r="U308" i="3"/>
  <c r="U261" i="3"/>
  <c r="U325" i="3"/>
  <c r="U286" i="3"/>
  <c r="U350" i="3"/>
  <c r="U271" i="3"/>
  <c r="U312" i="3"/>
  <c r="U257" i="3"/>
  <c r="U347" i="3"/>
  <c r="U337" i="3"/>
  <c r="U323" i="3"/>
  <c r="U361" i="3"/>
  <c r="U253" i="3"/>
  <c r="U252" i="3"/>
  <c r="T251" i="3"/>
  <c r="AO45" i="2"/>
  <c r="AO86" i="2" s="1"/>
  <c r="AN37" i="7" l="1"/>
  <c r="AN12" i="7"/>
  <c r="AG60" i="7"/>
  <c r="AG52" i="7"/>
  <c r="V52" i="7"/>
  <c r="V98" i="7"/>
  <c r="V60" i="7"/>
  <c r="V99" i="7"/>
  <c r="J60" i="7"/>
  <c r="J52" i="7"/>
  <c r="AF52" i="7"/>
  <c r="AF60" i="7"/>
  <c r="AI98" i="7"/>
  <c r="AI99" i="7"/>
  <c r="AI52" i="7"/>
  <c r="AI60" i="7"/>
  <c r="N52" i="7"/>
  <c r="N98" i="7"/>
  <c r="N60" i="7"/>
  <c r="N99" i="7"/>
  <c r="AJ98" i="7"/>
  <c r="AJ99" i="7"/>
  <c r="AJ52" i="7"/>
  <c r="AJ60" i="7"/>
  <c r="AL43" i="7"/>
  <c r="AM42" i="7"/>
  <c r="AM40" i="7"/>
  <c r="AM41" i="7"/>
  <c r="AM39" i="7"/>
  <c r="AM38" i="7"/>
  <c r="AH50" i="7"/>
  <c r="AP4" i="7"/>
  <c r="AO7" i="7"/>
  <c r="AK50" i="7"/>
  <c r="AP45" i="7"/>
  <c r="AP86" i="7" s="1"/>
  <c r="T250" i="3"/>
  <c r="U251" i="3"/>
  <c r="AP45" i="2"/>
  <c r="AP86" i="2" s="1"/>
  <c r="AM43" i="7" l="1"/>
  <c r="AM58" i="7" s="1"/>
  <c r="AQ45" i="7"/>
  <c r="AQ86" i="7" s="1"/>
  <c r="AQ4" i="7"/>
  <c r="AP7" i="7"/>
  <c r="AH60" i="7"/>
  <c r="AH52" i="7"/>
  <c r="AK98" i="7"/>
  <c r="AK99" i="7"/>
  <c r="AK60" i="7"/>
  <c r="AK52" i="7"/>
  <c r="AO12" i="7"/>
  <c r="AO37" i="7"/>
  <c r="AL48" i="7"/>
  <c r="BB64" i="7"/>
  <c r="BB65" i="7" s="1"/>
  <c r="AL58" i="7"/>
  <c r="AN42" i="7"/>
  <c r="AN40" i="7"/>
  <c r="AN39" i="7"/>
  <c r="AN38" i="7"/>
  <c r="AN41" i="7"/>
  <c r="T249" i="3"/>
  <c r="U249" i="3" s="1"/>
  <c r="U250" i="3"/>
  <c r="AQ45" i="2"/>
  <c r="AQ86" i="2"/>
  <c r="AR45" i="2"/>
  <c r="AR86" i="2"/>
  <c r="AR45" i="7" l="1"/>
  <c r="AR86" i="7" s="1"/>
  <c r="AL49" i="7"/>
  <c r="AL50" i="7" s="1"/>
  <c r="AO40" i="7"/>
  <c r="AO41" i="7"/>
  <c r="AO42" i="7"/>
  <c r="AO38" i="7"/>
  <c r="AO39" i="7"/>
  <c r="AP12" i="7"/>
  <c r="AP37" i="7"/>
  <c r="AR4" i="7"/>
  <c r="AQ7" i="7"/>
  <c r="AN43" i="7"/>
  <c r="AS45" i="2"/>
  <c r="AS86" i="2"/>
  <c r="AL60" i="7" l="1"/>
  <c r="AL62" i="7"/>
  <c r="AQ37" i="7"/>
  <c r="AQ12" i="7"/>
  <c r="AP40" i="7"/>
  <c r="AP41" i="7"/>
  <c r="AP38" i="7"/>
  <c r="AP39" i="7"/>
  <c r="AP42" i="7"/>
  <c r="AR7" i="7"/>
  <c r="AS4" i="7"/>
  <c r="AS45" i="7"/>
  <c r="AS86" i="7" s="1"/>
  <c r="AN58" i="7"/>
  <c r="AO43" i="7"/>
  <c r="AT45" i="2"/>
  <c r="AT86" i="2" s="1"/>
  <c r="AP43" i="7" l="1"/>
  <c r="AP58" i="7" s="1"/>
  <c r="AT45" i="7"/>
  <c r="AT86" i="7" s="1"/>
  <c r="AS7" i="7"/>
  <c r="AT4" i="7"/>
  <c r="AQ38" i="7"/>
  <c r="AQ41" i="7"/>
  <c r="AQ40" i="7"/>
  <c r="AQ42" i="7"/>
  <c r="AQ39" i="7"/>
  <c r="AR12" i="7"/>
  <c r="AR37" i="7"/>
  <c r="AM44" i="7"/>
  <c r="AM48" i="7" s="1"/>
  <c r="AO58" i="7"/>
  <c r="AU45" i="2"/>
  <c r="AU86" i="2" s="1"/>
  <c r="AU45" i="7" l="1"/>
  <c r="AU86" i="7" s="1"/>
  <c r="AS12" i="7"/>
  <c r="AS37" i="7"/>
  <c r="AM49" i="7"/>
  <c r="AM50" i="7" s="1"/>
  <c r="AR41" i="7"/>
  <c r="AR39" i="7"/>
  <c r="AR42" i="7"/>
  <c r="AR40" i="7"/>
  <c r="AR38" i="7"/>
  <c r="AT7" i="7"/>
  <c r="AU4" i="7"/>
  <c r="AU7" i="7" s="1"/>
  <c r="AQ43" i="7"/>
  <c r="P74" i="2"/>
  <c r="P75" i="2" s="1"/>
  <c r="P96" i="2" s="1"/>
  <c r="N88" i="2"/>
  <c r="N75" i="2"/>
  <c r="R6" i="2"/>
  <c r="R5" i="2"/>
  <c r="R4" i="2"/>
  <c r="AJ4" i="2" s="1"/>
  <c r="F47" i="2"/>
  <c r="AF47" i="2" s="1"/>
  <c r="F49" i="2"/>
  <c r="AF49" i="2" s="1"/>
  <c r="F46" i="2"/>
  <c r="AF46" i="2" s="1"/>
  <c r="F45" i="2"/>
  <c r="AF45" i="2" s="1"/>
  <c r="F44" i="2"/>
  <c r="AF44" i="2" s="1"/>
  <c r="F42" i="2"/>
  <c r="AF42" i="2" s="1"/>
  <c r="F41" i="2"/>
  <c r="F56" i="2" s="1"/>
  <c r="F40" i="2"/>
  <c r="F55" i="2" s="1"/>
  <c r="F38" i="2"/>
  <c r="F39" i="2" s="1"/>
  <c r="F54" i="2" s="1"/>
  <c r="J38" i="2"/>
  <c r="J39" i="2" s="1"/>
  <c r="J54" i="2" s="1"/>
  <c r="J49" i="2"/>
  <c r="AG49" i="2" s="1"/>
  <c r="J47" i="2"/>
  <c r="AG47" i="2" s="1"/>
  <c r="J46" i="2"/>
  <c r="AG46" i="2" s="1"/>
  <c r="J45" i="2"/>
  <c r="AG45" i="2" s="1"/>
  <c r="J44" i="2"/>
  <c r="J42" i="2"/>
  <c r="J57" i="2" s="1"/>
  <c r="J41" i="2"/>
  <c r="J56" i="2" s="1"/>
  <c r="J40" i="2"/>
  <c r="N49" i="2"/>
  <c r="AH49" i="2" s="1"/>
  <c r="N47" i="2"/>
  <c r="AH47" i="2" s="1"/>
  <c r="N46" i="2"/>
  <c r="AH46" i="2" s="1"/>
  <c r="N45" i="2"/>
  <c r="AH45" i="2" s="1"/>
  <c r="N44" i="2"/>
  <c r="N42" i="2"/>
  <c r="AH42" i="2" s="1"/>
  <c r="N41" i="2"/>
  <c r="N56" i="2" s="1"/>
  <c r="N40" i="2"/>
  <c r="N55" i="2" s="1"/>
  <c r="N38" i="2"/>
  <c r="V49" i="2"/>
  <c r="AK49" i="2" s="1"/>
  <c r="R49" i="2"/>
  <c r="AI49" i="2" s="1"/>
  <c r="R47" i="2"/>
  <c r="AJ47" i="2" s="1"/>
  <c r="R46" i="2"/>
  <c r="AJ46" i="2" s="1"/>
  <c r="R45" i="2"/>
  <c r="AI45" i="2" s="1"/>
  <c r="R44" i="2"/>
  <c r="AJ44" i="2" s="1"/>
  <c r="R42" i="2"/>
  <c r="R57" i="2" s="1"/>
  <c r="R41" i="2"/>
  <c r="R56" i="2" s="1"/>
  <c r="R40" i="2"/>
  <c r="R55" i="2" s="1"/>
  <c r="R38" i="2"/>
  <c r="R97" i="2" s="1"/>
  <c r="V47" i="2"/>
  <c r="AK47" i="2" s="1"/>
  <c r="V46" i="2"/>
  <c r="AK46" i="2" s="1"/>
  <c r="V45" i="2"/>
  <c r="AK45" i="2" s="1"/>
  <c r="V44" i="2"/>
  <c r="V42" i="2"/>
  <c r="V41" i="2"/>
  <c r="V40" i="2"/>
  <c r="V55" i="2" s="1"/>
  <c r="V38" i="2"/>
  <c r="V97" i="2" s="1"/>
  <c r="R21" i="2"/>
  <c r="AJ21" i="2" s="1"/>
  <c r="R20" i="2"/>
  <c r="AJ20" i="2" s="1"/>
  <c r="R19" i="2"/>
  <c r="AJ19" i="2" s="1"/>
  <c r="R18" i="2"/>
  <c r="V21" i="2"/>
  <c r="AK21" i="2" s="1"/>
  <c r="V20" i="2"/>
  <c r="AK20" i="2" s="1"/>
  <c r="V19" i="2"/>
  <c r="AK19" i="2" s="1"/>
  <c r="V18" i="2"/>
  <c r="AK18" i="2" s="1"/>
  <c r="V6" i="2"/>
  <c r="AK6" i="2" s="1"/>
  <c r="AL6" i="2" s="1"/>
  <c r="V5" i="2"/>
  <c r="AK5" i="2" s="1"/>
  <c r="AL5" i="2" s="1"/>
  <c r="V4" i="2"/>
  <c r="I57" i="2"/>
  <c r="H57" i="2"/>
  <c r="G57" i="2"/>
  <c r="E57" i="2"/>
  <c r="D57" i="2"/>
  <c r="C57" i="2"/>
  <c r="I56" i="2"/>
  <c r="H56" i="2"/>
  <c r="G56" i="2"/>
  <c r="E56" i="2"/>
  <c r="D56" i="2"/>
  <c r="C56" i="2"/>
  <c r="I55" i="2"/>
  <c r="H55" i="2"/>
  <c r="G55" i="2"/>
  <c r="E55" i="2"/>
  <c r="D55" i="2"/>
  <c r="C55" i="2"/>
  <c r="V88" i="2"/>
  <c r="AK88" i="2" s="1"/>
  <c r="T88" i="2"/>
  <c r="T90" i="2" s="1"/>
  <c r="S88" i="2"/>
  <c r="S90" i="2" s="1"/>
  <c r="Q88" i="2"/>
  <c r="Q90" i="2" s="1"/>
  <c r="P88" i="2"/>
  <c r="P90" i="2" s="1"/>
  <c r="U87" i="2"/>
  <c r="U88" i="2" s="1"/>
  <c r="U90" i="2" s="1"/>
  <c r="W88" i="2"/>
  <c r="W90" i="2" s="1"/>
  <c r="AZ81" i="2"/>
  <c r="AK62" i="2"/>
  <c r="AK51" i="2"/>
  <c r="AK104" i="2" s="1"/>
  <c r="AJ51" i="2"/>
  <c r="AJ104" i="2" s="1"/>
  <c r="AI51" i="2"/>
  <c r="AI104" i="2" s="1"/>
  <c r="AH51" i="2"/>
  <c r="AH104" i="2" s="1"/>
  <c r="AG51" i="2"/>
  <c r="AG104" i="2" s="1"/>
  <c r="AF51" i="2"/>
  <c r="AF104" i="2" s="1"/>
  <c r="AK37" i="2"/>
  <c r="U57" i="2"/>
  <c r="T57" i="2"/>
  <c r="S57" i="2"/>
  <c r="Q57" i="2"/>
  <c r="P57" i="2"/>
  <c r="O57" i="2"/>
  <c r="M57" i="2"/>
  <c r="L57" i="2"/>
  <c r="K57" i="2"/>
  <c r="U56" i="2"/>
  <c r="T56" i="2"/>
  <c r="S56" i="2"/>
  <c r="Q56" i="2"/>
  <c r="P56" i="2"/>
  <c r="O56" i="2"/>
  <c r="M56" i="2"/>
  <c r="L56" i="2"/>
  <c r="K56" i="2"/>
  <c r="U55" i="2"/>
  <c r="T55" i="2"/>
  <c r="S55" i="2"/>
  <c r="Q55" i="2"/>
  <c r="P55" i="2"/>
  <c r="O55" i="2"/>
  <c r="M55" i="2"/>
  <c r="L55" i="2"/>
  <c r="K55" i="2"/>
  <c r="W57" i="2"/>
  <c r="W56" i="2"/>
  <c r="W55" i="2"/>
  <c r="W75" i="2"/>
  <c r="W96" i="2" s="1"/>
  <c r="U75" i="2"/>
  <c r="U96" i="2" s="1"/>
  <c r="T75" i="2"/>
  <c r="T96" i="2" s="1"/>
  <c r="S75" i="2"/>
  <c r="S96" i="2" s="1"/>
  <c r="R75" i="2"/>
  <c r="Q75" i="2"/>
  <c r="Q96" i="2" s="1"/>
  <c r="O75" i="2"/>
  <c r="O96" i="2" s="1"/>
  <c r="V75" i="2"/>
  <c r="W108" i="2"/>
  <c r="V108" i="2"/>
  <c r="U108" i="2"/>
  <c r="T108" i="2"/>
  <c r="S108" i="2"/>
  <c r="R108" i="2"/>
  <c r="Q108" i="2"/>
  <c r="P108" i="2"/>
  <c r="O108" i="2"/>
  <c r="N108" i="2"/>
  <c r="M108" i="2"/>
  <c r="L108" i="2"/>
  <c r="K108" i="2"/>
  <c r="J108" i="2"/>
  <c r="I108" i="2"/>
  <c r="H108" i="2"/>
  <c r="G108" i="2"/>
  <c r="F108" i="2"/>
  <c r="E108" i="2"/>
  <c r="D108" i="2"/>
  <c r="C108" i="2"/>
  <c r="W104" i="2"/>
  <c r="V104" i="2"/>
  <c r="U104" i="2"/>
  <c r="T104" i="2"/>
  <c r="S104" i="2"/>
  <c r="R104" i="2"/>
  <c r="Q104" i="2"/>
  <c r="P104" i="2"/>
  <c r="O104" i="2"/>
  <c r="N104" i="2"/>
  <c r="M104" i="2"/>
  <c r="L104" i="2"/>
  <c r="K104" i="2"/>
  <c r="J104" i="2"/>
  <c r="I104" i="2"/>
  <c r="H104" i="2"/>
  <c r="G104" i="2"/>
  <c r="F104" i="2"/>
  <c r="E104" i="2"/>
  <c r="D104" i="2"/>
  <c r="C104" i="2"/>
  <c r="W103" i="2"/>
  <c r="U27" i="2"/>
  <c r="T27" i="2"/>
  <c r="S27" i="2"/>
  <c r="U26" i="2"/>
  <c r="T26" i="2"/>
  <c r="S26" i="2"/>
  <c r="U25" i="2"/>
  <c r="T25" i="2"/>
  <c r="S25" i="2"/>
  <c r="U24" i="2"/>
  <c r="T24" i="2"/>
  <c r="S24" i="2"/>
  <c r="U22" i="2"/>
  <c r="U33" i="2" s="1"/>
  <c r="T22" i="2"/>
  <c r="T30" i="2" s="1"/>
  <c r="S22" i="2"/>
  <c r="S33" i="2" s="1"/>
  <c r="Q22" i="2"/>
  <c r="Q30" i="2" s="1"/>
  <c r="P22" i="2"/>
  <c r="P31" i="2" s="1"/>
  <c r="O22" i="2"/>
  <c r="O32" i="2" s="1"/>
  <c r="W22" i="2"/>
  <c r="W33" i="2" s="1"/>
  <c r="W27" i="2"/>
  <c r="W26" i="2"/>
  <c r="AG44" i="2"/>
  <c r="J55" i="2"/>
  <c r="AH44" i="2"/>
  <c r="R39" i="2"/>
  <c r="R54" i="2" s="1"/>
  <c r="AK44" i="2"/>
  <c r="V57" i="2"/>
  <c r="V56" i="2"/>
  <c r="AK38" i="2"/>
  <c r="AK97" i="2" s="1"/>
  <c r="W11" i="2"/>
  <c r="W10" i="2"/>
  <c r="W9" i="2"/>
  <c r="W7" i="2"/>
  <c r="W15" i="2" s="1"/>
  <c r="U11" i="2"/>
  <c r="T11" i="2"/>
  <c r="S11" i="2"/>
  <c r="U10" i="2"/>
  <c r="T10" i="2"/>
  <c r="S10" i="2"/>
  <c r="U9" i="2"/>
  <c r="T9" i="2"/>
  <c r="S9" i="2"/>
  <c r="U7" i="2"/>
  <c r="U16" i="2" s="1"/>
  <c r="T7" i="2"/>
  <c r="T16" i="2" s="1"/>
  <c r="S7" i="2"/>
  <c r="S14" i="2" s="1"/>
  <c r="Q7" i="2"/>
  <c r="Q14" i="2" s="1"/>
  <c r="P7" i="2"/>
  <c r="P14" i="2" s="1"/>
  <c r="O7" i="2"/>
  <c r="O15" i="2" s="1"/>
  <c r="AK108" i="2" l="1"/>
  <c r="AK107" i="2"/>
  <c r="AR43" i="7"/>
  <c r="AR58" i="7" s="1"/>
  <c r="AM60" i="7"/>
  <c r="AM62" i="7"/>
  <c r="AQ58" i="7"/>
  <c r="AU37" i="7"/>
  <c r="AU12" i="7"/>
  <c r="AT37" i="7"/>
  <c r="AT12" i="7"/>
  <c r="AS41" i="7"/>
  <c r="AS42" i="7"/>
  <c r="AS39" i="7"/>
  <c r="AS38" i="7"/>
  <c r="AS40" i="7"/>
  <c r="AK94" i="2"/>
  <c r="AK93" i="2"/>
  <c r="AK92" i="2"/>
  <c r="AK96" i="2"/>
  <c r="AK95" i="2"/>
  <c r="N96" i="2"/>
  <c r="AI75" i="2"/>
  <c r="N90" i="2"/>
  <c r="AI90" i="2" s="1"/>
  <c r="AI88" i="2"/>
  <c r="V96" i="2"/>
  <c r="AK75" i="2"/>
  <c r="R96" i="2"/>
  <c r="AJ75" i="2"/>
  <c r="N39" i="2"/>
  <c r="N54" i="2" s="1"/>
  <c r="N97" i="2"/>
  <c r="S15" i="2"/>
  <c r="S16" i="2"/>
  <c r="S30" i="2"/>
  <c r="U30" i="2"/>
  <c r="S31" i="2"/>
  <c r="Q15" i="2"/>
  <c r="S32" i="2"/>
  <c r="BE67" i="2"/>
  <c r="R88" i="2"/>
  <c r="O88" i="2"/>
  <c r="O90" i="2" s="1"/>
  <c r="F57" i="2"/>
  <c r="O33" i="2"/>
  <c r="O30" i="2"/>
  <c r="O31" i="2"/>
  <c r="O14" i="2"/>
  <c r="O16" i="2"/>
  <c r="P30" i="2"/>
  <c r="P33" i="2"/>
  <c r="P32" i="2"/>
  <c r="P16" i="2"/>
  <c r="P15" i="2"/>
  <c r="T33" i="2"/>
  <c r="T32" i="2"/>
  <c r="T31" i="2"/>
  <c r="T14" i="2"/>
  <c r="T15" i="2"/>
  <c r="Q31" i="2"/>
  <c r="Q32" i="2"/>
  <c r="Q33" i="2"/>
  <c r="U32" i="2"/>
  <c r="U31" i="2"/>
  <c r="Q16" i="2"/>
  <c r="U15" i="2"/>
  <c r="U14" i="2"/>
  <c r="AZ64" i="2"/>
  <c r="AI20" i="2"/>
  <c r="AI21" i="2"/>
  <c r="AJ27" i="2" s="1"/>
  <c r="AI4" i="2"/>
  <c r="AJ45" i="2"/>
  <c r="V9" i="2"/>
  <c r="AI41" i="2"/>
  <c r="N57" i="2"/>
  <c r="AH40" i="2"/>
  <c r="AJ49" i="2"/>
  <c r="AI40" i="2"/>
  <c r="AJ41" i="2"/>
  <c r="AK41" i="2"/>
  <c r="AK56" i="2" s="1"/>
  <c r="R22" i="2"/>
  <c r="R30" i="2" s="1"/>
  <c r="AK42" i="2"/>
  <c r="AK57" i="2" s="1"/>
  <c r="AK25" i="2"/>
  <c r="AK26" i="2"/>
  <c r="AI44" i="2"/>
  <c r="AG40" i="2"/>
  <c r="AJ40" i="2"/>
  <c r="AI19" i="2"/>
  <c r="AK40" i="2"/>
  <c r="AK55" i="2" s="1"/>
  <c r="AG42" i="2"/>
  <c r="AI47" i="2"/>
  <c r="AK27" i="2"/>
  <c r="AF41" i="2"/>
  <c r="AG41" i="2"/>
  <c r="AI42" i="2"/>
  <c r="AI46" i="2"/>
  <c r="AF40" i="2"/>
  <c r="AH41" i="2"/>
  <c r="AJ42" i="2"/>
  <c r="W105" i="2"/>
  <c r="AI5" i="2"/>
  <c r="AJ5" i="2"/>
  <c r="AK10" i="2" s="1"/>
  <c r="R7" i="2"/>
  <c r="R14" i="2" s="1"/>
  <c r="W107" i="2"/>
  <c r="W16" i="2"/>
  <c r="V10" i="2"/>
  <c r="AI6" i="2"/>
  <c r="AJ6" i="2"/>
  <c r="J43" i="2"/>
  <c r="J58" i="2" s="1"/>
  <c r="S28" i="2"/>
  <c r="V22" i="2"/>
  <c r="T28" i="2"/>
  <c r="W14" i="2"/>
  <c r="W32" i="2"/>
  <c r="U28" i="2"/>
  <c r="V24" i="2"/>
  <c r="V25" i="2"/>
  <c r="V26" i="2"/>
  <c r="V27" i="2"/>
  <c r="R43" i="2"/>
  <c r="N43" i="2"/>
  <c r="AK4" i="2"/>
  <c r="AL4" i="2" s="1"/>
  <c r="AL7" i="2" s="1"/>
  <c r="F43" i="2"/>
  <c r="F58" i="2" s="1"/>
  <c r="V7" i="2"/>
  <c r="V11" i="2"/>
  <c r="S12" i="2"/>
  <c r="W12" i="2"/>
  <c r="T12" i="2"/>
  <c r="U12" i="2"/>
  <c r="AS43" i="7" l="1"/>
  <c r="AU39" i="7"/>
  <c r="AU42" i="7"/>
  <c r="AU40" i="7"/>
  <c r="AU41" i="7"/>
  <c r="AU38" i="7"/>
  <c r="AN44" i="7"/>
  <c r="AN48" i="7" s="1"/>
  <c r="AT39" i="7"/>
  <c r="AT40" i="7"/>
  <c r="AT38" i="7"/>
  <c r="AT42" i="7"/>
  <c r="AT41" i="7"/>
  <c r="R90" i="2"/>
  <c r="AJ90" i="2" s="1"/>
  <c r="AJ88" i="2"/>
  <c r="AL37" i="2"/>
  <c r="AJ26" i="2"/>
  <c r="R31" i="2"/>
  <c r="R33" i="2"/>
  <c r="R32" i="2"/>
  <c r="V33" i="2"/>
  <c r="V31" i="2"/>
  <c r="V32" i="2"/>
  <c r="V30" i="2"/>
  <c r="R15" i="2"/>
  <c r="R16" i="2"/>
  <c r="V16" i="2"/>
  <c r="V15" i="2"/>
  <c r="V14" i="2"/>
  <c r="AJ9" i="2"/>
  <c r="V28" i="2"/>
  <c r="AJ11" i="2"/>
  <c r="AK11" i="2"/>
  <c r="AK9" i="2"/>
  <c r="AM5" i="2"/>
  <c r="AN5" i="2" s="1"/>
  <c r="AO5" i="2" s="1"/>
  <c r="AP5" i="2" s="1"/>
  <c r="AQ5" i="2" s="1"/>
  <c r="AR5" i="2" s="1"/>
  <c r="AS5" i="2" s="1"/>
  <c r="AT5" i="2" s="1"/>
  <c r="AU5" i="2" s="1"/>
  <c r="AJ10" i="2"/>
  <c r="AK22" i="2"/>
  <c r="AJ7" i="2"/>
  <c r="AJ15" i="2" s="1"/>
  <c r="AI7" i="2"/>
  <c r="AI15" i="2" s="1"/>
  <c r="V12" i="2"/>
  <c r="F48" i="2"/>
  <c r="F59" i="2" s="1"/>
  <c r="N48" i="2"/>
  <c r="N58" i="2"/>
  <c r="J48" i="2"/>
  <c r="J59" i="2" s="1"/>
  <c r="R48" i="2"/>
  <c r="R58" i="2"/>
  <c r="AM6" i="2"/>
  <c r="AN6" i="2" s="1"/>
  <c r="AO6" i="2" s="1"/>
  <c r="AP6" i="2" s="1"/>
  <c r="AQ6" i="2" s="1"/>
  <c r="AR6" i="2" s="1"/>
  <c r="AS6" i="2" s="1"/>
  <c r="AT6" i="2" s="1"/>
  <c r="AU6" i="2" s="1"/>
  <c r="AK7" i="2"/>
  <c r="AL12" i="2" s="1"/>
  <c r="AM4" i="2"/>
  <c r="AN49" i="7" l="1"/>
  <c r="AN50" i="7" s="1"/>
  <c r="AU43" i="7"/>
  <c r="AT43" i="7"/>
  <c r="AS58" i="7"/>
  <c r="AL38" i="2"/>
  <c r="AL39" i="2"/>
  <c r="AL42" i="2"/>
  <c r="AL41" i="2"/>
  <c r="AL40" i="2"/>
  <c r="AI16" i="2"/>
  <c r="AI14" i="2"/>
  <c r="AK12" i="2"/>
  <c r="AK15" i="2"/>
  <c r="AK16" i="2"/>
  <c r="AK31" i="2"/>
  <c r="AK33" i="2"/>
  <c r="AK30" i="2"/>
  <c r="AK32" i="2"/>
  <c r="AK14" i="2"/>
  <c r="AJ14" i="2"/>
  <c r="AJ12" i="2"/>
  <c r="AJ16" i="2"/>
  <c r="J50" i="2"/>
  <c r="J60" i="2" s="1"/>
  <c r="N50" i="2"/>
  <c r="N59" i="2"/>
  <c r="R50" i="2"/>
  <c r="R59" i="2"/>
  <c r="F50" i="2"/>
  <c r="F60" i="2" s="1"/>
  <c r="AM7" i="2"/>
  <c r="AM37" i="2" s="1"/>
  <c r="AN4" i="2"/>
  <c r="AT58" i="7" l="1"/>
  <c r="AU58" i="7"/>
  <c r="AN60" i="7"/>
  <c r="AN62" i="7"/>
  <c r="AL43" i="2"/>
  <c r="AM40" i="2"/>
  <c r="AM42" i="2"/>
  <c r="AM39" i="2"/>
  <c r="AM41" i="2"/>
  <c r="AM38" i="2"/>
  <c r="R98" i="2"/>
  <c r="R99" i="2"/>
  <c r="N99" i="2"/>
  <c r="N98" i="2"/>
  <c r="AM12" i="2"/>
  <c r="F52" i="2"/>
  <c r="R60" i="2"/>
  <c r="R52" i="2"/>
  <c r="N60" i="2"/>
  <c r="N52" i="2"/>
  <c r="J52" i="2"/>
  <c r="AN7" i="2"/>
  <c r="AO4" i="2"/>
  <c r="AO44" i="7" l="1"/>
  <c r="AO48" i="7" s="1"/>
  <c r="AM43" i="2"/>
  <c r="AM58" i="2" s="1"/>
  <c r="AL48" i="2"/>
  <c r="AL49" i="2" s="1"/>
  <c r="AL50" i="2" s="1"/>
  <c r="BB64" i="2"/>
  <c r="BB65" i="2" s="1"/>
  <c r="AL58" i="2"/>
  <c r="AN12" i="2"/>
  <c r="AN37" i="2"/>
  <c r="AP4" i="2"/>
  <c r="AO7" i="2"/>
  <c r="AO49" i="7" l="1"/>
  <c r="AO50" i="7" s="1"/>
  <c r="AN41" i="2"/>
  <c r="AN39" i="2"/>
  <c r="AN42" i="2"/>
  <c r="AN38" i="2"/>
  <c r="AN40" i="2"/>
  <c r="AL62" i="2"/>
  <c r="AM44" i="2" s="1"/>
  <c r="AM48" i="2" s="1"/>
  <c r="AM49" i="2" s="1"/>
  <c r="AM50" i="2" s="1"/>
  <c r="AL60" i="2"/>
  <c r="AO12" i="2"/>
  <c r="AO37" i="2"/>
  <c r="AQ4" i="2"/>
  <c r="AP7" i="2"/>
  <c r="W25" i="2"/>
  <c r="W24" i="2"/>
  <c r="W39" i="2"/>
  <c r="AO60" i="7" l="1"/>
  <c r="AO62" i="7"/>
  <c r="AN43" i="2"/>
  <c r="AN58" i="2" s="1"/>
  <c r="AM62" i="2"/>
  <c r="AM60" i="2"/>
  <c r="AO40" i="2"/>
  <c r="AO39" i="2"/>
  <c r="AO42" i="2"/>
  <c r="AO41" i="2"/>
  <c r="AO38" i="2"/>
  <c r="AP12" i="2"/>
  <c r="AP37" i="2"/>
  <c r="W43" i="2"/>
  <c r="W54" i="2"/>
  <c r="AR4" i="2"/>
  <c r="AQ7" i="2"/>
  <c r="W30" i="2"/>
  <c r="W31" i="2"/>
  <c r="AP44" i="7" l="1"/>
  <c r="AP48" i="7" s="1"/>
  <c r="AN44" i="2"/>
  <c r="AN48" i="2" s="1"/>
  <c r="AN49" i="2" s="1"/>
  <c r="AN50" i="2" s="1"/>
  <c r="AN62" i="2" s="1"/>
  <c r="AO43" i="2"/>
  <c r="AO58" i="2" s="1"/>
  <c r="AP39" i="2"/>
  <c r="AP42" i="2"/>
  <c r="AP41" i="2"/>
  <c r="AP38" i="2"/>
  <c r="AP40" i="2"/>
  <c r="AQ12" i="2"/>
  <c r="AQ37" i="2"/>
  <c r="W48" i="2"/>
  <c r="W58" i="2"/>
  <c r="AR7" i="2"/>
  <c r="AS4" i="2"/>
  <c r="AP43" i="2" l="1"/>
  <c r="AP58" i="2" s="1"/>
  <c r="AP49" i="7"/>
  <c r="AP50" i="7" s="1"/>
  <c r="AO44" i="2"/>
  <c r="AO48" i="2" s="1"/>
  <c r="AO49" i="2" s="1"/>
  <c r="AO50" i="2" s="1"/>
  <c r="AO60" i="2" s="1"/>
  <c r="AQ39" i="2"/>
  <c r="AQ42" i="2"/>
  <c r="AQ41" i="2"/>
  <c r="AQ38" i="2"/>
  <c r="AQ40" i="2"/>
  <c r="AN60" i="2"/>
  <c r="AR12" i="2"/>
  <c r="AR37" i="2"/>
  <c r="W50" i="2"/>
  <c r="W59" i="2"/>
  <c r="AS7" i="2"/>
  <c r="AT4" i="2"/>
  <c r="AP60" i="7" l="1"/>
  <c r="AP62" i="7"/>
  <c r="AQ43" i="2"/>
  <c r="AO62" i="2"/>
  <c r="AR39" i="2"/>
  <c r="AR42" i="2"/>
  <c r="AR41" i="2"/>
  <c r="AR38" i="2"/>
  <c r="AR40" i="2"/>
  <c r="W98" i="2"/>
  <c r="W99" i="2"/>
  <c r="AS12" i="2"/>
  <c r="AS37" i="2"/>
  <c r="W60" i="2"/>
  <c r="W52" i="2"/>
  <c r="AT7" i="2"/>
  <c r="AU4" i="2"/>
  <c r="AU7" i="2" s="1"/>
  <c r="AU37" i="2" s="1"/>
  <c r="AQ44" i="7" l="1"/>
  <c r="AQ48" i="7" s="1"/>
  <c r="AS42" i="2"/>
  <c r="AS41" i="2"/>
  <c r="AS38" i="2"/>
  <c r="AS40" i="2"/>
  <c r="AS39" i="2"/>
  <c r="AU40" i="2"/>
  <c r="AU42" i="2"/>
  <c r="AU39" i="2"/>
  <c r="AU41" i="2"/>
  <c r="AU38" i="2"/>
  <c r="AR43" i="2"/>
  <c r="AP44" i="2"/>
  <c r="AP48" i="2" s="1"/>
  <c r="AP49" i="2" s="1"/>
  <c r="AP50" i="2" s="1"/>
  <c r="AQ58" i="2"/>
  <c r="AT12" i="2"/>
  <c r="AT37" i="2"/>
  <c r="AU12" i="2"/>
  <c r="AQ49" i="7" l="1"/>
  <c r="AQ50" i="7" s="1"/>
  <c r="AU43" i="2"/>
  <c r="AU58" i="2" s="1"/>
  <c r="AS43" i="2"/>
  <c r="AS58" i="2" s="1"/>
  <c r="AP60" i="2"/>
  <c r="AP62" i="2"/>
  <c r="AR58" i="2"/>
  <c r="AT41" i="2"/>
  <c r="AT38" i="2"/>
  <c r="AT40" i="2"/>
  <c r="AT42" i="2"/>
  <c r="AT39" i="2"/>
  <c r="AI18" i="2"/>
  <c r="AJ18" i="2"/>
  <c r="AJ25" i="2"/>
  <c r="AQ60" i="7" l="1"/>
  <c r="AQ62" i="7"/>
  <c r="AQ44" i="2"/>
  <c r="AQ48" i="2" s="1"/>
  <c r="AQ49" i="2" s="1"/>
  <c r="AQ50" i="2" s="1"/>
  <c r="AQ62" i="2" s="1"/>
  <c r="AT43" i="2"/>
  <c r="AK24" i="2"/>
  <c r="W28" i="2"/>
  <c r="AJ24" i="2"/>
  <c r="AJ22" i="2"/>
  <c r="AJ30" i="2" s="1"/>
  <c r="AI22" i="2"/>
  <c r="AI30" i="2" s="1"/>
  <c r="AR44" i="7" l="1"/>
  <c r="AR48" i="7" s="1"/>
  <c r="AR44" i="2"/>
  <c r="AR48" i="2" s="1"/>
  <c r="AR49" i="2" s="1"/>
  <c r="AR50" i="2" s="1"/>
  <c r="AR60" i="2" s="1"/>
  <c r="AT58" i="2"/>
  <c r="AQ60" i="2"/>
  <c r="AI32" i="2"/>
  <c r="AI33" i="2"/>
  <c r="AI31" i="2"/>
  <c r="AJ32" i="2"/>
  <c r="AJ31" i="2"/>
  <c r="AJ33" i="2"/>
  <c r="AK28" i="2"/>
  <c r="AJ28" i="2"/>
  <c r="AR49" i="7" l="1"/>
  <c r="AR50" i="7" s="1"/>
  <c r="AR62" i="2"/>
  <c r="U103" i="2"/>
  <c r="U107" i="2" s="1"/>
  <c r="T103" i="2"/>
  <c r="T107" i="2" s="1"/>
  <c r="S103" i="2"/>
  <c r="R103" i="2"/>
  <c r="R107" i="2" s="1"/>
  <c r="Q103" i="2"/>
  <c r="Q107" i="2" s="1"/>
  <c r="P103" i="2"/>
  <c r="O103" i="2"/>
  <c r="N103" i="2"/>
  <c r="N107" i="2" s="1"/>
  <c r="M103" i="2"/>
  <c r="M107" i="2" s="1"/>
  <c r="L103" i="2"/>
  <c r="L107" i="2" s="1"/>
  <c r="K103" i="2"/>
  <c r="J103" i="2"/>
  <c r="J107" i="2" s="1"/>
  <c r="I103" i="2"/>
  <c r="I107" i="2" s="1"/>
  <c r="H103" i="2"/>
  <c r="H107" i="2" s="1"/>
  <c r="G103" i="2"/>
  <c r="F103" i="2"/>
  <c r="F107" i="2" s="1"/>
  <c r="E103" i="2"/>
  <c r="E107" i="2" s="1"/>
  <c r="D103" i="2"/>
  <c r="D107" i="2" s="1"/>
  <c r="C103" i="2"/>
  <c r="V103" i="2"/>
  <c r="V107" i="2" s="1"/>
  <c r="V90" i="2"/>
  <c r="AK90" i="2" s="1"/>
  <c r="AR60" i="7" l="1"/>
  <c r="AR62" i="7"/>
  <c r="AS44" i="2"/>
  <c r="AS48" i="2" s="1"/>
  <c r="AS49" i="2" s="1"/>
  <c r="AS50" i="2" s="1"/>
  <c r="AS60" i="2" s="1"/>
  <c r="P107" i="2"/>
  <c r="AJ103" i="2"/>
  <c r="K107" i="2"/>
  <c r="AH103" i="2"/>
  <c r="S107" i="2"/>
  <c r="AK103" i="2"/>
  <c r="G107" i="2"/>
  <c r="AG103" i="2"/>
  <c r="O107" i="2"/>
  <c r="AI103" i="2"/>
  <c r="C107" i="2"/>
  <c r="AF103" i="2"/>
  <c r="AJ38" i="2"/>
  <c r="AJ97" i="2" s="1"/>
  <c r="U105" i="2"/>
  <c r="T105" i="2"/>
  <c r="S105" i="2"/>
  <c r="R105" i="2"/>
  <c r="Q105" i="2"/>
  <c r="P105" i="2"/>
  <c r="O105" i="2"/>
  <c r="N105" i="2"/>
  <c r="M105" i="2"/>
  <c r="L105" i="2"/>
  <c r="K105" i="2"/>
  <c r="AH105" i="2" s="1"/>
  <c r="J105" i="2"/>
  <c r="I105" i="2"/>
  <c r="H105" i="2"/>
  <c r="G105" i="2"/>
  <c r="F105" i="2"/>
  <c r="E105" i="2"/>
  <c r="D105" i="2"/>
  <c r="C105" i="2"/>
  <c r="V105" i="2"/>
  <c r="U39" i="2"/>
  <c r="T39" i="2"/>
  <c r="S39" i="2"/>
  <c r="AI38" i="2"/>
  <c r="AI97" i="2" s="1"/>
  <c r="AH38" i="2"/>
  <c r="AG38" i="2"/>
  <c r="AF38" i="2"/>
  <c r="AZ74" i="2"/>
  <c r="AZ76" i="2" s="1"/>
  <c r="M39" i="2"/>
  <c r="L39" i="2"/>
  <c r="E39" i="2"/>
  <c r="E54" i="2" s="1"/>
  <c r="D39" i="2"/>
  <c r="AG3" i="2"/>
  <c r="AH3" i="2" s="1"/>
  <c r="AI3" i="2" s="1"/>
  <c r="AJ3" i="2" s="1"/>
  <c r="S243" i="3"/>
  <c r="C5" i="1"/>
  <c r="AZ67" i="7" l="1"/>
  <c r="AZ67" i="2"/>
  <c r="AS44" i="7"/>
  <c r="AS48" i="7" s="1"/>
  <c r="AS62" i="2"/>
  <c r="AJ105" i="2"/>
  <c r="AK105" i="2"/>
  <c r="AF105" i="2"/>
  <c r="AG105" i="2"/>
  <c r="AI105" i="2"/>
  <c r="D43" i="2"/>
  <c r="D54" i="2"/>
  <c r="E43" i="2"/>
  <c r="E58" i="2" s="1"/>
  <c r="T43" i="2"/>
  <c r="T54" i="2"/>
  <c r="L43" i="2"/>
  <c r="L54" i="2"/>
  <c r="U43" i="2"/>
  <c r="U54" i="2"/>
  <c r="M43" i="2"/>
  <c r="M54" i="2"/>
  <c r="S43" i="2"/>
  <c r="S54" i="2"/>
  <c r="AM3" i="2"/>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AK3" i="2"/>
  <c r="C8" i="1"/>
  <c r="G39" i="2"/>
  <c r="G54" i="2" s="1"/>
  <c r="H39" i="2"/>
  <c r="H54" i="2" s="1"/>
  <c r="O39" i="2"/>
  <c r="I39" i="2"/>
  <c r="I54" i="2" s="1"/>
  <c r="AF37" i="2"/>
  <c r="V39" i="2"/>
  <c r="V54" i="2" s="1"/>
  <c r="Q39" i="2"/>
  <c r="X260" i="3"/>
  <c r="AZ68" i="7" l="1"/>
  <c r="AZ69" i="7"/>
  <c r="AZ69" i="2"/>
  <c r="AZ68" i="2"/>
  <c r="AS49" i="7"/>
  <c r="AS50" i="7" s="1"/>
  <c r="AT44" i="2"/>
  <c r="AT48" i="2" s="1"/>
  <c r="AT49" i="2" s="1"/>
  <c r="AT50" i="2" s="1"/>
  <c r="AT60" i="2" s="1"/>
  <c r="D48" i="2"/>
  <c r="D58" i="2"/>
  <c r="AG39" i="2"/>
  <c r="AF57" i="2"/>
  <c r="AF56" i="2"/>
  <c r="AF55" i="2"/>
  <c r="AK39" i="2"/>
  <c r="AK54" i="2" s="1"/>
  <c r="U48" i="2"/>
  <c r="U58" i="2"/>
  <c r="H43" i="2"/>
  <c r="H58" i="2" s="1"/>
  <c r="L48" i="2"/>
  <c r="L58" i="2"/>
  <c r="O43" i="2"/>
  <c r="O54" i="2"/>
  <c r="G43" i="2"/>
  <c r="G58" i="2" s="1"/>
  <c r="S48" i="2"/>
  <c r="S58" i="2"/>
  <c r="T48" i="2"/>
  <c r="T58" i="2"/>
  <c r="I43" i="2"/>
  <c r="I58" i="2" s="1"/>
  <c r="Q43" i="2"/>
  <c r="Q54" i="2"/>
  <c r="M48" i="2"/>
  <c r="M58" i="2"/>
  <c r="E48" i="2"/>
  <c r="E59" i="2" s="1"/>
  <c r="V43" i="2"/>
  <c r="AK43" i="2" s="1"/>
  <c r="AK58" i="2" s="1"/>
  <c r="AG37" i="2"/>
  <c r="P39" i="2"/>
  <c r="AJ39" i="2" s="1"/>
  <c r="AJ37" i="2"/>
  <c r="AI37" i="2"/>
  <c r="K39" i="2"/>
  <c r="AH39" i="2" s="1"/>
  <c r="AH37" i="2"/>
  <c r="C39" i="2"/>
  <c r="C54" i="2" s="1"/>
  <c r="X250" i="3"/>
  <c r="X249" i="3"/>
  <c r="X252" i="3"/>
  <c r="X259" i="3"/>
  <c r="X251" i="3"/>
  <c r="X262" i="3"/>
  <c r="X258" i="3"/>
  <c r="X254" i="3"/>
  <c r="X257" i="3"/>
  <c r="X261" i="3"/>
  <c r="X256" i="3"/>
  <c r="X253" i="3"/>
  <c r="X255" i="3"/>
  <c r="AJ107" i="2" l="1"/>
  <c r="AJ108" i="2"/>
  <c r="AI107" i="2"/>
  <c r="AI108" i="2"/>
  <c r="AZ83" i="7"/>
  <c r="AZ83" i="2"/>
  <c r="AS60" i="7"/>
  <c r="AS62" i="7"/>
  <c r="AT62" i="2"/>
  <c r="AU44" i="2" s="1"/>
  <c r="AU48" i="2" s="1"/>
  <c r="AU49" i="2" s="1"/>
  <c r="AU50" i="2" s="1"/>
  <c r="AU62" i="2" s="1"/>
  <c r="AI95" i="2"/>
  <c r="AI96" i="2"/>
  <c r="AJ96" i="2"/>
  <c r="AJ95" i="2"/>
  <c r="D50" i="2"/>
  <c r="D59" i="2"/>
  <c r="AG43" i="2"/>
  <c r="AG58" i="2" s="1"/>
  <c r="AI39" i="2"/>
  <c r="AI54" i="2" s="1"/>
  <c r="AH57" i="2"/>
  <c r="AH55" i="2"/>
  <c r="AH56" i="2"/>
  <c r="AI55" i="2"/>
  <c r="AI56" i="2"/>
  <c r="AI57" i="2"/>
  <c r="C43" i="2"/>
  <c r="C58" i="2" s="1"/>
  <c r="AF39" i="2"/>
  <c r="AF54" i="2" s="1"/>
  <c r="AH54" i="2"/>
  <c r="AJ54" i="2"/>
  <c r="AJ56" i="2"/>
  <c r="AJ57" i="2"/>
  <c r="AJ55" i="2"/>
  <c r="AG56" i="2"/>
  <c r="AG55" i="2"/>
  <c r="AG57" i="2"/>
  <c r="AG54" i="2"/>
  <c r="E50" i="2"/>
  <c r="E60" i="2" s="1"/>
  <c r="T50" i="2"/>
  <c r="T59" i="2"/>
  <c r="L50" i="2"/>
  <c r="L59" i="2"/>
  <c r="K43" i="2"/>
  <c r="AH43" i="2" s="1"/>
  <c r="AH58" i="2" s="1"/>
  <c r="K54" i="2"/>
  <c r="S50" i="2"/>
  <c r="S59" i="2"/>
  <c r="V48" i="2"/>
  <c r="AK48" i="2" s="1"/>
  <c r="AK59" i="2" s="1"/>
  <c r="V58" i="2"/>
  <c r="P43" i="2"/>
  <c r="AJ43" i="2" s="1"/>
  <c r="AJ58" i="2" s="1"/>
  <c r="P54" i="2"/>
  <c r="I48" i="2"/>
  <c r="I59" i="2" s="1"/>
  <c r="O48" i="2"/>
  <c r="O58" i="2"/>
  <c r="M50" i="2"/>
  <c r="M59" i="2"/>
  <c r="H48" i="2"/>
  <c r="H59" i="2" s="1"/>
  <c r="Q48" i="2"/>
  <c r="Q58" i="2"/>
  <c r="G48" i="2"/>
  <c r="G59" i="2" s="1"/>
  <c r="U50" i="2"/>
  <c r="U59" i="2"/>
  <c r="AT44" i="7" l="1"/>
  <c r="AT48" i="7" s="1"/>
  <c r="AU60" i="2"/>
  <c r="AV50" i="2"/>
  <c r="AW50" i="2" s="1"/>
  <c r="AX50" i="2" s="1"/>
  <c r="AY50" i="2" s="1"/>
  <c r="AZ50" i="2" s="1"/>
  <c r="BA50" i="2" s="1"/>
  <c r="BB50" i="2" s="1"/>
  <c r="BC50" i="2" s="1"/>
  <c r="BD50" i="2" s="1"/>
  <c r="BE50" i="2" s="1"/>
  <c r="BF50" i="2" s="1"/>
  <c r="BG50" i="2" s="1"/>
  <c r="BH50" i="2" s="1"/>
  <c r="BI50" i="2" s="1"/>
  <c r="BJ50" i="2" s="1"/>
  <c r="BK50" i="2" s="1"/>
  <c r="BL50" i="2" s="1"/>
  <c r="BM50" i="2" s="1"/>
  <c r="BN50" i="2" s="1"/>
  <c r="BO50" i="2" s="1"/>
  <c r="BP50" i="2" s="1"/>
  <c r="BQ50" i="2" s="1"/>
  <c r="BR50" i="2" s="1"/>
  <c r="BS50" i="2" s="1"/>
  <c r="BT50" i="2" s="1"/>
  <c r="BU50" i="2" s="1"/>
  <c r="BV50" i="2" s="1"/>
  <c r="BW50" i="2" s="1"/>
  <c r="BX50" i="2" s="1"/>
  <c r="BY50" i="2" s="1"/>
  <c r="BZ50" i="2" s="1"/>
  <c r="CA50" i="2" s="1"/>
  <c r="CB50" i="2" s="1"/>
  <c r="CC50" i="2" s="1"/>
  <c r="CD50" i="2" s="1"/>
  <c r="CE50" i="2" s="1"/>
  <c r="CF50" i="2" s="1"/>
  <c r="CG50" i="2" s="1"/>
  <c r="CH50" i="2" s="1"/>
  <c r="CI50" i="2" s="1"/>
  <c r="CJ50" i="2" s="1"/>
  <c r="CK50" i="2" s="1"/>
  <c r="CL50" i="2" s="1"/>
  <c r="CM50" i="2" s="1"/>
  <c r="CN50" i="2" s="1"/>
  <c r="CO50" i="2" s="1"/>
  <c r="CP50" i="2" s="1"/>
  <c r="CQ50" i="2" s="1"/>
  <c r="CR50" i="2" s="1"/>
  <c r="CS50" i="2" s="1"/>
  <c r="S99" i="2"/>
  <c r="S98" i="2"/>
  <c r="T99" i="2"/>
  <c r="T98" i="2"/>
  <c r="U99" i="2"/>
  <c r="U98" i="2"/>
  <c r="D60" i="2"/>
  <c r="D52" i="2"/>
  <c r="AG48" i="2"/>
  <c r="AG59" i="2" s="1"/>
  <c r="C48" i="2"/>
  <c r="C59" i="2" s="1"/>
  <c r="AF43" i="2"/>
  <c r="AF58" i="2" s="1"/>
  <c r="AI43" i="2"/>
  <c r="AI58" i="2" s="1"/>
  <c r="K48" i="2"/>
  <c r="AH48" i="2" s="1"/>
  <c r="AH59" i="2" s="1"/>
  <c r="K58" i="2"/>
  <c r="Q50" i="2"/>
  <c r="Q59" i="2"/>
  <c r="P48" i="2"/>
  <c r="AJ48" i="2" s="1"/>
  <c r="AJ59" i="2" s="1"/>
  <c r="P58" i="2"/>
  <c r="U60" i="2"/>
  <c r="U52" i="2"/>
  <c r="M60" i="2"/>
  <c r="M52" i="2"/>
  <c r="V50" i="2"/>
  <c r="V59" i="2"/>
  <c r="T60" i="2"/>
  <c r="T52" i="2"/>
  <c r="H50" i="2"/>
  <c r="H60" i="2" s="1"/>
  <c r="I50" i="2"/>
  <c r="I60" i="2" s="1"/>
  <c r="L60" i="2"/>
  <c r="L52" i="2"/>
  <c r="G50" i="2"/>
  <c r="G60" i="2" s="1"/>
  <c r="O50" i="2"/>
  <c r="O59" i="2"/>
  <c r="S60" i="2"/>
  <c r="S52" i="2"/>
  <c r="E52" i="2"/>
  <c r="AT49" i="7" l="1"/>
  <c r="AT50" i="7" s="1"/>
  <c r="BE69" i="2"/>
  <c r="BE71" i="2" s="1"/>
  <c r="BE73" i="2" s="1"/>
  <c r="Q99" i="2"/>
  <c r="Q98" i="2"/>
  <c r="O98" i="2"/>
  <c r="O99" i="2"/>
  <c r="AK50" i="2"/>
  <c r="V99" i="2"/>
  <c r="V98" i="2"/>
  <c r="AI48" i="2"/>
  <c r="AI59" i="2" s="1"/>
  <c r="AG50" i="2"/>
  <c r="C50" i="2"/>
  <c r="C60" i="2" s="1"/>
  <c r="AF48" i="2"/>
  <c r="AF59" i="2" s="1"/>
  <c r="V60" i="2"/>
  <c r="V52" i="2"/>
  <c r="P50" i="2"/>
  <c r="P59" i="2"/>
  <c r="I52" i="2"/>
  <c r="O60" i="2"/>
  <c r="O52" i="2"/>
  <c r="Q60" i="2"/>
  <c r="Q52" i="2"/>
  <c r="H52" i="2"/>
  <c r="G52" i="2"/>
  <c r="K50" i="2"/>
  <c r="AH50" i="2" s="1"/>
  <c r="K59" i="2"/>
  <c r="AT60" i="7" l="1"/>
  <c r="AT62" i="7"/>
  <c r="BF73" i="2"/>
  <c r="BD74" i="2" a="1"/>
  <c r="BD74" i="2" s="1"/>
  <c r="AK60" i="2"/>
  <c r="AK98" i="2"/>
  <c r="AK99" i="2"/>
  <c r="AK52" i="2"/>
  <c r="AJ50" i="2"/>
  <c r="AJ60" i="2" s="1"/>
  <c r="P99" i="2"/>
  <c r="P98" i="2"/>
  <c r="AG52" i="2"/>
  <c r="AG60" i="2"/>
  <c r="AF50" i="2"/>
  <c r="C52" i="2"/>
  <c r="AI50" i="2"/>
  <c r="AH60" i="2"/>
  <c r="AH52" i="2"/>
  <c r="P60" i="2"/>
  <c r="P52" i="2"/>
  <c r="K60" i="2"/>
  <c r="K52" i="2"/>
  <c r="AU44" i="7" l="1"/>
  <c r="AU48" i="7" s="1"/>
  <c r="AJ99" i="2"/>
  <c r="AJ98" i="2"/>
  <c r="AI99" i="2"/>
  <c r="AI98" i="2"/>
  <c r="AJ52" i="2"/>
  <c r="AI60" i="2"/>
  <c r="AI52" i="2"/>
  <c r="AF52" i="2"/>
  <c r="AF60" i="2"/>
  <c r="AU49" i="7" l="1"/>
  <c r="AU50" i="7" s="1"/>
  <c r="AU60" i="7" l="1"/>
  <c r="AV50" i="7"/>
  <c r="AW50" i="7" s="1"/>
  <c r="AX50" i="7" s="1"/>
  <c r="AY50" i="7" s="1"/>
  <c r="AZ50" i="7" s="1"/>
  <c r="BA50" i="7" s="1"/>
  <c r="BB50" i="7" s="1"/>
  <c r="BC50" i="7" s="1"/>
  <c r="BD50" i="7" s="1"/>
  <c r="BE50" i="7" s="1"/>
  <c r="BF50" i="7" s="1"/>
  <c r="BG50" i="7" s="1"/>
  <c r="BH50" i="7" s="1"/>
  <c r="BI50" i="7" s="1"/>
  <c r="BJ50" i="7" s="1"/>
  <c r="BK50" i="7" s="1"/>
  <c r="BL50" i="7" s="1"/>
  <c r="BM50" i="7" s="1"/>
  <c r="BN50" i="7" s="1"/>
  <c r="BO50" i="7" s="1"/>
  <c r="BP50" i="7" s="1"/>
  <c r="BQ50" i="7" s="1"/>
  <c r="BR50" i="7" s="1"/>
  <c r="BS50" i="7" s="1"/>
  <c r="BT50" i="7" s="1"/>
  <c r="BU50" i="7" s="1"/>
  <c r="BV50" i="7" s="1"/>
  <c r="BW50" i="7" s="1"/>
  <c r="BX50" i="7" s="1"/>
  <c r="BY50" i="7" s="1"/>
  <c r="BZ50" i="7" s="1"/>
  <c r="CA50" i="7" s="1"/>
  <c r="CB50" i="7" s="1"/>
  <c r="CC50" i="7" s="1"/>
  <c r="CD50" i="7" s="1"/>
  <c r="CE50" i="7" s="1"/>
  <c r="CF50" i="7" s="1"/>
  <c r="CG50" i="7" s="1"/>
  <c r="CH50" i="7" s="1"/>
  <c r="CI50" i="7" s="1"/>
  <c r="CJ50" i="7" s="1"/>
  <c r="CK50" i="7" s="1"/>
  <c r="CL50" i="7" s="1"/>
  <c r="CM50" i="7" s="1"/>
  <c r="CN50" i="7" s="1"/>
  <c r="CO50" i="7" s="1"/>
  <c r="CP50" i="7" s="1"/>
  <c r="CQ50" i="7" s="1"/>
  <c r="CR50" i="7" s="1"/>
  <c r="CS50" i="7" s="1"/>
  <c r="BE69" i="7" s="1"/>
  <c r="BE71" i="7" s="1"/>
  <c r="BE73" i="7" s="1"/>
  <c r="AU62" i="7"/>
  <c r="BF73" i="7" l="1"/>
  <c r="BD74" i="7" a="1"/>
  <c r="BD7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<sst xmlns="http://schemas.openxmlformats.org/spreadsheetml/2006/main" count="2478" uniqueCount="1267">
  <si>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</si>
  <si>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</si>
  <si>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</si>
  <si>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</si>
  <si>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</si>
  <si>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</si>
  <si>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</si>
  <si>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</si>
  <si>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</si>
  <si>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</si>
  <si>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</si>
  <si>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</si>
  <si>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</si>
  <si>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</si>
  <si>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</si>
  <si>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</si>
  <si>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</si>
  <si>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</si>
  <si>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</si>
  <si>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</si>
  <si>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</si>
  <si>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</si>
  <si>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</si>
  <si>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</si>
  <si>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</si>
  <si>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</si>
  <si>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</si>
  <si>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</si>
  <si>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</si>
  <si>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</si>
  <si>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</si>
  <si>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</si>
  <si>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</si>
  <si>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</si>
  <si>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</si>
  <si>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</si>
  <si>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</si>
  <si>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</si>
  <si>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</si>
  <si>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</si>
  <si>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</si>
  <si>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</si>
  <si>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</si>
  <si>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2021</t>
  </si>
  <si>
    <t>Q1 2022</t>
  </si>
  <si>
    <t>Q1 2023</t>
  </si>
  <si>
    <t>Q1 2024</t>
  </si>
  <si>
    <t>Q1 2025</t>
  </si>
  <si>
    <t>[Use for Graphing]</t>
  </si>
  <si>
    <t>Quarterly</t>
  </si>
  <si>
    <t>Revenues</t>
  </si>
  <si>
    <t>Ttl Revenues</t>
  </si>
  <si>
    <t>COGS</t>
  </si>
  <si>
    <t>GP</t>
  </si>
  <si>
    <t>Gross Profit Margin</t>
  </si>
  <si>
    <t>R&amp;D as % of Revenue</t>
  </si>
  <si>
    <t>Operating Profit Margin</t>
  </si>
  <si>
    <t>Effective Tax Rate</t>
  </si>
  <si>
    <t>Net Profit Margin</t>
  </si>
  <si>
    <t xml:space="preserve">Cash &amp; CEs </t>
  </si>
  <si>
    <t>ST Investments</t>
  </si>
  <si>
    <t>Current Ratio</t>
  </si>
  <si>
    <t>Quick Ratio</t>
  </si>
  <si>
    <t>Cash Ratio</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</si>
  <si>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</si>
  <si>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</si>
  <si>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</si>
  <si>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</si>
  <si>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</si>
  <si>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</si>
  <si>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</si>
  <si>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</si>
  <si>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</si>
  <si>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</si>
  <si>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</si>
  <si>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</si>
  <si>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</si>
  <si>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</si>
  <si>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</si>
  <si>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</si>
  <si>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</si>
  <si>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</si>
  <si>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</si>
  <si>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</si>
  <si>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</si>
  <si>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</si>
  <si>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</si>
  <si>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</si>
  <si>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</si>
  <si>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</si>
  <si>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</si>
  <si>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</si>
  <si>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</si>
  <si>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</si>
  <si>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</si>
  <si>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Y/y Total Revenues, Net Income, FCF</t>
  </si>
  <si>
    <t>Q/q Total Revenues, Net Income, FCF</t>
  </si>
  <si>
    <t>Company IR Page</t>
  </si>
  <si>
    <t>Company Homepage</t>
  </si>
  <si>
    <t>MacroTrends</t>
  </si>
  <si>
    <t>ROIC, WACC</t>
  </si>
  <si>
    <t>Ttl Revenue Growth Y/y</t>
  </si>
  <si>
    <t>Projected ROIC:</t>
  </si>
  <si>
    <t>Invested Capital</t>
  </si>
  <si>
    <t>ROIC</t>
  </si>
  <si>
    <t>Terminal</t>
  </si>
  <si>
    <t>RFR (10-year yield)</t>
  </si>
  <si>
    <t>ERP 
(Avg. market return - (less) RFR)</t>
  </si>
  <si>
    <t>Equity β (1-year avg.)</t>
  </si>
  <si>
    <t>Discount (Cost of Equity)</t>
  </si>
  <si>
    <t>NPV</t>
  </si>
  <si>
    <t>FV</t>
  </si>
  <si>
    <t>CP</t>
  </si>
  <si>
    <t>Change Δ</t>
  </si>
  <si>
    <t>VOO Historical Returns</t>
  </si>
  <si>
    <t>Cost of Equity</t>
  </si>
  <si>
    <t>Capital Structure</t>
  </si>
  <si>
    <t>Mkt Cap</t>
  </si>
  <si>
    <t>Debt to Ttl Mkt Cap</t>
  </si>
  <si>
    <t>Mkt Equity to Ttl Mkt Cap</t>
  </si>
  <si>
    <t>Market Return(1-year avg.)</t>
  </si>
  <si>
    <t xml:space="preserve">Cost of Equity </t>
  </si>
  <si>
    <t>Cost of Debt</t>
  </si>
  <si>
    <t>Tax Rate</t>
  </si>
  <si>
    <t>After Tax Cost of Debt</t>
  </si>
  <si>
    <t>WACC</t>
  </si>
  <si>
    <r>
      <rPr>
        <b/>
        <sz val="11"/>
        <color rgb="FF0070C0"/>
        <rFont val="Calibre"/>
      </rPr>
      <t>Avg.</t>
    </r>
    <r>
      <rPr>
        <sz val="11"/>
        <color rgb="FF0070C0"/>
        <rFont val="Calibre"/>
      </rPr>
      <t xml:space="preserve"> (2024-2025)</t>
    </r>
  </si>
  <si>
    <t>Ttl Assets</t>
  </si>
  <si>
    <t>Ttl Liabilities</t>
  </si>
  <si>
    <t>Ttl SE</t>
  </si>
  <si>
    <t>Ttl L + SE</t>
  </si>
  <si>
    <t>EPS</t>
  </si>
  <si>
    <t>Fixed Asset Turnover Ratio</t>
  </si>
  <si>
    <t>Ttl Asset Turnover Ratio</t>
  </si>
  <si>
    <t>LT Debt / Equity</t>
  </si>
  <si>
    <t>General Notes/Observations (Updated Q1'26)</t>
  </si>
  <si>
    <t>Financial Stmts. Notes/Observations (Updated Q1'26)</t>
  </si>
  <si>
    <t>FCF Margin</t>
  </si>
  <si>
    <t>CapEx as % of Revenue</t>
  </si>
  <si>
    <t>PL</t>
  </si>
  <si>
    <t>Planet Labs PBC (PL)</t>
  </si>
  <si>
    <t>Q1'26</t>
  </si>
  <si>
    <t>Registered Exchange: NYSE</t>
  </si>
  <si>
    <t>Address: 645 Harrison Street, San Francisco, CA 94107 U.S.</t>
  </si>
  <si>
    <t>(415) 829 - 3313</t>
  </si>
  <si>
    <t>https://www.planet.com/</t>
  </si>
  <si>
    <t>https://www.sec.gov/edgar/browse/?CIK=1836833&amp;owner=exclude</t>
  </si>
  <si>
    <t>https://investors.planet.com/overview/default.aspx</t>
  </si>
  <si>
    <t>https://seekingalpha.com/symbol/PL/earnings/transcripts</t>
  </si>
  <si>
    <t>https://stockanalysis.com/stocks/pl/company/</t>
  </si>
  <si>
    <t>https://www.macrotrends.net/stocks/charts/PL/planet-labs-pbc/revenue</t>
  </si>
  <si>
    <t>https://www.gurufocus.com/term/wacc/PL</t>
  </si>
  <si>
    <t xml:space="preserve">Employees: 1,000 </t>
  </si>
  <si>
    <t>Current CEO: William Marshall</t>
  </si>
  <si>
    <t>Founded: 2010</t>
  </si>
  <si>
    <t>Headquarters: San Francisco, CA</t>
  </si>
  <si>
    <t>Industry: Aerospace &amp; Defense</t>
  </si>
  <si>
    <t>Sector: Industrials</t>
  </si>
  <si>
    <t xml:space="preserve">IPO: December 8th, 2021 (Through SPAC) -- $2.8B valuation </t>
  </si>
  <si>
    <t>Fiscal Year: [February - January]</t>
  </si>
  <si>
    <t>Founder(s): Will Marshall, Robbie Schingler, and Chris Boshuizen (three former NASA scientists)</t>
  </si>
  <si>
    <t>Main Satellite Assets:</t>
  </si>
  <si>
    <t>Dove / SuperDove: daily, medium-resolution global coverage</t>
  </si>
  <si>
    <t>SkySat: higher-resolution imagery for specific locations</t>
  </si>
  <si>
    <t>Pelican: next-gen very-high-resolution tasking satellites</t>
  </si>
  <si>
    <t>Tanager: hyperspectral satellites for more detailed environmental monitoring</t>
  </si>
  <si>
    <t>The Company reports revenue through a consolidated revenue reporting framework (no segmentation) but frequently destinguishes end customers between Government / National Defense and Enterprise Solutions … Main Customers include: Government, defense, agriculture, forestry, mapping, energy, finance, and insurance customers</t>
  </si>
  <si>
    <t>The Company's core asset is the Dove/SuperDove constellation for daily, broad-earth coverage, with SkySat and Pelican for higher-resolution tasking and Tanager for hyperspectral monitoring</t>
  </si>
  <si>
    <t>The Earth Observation platform enables customers to access, analyze, and act on proprietary data catalogs by discovering image tasking capacity, relevant data layers, extracting useful information, and delivering insights through custom-built solutions or GIS workflows via APIs and browser-based applications</t>
  </si>
  <si>
    <t>In addition, the company’s satellite services arrangements include designing and manufacturing customer-owned satellites, mission systems engineering, launch procurement, ground station infrastructure, satellite operations, and maintenance, as well as dedicated image tasking capacity on company-owned or customer-owned satellites</t>
  </si>
  <si>
    <t>Planet is a vertically integrated Earth Observation (EO) enterprise and operates a large fleet of LEO imaging satellites. The Company  sells satellite images, analytics, and related services through a cloud platform and APIs ... Their main value is giving customers frequent, updated views of Earth for monitoring change over time</t>
  </si>
  <si>
    <t>The Company is best viewed as a geospatial data platform, not just a satellite company …  Market offerings are strongest where customers need frequent monitoring of large areas rather than one-off high-resolution snapshots … sells daily satellite imagery and analytics through a recurring subscription model</t>
  </si>
  <si>
    <t>Planet Labs was founded in 2010 as a Public Benefit Corporation and is headquartered in San Francisco, California</t>
  </si>
  <si>
    <t>Institutional Ownership Snapshot Q1'26</t>
  </si>
  <si>
    <t>As of Q1'26 Google is a majority shareholder, owning 11% of The Company's outstanding equity</t>
  </si>
  <si>
    <t>Google has maintained a close relationship with Planet Labs, acting as a major partner … similar in nature to PLTR / BKSY partnership … very interesting</t>
  </si>
  <si>
    <t>SpaceNews</t>
  </si>
  <si>
    <t>https://spacenews.com/</t>
  </si>
  <si>
    <t>https://space.skyrocket.de/doc_sdat/dove-1.htm</t>
  </si>
  <si>
    <t>Comprehensive Dove 1 Space Missions</t>
  </si>
  <si>
    <t>Planet Labs Constellations</t>
  </si>
  <si>
    <t>https://www.planet.com/constellations/</t>
  </si>
  <si>
    <t>R&amp;D</t>
  </si>
  <si>
    <t>Q1 2026</t>
  </si>
  <si>
    <t>Sales and Marketing</t>
  </si>
  <si>
    <t>General and Admin</t>
  </si>
  <si>
    <t>Operating Income</t>
  </si>
  <si>
    <t>Interest Income</t>
  </si>
  <si>
    <t>Interest Expense</t>
  </si>
  <si>
    <t>Change in FV of Warrant Liabilities</t>
  </si>
  <si>
    <t>Other Income</t>
  </si>
  <si>
    <t>Pretax Income</t>
  </si>
  <si>
    <t>Taxes</t>
  </si>
  <si>
    <t>Sales and Marketing as % of Revenue</t>
  </si>
  <si>
    <t>General and Admin as % of Revenue</t>
  </si>
  <si>
    <t>Civil Government</t>
  </si>
  <si>
    <t>Commercial</t>
  </si>
  <si>
    <t>Defense &amp; Intelligence</t>
  </si>
  <si>
    <t>North America</t>
  </si>
  <si>
    <t>APAC</t>
  </si>
  <si>
    <t>Euro, Mid-East &amp; Africa</t>
  </si>
  <si>
    <t>LATAM</t>
  </si>
  <si>
    <t>North America Growth Y/y</t>
  </si>
  <si>
    <t>APAC Growth Y/y</t>
  </si>
  <si>
    <t>Euro, Mid-East &amp; Africa Growth Y/y</t>
  </si>
  <si>
    <t>LATAM Growth Y/y</t>
  </si>
  <si>
    <t>North America % of Ttl Revenues</t>
  </si>
  <si>
    <t>APAC % of Ttl Revenues</t>
  </si>
  <si>
    <t>Euro, Mid-East &amp; Africa % of Ttl Revenues</t>
  </si>
  <si>
    <t>LATAM % of Ttl Revenues</t>
  </si>
  <si>
    <t>Civil Government % of Ttl Revenues</t>
  </si>
  <si>
    <t>Commercial % of Ttl Revenues</t>
  </si>
  <si>
    <t>Defense &amp; Intelligence % of Ttl Revenues</t>
  </si>
  <si>
    <t>Sales Backlog</t>
  </si>
  <si>
    <t>Civil Government Growth Y/y</t>
  </si>
  <si>
    <t>Commercial Growth Y/y</t>
  </si>
  <si>
    <t>Defense &amp; Intelligence Growth Y/y</t>
  </si>
  <si>
    <t>Restricted Cash &amp; CEs</t>
  </si>
  <si>
    <t>A/R</t>
  </si>
  <si>
    <t>Inventories</t>
  </si>
  <si>
    <t>ST Prepaid Expenses</t>
  </si>
  <si>
    <t>LT Capitalized Software</t>
  </si>
  <si>
    <t>Goodwill</t>
  </si>
  <si>
    <t>Intangible Assets</t>
  </si>
  <si>
    <t>LT Operating Lease Assets</t>
  </si>
  <si>
    <t>LT Restricted Cash &amp; CEs</t>
  </si>
  <si>
    <t>Other LT Assets</t>
  </si>
  <si>
    <t>A/P</t>
  </si>
  <si>
    <t>ST Accrued Liabilities</t>
  </si>
  <si>
    <t>Deferred Revenue</t>
  </si>
  <si>
    <t>ST Compensation Liabilities</t>
  </si>
  <si>
    <t>ST Operating Lease Liabilities</t>
  </si>
  <si>
    <t>LT Deferred Revenues</t>
  </si>
  <si>
    <t>LT Deferred Hosting Costs</t>
  </si>
  <si>
    <t>ST Public/Private Warrant Liabilities</t>
  </si>
  <si>
    <t>LT Operating Lease Liabilites</t>
  </si>
  <si>
    <t>LT Convertible Notes</t>
  </si>
  <si>
    <t>Other LT Liabilities</t>
  </si>
  <si>
    <t>Q2 2021</t>
  </si>
  <si>
    <t>Q3 2021</t>
  </si>
  <si>
    <t>Q4 2021</t>
  </si>
  <si>
    <t>Q2 2022</t>
  </si>
  <si>
    <t>Q3 2022</t>
  </si>
  <si>
    <t>Q4 2022</t>
  </si>
  <si>
    <t>Q2 2023</t>
  </si>
  <si>
    <t>Q3 2023</t>
  </si>
  <si>
    <t>Q4 2023</t>
  </si>
  <si>
    <t>Q2 2024</t>
  </si>
  <si>
    <t>Q3 2024</t>
  </si>
  <si>
    <t>Q4 2024</t>
  </si>
  <si>
    <t>Q2 2025</t>
  </si>
  <si>
    <t>Q3 2025</t>
  </si>
  <si>
    <t>Q4 2025</t>
  </si>
  <si>
    <t>PP&amp;E, net</t>
  </si>
  <si>
    <t>Mon, 22 Jun 2026 00:00:00 GMT</t>
  </si>
  <si>
    <t>Thu, 18 Jun 2026 00:00:00 GMT</t>
  </si>
  <si>
    <t>Wed, 17 Jun 2026 00:00:00 GMT</t>
  </si>
  <si>
    <t>Tue, 16 Jun 2026 00:00:00 GMT</t>
  </si>
  <si>
    <t>Mon, 15 Jun 2026 00:00:00 GMT</t>
  </si>
  <si>
    <t>Fri, 12 Jun 2026 00:00:00 GMT</t>
  </si>
  <si>
    <t>Thu, 11 Jun 2026 00:00:00 GMT</t>
  </si>
  <si>
    <t>Wed, 10 Jun 2026 00:00:00 GMT</t>
  </si>
  <si>
    <t>Tue, 09 Jun 2026 00:00:00 GMT</t>
  </si>
  <si>
    <t>Mon, 08 Jun 2026 00:00:00 GMT</t>
  </si>
  <si>
    <t>Fri, 05 Jun 2026 00:00:00 GMT</t>
  </si>
  <si>
    <t>Thu, 04 Jun 2026 00:00:00 GMT</t>
  </si>
  <si>
    <t>Wed, 03 Jun 2026 00:00:00 GMT</t>
  </si>
  <si>
    <t>Tue, 02 Jun 2026 00:00:00 GMT</t>
  </si>
  <si>
    <t>Mon, 01 Jun 2026 00:00:00 GMT</t>
  </si>
  <si>
    <t>Fri, 29 May 2026 00:00:00 GMT</t>
  </si>
  <si>
    <t>Thu, 28 May 2026 00:00:00 GMT</t>
  </si>
  <si>
    <t>Wed, 27 May 2026 00:00:00 GMT</t>
  </si>
  <si>
    <t>Tue, 26 May 2026 00:00:00 GMT</t>
  </si>
  <si>
    <t>Fri, 22 May 2026 00:00:00 GMT</t>
  </si>
  <si>
    <t>Thu, 21 May 2026 00:00:00 GMT</t>
  </si>
  <si>
    <t>Wed, 20 May 2026 00:00:00 GMT</t>
  </si>
  <si>
    <t>Tue, 19 May 2026 00:00:00 GMT</t>
  </si>
  <si>
    <t>Mon, 18 May 2026 00:00:00 GMT</t>
  </si>
  <si>
    <t>Fri, 15 May 2026 00:00:00 GMT</t>
  </si>
  <si>
    <t>Thu, 14 May 2026 00:00:00 GMT</t>
  </si>
  <si>
    <t>Wed, 13 May 2026 00:00:00 GMT</t>
  </si>
  <si>
    <t>Tue, 12 May 2026 00:00:00 GMT</t>
  </si>
  <si>
    <t>Mon, 11 May 2026 00:00:00 GMT</t>
  </si>
  <si>
    <t>Fri, 08 May 2026 00:00:00 GMT</t>
  </si>
  <si>
    <t>Thu, 07 May 2026 00:00:00 GMT</t>
  </si>
  <si>
    <t>Wed, 06 May 2026 00:00:00 GMT</t>
  </si>
  <si>
    <t>Tue, 05 May 2026 00:00:00 GMT</t>
  </si>
  <si>
    <t>Mon, 04 May 2026 00:00:00 GMT</t>
  </si>
  <si>
    <t>Fri, 01 May 2026 00:00:00 GMT</t>
  </si>
  <si>
    <t>Thu, 30 Apr 2026 00:00:00 GMT</t>
  </si>
  <si>
    <t>Wed, 29 Apr 2026 00:00:00 GMT</t>
  </si>
  <si>
    <t>Tue, 28 Apr 2026 00:00:00 GMT</t>
  </si>
  <si>
    <t>Mon, 27 Apr 2026 00:00:00 GMT</t>
  </si>
  <si>
    <t>Fri, 24 Apr 2026 00:00:00 GMT</t>
  </si>
  <si>
    <t>Thu, 23 Apr 2026 00:00:00 GMT</t>
  </si>
  <si>
    <t>Wed, 22 Apr 2026 00:00:00 GMT</t>
  </si>
  <si>
    <t>Tue, 21 Apr 2026 00:00:00 GMT</t>
  </si>
  <si>
    <t>Mon, 20 Apr 2026 00:00:00 GMT</t>
  </si>
  <si>
    <t>Fri, 17 Apr 2026 00:00:00 GMT</t>
  </si>
  <si>
    <t>Thu, 16 Apr 2026 00:00:00 GMT</t>
  </si>
  <si>
    <t>Wed, 15 Apr 2026 00:00:00 GMT</t>
  </si>
  <si>
    <t>Tue, 14 Apr 2026 00:00:00 GMT</t>
  </si>
  <si>
    <t>Mon, 13 Apr 2026 00:00:00 GMT</t>
  </si>
  <si>
    <t>Fri, 10 Apr 2026 00:00:00 GMT</t>
  </si>
  <si>
    <t>Thu, 09 Apr 2026 00:00:00 GMT</t>
  </si>
  <si>
    <t>Wed, 08 Apr 2026 00:00:00 GMT</t>
  </si>
  <si>
    <t>Tue, 07 Apr 2026 00:00:00 GMT</t>
  </si>
  <si>
    <t>Mon, 06 Apr 2026 00:00:00 GMT</t>
  </si>
  <si>
    <t>Thu, 02 Apr 2026 00:00:00 GMT</t>
  </si>
  <si>
    <t>Wed, 01 Apr 2026 00:00:00 GMT</t>
  </si>
  <si>
    <t>Tue, 31 Mar 2026 00:00:00 GMT</t>
  </si>
  <si>
    <t>Mon, 30 Mar 2026 00:00:00 GMT</t>
  </si>
  <si>
    <t>Fri, 27 Mar 2026 00:00:00 GMT</t>
  </si>
  <si>
    <t>Thu, 26 Mar 2026 00:00:00 GMT</t>
  </si>
  <si>
    <t>Wed, 25 Mar 2026 00:00:00 GMT</t>
  </si>
  <si>
    <t>Tue, 24 Mar 2026 00:00:00 GMT</t>
  </si>
  <si>
    <t>Mon, 23 Mar 2026 00:00:00 GMT</t>
  </si>
  <si>
    <t>Fri, 20 Mar 2026 00:00:00 GMT</t>
  </si>
  <si>
    <t>Thu, 19 Mar 2026 00:00:00 GMT</t>
  </si>
  <si>
    <t>Wed, 18 Mar 2026 00:00:00 GMT</t>
  </si>
  <si>
    <t>Tue, 17 Mar 2026 00:00:00 GMT</t>
  </si>
  <si>
    <t>Mon, 16 Mar 2026 00:00:00 GMT</t>
  </si>
  <si>
    <t>Fri, 13 Mar 2026 00:00:00 GMT</t>
  </si>
  <si>
    <t>Thu, 12 Mar 2026 00:00:00 GMT</t>
  </si>
  <si>
    <t>Wed, 11 Mar 2026 00:00:00 GMT</t>
  </si>
  <si>
    <t>Tue, 10 Mar 2026 00:00:00 GMT</t>
  </si>
  <si>
    <t>Mon, 09 Mar 2026 00:00:00 GMT</t>
  </si>
  <si>
    <t>Fri, 06 Mar 2026 00:00:00 GMT</t>
  </si>
  <si>
    <t>Thu, 05 Mar 2026 00:00:00 GMT</t>
  </si>
  <si>
    <t>Wed, 04 Mar 2026 00:00:00 GMT</t>
  </si>
  <si>
    <t>Tue, 03 Mar 2026 00:00:00 GMT</t>
  </si>
  <si>
    <t>Mon, 02 Mar 2026 00:00:00 GMT</t>
  </si>
  <si>
    <t>Fri, 27 Feb 2026 00:00:00 GMT</t>
  </si>
  <si>
    <t>Thu, 26 Feb 2026 00:00:00 GMT</t>
  </si>
  <si>
    <t>Wed, 25 Feb 2026 00:00:00 GMT</t>
  </si>
  <si>
    <t>Tue, 24 Feb 2026 00:00:00 GMT</t>
  </si>
  <si>
    <t>Mon, 23 Feb 2026 00:00:00 GMT</t>
  </si>
  <si>
    <t>Fri, 20 Feb 2026 00:00:00 GMT</t>
  </si>
  <si>
    <t>Thu, 19 Feb 2026 00:00:00 GMT</t>
  </si>
  <si>
    <t>Wed, 18 Feb 2026 00:00:00 GMT</t>
  </si>
  <si>
    <t>Tue, 17 Feb 2026 00:00:00 GMT</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</si>
  <si>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</si>
  <si>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</si>
  <si>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</si>
  <si>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</si>
  <si>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</si>
  <si>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</si>
  <si>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</si>
  <si>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</si>
  <si>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</si>
  <si>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</si>
  <si>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</si>
  <si>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</si>
  <si>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</si>
  <si>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</si>
  <si>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</si>
  <si>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</si>
  <si>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</si>
  <si>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</si>
  <si>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</si>
  <si>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</si>
  <si>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</si>
  <si>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</si>
  <si>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</si>
  <si>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</si>
  <si>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</si>
  <si>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</si>
  <si>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</si>
  <si>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</si>
  <si>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</si>
  <si>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</si>
  <si>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</si>
  <si>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</si>
  <si>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</si>
  <si>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</si>
  <si>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</si>
  <si>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</si>
  <si>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</si>
  <si>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</si>
  <si>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</si>
  <si>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</si>
  <si>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</si>
  <si>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</si>
  <si>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</si>
  <si>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</si>
  <si>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</si>
  <si>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</si>
  <si>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</si>
  <si>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</si>
  <si>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</si>
  <si>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</si>
  <si>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</si>
  <si>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</si>
  <si>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</si>
  <si>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</si>
  <si>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</si>
  <si>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</si>
  <si>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</si>
  <si>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</si>
  <si>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</si>
  <si>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</si>
  <si>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</si>
  <si>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</si>
  <si>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</si>
  <si>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</si>
  <si>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</si>
  <si>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</si>
  <si>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</si>
  <si>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</si>
  <si>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</si>
  <si>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</si>
  <si>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</si>
  <si>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</si>
  <si>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</si>
  <si>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</si>
  <si>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</si>
  <si>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</si>
  <si>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</si>
  <si>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</si>
  <si>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</si>
  <si>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</si>
  <si>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</si>
  <si>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</si>
  <si>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</si>
  <si>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</si>
  <si>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</si>
  <si>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</si>
  <si>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</si>
  <si>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</si>
  <si>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</si>
  <si>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</si>
  <si>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</si>
  <si>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</si>
  <si>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</si>
  <si>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</si>
  <si>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</si>
  <si>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</si>
  <si>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</si>
  <si>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</si>
  <si>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</si>
  <si>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</si>
  <si>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</si>
  <si>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</si>
  <si>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</si>
  <si>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</si>
  <si>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</si>
  <si>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</si>
  <si>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</si>
  <si>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</si>
  <si>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</si>
  <si>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</si>
  <si>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</si>
  <si>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</si>
  <si>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</si>
  <si>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</si>
  <si>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</si>
  <si>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</si>
  <si>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</si>
  <si>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</si>
  <si>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</si>
  <si>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</si>
  <si>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</si>
  <si>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</si>
  <si>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</si>
  <si>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</si>
  <si>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</si>
  <si>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</si>
  <si>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</si>
  <si>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</si>
  <si>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</si>
  <si>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</si>
  <si>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</si>
  <si>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</si>
  <si>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</si>
  <si>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</si>
  <si>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</si>
  <si>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</si>
  <si>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</si>
  <si>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</si>
  <si>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</si>
  <si>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</si>
  <si>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</si>
  <si>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</si>
  <si>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</si>
  <si>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</si>
  <si>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</si>
  <si>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</si>
  <si>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</si>
  <si>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</si>
  <si>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</si>
  <si>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</si>
  <si>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</si>
  <si>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</si>
  <si>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</si>
  <si>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</si>
  <si>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</si>
  <si>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</si>
  <si>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</si>
  <si>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</si>
  <si>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</si>
  <si>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</si>
  <si>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</si>
  <si>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</si>
  <si>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</si>
  <si>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</si>
  <si>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</si>
  <si>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</si>
  <si>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</si>
  <si>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</si>
  <si>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</si>
  <si>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</si>
  <si>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</si>
  <si>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</si>
  <si>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</si>
  <si>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</si>
  <si>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</si>
  <si>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</si>
  <si>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</si>
  <si>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</si>
  <si>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</si>
  <si>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</si>
  <si>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</si>
  <si>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</si>
  <si>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</si>
  <si>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</si>
  <si>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</si>
  <si>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</si>
  <si>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</si>
  <si>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</si>
  <si>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</si>
  <si>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</si>
  <si>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</si>
  <si>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</si>
  <si>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</si>
  <si>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</si>
  <si>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</si>
  <si>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</si>
  <si>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</si>
  <si>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</si>
  <si>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</si>
  <si>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</si>
  <si>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</si>
  <si>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</si>
  <si>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</si>
  <si>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</si>
  <si>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</si>
  <si>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</si>
  <si>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</si>
  <si>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</si>
  <si>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</si>
  <si>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</si>
  <si>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</si>
  <si>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</si>
  <si>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</si>
  <si>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</si>
  <si>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</si>
  <si>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</si>
  <si>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</si>
  <si>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</si>
  <si>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</si>
  <si>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</si>
  <si>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</si>
  <si>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</si>
  <si>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</si>
  <si>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</si>
  <si>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</si>
  <si>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</si>
  <si>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</si>
  <si>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</si>
  <si>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</si>
  <si>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</si>
  <si>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</si>
  <si>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</si>
  <si>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</si>
  <si>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</si>
  <si>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</si>
  <si>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</si>
  <si>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</si>
  <si>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</si>
  <si>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</si>
  <si>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</si>
  <si>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</si>
  <si>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</si>
  <si>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</si>
  <si>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</si>
  <si>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</si>
  <si>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</si>
  <si>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</si>
  <si>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</si>
  <si>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</si>
  <si>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</si>
  <si>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</si>
  <si>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</si>
  <si>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</si>
  <si>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</si>
  <si>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</si>
  <si>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</si>
  <si>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</si>
  <si>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</si>
  <si>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</si>
  <si>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</si>
  <si>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</si>
  <si>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</si>
  <si>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</si>
  <si>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</si>
  <si>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</si>
  <si>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</si>
  <si>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</si>
  <si>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</si>
  <si>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</si>
  <si>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</si>
  <si>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</si>
  <si>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</si>
  <si>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</si>
  <si>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</si>
  <si>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</si>
  <si>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</si>
  <si>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</si>
  <si>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</si>
  <si>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</si>
  <si>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</si>
  <si>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</si>
  <si>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</si>
  <si>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</si>
  <si>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</si>
  <si>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</si>
  <si>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</si>
  <si>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</si>
  <si>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</si>
  <si>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</si>
  <si>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</si>
  <si>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</si>
  <si>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</si>
  <si>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</si>
  <si>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</si>
  <si>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</si>
  <si>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</si>
  <si>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</si>
  <si>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</si>
  <si>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</si>
  <si>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</si>
  <si>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</si>
  <si>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</si>
  <si>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</si>
  <si>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</si>
  <si>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</si>
  <si>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</si>
  <si>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</si>
  <si>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</si>
  <si>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</si>
  <si>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</si>
  <si>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</si>
  <si>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</si>
  <si>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</si>
  <si>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</si>
  <si>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</si>
  <si>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</si>
  <si>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</si>
  <si>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</si>
  <si>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</si>
  <si>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</si>
  <si>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</si>
  <si>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</si>
  <si>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</si>
  <si>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</si>
  <si>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</si>
  <si>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</si>
  <si>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</si>
  <si>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</si>
  <si>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</si>
  <si>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</si>
  <si>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</si>
  <si>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</si>
  <si>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</si>
  <si>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</si>
  <si>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</si>
  <si>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</si>
  <si>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</si>
  <si>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</si>
  <si>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</si>
  <si>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</si>
  <si>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</si>
  <si>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</si>
  <si>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</si>
  <si>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</si>
  <si>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</si>
  <si>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</si>
  <si>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</si>
  <si>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</si>
  <si>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</si>
  <si>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</si>
  <si>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</si>
  <si>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</si>
  <si>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</si>
  <si>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</si>
  <si>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</si>
  <si>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</si>
  <si>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</si>
  <si>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</si>
  <si>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</si>
  <si>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</si>
  <si>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</si>
  <si>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</si>
  <si>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</si>
  <si>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</si>
  <si>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</si>
  <si>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</si>
  <si>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</si>
  <si>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</si>
  <si>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</si>
  <si>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</si>
  <si>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</si>
  <si>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</si>
  <si>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</si>
  <si>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</si>
  <si>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</si>
  <si>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</si>
  <si>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</si>
  <si>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</si>
  <si>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</si>
  <si>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</si>
  <si>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</si>
  <si>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</si>
  <si>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</si>
  <si>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</si>
  <si>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</si>
  <si>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</si>
  <si>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</si>
  <si>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</si>
  <si>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</si>
  <si>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</si>
  <si>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</si>
  <si>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</si>
  <si>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</si>
  <si>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</si>
  <si>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</si>
  <si>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</si>
  <si>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</si>
  <si>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</si>
  <si>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</si>
  <si>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</si>
  <si>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</si>
  <si>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</si>
  <si>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</si>
  <si>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</si>
  <si>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</si>
  <si>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</si>
  <si>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</si>
  <si>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</si>
  <si>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</si>
  <si>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</si>
  <si>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</si>
  <si>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</si>
  <si>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</si>
  <si>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</si>
  <si>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</si>
  <si>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</si>
  <si>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</si>
  <si>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</si>
  <si>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</si>
  <si>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</si>
  <si>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</si>
  <si>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</si>
  <si>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</si>
  <si>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</si>
  <si>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</si>
  <si>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</si>
  <si>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</si>
  <si>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</si>
  <si>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</si>
  <si>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</si>
  <si>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</si>
  <si>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</si>
  <si>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</si>
  <si>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</si>
  <si>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</si>
  <si>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</si>
  <si>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</si>
  <si>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</si>
  <si>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</si>
  <si>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</si>
  <si>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</si>
  <si>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</si>
  <si>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</si>
  <si>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</si>
  <si>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</si>
  <si>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</si>
  <si>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</si>
  <si>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</si>
  <si>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</si>
  <si>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</si>
  <si>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</si>
  <si>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</si>
  <si>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</si>
  <si>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</si>
  <si>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</si>
  <si>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</si>
  <si>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</si>
  <si>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</si>
  <si>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</si>
  <si>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</si>
  <si>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</si>
  <si>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</si>
  <si>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</si>
  <si>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</si>
  <si>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</si>
  <si>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</si>
  <si>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</si>
  <si>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</si>
  <si>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</si>
  <si>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</si>
  <si>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</si>
  <si>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</si>
  <si>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</si>
  <si>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</si>
  <si>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</si>
  <si>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</si>
  <si>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</si>
  <si>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</si>
  <si>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</si>
  <si>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</si>
  <si>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</si>
  <si>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</si>
  <si>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</si>
  <si>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</si>
  <si>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</si>
  <si>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</si>
  <si>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</si>
  <si>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</si>
  <si>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</si>
  <si>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</si>
  <si>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</si>
  <si>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</si>
  <si>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</si>
  <si>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</si>
  <si>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</si>
  <si>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</si>
  <si>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</si>
  <si>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</si>
  <si>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</si>
  <si>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</si>
  <si>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</si>
  <si>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</si>
  <si>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</si>
  <si>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</si>
  <si>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</si>
  <si>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</si>
  <si>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</si>
  <si>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</si>
  <si>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</si>
  <si>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</si>
  <si>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</si>
  <si>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</si>
  <si>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</si>
  <si>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</si>
  <si>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</si>
  <si>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</si>
  <si>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</si>
  <si>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</si>
  <si>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</si>
  <si>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</si>
  <si>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</si>
  <si>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</si>
  <si>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</si>
  <si>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</si>
  <si>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</si>
  <si>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</si>
  <si>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</si>
  <si>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</si>
  <si>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</si>
  <si>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</si>
  <si>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</si>
  <si>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</si>
  <si>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</si>
  <si>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</si>
  <si>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</si>
  <si>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</si>
  <si>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</si>
  <si>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</si>
  <si>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</si>
  <si>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</si>
  <si>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</si>
  <si>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</si>
  <si>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</si>
  <si>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</si>
  <si>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</si>
  <si>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</si>
  <si>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</si>
  <si>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</si>
  <si>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</si>
  <si>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</si>
  <si>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</si>
  <si>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</si>
  <si>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</si>
  <si>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</si>
  <si>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</si>
  <si>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</si>
  <si>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</si>
  <si>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</si>
  <si>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</si>
  <si>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</si>
  <si>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</si>
  <si>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</si>
  <si>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</si>
  <si>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</si>
  <si>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</si>
  <si>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</si>
  <si>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</si>
  <si>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</si>
  <si>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</si>
  <si>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</si>
  <si>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</si>
  <si>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</si>
  <si>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</si>
  <si>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</si>
  <si>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</si>
  <si>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</si>
  <si>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</si>
  <si>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</si>
  <si>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</si>
  <si>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</si>
  <si>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</si>
  <si>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</si>
  <si>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</si>
  <si>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</si>
  <si>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</si>
  <si>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</si>
  <si>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</si>
  <si>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</si>
  <si>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</si>
  <si>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</si>
  <si>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</si>
  <si>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</si>
  <si>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</si>
  <si>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</si>
  <si>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</si>
  <si>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</si>
  <si>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</si>
  <si>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</si>
  <si>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</si>
  <si>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</si>
  <si>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</si>
  <si>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</si>
  <si>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</si>
  <si>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</si>
  <si>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</si>
  <si>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</si>
  <si>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</si>
  <si>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</si>
  <si>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</si>
  <si>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</si>
  <si>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</si>
  <si>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</si>
  <si>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</si>
  <si>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</si>
  <si>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</si>
  <si>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</si>
  <si>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</si>
  <si>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</si>
  <si>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</si>
  <si>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</si>
  <si>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</si>
  <si>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</si>
  <si>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</si>
  <si>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</si>
  <si>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</si>
  <si>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</si>
  <si>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</si>
  <si>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</si>
  <si>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</si>
  <si>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</si>
  <si>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</si>
  <si>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</si>
  <si>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</si>
  <si>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</si>
  <si>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</si>
  <si>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</si>
  <si>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</si>
  <si>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</si>
  <si>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</si>
  <si>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</si>
  <si>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</si>
  <si>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</si>
  <si>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</si>
  <si>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</si>
  <si>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</si>
  <si>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</si>
  <si>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</si>
  <si>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</si>
  <si>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</si>
  <si>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</si>
  <si>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</si>
  <si>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</si>
  <si>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</si>
  <si>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</si>
  <si>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</si>
  <si>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</si>
  <si>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</si>
  <si>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</si>
  <si>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</si>
  <si>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</si>
  <si>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</si>
  <si>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</si>
  <si>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</si>
  <si>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</si>
  <si>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</si>
  <si>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</si>
  <si>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</si>
  <si>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</si>
  <si>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</si>
  <si>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</si>
  <si>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</si>
  <si>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</si>
  <si>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</si>
  <si>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</si>
  <si>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</si>
  <si>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</si>
  <si>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</si>
  <si>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</si>
  <si>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</si>
  <si>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</si>
  <si>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</si>
  <si>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</si>
  <si>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</si>
  <si>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</si>
  <si>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</si>
  <si>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</si>
  <si>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</si>
  <si>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</si>
  <si>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</si>
  <si>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</si>
  <si>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</si>
  <si>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</si>
  <si>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</si>
  <si>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</si>
  <si>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</si>
  <si>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</si>
  <si>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</si>
  <si>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</si>
  <si>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</si>
  <si>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</si>
  <si>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</si>
  <si>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</si>
  <si>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</si>
  <si>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</si>
  <si>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</si>
  <si>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</si>
  <si>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</si>
  <si>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</si>
  <si>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</si>
  <si>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</si>
  <si>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</si>
  <si>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</si>
  <si>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</si>
  <si>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</si>
  <si>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</si>
  <si>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</si>
  <si>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</si>
  <si>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</si>
  <si>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</si>
  <si>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</si>
  <si>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</si>
  <si>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</si>
  <si>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</si>
  <si>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</si>
  <si>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</si>
  <si>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</si>
  <si>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</si>
  <si>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</si>
  <si>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</si>
  <si>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</si>
  <si>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</si>
  <si>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</si>
  <si>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</si>
  <si>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</si>
  <si>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</si>
  <si>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</si>
  <si>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</si>
  <si>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</si>
  <si>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</si>
  <si>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</si>
  <si>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</si>
  <si>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</si>
  <si>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</si>
  <si>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</si>
  <si>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</si>
  <si>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</si>
  <si>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</si>
  <si>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</si>
  <si>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</si>
  <si>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</si>
  <si>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</si>
  <si>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</si>
  <si>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</si>
  <si>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</si>
  <si>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</si>
  <si>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</si>
  <si>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</si>
  <si>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</si>
  <si>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</si>
  <si>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</si>
  <si>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</si>
  <si>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</si>
  <si>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</si>
  <si>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</si>
  <si>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</si>
  <si>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</si>
  <si>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</si>
  <si>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</si>
  <si>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</si>
  <si>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</si>
  <si>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</si>
  <si>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</si>
  <si>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</si>
  <si>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</si>
  <si>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</si>
  <si>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</si>
  <si>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</si>
  <si>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</si>
  <si>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</si>
  <si>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</si>
  <si>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</si>
  <si>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</si>
  <si>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</si>
  <si>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</si>
  <si>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</si>
  <si>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</si>
  <si>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</si>
  <si>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</si>
  <si>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</si>
  <si>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</si>
  <si>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</si>
  <si>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</si>
  <si>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</si>
  <si>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</si>
  <si>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</si>
  <si>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</si>
  <si>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</si>
  <si>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</si>
  <si>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</si>
  <si>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</si>
  <si>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</si>
  <si>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</si>
  <si>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</si>
  <si>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</si>
  <si>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</si>
  <si>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</si>
  <si>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</si>
  <si>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</si>
  <si>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</si>
  <si>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</si>
  <si>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</si>
  <si>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</si>
  <si>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</si>
  <si>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</si>
  <si>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</si>
  <si>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</si>
  <si>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</si>
  <si>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</si>
  <si>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</si>
  <si>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</si>
  <si>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</si>
  <si>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</si>
  <si>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</si>
  <si>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</si>
  <si>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</si>
  <si>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</si>
  <si>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</si>
  <si>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</si>
  <si>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</si>
  <si>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</si>
  <si>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</si>
  <si>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</si>
  <si>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</si>
  <si>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</si>
  <si>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</si>
  <si>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</si>
  <si>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</si>
  <si>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</si>
  <si>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</si>
  <si>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</si>
  <si>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</si>
  <si>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</si>
  <si>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</si>
  <si>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</si>
  <si>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</si>
  <si>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</si>
  <si>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</si>
  <si>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</si>
  <si>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</si>
  <si>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</si>
  <si>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</si>
  <si>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</si>
  <si>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</si>
  <si>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</si>
  <si>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</si>
  <si>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</si>
  <si>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</si>
  <si>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</si>
  <si>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</si>
  <si>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</si>
  <si>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</si>
  <si>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</si>
  <si>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</si>
  <si>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</si>
  <si>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</si>
  <si>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</si>
  <si>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</si>
  <si>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</si>
  <si>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</si>
  <si>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</si>
  <si>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</si>
  <si>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</si>
  <si>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</si>
  <si>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</si>
  <si>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</si>
  <si>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</si>
  <si>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</si>
  <si>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</si>
  <si>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</si>
  <si>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</si>
  <si>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</si>
  <si>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</si>
  <si>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</si>
  <si>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</si>
  <si>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</si>
  <si>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</si>
  <si>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</si>
  <si>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</si>
  <si>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</si>
  <si>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</si>
  <si>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</si>
  <si>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</si>
  <si>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</si>
  <si>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</si>
  <si>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</si>
  <si>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</si>
  <si>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</si>
  <si>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</si>
  <si>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</si>
  <si>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</si>
  <si>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</si>
  <si>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</si>
  <si>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</si>
  <si>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</si>
  <si>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</si>
  <si>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</si>
  <si>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</si>
  <si>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</si>
  <si>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</si>
  <si>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</si>
  <si>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</si>
  <si>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</si>
  <si>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</si>
  <si>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</si>
  <si>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</si>
  <si>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</si>
  <si>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r>
      <rPr>
        <i/>
        <sz val="11"/>
        <color theme="1"/>
        <rFont val="Calibre"/>
      </rPr>
      <t>1003</t>
    </r>
    <r>
      <rPr>
        <sz val="11"/>
        <color theme="1"/>
        <rFont val="Calibre"/>
      </rPr>
      <t xml:space="preserve"> Trading Days (From: </t>
    </r>
    <r>
      <rPr>
        <i/>
        <sz val="11"/>
        <color theme="1"/>
        <rFont val="Calibre"/>
      </rPr>
      <t>6/22/22 - 6/22/62</t>
    </r>
    <r>
      <rPr>
        <sz val="11"/>
        <color theme="1"/>
        <rFont val="Calibre"/>
      </rPr>
      <t>)</t>
    </r>
  </si>
  <si>
    <t>PL Historical Returns</t>
  </si>
  <si>
    <t>More</t>
  </si>
  <si>
    <t>Revenue Breakdown by Segment</t>
  </si>
  <si>
    <t>2025-2026</t>
  </si>
  <si>
    <t>7/5/2026</t>
  </si>
  <si>
    <t>Q2 2026</t>
  </si>
  <si>
    <t>Q3 2026</t>
  </si>
  <si>
    <t>Q4 2026</t>
  </si>
  <si>
    <t>CFFO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</si>
</sst>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20">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4" tint="-0.249977111117893"/>
      <name val="Calibre"/>
    </font>
    <font>
      <sz val="10"/>
      <color theme="1"/>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xf numFmtId="0" fontId="19" fillId="0" borderId="0"/>
  </cellStyleXfs>
  <cellXfs count="100">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9" fontId="13"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0" fontId="12" fillId="0" borderId="0" xfId="0" applyFont="1" applyAlignment="1">
      <alignment vertical="top"/>
    </xf>
    <xf numFmtId="2" fontId="13" fillId="0" borderId="0" xfId="0" applyNumberFormat="1" applyFont="1" applyAlignment="1">
      <alignment vertical="top"/>
    </xf>
    <xf numFmtId="49" fontId="13" fillId="0" borderId="0" xfId="0" applyNumberFormat="1" applyFont="1" applyAlignment="1">
      <alignment horizontal="right" vertical="top"/>
    </xf>
    <xf numFmtId="10" fontId="2" fillId="0" borderId="0" xfId="1" applyNumberFormat="1" applyFont="1"/>
    <xf numFmtId="2" fontId="8" fillId="5" borderId="0" xfId="0" applyNumberFormat="1" applyFont="1" applyFill="1" applyAlignment="1">
      <alignment horizontal="center" vertical="center"/>
    </xf>
    <xf numFmtId="0" fontId="13" fillId="0" borderId="0" xfId="0" applyFont="1" applyAlignment="1">
      <alignment horizontal="right"/>
    </xf>
    <xf numFmtId="9" fontId="13" fillId="0" borderId="0" xfId="1" applyFont="1"/>
    <xf numFmtId="10" fontId="13" fillId="0" borderId="0" xfId="1" applyNumberFormat="1" applyFont="1"/>
    <xf numFmtId="0" fontId="13" fillId="0" borderId="0" xfId="0" applyFont="1" applyAlignment="1">
      <alignment horizontal="left" indent="1"/>
    </xf>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0" fontId="13" fillId="0" borderId="0" xfId="0" applyFont="1" applyAlignment="1">
      <alignment horizontal="left" vertical="top" indent="1"/>
    </xf>
    <xf numFmtId="0" fontId="13" fillId="0" borderId="0" xfId="0" applyFont="1" applyAlignment="1">
      <alignment horizontal="center"/>
    </xf>
    <xf numFmtId="1" fontId="13" fillId="0" borderId="0" xfId="0" applyNumberFormat="1" applyFont="1"/>
    <xf numFmtId="2" fontId="13" fillId="0" borderId="0" xfId="0" applyNumberFormat="1" applyFont="1"/>
    <xf numFmtId="10" fontId="13" fillId="0" borderId="0" xfId="1" applyNumberFormat="1" applyFont="1" applyAlignment="1">
      <alignment horizontal="left" indent="1"/>
    </xf>
    <xf numFmtId="10" fontId="13" fillId="0" borderId="0" xfId="1" applyNumberFormat="1" applyFont="1" applyAlignment="1">
      <alignment horizontal="right"/>
    </xf>
    <xf numFmtId="1" fontId="12" fillId="0" borderId="0" xfId="0" applyNumberFormat="1" applyFont="1" applyAlignment="1">
      <alignment horizontal="left" indent="1"/>
    </xf>
    <xf numFmtId="10" fontId="13" fillId="0" borderId="0" xfId="0" applyNumberFormat="1" applyFont="1"/>
    <xf numFmtId="0" fontId="12" fillId="0" borderId="0" xfId="0" applyFont="1" applyAlignment="1">
      <alignment horizontal="left" vertical="top" indent="1"/>
    </xf>
    <xf numFmtId="0" fontId="12" fillId="0" borderId="0" xfId="0" applyFont="1" applyAlignment="1">
      <alignment horizontal="right" vertical="center"/>
    </xf>
    <xf numFmtId="0" fontId="12" fillId="0" borderId="0" xfId="0" applyFont="1" applyAlignment="1">
      <alignment vertical="top" wrapText="1"/>
    </xf>
    <xf numFmtId="0" fontId="12" fillId="0" borderId="0" xfId="0" applyFont="1" applyAlignment="1">
      <alignment horizontal="center"/>
    </xf>
    <xf numFmtId="2" fontId="2" fillId="0" borderId="0" xfId="0" applyNumberFormat="1" applyFont="1" applyAlignment="1">
      <alignment vertical="center"/>
    </xf>
    <xf numFmtId="10" fontId="2" fillId="0" borderId="0" xfId="0" applyNumberFormat="1" applyFont="1" applyAlignment="1">
      <alignment vertical="center"/>
    </xf>
    <xf numFmtId="43" fontId="2" fillId="0" borderId="0" xfId="3" applyFont="1" applyAlignment="1">
      <alignment horizontal="left"/>
    </xf>
    <xf numFmtId="166" fontId="2" fillId="0" borderId="0" xfId="3" applyNumberFormat="1" applyFont="1" applyAlignment="1">
      <alignment horizontal="left"/>
    </xf>
    <xf numFmtId="167" fontId="2" fillId="0" borderId="0" xfId="3" applyNumberFormat="1" applyFont="1" applyAlignment="1">
      <alignment horizontal="left"/>
    </xf>
    <xf numFmtId="164" fontId="2" fillId="0" borderId="0" xfId="0" applyNumberFormat="1" applyFont="1"/>
    <xf numFmtId="164" fontId="3" fillId="0" borderId="0" xfId="0" applyNumberFormat="1" applyFont="1"/>
    <xf numFmtId="0" fontId="2" fillId="0" borderId="0" xfId="0" applyFont="1" applyAlignment="1">
      <alignment horizontal="left" indent="1"/>
    </xf>
    <xf numFmtId="0" fontId="6" fillId="0" borderId="0" xfId="0" applyFont="1"/>
    <xf numFmtId="165" fontId="2" fillId="0" borderId="0" xfId="1" applyNumberFormat="1" applyFont="1"/>
    <xf numFmtId="164" fontId="2" fillId="0" borderId="0" xfId="1" applyNumberFormat="1" applyFont="1"/>
    <xf numFmtId="165" fontId="3" fillId="0" borderId="0" xfId="1" applyNumberFormat="1" applyFont="1"/>
    <xf numFmtId="0" fontId="13" fillId="0" borderId="0" xfId="0" applyFont="1" applyAlignment="1">
      <alignment horizontal="left" vertical="top"/>
    </xf>
    <xf numFmtId="164" fontId="12" fillId="0" borderId="0" xfId="0" applyNumberFormat="1" applyFont="1"/>
    <xf numFmtId="165" fontId="13" fillId="0" borderId="0" xfId="0" applyNumberFormat="1" applyFont="1"/>
    <xf numFmtId="165" fontId="12" fillId="0" borderId="0" xfId="0" applyNumberFormat="1" applyFont="1"/>
    <xf numFmtId="164" fontId="13" fillId="0" borderId="0" xfId="0" applyNumberFormat="1" applyFont="1"/>
    <xf numFmtId="165" fontId="13" fillId="0" borderId="0" xfId="1" applyNumberFormat="1" applyFont="1"/>
    <xf numFmtId="0" fontId="17" fillId="0" borderId="0" xfId="0" applyFont="1"/>
    <xf numFmtId="10" fontId="0" fillId="0" borderId="0" xfId="0" applyNumberFormat="1"/>
    <xf numFmtId="0" fontId="0" fillId="0" borderId="18" xfId="0" applyBorder="1"/>
    <xf numFmtId="0" fontId="9" fillId="0" borderId="17" xfId="0" applyFont="1" applyBorder="1" applyAlignment="1">
      <alignment horizontal="center"/>
    </xf>
    <xf numFmtId="1" fontId="13" fillId="0" borderId="0" xfId="0" applyNumberFormat="1" applyFont="1" applyAlignment="1">
      <alignment vertical="center"/>
    </xf>
    <xf numFmtId="0" fontId="18" fillId="0" borderId="0" xfId="0" applyFont="1" applyAlignment="1">
      <alignment horizontal="center"/>
    </xf>
  </cellXfs>
  <cellStyles count="5">
    <cellStyle name="Comma" xfId="3" builtinId="3"/>
    <cellStyle name="Hyperlink" xfId="2" builtinId="8"/>
    <cellStyle name="Normal" xfId="0" builtinId="0"/>
    <cellStyle name="Normal 2" xfId="4" xr:uid="{5FEB66DD-E991-415C-BB93-F3897B07DF93}"/>
    <cellStyle name="Percent" xfId="1" builtinId="5"/>
  </cellStyles>
  <dxfs count="10">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7171"/>
      <color rgb="FFFF5050"/>
      <color rgb="FF1F6E7B"/>
      <color rgb="FF2EA3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7"/>
          <c:order val="0"/>
          <c:tx>
            <c:strRef>
              <c:f>'Base Case'!$B$4</c:f>
              <c:strCache>
                <c:ptCount val="1"/>
                <c:pt idx="0">
                  <c:v>Civil Government</c:v>
                </c:pt>
              </c:strCache>
            </c:strRef>
          </c:tx>
          <c:spPr>
            <a:solidFill>
              <a:srgbClr val="2EA3B6"/>
            </a:solidFill>
            <a:ln>
              <a:noFill/>
            </a:ln>
            <a:effectLst/>
          </c:spPr>
          <c:invertIfNegative val="0"/>
          <c:cat>
            <c:strRef>
              <c:f>'Base Case'!$O$1:$W$1</c:f>
              <c:strCache>
                <c:ptCount val="9"/>
                <c:pt idx="0">
                  <c:v>Q1 2024</c:v>
                </c:pt>
                <c:pt idx="4">
                  <c:v>Q1 2025</c:v>
                </c:pt>
                <c:pt idx="8">
                  <c:v>Q1 2026</c:v>
                </c:pt>
              </c:strCache>
            </c:strRef>
          </c:cat>
          <c:val>
            <c:numRef>
              <c:f>'Base Case'!$O$4:$X$4</c:f>
              <c:numCache>
                <c:formatCode>0.0</c:formatCode>
                <c:ptCount val="10"/>
                <c:pt idx="0">
                  <c:v>18.048999999999999</c:v>
                </c:pt>
                <c:pt idx="1">
                  <c:v>17.178999999999998</c:v>
                </c:pt>
                <c:pt idx="2">
                  <c:v>18.552</c:v>
                </c:pt>
                <c:pt idx="3">
                  <c:v>18.107000000000006</c:v>
                </c:pt>
                <c:pt idx="4">
                  <c:v>16.28</c:v>
                </c:pt>
                <c:pt idx="5">
                  <c:v>16.425999999999998</c:v>
                </c:pt>
                <c:pt idx="6">
                  <c:v>18.827999999999999</c:v>
                </c:pt>
                <c:pt idx="7">
                  <c:v>20.375999999999991</c:v>
                </c:pt>
                <c:pt idx="8">
                  <c:v>16.169</c:v>
                </c:pt>
                <c:pt idx="9">
                  <c:v>17.498000000000001</c:v>
                </c:pt>
              </c:numCache>
            </c:numRef>
          </c:val>
          <c:extLst>
            <c:ext xmlns:c16="http://schemas.microsoft.com/office/drawing/2014/chart" uri="{C3380CC4-5D6E-409C-BE32-E72D297353CC}">
              <c16:uniqueId val="{00000007-763E-43B3-B662-D76C6E829219}"/>
            </c:ext>
          </c:extLst>
        </c:ser>
        <c:ser>
          <c:idx val="8"/>
          <c:order val="1"/>
          <c:tx>
            <c:strRef>
              <c:f>'Base Case'!$B$5</c:f>
              <c:strCache>
                <c:ptCount val="1"/>
                <c:pt idx="0">
                  <c:v>Commercial</c:v>
                </c:pt>
              </c:strCache>
            </c:strRef>
          </c:tx>
          <c:spPr>
            <a:solidFill>
              <a:srgbClr val="1F6E7B"/>
            </a:solidFill>
            <a:ln>
              <a:noFill/>
            </a:ln>
            <a:effectLst/>
          </c:spPr>
          <c:invertIfNegative val="0"/>
          <c:cat>
            <c:strRef>
              <c:f>'Base Case'!$O$1:$W$1</c:f>
              <c:strCache>
                <c:ptCount val="9"/>
                <c:pt idx="0">
                  <c:v>Q1 2024</c:v>
                </c:pt>
                <c:pt idx="4">
                  <c:v>Q1 2025</c:v>
                </c:pt>
                <c:pt idx="8">
                  <c:v>Q1 2026</c:v>
                </c:pt>
              </c:strCache>
            </c:strRef>
          </c:cat>
          <c:val>
            <c:numRef>
              <c:f>'Base Case'!$O$5:$X$5</c:f>
              <c:numCache>
                <c:formatCode>0.0</c:formatCode>
                <c:ptCount val="10"/>
                <c:pt idx="0">
                  <c:v>12.776999999999999</c:v>
                </c:pt>
                <c:pt idx="1">
                  <c:v>14.231999999999999</c:v>
                </c:pt>
                <c:pt idx="2">
                  <c:v>14.173</c:v>
                </c:pt>
                <c:pt idx="3">
                  <c:v>15.001999999999995</c:v>
                </c:pt>
                <c:pt idx="4">
                  <c:v>13.337999999999999</c:v>
                </c:pt>
                <c:pt idx="5">
                  <c:v>15.051</c:v>
                </c:pt>
                <c:pt idx="6">
                  <c:v>13.061</c:v>
                </c:pt>
                <c:pt idx="7">
                  <c:v>14.134999999999998</c:v>
                </c:pt>
                <c:pt idx="8">
                  <c:v>16.594999999999999</c:v>
                </c:pt>
                <c:pt idx="9">
                  <c:v>17.559000000000001</c:v>
                </c:pt>
              </c:numCache>
            </c:numRef>
          </c:val>
          <c:extLst>
            <c:ext xmlns:c16="http://schemas.microsoft.com/office/drawing/2014/chart" uri="{C3380CC4-5D6E-409C-BE32-E72D297353CC}">
              <c16:uniqueId val="{00000008-763E-43B3-B662-D76C6E829219}"/>
            </c:ext>
          </c:extLst>
        </c:ser>
        <c:ser>
          <c:idx val="9"/>
          <c:order val="2"/>
          <c:tx>
            <c:strRef>
              <c:f>'Base Case'!$B$6</c:f>
              <c:strCache>
                <c:ptCount val="1"/>
                <c:pt idx="0">
                  <c:v>Defense &amp; Intelligence</c:v>
                </c:pt>
              </c:strCache>
            </c:strRef>
          </c:tx>
          <c:spPr>
            <a:solidFill>
              <a:sysClr val="window" lastClr="FFFFFF">
                <a:lumMod val="85000"/>
              </a:sysClr>
            </a:solidFill>
            <a:ln>
              <a:noFill/>
            </a:ln>
            <a:effectLst/>
          </c:spPr>
          <c:invertIfNegative val="0"/>
          <c:cat>
            <c:strRef>
              <c:f>'Base Case'!$O$1:$W$1</c:f>
              <c:strCache>
                <c:ptCount val="9"/>
                <c:pt idx="0">
                  <c:v>Q1 2024</c:v>
                </c:pt>
                <c:pt idx="4">
                  <c:v>Q1 2025</c:v>
                </c:pt>
                <c:pt idx="8">
                  <c:v>Q1 2026</c:v>
                </c:pt>
              </c:strCache>
            </c:strRef>
          </c:cat>
          <c:val>
            <c:numRef>
              <c:f>'Base Case'!$O$6:$X$6</c:f>
              <c:numCache>
                <c:formatCode>0.0</c:formatCode>
                <c:ptCount val="10"/>
                <c:pt idx="0">
                  <c:v>29.614000000000001</c:v>
                </c:pt>
                <c:pt idx="1">
                  <c:v>29.681000000000001</c:v>
                </c:pt>
                <c:pt idx="2">
                  <c:v>28.541</c:v>
                </c:pt>
                <c:pt idx="3">
                  <c:v>28.445000000000007</c:v>
                </c:pt>
                <c:pt idx="4">
                  <c:v>36.646999999999998</c:v>
                </c:pt>
                <c:pt idx="5">
                  <c:v>41.908999999999999</c:v>
                </c:pt>
                <c:pt idx="6">
                  <c:v>49.365000000000002</c:v>
                </c:pt>
                <c:pt idx="7">
                  <c:v>52.311000000000007</c:v>
                </c:pt>
                <c:pt idx="8">
                  <c:v>61.386000000000003</c:v>
                </c:pt>
                <c:pt idx="9">
                  <c:v>80.995000000000005</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(PL)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'Base Case'!$C$50:$X$50</c:f>
              <c:numCache>
                <c:formatCode>0.0</c:formatCode>
                <c:ptCount val="22"/>
                <c:pt idx="0">
                  <c:v>-29.212</c:v>
                </c:pt>
                <c:pt idx="1">
                  <c:v>-20.369000000000007</c:v>
                </c:pt>
                <c:pt idx="2">
                  <c:v>-41.541000000000004</c:v>
                </c:pt>
                <c:pt idx="3">
                  <c:v>-46.010999999999981</c:v>
                </c:pt>
                <c:pt idx="4">
                  <c:v>-44.387000000000008</c:v>
                </c:pt>
                <c:pt idx="5">
                  <c:v>-39.579000000000001</c:v>
                </c:pt>
                <c:pt idx="6">
                  <c:v>-40.239999999999988</c:v>
                </c:pt>
                <c:pt idx="7">
                  <c:v>-37.817999999999998</c:v>
                </c:pt>
                <c:pt idx="8">
                  <c:v>-34.446999999999996</c:v>
                </c:pt>
                <c:pt idx="9">
                  <c:v>-37.936000000000007</c:v>
                </c:pt>
                <c:pt idx="10">
                  <c:v>-37.984000000000002</c:v>
                </c:pt>
                <c:pt idx="11">
                  <c:v>-30.038</c:v>
                </c:pt>
                <c:pt idx="12">
                  <c:v>-29.332999999999991</c:v>
                </c:pt>
                <c:pt idx="13">
                  <c:v>-38.660000000000004</c:v>
                </c:pt>
                <c:pt idx="14">
                  <c:v>-20.046999999999997</c:v>
                </c:pt>
                <c:pt idx="15">
                  <c:v>-35.10799999999999</c:v>
                </c:pt>
                <c:pt idx="16">
                  <c:v>-12.593000000000012</c:v>
                </c:pt>
                <c:pt idx="17">
                  <c:v>-22.577999999999982</c:v>
                </c:pt>
                <c:pt idx="18">
                  <c:v>-59.13600000000001</c:v>
                </c:pt>
                <c:pt idx="19">
                  <c:v>-152.47999999999999</c:v>
                </c:pt>
                <c:pt idx="20">
                  <c:v>-138.822</c:v>
                </c:pt>
                <c:pt idx="21">
                  <c:v>-9.3529999999999873</c:v>
                </c:pt>
              </c:numCache>
            </c:numRef>
          </c:val>
          <c:extLst>
            <c:ext xmlns:c16="http://schemas.microsoft.com/office/drawing/2014/chart" uri="{C3380CC4-5D6E-409C-BE32-E72D297353CC}">
              <c16:uniqueId val="{00000001-3646-4EF6-8D0F-B65629DF816B}"/>
            </c:ext>
          </c:extLst>
        </c:ser>
        <c:ser>
          <c:idx val="2"/>
          <c:order val="2"/>
          <c:tx>
            <c:v>FCF</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'Base Case'!$C$103:$X$103</c:f>
              <c:numCache>
                <c:formatCode>0.0</c:formatCode>
                <c:ptCount val="22"/>
                <c:pt idx="0">
                  <c:v>-31.900000000000002</c:v>
                </c:pt>
                <c:pt idx="1">
                  <c:v>-23.7</c:v>
                </c:pt>
                <c:pt idx="2">
                  <c:v>-44.3</c:v>
                </c:pt>
                <c:pt idx="3">
                  <c:v>-52.2</c:v>
                </c:pt>
                <c:pt idx="4">
                  <c:v>-47.9</c:v>
                </c:pt>
                <c:pt idx="5">
                  <c:v>-43.8</c:v>
                </c:pt>
                <c:pt idx="6">
                  <c:v>-43.2</c:v>
                </c:pt>
                <c:pt idx="7">
                  <c:v>-39.799999999999997</c:v>
                </c:pt>
                <c:pt idx="8">
                  <c:v>-41.5</c:v>
                </c:pt>
                <c:pt idx="9">
                  <c:v>-54.6</c:v>
                </c:pt>
                <c:pt idx="10">
                  <c:v>-46.6</c:v>
                </c:pt>
                <c:pt idx="11">
                  <c:v>-40.200000000000003</c:v>
                </c:pt>
                <c:pt idx="12">
                  <c:v>-40.700000000000003</c:v>
                </c:pt>
                <c:pt idx="13">
                  <c:v>-55.300000000000004</c:v>
                </c:pt>
                <c:pt idx="14">
                  <c:v>-29</c:v>
                </c:pt>
                <c:pt idx="15">
                  <c:v>-48</c:v>
                </c:pt>
                <c:pt idx="16">
                  <c:v>-21.9</c:v>
                </c:pt>
                <c:pt idx="17">
                  <c:v>-44.1</c:v>
                </c:pt>
                <c:pt idx="18">
                  <c:v>-86.9</c:v>
                </c:pt>
                <c:pt idx="19">
                  <c:v>-175.5</c:v>
                </c:pt>
                <c:pt idx="20">
                  <c:v>-156.9</c:v>
                </c:pt>
                <c:pt idx="21">
                  <c:v>-156.9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strRef>
              <c:f>'Base Case'!$C$1:$W$1</c:f>
              <c:strCache>
                <c:ptCount val="21"/>
                <c:pt idx="0">
                  <c:v>Q1 2021</c:v>
                </c:pt>
                <c:pt idx="4">
                  <c:v>Q1 2022</c:v>
                </c:pt>
                <c:pt idx="8">
                  <c:v>Q1 2023</c:v>
                </c:pt>
                <c:pt idx="12">
                  <c:v>Q1 2024</c:v>
                </c:pt>
                <c:pt idx="16">
                  <c:v>Q1 2025</c:v>
                </c:pt>
                <c:pt idx="20">
                  <c:v>Q1 2026</c:v>
                </c:pt>
              </c:strCache>
            </c:strRef>
          </c:cat>
          <c:val>
            <c:numRef>
              <c:f>'Base Case'!$C$37:$X$37</c:f>
              <c:numCache>
                <c:formatCode>0.0</c:formatCode>
                <c:ptCount val="22"/>
                <c:pt idx="0">
                  <c:v>32</c:v>
                </c:pt>
                <c:pt idx="1">
                  <c:v>30.4</c:v>
                </c:pt>
                <c:pt idx="2">
                  <c:v>31.7</c:v>
                </c:pt>
                <c:pt idx="3">
                  <c:v>37.1</c:v>
                </c:pt>
                <c:pt idx="4">
                  <c:v>40.1</c:v>
                </c:pt>
                <c:pt idx="5">
                  <c:v>48.4</c:v>
                </c:pt>
                <c:pt idx="6">
                  <c:v>49.7</c:v>
                </c:pt>
                <c:pt idx="7">
                  <c:v>53</c:v>
                </c:pt>
                <c:pt idx="8">
                  <c:v>52.7</c:v>
                </c:pt>
                <c:pt idx="9">
                  <c:v>53.8</c:v>
                </c:pt>
                <c:pt idx="10">
                  <c:v>55.4</c:v>
                </c:pt>
                <c:pt idx="11">
                  <c:v>58.9</c:v>
                </c:pt>
                <c:pt idx="12">
                  <c:v>60.4</c:v>
                </c:pt>
                <c:pt idx="13">
                  <c:v>61.1</c:v>
                </c:pt>
                <c:pt idx="14">
                  <c:v>61.3</c:v>
                </c:pt>
                <c:pt idx="15">
                  <c:v>61.6</c:v>
                </c:pt>
                <c:pt idx="16">
                  <c:v>66.3</c:v>
                </c:pt>
                <c:pt idx="17">
                  <c:v>73.400000000000006</c:v>
                </c:pt>
                <c:pt idx="18">
                  <c:v>81.3</c:v>
                </c:pt>
                <c:pt idx="19">
                  <c:v>86.8</c:v>
                </c:pt>
                <c:pt idx="20">
                  <c:v>94.2</c:v>
                </c:pt>
                <c:pt idx="21">
                  <c:v>116.05200000000001</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(PL) 1-Day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Analysis'!$Q$247</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85725" cap="flat" cmpd="sng" algn="ctr">
                <a:solidFill>
                  <a:srgbClr val="00B0F0"/>
                </a:solidFill>
                <a:round/>
              </a:ln>
              <a:effectLst/>
            </c:spPr>
          </c:errBars>
          <c:xVal>
            <c:numRef>
              <c:f>'Notes | Quant Analysis'!$Q$249:$Q$357</c:f>
              <c:numCache>
                <c:formatCode>0.00%</c:formatCode>
                <c:ptCount val="109"/>
                <c:pt idx="0">
                  <c:v>-0.13500000000000006</c:v>
                </c:pt>
                <c:pt idx="1">
                  <c:v>-0.13250000000000006</c:v>
                </c:pt>
                <c:pt idx="2">
                  <c:v>-0.13000000000000006</c:v>
                </c:pt>
                <c:pt idx="3">
                  <c:v>-0.12750000000000006</c:v>
                </c:pt>
                <c:pt idx="4">
                  <c:v>-0.12500000000000006</c:v>
                </c:pt>
                <c:pt idx="5">
                  <c:v>-0.12250000000000007</c:v>
                </c:pt>
                <c:pt idx="6">
                  <c:v>-0.12000000000000006</c:v>
                </c:pt>
                <c:pt idx="7">
                  <c:v>-0.11750000000000006</c:v>
                </c:pt>
                <c:pt idx="8">
                  <c:v>-0.11500000000000006</c:v>
                </c:pt>
                <c:pt idx="9">
                  <c:v>-0.11250000000000006</c:v>
                </c:pt>
                <c:pt idx="10">
                  <c:v>-0.11000000000000006</c:v>
                </c:pt>
                <c:pt idx="11">
                  <c:v>-0.10750000000000005</c:v>
                </c:pt>
                <c:pt idx="12">
                  <c:v>-0.10500000000000005</c:v>
                </c:pt>
                <c:pt idx="13">
                  <c:v>-0.10250000000000005</c:v>
                </c:pt>
                <c:pt idx="14">
                  <c:v>-0.10000000000000005</c:v>
                </c:pt>
                <c:pt idx="15">
                  <c:v>-9.7500000000000045E-2</c:v>
                </c:pt>
                <c:pt idx="16">
                  <c:v>-9.5000000000000043E-2</c:v>
                </c:pt>
                <c:pt idx="17">
                  <c:v>-9.2500000000000041E-2</c:v>
                </c:pt>
                <c:pt idx="18">
                  <c:v>-9.0000000000000038E-2</c:v>
                </c:pt>
                <c:pt idx="19">
                  <c:v>-8.7500000000000036E-2</c:v>
                </c:pt>
                <c:pt idx="20">
                  <c:v>-8.5000000000000034E-2</c:v>
                </c:pt>
                <c:pt idx="21">
                  <c:v>-8.2500000000000032E-2</c:v>
                </c:pt>
                <c:pt idx="22">
                  <c:v>-8.0000000000000029E-2</c:v>
                </c:pt>
                <c:pt idx="23">
                  <c:v>-7.7500000000000027E-2</c:v>
                </c:pt>
                <c:pt idx="24">
                  <c:v>-7.5000000000000025E-2</c:v>
                </c:pt>
                <c:pt idx="25">
                  <c:v>-7.2500000000000023E-2</c:v>
                </c:pt>
                <c:pt idx="26">
                  <c:v>-7.0000000000000021E-2</c:v>
                </c:pt>
                <c:pt idx="27">
                  <c:v>-6.7500000000000018E-2</c:v>
                </c:pt>
                <c:pt idx="28">
                  <c:v>-6.5000000000000016E-2</c:v>
                </c:pt>
                <c:pt idx="29">
                  <c:v>-6.2500000000000014E-2</c:v>
                </c:pt>
                <c:pt idx="30">
                  <c:v>-6.0000000000000019E-2</c:v>
                </c:pt>
                <c:pt idx="31">
                  <c:v>-5.7500000000000016E-2</c:v>
                </c:pt>
                <c:pt idx="32">
                  <c:v>-5.5000000000000014E-2</c:v>
                </c:pt>
                <c:pt idx="33">
                  <c:v>-5.2500000000000012E-2</c:v>
                </c:pt>
                <c:pt idx="34">
                  <c:v>-5.000000000000001E-2</c:v>
                </c:pt>
                <c:pt idx="35">
                  <c:v>-4.7500000000000007E-2</c:v>
                </c:pt>
                <c:pt idx="36">
                  <c:v>-4.5000000000000005E-2</c:v>
                </c:pt>
                <c:pt idx="37">
                  <c:v>-4.2500000000000003E-2</c:v>
                </c:pt>
                <c:pt idx="38">
                  <c:v>-0.04</c:v>
                </c:pt>
                <c:pt idx="39">
                  <c:v>-3.7499999999999999E-2</c:v>
                </c:pt>
                <c:pt idx="40">
                  <c:v>-3.4999999999999996E-2</c:v>
                </c:pt>
                <c:pt idx="41">
                  <c:v>-3.2499999999999994E-2</c:v>
                </c:pt>
                <c:pt idx="42">
                  <c:v>-2.9999999999999995E-2</c:v>
                </c:pt>
                <c:pt idx="43">
                  <c:v>-2.7499999999999997E-2</c:v>
                </c:pt>
                <c:pt idx="44">
                  <c:v>-2.4999999999999998E-2</c:v>
                </c:pt>
                <c:pt idx="45">
                  <c:v>-2.2499999999999999E-2</c:v>
                </c:pt>
                <c:pt idx="46">
                  <c:v>-0.02</c:v>
                </c:pt>
                <c:pt idx="47">
                  <c:v>-1.7500000000000002E-2</c:v>
                </c:pt>
                <c:pt idx="48">
                  <c:v>-1.5000000000000001E-2</c:v>
                </c:pt>
                <c:pt idx="49">
                  <c:v>-1.2500000000000001E-2</c:v>
                </c:pt>
                <c:pt idx="50">
                  <c:v>-0.01</c:v>
                </c:pt>
                <c:pt idx="51">
                  <c:v>-7.4999999999999997E-3</c:v>
                </c:pt>
                <c:pt idx="52">
                  <c:v>-5.0000000000000001E-3</c:v>
                </c:pt>
                <c:pt idx="53">
                  <c:v>-2.5000000000000001E-3</c:v>
                </c:pt>
                <c:pt idx="54">
                  <c:v>0</c:v>
                </c:pt>
                <c:pt idx="55">
                  <c:v>2.5000000000000001E-3</c:v>
                </c:pt>
                <c:pt idx="56">
                  <c:v>5.0000000000000001E-3</c:v>
                </c:pt>
                <c:pt idx="57">
                  <c:v>7.4999999999999997E-3</c:v>
                </c:pt>
                <c:pt idx="58">
                  <c:v>0.01</c:v>
                </c:pt>
                <c:pt idx="59">
                  <c:v>1.2500000000000001E-2</c:v>
                </c:pt>
                <c:pt idx="60">
                  <c:v>1.5000000000000001E-2</c:v>
                </c:pt>
                <c:pt idx="61">
                  <c:v>1.7500000000000002E-2</c:v>
                </c:pt>
                <c:pt idx="62">
                  <c:v>0.02</c:v>
                </c:pt>
                <c:pt idx="63">
                  <c:v>2.2499999999999999E-2</c:v>
                </c:pt>
                <c:pt idx="64">
                  <c:v>2.4999999999999998E-2</c:v>
                </c:pt>
                <c:pt idx="65">
                  <c:v>2.7499999999999997E-2</c:v>
                </c:pt>
                <c:pt idx="66">
                  <c:v>2.9999999999999995E-2</c:v>
                </c:pt>
                <c:pt idx="67">
                  <c:v>3.2499999999999994E-2</c:v>
                </c:pt>
                <c:pt idx="68">
                  <c:v>3.4999999999999996E-2</c:v>
                </c:pt>
                <c:pt idx="69">
                  <c:v>3.7499999999999999E-2</c:v>
                </c:pt>
                <c:pt idx="70">
                  <c:v>0.04</c:v>
                </c:pt>
                <c:pt idx="71">
                  <c:v>4.2500000000000003E-2</c:v>
                </c:pt>
                <c:pt idx="72">
                  <c:v>4.5000000000000005E-2</c:v>
                </c:pt>
                <c:pt idx="73">
                  <c:v>4.7500000000000007E-2</c:v>
                </c:pt>
                <c:pt idx="74">
                  <c:v>5.000000000000001E-2</c:v>
                </c:pt>
                <c:pt idx="75">
                  <c:v>5.2500000000000012E-2</c:v>
                </c:pt>
                <c:pt idx="76">
                  <c:v>5.5000000000000014E-2</c:v>
                </c:pt>
                <c:pt idx="77">
                  <c:v>5.7500000000000016E-2</c:v>
                </c:pt>
                <c:pt idx="78">
                  <c:v>6.0000000000000019E-2</c:v>
                </c:pt>
                <c:pt idx="79">
                  <c:v>6.2500000000000014E-2</c:v>
                </c:pt>
                <c:pt idx="80">
                  <c:v>6.5000000000000016E-2</c:v>
                </c:pt>
                <c:pt idx="81">
                  <c:v>6.7500000000000018E-2</c:v>
                </c:pt>
                <c:pt idx="82">
                  <c:v>7.0000000000000021E-2</c:v>
                </c:pt>
                <c:pt idx="83">
                  <c:v>7.2500000000000023E-2</c:v>
                </c:pt>
                <c:pt idx="84">
                  <c:v>7.5000000000000025E-2</c:v>
                </c:pt>
                <c:pt idx="85">
                  <c:v>7.7500000000000027E-2</c:v>
                </c:pt>
                <c:pt idx="86">
                  <c:v>8.0000000000000029E-2</c:v>
                </c:pt>
                <c:pt idx="87">
                  <c:v>8.2500000000000032E-2</c:v>
                </c:pt>
                <c:pt idx="88">
                  <c:v>8.5000000000000034E-2</c:v>
                </c:pt>
                <c:pt idx="89">
                  <c:v>8.7500000000000036E-2</c:v>
                </c:pt>
                <c:pt idx="90">
                  <c:v>9.0000000000000038E-2</c:v>
                </c:pt>
                <c:pt idx="91">
                  <c:v>9.2500000000000041E-2</c:v>
                </c:pt>
                <c:pt idx="92">
                  <c:v>9.5000000000000043E-2</c:v>
                </c:pt>
                <c:pt idx="93">
                  <c:v>9.7500000000000045E-2</c:v>
                </c:pt>
                <c:pt idx="94">
                  <c:v>0.10000000000000005</c:v>
                </c:pt>
                <c:pt idx="95">
                  <c:v>0.10250000000000005</c:v>
                </c:pt>
                <c:pt idx="96">
                  <c:v>0.10500000000000005</c:v>
                </c:pt>
                <c:pt idx="97">
                  <c:v>0.10750000000000005</c:v>
                </c:pt>
                <c:pt idx="98">
                  <c:v>0.11000000000000006</c:v>
                </c:pt>
                <c:pt idx="99">
                  <c:v>0.11250000000000006</c:v>
                </c:pt>
                <c:pt idx="100">
                  <c:v>0.11500000000000006</c:v>
                </c:pt>
                <c:pt idx="101">
                  <c:v>0.11750000000000006</c:v>
                </c:pt>
                <c:pt idx="102">
                  <c:v>0.12000000000000006</c:v>
                </c:pt>
                <c:pt idx="103">
                  <c:v>0.12250000000000007</c:v>
                </c:pt>
                <c:pt idx="104">
                  <c:v>0.12500000000000006</c:v>
                </c:pt>
                <c:pt idx="105">
                  <c:v>0.12750000000000006</c:v>
                </c:pt>
                <c:pt idx="106">
                  <c:v>0.13000000000000006</c:v>
                </c:pt>
                <c:pt idx="107">
                  <c:v>0.13250000000000006</c:v>
                </c:pt>
                <c:pt idx="108">
                  <c:v>0.13500000000000006</c:v>
                </c:pt>
              </c:numCache>
            </c:numRef>
          </c:xVal>
          <c:yVal>
            <c:numRef>
              <c:f>'Notes | Quant Analysis'!$R$249:$R$357</c:f>
              <c:numCache>
                <c:formatCode>General</c:formatCode>
                <c:ptCount val="109"/>
                <c:pt idx="0">
                  <c:v>5</c:v>
                </c:pt>
                <c:pt idx="1">
                  <c:v>1</c:v>
                </c:pt>
                <c:pt idx="2">
                  <c:v>0</c:v>
                </c:pt>
                <c:pt idx="3">
                  <c:v>0</c:v>
                </c:pt>
                <c:pt idx="4">
                  <c:v>2</c:v>
                </c:pt>
                <c:pt idx="5">
                  <c:v>0</c:v>
                </c:pt>
                <c:pt idx="6">
                  <c:v>0</c:v>
                </c:pt>
                <c:pt idx="7">
                  <c:v>1</c:v>
                </c:pt>
                <c:pt idx="8">
                  <c:v>0</c:v>
                </c:pt>
                <c:pt idx="9">
                  <c:v>0</c:v>
                </c:pt>
                <c:pt idx="10">
                  <c:v>2</c:v>
                </c:pt>
                <c:pt idx="11">
                  <c:v>1</c:v>
                </c:pt>
                <c:pt idx="12">
                  <c:v>0</c:v>
                </c:pt>
                <c:pt idx="13">
                  <c:v>0</c:v>
                </c:pt>
                <c:pt idx="14">
                  <c:v>0</c:v>
                </c:pt>
                <c:pt idx="15">
                  <c:v>3</c:v>
                </c:pt>
                <c:pt idx="16">
                  <c:v>2</c:v>
                </c:pt>
                <c:pt idx="17">
                  <c:v>4</c:v>
                </c:pt>
                <c:pt idx="18">
                  <c:v>2</c:v>
                </c:pt>
                <c:pt idx="19">
                  <c:v>1</c:v>
                </c:pt>
                <c:pt idx="20">
                  <c:v>2</c:v>
                </c:pt>
                <c:pt idx="21">
                  <c:v>2</c:v>
                </c:pt>
                <c:pt idx="22">
                  <c:v>2</c:v>
                </c:pt>
                <c:pt idx="23">
                  <c:v>4</c:v>
                </c:pt>
                <c:pt idx="24">
                  <c:v>3</c:v>
                </c:pt>
                <c:pt idx="25">
                  <c:v>5</c:v>
                </c:pt>
                <c:pt idx="26">
                  <c:v>8</c:v>
                </c:pt>
                <c:pt idx="27">
                  <c:v>6</c:v>
                </c:pt>
                <c:pt idx="28">
                  <c:v>2</c:v>
                </c:pt>
                <c:pt idx="29">
                  <c:v>2</c:v>
                </c:pt>
                <c:pt idx="30">
                  <c:v>9</c:v>
                </c:pt>
                <c:pt idx="31">
                  <c:v>4</c:v>
                </c:pt>
                <c:pt idx="32">
                  <c:v>8</c:v>
                </c:pt>
                <c:pt idx="33">
                  <c:v>8</c:v>
                </c:pt>
                <c:pt idx="34">
                  <c:v>6</c:v>
                </c:pt>
                <c:pt idx="35">
                  <c:v>7</c:v>
                </c:pt>
                <c:pt idx="36">
                  <c:v>16</c:v>
                </c:pt>
                <c:pt idx="37">
                  <c:v>8</c:v>
                </c:pt>
                <c:pt idx="38">
                  <c:v>15</c:v>
                </c:pt>
                <c:pt idx="39">
                  <c:v>9</c:v>
                </c:pt>
                <c:pt idx="40">
                  <c:v>11</c:v>
                </c:pt>
                <c:pt idx="41">
                  <c:v>14</c:v>
                </c:pt>
                <c:pt idx="42">
                  <c:v>10</c:v>
                </c:pt>
                <c:pt idx="43">
                  <c:v>17</c:v>
                </c:pt>
                <c:pt idx="44">
                  <c:v>17</c:v>
                </c:pt>
                <c:pt idx="45">
                  <c:v>27</c:v>
                </c:pt>
                <c:pt idx="46">
                  <c:v>27</c:v>
                </c:pt>
                <c:pt idx="47">
                  <c:v>16</c:v>
                </c:pt>
                <c:pt idx="48">
                  <c:v>25</c:v>
                </c:pt>
                <c:pt idx="49">
                  <c:v>32</c:v>
                </c:pt>
                <c:pt idx="50">
                  <c:v>31</c:v>
                </c:pt>
                <c:pt idx="51">
                  <c:v>47</c:v>
                </c:pt>
                <c:pt idx="52">
                  <c:v>28</c:v>
                </c:pt>
                <c:pt idx="53">
                  <c:v>32</c:v>
                </c:pt>
                <c:pt idx="54">
                  <c:v>50</c:v>
                </c:pt>
                <c:pt idx="55">
                  <c:v>8</c:v>
                </c:pt>
                <c:pt idx="56">
                  <c:v>40</c:v>
                </c:pt>
                <c:pt idx="57">
                  <c:v>18</c:v>
                </c:pt>
                <c:pt idx="58">
                  <c:v>37</c:v>
                </c:pt>
                <c:pt idx="59">
                  <c:v>21</c:v>
                </c:pt>
                <c:pt idx="60">
                  <c:v>27</c:v>
                </c:pt>
                <c:pt idx="61">
                  <c:v>32</c:v>
                </c:pt>
                <c:pt idx="62">
                  <c:v>21</c:v>
                </c:pt>
                <c:pt idx="63">
                  <c:v>19</c:v>
                </c:pt>
                <c:pt idx="64">
                  <c:v>25</c:v>
                </c:pt>
                <c:pt idx="65">
                  <c:v>12</c:v>
                </c:pt>
                <c:pt idx="66">
                  <c:v>17</c:v>
                </c:pt>
                <c:pt idx="67">
                  <c:v>19</c:v>
                </c:pt>
                <c:pt idx="68">
                  <c:v>15</c:v>
                </c:pt>
                <c:pt idx="69">
                  <c:v>14</c:v>
                </c:pt>
                <c:pt idx="70">
                  <c:v>10</c:v>
                </c:pt>
                <c:pt idx="71">
                  <c:v>15</c:v>
                </c:pt>
                <c:pt idx="72">
                  <c:v>10</c:v>
                </c:pt>
                <c:pt idx="73">
                  <c:v>9</c:v>
                </c:pt>
                <c:pt idx="74">
                  <c:v>9</c:v>
                </c:pt>
                <c:pt idx="75">
                  <c:v>6</c:v>
                </c:pt>
                <c:pt idx="76">
                  <c:v>5</c:v>
                </c:pt>
                <c:pt idx="77">
                  <c:v>6</c:v>
                </c:pt>
                <c:pt idx="78">
                  <c:v>8</c:v>
                </c:pt>
                <c:pt idx="79">
                  <c:v>3</c:v>
                </c:pt>
                <c:pt idx="80">
                  <c:v>2</c:v>
                </c:pt>
                <c:pt idx="81">
                  <c:v>4</c:v>
                </c:pt>
                <c:pt idx="82">
                  <c:v>2</c:v>
                </c:pt>
                <c:pt idx="83">
                  <c:v>7</c:v>
                </c:pt>
                <c:pt idx="84">
                  <c:v>6</c:v>
                </c:pt>
                <c:pt idx="85">
                  <c:v>8</c:v>
                </c:pt>
                <c:pt idx="86">
                  <c:v>2</c:v>
                </c:pt>
                <c:pt idx="87">
                  <c:v>3</c:v>
                </c:pt>
                <c:pt idx="88">
                  <c:v>3</c:v>
                </c:pt>
                <c:pt idx="89">
                  <c:v>0</c:v>
                </c:pt>
                <c:pt idx="90">
                  <c:v>4</c:v>
                </c:pt>
                <c:pt idx="91">
                  <c:v>4</c:v>
                </c:pt>
                <c:pt idx="92">
                  <c:v>2</c:v>
                </c:pt>
                <c:pt idx="93">
                  <c:v>0</c:v>
                </c:pt>
                <c:pt idx="94">
                  <c:v>0</c:v>
                </c:pt>
                <c:pt idx="95">
                  <c:v>0</c:v>
                </c:pt>
                <c:pt idx="96">
                  <c:v>0</c:v>
                </c:pt>
                <c:pt idx="97">
                  <c:v>1</c:v>
                </c:pt>
                <c:pt idx="98">
                  <c:v>0</c:v>
                </c:pt>
                <c:pt idx="99">
                  <c:v>3</c:v>
                </c:pt>
                <c:pt idx="100">
                  <c:v>0</c:v>
                </c:pt>
                <c:pt idx="101">
                  <c:v>1</c:v>
                </c:pt>
                <c:pt idx="102">
                  <c:v>2</c:v>
                </c:pt>
                <c:pt idx="103">
                  <c:v>1</c:v>
                </c:pt>
                <c:pt idx="104">
                  <c:v>1</c:v>
                </c:pt>
                <c:pt idx="105">
                  <c:v>0</c:v>
                </c:pt>
                <c:pt idx="106">
                  <c:v>0</c:v>
                </c:pt>
                <c:pt idx="107">
                  <c:v>0</c:v>
                </c:pt>
                <c:pt idx="108">
                  <c:v>0</c:v>
                </c:pt>
              </c:numCache>
            </c:numRef>
          </c:yVal>
          <c:smooth val="1"/>
          <c:extLst>
            <c:ext xmlns:c16="http://schemas.microsoft.com/office/drawing/2014/chart" uri="{C3380CC4-5D6E-409C-BE32-E72D297353CC}">
              <c16:uniqueId val="{00000000-28C7-4862-86E9-AF862A5BA0AD}"/>
            </c:ext>
          </c:extLst>
        </c:ser>
        <c:ser>
          <c:idx val="1"/>
          <c:order val="1"/>
          <c:tx>
            <c:strRef>
              <c:f>'Notes | Quant Analysis'!$T$247</c:f>
              <c:strCache>
                <c:ptCount val="1"/>
                <c:pt idx="0">
                  <c:v>Distribution Overlay</c:v>
                </c:pt>
              </c:strCache>
            </c:strRef>
          </c:tx>
          <c:spPr>
            <a:ln w="19050" cap="rnd">
              <a:solidFill>
                <a:srgbClr val="FFC000"/>
              </a:solidFill>
              <a:round/>
            </a:ln>
            <a:effectLst/>
          </c:spPr>
          <c:marker>
            <c:symbol val="none"/>
          </c:marker>
          <c:xVal>
            <c:numRef>
              <c:f>'Notes | Quant Analysis'!$T$249:$T$365</c:f>
              <c:numCache>
                <c:formatCode>0.00%</c:formatCode>
                <c:ptCount val="117"/>
                <c:pt idx="0">
                  <c:v>-0.14500000000000007</c:v>
                </c:pt>
                <c:pt idx="1">
                  <c:v>-0.14250000000000007</c:v>
                </c:pt>
                <c:pt idx="2">
                  <c:v>-0.14000000000000007</c:v>
                </c:pt>
                <c:pt idx="3">
                  <c:v>-0.13750000000000007</c:v>
                </c:pt>
                <c:pt idx="4">
                  <c:v>-0.13500000000000006</c:v>
                </c:pt>
                <c:pt idx="5">
                  <c:v>-0.13250000000000006</c:v>
                </c:pt>
                <c:pt idx="6">
                  <c:v>-0.13000000000000006</c:v>
                </c:pt>
                <c:pt idx="7">
                  <c:v>-0.12750000000000006</c:v>
                </c:pt>
                <c:pt idx="8">
                  <c:v>-0.12500000000000006</c:v>
                </c:pt>
                <c:pt idx="9">
                  <c:v>-0.12250000000000007</c:v>
                </c:pt>
                <c:pt idx="10">
                  <c:v>-0.12000000000000006</c:v>
                </c:pt>
                <c:pt idx="11">
                  <c:v>-0.11750000000000006</c:v>
                </c:pt>
                <c:pt idx="12">
                  <c:v>-0.11500000000000006</c:v>
                </c:pt>
                <c:pt idx="13">
                  <c:v>-0.11250000000000006</c:v>
                </c:pt>
                <c:pt idx="14">
                  <c:v>-0.11000000000000006</c:v>
                </c:pt>
                <c:pt idx="15">
                  <c:v>-0.10750000000000005</c:v>
                </c:pt>
                <c:pt idx="16">
                  <c:v>-0.10500000000000005</c:v>
                </c:pt>
                <c:pt idx="17">
                  <c:v>-0.10250000000000005</c:v>
                </c:pt>
                <c:pt idx="18">
                  <c:v>-0.10000000000000005</c:v>
                </c:pt>
                <c:pt idx="19">
                  <c:v>-9.7500000000000045E-2</c:v>
                </c:pt>
                <c:pt idx="20">
                  <c:v>-9.5000000000000043E-2</c:v>
                </c:pt>
                <c:pt idx="21">
                  <c:v>-9.2500000000000041E-2</c:v>
                </c:pt>
                <c:pt idx="22">
                  <c:v>-9.0000000000000038E-2</c:v>
                </c:pt>
                <c:pt idx="23">
                  <c:v>-8.7500000000000036E-2</c:v>
                </c:pt>
                <c:pt idx="24">
                  <c:v>-8.5000000000000034E-2</c:v>
                </c:pt>
                <c:pt idx="25">
                  <c:v>-8.2500000000000032E-2</c:v>
                </c:pt>
                <c:pt idx="26">
                  <c:v>-8.0000000000000029E-2</c:v>
                </c:pt>
                <c:pt idx="27">
                  <c:v>-7.7500000000000027E-2</c:v>
                </c:pt>
                <c:pt idx="28">
                  <c:v>-7.5000000000000025E-2</c:v>
                </c:pt>
                <c:pt idx="29">
                  <c:v>-7.2500000000000023E-2</c:v>
                </c:pt>
                <c:pt idx="30">
                  <c:v>-7.0000000000000021E-2</c:v>
                </c:pt>
                <c:pt idx="31">
                  <c:v>-6.7500000000000018E-2</c:v>
                </c:pt>
                <c:pt idx="32">
                  <c:v>-6.5000000000000016E-2</c:v>
                </c:pt>
                <c:pt idx="33">
                  <c:v>-6.2500000000000014E-2</c:v>
                </c:pt>
                <c:pt idx="34">
                  <c:v>-6.0000000000000019E-2</c:v>
                </c:pt>
                <c:pt idx="35">
                  <c:v>-5.7500000000000016E-2</c:v>
                </c:pt>
                <c:pt idx="36">
                  <c:v>-5.5000000000000014E-2</c:v>
                </c:pt>
                <c:pt idx="37">
                  <c:v>-5.2500000000000012E-2</c:v>
                </c:pt>
                <c:pt idx="38">
                  <c:v>-5.000000000000001E-2</c:v>
                </c:pt>
                <c:pt idx="39">
                  <c:v>-4.7500000000000007E-2</c:v>
                </c:pt>
                <c:pt idx="40">
                  <c:v>-4.5000000000000005E-2</c:v>
                </c:pt>
                <c:pt idx="41">
                  <c:v>-4.2500000000000003E-2</c:v>
                </c:pt>
                <c:pt idx="42">
                  <c:v>-0.04</c:v>
                </c:pt>
                <c:pt idx="43">
                  <c:v>-3.7499999999999999E-2</c:v>
                </c:pt>
                <c:pt idx="44">
                  <c:v>-3.4999999999999996E-2</c:v>
                </c:pt>
                <c:pt idx="45">
                  <c:v>-3.2499999999999994E-2</c:v>
                </c:pt>
                <c:pt idx="46">
                  <c:v>-2.9999999999999995E-2</c:v>
                </c:pt>
                <c:pt idx="47">
                  <c:v>-2.7499999999999997E-2</c:v>
                </c:pt>
                <c:pt idx="48">
                  <c:v>-2.4999999999999998E-2</c:v>
                </c:pt>
                <c:pt idx="49">
                  <c:v>-2.2499999999999999E-2</c:v>
                </c:pt>
                <c:pt idx="50">
                  <c:v>-0.02</c:v>
                </c:pt>
                <c:pt idx="51">
                  <c:v>-1.7500000000000002E-2</c:v>
                </c:pt>
                <c:pt idx="52">
                  <c:v>-1.5000000000000001E-2</c:v>
                </c:pt>
                <c:pt idx="53">
                  <c:v>-1.2500000000000001E-2</c:v>
                </c:pt>
                <c:pt idx="54">
                  <c:v>-0.01</c:v>
                </c:pt>
                <c:pt idx="55">
                  <c:v>-7.4999999999999997E-3</c:v>
                </c:pt>
                <c:pt idx="56">
                  <c:v>-5.0000000000000001E-3</c:v>
                </c:pt>
                <c:pt idx="57">
                  <c:v>-2.5000000000000001E-3</c:v>
                </c:pt>
                <c:pt idx="58">
                  <c:v>0</c:v>
                </c:pt>
                <c:pt idx="59">
                  <c:v>2.5000000000000001E-3</c:v>
                </c:pt>
                <c:pt idx="60">
                  <c:v>5.0000000000000001E-3</c:v>
                </c:pt>
                <c:pt idx="61">
                  <c:v>7.4999999999999997E-3</c:v>
                </c:pt>
                <c:pt idx="62">
                  <c:v>0.01</c:v>
                </c:pt>
                <c:pt idx="63">
                  <c:v>1.2500000000000001E-2</c:v>
                </c:pt>
                <c:pt idx="64">
                  <c:v>1.5000000000000001E-2</c:v>
                </c:pt>
                <c:pt idx="65">
                  <c:v>1.7500000000000002E-2</c:v>
                </c:pt>
                <c:pt idx="66">
                  <c:v>0.02</c:v>
                </c:pt>
                <c:pt idx="67">
                  <c:v>2.2499999999999999E-2</c:v>
                </c:pt>
                <c:pt idx="68">
                  <c:v>2.4999999999999998E-2</c:v>
                </c:pt>
                <c:pt idx="69">
                  <c:v>2.7499999999999997E-2</c:v>
                </c:pt>
                <c:pt idx="70">
                  <c:v>2.9999999999999995E-2</c:v>
                </c:pt>
                <c:pt idx="71">
                  <c:v>3.2499999999999994E-2</c:v>
                </c:pt>
                <c:pt idx="72">
                  <c:v>3.4999999999999996E-2</c:v>
                </c:pt>
                <c:pt idx="73">
                  <c:v>3.7499999999999999E-2</c:v>
                </c:pt>
                <c:pt idx="74">
                  <c:v>0.04</c:v>
                </c:pt>
                <c:pt idx="75">
                  <c:v>4.2500000000000003E-2</c:v>
                </c:pt>
                <c:pt idx="76">
                  <c:v>4.5000000000000005E-2</c:v>
                </c:pt>
                <c:pt idx="77">
                  <c:v>4.7500000000000007E-2</c:v>
                </c:pt>
                <c:pt idx="78">
                  <c:v>5.000000000000001E-2</c:v>
                </c:pt>
                <c:pt idx="79">
                  <c:v>5.2500000000000012E-2</c:v>
                </c:pt>
                <c:pt idx="80">
                  <c:v>5.5000000000000014E-2</c:v>
                </c:pt>
                <c:pt idx="81">
                  <c:v>5.7500000000000016E-2</c:v>
                </c:pt>
                <c:pt idx="82">
                  <c:v>6.0000000000000019E-2</c:v>
                </c:pt>
                <c:pt idx="83">
                  <c:v>6.2500000000000014E-2</c:v>
                </c:pt>
                <c:pt idx="84">
                  <c:v>6.5000000000000016E-2</c:v>
                </c:pt>
                <c:pt idx="85">
                  <c:v>6.7500000000000018E-2</c:v>
                </c:pt>
                <c:pt idx="86">
                  <c:v>7.0000000000000021E-2</c:v>
                </c:pt>
                <c:pt idx="87">
                  <c:v>7.2500000000000023E-2</c:v>
                </c:pt>
                <c:pt idx="88">
                  <c:v>7.5000000000000025E-2</c:v>
                </c:pt>
                <c:pt idx="89">
                  <c:v>7.7500000000000027E-2</c:v>
                </c:pt>
                <c:pt idx="90">
                  <c:v>8.0000000000000029E-2</c:v>
                </c:pt>
                <c:pt idx="91">
                  <c:v>8.2500000000000032E-2</c:v>
                </c:pt>
                <c:pt idx="92">
                  <c:v>8.5000000000000034E-2</c:v>
                </c:pt>
                <c:pt idx="93">
                  <c:v>8.7500000000000036E-2</c:v>
                </c:pt>
                <c:pt idx="94">
                  <c:v>9.0000000000000038E-2</c:v>
                </c:pt>
                <c:pt idx="95">
                  <c:v>9.2500000000000041E-2</c:v>
                </c:pt>
                <c:pt idx="96">
                  <c:v>9.5000000000000043E-2</c:v>
                </c:pt>
                <c:pt idx="97">
                  <c:v>9.7500000000000045E-2</c:v>
                </c:pt>
                <c:pt idx="98">
                  <c:v>0.10000000000000005</c:v>
                </c:pt>
                <c:pt idx="99">
                  <c:v>0.10250000000000005</c:v>
                </c:pt>
                <c:pt idx="100">
                  <c:v>0.10500000000000005</c:v>
                </c:pt>
                <c:pt idx="101">
                  <c:v>0.10750000000000005</c:v>
                </c:pt>
                <c:pt idx="102">
                  <c:v>0.11000000000000006</c:v>
                </c:pt>
                <c:pt idx="103">
                  <c:v>0.11250000000000006</c:v>
                </c:pt>
                <c:pt idx="104">
                  <c:v>0.11500000000000006</c:v>
                </c:pt>
                <c:pt idx="105">
                  <c:v>0.11750000000000006</c:v>
                </c:pt>
                <c:pt idx="106">
                  <c:v>0.12000000000000006</c:v>
                </c:pt>
                <c:pt idx="107">
                  <c:v>0.12250000000000007</c:v>
                </c:pt>
                <c:pt idx="108">
                  <c:v>0.12500000000000006</c:v>
                </c:pt>
                <c:pt idx="109">
                  <c:v>0.12750000000000006</c:v>
                </c:pt>
                <c:pt idx="110">
                  <c:v>0.13000000000000006</c:v>
                </c:pt>
                <c:pt idx="111">
                  <c:v>0.13250000000000006</c:v>
                </c:pt>
                <c:pt idx="112">
                  <c:v>0.13500000000000006</c:v>
                </c:pt>
                <c:pt idx="113">
                  <c:v>0.13750000000000007</c:v>
                </c:pt>
                <c:pt idx="114">
                  <c:v>0.14000000000000007</c:v>
                </c:pt>
                <c:pt idx="115">
                  <c:v>0.14250000000000007</c:v>
                </c:pt>
                <c:pt idx="116">
                  <c:v>0.14500000000000007</c:v>
                </c:pt>
              </c:numCache>
            </c:numRef>
          </c:xVal>
          <c:yVal>
            <c:numRef>
              <c:f>'Notes | Quant Analysis'!$U$249:$U$365</c:f>
              <c:numCache>
                <c:formatCode>General</c:formatCode>
                <c:ptCount val="117"/>
                <c:pt idx="0">
                  <c:v>2.9458410569789723E-2</c:v>
                </c:pt>
                <c:pt idx="1">
                  <c:v>3.5867731698812813E-2</c:v>
                </c:pt>
                <c:pt idx="2">
                  <c:v>4.3522286916775822E-2</c:v>
                </c:pt>
                <c:pt idx="3">
                  <c:v>5.2629918371761099E-2</c:v>
                </c:pt>
                <c:pt idx="4">
                  <c:v>6.3425935085715271E-2</c:v>
                </c:pt>
                <c:pt idx="5">
                  <c:v>7.6175314255861951E-2</c:v>
                </c:pt>
                <c:pt idx="6">
                  <c:v>9.1174800962228672E-2</c:v>
                </c:pt>
                <c:pt idx="7">
                  <c:v>0.10875483824709062</c:v>
                </c:pt>
                <c:pt idx="8">
                  <c:v>0.12928125019182291</c:v>
                </c:pt>
                <c:pt idx="9">
                  <c:v>0.15315659171740389</c:v>
                </c:pt>
                <c:pt idx="10">
                  <c:v>0.18082107076307821</c:v>
                </c:pt>
                <c:pt idx="11">
                  <c:v>0.21275294168496664</c:v>
                </c:pt>
                <c:pt idx="12">
                  <c:v>0.24946826363025815</c:v>
                </c:pt>
                <c:pt idx="13">
                  <c:v>0.29151991477448963</c:v>
                </c:pt>
                <c:pt idx="14">
                  <c:v>0.33949575315896985</c:v>
                </c:pt>
                <c:pt idx="15">
                  <c:v>0.39401581792169943</c:v>
                </c:pt>
                <c:pt idx="16">
                  <c:v>0.45572847143488032</c:v>
                </c:pt>
                <c:pt idx="17">
                  <c:v>0.52530539364542062</c:v>
                </c:pt>
                <c:pt idx="18">
                  <c:v>0.60343535507954993</c:v>
                </c:pt>
                <c:pt idx="19">
                  <c:v>0.69081671472761452</c:v>
                </c:pt>
                <c:pt idx="20">
                  <c:v>0.78814861344429299</c:v>
                </c:pt>
                <c:pt idx="21">
                  <c:v>0.89612086249753453</c:v>
                </c:pt>
                <c:pt idx="22">
                  <c:v>1.0154025602107</c:v>
                </c:pt>
                <c:pt idx="23">
                  <c:v>1.1466295068041763</c:v>
                </c:pt>
                <c:pt idx="24">
                  <c:v>1.2903905278855503</c:v>
                </c:pt>
                <c:pt idx="25">
                  <c:v>1.4472128596818625</c:v>
                </c:pt>
                <c:pt idx="26">
                  <c:v>1.6175467929705598</c:v>
                </c:pt>
                <c:pt idx="27">
                  <c:v>1.8017498164766279</c:v>
                </c:pt>
                <c:pt idx="28">
                  <c:v>2.0000705428292052</c:v>
                </c:pt>
                <c:pt idx="29">
                  <c:v>2.2126327394536109</c:v>
                </c:pt>
                <c:pt idx="30">
                  <c:v>2.4394198213768257</c:v>
                </c:pt>
                <c:pt idx="31">
                  <c:v>2.6802601911850386</c:v>
                </c:pt>
                <c:pt idx="32">
                  <c:v>2.9348138316693277</c:v>
                </c:pt>
                <c:pt idx="33">
                  <c:v>3.2025605675156337</c:v>
                </c:pt>
                <c:pt idx="34">
                  <c:v>3.4827904124028453</c:v>
                </c:pt>
                <c:pt idx="35">
                  <c:v>3.7745964059829267</c:v>
                </c:pt>
                <c:pt idx="36">
                  <c:v>4.0768703206618051</c:v>
                </c:pt>
                <c:pt idx="37">
                  <c:v>4.38830158049059</c:v>
                </c:pt>
                <c:pt idx="38">
                  <c:v>4.7073796838528592</c:v>
                </c:pt>
                <c:pt idx="39">
                  <c:v>5.0324003585007153</c:v>
                </c:pt>
                <c:pt idx="40">
                  <c:v>5.3614756028403292</c:v>
                </c:pt>
                <c:pt idx="41">
                  <c:v>5.6925476826741983</c:v>
                </c:pt>
                <c:pt idx="42">
                  <c:v>6.0234070598160505</c:v>
                </c:pt>
                <c:pt idx="43">
                  <c:v>6.3517141304763767</c:v>
                </c:pt>
                <c:pt idx="44">
                  <c:v>6.6750245498066425</c:v>
                </c:pt>
                <c:pt idx="45">
                  <c:v>6.9908178175075379</c:v>
                </c:pt>
                <c:pt idx="46">
                  <c:v>7.2965287011544611</c:v>
                </c:pt>
                <c:pt idx="47">
                  <c:v>7.5895809821481395</c:v>
                </c:pt>
                <c:pt idx="48">
                  <c:v>7.8674229271866833</c:v>
                </c:pt>
                <c:pt idx="49">
                  <c:v>8.1275638189283548</c:v>
                </c:pt>
                <c:pt idx="50">
                  <c:v>8.3676108258218136</c:v>
                </c:pt>
                <c:pt idx="51">
                  <c:v>8.5853054552518255</c:v>
                </c:pt>
                <c:pt idx="52">
                  <c:v>8.7785588179863137</c:v>
                </c:pt>
                <c:pt idx="53">
                  <c:v>8.9454849366023179</c:v>
                </c:pt>
                <c:pt idx="54">
                  <c:v>9.0844313566188042</c:v>
                </c:pt>
                <c:pt idx="55">
                  <c:v>9.1940063662558789</c:v>
                </c:pt>
                <c:pt idx="56">
                  <c:v>9.2731021981204691</c:v>
                </c:pt>
                <c:pt idx="57">
                  <c:v>9.3209136720202252</c:v>
                </c:pt>
                <c:pt idx="58">
                  <c:v>9.3369518401937555</c:v>
                </c:pt>
                <c:pt idx="59">
                  <c:v>9.3210523115896091</c:v>
                </c:pt>
                <c:pt idx="60">
                  <c:v>9.2733780570119926</c:v>
                </c:pt>
                <c:pt idx="61">
                  <c:v>9.1944166281961923</c:v>
                </c:pt>
                <c:pt idx="62">
                  <c:v>9.0849718571731017</c:v>
                </c:pt>
                <c:pt idx="63">
                  <c:v>8.9461502335448859</c:v>
                </c:pt>
                <c:pt idx="64">
                  <c:v>8.7793422825141754</c:v>
                </c:pt>
                <c:pt idx="65">
                  <c:v>8.586199381903878</c:v>
                </c:pt>
                <c:pt idx="66">
                  <c:v>8.3686065585554275</c:v>
                </c:pt>
                <c:pt idx="67">
                  <c:v>8.1286518904708025</c:v>
                </c:pt>
                <c:pt idx="68">
                  <c:v>7.8685932085286945</c:v>
                </c:pt>
                <c:pt idx="69">
                  <c:v>7.590822838887191</c:v>
                </c:pt>
                <c:pt idx="70">
                  <c:v>7.2978311533285147</c:v>
                </c:pt>
                <c:pt idx="71">
                  <c:v>6.992169699585272</c:v>
                </c:pt>
                <c:pt idx="72">
                  <c:v>6.6764146676140861</c:v>
                </c:pt>
                <c:pt idx="73">
                  <c:v>6.3531314120356699</c:v>
                </c:pt>
                <c:pt idx="74">
                  <c:v>6.0248406973407658</c:v>
                </c:pt>
                <c:pt idx="75">
                  <c:v>5.6939872632962105</c:v>
                </c:pt>
                <c:pt idx="76">
                  <c:v>5.3629112260228711</c:v>
                </c:pt>
                <c:pt idx="77">
                  <c:v>5.0338227385072951</c:v>
                </c:pt>
                <c:pt idx="78">
                  <c:v>4.7087802360779847</c:v>
                </c:pt>
                <c:pt idx="79">
                  <c:v>4.3896724909013791</c:v>
                </c:pt>
                <c:pt idx="80">
                  <c:v>4.0782045980363568</c:v>
                </c:pt>
                <c:pt idx="81">
                  <c:v>3.7758879170486668</c:v>
                </c:pt>
                <c:pt idx="82">
                  <c:v>3.4840339003654028</c:v>
                </c:pt>
                <c:pt idx="83">
                  <c:v>3.2037516548162017</c:v>
                </c:pt>
                <c:pt idx="84">
                  <c:v>2.9359490081088171</c:v>
                </c:pt>
                <c:pt idx="85">
                  <c:v>2.6813367888010982</c:v>
                </c:pt>
                <c:pt idx="86">
                  <c:v>2.4404359776518123</c:v>
                </c:pt>
                <c:pt idx="87">
                  <c:v>2.2135873505665811</c:v>
                </c:pt>
                <c:pt idx="88">
                  <c:v>2.0009632087439018</c:v>
                </c:pt>
                <c:pt idx="89">
                  <c:v>1.8025807796826732</c:v>
                </c:pt>
                <c:pt idx="90">
                  <c:v>1.6183168726707371</c:v>
                </c:pt>
                <c:pt idx="91">
                  <c:v>1.4479233831498519</c:v>
                </c:pt>
                <c:pt idx="92">
                  <c:v>1.2910432606119089</c:v>
                </c:pt>
                <c:pt idx="93">
                  <c:v>1.1472265829106547</c:v>
                </c:pt>
                <c:pt idx="94">
                  <c:v>1.0159464144513448</c:v>
                </c:pt>
                <c:pt idx="95">
                  <c:v>0.89661416498659097</c:v>
                </c:pt>
                <c:pt idx="96">
                  <c:v>0.78859420806273894</c:v>
                </c:pt>
                <c:pt idx="97">
                  <c:v>0.69121756196872608</c:v>
                </c:pt>
                <c:pt idx="98">
                  <c:v>0.60379447990508306</c:v>
                </c:pt>
                <c:pt idx="99">
                  <c:v>0.5256258387430125</c:v>
                </c:pt>
                <c:pt idx="100">
                  <c:v>0.45601325609830567</c:v>
                </c:pt>
                <c:pt idx="101">
                  <c:v>0.39426790262207356</c:v>
                </c:pt>
                <c:pt idx="102">
                  <c:v>0.33971800973934296</c:v>
                </c:pt>
                <c:pt idx="103">
                  <c:v>0.29171510208407081</c:v>
                </c:pt>
                <c:pt idx="104">
                  <c:v>0.24963900831848604</c:v>
                </c:pt>
                <c:pt idx="105">
                  <c:v>0.21290172379986877</c:v>
                </c:pt>
                <c:pt idx="106">
                  <c:v>0.18095021374213266</c:v>
                </c:pt>
                <c:pt idx="107">
                  <c:v>0.15326825632132929</c:v>
                </c:pt>
                <c:pt idx="108">
                  <c:v>0.12937743191075651</c:v>
                </c:pt>
                <c:pt idx="109">
                  <c:v>0.10883736770262416</c:v>
                </c:pt>
                <c:pt idx="110">
                  <c:v>9.1245346835662142E-2</c:v>
                </c:pt>
                <c:pt idx="111">
                  <c:v>7.6235388290652878E-2</c:v>
                </c:pt>
                <c:pt idx="112">
                  <c:v>6.3476898738286658E-2</c:v>
                </c:pt>
                <c:pt idx="113">
                  <c:v>5.2672990717475672E-2</c:v>
                </c:pt>
                <c:pt idx="114">
                  <c:v>4.3558553455043551E-2</c:v>
                </c:pt>
                <c:pt idx="115">
                  <c:v>3.5898153741177455E-2</c:v>
                </c:pt>
                <c:pt idx="116">
                  <c:v>2.9483834935872553E-2</c:v>
                </c:pt>
              </c:numCache>
            </c:numRef>
          </c:yVal>
          <c:smooth val="1"/>
          <c:extLst>
            <c:ext xmlns:c16="http://schemas.microsoft.com/office/drawing/2014/chart" uri="{C3380CC4-5D6E-409C-BE32-E72D297353CC}">
              <c16:uniqueId val="{00000001-28C7-4862-86E9-AF862A5BA0AD}"/>
            </c:ext>
          </c:extLst>
        </c:ser>
        <c:ser>
          <c:idx val="2"/>
          <c:order val="2"/>
          <c:tx>
            <c:strRef>
              <c:f>'Notes | Quant Analysis'!$W$249</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6983650867643849E-2"/>
                  <c:y val="-2.7103209849741277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096068625754528"/>
                      <c:h val="7.7448353673874315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Analysis'!$X$249:$X$250</c:f>
              <c:numCache>
                <c:formatCode>0.00%</c:formatCode>
                <c:ptCount val="2"/>
                <c:pt idx="0">
                  <c:v>5.4308194924342176E-6</c:v>
                </c:pt>
                <c:pt idx="1">
                  <c:v>5.4308194924342176E-6</c:v>
                </c:pt>
              </c:numCache>
            </c:numRef>
          </c:xVal>
          <c:yVal>
            <c:numRef>
              <c:f>'Notes | Quant Analysis'!$Y$249:$Y$250</c:f>
              <c:numCache>
                <c:formatCode>General</c:formatCode>
                <c:ptCount val="2"/>
                <c:pt idx="0">
                  <c:v>0</c:v>
                </c:pt>
                <c:pt idx="1">
                  <c:v>9.5</c:v>
                </c:pt>
              </c:numCache>
            </c:numRef>
          </c:yVal>
          <c:smooth val="1"/>
          <c:extLst>
            <c:ext xmlns:c16="http://schemas.microsoft.com/office/drawing/2014/chart" uri="{C3380CC4-5D6E-409C-BE32-E72D297353CC}">
              <c16:uniqueId val="{00000004-28C7-4862-86E9-AF862A5BA0AD}"/>
            </c:ext>
          </c:extLst>
        </c:ser>
        <c:ser>
          <c:idx val="3"/>
          <c:order val="3"/>
          <c:tx>
            <c:strRef>
              <c:f>'Notes | Quant Analysis'!$W$251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Analysis'!$X$251:$X$252</c:f>
              <c:numCache>
                <c:formatCode>0.00%</c:formatCode>
                <c:ptCount val="2"/>
                <c:pt idx="0">
                  <c:v>-0.1281763197154642</c:v>
                </c:pt>
                <c:pt idx="1">
                  <c:v>-0.1281763197154642</c:v>
                </c:pt>
              </c:numCache>
            </c:numRef>
          </c:xVal>
          <c:yVal>
            <c:numRef>
              <c:f>'Notes | Quant Analysis'!$Y$251:$Y$252</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Analysis'!$W$253</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Analysis'!$X$253:$X$254</c:f>
              <c:numCache>
                <c:formatCode>0.00%</c:formatCode>
                <c:ptCount val="2"/>
                <c:pt idx="0">
                  <c:v>-8.5449069537145331E-2</c:v>
                </c:pt>
                <c:pt idx="1">
                  <c:v>-8.5449069537145331E-2</c:v>
                </c:pt>
              </c:numCache>
            </c:numRef>
          </c:xVal>
          <c:yVal>
            <c:numRef>
              <c:f>'Notes | Quant Analysis'!$Y$253:$Y$254</c:f>
              <c:numCache>
                <c:formatCode>General</c:formatCode>
                <c:ptCount val="2"/>
                <c:pt idx="0">
                  <c:v>0</c:v>
                </c:pt>
                <c:pt idx="1">
                  <c:v>2</c:v>
                </c:pt>
              </c:numCache>
            </c:numRef>
          </c:yVal>
          <c:smooth val="1"/>
          <c:extLst>
            <c:ext xmlns:c16="http://schemas.microsoft.com/office/drawing/2014/chart" uri="{C3380CC4-5D6E-409C-BE32-E72D297353CC}">
              <c16:uniqueId val="{0000000A-28C7-4862-86E9-AF862A5BA0AD}"/>
            </c:ext>
          </c:extLst>
        </c:ser>
        <c:ser>
          <c:idx val="5"/>
          <c:order val="5"/>
          <c:tx>
            <c:strRef>
              <c:f>'Notes | Quant Analysis'!$W$255</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Analysis'!$X$255:$X$256</c:f>
              <c:numCache>
                <c:formatCode>0.00%</c:formatCode>
                <c:ptCount val="2"/>
                <c:pt idx="0">
                  <c:v>-4.2721819358826449E-2</c:v>
                </c:pt>
                <c:pt idx="1">
                  <c:v>-4.2721819358826449E-2</c:v>
                </c:pt>
              </c:numCache>
            </c:numRef>
          </c:xVal>
          <c:yVal>
            <c:numRef>
              <c:f>'Notes | Quant Analysis'!$Y$255:$Y$256</c:f>
              <c:numCache>
                <c:formatCode>General</c:formatCode>
                <c:ptCount val="2"/>
                <c:pt idx="0">
                  <c:v>0</c:v>
                </c:pt>
                <c:pt idx="1">
                  <c:v>5.5</c:v>
                </c:pt>
              </c:numCache>
            </c:numRef>
          </c:yVal>
          <c:smooth val="1"/>
          <c:extLst>
            <c:ext xmlns:c16="http://schemas.microsoft.com/office/drawing/2014/chart" uri="{C3380CC4-5D6E-409C-BE32-E72D297353CC}">
              <c16:uniqueId val="{0000000D-28C7-4862-86E9-AF862A5BA0AD}"/>
            </c:ext>
          </c:extLst>
        </c:ser>
        <c:ser>
          <c:idx val="6"/>
          <c:order val="6"/>
          <c:tx>
            <c:strRef>
              <c:f>'Notes | Quant Analysis'!$W$257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Analysis'!$X$257:$X$258</c:f>
              <c:numCache>
                <c:formatCode>0.00%</c:formatCode>
                <c:ptCount val="2"/>
                <c:pt idx="0">
                  <c:v>4.2732680997811315E-2</c:v>
                </c:pt>
                <c:pt idx="1">
                  <c:v>4.2732680997811315E-2</c:v>
                </c:pt>
              </c:numCache>
            </c:numRef>
          </c:xVal>
          <c:yVal>
            <c:numRef>
              <c:f>'Notes | Quant Analysis'!$Y$257:$Y$258</c:f>
              <c:numCache>
                <c:formatCode>General</c:formatCode>
                <c:ptCount val="2"/>
                <c:pt idx="0">
                  <c:v>0</c:v>
                </c:pt>
                <c:pt idx="1">
                  <c:v>5.5</c:v>
                </c:pt>
              </c:numCache>
            </c:numRef>
          </c:yVal>
          <c:smooth val="1"/>
          <c:extLst>
            <c:ext xmlns:c16="http://schemas.microsoft.com/office/drawing/2014/chart" uri="{C3380CC4-5D6E-409C-BE32-E72D297353CC}">
              <c16:uniqueId val="{0000000F-28C7-4862-86E9-AF862A5BA0AD}"/>
            </c:ext>
          </c:extLst>
        </c:ser>
        <c:ser>
          <c:idx val="7"/>
          <c:order val="7"/>
          <c:tx>
            <c:strRef>
              <c:f>'Notes | Quant Analysis'!$W$259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Analysis'!$X$259:$X$260</c:f>
              <c:numCache>
                <c:formatCode>0.00%</c:formatCode>
                <c:ptCount val="2"/>
                <c:pt idx="0">
                  <c:v>8.5459931176130197E-2</c:v>
                </c:pt>
                <c:pt idx="1">
                  <c:v>8.5459931176130197E-2</c:v>
                </c:pt>
              </c:numCache>
            </c:numRef>
          </c:xVal>
          <c:yVal>
            <c:numRef>
              <c:f>'Notes | Quant Analysis'!$Y$259:$Y$260</c:f>
              <c:numCache>
                <c:formatCode>General</c:formatCode>
                <c:ptCount val="2"/>
                <c:pt idx="0">
                  <c:v>0</c:v>
                </c:pt>
                <c:pt idx="1">
                  <c:v>2</c:v>
                </c:pt>
              </c:numCache>
            </c:numRef>
          </c:yVal>
          <c:smooth val="1"/>
          <c:extLst>
            <c:ext xmlns:c16="http://schemas.microsoft.com/office/drawing/2014/chart" uri="{C3380CC4-5D6E-409C-BE32-E72D297353CC}">
              <c16:uniqueId val="{00000012-28C7-4862-86E9-AF862A5BA0AD}"/>
            </c:ext>
          </c:extLst>
        </c:ser>
        <c:ser>
          <c:idx val="8"/>
          <c:order val="8"/>
          <c:tx>
            <c:strRef>
              <c:f>'Notes | Quant Analysis'!$W$261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Analysis'!$X$261:$X$262</c:f>
              <c:numCache>
                <c:formatCode>0.00%</c:formatCode>
                <c:ptCount val="2"/>
                <c:pt idx="0">
                  <c:v>0.12818718135444909</c:v>
                </c:pt>
                <c:pt idx="1">
                  <c:v>0.12818718135444909</c:v>
                </c:pt>
              </c:numCache>
            </c:numRef>
          </c:xVal>
          <c:yVal>
            <c:numRef>
              <c:f>'Notes | Quant Analysis'!$Y$261:$Y$262</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0.14000000000000001"/>
          <c:min val="-0.1400000000000000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(PL)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'Base Case'!$AF$50:$AK$50</c:f>
              <c:numCache>
                <c:formatCode>0.0</c:formatCode>
                <c:ptCount val="6"/>
                <c:pt idx="0">
                  <c:v>-137.13299999999998</c:v>
                </c:pt>
                <c:pt idx="1">
                  <c:v>-162.024</c:v>
                </c:pt>
                <c:pt idx="2">
                  <c:v>-140.40500000000003</c:v>
                </c:pt>
                <c:pt idx="3">
                  <c:v>-123.14799999999998</c:v>
                </c:pt>
                <c:pt idx="4">
                  <c:v>-106.40800000000002</c:v>
                </c:pt>
                <c:pt idx="5">
                  <c:v>-246.78699999999998</c:v>
                </c:pt>
              </c:numCache>
            </c:numRef>
          </c:val>
          <c:extLst>
            <c:ext xmlns:c16="http://schemas.microsoft.com/office/drawing/2014/chart" uri="{C3380CC4-5D6E-409C-BE32-E72D297353CC}">
              <c16:uniqueId val="{00000003-185C-48BA-84D0-EF540439F646}"/>
            </c:ext>
          </c:extLst>
        </c:ser>
        <c:ser>
          <c:idx val="2"/>
          <c:order val="2"/>
          <c:tx>
            <c:v>FCF</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'Base Case'!$AF$103:$AK$103</c:f>
              <c:numCache>
                <c:formatCode>0.0</c:formatCode>
                <c:ptCount val="6"/>
                <c:pt idx="0">
                  <c:v>-152.10000000000002</c:v>
                </c:pt>
                <c:pt idx="1">
                  <c:v>-174.7</c:v>
                </c:pt>
                <c:pt idx="2">
                  <c:v>-182.89999999999998</c:v>
                </c:pt>
                <c:pt idx="3">
                  <c:v>-173</c:v>
                </c:pt>
                <c:pt idx="4">
                  <c:v>-154.20000000000002</c:v>
                </c:pt>
                <c:pt idx="5">
                  <c:v>-328.4</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'Base Case'!$AF$3:$AK$3</c:f>
              <c:numCache>
                <c:formatCode>General</c:formatCode>
                <c:ptCount val="6"/>
                <c:pt idx="0">
                  <c:v>2020</c:v>
                </c:pt>
                <c:pt idx="1">
                  <c:v>2021</c:v>
                </c:pt>
                <c:pt idx="2">
                  <c:v>2022</c:v>
                </c:pt>
                <c:pt idx="3">
                  <c:v>2023</c:v>
                </c:pt>
                <c:pt idx="4">
                  <c:v>2024</c:v>
                </c:pt>
                <c:pt idx="5">
                  <c:v>2025</c:v>
                </c:pt>
              </c:numCache>
            </c:numRef>
          </c:cat>
          <c:val>
            <c:numRef>
              <c:f>'Base Case'!$AF$37:$AK$37</c:f>
              <c:numCache>
                <c:formatCode>General</c:formatCode>
                <c:ptCount val="6"/>
                <c:pt idx="0">
                  <c:v>131.19999999999999</c:v>
                </c:pt>
                <c:pt idx="1">
                  <c:v>191.2</c:v>
                </c:pt>
                <c:pt idx="2">
                  <c:v>220.8</c:v>
                </c:pt>
                <c:pt idx="3">
                  <c:v>244.4</c:v>
                </c:pt>
                <c:pt idx="4">
                  <c:v>250.3</c:v>
                </c:pt>
                <c:pt idx="5">
                  <c:v>307.8</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'Base Case'!$B$18</c:f>
              <c:strCache>
                <c:ptCount val="1"/>
                <c:pt idx="0">
                  <c:v>North America</c:v>
                </c:pt>
              </c:strCache>
            </c:strRef>
          </c:tx>
          <c:spPr>
            <a:solidFill>
              <a:schemeClr val="accent1">
                <a:lumMod val="60000"/>
              </a:schemeClr>
            </a:solidFill>
            <a:ln>
              <a:noFill/>
            </a:ln>
            <a:effectLst/>
          </c:spPr>
          <c:invertIfNegative val="0"/>
          <c:cat>
            <c:strRef>
              <c:f>'Base Case'!$O$1:$W$1</c:f>
              <c:strCache>
                <c:ptCount val="9"/>
                <c:pt idx="0">
                  <c:v>Q1 2024</c:v>
                </c:pt>
                <c:pt idx="4">
                  <c:v>Q1 2025</c:v>
                </c:pt>
                <c:pt idx="8">
                  <c:v>Q1 2026</c:v>
                </c:pt>
              </c:strCache>
            </c:strRef>
          </c:cat>
          <c:val>
            <c:numRef>
              <c:f>'Base Case'!$O$18:$X$18</c:f>
              <c:numCache>
                <c:formatCode>0.0</c:formatCode>
                <c:ptCount val="10"/>
                <c:pt idx="0">
                  <c:v>32.713000000000001</c:v>
                </c:pt>
                <c:pt idx="1">
                  <c:v>30.797000000000001</c:v>
                </c:pt>
                <c:pt idx="2">
                  <c:v>27.038</c:v>
                </c:pt>
                <c:pt idx="3">
                  <c:v>28.801999999999992</c:v>
                </c:pt>
                <c:pt idx="4">
                  <c:v>29.533000000000001</c:v>
                </c:pt>
                <c:pt idx="5">
                  <c:v>31.093</c:v>
                </c:pt>
                <c:pt idx="6">
                  <c:v>35.148000000000003</c:v>
                </c:pt>
                <c:pt idx="7">
                  <c:v>36.23599999999999</c:v>
                </c:pt>
                <c:pt idx="8">
                  <c:v>37.036999999999999</c:v>
                </c:pt>
                <c:pt idx="9">
                  <c:v>39.015000000000001</c:v>
                </c:pt>
              </c:numCache>
            </c:numRef>
          </c:val>
          <c:extLst>
            <c:ext xmlns:c16="http://schemas.microsoft.com/office/drawing/2014/chart" uri="{C3380CC4-5D6E-409C-BE32-E72D297353CC}">
              <c16:uniqueId val="{00000006-68F0-4946-B457-0E5EFE16AA02}"/>
            </c:ext>
          </c:extLst>
        </c:ser>
        <c:ser>
          <c:idx val="7"/>
          <c:order val="1"/>
          <c:tx>
            <c:strRef>
              <c:f>'Base Case'!$B$19</c:f>
              <c:strCache>
                <c:ptCount val="1"/>
                <c:pt idx="0">
                  <c:v>APAC</c:v>
                </c:pt>
              </c:strCache>
            </c:strRef>
          </c:tx>
          <c:spPr>
            <a:solidFill>
              <a:srgbClr val="FF7171"/>
            </a:solidFill>
            <a:ln>
              <a:noFill/>
            </a:ln>
            <a:effectLst/>
          </c:spPr>
          <c:invertIfNegative val="0"/>
          <c:cat>
            <c:strRef>
              <c:f>'Base Case'!$O$1:$W$1</c:f>
              <c:strCache>
                <c:ptCount val="9"/>
                <c:pt idx="0">
                  <c:v>Q1 2024</c:v>
                </c:pt>
                <c:pt idx="4">
                  <c:v>Q1 2025</c:v>
                </c:pt>
                <c:pt idx="8">
                  <c:v>Q1 2026</c:v>
                </c:pt>
              </c:strCache>
            </c:strRef>
          </c:cat>
          <c:val>
            <c:numRef>
              <c:f>'Base Case'!$O$19:$X$19</c:f>
              <c:numCache>
                <c:formatCode>0.0</c:formatCode>
                <c:ptCount val="10"/>
                <c:pt idx="0">
                  <c:v>11.141999999999999</c:v>
                </c:pt>
                <c:pt idx="1">
                  <c:v>10.298</c:v>
                </c:pt>
                <c:pt idx="2">
                  <c:v>10.334</c:v>
                </c:pt>
                <c:pt idx="3">
                  <c:v>10.627000000000006</c:v>
                </c:pt>
                <c:pt idx="4">
                  <c:v>15.307</c:v>
                </c:pt>
                <c:pt idx="5">
                  <c:v>16.149999999999999</c:v>
                </c:pt>
                <c:pt idx="6">
                  <c:v>14.324</c:v>
                </c:pt>
                <c:pt idx="7">
                  <c:v>14.032000000000004</c:v>
                </c:pt>
                <c:pt idx="8">
                  <c:v>19.306999999999999</c:v>
                </c:pt>
                <c:pt idx="9">
                  <c:v>19.094000000000001</c:v>
                </c:pt>
              </c:numCache>
            </c:numRef>
          </c:val>
          <c:extLst>
            <c:ext xmlns:c16="http://schemas.microsoft.com/office/drawing/2014/chart" uri="{C3380CC4-5D6E-409C-BE32-E72D297353CC}">
              <c16:uniqueId val="{00000007-68F0-4946-B457-0E5EFE16AA02}"/>
            </c:ext>
          </c:extLst>
        </c:ser>
        <c:ser>
          <c:idx val="8"/>
          <c:order val="2"/>
          <c:tx>
            <c:strRef>
              <c:f>'Base Case'!$B$20</c:f>
              <c:strCache>
                <c:ptCount val="1"/>
                <c:pt idx="0">
                  <c:v>Euro, Mid-East &amp; Africa</c:v>
                </c:pt>
              </c:strCache>
            </c:strRef>
          </c:tx>
          <c:spPr>
            <a:solidFill>
              <a:srgbClr val="70AD47">
                <a:lumMod val="60000"/>
                <a:lumOff val="40000"/>
              </a:srgbClr>
            </a:solidFill>
            <a:ln>
              <a:noFill/>
            </a:ln>
            <a:effectLst/>
          </c:spPr>
          <c:invertIfNegative val="0"/>
          <c:cat>
            <c:strRef>
              <c:f>'Base Case'!$O$1:$W$1</c:f>
              <c:strCache>
                <c:ptCount val="9"/>
                <c:pt idx="0">
                  <c:v>Q1 2024</c:v>
                </c:pt>
                <c:pt idx="4">
                  <c:v>Q1 2025</c:v>
                </c:pt>
                <c:pt idx="8">
                  <c:v>Q1 2026</c:v>
                </c:pt>
              </c:strCache>
            </c:strRef>
          </c:cat>
          <c:val>
            <c:numRef>
              <c:f>'Base Case'!$O$20:$X$20</c:f>
              <c:numCache>
                <c:formatCode>0.0</c:formatCode>
                <c:ptCount val="10"/>
                <c:pt idx="0">
                  <c:v>13.694000000000001</c:v>
                </c:pt>
                <c:pt idx="1">
                  <c:v>17.225999999999999</c:v>
                </c:pt>
                <c:pt idx="2">
                  <c:v>20.010999999999999</c:v>
                </c:pt>
                <c:pt idx="3">
                  <c:v>19.153999999999996</c:v>
                </c:pt>
                <c:pt idx="4">
                  <c:v>18.849</c:v>
                </c:pt>
                <c:pt idx="5">
                  <c:v>23.466999999999999</c:v>
                </c:pt>
                <c:pt idx="6">
                  <c:v>27.613</c:v>
                </c:pt>
                <c:pt idx="7">
                  <c:v>33.745000000000005</c:v>
                </c:pt>
                <c:pt idx="8">
                  <c:v>35.052999999999997</c:v>
                </c:pt>
                <c:pt idx="9">
                  <c:v>55.2</c:v>
                </c:pt>
              </c:numCache>
            </c:numRef>
          </c:val>
          <c:extLst>
            <c:ext xmlns:c16="http://schemas.microsoft.com/office/drawing/2014/chart" uri="{C3380CC4-5D6E-409C-BE32-E72D297353CC}">
              <c16:uniqueId val="{00000008-68F0-4946-B457-0E5EFE16AA02}"/>
            </c:ext>
          </c:extLst>
        </c:ser>
        <c:ser>
          <c:idx val="9"/>
          <c:order val="3"/>
          <c:tx>
            <c:strRef>
              <c:f>'Base Case'!$B$21</c:f>
              <c:strCache>
                <c:ptCount val="1"/>
                <c:pt idx="0">
                  <c:v>LATAM</c:v>
                </c:pt>
              </c:strCache>
            </c:strRef>
          </c:tx>
          <c:spPr>
            <a:solidFill>
              <a:srgbClr val="FFC000">
                <a:lumMod val="60000"/>
                <a:lumOff val="40000"/>
              </a:srgbClr>
            </a:solidFill>
            <a:ln>
              <a:noFill/>
            </a:ln>
            <a:effectLst/>
          </c:spPr>
          <c:invertIfNegative val="0"/>
          <c:cat>
            <c:strRef>
              <c:f>'Base Case'!$O$1:$W$1</c:f>
              <c:strCache>
                <c:ptCount val="9"/>
                <c:pt idx="0">
                  <c:v>Q1 2024</c:v>
                </c:pt>
                <c:pt idx="4">
                  <c:v>Q1 2025</c:v>
                </c:pt>
                <c:pt idx="8">
                  <c:v>Q1 2026</c:v>
                </c:pt>
              </c:strCache>
            </c:strRef>
          </c:cat>
          <c:val>
            <c:numRef>
              <c:f>'Base Case'!$O$21:$X$21</c:f>
              <c:numCache>
                <c:formatCode>0.0</c:formatCode>
                <c:ptCount val="10"/>
                <c:pt idx="0">
                  <c:v>2.891</c:v>
                </c:pt>
                <c:pt idx="1">
                  <c:v>2.7709999999999999</c:v>
                </c:pt>
                <c:pt idx="2">
                  <c:v>3.883</c:v>
                </c:pt>
                <c:pt idx="3">
                  <c:v>2.9710000000000001</c:v>
                </c:pt>
                <c:pt idx="4">
                  <c:v>2.5760000000000001</c:v>
                </c:pt>
                <c:pt idx="5">
                  <c:v>2.6760000000000002</c:v>
                </c:pt>
                <c:pt idx="6">
                  <c:v>4.1689999999999996</c:v>
                </c:pt>
                <c:pt idx="7">
                  <c:v>2.8090000000000011</c:v>
                </c:pt>
                <c:pt idx="8">
                  <c:v>2.7530000000000001</c:v>
                </c:pt>
                <c:pt idx="9">
                  <c:v>2.7429999999999999</c:v>
                </c:pt>
              </c:numCache>
            </c:numRef>
          </c:val>
          <c:extLst>
            <c:ext xmlns:c16="http://schemas.microsoft.com/office/drawing/2014/chart" uri="{C3380CC4-5D6E-409C-BE32-E72D297353CC}">
              <c16:uniqueId val="{00000009-68F0-4946-B457-0E5EFE16AA02}"/>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7</xdr:col>
      <xdr:colOff>495300</xdr:colOff>
      <xdr:row>12</xdr:row>
      <xdr:rowOff>57150</xdr:rowOff>
    </xdr:to>
    <xdr:sp macro="" textlink="">
      <xdr:nvSpPr>
        <xdr:cNvPr id="3073" name="AutoShape 1" descr="Planet Labs PBC logo">
          <a:extLst>
            <a:ext uri="{FF2B5EF4-FFF2-40B4-BE49-F238E27FC236}">
              <a16:creationId xmlns:a16="http://schemas.microsoft.com/office/drawing/2014/main" id="{0787136B-0B4C-3405-5A41-FB4685632DCB}"/>
            </a:ext>
          </a:extLst>
        </xdr:cNvPr>
        <xdr:cNvSpPr>
          <a:spLocks noChangeAspect="1" noChangeArrowheads="1"/>
        </xdr:cNvSpPr>
      </xdr:nvSpPr>
      <xdr:spPr bwMode="auto">
        <a:xfrm>
          <a:off x="2828925" y="552450"/>
          <a:ext cx="1714500" cy="1714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9525</xdr:colOff>
      <xdr:row>2</xdr:row>
      <xdr:rowOff>5704</xdr:rowOff>
    </xdr:from>
    <xdr:to>
      <xdr:col>8</xdr:col>
      <xdr:colOff>0</xdr:colOff>
      <xdr:row>8</xdr:row>
      <xdr:rowOff>0</xdr:rowOff>
    </xdr:to>
    <xdr:pic>
      <xdr:nvPicPr>
        <xdr:cNvPr id="2" name="Picture 1">
          <a:extLst>
            <a:ext uri="{FF2B5EF4-FFF2-40B4-BE49-F238E27FC236}">
              <a16:creationId xmlns:a16="http://schemas.microsoft.com/office/drawing/2014/main" id="{AA0A7364-8348-5001-BDF2-FDA91FA9827E}"/>
            </a:ext>
          </a:extLst>
        </xdr:cNvPr>
        <xdr:cNvPicPr>
          <a:picLocks noChangeAspect="1"/>
        </xdr:cNvPicPr>
      </xdr:nvPicPr>
      <xdr:blipFill>
        <a:blip xmlns:r="http://schemas.openxmlformats.org/officeDocument/2006/relationships" r:embed="rId1"/>
        <a:stretch>
          <a:fillRect/>
        </a:stretch>
      </xdr:blipFill>
      <xdr:spPr>
        <a:xfrm>
          <a:off x="2838450" y="377179"/>
          <a:ext cx="1819275" cy="10896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24</xdr:col>
      <xdr:colOff>5603</xdr:colOff>
      <xdr:row>0</xdr:row>
      <xdr:rowOff>0</xdr:rowOff>
    </xdr:from>
    <xdr:to>
      <xdr:col>24</xdr:col>
      <xdr:colOff>5603</xdr:colOff>
      <xdr:row>122</xdr:row>
      <xdr:rowOff>152400</xdr:rowOff>
    </xdr:to>
    <xdr:cxnSp macro="">
      <xdr:nvCxnSpPr>
        <xdr:cNvPr id="2" name="Straight Connector 1">
          <a:extLst>
            <a:ext uri="{FF2B5EF4-FFF2-40B4-BE49-F238E27FC236}">
              <a16:creationId xmlns:a16="http://schemas.microsoft.com/office/drawing/2014/main" id="{1580C0D2-A68F-41E1-8447-D600A436E4E3}"/>
            </a:ext>
          </a:extLst>
        </xdr:cNvPr>
        <xdr:cNvCxnSpPr/>
      </xdr:nvCxnSpPr>
      <xdr:spPr>
        <a:xfrm>
          <a:off x="15962779" y="0"/>
          <a:ext cx="0" cy="214547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644341</xdr:colOff>
      <xdr:row>0</xdr:row>
      <xdr:rowOff>0</xdr:rowOff>
    </xdr:from>
    <xdr:to>
      <xdr:col>36</xdr:col>
      <xdr:colOff>644341</xdr:colOff>
      <xdr:row>121</xdr:row>
      <xdr:rowOff>76200</xdr:rowOff>
    </xdr:to>
    <xdr:cxnSp macro="">
      <xdr:nvCxnSpPr>
        <xdr:cNvPr id="3" name="Straight Connector 2">
          <a:extLst>
            <a:ext uri="{FF2B5EF4-FFF2-40B4-BE49-F238E27FC236}">
              <a16:creationId xmlns:a16="http://schemas.microsoft.com/office/drawing/2014/main" id="{AAE4EFB0-3DA5-4A51-A236-160E6DDD32DB}"/>
            </a:ext>
          </a:extLst>
        </xdr:cNvPr>
        <xdr:cNvCxnSpPr/>
      </xdr:nvCxnSpPr>
      <xdr:spPr>
        <a:xfrm>
          <a:off x="23971066" y="0"/>
          <a:ext cx="0" cy="21431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5603</xdr:colOff>
      <xdr:row>0</xdr:row>
      <xdr:rowOff>0</xdr:rowOff>
    </xdr:from>
    <xdr:to>
      <xdr:col>24</xdr:col>
      <xdr:colOff>5603</xdr:colOff>
      <xdr:row>120</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15962779" y="0"/>
          <a:ext cx="0" cy="214547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644341</xdr:colOff>
      <xdr:row>0</xdr:row>
      <xdr:rowOff>0</xdr:rowOff>
    </xdr:from>
    <xdr:to>
      <xdr:col>36</xdr:col>
      <xdr:colOff>644341</xdr:colOff>
      <xdr:row>119</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25566223" y="0"/>
          <a:ext cx="0" cy="207398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0</xdr:colOff>
      <xdr:row>65</xdr:row>
      <xdr:rowOff>190499</xdr:rowOff>
    </xdr:from>
    <xdr:to>
      <xdr:col>31</xdr:col>
      <xdr:colOff>0</xdr:colOff>
      <xdr:row>96</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138</xdr:row>
      <xdr:rowOff>0</xdr:rowOff>
    </xdr:from>
    <xdr:to>
      <xdr:col>31</xdr:col>
      <xdr:colOff>0</xdr:colOff>
      <xdr:row>166</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203</xdr:row>
      <xdr:rowOff>0</xdr:rowOff>
    </xdr:from>
    <xdr:to>
      <xdr:col>30</xdr:col>
      <xdr:colOff>644339</xdr:colOff>
      <xdr:row>235</xdr:row>
      <xdr:rowOff>173691</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171</xdr:row>
      <xdr:rowOff>0</xdr:rowOff>
    </xdr:from>
    <xdr:to>
      <xdr:col>31</xdr:col>
      <xdr:colOff>0</xdr:colOff>
      <xdr:row>199</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xdr:colOff>
      <xdr:row>2</xdr:row>
      <xdr:rowOff>0</xdr:rowOff>
    </xdr:from>
    <xdr:to>
      <xdr:col>24</xdr:col>
      <xdr:colOff>648433</xdr:colOff>
      <xdr:row>27</xdr:row>
      <xdr:rowOff>151748</xdr:rowOff>
    </xdr:to>
    <xdr:pic>
      <xdr:nvPicPr>
        <xdr:cNvPr id="6" name="Picture 5">
          <a:extLst>
            <a:ext uri="{FF2B5EF4-FFF2-40B4-BE49-F238E27FC236}">
              <a16:creationId xmlns:a16="http://schemas.microsoft.com/office/drawing/2014/main" id="{952E9346-B9FA-25E1-FFE3-36DD2E75D7D4}"/>
            </a:ext>
          </a:extLst>
        </xdr:cNvPr>
        <xdr:cNvPicPr>
          <a:picLocks noChangeAspect="1"/>
        </xdr:cNvPicPr>
      </xdr:nvPicPr>
      <xdr:blipFill>
        <a:blip xmlns:r="http://schemas.openxmlformats.org/officeDocument/2006/relationships" r:embed="rId5"/>
        <a:stretch>
          <a:fillRect/>
        </a:stretch>
      </xdr:blipFill>
      <xdr:spPr>
        <a:xfrm>
          <a:off x="9576289" y="348029"/>
          <a:ext cx="5865201" cy="4456315"/>
        </a:xfrm>
        <a:prstGeom prst="rect">
          <a:avLst/>
        </a:prstGeom>
      </xdr:spPr>
    </xdr:pic>
    <xdr:clientData/>
  </xdr:twoCellAnchor>
  <xdr:twoCellAnchor editAs="oneCell">
    <xdr:from>
      <xdr:col>25</xdr:col>
      <xdr:colOff>0</xdr:colOff>
      <xdr:row>2</xdr:row>
      <xdr:rowOff>1</xdr:rowOff>
    </xdr:from>
    <xdr:to>
      <xdr:col>32</xdr:col>
      <xdr:colOff>184897</xdr:colOff>
      <xdr:row>28</xdr:row>
      <xdr:rowOff>1400</xdr:rowOff>
    </xdr:to>
    <xdr:pic>
      <xdr:nvPicPr>
        <xdr:cNvPr id="7" name="Picture 6">
          <a:extLst>
            <a:ext uri="{FF2B5EF4-FFF2-40B4-BE49-F238E27FC236}">
              <a16:creationId xmlns:a16="http://schemas.microsoft.com/office/drawing/2014/main" id="{38D8F2E7-08E9-DB4F-86D3-8C31299C068D}"/>
            </a:ext>
          </a:extLst>
        </xdr:cNvPr>
        <xdr:cNvPicPr>
          <a:picLocks noChangeAspect="1"/>
        </xdr:cNvPicPr>
      </xdr:nvPicPr>
      <xdr:blipFill>
        <a:blip xmlns:r="http://schemas.openxmlformats.org/officeDocument/2006/relationships" r:embed="rId6"/>
        <a:stretch>
          <a:fillRect/>
        </a:stretch>
      </xdr:blipFill>
      <xdr:spPr>
        <a:xfrm>
          <a:off x="15396882" y="347383"/>
          <a:ext cx="4734486" cy="4510367"/>
        </a:xfrm>
        <a:prstGeom prst="rect">
          <a:avLst/>
        </a:prstGeom>
      </xdr:spPr>
    </xdr:pic>
    <xdr:clientData/>
  </xdr:twoCellAnchor>
  <xdr:twoCellAnchor editAs="oneCell">
    <xdr:from>
      <xdr:col>16</xdr:col>
      <xdr:colOff>0</xdr:colOff>
      <xdr:row>33</xdr:row>
      <xdr:rowOff>0</xdr:rowOff>
    </xdr:from>
    <xdr:to>
      <xdr:col>24</xdr:col>
      <xdr:colOff>646570</xdr:colOff>
      <xdr:row>61</xdr:row>
      <xdr:rowOff>11206</xdr:rowOff>
    </xdr:to>
    <xdr:pic>
      <xdr:nvPicPr>
        <xdr:cNvPr id="8" name="Picture 7">
          <a:extLst>
            <a:ext uri="{FF2B5EF4-FFF2-40B4-BE49-F238E27FC236}">
              <a16:creationId xmlns:a16="http://schemas.microsoft.com/office/drawing/2014/main" id="{AD948953-6159-D969-1A34-C64E1C2683F5}"/>
            </a:ext>
          </a:extLst>
        </xdr:cNvPr>
        <xdr:cNvPicPr>
          <a:picLocks noChangeAspect="1"/>
        </xdr:cNvPicPr>
      </xdr:nvPicPr>
      <xdr:blipFill>
        <a:blip xmlns:r="http://schemas.openxmlformats.org/officeDocument/2006/relationships" r:embed="rId7"/>
        <a:stretch>
          <a:fillRect/>
        </a:stretch>
      </xdr:blipFill>
      <xdr:spPr>
        <a:xfrm>
          <a:off x="9547412" y="5731809"/>
          <a:ext cx="5846098" cy="4874559"/>
        </a:xfrm>
        <a:prstGeom prst="rect">
          <a:avLst/>
        </a:prstGeom>
      </xdr:spPr>
    </xdr:pic>
    <xdr:clientData/>
  </xdr:twoCellAnchor>
  <xdr:twoCellAnchor>
    <xdr:from>
      <xdr:col>16</xdr:col>
      <xdr:colOff>0</xdr:colOff>
      <xdr:row>101</xdr:row>
      <xdr:rowOff>190499</xdr:rowOff>
    </xdr:from>
    <xdr:to>
      <xdr:col>31</xdr:col>
      <xdr:colOff>0</xdr:colOff>
      <xdr:row>132</xdr:row>
      <xdr:rowOff>180974</xdr:rowOff>
    </xdr:to>
    <xdr:graphicFrame macro="">
      <xdr:nvGraphicFramePr>
        <xdr:cNvPr id="9" name="Chart 8">
          <a:extLst>
            <a:ext uri="{FF2B5EF4-FFF2-40B4-BE49-F238E27FC236}">
              <a16:creationId xmlns:a16="http://schemas.microsoft.com/office/drawing/2014/main" id="{5044AA91-2C64-481C-B953-AB8C8FAB2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spacenews.com/" TargetMode="External"/><Relationship Id="rId7" Type="http://schemas.openxmlformats.org/officeDocument/2006/relationships/drawing" Target="../drawings/drawing1.xml"/><Relationship Id="rId2" Type="http://schemas.openxmlformats.org/officeDocument/2006/relationships/hyperlink" Target="https://www.planet.com/" TargetMode="External"/><Relationship Id="rId1" Type="http://schemas.openxmlformats.org/officeDocument/2006/relationships/hyperlink" Target="https://app.godelterminal.com/" TargetMode="External"/><Relationship Id="rId6" Type="http://schemas.openxmlformats.org/officeDocument/2006/relationships/hyperlink" Target="https://investors.planet.com/overview/default.aspx" TargetMode="External"/><Relationship Id="rId5" Type="http://schemas.openxmlformats.org/officeDocument/2006/relationships/hyperlink" Target="https://www.planet.com/constellations/" TargetMode="External"/><Relationship Id="rId4" Type="http://schemas.openxmlformats.org/officeDocument/2006/relationships/hyperlink" Target="https://space.skyrocket.de/doc_sdat/dove-1.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8"/>
  <sheetViews>
    <sheetView tabSelected="1" zoomScale="85" zoomScaleNormal="85" workbookViewId="0">
      <selection activeCell="C12" sqref="C12"/>
    </sheetView>
  </sheetViews>
  <sheetFormatPr defaultColWidth="9.140625" defaultRowHeight="14.25"/>
  <cols>
    <col min="1" max="1" width="3.42578125" style="1" customWidth="1"/>
    <col min="2" max="4" width="9.140625" style="1" customWidth="1"/>
    <col min="5" max="16384" width="9.140625" style="1"/>
  </cols>
  <sheetData>
    <row r="2" spans="2:17" ht="15">
      <c r="B2" s="2" t="s">
        <v>139</v>
      </c>
    </row>
    <row r="3" spans="2:17">
      <c r="B3" s="1" t="s">
        <v>0</v>
      </c>
      <c r="C3" s="78">
        <v>17.43</v>
      </c>
      <c r="D3" s="42" t="s">
        <v>1262</v>
      </c>
    </row>
    <row r="4" spans="2:17" ht="15">
      <c r="B4" s="1" t="s">
        <v>1</v>
      </c>
      <c r="C4" s="79">
        <v>359.59399999999999</v>
      </c>
      <c r="D4" s="1" t="s">
        <v>141</v>
      </c>
      <c r="F4"/>
    </row>
    <row r="5" spans="2:17">
      <c r="B5" s="1" t="s">
        <v>2</v>
      </c>
      <c r="C5" s="80">
        <f>C3*C4</f>
        <v>6267.7234199999994</v>
      </c>
    </row>
    <row r="6" spans="2:17">
      <c r="B6" s="1" t="s">
        <v>3</v>
      </c>
      <c r="C6" s="80">
        <f>415.13+1.891+450.288</f>
        <v>867.30899999999997</v>
      </c>
      <c r="D6" s="1" t="s">
        <v>141</v>
      </c>
    </row>
    <row r="7" spans="2:17">
      <c r="B7" s="1" t="s">
        <v>4</v>
      </c>
      <c r="C7" s="80">
        <v>448.255</v>
      </c>
      <c r="D7" s="1" t="s">
        <v>141</v>
      </c>
    </row>
    <row r="8" spans="2:17">
      <c r="B8" s="1" t="s">
        <v>5</v>
      </c>
      <c r="C8" s="80">
        <f>C5-C6+C7</f>
        <v>5848.6694199999993</v>
      </c>
    </row>
    <row r="9" spans="2:17" ht="15">
      <c r="M9" s="1" t="s">
        <v>94</v>
      </c>
      <c r="P9" s="2"/>
    </row>
    <row r="10" spans="2:17" ht="15">
      <c r="B10" s="2" t="s">
        <v>140</v>
      </c>
      <c r="M10" s="1" t="s">
        <v>7</v>
      </c>
      <c r="P10" s="43" t="s">
        <v>146</v>
      </c>
    </row>
    <row r="11" spans="2:17">
      <c r="M11" s="1" t="s">
        <v>98</v>
      </c>
      <c r="P11" s="43" t="s">
        <v>145</v>
      </c>
    </row>
    <row r="12" spans="2:17">
      <c r="B12" s="1" t="s">
        <v>160</v>
      </c>
      <c r="F12" s="1" t="s">
        <v>142</v>
      </c>
      <c r="N12" s="1" t="s">
        <v>97</v>
      </c>
      <c r="Q12" s="43" t="s">
        <v>147</v>
      </c>
    </row>
    <row r="13" spans="2:17">
      <c r="B13" s="1" t="s">
        <v>154</v>
      </c>
      <c r="F13" s="1" t="s">
        <v>143</v>
      </c>
      <c r="N13" s="1" t="s">
        <v>180</v>
      </c>
      <c r="Q13" s="43" t="s">
        <v>181</v>
      </c>
    </row>
    <row r="14" spans="2:17">
      <c r="B14" s="1" t="s">
        <v>155</v>
      </c>
      <c r="F14" s="1" t="s">
        <v>6</v>
      </c>
      <c r="N14" s="1" t="s">
        <v>179</v>
      </c>
      <c r="Q14" s="43" t="s">
        <v>178</v>
      </c>
    </row>
    <row r="15" spans="2:17">
      <c r="B15" s="1" t="s">
        <v>153</v>
      </c>
      <c r="F15" s="1" t="s">
        <v>90</v>
      </c>
      <c r="M15" s="1" t="s">
        <v>87</v>
      </c>
      <c r="P15" s="43" t="s">
        <v>148</v>
      </c>
    </row>
    <row r="16" spans="2:17">
      <c r="B16" s="1" t="s">
        <v>152</v>
      </c>
      <c r="F16" s="1" t="s">
        <v>84</v>
      </c>
      <c r="G16" s="1" t="s">
        <v>144</v>
      </c>
      <c r="I16" s="1" t="s">
        <v>85</v>
      </c>
      <c r="M16" s="1" t="s">
        <v>88</v>
      </c>
      <c r="P16" s="43" t="s">
        <v>149</v>
      </c>
    </row>
    <row r="17" spans="1:17">
      <c r="B17" s="1" t="s">
        <v>156</v>
      </c>
      <c r="M17" s="1" t="s">
        <v>99</v>
      </c>
      <c r="P17" s="43" t="s">
        <v>150</v>
      </c>
    </row>
    <row r="18" spans="1:17">
      <c r="B18" s="1" t="s">
        <v>157</v>
      </c>
      <c r="M18" s="1" t="s">
        <v>100</v>
      </c>
      <c r="P18" s="43" t="s">
        <v>151</v>
      </c>
    </row>
    <row r="19" spans="1:17">
      <c r="B19" s="1" t="s">
        <v>158</v>
      </c>
      <c r="M19" s="1" t="s">
        <v>8</v>
      </c>
      <c r="P19" s="43" t="s">
        <v>89</v>
      </c>
    </row>
    <row r="20" spans="1:17">
      <c r="B20" s="1" t="s">
        <v>159</v>
      </c>
      <c r="M20" s="1" t="s">
        <v>176</v>
      </c>
      <c r="P20" s="43" t="s">
        <v>177</v>
      </c>
    </row>
    <row r="21" spans="1:17">
      <c r="Q21" s="43"/>
    </row>
    <row r="22" spans="1:17" ht="15">
      <c r="A22" s="2" t="s">
        <v>9</v>
      </c>
      <c r="N22" s="2"/>
    </row>
    <row r="23" spans="1:17">
      <c r="B23" s="1" t="s">
        <v>170</v>
      </c>
    </row>
    <row r="24" spans="1:17">
      <c r="C24" s="1" t="s">
        <v>171</v>
      </c>
    </row>
    <row r="25" spans="1:17">
      <c r="B25" s="1" t="s">
        <v>167</v>
      </c>
    </row>
    <row r="26" spans="1:17">
      <c r="C26" s="1" t="s">
        <v>168</v>
      </c>
    </row>
    <row r="27" spans="1:17">
      <c r="C27" s="1" t="s">
        <v>169</v>
      </c>
    </row>
    <row r="28" spans="1:17">
      <c r="B28" s="1" t="s">
        <v>161</v>
      </c>
    </row>
    <row r="29" spans="1:17">
      <c r="C29" s="1" t="s">
        <v>162</v>
      </c>
    </row>
    <row r="30" spans="1:17">
      <c r="C30" s="1" t="s">
        <v>163</v>
      </c>
    </row>
    <row r="31" spans="1:17">
      <c r="C31" s="1" t="s">
        <v>164</v>
      </c>
    </row>
    <row r="32" spans="1:17">
      <c r="C32" s="1" t="s">
        <v>165</v>
      </c>
    </row>
    <row r="33" spans="1:3">
      <c r="B33" s="1" t="s">
        <v>166</v>
      </c>
    </row>
    <row r="34" spans="1:3">
      <c r="C34" s="1" t="s">
        <v>175</v>
      </c>
    </row>
    <row r="35" spans="1:3">
      <c r="B35" s="1" t="s">
        <v>172</v>
      </c>
    </row>
    <row r="37" spans="1:3" ht="15">
      <c r="A37" s="2" t="s">
        <v>91</v>
      </c>
    </row>
    <row r="38" spans="1:3">
      <c r="B38" s="1" t="s">
        <v>92</v>
      </c>
    </row>
  </sheetData>
  <hyperlinks>
    <hyperlink ref="P19" r:id="rId1" xr:uid="{14375537-5C3D-4253-9650-337AB6789785}"/>
    <hyperlink ref="P11" r:id="rId2" xr:uid="{D6C886B0-318D-43CC-AC88-022E60078195}"/>
    <hyperlink ref="P20" r:id="rId3" xr:uid="{1E077B84-0D7F-42C9-AC00-623F26A275AA}"/>
    <hyperlink ref="Q14" r:id="rId4" xr:uid="{F3CF2C61-F41F-4FB5-AC1A-10C2D021E161}"/>
    <hyperlink ref="Q13" r:id="rId5" xr:uid="{7C705727-BED7-46C5-B5C0-2FE9DD9313A3}"/>
    <hyperlink ref="Q12" r:id="rId6" xr:uid="{A8CC9C80-9792-4202-A95E-058DD80A7E67}"/>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7AC6-856A-4C2A-9983-5E6D78A7FEEF}">
  <dimension ref="A1:CV110"/>
  <sheetViews>
    <sheetView zoomScale="70" zoomScaleNormal="70" workbookViewId="0">
      <pane xSplit="2" ySplit="3" topLeftCell="J67" activePane="bottomRight" state="frozen"/>
      <selection pane="topRight" activeCell="C1" sqref="C1"/>
      <selection pane="bottomLeft" activeCell="A4" sqref="A4"/>
      <selection pane="bottomRight" activeCell="A102" sqref="A102:XFD102"/>
    </sheetView>
  </sheetViews>
  <sheetFormatPr defaultColWidth="9.140625" defaultRowHeight="14.25"/>
  <cols>
    <col min="1" max="1" width="3.140625" style="1" customWidth="1"/>
    <col min="2" max="2" width="36.42578125" style="1" customWidth="1"/>
    <col min="3" max="23" width="9.140625" style="1"/>
    <col min="24" max="26" width="9.140625" style="35"/>
    <col min="27" max="37" width="9.140625" style="1"/>
    <col min="38" max="99" width="9.140625" style="35"/>
    <col min="100" max="16384" width="9.140625" style="1"/>
  </cols>
  <sheetData>
    <row r="1" spans="2:100" ht="15">
      <c r="B1" s="1" t="s">
        <v>48</v>
      </c>
      <c r="C1" s="33" t="s">
        <v>43</v>
      </c>
      <c r="G1" s="33" t="s">
        <v>44</v>
      </c>
      <c r="K1" s="33" t="s">
        <v>45</v>
      </c>
      <c r="O1" s="33" t="s">
        <v>46</v>
      </c>
      <c r="S1" s="33" t="s">
        <v>47</v>
      </c>
      <c r="W1" s="2" t="s">
        <v>183</v>
      </c>
    </row>
    <row r="2" spans="2:100">
      <c r="B2" s="1" t="s">
        <v>49</v>
      </c>
    </row>
    <row r="3" spans="2:100" ht="15">
      <c r="B3" s="2" t="s">
        <v>50</v>
      </c>
      <c r="C3" s="33" t="s">
        <v>43</v>
      </c>
      <c r="D3" s="37" t="s">
        <v>238</v>
      </c>
      <c r="E3" s="37" t="s">
        <v>239</v>
      </c>
      <c r="F3" s="37" t="s">
        <v>240</v>
      </c>
      <c r="G3" s="33" t="s">
        <v>44</v>
      </c>
      <c r="H3" s="37" t="s">
        <v>241</v>
      </c>
      <c r="I3" s="37" t="s">
        <v>242</v>
      </c>
      <c r="J3" s="37" t="s">
        <v>243</v>
      </c>
      <c r="K3" s="33" t="s">
        <v>45</v>
      </c>
      <c r="L3" s="37" t="s">
        <v>244</v>
      </c>
      <c r="M3" s="37" t="s">
        <v>245</v>
      </c>
      <c r="N3" s="37" t="s">
        <v>246</v>
      </c>
      <c r="O3" s="33" t="s">
        <v>46</v>
      </c>
      <c r="P3" s="37" t="s">
        <v>247</v>
      </c>
      <c r="Q3" s="37" t="s">
        <v>248</v>
      </c>
      <c r="R3" s="37" t="s">
        <v>249</v>
      </c>
      <c r="S3" s="33" t="s">
        <v>47</v>
      </c>
      <c r="T3" s="37" t="s">
        <v>250</v>
      </c>
      <c r="U3" s="37" t="s">
        <v>251</v>
      </c>
      <c r="V3" s="37" t="s">
        <v>252</v>
      </c>
      <c r="W3" s="33" t="s">
        <v>183</v>
      </c>
      <c r="X3" s="37" t="s">
        <v>1263</v>
      </c>
      <c r="Y3" s="34" t="s">
        <v>1264</v>
      </c>
      <c r="Z3" s="34" t="s">
        <v>1265</v>
      </c>
      <c r="AF3" s="2">
        <v>2020</v>
      </c>
      <c r="AG3" s="2">
        <f t="shared" ref="AG3:CR3" si="0">AF3+1</f>
        <v>2021</v>
      </c>
      <c r="AH3" s="2">
        <f t="shared" si="0"/>
        <v>2022</v>
      </c>
      <c r="AI3" s="2">
        <f t="shared" si="0"/>
        <v>2023</v>
      </c>
      <c r="AJ3" s="2">
        <f t="shared" si="0"/>
        <v>2024</v>
      </c>
      <c r="AK3" s="2">
        <f t="shared" si="0"/>
        <v>2025</v>
      </c>
      <c r="AL3" s="34">
        <v>2026</v>
      </c>
      <c r="AM3" s="34">
        <f t="shared" si="0"/>
        <v>2027</v>
      </c>
      <c r="AN3" s="34">
        <f t="shared" si="0"/>
        <v>2028</v>
      </c>
      <c r="AO3" s="34">
        <f t="shared" si="0"/>
        <v>2029</v>
      </c>
      <c r="AP3" s="34">
        <f t="shared" si="0"/>
        <v>2030</v>
      </c>
      <c r="AQ3" s="34">
        <f t="shared" si="0"/>
        <v>2031</v>
      </c>
      <c r="AR3" s="34">
        <f t="shared" si="0"/>
        <v>2032</v>
      </c>
      <c r="AS3" s="34">
        <f t="shared" si="0"/>
        <v>2033</v>
      </c>
      <c r="AT3" s="34">
        <f t="shared" si="0"/>
        <v>2034</v>
      </c>
      <c r="AU3" s="34">
        <f t="shared" si="0"/>
        <v>2035</v>
      </c>
      <c r="AV3" s="34">
        <f t="shared" si="0"/>
        <v>2036</v>
      </c>
      <c r="AW3" s="34">
        <f t="shared" si="0"/>
        <v>2037</v>
      </c>
      <c r="AX3" s="34">
        <f t="shared" si="0"/>
        <v>2038</v>
      </c>
      <c r="AY3" s="34">
        <f t="shared" si="0"/>
        <v>2039</v>
      </c>
      <c r="AZ3" s="34">
        <f t="shared" si="0"/>
        <v>2040</v>
      </c>
      <c r="BA3" s="34">
        <f t="shared" si="0"/>
        <v>2041</v>
      </c>
      <c r="BB3" s="34">
        <f t="shared" si="0"/>
        <v>2042</v>
      </c>
      <c r="BC3" s="34">
        <f t="shared" si="0"/>
        <v>2043</v>
      </c>
      <c r="BD3" s="34">
        <f t="shared" si="0"/>
        <v>2044</v>
      </c>
      <c r="BE3" s="34">
        <f t="shared" si="0"/>
        <v>2045</v>
      </c>
      <c r="BF3" s="34">
        <f t="shared" si="0"/>
        <v>2046</v>
      </c>
      <c r="BG3" s="34">
        <f t="shared" si="0"/>
        <v>2047</v>
      </c>
      <c r="BH3" s="34">
        <f t="shared" si="0"/>
        <v>2048</v>
      </c>
      <c r="BI3" s="34">
        <f t="shared" si="0"/>
        <v>2049</v>
      </c>
      <c r="BJ3" s="34">
        <f t="shared" si="0"/>
        <v>2050</v>
      </c>
      <c r="BK3" s="34">
        <f t="shared" si="0"/>
        <v>2051</v>
      </c>
      <c r="BL3" s="34">
        <f t="shared" si="0"/>
        <v>2052</v>
      </c>
      <c r="BM3" s="34">
        <f t="shared" si="0"/>
        <v>2053</v>
      </c>
      <c r="BN3" s="34">
        <f t="shared" si="0"/>
        <v>2054</v>
      </c>
      <c r="BO3" s="34">
        <f t="shared" si="0"/>
        <v>2055</v>
      </c>
      <c r="BP3" s="34">
        <f t="shared" si="0"/>
        <v>2056</v>
      </c>
      <c r="BQ3" s="34">
        <f t="shared" si="0"/>
        <v>2057</v>
      </c>
      <c r="BR3" s="34">
        <f t="shared" si="0"/>
        <v>2058</v>
      </c>
      <c r="BS3" s="34">
        <f t="shared" si="0"/>
        <v>2059</v>
      </c>
      <c r="BT3" s="34">
        <f t="shared" si="0"/>
        <v>2060</v>
      </c>
      <c r="BU3" s="34">
        <f t="shared" si="0"/>
        <v>2061</v>
      </c>
      <c r="BV3" s="34">
        <f t="shared" si="0"/>
        <v>2062</v>
      </c>
      <c r="BW3" s="34">
        <f t="shared" si="0"/>
        <v>2063</v>
      </c>
      <c r="BX3" s="34">
        <f t="shared" si="0"/>
        <v>2064</v>
      </c>
      <c r="BY3" s="34">
        <f t="shared" si="0"/>
        <v>2065</v>
      </c>
      <c r="BZ3" s="34">
        <f t="shared" si="0"/>
        <v>2066</v>
      </c>
      <c r="CA3" s="34">
        <f t="shared" si="0"/>
        <v>2067</v>
      </c>
      <c r="CB3" s="34">
        <f t="shared" si="0"/>
        <v>2068</v>
      </c>
      <c r="CC3" s="34">
        <f t="shared" si="0"/>
        <v>2069</v>
      </c>
      <c r="CD3" s="34">
        <f t="shared" si="0"/>
        <v>2070</v>
      </c>
      <c r="CE3" s="34">
        <f t="shared" si="0"/>
        <v>2071</v>
      </c>
      <c r="CF3" s="34">
        <f t="shared" si="0"/>
        <v>2072</v>
      </c>
      <c r="CG3" s="34">
        <f t="shared" si="0"/>
        <v>2073</v>
      </c>
      <c r="CH3" s="34">
        <f t="shared" si="0"/>
        <v>2074</v>
      </c>
      <c r="CI3" s="34">
        <f t="shared" si="0"/>
        <v>2075</v>
      </c>
      <c r="CJ3" s="34">
        <f t="shared" si="0"/>
        <v>2076</v>
      </c>
      <c r="CK3" s="34">
        <f t="shared" si="0"/>
        <v>2077</v>
      </c>
      <c r="CL3" s="34">
        <f t="shared" si="0"/>
        <v>2078</v>
      </c>
      <c r="CM3" s="34">
        <f t="shared" si="0"/>
        <v>2079</v>
      </c>
      <c r="CN3" s="34">
        <f t="shared" si="0"/>
        <v>2080</v>
      </c>
      <c r="CO3" s="34">
        <f t="shared" si="0"/>
        <v>2081</v>
      </c>
      <c r="CP3" s="34">
        <f t="shared" si="0"/>
        <v>2082</v>
      </c>
      <c r="CQ3" s="34">
        <f t="shared" si="0"/>
        <v>2083</v>
      </c>
      <c r="CR3" s="34">
        <f t="shared" si="0"/>
        <v>2084</v>
      </c>
      <c r="CS3" s="34">
        <f t="shared" ref="CS3" si="1">CR3+1</f>
        <v>2085</v>
      </c>
      <c r="CT3" s="34"/>
      <c r="CU3" s="34"/>
      <c r="CV3" s="2"/>
    </row>
    <row r="4" spans="2:100">
      <c r="B4" s="36" t="s">
        <v>195</v>
      </c>
      <c r="C4" s="81"/>
      <c r="D4" s="81"/>
      <c r="E4" s="81"/>
      <c r="F4" s="81"/>
      <c r="G4" s="81"/>
      <c r="H4" s="81"/>
      <c r="I4" s="81"/>
      <c r="J4" s="81"/>
      <c r="K4" s="81"/>
      <c r="L4" s="81"/>
      <c r="M4" s="81"/>
      <c r="N4" s="81"/>
      <c r="O4" s="81">
        <v>18.048999999999999</v>
      </c>
      <c r="P4" s="81">
        <v>17.178999999999998</v>
      </c>
      <c r="Q4" s="81">
        <v>18.552</v>
      </c>
      <c r="R4" s="81">
        <f>71.887-SUM(O4:Q4)</f>
        <v>18.107000000000006</v>
      </c>
      <c r="S4" s="81">
        <v>16.28</v>
      </c>
      <c r="T4" s="81">
        <v>16.425999999999998</v>
      </c>
      <c r="U4" s="81">
        <v>18.827999999999999</v>
      </c>
      <c r="V4" s="81">
        <f>71.91-SUM(S4:U4)</f>
        <v>20.375999999999991</v>
      </c>
      <c r="W4" s="81">
        <v>16.169</v>
      </c>
      <c r="X4" s="81">
        <v>17.498000000000001</v>
      </c>
      <c r="AF4" s="81"/>
      <c r="AG4" s="81"/>
      <c r="AH4" s="81"/>
      <c r="AI4" s="81">
        <f t="shared" ref="AI4:AJ7" si="2">SUM(O4:R4)</f>
        <v>71.887</v>
      </c>
      <c r="AJ4" s="81">
        <f t="shared" si="2"/>
        <v>70.117999999999995</v>
      </c>
      <c r="AK4" s="81">
        <f>SUM(S4:V4)</f>
        <v>71.91</v>
      </c>
      <c r="AL4" s="92">
        <f t="shared" ref="AL4:AU6" si="3">AK4*(1+AL9)</f>
        <v>76.224599999999995</v>
      </c>
      <c r="AM4" s="92">
        <f t="shared" si="3"/>
        <v>81.560321999999999</v>
      </c>
      <c r="AN4" s="92">
        <f t="shared" si="3"/>
        <v>88.085147759999998</v>
      </c>
      <c r="AO4" s="92">
        <f t="shared" si="3"/>
        <v>94.251108103199996</v>
      </c>
      <c r="AP4" s="92">
        <f t="shared" si="3"/>
        <v>99.906174589391995</v>
      </c>
      <c r="AQ4" s="92">
        <f t="shared" si="3"/>
        <v>104.90148331886159</v>
      </c>
      <c r="AR4" s="92">
        <f t="shared" si="3"/>
        <v>109.09754265161607</v>
      </c>
      <c r="AS4" s="92">
        <f t="shared" si="3"/>
        <v>112.91595664442262</v>
      </c>
      <c r="AT4" s="92">
        <f t="shared" si="3"/>
        <v>116.3034353437553</v>
      </c>
      <c r="AU4" s="92">
        <f t="shared" si="3"/>
        <v>119.21102122734916</v>
      </c>
    </row>
    <row r="5" spans="2:100">
      <c r="B5" s="36" t="s">
        <v>196</v>
      </c>
      <c r="C5" s="81"/>
      <c r="D5" s="81"/>
      <c r="E5" s="81"/>
      <c r="F5" s="81"/>
      <c r="G5" s="81"/>
      <c r="H5" s="81"/>
      <c r="I5" s="81"/>
      <c r="J5" s="81"/>
      <c r="K5" s="81"/>
      <c r="L5" s="81"/>
      <c r="M5" s="81"/>
      <c r="N5" s="81"/>
      <c r="O5" s="81">
        <v>12.776999999999999</v>
      </c>
      <c r="P5" s="81">
        <v>14.231999999999999</v>
      </c>
      <c r="Q5" s="81">
        <v>14.173</v>
      </c>
      <c r="R5" s="81">
        <f>56.184-SUM(O5:Q5)</f>
        <v>15.001999999999995</v>
      </c>
      <c r="S5" s="81">
        <v>13.337999999999999</v>
      </c>
      <c r="T5" s="81">
        <v>15.051</v>
      </c>
      <c r="U5" s="81">
        <v>13.061</v>
      </c>
      <c r="V5" s="81">
        <f>55.585-SUM(S5:U5)</f>
        <v>14.134999999999998</v>
      </c>
      <c r="W5" s="81">
        <v>16.594999999999999</v>
      </c>
      <c r="X5" s="81">
        <v>17.559000000000001</v>
      </c>
      <c r="AF5" s="81"/>
      <c r="AG5" s="81"/>
      <c r="AH5" s="81"/>
      <c r="AI5" s="81">
        <f t="shared" si="2"/>
        <v>56.183999999999997</v>
      </c>
      <c r="AJ5" s="81">
        <f t="shared" si="2"/>
        <v>56.744999999999997</v>
      </c>
      <c r="AK5" s="81">
        <f t="shared" ref="AK5:AK6" si="4">SUM(S5:V5)</f>
        <v>55.585000000000001</v>
      </c>
      <c r="AL5" s="92">
        <f t="shared" si="3"/>
        <v>68.925399999999996</v>
      </c>
      <c r="AM5" s="92">
        <f t="shared" si="3"/>
        <v>83.399733999999995</v>
      </c>
      <c r="AN5" s="92">
        <f t="shared" si="3"/>
        <v>98.411686119999985</v>
      </c>
      <c r="AO5" s="92">
        <f t="shared" si="3"/>
        <v>114.15755589919998</v>
      </c>
      <c r="AP5" s="92">
        <f t="shared" si="3"/>
        <v>130.139613725088</v>
      </c>
      <c r="AQ5" s="92">
        <f t="shared" si="3"/>
        <v>145.75636737209857</v>
      </c>
      <c r="AR5" s="92">
        <f t="shared" si="3"/>
        <v>160.33200410930843</v>
      </c>
      <c r="AS5" s="92">
        <f t="shared" si="3"/>
        <v>173.15856443805311</v>
      </c>
      <c r="AT5" s="92">
        <f t="shared" si="3"/>
        <v>183.54807830433631</v>
      </c>
      <c r="AU5" s="92">
        <f t="shared" si="3"/>
        <v>190.89000143650978</v>
      </c>
    </row>
    <row r="6" spans="2:100">
      <c r="B6" s="36" t="s">
        <v>197</v>
      </c>
      <c r="C6" s="81"/>
      <c r="D6" s="81"/>
      <c r="E6" s="81"/>
      <c r="F6" s="81"/>
      <c r="G6" s="81"/>
      <c r="H6" s="81"/>
      <c r="I6" s="81"/>
      <c r="J6" s="81"/>
      <c r="K6" s="81"/>
      <c r="L6" s="81"/>
      <c r="M6" s="81"/>
      <c r="N6" s="81"/>
      <c r="O6" s="81">
        <v>29.614000000000001</v>
      </c>
      <c r="P6" s="81">
        <v>29.681000000000001</v>
      </c>
      <c r="Q6" s="81">
        <v>28.541</v>
      </c>
      <c r="R6" s="81">
        <f>116.281-SUM(O6:Q6)</f>
        <v>28.445000000000007</v>
      </c>
      <c r="S6" s="81">
        <v>36.646999999999998</v>
      </c>
      <c r="T6" s="81">
        <v>41.908999999999999</v>
      </c>
      <c r="U6" s="81">
        <v>49.365000000000002</v>
      </c>
      <c r="V6" s="81">
        <f>180.232-SUM(S6:U6)</f>
        <v>52.311000000000007</v>
      </c>
      <c r="W6" s="81">
        <v>61.386000000000003</v>
      </c>
      <c r="X6" s="81">
        <v>80.995000000000005</v>
      </c>
      <c r="AF6" s="81"/>
      <c r="AG6" s="81"/>
      <c r="AH6" s="81"/>
      <c r="AI6" s="81">
        <f t="shared" si="2"/>
        <v>116.28100000000001</v>
      </c>
      <c r="AJ6" s="81">
        <f t="shared" si="2"/>
        <v>123.31399999999999</v>
      </c>
      <c r="AK6" s="81">
        <f t="shared" si="4"/>
        <v>180.232</v>
      </c>
      <c r="AL6" s="92">
        <f t="shared" si="3"/>
        <v>306.39440000000002</v>
      </c>
      <c r="AM6" s="92">
        <f t="shared" si="3"/>
        <v>459.59160000000003</v>
      </c>
      <c r="AN6" s="92">
        <f t="shared" si="3"/>
        <v>652.62007200000005</v>
      </c>
      <c r="AO6" s="92">
        <f t="shared" si="3"/>
        <v>822.30129072000011</v>
      </c>
      <c r="AP6" s="92">
        <f t="shared" si="3"/>
        <v>1060.7686650288001</v>
      </c>
      <c r="AQ6" s="92">
        <f t="shared" si="3"/>
        <v>1336.5685179362881</v>
      </c>
      <c r="AR6" s="92">
        <f t="shared" si="3"/>
        <v>1643.9792770616343</v>
      </c>
      <c r="AS6" s="92">
        <f t="shared" si="3"/>
        <v>1972.7751324739611</v>
      </c>
      <c r="AT6" s="92">
        <f t="shared" si="3"/>
        <v>2308.1469049945345</v>
      </c>
      <c r="AU6" s="92">
        <f t="shared" si="3"/>
        <v>2654.3689407437146</v>
      </c>
    </row>
    <row r="7" spans="2:100" s="2" customFormat="1" ht="15">
      <c r="B7" s="33" t="s">
        <v>51</v>
      </c>
      <c r="C7" s="82"/>
      <c r="D7" s="82"/>
      <c r="E7" s="82"/>
      <c r="F7" s="82"/>
      <c r="G7" s="82"/>
      <c r="H7" s="82"/>
      <c r="I7" s="82"/>
      <c r="J7" s="82"/>
      <c r="K7" s="82"/>
      <c r="L7" s="82"/>
      <c r="M7" s="82"/>
      <c r="N7" s="82"/>
      <c r="O7" s="82">
        <f t="shared" ref="O7:X7" si="5">SUM(O4:O6)</f>
        <v>60.44</v>
      </c>
      <c r="P7" s="82">
        <f t="shared" si="5"/>
        <v>61.091999999999999</v>
      </c>
      <c r="Q7" s="82">
        <f t="shared" si="5"/>
        <v>61.266000000000005</v>
      </c>
      <c r="R7" s="82">
        <f t="shared" si="5"/>
        <v>61.554000000000009</v>
      </c>
      <c r="S7" s="82">
        <f t="shared" si="5"/>
        <v>66.265000000000001</v>
      </c>
      <c r="T7" s="82">
        <f t="shared" si="5"/>
        <v>73.385999999999996</v>
      </c>
      <c r="U7" s="82">
        <f t="shared" si="5"/>
        <v>81.254000000000005</v>
      </c>
      <c r="V7" s="82">
        <f t="shared" si="5"/>
        <v>86.822000000000003</v>
      </c>
      <c r="W7" s="82">
        <f t="shared" si="5"/>
        <v>94.15</v>
      </c>
      <c r="X7" s="82">
        <f t="shared" si="5"/>
        <v>116.05200000000001</v>
      </c>
      <c r="Y7" s="34"/>
      <c r="Z7" s="34"/>
      <c r="AF7" s="82"/>
      <c r="AG7" s="82"/>
      <c r="AH7" s="82"/>
      <c r="AI7" s="82">
        <f t="shared" si="2"/>
        <v>244.352</v>
      </c>
      <c r="AJ7" s="82">
        <f t="shared" si="2"/>
        <v>250.17700000000002</v>
      </c>
      <c r="AK7" s="82">
        <f>SUM(S7:V7)</f>
        <v>307.72700000000003</v>
      </c>
      <c r="AL7" s="89">
        <f t="shared" ref="AL7:AU7" si="6">SUM(AL4:AL6)</f>
        <v>451.5444</v>
      </c>
      <c r="AM7" s="89">
        <f t="shared" si="6"/>
        <v>624.55165600000009</v>
      </c>
      <c r="AN7" s="89">
        <f t="shared" si="6"/>
        <v>839.1169058800001</v>
      </c>
      <c r="AO7" s="89">
        <f t="shared" si="6"/>
        <v>1030.7099547224002</v>
      </c>
      <c r="AP7" s="89">
        <f t="shared" si="6"/>
        <v>1290.8144533432801</v>
      </c>
      <c r="AQ7" s="89">
        <f t="shared" si="6"/>
        <v>1587.2263686272483</v>
      </c>
      <c r="AR7" s="89">
        <f t="shared" si="6"/>
        <v>1913.4088238225588</v>
      </c>
      <c r="AS7" s="89">
        <f t="shared" si="6"/>
        <v>2258.8496535564368</v>
      </c>
      <c r="AT7" s="89">
        <f t="shared" si="6"/>
        <v>2607.9984186426259</v>
      </c>
      <c r="AU7" s="89">
        <f t="shared" si="6"/>
        <v>2964.4699634075737</v>
      </c>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row>
    <row r="8" spans="2:100">
      <c r="B8" s="36"/>
      <c r="X8" s="1"/>
    </row>
    <row r="9" spans="2:100">
      <c r="B9" s="36" t="s">
        <v>214</v>
      </c>
      <c r="G9" s="85"/>
      <c r="H9" s="85"/>
      <c r="I9" s="85"/>
      <c r="J9" s="85"/>
      <c r="K9" s="85"/>
      <c r="L9" s="85"/>
      <c r="M9" s="85"/>
      <c r="N9" s="85"/>
      <c r="O9" s="85"/>
      <c r="P9" s="85"/>
      <c r="Q9" s="85"/>
      <c r="R9" s="85"/>
      <c r="S9" s="85">
        <f t="shared" ref="S9:X12" si="7">S4/O4-1</f>
        <v>-9.8010970136849562E-2</v>
      </c>
      <c r="T9" s="85">
        <f t="shared" si="7"/>
        <v>-4.3832586297223419E-2</v>
      </c>
      <c r="U9" s="85">
        <f t="shared" si="7"/>
        <v>1.487710219922378E-2</v>
      </c>
      <c r="V9" s="85">
        <f t="shared" si="7"/>
        <v>0.1253106533384869</v>
      </c>
      <c r="W9" s="85">
        <f t="shared" si="7"/>
        <v>-6.8181818181818343E-3</v>
      </c>
      <c r="X9" s="85">
        <f t="shared" si="7"/>
        <v>6.5262388895653389E-2</v>
      </c>
      <c r="AF9" s="85"/>
      <c r="AG9" s="85"/>
      <c r="AH9" s="85"/>
      <c r="AI9" s="85"/>
      <c r="AJ9" s="85">
        <f t="shared" ref="AJ9:AJ12" si="8">AJ4/AI4-1</f>
        <v>-2.4608065436031668E-2</v>
      </c>
      <c r="AK9" s="85">
        <f>AK4/AJ4-1</f>
        <v>2.5556918337659384E-2</v>
      </c>
      <c r="AL9" s="90">
        <v>0.06</v>
      </c>
      <c r="AM9" s="90">
        <v>7.0000000000000007E-2</v>
      </c>
      <c r="AN9" s="90">
        <v>0.08</v>
      </c>
      <c r="AO9" s="90">
        <v>7.0000000000000007E-2</v>
      </c>
      <c r="AP9" s="90">
        <v>0.06</v>
      </c>
      <c r="AQ9" s="90">
        <v>0.05</v>
      </c>
      <c r="AR9" s="90">
        <v>0.04</v>
      </c>
      <c r="AS9" s="90">
        <v>3.5000000000000003E-2</v>
      </c>
      <c r="AT9" s="90">
        <v>0.03</v>
      </c>
      <c r="AU9" s="90">
        <v>2.5000000000000001E-2</v>
      </c>
    </row>
    <row r="10" spans="2:100">
      <c r="B10" s="36" t="s">
        <v>215</v>
      </c>
      <c r="G10" s="85"/>
      <c r="H10" s="85"/>
      <c r="I10" s="85"/>
      <c r="J10" s="85"/>
      <c r="K10" s="85"/>
      <c r="L10" s="85"/>
      <c r="M10" s="85"/>
      <c r="N10" s="85"/>
      <c r="O10" s="85"/>
      <c r="P10" s="85"/>
      <c r="Q10" s="85"/>
      <c r="R10" s="85"/>
      <c r="S10" s="85">
        <f t="shared" si="7"/>
        <v>4.3907020427330412E-2</v>
      </c>
      <c r="T10" s="85">
        <f t="shared" si="7"/>
        <v>5.7546374367622333E-2</v>
      </c>
      <c r="U10" s="85">
        <f t="shared" si="7"/>
        <v>-7.8459041840118537E-2</v>
      </c>
      <c r="V10" s="85">
        <f t="shared" si="7"/>
        <v>-5.7792294360751728E-2</v>
      </c>
      <c r="W10" s="85">
        <f t="shared" si="7"/>
        <v>0.24418953366321783</v>
      </c>
      <c r="X10" s="85">
        <f t="shared" si="7"/>
        <v>0.1666334462826391</v>
      </c>
      <c r="AF10" s="85"/>
      <c r="AG10" s="85"/>
      <c r="AH10" s="85"/>
      <c r="AI10" s="85"/>
      <c r="AJ10" s="85">
        <f t="shared" si="8"/>
        <v>9.985049124305867E-3</v>
      </c>
      <c r="AK10" s="85">
        <f>AK5/AJ5-1</f>
        <v>-2.0442329720680164E-2</v>
      </c>
      <c r="AL10" s="90">
        <v>0.24</v>
      </c>
      <c r="AM10" s="90">
        <v>0.21</v>
      </c>
      <c r="AN10" s="90">
        <v>0.18</v>
      </c>
      <c r="AO10" s="90">
        <v>0.16</v>
      </c>
      <c r="AP10" s="90">
        <v>0.14000000000000001</v>
      </c>
      <c r="AQ10" s="90">
        <v>0.12</v>
      </c>
      <c r="AR10" s="90">
        <v>0.1</v>
      </c>
      <c r="AS10" s="90">
        <v>0.08</v>
      </c>
      <c r="AT10" s="90">
        <v>0.06</v>
      </c>
      <c r="AU10" s="90">
        <v>0.04</v>
      </c>
    </row>
    <row r="11" spans="2:100">
      <c r="B11" s="36" t="s">
        <v>216</v>
      </c>
      <c r="G11" s="85"/>
      <c r="H11" s="85"/>
      <c r="I11" s="85"/>
      <c r="J11" s="85"/>
      <c r="K11" s="85"/>
      <c r="L11" s="85"/>
      <c r="M11" s="85"/>
      <c r="N11" s="85"/>
      <c r="O11" s="85"/>
      <c r="P11" s="85"/>
      <c r="Q11" s="85"/>
      <c r="R11" s="85"/>
      <c r="S11" s="85">
        <f t="shared" si="7"/>
        <v>0.23748902546093054</v>
      </c>
      <c r="T11" s="85">
        <f t="shared" si="7"/>
        <v>0.4119807284121153</v>
      </c>
      <c r="U11" s="85">
        <f t="shared" si="7"/>
        <v>0.72961704214988976</v>
      </c>
      <c r="V11" s="85">
        <f t="shared" si="7"/>
        <v>0.83902267533837205</v>
      </c>
      <c r="W11" s="85">
        <f t="shared" si="7"/>
        <v>0.6750620787513304</v>
      </c>
      <c r="X11" s="85">
        <f t="shared" si="7"/>
        <v>0.93263976711446239</v>
      </c>
      <c r="AF11" s="85"/>
      <c r="AG11" s="85"/>
      <c r="AH11" s="85"/>
      <c r="AI11" s="85"/>
      <c r="AJ11" s="85">
        <f t="shared" si="8"/>
        <v>6.0482795985586479E-2</v>
      </c>
      <c r="AK11" s="85">
        <f>AK6/AJ6-1</f>
        <v>0.46156965145887741</v>
      </c>
      <c r="AL11" s="90">
        <v>0.7</v>
      </c>
      <c r="AM11" s="90">
        <v>0.5</v>
      </c>
      <c r="AN11" s="90">
        <v>0.42</v>
      </c>
      <c r="AO11" s="90">
        <v>0.26</v>
      </c>
      <c r="AP11" s="90">
        <v>0.28999999999999998</v>
      </c>
      <c r="AQ11" s="90">
        <v>0.26</v>
      </c>
      <c r="AR11" s="90">
        <v>0.23</v>
      </c>
      <c r="AS11" s="90">
        <v>0.2</v>
      </c>
      <c r="AT11" s="90">
        <v>0.17</v>
      </c>
      <c r="AU11" s="90">
        <v>0.15</v>
      </c>
    </row>
    <row r="12" spans="2:100" s="2" customFormat="1" ht="15">
      <c r="B12" s="33" t="s">
        <v>101</v>
      </c>
      <c r="G12" s="87"/>
      <c r="H12" s="87"/>
      <c r="I12" s="87"/>
      <c r="J12" s="87"/>
      <c r="K12" s="87"/>
      <c r="L12" s="87"/>
      <c r="M12" s="87"/>
      <c r="N12" s="87"/>
      <c r="O12" s="87"/>
      <c r="P12" s="87"/>
      <c r="Q12" s="87"/>
      <c r="R12" s="87"/>
      <c r="S12" s="87">
        <f t="shared" si="7"/>
        <v>9.6376571806750633E-2</v>
      </c>
      <c r="T12" s="87">
        <f t="shared" si="7"/>
        <v>0.20123747790218016</v>
      </c>
      <c r="U12" s="87">
        <f t="shared" si="7"/>
        <v>0.32624946952632783</v>
      </c>
      <c r="V12" s="87">
        <f t="shared" si="7"/>
        <v>0.41050134840952635</v>
      </c>
      <c r="W12" s="87">
        <f t="shared" si="7"/>
        <v>0.42081038255489323</v>
      </c>
      <c r="X12" s="87">
        <f t="shared" si="7"/>
        <v>0.58139154607145804</v>
      </c>
      <c r="Y12" s="34"/>
      <c r="Z12" s="34"/>
      <c r="AF12" s="87"/>
      <c r="AG12" s="87"/>
      <c r="AH12" s="87"/>
      <c r="AI12" s="87"/>
      <c r="AJ12" s="87">
        <f t="shared" si="8"/>
        <v>2.38385607647984E-2</v>
      </c>
      <c r="AK12" s="87">
        <f>AK7/AJ7-1</f>
        <v>0.23003713370933387</v>
      </c>
      <c r="AL12" s="91">
        <f t="shared" ref="AL12:AU12" si="9">AL7/AK7-1</f>
        <v>0.46735385585275235</v>
      </c>
      <c r="AM12" s="91">
        <f t="shared" si="9"/>
        <v>0.38314561314457696</v>
      </c>
      <c r="AN12" s="91">
        <f t="shared" si="9"/>
        <v>0.34355084614490239</v>
      </c>
      <c r="AO12" s="91">
        <f t="shared" si="9"/>
        <v>0.22832700366282377</v>
      </c>
      <c r="AP12" s="91">
        <f t="shared" si="9"/>
        <v>0.25235469729302595</v>
      </c>
      <c r="AQ12" s="91">
        <f t="shared" si="9"/>
        <v>0.2296316984336868</v>
      </c>
      <c r="AR12" s="91">
        <f t="shared" si="9"/>
        <v>0.20550468518073917</v>
      </c>
      <c r="AS12" s="91">
        <f t="shared" si="9"/>
        <v>0.18053686459110452</v>
      </c>
      <c r="AT12" s="91">
        <f t="shared" si="9"/>
        <v>0.15456928022476979</v>
      </c>
      <c r="AU12" s="91">
        <f t="shared" si="9"/>
        <v>0.13668395740457506</v>
      </c>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row>
    <row r="13" spans="2:100">
      <c r="G13" s="85"/>
      <c r="H13" s="85"/>
      <c r="I13" s="85"/>
      <c r="J13" s="85"/>
      <c r="K13" s="85"/>
      <c r="L13" s="85"/>
      <c r="M13" s="85"/>
      <c r="N13" s="85"/>
      <c r="O13" s="85"/>
      <c r="P13" s="85"/>
      <c r="Q13" s="85"/>
      <c r="R13" s="85"/>
      <c r="S13" s="85"/>
      <c r="T13" s="85"/>
      <c r="U13" s="85"/>
      <c r="V13" s="85"/>
      <c r="W13" s="85"/>
      <c r="X13" s="85"/>
      <c r="AF13" s="85"/>
      <c r="AG13" s="85"/>
      <c r="AH13" s="85"/>
      <c r="AI13" s="85"/>
      <c r="AJ13" s="85"/>
      <c r="AK13" s="85"/>
    </row>
    <row r="14" spans="2:100">
      <c r="B14" s="36" t="s">
        <v>210</v>
      </c>
      <c r="C14" s="85"/>
      <c r="D14" s="85"/>
      <c r="E14" s="85"/>
      <c r="F14" s="85"/>
      <c r="G14" s="85"/>
      <c r="H14" s="85"/>
      <c r="I14" s="85"/>
      <c r="J14" s="85"/>
      <c r="K14" s="85"/>
      <c r="L14" s="85"/>
      <c r="M14" s="85"/>
      <c r="N14" s="85"/>
      <c r="O14" s="85">
        <f t="shared" ref="O14:V14" si="10">O4/O7</f>
        <v>0.29862673726009265</v>
      </c>
      <c r="P14" s="85">
        <f t="shared" si="10"/>
        <v>0.28119884763962544</v>
      </c>
      <c r="Q14" s="85">
        <f t="shared" si="10"/>
        <v>0.30281069434923119</v>
      </c>
      <c r="R14" s="85">
        <f t="shared" si="10"/>
        <v>0.29416447347044877</v>
      </c>
      <c r="S14" s="85">
        <f t="shared" si="10"/>
        <v>0.24568022334565759</v>
      </c>
      <c r="T14" s="85">
        <f t="shared" si="10"/>
        <v>0.22383015834082795</v>
      </c>
      <c r="U14" s="85">
        <f t="shared" si="10"/>
        <v>0.23171782312255396</v>
      </c>
      <c r="V14" s="85">
        <f t="shared" si="10"/>
        <v>0.23468706088318617</v>
      </c>
      <c r="W14" s="85">
        <f>W4/W7</f>
        <v>0.17173659054699947</v>
      </c>
      <c r="X14" s="85">
        <f>X4/X7</f>
        <v>0.15077723778995622</v>
      </c>
      <c r="AF14" s="85"/>
      <c r="AG14" s="85"/>
      <c r="AH14" s="85"/>
      <c r="AI14" s="85">
        <f t="shared" ref="AI14:AK14" si="11">AI4/AI7</f>
        <v>0.29419444080670509</v>
      </c>
      <c r="AJ14" s="85">
        <f t="shared" si="11"/>
        <v>0.28027356631504891</v>
      </c>
      <c r="AK14" s="85">
        <f t="shared" si="11"/>
        <v>0.23368115245006121</v>
      </c>
      <c r="AL14" s="90"/>
      <c r="AM14" s="90"/>
      <c r="AN14" s="90"/>
      <c r="AO14" s="90"/>
      <c r="AP14" s="90"/>
      <c r="AQ14" s="90"/>
      <c r="AR14" s="90"/>
      <c r="AS14" s="90"/>
      <c r="AT14" s="90"/>
      <c r="AU14" s="90"/>
    </row>
    <row r="15" spans="2:100">
      <c r="B15" s="36" t="s">
        <v>211</v>
      </c>
      <c r="C15" s="85"/>
      <c r="D15" s="85"/>
      <c r="E15" s="85"/>
      <c r="F15" s="85"/>
      <c r="G15" s="85"/>
      <c r="H15" s="85"/>
      <c r="I15" s="85"/>
      <c r="J15" s="85"/>
      <c r="K15" s="85"/>
      <c r="L15" s="85"/>
      <c r="M15" s="85"/>
      <c r="N15" s="85"/>
      <c r="O15" s="85">
        <f t="shared" ref="O15:V15" si="12">O5/O7</f>
        <v>0.21139973527465256</v>
      </c>
      <c r="P15" s="85">
        <f t="shared" si="12"/>
        <v>0.23296012571204086</v>
      </c>
      <c r="Q15" s="85">
        <f t="shared" si="12"/>
        <v>0.23133548787255573</v>
      </c>
      <c r="R15" s="85">
        <f t="shared" si="12"/>
        <v>0.24372096045748437</v>
      </c>
      <c r="S15" s="85">
        <f t="shared" si="12"/>
        <v>0.20128272843884401</v>
      </c>
      <c r="T15" s="85">
        <f t="shared" si="12"/>
        <v>0.20509361458588832</v>
      </c>
      <c r="U15" s="85">
        <f t="shared" si="12"/>
        <v>0.16074285573633296</v>
      </c>
      <c r="V15" s="85">
        <f t="shared" si="12"/>
        <v>0.1628043583423556</v>
      </c>
      <c r="W15" s="85">
        <f>W5/W7</f>
        <v>0.17626128518321824</v>
      </c>
      <c r="X15" s="85">
        <f>X5/X7</f>
        <v>0.15130286423327474</v>
      </c>
      <c r="AF15" s="85"/>
      <c r="AG15" s="85"/>
      <c r="AH15" s="85"/>
      <c r="AI15" s="85">
        <f t="shared" ref="AI15:AK15" si="13">AI5/AI7</f>
        <v>0.22993059193294918</v>
      </c>
      <c r="AJ15" s="85">
        <f t="shared" si="13"/>
        <v>0.22681941185640564</v>
      </c>
      <c r="AK15" s="85">
        <f t="shared" si="13"/>
        <v>0.18063088386784387</v>
      </c>
      <c r="AL15" s="90"/>
      <c r="AM15" s="90"/>
      <c r="AN15" s="90"/>
      <c r="AO15" s="90"/>
      <c r="AP15" s="90"/>
      <c r="AQ15" s="90"/>
      <c r="AR15" s="90"/>
      <c r="AS15" s="90"/>
      <c r="AT15" s="90"/>
      <c r="AU15" s="90"/>
    </row>
    <row r="16" spans="2:100">
      <c r="B16" s="36" t="s">
        <v>212</v>
      </c>
      <c r="C16" s="85"/>
      <c r="D16" s="85"/>
      <c r="E16" s="85"/>
      <c r="F16" s="85"/>
      <c r="G16" s="85"/>
      <c r="H16" s="85"/>
      <c r="I16" s="85"/>
      <c r="J16" s="85"/>
      <c r="K16" s="85"/>
      <c r="L16" s="85"/>
      <c r="M16" s="85"/>
      <c r="N16" s="85"/>
      <c r="O16" s="85">
        <f t="shared" ref="O16:V16" si="14">O6/O7</f>
        <v>0.48997352746525485</v>
      </c>
      <c r="P16" s="85">
        <f t="shared" si="14"/>
        <v>0.48584102664833367</v>
      </c>
      <c r="Q16" s="85">
        <f t="shared" si="14"/>
        <v>0.465853817778213</v>
      </c>
      <c r="R16" s="85">
        <f t="shared" si="14"/>
        <v>0.46211456607206686</v>
      </c>
      <c r="S16" s="85">
        <f t="shared" si="14"/>
        <v>0.55303704821549837</v>
      </c>
      <c r="T16" s="85">
        <f t="shared" si="14"/>
        <v>0.57107622707328376</v>
      </c>
      <c r="U16" s="85">
        <f t="shared" si="14"/>
        <v>0.60753932114111309</v>
      </c>
      <c r="V16" s="85">
        <f t="shared" si="14"/>
        <v>0.60250858077445812</v>
      </c>
      <c r="W16" s="85">
        <f>W6/W7</f>
        <v>0.65200212426978221</v>
      </c>
      <c r="X16" s="85">
        <f>X6/X7</f>
        <v>0.69791989797676901</v>
      </c>
      <c r="AF16" s="85"/>
      <c r="AG16" s="85"/>
      <c r="AH16" s="85"/>
      <c r="AI16" s="85">
        <f t="shared" ref="AI16:AK16" si="15">AI6/AI7</f>
        <v>0.47587496726034573</v>
      </c>
      <c r="AJ16" s="85">
        <f t="shared" si="15"/>
        <v>0.49290702182854534</v>
      </c>
      <c r="AK16" s="85">
        <f t="shared" si="15"/>
        <v>0.58568796368209475</v>
      </c>
      <c r="AL16" s="90"/>
      <c r="AM16" s="90"/>
      <c r="AN16" s="90"/>
      <c r="AO16" s="90"/>
      <c r="AP16" s="90"/>
      <c r="AQ16" s="90"/>
      <c r="AR16" s="90"/>
      <c r="AS16" s="90"/>
      <c r="AT16" s="90"/>
      <c r="AU16" s="90"/>
    </row>
    <row r="17" spans="2:99">
      <c r="X17" s="1"/>
    </row>
    <row r="18" spans="2:99">
      <c r="B18" s="36" t="s">
        <v>198</v>
      </c>
      <c r="C18" s="81"/>
      <c r="D18" s="81"/>
      <c r="E18" s="81"/>
      <c r="F18" s="81"/>
      <c r="G18" s="81"/>
      <c r="H18" s="81"/>
      <c r="I18" s="81"/>
      <c r="J18" s="81"/>
      <c r="K18" s="81"/>
      <c r="L18" s="81"/>
      <c r="M18" s="81"/>
      <c r="N18" s="81"/>
      <c r="O18" s="81">
        <v>32.713000000000001</v>
      </c>
      <c r="P18" s="81">
        <v>30.797000000000001</v>
      </c>
      <c r="Q18" s="81">
        <v>27.038</v>
      </c>
      <c r="R18" s="81">
        <f>119.35-SUM(O18:Q18)</f>
        <v>28.801999999999992</v>
      </c>
      <c r="S18" s="81">
        <v>29.533000000000001</v>
      </c>
      <c r="T18" s="81">
        <v>31.093</v>
      </c>
      <c r="U18" s="81">
        <v>35.148000000000003</v>
      </c>
      <c r="V18" s="81">
        <f>132.01-SUM(S18:U18)</f>
        <v>36.23599999999999</v>
      </c>
      <c r="W18" s="81">
        <v>37.036999999999999</v>
      </c>
      <c r="X18" s="81">
        <v>39.015000000000001</v>
      </c>
      <c r="AI18" s="81">
        <f>SUM(O18:R18)</f>
        <v>119.35</v>
      </c>
      <c r="AJ18" s="81">
        <f>SUM(P18:S18)</f>
        <v>116.17</v>
      </c>
      <c r="AK18" s="81">
        <f t="shared" ref="AK18:AK22" si="16">SUM(S18:V18)</f>
        <v>132.01</v>
      </c>
    </row>
    <row r="19" spans="2:99">
      <c r="B19" s="36" t="s">
        <v>199</v>
      </c>
      <c r="C19" s="81"/>
      <c r="D19" s="81"/>
      <c r="E19" s="81"/>
      <c r="F19" s="81"/>
      <c r="G19" s="81"/>
      <c r="H19" s="81"/>
      <c r="I19" s="81"/>
      <c r="J19" s="81"/>
      <c r="K19" s="81"/>
      <c r="L19" s="81"/>
      <c r="M19" s="81"/>
      <c r="N19" s="81"/>
      <c r="O19" s="81">
        <v>11.141999999999999</v>
      </c>
      <c r="P19" s="81">
        <v>10.298</v>
      </c>
      <c r="Q19" s="81">
        <v>10.334</v>
      </c>
      <c r="R19" s="81">
        <f>42.401-SUM(O19:Q19)</f>
        <v>10.627000000000006</v>
      </c>
      <c r="S19" s="81">
        <v>15.307</v>
      </c>
      <c r="T19" s="81">
        <v>16.149999999999999</v>
      </c>
      <c r="U19" s="81">
        <v>14.324</v>
      </c>
      <c r="V19" s="81">
        <f>59.813-SUM(S19:U19)</f>
        <v>14.032000000000004</v>
      </c>
      <c r="W19" s="81">
        <v>19.306999999999999</v>
      </c>
      <c r="X19" s="81">
        <v>19.094000000000001</v>
      </c>
      <c r="AI19" s="81">
        <f t="shared" ref="AI19:AJ21" si="17">SUM(O19:R19)</f>
        <v>42.401000000000003</v>
      </c>
      <c r="AJ19" s="81">
        <f t="shared" si="17"/>
        <v>46.566000000000003</v>
      </c>
      <c r="AK19" s="81">
        <f t="shared" si="16"/>
        <v>59.813000000000002</v>
      </c>
    </row>
    <row r="20" spans="2:99">
      <c r="B20" s="36" t="s">
        <v>200</v>
      </c>
      <c r="C20" s="81"/>
      <c r="D20" s="81"/>
      <c r="E20" s="81"/>
      <c r="F20" s="81"/>
      <c r="G20" s="81"/>
      <c r="H20" s="81"/>
      <c r="I20" s="81"/>
      <c r="J20" s="81"/>
      <c r="K20" s="81"/>
      <c r="L20" s="81"/>
      <c r="M20" s="81"/>
      <c r="N20" s="81"/>
      <c r="O20" s="81">
        <v>13.694000000000001</v>
      </c>
      <c r="P20" s="81">
        <v>17.225999999999999</v>
      </c>
      <c r="Q20" s="81">
        <v>20.010999999999999</v>
      </c>
      <c r="R20" s="81">
        <f>70.085-SUM(O20:Q20)</f>
        <v>19.153999999999996</v>
      </c>
      <c r="S20" s="81">
        <v>18.849</v>
      </c>
      <c r="T20" s="81">
        <v>23.466999999999999</v>
      </c>
      <c r="U20" s="81">
        <v>27.613</v>
      </c>
      <c r="V20" s="81">
        <f>103.674-SUM(S20:U20)</f>
        <v>33.745000000000005</v>
      </c>
      <c r="W20" s="81">
        <v>35.052999999999997</v>
      </c>
      <c r="X20" s="81">
        <v>55.2</v>
      </c>
      <c r="AI20" s="81">
        <f t="shared" si="17"/>
        <v>70.084999999999994</v>
      </c>
      <c r="AJ20" s="81">
        <f t="shared" si="17"/>
        <v>75.239999999999995</v>
      </c>
      <c r="AK20" s="81">
        <f t="shared" si="16"/>
        <v>103.67400000000001</v>
      </c>
    </row>
    <row r="21" spans="2:99">
      <c r="B21" s="36" t="s">
        <v>201</v>
      </c>
      <c r="C21" s="81"/>
      <c r="D21" s="81"/>
      <c r="E21" s="81"/>
      <c r="F21" s="81"/>
      <c r="G21" s="81"/>
      <c r="H21" s="81"/>
      <c r="I21" s="81"/>
      <c r="J21" s="81"/>
      <c r="K21" s="81"/>
      <c r="L21" s="81"/>
      <c r="M21" s="81"/>
      <c r="N21" s="81"/>
      <c r="O21" s="81">
        <v>2.891</v>
      </c>
      <c r="P21" s="81">
        <v>2.7709999999999999</v>
      </c>
      <c r="Q21" s="81">
        <v>3.883</v>
      </c>
      <c r="R21" s="81">
        <f>12.516-SUM(O21:Q21)</f>
        <v>2.9710000000000001</v>
      </c>
      <c r="S21" s="81">
        <v>2.5760000000000001</v>
      </c>
      <c r="T21" s="81">
        <v>2.6760000000000002</v>
      </c>
      <c r="U21" s="81">
        <v>4.1689999999999996</v>
      </c>
      <c r="V21" s="81">
        <f>12.23-SUM(S21:U21)</f>
        <v>2.8090000000000011</v>
      </c>
      <c r="W21" s="81">
        <v>2.7530000000000001</v>
      </c>
      <c r="X21" s="81">
        <v>2.7429999999999999</v>
      </c>
      <c r="AI21" s="81">
        <f t="shared" si="17"/>
        <v>12.516</v>
      </c>
      <c r="AJ21" s="81">
        <f t="shared" si="17"/>
        <v>12.201000000000001</v>
      </c>
      <c r="AK21" s="81">
        <f t="shared" si="16"/>
        <v>12.23</v>
      </c>
    </row>
    <row r="22" spans="2:99" s="2" customFormat="1" ht="15">
      <c r="B22" s="33" t="s">
        <v>51</v>
      </c>
      <c r="C22" s="82"/>
      <c r="D22" s="82"/>
      <c r="E22" s="82"/>
      <c r="F22" s="82"/>
      <c r="G22" s="82"/>
      <c r="H22" s="82"/>
      <c r="I22" s="82"/>
      <c r="J22" s="82"/>
      <c r="K22" s="82"/>
      <c r="L22" s="82"/>
      <c r="M22" s="82"/>
      <c r="N22" s="82"/>
      <c r="O22" s="82">
        <f t="shared" ref="O22:V22" si="18">SUM(O18:O21)</f>
        <v>60.440000000000005</v>
      </c>
      <c r="P22" s="82">
        <f t="shared" si="18"/>
        <v>61.091999999999999</v>
      </c>
      <c r="Q22" s="82">
        <f t="shared" si="18"/>
        <v>61.265999999999998</v>
      </c>
      <c r="R22" s="82">
        <f t="shared" si="18"/>
        <v>61.554000000000002</v>
      </c>
      <c r="S22" s="82">
        <f t="shared" si="18"/>
        <v>66.265000000000001</v>
      </c>
      <c r="T22" s="82">
        <f t="shared" si="18"/>
        <v>73.385999999999996</v>
      </c>
      <c r="U22" s="82">
        <f t="shared" si="18"/>
        <v>81.254000000000005</v>
      </c>
      <c r="V22" s="82">
        <f t="shared" si="18"/>
        <v>86.822000000000003</v>
      </c>
      <c r="W22" s="82">
        <f>SUM(W18:W21)</f>
        <v>94.149999999999991</v>
      </c>
      <c r="X22" s="82">
        <f>SUM(X18:X21)</f>
        <v>116.05199999999999</v>
      </c>
      <c r="Y22" s="34"/>
      <c r="Z22" s="34"/>
      <c r="AI22" s="82">
        <f>SUM(O22:R22)</f>
        <v>244.352</v>
      </c>
      <c r="AJ22" s="82">
        <f>SUM(P22:S22)</f>
        <v>250.17700000000002</v>
      </c>
      <c r="AK22" s="82">
        <f t="shared" si="16"/>
        <v>307.72700000000003</v>
      </c>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row>
    <row r="23" spans="2:99">
      <c r="B23" s="36"/>
      <c r="X23" s="1"/>
    </row>
    <row r="24" spans="2:99">
      <c r="B24" s="36" t="s">
        <v>202</v>
      </c>
      <c r="G24" s="85"/>
      <c r="H24" s="85"/>
      <c r="I24" s="85"/>
      <c r="J24" s="85"/>
      <c r="K24" s="85"/>
      <c r="L24" s="85"/>
      <c r="M24" s="85"/>
      <c r="N24" s="85"/>
      <c r="O24" s="85"/>
      <c r="P24" s="85"/>
      <c r="Q24" s="85"/>
      <c r="R24" s="85"/>
      <c r="S24" s="85">
        <f t="shared" ref="S24:X28" si="19">S18/O18-1</f>
        <v>-9.720906061810286E-2</v>
      </c>
      <c r="T24" s="85">
        <f t="shared" si="19"/>
        <v>9.6113257784848916E-3</v>
      </c>
      <c r="U24" s="85">
        <f t="shared" si="19"/>
        <v>0.29994822102226504</v>
      </c>
      <c r="V24" s="85">
        <f t="shared" si="19"/>
        <v>0.25810707589750703</v>
      </c>
      <c r="W24" s="85">
        <f>W18/S18-1</f>
        <v>0.25408864659871999</v>
      </c>
      <c r="X24" s="85">
        <f>X18/T18-1</f>
        <v>0.25478403499179891</v>
      </c>
      <c r="AG24" s="85"/>
      <c r="AH24" s="85"/>
      <c r="AI24" s="85"/>
      <c r="AJ24" s="85">
        <f t="shared" ref="AJ24:AK28" si="20">AJ18/AI18-1</f>
        <v>-2.6644323418516858E-2</v>
      </c>
      <c r="AK24" s="85">
        <f t="shared" si="20"/>
        <v>0.13635189808039927</v>
      </c>
      <c r="AL24" s="44"/>
      <c r="AM24" s="44"/>
      <c r="AN24" s="44"/>
      <c r="AO24" s="44"/>
      <c r="AP24" s="44"/>
      <c r="AQ24" s="44"/>
      <c r="AR24" s="44"/>
      <c r="AS24" s="44"/>
      <c r="AT24" s="44"/>
      <c r="AU24" s="44"/>
    </row>
    <row r="25" spans="2:99">
      <c r="B25" s="36" t="s">
        <v>203</v>
      </c>
      <c r="G25" s="85"/>
      <c r="H25" s="85"/>
      <c r="I25" s="85"/>
      <c r="J25" s="85"/>
      <c r="K25" s="85"/>
      <c r="L25" s="85"/>
      <c r="M25" s="85"/>
      <c r="N25" s="85"/>
      <c r="O25" s="85"/>
      <c r="P25" s="85"/>
      <c r="Q25" s="85"/>
      <c r="R25" s="85"/>
      <c r="S25" s="85">
        <f t="shared" si="19"/>
        <v>0.37381080595943295</v>
      </c>
      <c r="T25" s="85">
        <f t="shared" si="19"/>
        <v>0.56826568265682642</v>
      </c>
      <c r="U25" s="85">
        <f t="shared" si="19"/>
        <v>0.38610412231468949</v>
      </c>
      <c r="V25" s="85">
        <f t="shared" si="19"/>
        <v>0.32041027571280667</v>
      </c>
      <c r="W25" s="85">
        <f>W19/S19-1</f>
        <v>0.26131835108120449</v>
      </c>
      <c r="X25" s="85">
        <f>X19/T19-1</f>
        <v>0.18229102167182676</v>
      </c>
      <c r="AG25" s="85"/>
      <c r="AH25" s="85"/>
      <c r="AI25" s="85"/>
      <c r="AJ25" s="85">
        <f t="shared" si="20"/>
        <v>9.822881535812833E-2</v>
      </c>
      <c r="AK25" s="85">
        <f t="shared" si="20"/>
        <v>0.28447794528196546</v>
      </c>
      <c r="AL25" s="44"/>
      <c r="AM25" s="44"/>
      <c r="AN25" s="44"/>
      <c r="AO25" s="44"/>
      <c r="AP25" s="44"/>
      <c r="AQ25" s="44"/>
      <c r="AR25" s="44"/>
      <c r="AS25" s="44"/>
      <c r="AT25" s="44"/>
      <c r="AU25" s="44"/>
    </row>
    <row r="26" spans="2:99">
      <c r="B26" s="36" t="s">
        <v>204</v>
      </c>
      <c r="G26" s="85"/>
      <c r="H26" s="85"/>
      <c r="I26" s="85"/>
      <c r="J26" s="85"/>
      <c r="K26" s="85"/>
      <c r="L26" s="85"/>
      <c r="M26" s="85"/>
      <c r="N26" s="85"/>
      <c r="O26" s="85"/>
      <c r="P26" s="85"/>
      <c r="Q26" s="85"/>
      <c r="R26" s="85"/>
      <c r="S26" s="85">
        <f t="shared" si="19"/>
        <v>0.37644223747626682</v>
      </c>
      <c r="T26" s="85">
        <f t="shared" si="19"/>
        <v>0.36230117264600015</v>
      </c>
      <c r="U26" s="85">
        <f t="shared" si="19"/>
        <v>0.37989105991704575</v>
      </c>
      <c r="V26" s="85">
        <f t="shared" si="19"/>
        <v>0.76177299780724717</v>
      </c>
      <c r="W26" s="85">
        <f t="shared" si="19"/>
        <v>0.85967425327603575</v>
      </c>
      <c r="X26" s="85">
        <f t="shared" si="19"/>
        <v>1.3522393147824605</v>
      </c>
      <c r="AG26" s="85"/>
      <c r="AH26" s="85"/>
      <c r="AI26" s="85"/>
      <c r="AJ26" s="85">
        <f t="shared" si="20"/>
        <v>7.3553542127416716E-2</v>
      </c>
      <c r="AK26" s="85">
        <f t="shared" si="20"/>
        <v>0.37791068580542286</v>
      </c>
      <c r="AL26" s="44"/>
      <c r="AM26" s="44"/>
      <c r="AN26" s="44"/>
      <c r="AO26" s="44"/>
      <c r="AP26" s="44"/>
      <c r="AQ26" s="44"/>
      <c r="AR26" s="44"/>
      <c r="AS26" s="44"/>
      <c r="AT26" s="44"/>
      <c r="AU26" s="44"/>
    </row>
    <row r="27" spans="2:99">
      <c r="B27" s="36" t="s">
        <v>205</v>
      </c>
      <c r="G27" s="85"/>
      <c r="H27" s="85"/>
      <c r="I27" s="85"/>
      <c r="J27" s="85"/>
      <c r="K27" s="85"/>
      <c r="L27" s="85"/>
      <c r="M27" s="85"/>
      <c r="N27" s="85"/>
      <c r="O27" s="85"/>
      <c r="P27" s="85"/>
      <c r="Q27" s="85"/>
      <c r="R27" s="85"/>
      <c r="S27" s="85">
        <f t="shared" si="19"/>
        <v>-0.10895883777239712</v>
      </c>
      <c r="T27" s="85">
        <f t="shared" si="19"/>
        <v>-3.4283652111151142E-2</v>
      </c>
      <c r="U27" s="85">
        <f t="shared" si="19"/>
        <v>7.3654390934844161E-2</v>
      </c>
      <c r="V27" s="85">
        <f t="shared" si="19"/>
        <v>-5.4527095254122915E-2</v>
      </c>
      <c r="W27" s="85">
        <f t="shared" si="19"/>
        <v>6.8711180124223725E-2</v>
      </c>
      <c r="X27" s="85">
        <f t="shared" si="19"/>
        <v>2.5037369207772775E-2</v>
      </c>
      <c r="AG27" s="85"/>
      <c r="AH27" s="85"/>
      <c r="AI27" s="85"/>
      <c r="AJ27" s="85">
        <f t="shared" si="20"/>
        <v>-2.5167785234899265E-2</v>
      </c>
      <c r="AK27" s="85">
        <f t="shared" si="20"/>
        <v>2.3768543562003863E-3</v>
      </c>
      <c r="AL27" s="44"/>
      <c r="AM27" s="44"/>
      <c r="AN27" s="44"/>
      <c r="AO27" s="44"/>
      <c r="AP27" s="44"/>
      <c r="AQ27" s="44"/>
      <c r="AR27" s="44"/>
      <c r="AS27" s="44"/>
      <c r="AT27" s="44"/>
      <c r="AU27" s="44"/>
    </row>
    <row r="28" spans="2:99">
      <c r="B28" s="37" t="s">
        <v>101</v>
      </c>
      <c r="G28" s="85"/>
      <c r="H28" s="85"/>
      <c r="I28" s="85"/>
      <c r="J28" s="85"/>
      <c r="K28" s="85"/>
      <c r="L28" s="85"/>
      <c r="M28" s="85"/>
      <c r="N28" s="85"/>
      <c r="O28" s="85"/>
      <c r="P28" s="85"/>
      <c r="Q28" s="85"/>
      <c r="R28" s="85"/>
      <c r="S28" s="85">
        <f t="shared" si="19"/>
        <v>9.6376571806750411E-2</v>
      </c>
      <c r="T28" s="85">
        <f t="shared" si="19"/>
        <v>0.20123747790218016</v>
      </c>
      <c r="U28" s="85">
        <f t="shared" si="19"/>
        <v>0.32624946952632783</v>
      </c>
      <c r="V28" s="85">
        <f t="shared" si="19"/>
        <v>0.41050134840952657</v>
      </c>
      <c r="W28" s="85">
        <f t="shared" si="19"/>
        <v>0.420810382554893</v>
      </c>
      <c r="X28" s="85">
        <f t="shared" si="19"/>
        <v>0.58139154607145782</v>
      </c>
      <c r="AG28" s="85"/>
      <c r="AH28" s="85"/>
      <c r="AI28" s="85"/>
      <c r="AJ28" s="85">
        <f t="shared" si="20"/>
        <v>2.38385607647984E-2</v>
      </c>
      <c r="AK28" s="85">
        <f t="shared" si="20"/>
        <v>0.23003713370933387</v>
      </c>
      <c r="AL28" s="44"/>
      <c r="AM28" s="44"/>
      <c r="AN28" s="44"/>
      <c r="AO28" s="44"/>
      <c r="AP28" s="44"/>
      <c r="AQ28" s="44"/>
      <c r="AR28" s="44"/>
      <c r="AS28" s="44"/>
      <c r="AT28" s="44"/>
      <c r="AU28" s="44"/>
    </row>
    <row r="29" spans="2:99">
      <c r="G29" s="85"/>
      <c r="H29" s="85"/>
      <c r="I29" s="85"/>
      <c r="J29" s="85"/>
      <c r="K29" s="85"/>
      <c r="L29" s="85"/>
      <c r="M29" s="85"/>
      <c r="N29" s="85"/>
      <c r="O29" s="85"/>
      <c r="P29" s="85"/>
      <c r="Q29" s="85"/>
      <c r="R29" s="85"/>
      <c r="S29" s="85"/>
      <c r="T29" s="85"/>
      <c r="U29" s="85"/>
      <c r="V29" s="85"/>
      <c r="W29" s="85"/>
      <c r="X29" s="85"/>
    </row>
    <row r="30" spans="2:99">
      <c r="B30" s="36" t="s">
        <v>206</v>
      </c>
      <c r="C30" s="85"/>
      <c r="D30" s="85"/>
      <c r="E30" s="85"/>
      <c r="F30" s="85"/>
      <c r="G30" s="85"/>
      <c r="H30" s="85"/>
      <c r="I30" s="85"/>
      <c r="J30" s="85"/>
      <c r="K30" s="85"/>
      <c r="L30" s="85"/>
      <c r="M30" s="85"/>
      <c r="N30" s="85"/>
      <c r="O30" s="85">
        <f t="shared" ref="O30:X30" si="21">O18/O22</f>
        <v>0.54124751819986761</v>
      </c>
      <c r="P30" s="85">
        <f t="shared" si="21"/>
        <v>0.50410855758528128</v>
      </c>
      <c r="Q30" s="85">
        <f t="shared" si="21"/>
        <v>0.44132145072307644</v>
      </c>
      <c r="R30" s="85">
        <f t="shared" si="21"/>
        <v>0.46791435162621425</v>
      </c>
      <c r="S30" s="85">
        <f t="shared" si="21"/>
        <v>0.4456802233456576</v>
      </c>
      <c r="T30" s="85">
        <f t="shared" si="21"/>
        <v>0.42369116725260952</v>
      </c>
      <c r="U30" s="85">
        <f t="shared" si="21"/>
        <v>0.43256947350284297</v>
      </c>
      <c r="V30" s="85">
        <f t="shared" si="21"/>
        <v>0.41735965538688335</v>
      </c>
      <c r="W30" s="85">
        <f t="shared" si="21"/>
        <v>0.39338289962825279</v>
      </c>
      <c r="X30" s="85">
        <f t="shared" si="21"/>
        <v>0.33618550305035677</v>
      </c>
      <c r="AF30" s="85"/>
      <c r="AG30" s="85"/>
      <c r="AH30" s="85"/>
      <c r="AI30" s="85">
        <f t="shared" ref="AI30:AK30" si="22">AI18/AI22</f>
        <v>0.48843471712938707</v>
      </c>
      <c r="AJ30" s="85">
        <f t="shared" si="22"/>
        <v>0.46435123932255962</v>
      </c>
      <c r="AK30" s="85">
        <f t="shared" si="22"/>
        <v>0.42898413203911251</v>
      </c>
    </row>
    <row r="31" spans="2:99">
      <c r="B31" s="36" t="s">
        <v>207</v>
      </c>
      <c r="C31" s="85"/>
      <c r="D31" s="85"/>
      <c r="E31" s="85"/>
      <c r="F31" s="85"/>
      <c r="G31" s="85"/>
      <c r="H31" s="85"/>
      <c r="I31" s="85"/>
      <c r="J31" s="85"/>
      <c r="K31" s="85"/>
      <c r="L31" s="85"/>
      <c r="M31" s="85"/>
      <c r="N31" s="85"/>
      <c r="O31" s="85">
        <f t="shared" ref="O31:X31" si="23">O19/O22</f>
        <v>0.18434811383189939</v>
      </c>
      <c r="P31" s="85">
        <f t="shared" si="23"/>
        <v>0.16856544228376874</v>
      </c>
      <c r="Q31" s="85">
        <f t="shared" si="23"/>
        <v>0.16867430548754611</v>
      </c>
      <c r="R31" s="85">
        <f t="shared" si="23"/>
        <v>0.1726451570978329</v>
      </c>
      <c r="S31" s="85">
        <f t="shared" si="23"/>
        <v>0.23099675545159587</v>
      </c>
      <c r="T31" s="85">
        <f t="shared" si="23"/>
        <v>0.22006922301256371</v>
      </c>
      <c r="U31" s="85">
        <f t="shared" si="23"/>
        <v>0.17628670588524872</v>
      </c>
      <c r="V31" s="85">
        <f t="shared" si="23"/>
        <v>0.16161802308170745</v>
      </c>
      <c r="W31" s="85">
        <f t="shared" si="23"/>
        <v>0.20506638343069569</v>
      </c>
      <c r="X31" s="85">
        <f t="shared" si="23"/>
        <v>0.16452969358563405</v>
      </c>
      <c r="AF31" s="85"/>
      <c r="AG31" s="85"/>
      <c r="AH31" s="85"/>
      <c r="AI31" s="85">
        <f t="shared" ref="AI31:AK31" si="24">AI19/AI22</f>
        <v>0.17352426008381353</v>
      </c>
      <c r="AJ31" s="85">
        <f t="shared" si="24"/>
        <v>0.18613221838938032</v>
      </c>
      <c r="AK31" s="85">
        <f t="shared" si="24"/>
        <v>0.19437033474475751</v>
      </c>
    </row>
    <row r="32" spans="2:99">
      <c r="B32" s="36" t="s">
        <v>208</v>
      </c>
      <c r="C32" s="85"/>
      <c r="D32" s="85"/>
      <c r="E32" s="85"/>
      <c r="F32" s="85"/>
      <c r="G32" s="85"/>
      <c r="H32" s="85"/>
      <c r="I32" s="85"/>
      <c r="J32" s="85"/>
      <c r="K32" s="85"/>
      <c r="L32" s="85"/>
      <c r="M32" s="85"/>
      <c r="N32" s="85"/>
      <c r="O32" s="85">
        <f t="shared" ref="O32:V32" si="25">O20/O22</f>
        <v>0.22657180675049635</v>
      </c>
      <c r="P32" s="85">
        <f t="shared" si="25"/>
        <v>0.28196817913965821</v>
      </c>
      <c r="Q32" s="85">
        <f t="shared" si="25"/>
        <v>0.32662488166356546</v>
      </c>
      <c r="R32" s="85">
        <f t="shared" si="25"/>
        <v>0.31117392858303272</v>
      </c>
      <c r="S32" s="85">
        <f t="shared" si="25"/>
        <v>0.28444880404436729</v>
      </c>
      <c r="T32" s="85">
        <f t="shared" si="25"/>
        <v>0.31977488894339517</v>
      </c>
      <c r="U32" s="85">
        <f t="shared" si="25"/>
        <v>0.33983557732542397</v>
      </c>
      <c r="V32" s="85">
        <f t="shared" si="25"/>
        <v>0.38866877058809984</v>
      </c>
      <c r="W32" s="85">
        <f>W20/W22</f>
        <v>0.37231014338821034</v>
      </c>
      <c r="X32" s="85">
        <f>X20/X22</f>
        <v>0.47564884706855554</v>
      </c>
      <c r="AF32" s="85"/>
      <c r="AG32" s="85"/>
      <c r="AH32" s="85"/>
      <c r="AI32" s="85">
        <f t="shared" ref="AI32:AK32" si="26">AI20/AI22</f>
        <v>0.28681983368255626</v>
      </c>
      <c r="AJ32" s="85">
        <f t="shared" si="26"/>
        <v>0.30074707107367976</v>
      </c>
      <c r="AK32" s="85">
        <f t="shared" si="26"/>
        <v>0.33690251424151924</v>
      </c>
    </row>
    <row r="33" spans="2:99">
      <c r="B33" s="36" t="s">
        <v>209</v>
      </c>
      <c r="C33" s="85"/>
      <c r="D33" s="85"/>
      <c r="E33" s="85"/>
      <c r="F33" s="85"/>
      <c r="G33" s="85"/>
      <c r="H33" s="85"/>
      <c r="I33" s="85"/>
      <c r="J33" s="85"/>
      <c r="K33" s="85"/>
      <c r="L33" s="85"/>
      <c r="M33" s="85"/>
      <c r="N33" s="85"/>
      <c r="O33" s="85">
        <f t="shared" ref="O33:V33" si="27">O21/O22</f>
        <v>4.7832561217736595E-2</v>
      </c>
      <c r="P33" s="85">
        <f t="shared" si="27"/>
        <v>4.535782099129182E-2</v>
      </c>
      <c r="Q33" s="85">
        <f t="shared" si="27"/>
        <v>6.3379362125812036E-2</v>
      </c>
      <c r="R33" s="85">
        <f t="shared" si="27"/>
        <v>4.826656269292004E-2</v>
      </c>
      <c r="S33" s="85">
        <f t="shared" si="27"/>
        <v>3.8874217158379236E-2</v>
      </c>
      <c r="T33" s="85">
        <f t="shared" si="27"/>
        <v>3.6464720791431614E-2</v>
      </c>
      <c r="U33" s="85">
        <f t="shared" si="27"/>
        <v>5.1308243286484347E-2</v>
      </c>
      <c r="V33" s="85">
        <f t="shared" si="27"/>
        <v>3.2353550943309307E-2</v>
      </c>
      <c r="W33" s="85">
        <f>W21/W22</f>
        <v>2.9240573552841216E-2</v>
      </c>
      <c r="X33" s="85">
        <f>X21/X22</f>
        <v>2.3635956295453762E-2</v>
      </c>
      <c r="AF33" s="85"/>
      <c r="AG33" s="85"/>
      <c r="AH33" s="85"/>
      <c r="AI33" s="85">
        <f t="shared" ref="AI33:AK33" si="28">AI21/AI22</f>
        <v>5.1221189104243059E-2</v>
      </c>
      <c r="AJ33" s="85">
        <f t="shared" si="28"/>
        <v>4.8769471214380217E-2</v>
      </c>
      <c r="AK33" s="85">
        <f t="shared" si="28"/>
        <v>3.9743018974610612E-2</v>
      </c>
    </row>
    <row r="34" spans="2:99">
      <c r="B34" s="36"/>
      <c r="C34" s="85"/>
      <c r="D34" s="85"/>
      <c r="E34" s="85"/>
      <c r="F34" s="85"/>
      <c r="G34" s="85"/>
      <c r="H34" s="85"/>
      <c r="I34" s="85"/>
      <c r="J34" s="85"/>
      <c r="K34" s="85"/>
      <c r="L34" s="85"/>
      <c r="M34" s="85"/>
      <c r="N34" s="85"/>
      <c r="O34" s="85"/>
      <c r="P34" s="85"/>
      <c r="Q34" s="85"/>
      <c r="R34" s="85"/>
      <c r="S34" s="85"/>
      <c r="T34" s="85"/>
      <c r="U34" s="85"/>
      <c r="V34" s="85"/>
      <c r="W34" s="85"/>
      <c r="X34" s="85"/>
    </row>
    <row r="35" spans="2:99">
      <c r="B35" s="86" t="s">
        <v>213</v>
      </c>
      <c r="C35" s="86"/>
      <c r="D35" s="86"/>
      <c r="E35" s="86"/>
      <c r="F35" s="86"/>
      <c r="G35" s="86"/>
      <c r="H35" s="86"/>
      <c r="I35" s="86"/>
      <c r="J35" s="86"/>
      <c r="K35" s="86"/>
      <c r="L35" s="86"/>
      <c r="M35" s="86"/>
      <c r="N35" s="86"/>
      <c r="O35" s="86">
        <v>242.392</v>
      </c>
      <c r="P35" s="86">
        <v>213.5</v>
      </c>
      <c r="Q35" s="86">
        <v>232.14</v>
      </c>
      <c r="R35" s="86">
        <v>503.74900000000002</v>
      </c>
      <c r="S35" s="86">
        <v>527.04700000000003</v>
      </c>
      <c r="T35" s="86">
        <v>736.077</v>
      </c>
      <c r="U35" s="86">
        <v>734.471</v>
      </c>
      <c r="V35" s="86">
        <v>900.42700000000002</v>
      </c>
      <c r="W35" s="86">
        <v>906.05499999999995</v>
      </c>
      <c r="X35" s="86">
        <v>814.86300000000006</v>
      </c>
      <c r="AI35" s="81">
        <f>AVERAGE(O35:R35)</f>
        <v>297.94524999999999</v>
      </c>
      <c r="AJ35" s="81">
        <f>AVERAGE(P35:S35)</f>
        <v>369.10900000000004</v>
      </c>
      <c r="AK35" s="81">
        <f>AVERAGE(S35:V35)</f>
        <v>724.50549999999998</v>
      </c>
    </row>
    <row r="36" spans="2:99">
      <c r="X36" s="81"/>
    </row>
    <row r="37" spans="2:99" s="2" customFormat="1" ht="15">
      <c r="B37" s="2" t="s">
        <v>50</v>
      </c>
      <c r="C37" s="82">
        <v>32</v>
      </c>
      <c r="D37" s="82">
        <v>30.4</v>
      </c>
      <c r="E37" s="82">
        <v>31.7</v>
      </c>
      <c r="F37" s="82">
        <v>37.1</v>
      </c>
      <c r="G37" s="82">
        <v>40.1</v>
      </c>
      <c r="H37" s="82">
        <v>48.4</v>
      </c>
      <c r="I37" s="82">
        <v>49.7</v>
      </c>
      <c r="J37" s="82">
        <v>53</v>
      </c>
      <c r="K37" s="82">
        <v>52.7</v>
      </c>
      <c r="L37" s="82">
        <v>53.8</v>
      </c>
      <c r="M37" s="82">
        <v>55.4</v>
      </c>
      <c r="N37" s="82">
        <v>58.9</v>
      </c>
      <c r="O37" s="82">
        <v>60.4</v>
      </c>
      <c r="P37" s="82">
        <v>61.1</v>
      </c>
      <c r="Q37" s="82">
        <v>61.3</v>
      </c>
      <c r="R37" s="82">
        <v>61.6</v>
      </c>
      <c r="S37" s="82">
        <v>66.3</v>
      </c>
      <c r="T37" s="82">
        <v>73.400000000000006</v>
      </c>
      <c r="U37" s="82">
        <v>81.3</v>
      </c>
      <c r="V37" s="82">
        <v>86.8</v>
      </c>
      <c r="W37" s="82">
        <v>94.2</v>
      </c>
      <c r="X37" s="82">
        <v>116.05200000000001</v>
      </c>
      <c r="Y37" s="34"/>
      <c r="Z37" s="34"/>
      <c r="AF37" s="2">
        <f>SUM(C37:F37)</f>
        <v>131.19999999999999</v>
      </c>
      <c r="AG37" s="2">
        <f>SUM(G37:J37)</f>
        <v>191.2</v>
      </c>
      <c r="AH37" s="2">
        <f>SUM(K37:N37)</f>
        <v>220.8</v>
      </c>
      <c r="AI37" s="2">
        <f>SUM(O37:R37)</f>
        <v>244.4</v>
      </c>
      <c r="AJ37" s="2">
        <f>SUM(P37:S37)</f>
        <v>250.3</v>
      </c>
      <c r="AK37" s="2">
        <f>SUM(S37:V37)</f>
        <v>307.8</v>
      </c>
      <c r="AL37" s="89">
        <f t="shared" ref="AL37:AU37" si="29">AL7</f>
        <v>451.5444</v>
      </c>
      <c r="AM37" s="89">
        <f t="shared" si="29"/>
        <v>624.55165600000009</v>
      </c>
      <c r="AN37" s="89">
        <f t="shared" si="29"/>
        <v>839.1169058800001</v>
      </c>
      <c r="AO37" s="89">
        <f t="shared" si="29"/>
        <v>1030.7099547224002</v>
      </c>
      <c r="AP37" s="89">
        <f t="shared" si="29"/>
        <v>1290.8144533432801</v>
      </c>
      <c r="AQ37" s="89">
        <f t="shared" si="29"/>
        <v>1587.2263686272483</v>
      </c>
      <c r="AR37" s="89">
        <f t="shared" si="29"/>
        <v>1913.4088238225588</v>
      </c>
      <c r="AS37" s="89">
        <f t="shared" si="29"/>
        <v>2258.8496535564368</v>
      </c>
      <c r="AT37" s="89">
        <f t="shared" si="29"/>
        <v>2607.9984186426259</v>
      </c>
      <c r="AU37" s="89">
        <f t="shared" si="29"/>
        <v>2964.4699634075737</v>
      </c>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row>
    <row r="38" spans="2:99">
      <c r="B38" s="1" t="s">
        <v>52</v>
      </c>
      <c r="C38" s="81">
        <v>19.126000000000001</v>
      </c>
      <c r="D38" s="81">
        <v>19.82</v>
      </c>
      <c r="E38" s="81">
        <v>20.811</v>
      </c>
      <c r="F38" s="81">
        <f>82.987-SUM(C38:E38)</f>
        <v>23.229999999999997</v>
      </c>
      <c r="G38" s="81">
        <v>23.628</v>
      </c>
      <c r="H38" s="81">
        <v>24.977</v>
      </c>
      <c r="I38" s="81">
        <v>24.728000000000002</v>
      </c>
      <c r="J38" s="81">
        <f>97.248-SUM(G38:I38)</f>
        <v>23.915000000000006</v>
      </c>
      <c r="K38" s="81">
        <v>24.556000000000001</v>
      </c>
      <c r="L38" s="81">
        <v>27.469000000000001</v>
      </c>
      <c r="M38" s="81">
        <v>29.35</v>
      </c>
      <c r="N38" s="81">
        <f>107.746-SUM(K38:M38)</f>
        <v>26.370999999999995</v>
      </c>
      <c r="O38" s="81">
        <v>28.757000000000001</v>
      </c>
      <c r="P38" s="81">
        <v>28.782</v>
      </c>
      <c r="Q38" s="81">
        <v>23.748999999999999</v>
      </c>
      <c r="R38" s="81">
        <f>104.627-SUM(O38:Q38)</f>
        <v>23.338999999999999</v>
      </c>
      <c r="S38" s="81">
        <v>29.661999999999999</v>
      </c>
      <c r="T38" s="81">
        <v>31.117999999999999</v>
      </c>
      <c r="U38" s="81">
        <v>34.67</v>
      </c>
      <c r="V38" s="81">
        <f>135.242-SUM(S38:U38)</f>
        <v>39.791999999999987</v>
      </c>
      <c r="W38" s="81">
        <v>43.749000000000002</v>
      </c>
      <c r="X38" s="81">
        <v>50.42</v>
      </c>
      <c r="AF38" s="81">
        <f>SUM(C38:F38)</f>
        <v>82.986999999999995</v>
      </c>
      <c r="AG38" s="81">
        <f>SUM(G38:J38)</f>
        <v>97.248000000000005</v>
      </c>
      <c r="AH38" s="81">
        <f>SUM(K38:N38)</f>
        <v>107.746</v>
      </c>
      <c r="AI38" s="81">
        <f>SUM(O38:R38)</f>
        <v>104.627</v>
      </c>
      <c r="AJ38" s="81">
        <f>SUM(P38:S38)</f>
        <v>105.53200000000001</v>
      </c>
      <c r="AK38" s="81">
        <f t="shared" ref="AK38:AK50" si="30">SUM(S38:V38)</f>
        <v>135.24199999999999</v>
      </c>
      <c r="AL38" s="92">
        <f>AL37*(1-AL54)</f>
        <v>203.19497999999999</v>
      </c>
      <c r="AM38" s="92">
        <f t="shared" ref="AM38:AU38" si="31">AM37*(1-AM54)</f>
        <v>271.67997036000008</v>
      </c>
      <c r="AN38" s="92">
        <f t="shared" si="31"/>
        <v>356.62468499900007</v>
      </c>
      <c r="AO38" s="92">
        <f t="shared" si="31"/>
        <v>422.59108143618414</v>
      </c>
      <c r="AP38" s="92">
        <f t="shared" si="31"/>
        <v>516.32578133731204</v>
      </c>
      <c r="AQ38" s="92">
        <f t="shared" si="31"/>
        <v>619.01828376462686</v>
      </c>
      <c r="AR38" s="92">
        <f t="shared" si="31"/>
        <v>727.09535305257236</v>
      </c>
      <c r="AS38" s="92">
        <f t="shared" si="31"/>
        <v>835.77437181588164</v>
      </c>
      <c r="AT38" s="92">
        <f t="shared" si="31"/>
        <v>938.87943071134532</v>
      </c>
      <c r="AU38" s="92">
        <f t="shared" si="31"/>
        <v>1037.5644871926506</v>
      </c>
    </row>
    <row r="39" spans="2:99">
      <c r="B39" s="1" t="s">
        <v>53</v>
      </c>
      <c r="C39" s="81">
        <f t="shared" ref="C39:R39" si="32">C37-C38</f>
        <v>12.873999999999999</v>
      </c>
      <c r="D39" s="81">
        <f t="shared" si="32"/>
        <v>10.579999999999998</v>
      </c>
      <c r="E39" s="81">
        <f t="shared" si="32"/>
        <v>10.888999999999999</v>
      </c>
      <c r="F39" s="81">
        <f t="shared" si="32"/>
        <v>13.870000000000005</v>
      </c>
      <c r="G39" s="81">
        <f t="shared" si="32"/>
        <v>16.472000000000001</v>
      </c>
      <c r="H39" s="81">
        <f t="shared" si="32"/>
        <v>23.422999999999998</v>
      </c>
      <c r="I39" s="81">
        <f t="shared" si="32"/>
        <v>24.972000000000001</v>
      </c>
      <c r="J39" s="81">
        <f t="shared" si="32"/>
        <v>29.084999999999994</v>
      </c>
      <c r="K39" s="81">
        <f t="shared" si="32"/>
        <v>28.144000000000002</v>
      </c>
      <c r="L39" s="81">
        <f t="shared" si="32"/>
        <v>26.330999999999996</v>
      </c>
      <c r="M39" s="81">
        <f t="shared" si="32"/>
        <v>26.049999999999997</v>
      </c>
      <c r="N39" s="81">
        <f t="shared" si="32"/>
        <v>32.529000000000003</v>
      </c>
      <c r="O39" s="81">
        <f t="shared" si="32"/>
        <v>31.642999999999997</v>
      </c>
      <c r="P39" s="81">
        <f t="shared" si="32"/>
        <v>32.317999999999998</v>
      </c>
      <c r="Q39" s="81">
        <f t="shared" si="32"/>
        <v>37.551000000000002</v>
      </c>
      <c r="R39" s="81">
        <f t="shared" si="32"/>
        <v>38.261000000000003</v>
      </c>
      <c r="S39" s="81">
        <f>S37-S38</f>
        <v>36.637999999999998</v>
      </c>
      <c r="T39" s="81">
        <f t="shared" ref="T39:X39" si="33">T37-T38</f>
        <v>42.282000000000011</v>
      </c>
      <c r="U39" s="81">
        <f t="shared" si="33"/>
        <v>46.629999999999995</v>
      </c>
      <c r="V39" s="81">
        <f t="shared" si="33"/>
        <v>47.00800000000001</v>
      </c>
      <c r="W39" s="81">
        <f t="shared" si="33"/>
        <v>50.451000000000001</v>
      </c>
      <c r="X39" s="81">
        <f t="shared" si="33"/>
        <v>65.632000000000005</v>
      </c>
      <c r="AF39" s="81">
        <f t="shared" ref="AF39:AF50" si="34">SUM(C39:F39)</f>
        <v>48.213000000000001</v>
      </c>
      <c r="AG39" s="81">
        <f t="shared" ref="AG39:AG50" si="35">SUM(G39:J39)</f>
        <v>93.951999999999984</v>
      </c>
      <c r="AH39" s="81">
        <f t="shared" ref="AH39:AH50" si="36">SUM(K39:N39)</f>
        <v>113.054</v>
      </c>
      <c r="AI39" s="81">
        <f t="shared" ref="AI39:AJ50" si="37">SUM(O39:R39)</f>
        <v>139.773</v>
      </c>
      <c r="AJ39" s="81">
        <f t="shared" si="37"/>
        <v>144.768</v>
      </c>
      <c r="AK39" s="81">
        <f t="shared" si="30"/>
        <v>172.55800000000002</v>
      </c>
      <c r="AL39" s="92">
        <f>AL37*AL54</f>
        <v>248.34942000000001</v>
      </c>
      <c r="AM39" s="92">
        <f t="shared" ref="AM39:AU39" si="38">AM37*AM54</f>
        <v>352.87168564000001</v>
      </c>
      <c r="AN39" s="92">
        <f t="shared" si="38"/>
        <v>482.49222088100004</v>
      </c>
      <c r="AO39" s="92">
        <f t="shared" si="38"/>
        <v>608.11887328621606</v>
      </c>
      <c r="AP39" s="92">
        <f t="shared" si="38"/>
        <v>774.48867200596806</v>
      </c>
      <c r="AQ39" s="92">
        <f t="shared" si="38"/>
        <v>968.20808486262149</v>
      </c>
      <c r="AR39" s="92">
        <f t="shared" si="38"/>
        <v>1186.3134707699865</v>
      </c>
      <c r="AS39" s="92">
        <f t="shared" si="38"/>
        <v>1423.0752817405553</v>
      </c>
      <c r="AT39" s="92">
        <f t="shared" si="38"/>
        <v>1669.1189879312806</v>
      </c>
      <c r="AU39" s="92">
        <f t="shared" si="38"/>
        <v>1926.9054762149231</v>
      </c>
    </row>
    <row r="40" spans="2:99">
      <c r="B40" s="83" t="s">
        <v>182</v>
      </c>
      <c r="C40" s="81">
        <v>12.13</v>
      </c>
      <c r="D40" s="81">
        <v>12.432</v>
      </c>
      <c r="E40" s="81">
        <v>14.959</v>
      </c>
      <c r="F40" s="81">
        <f>66.684-SUM(C40:E40)</f>
        <v>27.162999999999997</v>
      </c>
      <c r="G40" s="81">
        <v>24.75</v>
      </c>
      <c r="H40" s="81">
        <v>26.736999999999998</v>
      </c>
      <c r="I40" s="81">
        <v>27.597999999999999</v>
      </c>
      <c r="J40" s="81">
        <f>110.916-SUM(G40:I40)</f>
        <v>31.831000000000003</v>
      </c>
      <c r="K40" s="81">
        <v>28.186</v>
      </c>
      <c r="L40" s="81">
        <v>26.741</v>
      </c>
      <c r="M40" s="81">
        <v>33.002000000000002</v>
      </c>
      <c r="N40" s="81">
        <f>116.339-SUM(K40:M40)</f>
        <v>28.409999999999997</v>
      </c>
      <c r="O40" s="81">
        <v>25.588999999999999</v>
      </c>
      <c r="P40" s="81">
        <v>27.25</v>
      </c>
      <c r="Q40" s="81">
        <v>25.216000000000001</v>
      </c>
      <c r="R40" s="81">
        <f>101.006-SUM(O40:Q40)</f>
        <v>22.950999999999993</v>
      </c>
      <c r="S40" s="81">
        <v>23.074000000000002</v>
      </c>
      <c r="T40" s="81">
        <v>24.155000000000001</v>
      </c>
      <c r="U40" s="81">
        <v>27.327000000000002</v>
      </c>
      <c r="V40" s="81">
        <f>106.749-SUM(S40:U40)</f>
        <v>32.192999999999998</v>
      </c>
      <c r="W40" s="81">
        <v>33.42</v>
      </c>
      <c r="X40" s="81">
        <v>35.155999999999999</v>
      </c>
      <c r="AF40" s="81">
        <f t="shared" si="34"/>
        <v>66.683999999999997</v>
      </c>
      <c r="AG40" s="81">
        <f t="shared" si="35"/>
        <v>110.916</v>
      </c>
      <c r="AH40" s="81">
        <f t="shared" si="36"/>
        <v>116.339</v>
      </c>
      <c r="AI40" s="81">
        <f t="shared" si="37"/>
        <v>101.006</v>
      </c>
      <c r="AJ40" s="81">
        <f t="shared" si="37"/>
        <v>98.491</v>
      </c>
      <c r="AK40" s="81">
        <f t="shared" si="30"/>
        <v>106.749</v>
      </c>
      <c r="AL40" s="92">
        <f>AL37*AL55</f>
        <v>158.04053999999999</v>
      </c>
      <c r="AM40" s="92">
        <f t="shared" ref="AM40:AU40" si="39">AM37*AM55</f>
        <v>199.85652992000004</v>
      </c>
      <c r="AN40" s="92">
        <f t="shared" si="39"/>
        <v>243.34390270520001</v>
      </c>
      <c r="AO40" s="92">
        <f t="shared" si="39"/>
        <v>263.86174840893443</v>
      </c>
      <c r="AP40" s="92">
        <f t="shared" si="39"/>
        <v>304.89037387968273</v>
      </c>
      <c r="AQ40" s="92">
        <f t="shared" si="39"/>
        <v>353.95148020387637</v>
      </c>
      <c r="AR40" s="92">
        <f t="shared" si="39"/>
        <v>401.81585300273736</v>
      </c>
      <c r="AS40" s="92">
        <f t="shared" si="39"/>
        <v>451.76993071128737</v>
      </c>
      <c r="AT40" s="92">
        <f t="shared" si="39"/>
        <v>495.51969954209892</v>
      </c>
      <c r="AU40" s="92">
        <f t="shared" si="39"/>
        <v>533.6045934133632</v>
      </c>
    </row>
    <row r="41" spans="2:99">
      <c r="B41" s="83" t="s">
        <v>184</v>
      </c>
      <c r="C41" s="81">
        <v>10.653</v>
      </c>
      <c r="D41" s="81">
        <v>10.597</v>
      </c>
      <c r="E41" s="81">
        <v>12.441000000000001</v>
      </c>
      <c r="F41" s="81">
        <f>52.917-SUM(C41:E41)</f>
        <v>19.225999999999999</v>
      </c>
      <c r="G41" s="81">
        <v>18.855</v>
      </c>
      <c r="H41" s="81">
        <v>19.483000000000001</v>
      </c>
      <c r="I41" s="81">
        <v>19.382999999999999</v>
      </c>
      <c r="J41" s="81">
        <f>78.02-SUM(G41:I41)</f>
        <v>20.298999999999992</v>
      </c>
      <c r="K41" s="81">
        <v>23.125</v>
      </c>
      <c r="L41" s="81">
        <v>22.31</v>
      </c>
      <c r="M41" s="81">
        <v>20.774000000000001</v>
      </c>
      <c r="N41" s="81">
        <f>86.304-SUM(K41:M41)</f>
        <v>20.094999999999999</v>
      </c>
      <c r="O41" s="81">
        <v>21.484999999999999</v>
      </c>
      <c r="P41" s="81">
        <v>23.733000000000001</v>
      </c>
      <c r="Q41" s="81">
        <v>16.795000000000002</v>
      </c>
      <c r="R41" s="81">
        <f>77.694-SUM(O41:Q41)</f>
        <v>15.680999999999997</v>
      </c>
      <c r="S41" s="81">
        <v>16.314</v>
      </c>
      <c r="T41" s="81">
        <v>17.574000000000002</v>
      </c>
      <c r="U41" s="81">
        <v>18.783000000000001</v>
      </c>
      <c r="V41" s="81">
        <f>72.676-SUM(S41:U41)</f>
        <v>20.004999999999995</v>
      </c>
      <c r="W41" s="81">
        <v>22.782</v>
      </c>
      <c r="X41" s="81">
        <v>21.498000000000001</v>
      </c>
      <c r="AF41" s="81">
        <f t="shared" si="34"/>
        <v>52.917000000000002</v>
      </c>
      <c r="AG41" s="81">
        <f t="shared" si="35"/>
        <v>78.02</v>
      </c>
      <c r="AH41" s="81">
        <f t="shared" si="36"/>
        <v>86.304000000000002</v>
      </c>
      <c r="AI41" s="81">
        <f t="shared" si="37"/>
        <v>77.694000000000003</v>
      </c>
      <c r="AJ41" s="81">
        <f t="shared" si="37"/>
        <v>72.522999999999996</v>
      </c>
      <c r="AK41" s="81">
        <f t="shared" si="30"/>
        <v>72.676000000000002</v>
      </c>
      <c r="AL41" s="92">
        <f>AL37*AL56</f>
        <v>108.370656</v>
      </c>
      <c r="AM41" s="92">
        <f t="shared" ref="AM41:AU41" si="40">AM37*AM56</f>
        <v>143.64688088000003</v>
      </c>
      <c r="AN41" s="92">
        <f t="shared" si="40"/>
        <v>184.60571929360003</v>
      </c>
      <c r="AO41" s="92">
        <f t="shared" si="40"/>
        <v>216.44909049170403</v>
      </c>
      <c r="AP41" s="92">
        <f t="shared" si="40"/>
        <v>264.61696293537238</v>
      </c>
      <c r="AQ41" s="92">
        <f t="shared" si="40"/>
        <v>317.44527372544968</v>
      </c>
      <c r="AR41" s="92">
        <f t="shared" si="40"/>
        <v>373.11472064539896</v>
      </c>
      <c r="AS41" s="92">
        <f t="shared" si="40"/>
        <v>429.18143417572298</v>
      </c>
      <c r="AT41" s="92">
        <f t="shared" si="40"/>
        <v>482.47970744888579</v>
      </c>
      <c r="AU41" s="92">
        <f t="shared" si="40"/>
        <v>533.6045934133632</v>
      </c>
    </row>
    <row r="42" spans="2:99">
      <c r="B42" s="83" t="s">
        <v>185</v>
      </c>
      <c r="C42" s="81">
        <v>8.3149999999999995</v>
      </c>
      <c r="D42" s="81">
        <v>11.824</v>
      </c>
      <c r="E42" s="81">
        <v>11.8</v>
      </c>
      <c r="F42" s="81">
        <f>56.672-SUM(C42:E42)</f>
        <v>24.732999999999997</v>
      </c>
      <c r="G42" s="81">
        <v>20.608000000000001</v>
      </c>
      <c r="H42" s="81">
        <v>19.893000000000001</v>
      </c>
      <c r="I42" s="81">
        <v>20.626999999999999</v>
      </c>
      <c r="J42" s="81">
        <f>80.747-SUM(G42:I42)</f>
        <v>19.619</v>
      </c>
      <c r="K42" s="81">
        <v>21.527999999999999</v>
      </c>
      <c r="L42" s="81">
        <v>20.521000000000001</v>
      </c>
      <c r="M42" s="81">
        <v>20.111999999999998</v>
      </c>
      <c r="N42" s="81">
        <f>80.055-SUM(K42:M42)</f>
        <v>17.894000000000005</v>
      </c>
      <c r="O42" s="81">
        <v>19.18</v>
      </c>
      <c r="P42" s="81">
        <v>20.904</v>
      </c>
      <c r="Q42" s="81">
        <v>18.114000000000001</v>
      </c>
      <c r="R42" s="81">
        <f>77.147-SUM(O42:Q42)</f>
        <v>18.948999999999998</v>
      </c>
      <c r="S42" s="81">
        <v>19.986000000000001</v>
      </c>
      <c r="T42" s="81">
        <v>18.498999999999999</v>
      </c>
      <c r="U42" s="81">
        <v>18.814</v>
      </c>
      <c r="V42" s="81">
        <f>88.133-SUM(S42:U42)</f>
        <v>30.833999999999996</v>
      </c>
      <c r="W42" s="81">
        <v>29.087</v>
      </c>
      <c r="X42" s="81">
        <v>22.486999999999998</v>
      </c>
      <c r="AF42" s="81">
        <f t="shared" si="34"/>
        <v>56.671999999999997</v>
      </c>
      <c r="AG42" s="81">
        <f t="shared" si="35"/>
        <v>80.747</v>
      </c>
      <c r="AH42" s="81">
        <f t="shared" si="36"/>
        <v>80.055000000000007</v>
      </c>
      <c r="AI42" s="81">
        <f t="shared" si="37"/>
        <v>77.147000000000006</v>
      </c>
      <c r="AJ42" s="81">
        <f t="shared" si="37"/>
        <v>77.953000000000003</v>
      </c>
      <c r="AK42" s="81">
        <f t="shared" si="30"/>
        <v>88.132999999999996</v>
      </c>
      <c r="AL42" s="92">
        <f>AL37*AL57</f>
        <v>137.72104199999998</v>
      </c>
      <c r="AM42" s="92">
        <f t="shared" ref="AM42:AU42" si="41">AM37*AM57</f>
        <v>177.99722196000002</v>
      </c>
      <c r="AN42" s="92">
        <f t="shared" si="41"/>
        <v>230.75714911700004</v>
      </c>
      <c r="AO42" s="92">
        <f t="shared" si="41"/>
        <v>273.13813800143606</v>
      </c>
      <c r="AP42" s="92">
        <f t="shared" si="41"/>
        <v>329.15768560253645</v>
      </c>
      <c r="AQ42" s="92">
        <f t="shared" si="41"/>
        <v>388.87046031367584</v>
      </c>
      <c r="AR42" s="92">
        <f t="shared" si="41"/>
        <v>449.65107359830131</v>
      </c>
      <c r="AS42" s="92">
        <f t="shared" si="41"/>
        <v>646.78101532452706</v>
      </c>
      <c r="AT42" s="92">
        <f t="shared" si="41"/>
        <v>746.75349132628503</v>
      </c>
      <c r="AU42" s="92">
        <f t="shared" si="41"/>
        <v>848.8227137264447</v>
      </c>
    </row>
    <row r="43" spans="2:99">
      <c r="B43" s="1" t="s">
        <v>186</v>
      </c>
      <c r="C43" s="81">
        <f t="shared" ref="C43:V43" si="42">C39-SUM(C40:C42)</f>
        <v>-18.224</v>
      </c>
      <c r="D43" s="81">
        <f t="shared" si="42"/>
        <v>-24.273000000000003</v>
      </c>
      <c r="E43" s="81">
        <f t="shared" si="42"/>
        <v>-28.311000000000003</v>
      </c>
      <c r="F43" s="81">
        <f t="shared" si="42"/>
        <v>-57.251999999999981</v>
      </c>
      <c r="G43" s="81">
        <f t="shared" si="42"/>
        <v>-47.741000000000007</v>
      </c>
      <c r="H43" s="81">
        <f t="shared" si="42"/>
        <v>-42.69</v>
      </c>
      <c r="I43" s="81">
        <f t="shared" si="42"/>
        <v>-42.635999999999989</v>
      </c>
      <c r="J43" s="81">
        <f t="shared" si="42"/>
        <v>-42.664000000000001</v>
      </c>
      <c r="K43" s="81">
        <f t="shared" si="42"/>
        <v>-44.694999999999993</v>
      </c>
      <c r="L43" s="81">
        <f t="shared" si="42"/>
        <v>-43.241000000000007</v>
      </c>
      <c r="M43" s="81">
        <f t="shared" si="42"/>
        <v>-47.838000000000008</v>
      </c>
      <c r="N43" s="81">
        <f t="shared" si="42"/>
        <v>-33.869999999999997</v>
      </c>
      <c r="O43" s="81">
        <f t="shared" si="42"/>
        <v>-34.61099999999999</v>
      </c>
      <c r="P43" s="81">
        <f t="shared" si="42"/>
        <v>-39.569000000000003</v>
      </c>
      <c r="Q43" s="81">
        <f t="shared" si="42"/>
        <v>-22.573999999999998</v>
      </c>
      <c r="R43" s="81">
        <f t="shared" si="42"/>
        <v>-19.319999999999986</v>
      </c>
      <c r="S43" s="81">
        <f t="shared" si="42"/>
        <v>-22.736000000000011</v>
      </c>
      <c r="T43" s="81">
        <f t="shared" si="42"/>
        <v>-17.945999999999984</v>
      </c>
      <c r="U43" s="81">
        <f t="shared" si="42"/>
        <v>-18.294000000000011</v>
      </c>
      <c r="V43" s="81">
        <f t="shared" si="42"/>
        <v>-36.023999999999972</v>
      </c>
      <c r="W43" s="81">
        <f>W39-SUM(W40:W42)</f>
        <v>-34.838000000000001</v>
      </c>
      <c r="X43" s="81">
        <f>X39-SUM(X40:X42)</f>
        <v>-13.508999999999986</v>
      </c>
      <c r="AF43" s="81">
        <f t="shared" si="34"/>
        <v>-128.06</v>
      </c>
      <c r="AG43" s="81">
        <f t="shared" si="35"/>
        <v>-175.73099999999999</v>
      </c>
      <c r="AH43" s="81">
        <f t="shared" si="36"/>
        <v>-169.64400000000001</v>
      </c>
      <c r="AI43" s="81">
        <f t="shared" si="37"/>
        <v>-116.07399999999998</v>
      </c>
      <c r="AJ43" s="81">
        <f t="shared" si="37"/>
        <v>-104.19900000000001</v>
      </c>
      <c r="AK43" s="81">
        <f t="shared" si="30"/>
        <v>-94.999999999999972</v>
      </c>
      <c r="AL43" s="92">
        <f>AL39-SUM(AL40:AL42)</f>
        <v>-155.78281800000002</v>
      </c>
      <c r="AM43" s="92">
        <f t="shared" ref="AM43:AU43" si="43">AM39-SUM(AM40:AM42)</f>
        <v>-168.62894712000013</v>
      </c>
      <c r="AN43" s="92">
        <f t="shared" si="43"/>
        <v>-176.21455023480002</v>
      </c>
      <c r="AO43" s="92">
        <f t="shared" si="43"/>
        <v>-145.33010361585843</v>
      </c>
      <c r="AP43" s="92">
        <f t="shared" si="43"/>
        <v>-124.17635041162362</v>
      </c>
      <c r="AQ43" s="92">
        <f t="shared" si="43"/>
        <v>-92.059129380380455</v>
      </c>
      <c r="AR43" s="92">
        <f t="shared" si="43"/>
        <v>-38.268176476451117</v>
      </c>
      <c r="AS43" s="92">
        <f t="shared" si="43"/>
        <v>-104.65709847098219</v>
      </c>
      <c r="AT43" s="92">
        <f t="shared" si="43"/>
        <v>-55.633910385989111</v>
      </c>
      <c r="AU43" s="92">
        <f t="shared" si="43"/>
        <v>10.873575661752056</v>
      </c>
    </row>
    <row r="44" spans="2:99">
      <c r="B44" s="83" t="s">
        <v>187</v>
      </c>
      <c r="C44" s="81">
        <v>0</v>
      </c>
      <c r="D44" s="81">
        <v>0</v>
      </c>
      <c r="E44" s="81">
        <v>8.0000000000000002E-3</v>
      </c>
      <c r="F44" s="81">
        <f>0.021-SUM(C44:E44)</f>
        <v>1.3000000000000001E-2</v>
      </c>
      <c r="G44" s="81">
        <v>0.112</v>
      </c>
      <c r="H44" s="81">
        <v>1.3109999999999999</v>
      </c>
      <c r="I44" s="81">
        <v>2.8530000000000002</v>
      </c>
      <c r="J44" s="81">
        <f>7.67-SUM(G44:I44)</f>
        <v>3.3940000000000001</v>
      </c>
      <c r="K44" s="81">
        <v>4.5060000000000002</v>
      </c>
      <c r="L44" s="81">
        <v>3.802</v>
      </c>
      <c r="M44" s="81">
        <v>3.4449999999999998</v>
      </c>
      <c r="N44" s="81">
        <f>15.414-SUM(K44:M44)</f>
        <v>3.6609999999999996</v>
      </c>
      <c r="O44" s="81">
        <v>3.1070000000000002</v>
      </c>
      <c r="P44" s="81">
        <v>2.7709999999999999</v>
      </c>
      <c r="Q44" s="81">
        <v>2.4140000000000001</v>
      </c>
      <c r="R44" s="81">
        <f>10.257-SUM(O44:Q44)</f>
        <v>1.9649999999999999</v>
      </c>
      <c r="S44" s="81">
        <v>1.8839999999999999</v>
      </c>
      <c r="T44" s="81">
        <v>2.1720000000000002</v>
      </c>
      <c r="U44" s="81">
        <v>4.4139999999999997</v>
      </c>
      <c r="V44" s="81">
        <f>14.329-SUM(S44:U44)</f>
        <v>5.8590000000000018</v>
      </c>
      <c r="W44" s="81">
        <v>5.1529999999999996</v>
      </c>
      <c r="X44" s="81">
        <v>6.4329999999999998</v>
      </c>
      <c r="AF44" s="81">
        <f t="shared" si="34"/>
        <v>2.1000000000000001E-2</v>
      </c>
      <c r="AG44" s="81">
        <f t="shared" si="35"/>
        <v>7.67</v>
      </c>
      <c r="AH44" s="81">
        <f t="shared" si="36"/>
        <v>15.414</v>
      </c>
      <c r="AI44" s="81">
        <f t="shared" si="37"/>
        <v>10.257</v>
      </c>
      <c r="AJ44" s="81">
        <f t="shared" si="37"/>
        <v>9.0340000000000007</v>
      </c>
      <c r="AK44" s="81">
        <f t="shared" si="30"/>
        <v>14.329000000000001</v>
      </c>
      <c r="AL44" s="92">
        <f>SUM(AK62:AK64)*($BE$62)</f>
        <v>200.22874999999999</v>
      </c>
      <c r="AM44" s="92">
        <f>SUM(AL62:AL64)*($BE$62)</f>
        <v>213.6734470195286</v>
      </c>
      <c r="AN44" s="92">
        <f t="shared" ref="AN44:AU44" si="44">SUM(AM62:AM63)*($BE$62)</f>
        <v>226.9212718568827</v>
      </c>
      <c r="AO44" s="92">
        <f t="shared" si="44"/>
        <v>241.77274003261741</v>
      </c>
      <c r="AP44" s="92">
        <f t="shared" si="44"/>
        <v>270.33971454890633</v>
      </c>
      <c r="AQ44" s="92">
        <f t="shared" si="44"/>
        <v>313.98162065371673</v>
      </c>
      <c r="AR44" s="92">
        <f t="shared" si="44"/>
        <v>380.59133148988991</v>
      </c>
      <c r="AS44" s="92">
        <f t="shared" si="44"/>
        <v>483.70079624393696</v>
      </c>
      <c r="AT44" s="92">
        <f t="shared" si="44"/>
        <v>597.94446173000927</v>
      </c>
      <c r="AU44" s="92">
        <f t="shared" si="44"/>
        <v>761.68166198181757</v>
      </c>
    </row>
    <row r="45" spans="2:99">
      <c r="B45" s="83" t="s">
        <v>188</v>
      </c>
      <c r="C45" s="81">
        <v>-2.5270000000000001</v>
      </c>
      <c r="D45" s="81">
        <v>-2.6110000000000002</v>
      </c>
      <c r="E45" s="81">
        <v>-2.6120000000000001</v>
      </c>
      <c r="F45" s="81">
        <f>-8.772-SUM(C45:E45)</f>
        <v>-1.0220000000000002</v>
      </c>
      <c r="G45" s="81">
        <v>0</v>
      </c>
      <c r="H45" s="81">
        <v>0</v>
      </c>
      <c r="I45" s="81">
        <v>0</v>
      </c>
      <c r="J45" s="81">
        <f>0-SUM(G45:I45)</f>
        <v>0</v>
      </c>
      <c r="K45" s="81">
        <v>0</v>
      </c>
      <c r="L45" s="81">
        <v>0</v>
      </c>
      <c r="M45" s="81">
        <v>0</v>
      </c>
      <c r="N45" s="81">
        <f>0-SUM(K45:M45)</f>
        <v>0</v>
      </c>
      <c r="O45" s="81">
        <v>0</v>
      </c>
      <c r="P45" s="81">
        <v>0</v>
      </c>
      <c r="Q45" s="81">
        <v>-0.27700000000000002</v>
      </c>
      <c r="R45" s="81">
        <f>-0.832-SUM(O45:Q45)</f>
        <v>-0.55499999999999994</v>
      </c>
      <c r="S45" s="81">
        <v>-0.499</v>
      </c>
      <c r="T45" s="81">
        <v>0</v>
      </c>
      <c r="U45" s="81">
        <v>-1.02</v>
      </c>
      <c r="V45" s="81">
        <f>-3.436-SUM(S45:U45)</f>
        <v>-1.9169999999999998</v>
      </c>
      <c r="W45" s="81">
        <v>-1.446</v>
      </c>
      <c r="X45" s="81">
        <v>-1.4390000000000001</v>
      </c>
      <c r="AF45" s="81">
        <f t="shared" si="34"/>
        <v>-8.7720000000000002</v>
      </c>
      <c r="AG45" s="81">
        <f t="shared" si="35"/>
        <v>0</v>
      </c>
      <c r="AH45" s="81">
        <f t="shared" si="36"/>
        <v>0</v>
      </c>
      <c r="AI45" s="81">
        <f t="shared" si="37"/>
        <v>-0.83199999999999996</v>
      </c>
      <c r="AJ45" s="81">
        <f t="shared" si="37"/>
        <v>-1.331</v>
      </c>
      <c r="AK45" s="81">
        <f t="shared" si="30"/>
        <v>-3.4359999999999999</v>
      </c>
      <c r="AL45" s="92">
        <f t="shared" ref="AL45:AU45" si="45">-AK86*($AZ$79)</f>
        <v>-2.2344200000000001</v>
      </c>
      <c r="AM45" s="92">
        <f t="shared" si="45"/>
        <v>-2.2232479000000001</v>
      </c>
      <c r="AN45" s="92">
        <f t="shared" si="45"/>
        <v>-2.2121316605000003</v>
      </c>
      <c r="AO45" s="92">
        <f t="shared" si="45"/>
        <v>-2.2010710021975002</v>
      </c>
      <c r="AP45" s="92">
        <f t="shared" si="45"/>
        <v>-2.1900656471865125</v>
      </c>
      <c r="AQ45" s="92">
        <f t="shared" si="45"/>
        <v>-2.1791153189505801</v>
      </c>
      <c r="AR45" s="92">
        <f t="shared" si="45"/>
        <v>-2.1682197423558272</v>
      </c>
      <c r="AS45" s="92">
        <f t="shared" si="45"/>
        <v>-2.1573786436440479</v>
      </c>
      <c r="AT45" s="92">
        <f t="shared" si="45"/>
        <v>-2.1465917504258276</v>
      </c>
      <c r="AU45" s="92">
        <f t="shared" si="45"/>
        <v>-2.1358587916736984</v>
      </c>
    </row>
    <row r="46" spans="2:99">
      <c r="B46" s="83" t="s">
        <v>189</v>
      </c>
      <c r="C46" s="81">
        <v>-8.0259999999999998</v>
      </c>
      <c r="D46" s="81">
        <v>6.7690000000000001</v>
      </c>
      <c r="E46" s="81">
        <v>-10.172000000000001</v>
      </c>
      <c r="F46" s="81">
        <f>5.726-SUM(C46:E46)</f>
        <v>17.155000000000001</v>
      </c>
      <c r="G46" s="81">
        <v>3.2759999999999998</v>
      </c>
      <c r="H46" s="81">
        <v>2.1120000000000001</v>
      </c>
      <c r="I46" s="81">
        <v>-1.9E-2</v>
      </c>
      <c r="J46" s="81">
        <f>6.554-SUM(G46:I46)</f>
        <v>1.1850000000000005</v>
      </c>
      <c r="K46" s="81">
        <v>5.9450000000000003</v>
      </c>
      <c r="L46" s="81">
        <v>1.226</v>
      </c>
      <c r="M46" s="81">
        <v>6.8330000000000002</v>
      </c>
      <c r="N46" s="81">
        <f>13.709-SUM(K46:M46)</f>
        <v>-0.29500000000000171</v>
      </c>
      <c r="O46" s="81">
        <v>1.53</v>
      </c>
      <c r="P46" s="81">
        <v>-0.60199999999999998</v>
      </c>
      <c r="Q46" s="81">
        <v>0.19800000000000001</v>
      </c>
      <c r="R46" s="81">
        <f>-15.116-SUM(O46:Q46)</f>
        <v>-16.242000000000001</v>
      </c>
      <c r="S46" s="81">
        <v>10.387</v>
      </c>
      <c r="T46" s="81">
        <v>-5.6790000000000003</v>
      </c>
      <c r="U46" s="81">
        <v>-43.472999999999999</v>
      </c>
      <c r="V46" s="81">
        <f>-161.4-SUM(S46:U46)</f>
        <v>-122.63500000000001</v>
      </c>
      <c r="W46" s="81">
        <v>-106.474</v>
      </c>
      <c r="X46" s="81">
        <v>0</v>
      </c>
      <c r="AF46" s="81">
        <f t="shared" si="34"/>
        <v>5.7260000000000009</v>
      </c>
      <c r="AG46" s="81">
        <f t="shared" si="35"/>
        <v>6.5540000000000003</v>
      </c>
      <c r="AH46" s="81">
        <f t="shared" si="36"/>
        <v>13.709</v>
      </c>
      <c r="AI46" s="81">
        <f t="shared" si="37"/>
        <v>-15.116000000000001</v>
      </c>
      <c r="AJ46" s="81">
        <f t="shared" si="37"/>
        <v>-6.2590000000000003</v>
      </c>
      <c r="AK46" s="81">
        <f t="shared" si="30"/>
        <v>-161.4</v>
      </c>
      <c r="AL46" s="92">
        <v>0</v>
      </c>
      <c r="AM46" s="92">
        <v>0</v>
      </c>
      <c r="AN46" s="92">
        <v>0</v>
      </c>
      <c r="AO46" s="92">
        <v>0</v>
      </c>
      <c r="AP46" s="92">
        <v>0</v>
      </c>
      <c r="AQ46" s="92">
        <v>0</v>
      </c>
      <c r="AR46" s="92">
        <v>0</v>
      </c>
      <c r="AS46" s="92">
        <v>0</v>
      </c>
      <c r="AT46" s="92">
        <v>0</v>
      </c>
      <c r="AU46" s="92">
        <v>0</v>
      </c>
    </row>
    <row r="47" spans="2:99">
      <c r="B47" s="83" t="s">
        <v>190</v>
      </c>
      <c r="C47" s="81">
        <v>-0.17699999999999999</v>
      </c>
      <c r="D47" s="81">
        <v>-8.4000000000000005E-2</v>
      </c>
      <c r="E47" s="81">
        <v>-0.06</v>
      </c>
      <c r="F47" s="81">
        <f>-2.248-1.69-SUM(C47:E47)</f>
        <v>-3.617</v>
      </c>
      <c r="G47" s="81">
        <v>0.28000000000000003</v>
      </c>
      <c r="H47" s="81">
        <v>-0.158</v>
      </c>
      <c r="I47" s="81">
        <v>1E-3</v>
      </c>
      <c r="J47" s="81">
        <f>0.33-SUM(G47:I47)</f>
        <v>0.20699999999999999</v>
      </c>
      <c r="K47" s="81">
        <v>0.104</v>
      </c>
      <c r="L47" s="81">
        <v>0.85899999999999999</v>
      </c>
      <c r="M47" s="81">
        <v>-6.9000000000000006E-2</v>
      </c>
      <c r="N47" s="81">
        <f>0.931-SUM(K47:M47)</f>
        <v>3.7000000000000144E-2</v>
      </c>
      <c r="O47" s="81">
        <v>1.083</v>
      </c>
      <c r="P47" s="81">
        <v>-0.36299999999999999</v>
      </c>
      <c r="Q47" s="81">
        <v>0.217</v>
      </c>
      <c r="R47" s="81">
        <f>1.077-SUM(O47:Q47)</f>
        <v>0.14000000000000001</v>
      </c>
      <c r="S47" s="81">
        <v>-0.70099999999999996</v>
      </c>
      <c r="T47" s="81">
        <v>-0.628</v>
      </c>
      <c r="U47" s="81">
        <v>1.7999999999999999E-2</v>
      </c>
      <c r="V47" s="81">
        <f>3.375-SUM(S47:U47)</f>
        <v>4.6859999999999999</v>
      </c>
      <c r="W47" s="81">
        <v>-0.20599999999999999</v>
      </c>
      <c r="X47" s="81">
        <v>-0.105</v>
      </c>
      <c r="AF47" s="81">
        <f t="shared" si="34"/>
        <v>-3.9380000000000002</v>
      </c>
      <c r="AG47" s="81">
        <f t="shared" si="35"/>
        <v>0.33</v>
      </c>
      <c r="AH47" s="81">
        <f t="shared" si="36"/>
        <v>0.93100000000000005</v>
      </c>
      <c r="AI47" s="81">
        <f t="shared" si="37"/>
        <v>1.077</v>
      </c>
      <c r="AJ47" s="81">
        <f t="shared" si="37"/>
        <v>-0.70699999999999996</v>
      </c>
      <c r="AK47" s="81">
        <f t="shared" si="30"/>
        <v>3.375</v>
      </c>
      <c r="AL47" s="92">
        <v>0</v>
      </c>
      <c r="AM47" s="92">
        <v>0</v>
      </c>
      <c r="AN47" s="92">
        <v>0</v>
      </c>
      <c r="AO47" s="92">
        <v>0</v>
      </c>
      <c r="AP47" s="92">
        <v>0</v>
      </c>
      <c r="AQ47" s="92">
        <v>0</v>
      </c>
      <c r="AR47" s="92">
        <v>0</v>
      </c>
      <c r="AS47" s="92">
        <v>0</v>
      </c>
      <c r="AT47" s="92">
        <v>0</v>
      </c>
      <c r="AU47" s="92">
        <v>0</v>
      </c>
    </row>
    <row r="48" spans="2:99">
      <c r="B48" s="1" t="s">
        <v>191</v>
      </c>
      <c r="C48" s="81">
        <f t="shared" ref="C48:V48" si="46">C43+SUM(C44:C47)</f>
        <v>-28.954000000000001</v>
      </c>
      <c r="D48" s="81">
        <f t="shared" si="46"/>
        <v>-20.199000000000005</v>
      </c>
      <c r="E48" s="81">
        <f t="shared" si="46"/>
        <v>-41.147000000000006</v>
      </c>
      <c r="F48" s="81">
        <f t="shared" si="46"/>
        <v>-44.722999999999985</v>
      </c>
      <c r="G48" s="81">
        <f t="shared" si="46"/>
        <v>-44.073000000000008</v>
      </c>
      <c r="H48" s="81">
        <f t="shared" si="46"/>
        <v>-39.424999999999997</v>
      </c>
      <c r="I48" s="81">
        <f t="shared" si="46"/>
        <v>-39.800999999999988</v>
      </c>
      <c r="J48" s="81">
        <f t="shared" si="46"/>
        <v>-37.878</v>
      </c>
      <c r="K48" s="81">
        <f t="shared" si="46"/>
        <v>-34.139999999999993</v>
      </c>
      <c r="L48" s="81">
        <f t="shared" si="46"/>
        <v>-37.354000000000006</v>
      </c>
      <c r="M48" s="81">
        <f t="shared" si="46"/>
        <v>-37.629000000000005</v>
      </c>
      <c r="N48" s="81">
        <f t="shared" si="46"/>
        <v>-30.466999999999999</v>
      </c>
      <c r="O48" s="81">
        <f t="shared" si="46"/>
        <v>-28.890999999999991</v>
      </c>
      <c r="P48" s="81">
        <f t="shared" si="46"/>
        <v>-37.763000000000005</v>
      </c>
      <c r="Q48" s="81">
        <f t="shared" si="46"/>
        <v>-20.021999999999998</v>
      </c>
      <c r="R48" s="81">
        <f t="shared" si="46"/>
        <v>-34.011999999999986</v>
      </c>
      <c r="S48" s="81">
        <f t="shared" si="46"/>
        <v>-11.665000000000012</v>
      </c>
      <c r="T48" s="81">
        <f t="shared" si="46"/>
        <v>-22.080999999999982</v>
      </c>
      <c r="U48" s="81">
        <f t="shared" si="46"/>
        <v>-58.355000000000011</v>
      </c>
      <c r="V48" s="81">
        <f t="shared" si="46"/>
        <v>-150.03099999999998</v>
      </c>
      <c r="W48" s="81">
        <f>W43+SUM(W44:W47)</f>
        <v>-137.81100000000001</v>
      </c>
      <c r="X48" s="81">
        <f>X43+SUM(X44:X47)</f>
        <v>-8.6199999999999868</v>
      </c>
      <c r="AF48" s="81">
        <f t="shared" si="34"/>
        <v>-135.023</v>
      </c>
      <c r="AG48" s="81">
        <f t="shared" si="35"/>
        <v>-161.17699999999999</v>
      </c>
      <c r="AH48" s="81">
        <f t="shared" si="36"/>
        <v>-139.59</v>
      </c>
      <c r="AI48" s="81">
        <f t="shared" si="37"/>
        <v>-120.68799999999997</v>
      </c>
      <c r="AJ48" s="81">
        <f t="shared" si="37"/>
        <v>-103.462</v>
      </c>
      <c r="AK48" s="81">
        <f t="shared" si="30"/>
        <v>-242.13199999999998</v>
      </c>
      <c r="AL48" s="92">
        <f>AL43+SUM(AL44:AL47)</f>
        <v>42.211511999999971</v>
      </c>
      <c r="AM48" s="92">
        <f t="shared" ref="AM48:AU48" si="47">AM43+SUM(AM44:AM47)</f>
        <v>42.821251999528471</v>
      </c>
      <c r="AN48" s="92">
        <f t="shared" si="47"/>
        <v>48.494589961582676</v>
      </c>
      <c r="AO48" s="92">
        <f t="shared" si="47"/>
        <v>94.241565414561478</v>
      </c>
      <c r="AP48" s="92">
        <f t="shared" si="47"/>
        <v>143.97329849009623</v>
      </c>
      <c r="AQ48" s="92">
        <f t="shared" si="47"/>
        <v>219.74337595438567</v>
      </c>
      <c r="AR48" s="92">
        <f t="shared" si="47"/>
        <v>340.15493527108299</v>
      </c>
      <c r="AS48" s="92">
        <f t="shared" si="47"/>
        <v>376.88631912931072</v>
      </c>
      <c r="AT48" s="92">
        <f t="shared" si="47"/>
        <v>540.16395959359431</v>
      </c>
      <c r="AU48" s="92">
        <f t="shared" si="47"/>
        <v>770.41937885189589</v>
      </c>
    </row>
    <row r="49" spans="2:99">
      <c r="B49" s="1" t="s">
        <v>192</v>
      </c>
      <c r="C49" s="81">
        <v>0.25800000000000001</v>
      </c>
      <c r="D49" s="81">
        <v>0.17</v>
      </c>
      <c r="E49" s="81">
        <v>0.39400000000000002</v>
      </c>
      <c r="F49" s="81">
        <f>2.11-SUM(C49:E49)</f>
        <v>1.2879999999999998</v>
      </c>
      <c r="G49" s="81">
        <v>0.314</v>
      </c>
      <c r="H49" s="81">
        <v>0.154</v>
      </c>
      <c r="I49" s="81">
        <v>0.439</v>
      </c>
      <c r="J49" s="81">
        <f>0.847-SUM(G49:I49)</f>
        <v>-6.0000000000000053E-2</v>
      </c>
      <c r="K49" s="81">
        <v>0.307</v>
      </c>
      <c r="L49" s="81">
        <v>0.58199999999999996</v>
      </c>
      <c r="M49" s="81">
        <v>0.35499999999999998</v>
      </c>
      <c r="N49" s="81">
        <f>0.815-SUM(K49:M49)</f>
        <v>-0.42900000000000005</v>
      </c>
      <c r="O49" s="81">
        <v>0.442</v>
      </c>
      <c r="P49" s="81">
        <v>0.89700000000000002</v>
      </c>
      <c r="Q49" s="81">
        <v>2.5000000000000001E-2</v>
      </c>
      <c r="R49" s="81">
        <f>2.46-SUM(O49:Q49)</f>
        <v>1.0960000000000001</v>
      </c>
      <c r="S49" s="81">
        <v>0.92800000000000005</v>
      </c>
      <c r="T49" s="81">
        <v>0.497</v>
      </c>
      <c r="U49" s="81">
        <v>0.78100000000000003</v>
      </c>
      <c r="V49" s="81">
        <f>4.655-SUM(S49:U49)</f>
        <v>2.4490000000000003</v>
      </c>
      <c r="W49" s="81">
        <v>1.0109999999999999</v>
      </c>
      <c r="X49" s="81">
        <v>0.73299999999999998</v>
      </c>
      <c r="AF49" s="81">
        <f t="shared" si="34"/>
        <v>2.11</v>
      </c>
      <c r="AG49" s="81">
        <f t="shared" si="35"/>
        <v>0.84699999999999998</v>
      </c>
      <c r="AH49" s="81">
        <f t="shared" si="36"/>
        <v>0.81499999999999995</v>
      </c>
      <c r="AI49" s="81">
        <f t="shared" si="37"/>
        <v>2.46</v>
      </c>
      <c r="AJ49" s="81">
        <f t="shared" si="37"/>
        <v>2.9460000000000002</v>
      </c>
      <c r="AK49" s="81">
        <f t="shared" si="30"/>
        <v>4.6550000000000002</v>
      </c>
      <c r="AL49" s="67">
        <f>AL48*AL59</f>
        <v>-0.81151846249153314</v>
      </c>
      <c r="AM49" s="67">
        <f t="shared" ref="AM49:AU49" si="48">AM48*AM59</f>
        <v>0.4282125199952847</v>
      </c>
      <c r="AN49" s="67">
        <f t="shared" si="48"/>
        <v>0.96989179923165358</v>
      </c>
      <c r="AO49" s="67">
        <f t="shared" si="48"/>
        <v>2.8272469624368441</v>
      </c>
      <c r="AP49" s="67">
        <f t="shared" si="48"/>
        <v>4.3191989547028866</v>
      </c>
      <c r="AQ49" s="67">
        <f t="shared" si="48"/>
        <v>6.5923012786315702</v>
      </c>
      <c r="AR49" s="67">
        <f t="shared" si="48"/>
        <v>10.20464805813249</v>
      </c>
      <c r="AS49" s="67">
        <f t="shared" si="48"/>
        <v>11.306589573879322</v>
      </c>
      <c r="AT49" s="67">
        <f t="shared" si="48"/>
        <v>16.204918787807827</v>
      </c>
      <c r="AU49" s="67">
        <f t="shared" si="48"/>
        <v>23.112581365556874</v>
      </c>
    </row>
    <row r="50" spans="2:99" s="2" customFormat="1" ht="15">
      <c r="B50" s="2" t="s">
        <v>67</v>
      </c>
      <c r="C50" s="82">
        <f t="shared" ref="C50:U50" si="49">C48-C49</f>
        <v>-29.212</v>
      </c>
      <c r="D50" s="82">
        <f t="shared" si="49"/>
        <v>-20.369000000000007</v>
      </c>
      <c r="E50" s="82">
        <f t="shared" si="49"/>
        <v>-41.541000000000004</v>
      </c>
      <c r="F50" s="82">
        <f>F48-F49</f>
        <v>-46.010999999999981</v>
      </c>
      <c r="G50" s="82">
        <f t="shared" si="49"/>
        <v>-44.387000000000008</v>
      </c>
      <c r="H50" s="82">
        <f t="shared" si="49"/>
        <v>-39.579000000000001</v>
      </c>
      <c r="I50" s="82">
        <f t="shared" si="49"/>
        <v>-40.239999999999988</v>
      </c>
      <c r="J50" s="82">
        <f>J48-J49</f>
        <v>-37.817999999999998</v>
      </c>
      <c r="K50" s="82">
        <f t="shared" si="49"/>
        <v>-34.446999999999996</v>
      </c>
      <c r="L50" s="82">
        <f t="shared" si="49"/>
        <v>-37.936000000000007</v>
      </c>
      <c r="M50" s="82">
        <f t="shared" si="49"/>
        <v>-37.984000000000002</v>
      </c>
      <c r="N50" s="82">
        <f>N48-N49</f>
        <v>-30.038</v>
      </c>
      <c r="O50" s="82">
        <f t="shared" si="49"/>
        <v>-29.332999999999991</v>
      </c>
      <c r="P50" s="82">
        <f t="shared" si="49"/>
        <v>-38.660000000000004</v>
      </c>
      <c r="Q50" s="82">
        <f t="shared" si="49"/>
        <v>-20.046999999999997</v>
      </c>
      <c r="R50" s="82">
        <f>R48-R49</f>
        <v>-35.10799999999999</v>
      </c>
      <c r="S50" s="82">
        <f t="shared" si="49"/>
        <v>-12.593000000000012</v>
      </c>
      <c r="T50" s="82">
        <f t="shared" si="49"/>
        <v>-22.577999999999982</v>
      </c>
      <c r="U50" s="82">
        <f t="shared" si="49"/>
        <v>-59.13600000000001</v>
      </c>
      <c r="V50" s="82">
        <f>V48-V49</f>
        <v>-152.47999999999999</v>
      </c>
      <c r="W50" s="82">
        <f t="shared" ref="W50:X50" si="50">W48-W49</f>
        <v>-138.822</v>
      </c>
      <c r="X50" s="82">
        <f t="shared" si="50"/>
        <v>-9.3529999999999873</v>
      </c>
      <c r="Y50" s="34"/>
      <c r="Z50" s="34"/>
      <c r="AF50" s="82">
        <f t="shared" si="34"/>
        <v>-137.13299999999998</v>
      </c>
      <c r="AG50" s="82">
        <f t="shared" si="35"/>
        <v>-162.024</v>
      </c>
      <c r="AH50" s="82">
        <f t="shared" si="36"/>
        <v>-140.40500000000003</v>
      </c>
      <c r="AI50" s="82">
        <f t="shared" si="37"/>
        <v>-123.14799999999998</v>
      </c>
      <c r="AJ50" s="82">
        <f t="shared" si="37"/>
        <v>-106.40800000000002</v>
      </c>
      <c r="AK50" s="82">
        <f t="shared" si="30"/>
        <v>-246.78699999999998</v>
      </c>
      <c r="AL50" s="89">
        <f>AL48-AL49</f>
        <v>43.023030462491505</v>
      </c>
      <c r="AM50" s="89">
        <f t="shared" ref="AM50:AU50" si="51">AM48-AM49</f>
        <v>42.393039479533186</v>
      </c>
      <c r="AN50" s="89">
        <f t="shared" si="51"/>
        <v>47.524698162351022</v>
      </c>
      <c r="AO50" s="89">
        <f t="shared" si="51"/>
        <v>91.414318452124633</v>
      </c>
      <c r="AP50" s="89">
        <f t="shared" si="51"/>
        <v>139.65409953539333</v>
      </c>
      <c r="AQ50" s="89">
        <f t="shared" si="51"/>
        <v>213.1510746757541</v>
      </c>
      <c r="AR50" s="89">
        <f t="shared" si="51"/>
        <v>329.95028721295051</v>
      </c>
      <c r="AS50" s="89">
        <f t="shared" si="51"/>
        <v>365.57972955543141</v>
      </c>
      <c r="AT50" s="89">
        <f t="shared" si="51"/>
        <v>523.95904080578646</v>
      </c>
      <c r="AU50" s="89">
        <f t="shared" si="51"/>
        <v>747.30679748633906</v>
      </c>
      <c r="AV50" s="89">
        <f>AU50*(1+$BE$63)</f>
        <v>765.6158140247544</v>
      </c>
      <c r="AW50" s="89">
        <f t="shared" ref="AW50:CS50" si="52">AV50*(1+$BE$63)</f>
        <v>784.37340146836084</v>
      </c>
      <c r="AX50" s="89">
        <f t="shared" si="52"/>
        <v>803.59054980433564</v>
      </c>
      <c r="AY50" s="89">
        <f t="shared" si="52"/>
        <v>823.27851827454185</v>
      </c>
      <c r="AZ50" s="89">
        <f t="shared" si="52"/>
        <v>843.44884197226816</v>
      </c>
      <c r="BA50" s="89">
        <f t="shared" si="52"/>
        <v>864.11333860058869</v>
      </c>
      <c r="BB50" s="89">
        <f t="shared" si="52"/>
        <v>885.28411539630304</v>
      </c>
      <c r="BC50" s="89">
        <f t="shared" si="52"/>
        <v>906.9735762235124</v>
      </c>
      <c r="BD50" s="89">
        <f t="shared" si="52"/>
        <v>929.19442884098839</v>
      </c>
      <c r="BE50" s="89">
        <f t="shared" si="52"/>
        <v>951.95969234759252</v>
      </c>
      <c r="BF50" s="89">
        <f t="shared" si="52"/>
        <v>975.2827048101085</v>
      </c>
      <c r="BG50" s="89">
        <f t="shared" si="52"/>
        <v>999.17713107795612</v>
      </c>
      <c r="BH50" s="89">
        <f t="shared" si="52"/>
        <v>1023.656970789366</v>
      </c>
      <c r="BI50" s="89">
        <f t="shared" si="52"/>
        <v>1048.7365665737054</v>
      </c>
      <c r="BJ50" s="89">
        <f t="shared" si="52"/>
        <v>1074.4306124547611</v>
      </c>
      <c r="BK50" s="89">
        <f t="shared" si="52"/>
        <v>1100.7541624599028</v>
      </c>
      <c r="BL50" s="89">
        <f t="shared" si="52"/>
        <v>1127.7226394401703</v>
      </c>
      <c r="BM50" s="89">
        <f t="shared" si="52"/>
        <v>1155.3518441064543</v>
      </c>
      <c r="BN50" s="89">
        <f t="shared" si="52"/>
        <v>1183.6579642870624</v>
      </c>
      <c r="BO50" s="89">
        <f t="shared" si="52"/>
        <v>1212.6575844120955</v>
      </c>
      <c r="BP50" s="89">
        <f t="shared" si="52"/>
        <v>1242.3676952301919</v>
      </c>
      <c r="BQ50" s="89">
        <f t="shared" si="52"/>
        <v>1272.8057037633316</v>
      </c>
      <c r="BR50" s="89">
        <f t="shared" si="52"/>
        <v>1303.9894435055332</v>
      </c>
      <c r="BS50" s="89">
        <f t="shared" si="52"/>
        <v>1335.9371848714188</v>
      </c>
      <c r="BT50" s="89">
        <f t="shared" si="52"/>
        <v>1368.6676459007685</v>
      </c>
      <c r="BU50" s="89">
        <f t="shared" si="52"/>
        <v>1402.2000032253372</v>
      </c>
      <c r="BV50" s="89">
        <f t="shared" si="52"/>
        <v>1436.5539033043578</v>
      </c>
      <c r="BW50" s="89">
        <f t="shared" si="52"/>
        <v>1471.7494739353147</v>
      </c>
      <c r="BX50" s="89">
        <f t="shared" si="52"/>
        <v>1507.8073360467299</v>
      </c>
      <c r="BY50" s="89">
        <f t="shared" si="52"/>
        <v>1544.7486157798749</v>
      </c>
      <c r="BZ50" s="89">
        <f t="shared" si="52"/>
        <v>1582.5949568664817</v>
      </c>
      <c r="CA50" s="89">
        <f t="shared" si="52"/>
        <v>1621.3685333097103</v>
      </c>
      <c r="CB50" s="89">
        <f t="shared" si="52"/>
        <v>1661.0920623757982</v>
      </c>
      <c r="CC50" s="89">
        <f t="shared" si="52"/>
        <v>1701.7888179040051</v>
      </c>
      <c r="CD50" s="89">
        <f t="shared" si="52"/>
        <v>1743.4826439426531</v>
      </c>
      <c r="CE50" s="89">
        <f t="shared" si="52"/>
        <v>1786.1979687192481</v>
      </c>
      <c r="CF50" s="89">
        <f t="shared" si="52"/>
        <v>1829.9598189528697</v>
      </c>
      <c r="CG50" s="89">
        <f t="shared" si="52"/>
        <v>1874.7938345172149</v>
      </c>
      <c r="CH50" s="89">
        <f t="shared" si="52"/>
        <v>1920.7262834628866</v>
      </c>
      <c r="CI50" s="89">
        <f t="shared" si="52"/>
        <v>1967.7840774077272</v>
      </c>
      <c r="CJ50" s="89">
        <f t="shared" si="52"/>
        <v>2015.9947873042165</v>
      </c>
      <c r="CK50" s="89">
        <f t="shared" si="52"/>
        <v>2065.38665959317</v>
      </c>
      <c r="CL50" s="89">
        <f t="shared" si="52"/>
        <v>2115.9886327532026</v>
      </c>
      <c r="CM50" s="89">
        <f t="shared" si="52"/>
        <v>2167.8303542556559</v>
      </c>
      <c r="CN50" s="89">
        <f t="shared" si="52"/>
        <v>2220.9421979349195</v>
      </c>
      <c r="CO50" s="89">
        <f t="shared" si="52"/>
        <v>2275.3552817843251</v>
      </c>
      <c r="CP50" s="89">
        <f t="shared" si="52"/>
        <v>2331.1014861880412</v>
      </c>
      <c r="CQ50" s="89">
        <f t="shared" si="52"/>
        <v>2388.213472599648</v>
      </c>
      <c r="CR50" s="89">
        <f t="shared" si="52"/>
        <v>2446.7247026783393</v>
      </c>
      <c r="CS50" s="89">
        <f t="shared" si="52"/>
        <v>2506.6694578939587</v>
      </c>
      <c r="CT50" s="34"/>
      <c r="CU50" s="34"/>
    </row>
    <row r="51" spans="2:99">
      <c r="B51" s="1" t="s">
        <v>71</v>
      </c>
      <c r="C51" s="81">
        <v>45.722000000000001</v>
      </c>
      <c r="D51" s="81">
        <v>46.2</v>
      </c>
      <c r="E51" s="81">
        <v>47.137</v>
      </c>
      <c r="F51" s="81">
        <v>79.61</v>
      </c>
      <c r="G51" s="81">
        <v>264.08800000000002</v>
      </c>
      <c r="H51" s="81">
        <v>266.21199999999999</v>
      </c>
      <c r="I51" s="81">
        <v>267.947</v>
      </c>
      <c r="J51" s="81">
        <v>267.12599999999998</v>
      </c>
      <c r="K51" s="81">
        <v>272.34699999999998</v>
      </c>
      <c r="L51" s="81">
        <v>275.053</v>
      </c>
      <c r="M51" s="81">
        <v>284.197</v>
      </c>
      <c r="N51" s="81">
        <v>267.12599999999998</v>
      </c>
      <c r="O51" s="81">
        <v>288.26799999999997</v>
      </c>
      <c r="P51" s="81">
        <v>290.36399999999998</v>
      </c>
      <c r="Q51" s="81">
        <v>293.33800000000002</v>
      </c>
      <c r="R51" s="81">
        <v>292.12400000000002</v>
      </c>
      <c r="S51" s="81">
        <v>300.267</v>
      </c>
      <c r="T51" s="81">
        <v>304.12900000000002</v>
      </c>
      <c r="U51" s="81">
        <v>309.24799999999999</v>
      </c>
      <c r="V51" s="81">
        <v>307.79899999999998</v>
      </c>
      <c r="W51" s="81">
        <v>345.524</v>
      </c>
      <c r="X51" s="81">
        <v>359.59</v>
      </c>
      <c r="AF51" s="81">
        <f>AVERAGE(C51:F51)</f>
        <v>54.667249999999996</v>
      </c>
      <c r="AG51" s="81">
        <f>AVERAGE(G51:J51)</f>
        <v>266.34325000000001</v>
      </c>
      <c r="AH51" s="81">
        <f>AVERAGE(K51:N51)</f>
        <v>274.68074999999999</v>
      </c>
      <c r="AI51" s="81">
        <f>AVERAGE(O51:R51)</f>
        <v>291.02350000000001</v>
      </c>
      <c r="AJ51" s="81">
        <f>AVERAGE(P51:S51)</f>
        <v>294.02325000000002</v>
      </c>
      <c r="AK51" s="81">
        <f>AVERAGE(S51:V51)</f>
        <v>305.36075</v>
      </c>
    </row>
    <row r="52" spans="2:99">
      <c r="B52" s="39" t="s">
        <v>131</v>
      </c>
      <c r="C52" s="39">
        <f t="shared" ref="C52:V52" si="53">C50/C51</f>
        <v>-0.63890468483443419</v>
      </c>
      <c r="D52" s="39">
        <f t="shared" si="53"/>
        <v>-0.44088744588744599</v>
      </c>
      <c r="E52" s="39">
        <f t="shared" si="53"/>
        <v>-0.88128221991217093</v>
      </c>
      <c r="F52" s="39">
        <f t="shared" si="53"/>
        <v>-0.57795503077502808</v>
      </c>
      <c r="G52" s="39">
        <f t="shared" si="53"/>
        <v>-0.16807655024082882</v>
      </c>
      <c r="H52" s="39">
        <f t="shared" si="53"/>
        <v>-0.14867474043243731</v>
      </c>
      <c r="I52" s="39">
        <f t="shared" si="53"/>
        <v>-0.1501789533004661</v>
      </c>
      <c r="J52" s="39">
        <f t="shared" si="53"/>
        <v>-0.14157363940612297</v>
      </c>
      <c r="K52" s="39">
        <f t="shared" si="53"/>
        <v>-0.12648202476987078</v>
      </c>
      <c r="L52" s="39">
        <f t="shared" si="53"/>
        <v>-0.13792250947999116</v>
      </c>
      <c r="M52" s="39">
        <f t="shared" si="53"/>
        <v>-0.13365376833675233</v>
      </c>
      <c r="N52" s="39">
        <f t="shared" si="53"/>
        <v>-0.11244880693006298</v>
      </c>
      <c r="O52" s="39">
        <f t="shared" si="53"/>
        <v>-0.10175600482883981</v>
      </c>
      <c r="P52" s="39">
        <f t="shared" si="53"/>
        <v>-0.13314322712181953</v>
      </c>
      <c r="Q52" s="39">
        <f t="shared" si="53"/>
        <v>-6.834095821202843E-2</v>
      </c>
      <c r="R52" s="39">
        <f t="shared" si="53"/>
        <v>-0.1201818405882433</v>
      </c>
      <c r="S52" s="39">
        <f t="shared" si="53"/>
        <v>-4.1939340653485105E-2</v>
      </c>
      <c r="T52" s="39">
        <f t="shared" si="53"/>
        <v>-7.4238234433414707E-2</v>
      </c>
      <c r="U52" s="39">
        <f t="shared" si="53"/>
        <v>-0.19122516556291394</v>
      </c>
      <c r="V52" s="39">
        <f t="shared" si="53"/>
        <v>-0.49538822413328176</v>
      </c>
      <c r="W52" s="39">
        <f>W50/W51</f>
        <v>-0.40177238050034153</v>
      </c>
      <c r="X52" s="39">
        <f>X50/X51</f>
        <v>-2.6010178258572228E-2</v>
      </c>
      <c r="AF52" s="39">
        <f>AF50/AF51</f>
        <v>-2.5085037202346925</v>
      </c>
      <c r="AG52" s="39">
        <f t="shared" ref="AG52:AK52" si="54">AG50/AG51</f>
        <v>-0.60832778754483174</v>
      </c>
      <c r="AH52" s="39">
        <f t="shared" si="54"/>
        <v>-0.51115704322199507</v>
      </c>
      <c r="AI52" s="39">
        <f t="shared" si="54"/>
        <v>-0.42315483113906599</v>
      </c>
      <c r="AJ52" s="39">
        <f t="shared" si="54"/>
        <v>-0.3619033528811072</v>
      </c>
      <c r="AK52" s="39">
        <f t="shared" si="54"/>
        <v>-0.8081817980863617</v>
      </c>
    </row>
    <row r="53" spans="2:99">
      <c r="C53" s="84"/>
      <c r="D53" s="84"/>
      <c r="E53" s="84"/>
      <c r="F53" s="84"/>
      <c r="G53" s="84"/>
      <c r="H53" s="84"/>
      <c r="I53" s="84"/>
      <c r="J53" s="84"/>
      <c r="K53" s="84"/>
      <c r="L53" s="84"/>
      <c r="M53" s="84"/>
      <c r="N53" s="84"/>
      <c r="O53" s="84"/>
      <c r="P53" s="84"/>
      <c r="Q53" s="84"/>
      <c r="R53" s="84"/>
      <c r="S53" s="84"/>
      <c r="T53" s="84"/>
      <c r="U53" s="84"/>
      <c r="V53" s="84"/>
      <c r="W53" s="84"/>
      <c r="X53" s="84"/>
    </row>
    <row r="54" spans="2:99">
      <c r="B54" s="37" t="s">
        <v>54</v>
      </c>
      <c r="C54" s="85">
        <f t="shared" ref="C54:V54" si="55">C39/C37</f>
        <v>0.40231249999999996</v>
      </c>
      <c r="D54" s="85">
        <f t="shared" si="55"/>
        <v>0.34802631578947363</v>
      </c>
      <c r="E54" s="85">
        <f t="shared" si="55"/>
        <v>0.34350157728706621</v>
      </c>
      <c r="F54" s="85">
        <f t="shared" si="55"/>
        <v>0.3738544474393532</v>
      </c>
      <c r="G54" s="85">
        <f t="shared" si="55"/>
        <v>0.41077306733167085</v>
      </c>
      <c r="H54" s="85">
        <f t="shared" si="55"/>
        <v>0.48394628099173553</v>
      </c>
      <c r="I54" s="85">
        <f t="shared" si="55"/>
        <v>0.50245472837022132</v>
      </c>
      <c r="J54" s="85">
        <f t="shared" si="55"/>
        <v>0.54877358490566031</v>
      </c>
      <c r="K54" s="85">
        <f t="shared" si="55"/>
        <v>0.5340417457305503</v>
      </c>
      <c r="L54" s="85">
        <f t="shared" si="55"/>
        <v>0.48942379182156132</v>
      </c>
      <c r="M54" s="85">
        <f t="shared" si="55"/>
        <v>0.47021660649819491</v>
      </c>
      <c r="N54" s="85">
        <f t="shared" si="55"/>
        <v>0.55227504244482184</v>
      </c>
      <c r="O54" s="85">
        <f t="shared" si="55"/>
        <v>0.52389072847682117</v>
      </c>
      <c r="P54" s="85">
        <f t="shared" si="55"/>
        <v>0.52893617021276595</v>
      </c>
      <c r="Q54" s="85">
        <f t="shared" si="55"/>
        <v>0.6125774877650898</v>
      </c>
      <c r="R54" s="85">
        <f t="shared" si="55"/>
        <v>0.62112012987012988</v>
      </c>
      <c r="S54" s="85">
        <f t="shared" si="55"/>
        <v>0.55260935143288081</v>
      </c>
      <c r="T54" s="85">
        <f t="shared" si="55"/>
        <v>0.57604904632152598</v>
      </c>
      <c r="U54" s="85">
        <f t="shared" si="55"/>
        <v>0.57355473554735548</v>
      </c>
      <c r="V54" s="85">
        <f t="shared" si="55"/>
        <v>0.54156682027649783</v>
      </c>
      <c r="W54" s="85">
        <f>W39/W37</f>
        <v>0.53557324840764331</v>
      </c>
      <c r="X54" s="85">
        <f>X39/X37</f>
        <v>0.5655395857029607</v>
      </c>
      <c r="AF54" s="85">
        <f t="shared" ref="AF54:AK54" si="56">AF39/AF37</f>
        <v>0.36747713414634148</v>
      </c>
      <c r="AG54" s="85">
        <f t="shared" si="56"/>
        <v>0.49138075313807528</v>
      </c>
      <c r="AH54" s="85">
        <f t="shared" si="56"/>
        <v>0.51201992753623182</v>
      </c>
      <c r="AI54" s="85">
        <f t="shared" si="56"/>
        <v>0.57190261865793779</v>
      </c>
      <c r="AJ54" s="85">
        <f t="shared" si="56"/>
        <v>0.5783779464642429</v>
      </c>
      <c r="AK54" s="85">
        <f t="shared" si="56"/>
        <v>0.56061728395061738</v>
      </c>
      <c r="AL54" s="93">
        <v>0.55000000000000004</v>
      </c>
      <c r="AM54" s="93">
        <v>0.56499999999999995</v>
      </c>
      <c r="AN54" s="93">
        <v>0.57499999999999996</v>
      </c>
      <c r="AO54" s="93">
        <v>0.59</v>
      </c>
      <c r="AP54" s="93">
        <v>0.6</v>
      </c>
      <c r="AQ54" s="93">
        <v>0.61</v>
      </c>
      <c r="AR54" s="93">
        <v>0.62</v>
      </c>
      <c r="AS54" s="93">
        <v>0.63</v>
      </c>
      <c r="AT54" s="93">
        <v>0.64</v>
      </c>
      <c r="AU54" s="93">
        <v>0.65</v>
      </c>
    </row>
    <row r="55" spans="2:99">
      <c r="B55" s="83" t="s">
        <v>55</v>
      </c>
      <c r="C55" s="85">
        <f t="shared" ref="C55:V55" si="57">C40/C37</f>
        <v>0.37906250000000002</v>
      </c>
      <c r="D55" s="85">
        <f t="shared" si="57"/>
        <v>0.40894736842105267</v>
      </c>
      <c r="E55" s="85">
        <f t="shared" si="57"/>
        <v>0.47189274447949525</v>
      </c>
      <c r="F55" s="85">
        <f t="shared" si="57"/>
        <v>0.73215633423180582</v>
      </c>
      <c r="G55" s="85">
        <f t="shared" si="57"/>
        <v>0.61720698254364093</v>
      </c>
      <c r="H55" s="85">
        <f t="shared" si="57"/>
        <v>0.55241735537190084</v>
      </c>
      <c r="I55" s="85">
        <f t="shared" si="57"/>
        <v>0.55529175050301804</v>
      </c>
      <c r="J55" s="85">
        <f t="shared" si="57"/>
        <v>0.60058490566037737</v>
      </c>
      <c r="K55" s="85">
        <f t="shared" si="57"/>
        <v>0.53483870967741931</v>
      </c>
      <c r="L55" s="85">
        <f t="shared" si="57"/>
        <v>0.49704460966542752</v>
      </c>
      <c r="M55" s="85">
        <f t="shared" si="57"/>
        <v>0.59570397111913365</v>
      </c>
      <c r="N55" s="85">
        <f t="shared" si="57"/>
        <v>0.4823429541595925</v>
      </c>
      <c r="O55" s="85">
        <f t="shared" si="57"/>
        <v>0.42365894039735097</v>
      </c>
      <c r="P55" s="85">
        <f t="shared" si="57"/>
        <v>0.44599018003273322</v>
      </c>
      <c r="Q55" s="85">
        <f t="shared" si="57"/>
        <v>0.41135399673735729</v>
      </c>
      <c r="R55" s="85">
        <f t="shared" si="57"/>
        <v>0.37258116883116871</v>
      </c>
      <c r="S55" s="85">
        <f t="shared" si="57"/>
        <v>0.34802413273001515</v>
      </c>
      <c r="T55" s="85">
        <f t="shared" si="57"/>
        <v>0.32908719346049048</v>
      </c>
      <c r="U55" s="85">
        <f t="shared" si="57"/>
        <v>0.33612546125461257</v>
      </c>
      <c r="V55" s="85">
        <f t="shared" si="57"/>
        <v>0.37088709677419351</v>
      </c>
      <c r="W55" s="85">
        <f>W40/W37</f>
        <v>0.3547770700636943</v>
      </c>
      <c r="X55" s="85">
        <f>X40/X37</f>
        <v>0.30293316789025604</v>
      </c>
      <c r="AF55" s="85">
        <f t="shared" ref="AF55:AK55" si="58">AF40/AF37</f>
        <v>0.50826219512195125</v>
      </c>
      <c r="AG55" s="85">
        <f t="shared" si="58"/>
        <v>0.58010460251046025</v>
      </c>
      <c r="AH55" s="85">
        <f t="shared" si="58"/>
        <v>0.52689764492753621</v>
      </c>
      <c r="AI55" s="85">
        <f t="shared" si="58"/>
        <v>0.41328150572831424</v>
      </c>
      <c r="AJ55" s="85">
        <f t="shared" si="58"/>
        <v>0.39349180982820614</v>
      </c>
      <c r="AK55" s="85">
        <f t="shared" si="58"/>
        <v>0.34681286549707602</v>
      </c>
      <c r="AL55" s="93">
        <v>0.35</v>
      </c>
      <c r="AM55" s="93">
        <v>0.32</v>
      </c>
      <c r="AN55" s="93">
        <v>0.28999999999999998</v>
      </c>
      <c r="AO55" s="93">
        <v>0.25600000000000001</v>
      </c>
      <c r="AP55" s="93">
        <v>0.23619999999999999</v>
      </c>
      <c r="AQ55" s="93">
        <v>0.223</v>
      </c>
      <c r="AR55" s="93">
        <v>0.21</v>
      </c>
      <c r="AS55" s="93">
        <v>0.2</v>
      </c>
      <c r="AT55" s="93">
        <v>0.19</v>
      </c>
      <c r="AU55" s="93">
        <v>0.18</v>
      </c>
    </row>
    <row r="56" spans="2:99">
      <c r="B56" s="83" t="s">
        <v>193</v>
      </c>
      <c r="C56" s="85">
        <f t="shared" ref="C56:V56" si="59">C41/C37</f>
        <v>0.33290625000000001</v>
      </c>
      <c r="D56" s="85">
        <f t="shared" si="59"/>
        <v>0.34858552631578948</v>
      </c>
      <c r="E56" s="85">
        <f t="shared" si="59"/>
        <v>0.39246056782334388</v>
      </c>
      <c r="F56" s="85">
        <f t="shared" si="59"/>
        <v>0.51822102425876004</v>
      </c>
      <c r="G56" s="85">
        <f t="shared" si="59"/>
        <v>0.47019950124688281</v>
      </c>
      <c r="H56" s="85">
        <f t="shared" si="59"/>
        <v>0.4025413223140496</v>
      </c>
      <c r="I56" s="85">
        <f t="shared" si="59"/>
        <v>0.38999999999999996</v>
      </c>
      <c r="J56" s="85">
        <f t="shared" si="59"/>
        <v>0.38299999999999984</v>
      </c>
      <c r="K56" s="85">
        <f t="shared" si="59"/>
        <v>0.43880455407969637</v>
      </c>
      <c r="L56" s="85">
        <f t="shared" si="59"/>
        <v>0.41468401486988848</v>
      </c>
      <c r="M56" s="85">
        <f t="shared" si="59"/>
        <v>0.37498194945848379</v>
      </c>
      <c r="N56" s="85">
        <f t="shared" si="59"/>
        <v>0.34117147707979628</v>
      </c>
      <c r="O56" s="85">
        <f t="shared" si="59"/>
        <v>0.35571192052980133</v>
      </c>
      <c r="P56" s="85">
        <f t="shared" si="59"/>
        <v>0.38842880523731588</v>
      </c>
      <c r="Q56" s="85">
        <f t="shared" si="59"/>
        <v>0.27398042414355633</v>
      </c>
      <c r="R56" s="85">
        <f t="shared" si="59"/>
        <v>0.25456168831168824</v>
      </c>
      <c r="S56" s="85">
        <f t="shared" si="59"/>
        <v>0.2460633484162896</v>
      </c>
      <c r="T56" s="85">
        <f t="shared" si="59"/>
        <v>0.23942779291553135</v>
      </c>
      <c r="U56" s="85">
        <f t="shared" si="59"/>
        <v>0.23103321033210333</v>
      </c>
      <c r="V56" s="85">
        <f t="shared" si="59"/>
        <v>0.23047235023041471</v>
      </c>
      <c r="W56" s="85">
        <f>W41/W37</f>
        <v>0.24184713375796177</v>
      </c>
      <c r="X56" s="85">
        <f>X41/X37</f>
        <v>0.18524454554854719</v>
      </c>
      <c r="AF56" s="85">
        <f t="shared" ref="AF56:AK56" si="60">AF41/AF37</f>
        <v>0.40333079268292688</v>
      </c>
      <c r="AG56" s="85">
        <f t="shared" si="60"/>
        <v>0.40805439330543936</v>
      </c>
      <c r="AH56" s="85">
        <f t="shared" si="60"/>
        <v>0.3908695652173913</v>
      </c>
      <c r="AI56" s="85">
        <f t="shared" si="60"/>
        <v>0.31789689034369883</v>
      </c>
      <c r="AJ56" s="85">
        <f t="shared" si="60"/>
        <v>0.2897443068318018</v>
      </c>
      <c r="AK56" s="85">
        <f t="shared" si="60"/>
        <v>0.23611435997400909</v>
      </c>
      <c r="AL56" s="93">
        <v>0.24</v>
      </c>
      <c r="AM56" s="93">
        <v>0.23</v>
      </c>
      <c r="AN56" s="93">
        <v>0.22</v>
      </c>
      <c r="AO56" s="93">
        <v>0.21</v>
      </c>
      <c r="AP56" s="93">
        <v>0.20499999999999999</v>
      </c>
      <c r="AQ56" s="93">
        <v>0.2</v>
      </c>
      <c r="AR56" s="93">
        <v>0.19500000000000001</v>
      </c>
      <c r="AS56" s="93">
        <v>0.19</v>
      </c>
      <c r="AT56" s="93">
        <v>0.185</v>
      </c>
      <c r="AU56" s="93">
        <v>0.18</v>
      </c>
    </row>
    <row r="57" spans="2:99">
      <c r="B57" s="83" t="s">
        <v>194</v>
      </c>
      <c r="C57" s="85">
        <f t="shared" ref="C57:V57" si="61">C42/C37</f>
        <v>0.25984374999999998</v>
      </c>
      <c r="D57" s="85">
        <f t="shared" si="61"/>
        <v>0.38894736842105265</v>
      </c>
      <c r="E57" s="85">
        <f t="shared" si="61"/>
        <v>0.37223974763406942</v>
      </c>
      <c r="F57" s="85">
        <f t="shared" si="61"/>
        <v>0.66665768194070074</v>
      </c>
      <c r="G57" s="85">
        <f t="shared" si="61"/>
        <v>0.51391521197007484</v>
      </c>
      <c r="H57" s="85">
        <f t="shared" si="61"/>
        <v>0.41101239669421491</v>
      </c>
      <c r="I57" s="85">
        <f t="shared" si="61"/>
        <v>0.41503018108651907</v>
      </c>
      <c r="J57" s="85">
        <f t="shared" si="61"/>
        <v>0.37016981132075472</v>
      </c>
      <c r="K57" s="85">
        <f t="shared" si="61"/>
        <v>0.40850094876660337</v>
      </c>
      <c r="L57" s="85">
        <f t="shared" si="61"/>
        <v>0.38143122676579927</v>
      </c>
      <c r="M57" s="85">
        <f t="shared" si="61"/>
        <v>0.36303249097472923</v>
      </c>
      <c r="N57" s="85">
        <f t="shared" si="61"/>
        <v>0.30380305602716479</v>
      </c>
      <c r="O57" s="85">
        <f t="shared" si="61"/>
        <v>0.31754966887417219</v>
      </c>
      <c r="P57" s="85">
        <f t="shared" si="61"/>
        <v>0.34212765957446806</v>
      </c>
      <c r="Q57" s="85">
        <f t="shared" si="61"/>
        <v>0.29549755301794456</v>
      </c>
      <c r="R57" s="85">
        <f t="shared" si="61"/>
        <v>0.30761363636363631</v>
      </c>
      <c r="S57" s="85">
        <f t="shared" si="61"/>
        <v>0.30144796380090499</v>
      </c>
      <c r="T57" s="85">
        <f t="shared" si="61"/>
        <v>0.25202997275204359</v>
      </c>
      <c r="U57" s="85">
        <f t="shared" si="61"/>
        <v>0.23141451414514147</v>
      </c>
      <c r="V57" s="85">
        <f t="shared" si="61"/>
        <v>0.35523041474654377</v>
      </c>
      <c r="W57" s="85">
        <f>W42/W37</f>
        <v>0.30877919320594477</v>
      </c>
      <c r="X57" s="85">
        <f>X42/X37</f>
        <v>0.19376658739185879</v>
      </c>
      <c r="AF57" s="85">
        <f t="shared" ref="AF57:AK57" si="62">AF42/AF37</f>
        <v>0.43195121951219512</v>
      </c>
      <c r="AG57" s="85">
        <f t="shared" si="62"/>
        <v>0.42231694560669458</v>
      </c>
      <c r="AH57" s="85">
        <f t="shared" si="62"/>
        <v>0.36256793478260868</v>
      </c>
      <c r="AI57" s="85">
        <f t="shared" si="62"/>
        <v>0.31565875613747957</v>
      </c>
      <c r="AJ57" s="85">
        <f t="shared" si="62"/>
        <v>0.31143827407111468</v>
      </c>
      <c r="AK57" s="85">
        <f t="shared" si="62"/>
        <v>0.28633203378817412</v>
      </c>
      <c r="AL57" s="93">
        <v>0.30499999999999999</v>
      </c>
      <c r="AM57" s="93">
        <v>0.28499999999999998</v>
      </c>
      <c r="AN57" s="93">
        <v>0.27500000000000002</v>
      </c>
      <c r="AO57" s="93">
        <v>0.26500000000000001</v>
      </c>
      <c r="AP57" s="93">
        <v>0.255</v>
      </c>
      <c r="AQ57" s="93">
        <v>0.245</v>
      </c>
      <c r="AR57" s="93">
        <v>0.23499999999999999</v>
      </c>
      <c r="AS57" s="93">
        <v>0.28633203378817412</v>
      </c>
      <c r="AT57" s="93">
        <v>0.28633203378817412</v>
      </c>
      <c r="AU57" s="93">
        <v>0.28633203378817412</v>
      </c>
    </row>
    <row r="58" spans="2:99">
      <c r="B58" s="37" t="s">
        <v>56</v>
      </c>
      <c r="C58" s="85">
        <f t="shared" ref="C58:V58" si="63">C43/C37</f>
        <v>-0.56950000000000001</v>
      </c>
      <c r="D58" s="85">
        <f t="shared" si="63"/>
        <v>-0.79845394736842124</v>
      </c>
      <c r="E58" s="85">
        <f t="shared" si="63"/>
        <v>-0.89309148264984239</v>
      </c>
      <c r="F58" s="85">
        <f t="shared" si="63"/>
        <v>-1.5431805929919131</v>
      </c>
      <c r="G58" s="85">
        <f t="shared" si="63"/>
        <v>-1.1905486284289277</v>
      </c>
      <c r="H58" s="85">
        <f t="shared" si="63"/>
        <v>-0.88202479338842976</v>
      </c>
      <c r="I58" s="85">
        <f t="shared" si="63"/>
        <v>-0.85786720321931564</v>
      </c>
      <c r="J58" s="85">
        <f t="shared" si="63"/>
        <v>-0.80498113207547173</v>
      </c>
      <c r="K58" s="85">
        <f t="shared" si="63"/>
        <v>-0.8481024667931687</v>
      </c>
      <c r="L58" s="85">
        <f t="shared" si="63"/>
        <v>-0.80373605947955407</v>
      </c>
      <c r="M58" s="85">
        <f t="shared" si="63"/>
        <v>-0.86350180505415175</v>
      </c>
      <c r="N58" s="85">
        <f t="shared" si="63"/>
        <v>-0.57504244482173172</v>
      </c>
      <c r="O58" s="85">
        <f t="shared" si="63"/>
        <v>-0.57302980132450321</v>
      </c>
      <c r="P58" s="85">
        <f t="shared" si="63"/>
        <v>-0.64761047463175125</v>
      </c>
      <c r="Q58" s="85">
        <f t="shared" si="63"/>
        <v>-0.36825448613376832</v>
      </c>
      <c r="R58" s="85">
        <f t="shared" si="63"/>
        <v>-0.31363636363636338</v>
      </c>
      <c r="S58" s="85">
        <f t="shared" si="63"/>
        <v>-0.34292609351432901</v>
      </c>
      <c r="T58" s="85">
        <f t="shared" si="63"/>
        <v>-0.24449591280653926</v>
      </c>
      <c r="U58" s="85">
        <f t="shared" si="63"/>
        <v>-0.22501845018450198</v>
      </c>
      <c r="V58" s="85">
        <f t="shared" si="63"/>
        <v>-0.41502304147465408</v>
      </c>
      <c r="W58" s="85">
        <f>W43/W37</f>
        <v>-0.36983014861995755</v>
      </c>
      <c r="X58" s="85">
        <f>X43/X37</f>
        <v>-0.11640471512770124</v>
      </c>
      <c r="AF58" s="85">
        <f t="shared" ref="AF58:AK58" si="64">AF43/AF37</f>
        <v>-0.97606707317073182</v>
      </c>
      <c r="AG58" s="85">
        <f t="shared" si="64"/>
        <v>-0.91909518828451886</v>
      </c>
      <c r="AH58" s="85">
        <f t="shared" si="64"/>
        <v>-0.76831521739130437</v>
      </c>
      <c r="AI58" s="85">
        <f t="shared" si="64"/>
        <v>-0.47493453355155474</v>
      </c>
      <c r="AJ58" s="85">
        <f t="shared" si="64"/>
        <v>-0.41629644426687978</v>
      </c>
      <c r="AK58" s="85">
        <f t="shared" si="64"/>
        <v>-0.30864197530864185</v>
      </c>
      <c r="AL58" s="93">
        <f>AL43/AL37</f>
        <v>-0.34500000000000003</v>
      </c>
      <c r="AM58" s="93">
        <f t="shared" ref="AM58:AU58" si="65">AM43/AM37</f>
        <v>-0.27000000000000018</v>
      </c>
      <c r="AN58" s="93">
        <f t="shared" si="65"/>
        <v>-0.21</v>
      </c>
      <c r="AO58" s="93">
        <f t="shared" si="65"/>
        <v>-0.14100000000000001</v>
      </c>
      <c r="AP58" s="93">
        <f t="shared" si="65"/>
        <v>-9.6200000000000049E-2</v>
      </c>
      <c r="AQ58" s="93">
        <f t="shared" si="65"/>
        <v>-5.8000000000000031E-2</v>
      </c>
      <c r="AR58" s="93">
        <f t="shared" si="65"/>
        <v>-1.9999999999999969E-2</v>
      </c>
      <c r="AS58" s="93">
        <f t="shared" si="65"/>
        <v>-4.6332033788174104E-2</v>
      </c>
      <c r="AT58" s="93">
        <f t="shared" si="65"/>
        <v>-2.1332033788174099E-2</v>
      </c>
      <c r="AU58" s="93">
        <f t="shared" si="65"/>
        <v>3.6679662118260059E-3</v>
      </c>
    </row>
    <row r="59" spans="2:99">
      <c r="B59" s="37" t="s">
        <v>57</v>
      </c>
      <c r="C59" s="85">
        <f t="shared" ref="C59:V59" si="66">C49/C48</f>
        <v>-8.9106859155902475E-3</v>
      </c>
      <c r="D59" s="85">
        <f t="shared" si="66"/>
        <v>-8.4162582306054733E-3</v>
      </c>
      <c r="E59" s="85">
        <f t="shared" si="66"/>
        <v>-9.5754246968187216E-3</v>
      </c>
      <c r="F59" s="85">
        <f t="shared" si="66"/>
        <v>-2.8799499139145413E-2</v>
      </c>
      <c r="G59" s="85">
        <f t="shared" si="66"/>
        <v>-7.1245433712250122E-3</v>
      </c>
      <c r="H59" s="85">
        <f t="shared" si="66"/>
        <v>-3.9061509194673431E-3</v>
      </c>
      <c r="I59" s="85">
        <f t="shared" si="66"/>
        <v>-1.10298736212658E-2</v>
      </c>
      <c r="J59" s="85">
        <f t="shared" si="66"/>
        <v>1.5840329478853175E-3</v>
      </c>
      <c r="K59" s="85">
        <f t="shared" si="66"/>
        <v>-8.9923842999414198E-3</v>
      </c>
      <c r="L59" s="85">
        <f t="shared" si="66"/>
        <v>-1.5580660705680781E-2</v>
      </c>
      <c r="M59" s="85">
        <f t="shared" si="66"/>
        <v>-9.4342129740359812E-3</v>
      </c>
      <c r="N59" s="85">
        <f t="shared" si="66"/>
        <v>1.4080808743886831E-2</v>
      </c>
      <c r="O59" s="85">
        <f t="shared" si="66"/>
        <v>-1.5298882004776578E-2</v>
      </c>
      <c r="P59" s="85">
        <f t="shared" si="66"/>
        <v>-2.3753409421920925E-2</v>
      </c>
      <c r="Q59" s="85">
        <f t="shared" si="66"/>
        <v>-1.2486265108380783E-3</v>
      </c>
      <c r="R59" s="85">
        <f t="shared" si="66"/>
        <v>-3.2223920969069758E-2</v>
      </c>
      <c r="S59" s="85">
        <f t="shared" si="66"/>
        <v>-7.9554222031718747E-2</v>
      </c>
      <c r="T59" s="85">
        <f t="shared" si="66"/>
        <v>-2.2508038585209021E-2</v>
      </c>
      <c r="U59" s="85">
        <f t="shared" si="66"/>
        <v>-1.3383600377002825E-2</v>
      </c>
      <c r="V59" s="85">
        <f t="shared" si="66"/>
        <v>-1.6323293186074884E-2</v>
      </c>
      <c r="W59" s="85">
        <f>W49/W48</f>
        <v>-7.3361342708492053E-3</v>
      </c>
      <c r="X59" s="85">
        <f>X49/X48</f>
        <v>-8.503480278422286E-2</v>
      </c>
      <c r="AF59" s="85">
        <f t="shared" ref="AF59:AK59" si="67">AF49/AF48</f>
        <v>-1.5626967257430215E-2</v>
      </c>
      <c r="AG59" s="85">
        <f t="shared" si="67"/>
        <v>-5.255092227799252E-3</v>
      </c>
      <c r="AH59" s="85">
        <f t="shared" si="67"/>
        <v>-5.8385271151228596E-3</v>
      </c>
      <c r="AI59" s="85">
        <f t="shared" si="67"/>
        <v>-2.0383136683017371E-2</v>
      </c>
      <c r="AJ59" s="85">
        <f t="shared" si="67"/>
        <v>-2.8474222419825636E-2</v>
      </c>
      <c r="AK59" s="85">
        <f t="shared" si="67"/>
        <v>-1.9225050798737882E-2</v>
      </c>
      <c r="AL59" s="93">
        <v>-1.9225050798737882E-2</v>
      </c>
      <c r="AM59" s="93">
        <v>0.01</v>
      </c>
      <c r="AN59" s="93">
        <v>0.02</v>
      </c>
      <c r="AO59" s="93">
        <v>0.03</v>
      </c>
      <c r="AP59" s="93">
        <v>0.03</v>
      </c>
      <c r="AQ59" s="93">
        <v>0.03</v>
      </c>
      <c r="AR59" s="93">
        <v>0.03</v>
      </c>
      <c r="AS59" s="93">
        <v>0.03</v>
      </c>
      <c r="AT59" s="93">
        <v>0.03</v>
      </c>
      <c r="AU59" s="93">
        <v>0.03</v>
      </c>
    </row>
    <row r="60" spans="2:99">
      <c r="B60" s="37" t="s">
        <v>58</v>
      </c>
      <c r="C60" s="85">
        <f t="shared" ref="C60:V60" si="68">C50/C37</f>
        <v>-0.91287499999999999</v>
      </c>
      <c r="D60" s="85">
        <f t="shared" si="68"/>
        <v>-0.67003289473684235</v>
      </c>
      <c r="E60" s="85">
        <f t="shared" si="68"/>
        <v>-1.310441640378549</v>
      </c>
      <c r="F60" s="85">
        <f t="shared" si="68"/>
        <v>-1.2401886792452825</v>
      </c>
      <c r="G60" s="85">
        <f t="shared" si="68"/>
        <v>-1.1069077306733168</v>
      </c>
      <c r="H60" s="85">
        <f t="shared" si="68"/>
        <v>-0.81774793388429756</v>
      </c>
      <c r="I60" s="85">
        <f t="shared" si="68"/>
        <v>-0.80965794768611643</v>
      </c>
      <c r="J60" s="85">
        <f t="shared" si="68"/>
        <v>-0.71354716981132071</v>
      </c>
      <c r="K60" s="85">
        <f t="shared" si="68"/>
        <v>-0.65364326375711568</v>
      </c>
      <c r="L60" s="85">
        <f t="shared" si="68"/>
        <v>-0.70513011152416372</v>
      </c>
      <c r="M60" s="85">
        <f t="shared" si="68"/>
        <v>-0.68563176895306865</v>
      </c>
      <c r="N60" s="85">
        <f t="shared" si="68"/>
        <v>-0.5099830220713073</v>
      </c>
      <c r="O60" s="85">
        <f t="shared" si="68"/>
        <v>-0.48564569536423829</v>
      </c>
      <c r="P60" s="85">
        <f t="shared" si="68"/>
        <v>-0.63273322422258593</v>
      </c>
      <c r="Q60" s="85">
        <f t="shared" si="68"/>
        <v>-0.32703099510603584</v>
      </c>
      <c r="R60" s="85">
        <f t="shared" si="68"/>
        <v>-0.56993506493506474</v>
      </c>
      <c r="S60" s="85">
        <f t="shared" si="68"/>
        <v>-0.18993966817496249</v>
      </c>
      <c r="T60" s="85">
        <f t="shared" si="68"/>
        <v>-0.307602179836512</v>
      </c>
      <c r="U60" s="85">
        <f t="shared" si="68"/>
        <v>-0.7273800738007381</v>
      </c>
      <c r="V60" s="85">
        <f t="shared" si="68"/>
        <v>-1.7566820276497694</v>
      </c>
      <c r="W60" s="85">
        <f>W50/W37</f>
        <v>-1.4736942675159235</v>
      </c>
      <c r="X60" s="85">
        <f>X50/X37</f>
        <v>-8.059318236652524E-2</v>
      </c>
      <c r="AF60" s="85">
        <f t="shared" ref="AF60:AK60" si="69">AF50/AF37</f>
        <v>-1.0452210365853658</v>
      </c>
      <c r="AG60" s="85">
        <f t="shared" si="69"/>
        <v>-0.84740585774058585</v>
      </c>
      <c r="AH60" s="85">
        <f t="shared" si="69"/>
        <v>-0.63589221014492758</v>
      </c>
      <c r="AI60" s="85">
        <f t="shared" si="69"/>
        <v>-0.50387888707037631</v>
      </c>
      <c r="AJ60" s="85">
        <f t="shared" si="69"/>
        <v>-0.42512185377546946</v>
      </c>
      <c r="AK60" s="85">
        <f t="shared" si="69"/>
        <v>-0.80177712800519807</v>
      </c>
      <c r="AL60" s="93">
        <f>AL50/AL37</f>
        <v>9.5279734312930256E-2</v>
      </c>
      <c r="AM60" s="93">
        <f t="shared" ref="AM60:AU60" si="70">AM50/AM37</f>
        <v>6.7877555158597128E-2</v>
      </c>
      <c r="AN60" s="93">
        <f t="shared" si="70"/>
        <v>5.6636563784292777E-2</v>
      </c>
      <c r="AO60" s="93">
        <f t="shared" si="70"/>
        <v>8.8690633124568138E-2</v>
      </c>
      <c r="AP60" s="93">
        <f t="shared" si="70"/>
        <v>0.10819068470583171</v>
      </c>
      <c r="AQ60" s="93">
        <f t="shared" si="70"/>
        <v>0.13429154082168068</v>
      </c>
      <c r="AR60" s="93">
        <f t="shared" si="70"/>
        <v>0.17244108164703889</v>
      </c>
      <c r="AS60" s="93">
        <f t="shared" si="70"/>
        <v>0.16184332099298679</v>
      </c>
      <c r="AT60" s="93">
        <f t="shared" si="70"/>
        <v>0.20090466200454571</v>
      </c>
      <c r="AU60" s="93">
        <f t="shared" si="70"/>
        <v>0.25208782909283761</v>
      </c>
    </row>
    <row r="61" spans="2:99">
      <c r="X61" s="1"/>
    </row>
    <row r="62" spans="2:99" ht="15">
      <c r="B62" s="81" t="s">
        <v>59</v>
      </c>
      <c r="C62" s="81"/>
      <c r="D62" s="81"/>
      <c r="E62" s="81"/>
      <c r="F62" s="81"/>
      <c r="G62" s="81"/>
      <c r="H62" s="81"/>
      <c r="I62" s="81"/>
      <c r="J62" s="81"/>
      <c r="K62" s="81"/>
      <c r="L62" s="81"/>
      <c r="M62" s="81"/>
      <c r="N62" s="81">
        <v>83.866</v>
      </c>
      <c r="O62" s="81">
        <v>107.367</v>
      </c>
      <c r="P62" s="81">
        <v>148.28800000000001</v>
      </c>
      <c r="Q62" s="81">
        <v>138.96899999999999</v>
      </c>
      <c r="R62" s="81">
        <v>118.048</v>
      </c>
      <c r="S62" s="81">
        <v>133.471</v>
      </c>
      <c r="T62" s="81">
        <v>181.08699999999999</v>
      </c>
      <c r="U62" s="81">
        <v>443.34899999999999</v>
      </c>
      <c r="V62" s="81">
        <v>229.441</v>
      </c>
      <c r="W62" s="81">
        <v>368.09</v>
      </c>
      <c r="X62" s="81">
        <v>415.13</v>
      </c>
      <c r="AH62" s="81"/>
      <c r="AI62" s="81">
        <f>N62</f>
        <v>83.866</v>
      </c>
      <c r="AJ62" s="81">
        <f>R62</f>
        <v>118.048</v>
      </c>
      <c r="AK62" s="81">
        <f>V62</f>
        <v>229.441</v>
      </c>
      <c r="AL62" s="92">
        <f>SUM(AK62:AK64)+AL50</f>
        <v>683.7550304624915</v>
      </c>
      <c r="AM62" s="92">
        <f t="shared" ref="AM62:AU62" si="71">AL62+AM50</f>
        <v>726.14806994202468</v>
      </c>
      <c r="AN62" s="92">
        <f t="shared" si="71"/>
        <v>773.67276810437568</v>
      </c>
      <c r="AO62" s="92">
        <f t="shared" si="71"/>
        <v>865.08708655650025</v>
      </c>
      <c r="AP62" s="92">
        <f t="shared" si="71"/>
        <v>1004.7411860918936</v>
      </c>
      <c r="AQ62" s="92">
        <f t="shared" si="71"/>
        <v>1217.8922607676477</v>
      </c>
      <c r="AR62" s="92">
        <f t="shared" si="71"/>
        <v>1547.8425479805983</v>
      </c>
      <c r="AS62" s="92">
        <f t="shared" si="71"/>
        <v>1913.4222775360297</v>
      </c>
      <c r="AT62" s="92">
        <f t="shared" si="71"/>
        <v>2437.381318341816</v>
      </c>
      <c r="AU62" s="92">
        <f t="shared" si="71"/>
        <v>3184.6881158281549</v>
      </c>
      <c r="AW62" s="72" t="s">
        <v>103</v>
      </c>
      <c r="AZ62" s="45" t="s">
        <v>126</v>
      </c>
      <c r="BA62" s="46"/>
      <c r="BB62" s="73" t="s">
        <v>102</v>
      </c>
      <c r="BC62" s="46"/>
      <c r="BD62" s="47" t="s">
        <v>104</v>
      </c>
      <c r="BE62" s="48">
        <v>0.3125</v>
      </c>
      <c r="BF62" s="46"/>
    </row>
    <row r="63" spans="2:99" ht="13.5" customHeight="1">
      <c r="B63" s="81" t="s">
        <v>217</v>
      </c>
      <c r="C63" s="81"/>
      <c r="D63" s="81"/>
      <c r="E63" s="81"/>
      <c r="F63" s="81"/>
      <c r="G63" s="81"/>
      <c r="H63" s="81"/>
      <c r="I63" s="81"/>
      <c r="J63" s="81"/>
      <c r="K63" s="81"/>
      <c r="L63" s="81"/>
      <c r="M63" s="81"/>
      <c r="N63" s="81">
        <v>8.36</v>
      </c>
      <c r="O63" s="81">
        <v>8.8000000000000007</v>
      </c>
      <c r="P63" s="81">
        <v>8.8019999999999996</v>
      </c>
      <c r="Q63" s="81">
        <v>6.5250000000000004</v>
      </c>
      <c r="R63" s="81">
        <v>6.5979999999999999</v>
      </c>
      <c r="S63" s="81">
        <v>6.6070000000000002</v>
      </c>
      <c r="T63" s="81">
        <v>6.3159999999999998</v>
      </c>
      <c r="U63" s="81">
        <v>0.90600000000000003</v>
      </c>
      <c r="V63" s="81">
        <v>0.64200000000000002</v>
      </c>
      <c r="W63" s="81">
        <v>0.89600000000000002</v>
      </c>
      <c r="X63" s="81">
        <v>1.891</v>
      </c>
      <c r="AH63" s="81"/>
      <c r="AI63" s="81">
        <f t="shared" ref="AI63:AI90" si="72">N63</f>
        <v>8.36</v>
      </c>
      <c r="AJ63" s="81">
        <f t="shared" ref="AJ63:AJ90" si="73">R63</f>
        <v>6.5979999999999999</v>
      </c>
      <c r="AK63" s="81">
        <f t="shared" ref="AK63:AK90" si="74">V63</f>
        <v>0.64200000000000002</v>
      </c>
      <c r="AW63" s="46">
        <v>2025</v>
      </c>
      <c r="AX63" s="46">
        <v>2026</v>
      </c>
      <c r="AZ63" s="45" t="s">
        <v>1261</v>
      </c>
      <c r="BA63" s="46"/>
      <c r="BB63" s="46">
        <v>2025</v>
      </c>
      <c r="BC63" s="46"/>
      <c r="BD63" s="47" t="s">
        <v>105</v>
      </c>
      <c r="BE63" s="48">
        <v>2.4500000000000001E-2</v>
      </c>
      <c r="BF63" s="46"/>
    </row>
    <row r="64" spans="2:99" ht="13.5" customHeight="1">
      <c r="B64" s="81" t="s">
        <v>60</v>
      </c>
      <c r="C64" s="81"/>
      <c r="D64" s="81"/>
      <c r="E64" s="81"/>
      <c r="F64" s="81"/>
      <c r="G64" s="81"/>
      <c r="H64" s="81"/>
      <c r="I64" s="81"/>
      <c r="J64" s="81"/>
      <c r="K64" s="81"/>
      <c r="L64" s="81"/>
      <c r="M64" s="81"/>
      <c r="N64" s="81">
        <v>215.041</v>
      </c>
      <c r="O64" s="81">
        <v>168.21799999999999</v>
      </c>
      <c r="P64" s="81">
        <v>101.102</v>
      </c>
      <c r="Q64" s="81">
        <v>103.255</v>
      </c>
      <c r="R64" s="81">
        <v>104.027</v>
      </c>
      <c r="S64" s="81">
        <v>92.623999999999995</v>
      </c>
      <c r="T64" s="81">
        <v>90.45</v>
      </c>
      <c r="U64" s="81">
        <v>233.97499999999999</v>
      </c>
      <c r="V64" s="81">
        <v>410.649</v>
      </c>
      <c r="W64" s="81">
        <v>362.745</v>
      </c>
      <c r="X64" s="81">
        <v>450.28800000000001</v>
      </c>
      <c r="AH64" s="81"/>
      <c r="AI64" s="81">
        <f t="shared" si="72"/>
        <v>215.041</v>
      </c>
      <c r="AJ64" s="81">
        <f t="shared" si="73"/>
        <v>104.027</v>
      </c>
      <c r="AK64" s="81">
        <f t="shared" si="74"/>
        <v>410.649</v>
      </c>
      <c r="AW64" s="50">
        <f>SUM(AJ62:AJ67)-AJ71-AJ77+AJ68+AJ70</f>
        <v>530.26700000000005</v>
      </c>
      <c r="AX64" s="50">
        <f>SUM(AK62:AK67)-AK71-AK77+AK68+AK70</f>
        <v>1032.1420000000001</v>
      </c>
      <c r="AZ64" s="50">
        <f>AVERAGE(AW64:AX64)</f>
        <v>781.20450000000005</v>
      </c>
      <c r="BA64" s="46"/>
      <c r="BB64" s="98">
        <f>AVERAGE(AL43)*(1-AL59)</f>
        <v>-158.77775058962055</v>
      </c>
      <c r="BC64" s="46"/>
      <c r="BD64" s="47" t="s">
        <v>106</v>
      </c>
      <c r="BE64" s="48">
        <v>4.4699999999999997E-2</v>
      </c>
      <c r="BF64" s="46"/>
    </row>
    <row r="65" spans="2:58" ht="13.5" customHeight="1">
      <c r="B65" s="81" t="s">
        <v>218</v>
      </c>
      <c r="C65" s="81"/>
      <c r="D65" s="81"/>
      <c r="E65" s="81"/>
      <c r="F65" s="81"/>
      <c r="G65" s="81"/>
      <c r="H65" s="81"/>
      <c r="I65" s="81"/>
      <c r="J65" s="81"/>
      <c r="K65" s="81"/>
      <c r="L65" s="81"/>
      <c r="M65" s="81"/>
      <c r="N65" s="81">
        <v>43.32</v>
      </c>
      <c r="O65" s="81">
        <v>38.527000000000001</v>
      </c>
      <c r="P65" s="81">
        <v>43.926000000000002</v>
      </c>
      <c r="Q65" s="81">
        <v>38.853000000000002</v>
      </c>
      <c r="R65" s="81">
        <v>55.832999999999998</v>
      </c>
      <c r="S65" s="81">
        <v>74.662999999999997</v>
      </c>
      <c r="T65" s="81">
        <v>51.633000000000003</v>
      </c>
      <c r="U65" s="81">
        <v>46.332000000000001</v>
      </c>
      <c r="V65" s="81">
        <v>83.528000000000006</v>
      </c>
      <c r="W65" s="81">
        <v>61.604999999999997</v>
      </c>
      <c r="X65" s="81">
        <v>59.87</v>
      </c>
      <c r="AH65" s="81"/>
      <c r="AI65" s="81">
        <f t="shared" si="72"/>
        <v>43.32</v>
      </c>
      <c r="AJ65" s="81">
        <f t="shared" si="73"/>
        <v>55.832999999999998</v>
      </c>
      <c r="AK65" s="81">
        <f t="shared" si="74"/>
        <v>83.528000000000006</v>
      </c>
      <c r="AX65" s="46"/>
      <c r="AY65" s="46"/>
      <c r="AZ65" s="46"/>
      <c r="BA65" s="46"/>
      <c r="BB65" s="51">
        <f>BB64/AZ64</f>
        <v>-0.20324735788083728</v>
      </c>
      <c r="BC65" s="46"/>
      <c r="BD65" s="47" t="s">
        <v>107</v>
      </c>
      <c r="BE65" s="48">
        <f>4.75%-BE64</f>
        <v>2.8000000000000039E-3</v>
      </c>
      <c r="BF65" s="46"/>
    </row>
    <row r="66" spans="2:58" ht="13.5" customHeight="1">
      <c r="B66" s="81" t="s">
        <v>219</v>
      </c>
      <c r="C66" s="81"/>
      <c r="D66" s="81"/>
      <c r="E66" s="81"/>
      <c r="F66" s="81"/>
      <c r="G66" s="81"/>
      <c r="H66" s="81"/>
      <c r="I66" s="81"/>
      <c r="J66" s="81"/>
      <c r="K66" s="81"/>
      <c r="L66" s="81"/>
      <c r="M66" s="81"/>
      <c r="N66" s="81">
        <v>0</v>
      </c>
      <c r="O66" s="81">
        <v>0</v>
      </c>
      <c r="P66" s="81">
        <v>0</v>
      </c>
      <c r="Q66" s="81">
        <v>0</v>
      </c>
      <c r="R66" s="81">
        <v>0</v>
      </c>
      <c r="S66" s="81">
        <v>0</v>
      </c>
      <c r="T66" s="81">
        <v>0</v>
      </c>
      <c r="U66" s="81">
        <v>0</v>
      </c>
      <c r="V66" s="81">
        <v>6.1180000000000003</v>
      </c>
      <c r="W66" s="81">
        <v>9.343</v>
      </c>
      <c r="X66" s="81">
        <v>8.8520000000000003</v>
      </c>
      <c r="AH66" s="81"/>
      <c r="AI66" s="81">
        <f t="shared" si="72"/>
        <v>0</v>
      </c>
      <c r="AJ66" s="81">
        <f t="shared" si="73"/>
        <v>0</v>
      </c>
      <c r="AK66" s="81">
        <f t="shared" si="74"/>
        <v>6.1180000000000003</v>
      </c>
      <c r="AW66" s="52" t="s">
        <v>116</v>
      </c>
      <c r="AX66" s="46"/>
      <c r="AY66" s="46"/>
      <c r="BA66" s="46"/>
      <c r="BB66" s="46"/>
      <c r="BC66" s="46"/>
      <c r="BD66" s="47" t="s">
        <v>108</v>
      </c>
      <c r="BE66" s="53">
        <f>AZ74</f>
        <v>2.9471352753836424</v>
      </c>
      <c r="BF66" s="46"/>
    </row>
    <row r="67" spans="2:58" ht="13.5" customHeight="1">
      <c r="B67" s="81" t="s">
        <v>220</v>
      </c>
      <c r="C67" s="81"/>
      <c r="D67" s="81"/>
      <c r="E67" s="81"/>
      <c r="F67" s="81"/>
      <c r="G67" s="81"/>
      <c r="H67" s="81"/>
      <c r="I67" s="81"/>
      <c r="J67" s="81"/>
      <c r="K67" s="81"/>
      <c r="L67" s="81"/>
      <c r="M67" s="81"/>
      <c r="N67" s="81">
        <v>19.564</v>
      </c>
      <c r="O67" s="81">
        <v>23.044</v>
      </c>
      <c r="P67" s="81">
        <v>24.628</v>
      </c>
      <c r="Q67" s="81">
        <v>13.992000000000001</v>
      </c>
      <c r="R67" s="81">
        <v>17.719000000000001</v>
      </c>
      <c r="S67" s="81">
        <v>17.446999999999999</v>
      </c>
      <c r="T67" s="81">
        <v>25.977</v>
      </c>
      <c r="U67" s="81">
        <v>29.581</v>
      </c>
      <c r="V67" s="81">
        <v>44.984000000000002</v>
      </c>
      <c r="W67" s="81">
        <v>46.298999999999999</v>
      </c>
      <c r="X67" s="81">
        <v>62.759</v>
      </c>
      <c r="AH67" s="81"/>
      <c r="AI67" s="81">
        <f t="shared" si="72"/>
        <v>19.564</v>
      </c>
      <c r="AJ67" s="81">
        <f t="shared" si="73"/>
        <v>17.719000000000001</v>
      </c>
      <c r="AK67" s="81">
        <f t="shared" si="74"/>
        <v>44.984000000000002</v>
      </c>
      <c r="AW67" s="60" t="s">
        <v>117</v>
      </c>
      <c r="AZ67" s="49">
        <f>Main!C5</f>
        <v>6267.7234199999994</v>
      </c>
      <c r="BA67" s="46"/>
      <c r="BC67" s="46"/>
      <c r="BD67" s="47" t="s">
        <v>109</v>
      </c>
      <c r="BE67" s="48">
        <f>+BE64+(BE65*BE66)</f>
        <v>5.2951978771074208E-2</v>
      </c>
      <c r="BF67" s="46"/>
    </row>
    <row r="68" spans="2:58" ht="13.5" customHeight="1">
      <c r="B68" s="81" t="s">
        <v>253</v>
      </c>
      <c r="C68" s="81"/>
      <c r="D68" s="81"/>
      <c r="E68" s="81"/>
      <c r="F68" s="81"/>
      <c r="G68" s="81"/>
      <c r="H68" s="81"/>
      <c r="I68" s="81"/>
      <c r="J68" s="81"/>
      <c r="K68" s="81"/>
      <c r="L68" s="81"/>
      <c r="M68" s="81"/>
      <c r="N68" s="81">
        <v>113.429</v>
      </c>
      <c r="O68" s="81">
        <v>111.33799999999999</v>
      </c>
      <c r="P68" s="81">
        <v>113.227</v>
      </c>
      <c r="Q68" s="81">
        <v>116.92</v>
      </c>
      <c r="R68" s="81">
        <v>121.749</v>
      </c>
      <c r="S68" s="81">
        <v>122.473</v>
      </c>
      <c r="T68" s="81">
        <v>131.28800000000001</v>
      </c>
      <c r="U68" s="81">
        <v>145.084</v>
      </c>
      <c r="V68" s="81">
        <v>150.57300000000001</v>
      </c>
      <c r="W68" s="81">
        <v>159.14500000000001</v>
      </c>
      <c r="X68" s="81">
        <v>176.09</v>
      </c>
      <c r="AH68" s="81"/>
      <c r="AI68" s="81">
        <f t="shared" si="72"/>
        <v>113.429</v>
      </c>
      <c r="AJ68" s="81">
        <f t="shared" si="73"/>
        <v>121.749</v>
      </c>
      <c r="AK68" s="81">
        <f t="shared" si="74"/>
        <v>150.57300000000001</v>
      </c>
      <c r="AW68" s="60" t="s">
        <v>118</v>
      </c>
      <c r="AZ68" s="59">
        <f>Main!C7/(Main!C7+AZ67)</f>
        <v>6.674455633524802E-2</v>
      </c>
      <c r="BA68" s="52"/>
      <c r="BC68" s="46"/>
      <c r="BD68" s="47"/>
      <c r="BE68" s="46"/>
      <c r="BF68" s="46"/>
    </row>
    <row r="69" spans="2:58" ht="13.5" customHeight="1">
      <c r="B69" s="81" t="s">
        <v>221</v>
      </c>
      <c r="C69" s="81"/>
      <c r="D69" s="81"/>
      <c r="E69" s="81"/>
      <c r="F69" s="81"/>
      <c r="G69" s="81"/>
      <c r="H69" s="81"/>
      <c r="I69" s="81"/>
      <c r="J69" s="81"/>
      <c r="K69" s="81"/>
      <c r="L69" s="81"/>
      <c r="M69" s="81"/>
      <c r="N69" s="81">
        <v>14.973000000000001</v>
      </c>
      <c r="O69" s="81">
        <v>16.065999999999999</v>
      </c>
      <c r="P69" s="81">
        <v>17.321999999999999</v>
      </c>
      <c r="Q69" s="81">
        <v>18.259</v>
      </c>
      <c r="R69" s="81">
        <v>18.974</v>
      </c>
      <c r="S69" s="81">
        <v>19.783000000000001</v>
      </c>
      <c r="T69" s="81">
        <v>20.567</v>
      </c>
      <c r="U69" s="81">
        <v>21.062000000000001</v>
      </c>
      <c r="V69" s="81">
        <v>21.475000000000001</v>
      </c>
      <c r="W69" s="81">
        <v>20.98</v>
      </c>
      <c r="X69" s="81">
        <v>22.050999999999998</v>
      </c>
      <c r="AH69" s="81"/>
      <c r="AI69" s="81">
        <f t="shared" si="72"/>
        <v>14.973000000000001</v>
      </c>
      <c r="AJ69" s="81">
        <f t="shared" si="73"/>
        <v>18.974</v>
      </c>
      <c r="AK69" s="81">
        <f t="shared" si="74"/>
        <v>21.475000000000001</v>
      </c>
      <c r="AW69" s="60" t="s">
        <v>119</v>
      </c>
      <c r="AZ69" s="59">
        <f>AZ67/(AZ67+Main!C7)</f>
        <v>0.93325544366475199</v>
      </c>
      <c r="BA69" s="46"/>
      <c r="BC69" s="46"/>
      <c r="BD69" s="47" t="s">
        <v>110</v>
      </c>
      <c r="BE69" s="49">
        <f>NPV(BE67,AL50:CS50)</f>
        <v>13685.196476588861</v>
      </c>
      <c r="BF69" s="46"/>
    </row>
    <row r="70" spans="2:58" ht="13.5" customHeight="1">
      <c r="B70" s="81" t="s">
        <v>222</v>
      </c>
      <c r="C70" s="81"/>
      <c r="D70" s="81"/>
      <c r="E70" s="81"/>
      <c r="F70" s="81"/>
      <c r="G70" s="81"/>
      <c r="H70" s="81"/>
      <c r="I70" s="81"/>
      <c r="J70" s="81"/>
      <c r="K70" s="81"/>
      <c r="L70" s="81"/>
      <c r="M70" s="81"/>
      <c r="N70" s="81">
        <v>136.256</v>
      </c>
      <c r="O70" s="81">
        <v>137.11000000000001</v>
      </c>
      <c r="P70" s="81">
        <v>137.32499999999999</v>
      </c>
      <c r="Q70" s="81">
        <v>137.411</v>
      </c>
      <c r="R70" s="81">
        <v>136.34899999999999</v>
      </c>
      <c r="S70" s="81">
        <v>138.49</v>
      </c>
      <c r="T70" s="81">
        <v>138.64400000000001</v>
      </c>
      <c r="U70" s="81">
        <v>138.95400000000001</v>
      </c>
      <c r="V70" s="81">
        <v>143.452</v>
      </c>
      <c r="W70" s="81">
        <v>143.11099999999999</v>
      </c>
      <c r="X70" s="81">
        <v>142.70099999999999</v>
      </c>
      <c r="AH70" s="81"/>
      <c r="AI70" s="81">
        <f t="shared" si="72"/>
        <v>136.256</v>
      </c>
      <c r="AJ70" s="81">
        <f t="shared" si="73"/>
        <v>136.34899999999999</v>
      </c>
      <c r="AK70" s="81">
        <f t="shared" si="74"/>
        <v>143.452</v>
      </c>
      <c r="AW70" s="61" t="s">
        <v>134</v>
      </c>
      <c r="AX70" s="34"/>
      <c r="AY70" s="34"/>
      <c r="AZ70" s="62">
        <f>AK86/AK89</f>
        <v>2.3716055213844855</v>
      </c>
      <c r="BA70" s="46"/>
      <c r="BB70" s="46"/>
      <c r="BC70" s="46"/>
      <c r="BD70" s="47" t="s">
        <v>71</v>
      </c>
      <c r="BE70" s="50">
        <f>Main!C4</f>
        <v>359.59399999999999</v>
      </c>
      <c r="BF70" s="63"/>
    </row>
    <row r="71" spans="2:58" ht="13.5" customHeight="1">
      <c r="B71" s="81" t="s">
        <v>223</v>
      </c>
      <c r="C71" s="81"/>
      <c r="D71" s="81"/>
      <c r="E71" s="81"/>
      <c r="F71" s="81"/>
      <c r="G71" s="81"/>
      <c r="H71" s="81"/>
      <c r="I71" s="81"/>
      <c r="J71" s="81"/>
      <c r="K71" s="81"/>
      <c r="L71" s="81"/>
      <c r="M71" s="81"/>
      <c r="N71" s="81">
        <v>32.448</v>
      </c>
      <c r="O71" s="81">
        <v>31.402999999999999</v>
      </c>
      <c r="P71" s="81">
        <v>30.405000000000001</v>
      </c>
      <c r="Q71" s="81">
        <v>29.231000000000002</v>
      </c>
      <c r="R71" s="81">
        <v>27.452000000000002</v>
      </c>
      <c r="S71" s="81">
        <v>27.76</v>
      </c>
      <c r="T71" s="81">
        <v>26.623999999999999</v>
      </c>
      <c r="U71" s="81">
        <v>25.536999999999999</v>
      </c>
      <c r="V71" s="81">
        <v>26.632999999999999</v>
      </c>
      <c r="W71" s="81">
        <v>25.155999999999999</v>
      </c>
      <c r="X71" s="81">
        <v>28.431000000000001</v>
      </c>
      <c r="AH71" s="81"/>
      <c r="AI71" s="81">
        <f t="shared" si="72"/>
        <v>32.448</v>
      </c>
      <c r="AJ71" s="81">
        <f t="shared" si="73"/>
        <v>27.452000000000002</v>
      </c>
      <c r="AK71" s="81">
        <f t="shared" si="74"/>
        <v>26.632999999999999</v>
      </c>
      <c r="BA71" s="46"/>
      <c r="BB71" s="46"/>
      <c r="BC71" s="46"/>
      <c r="BD71" s="47" t="s">
        <v>111</v>
      </c>
      <c r="BE71" s="53">
        <f>BE69/BE70</f>
        <v>38.057354896324355</v>
      </c>
      <c r="BF71" s="45"/>
    </row>
    <row r="72" spans="2:58" ht="13.5" customHeight="1">
      <c r="B72" s="81" t="s">
        <v>225</v>
      </c>
      <c r="C72" s="81"/>
      <c r="D72" s="81"/>
      <c r="E72" s="81"/>
      <c r="F72" s="81"/>
      <c r="G72" s="81"/>
      <c r="H72" s="81"/>
      <c r="I72" s="81"/>
      <c r="J72" s="81"/>
      <c r="K72" s="81"/>
      <c r="L72" s="81"/>
      <c r="M72" s="81"/>
      <c r="N72" s="81">
        <v>9.9719999999999995</v>
      </c>
      <c r="O72" s="81">
        <v>9.5640000000000001</v>
      </c>
      <c r="P72" s="81">
        <v>9.5389999999999997</v>
      </c>
      <c r="Q72" s="81">
        <v>4.4370000000000003</v>
      </c>
      <c r="R72" s="81">
        <v>5.3479999999999999</v>
      </c>
      <c r="S72" s="81">
        <v>5.5259999999999998</v>
      </c>
      <c r="T72" s="81">
        <v>5.5270000000000001</v>
      </c>
      <c r="U72" s="81">
        <v>5.367</v>
      </c>
      <c r="V72" s="81">
        <v>5.4710000000000001</v>
      </c>
      <c r="W72" s="81">
        <v>6.61</v>
      </c>
      <c r="X72" s="81">
        <v>6.6070000000000002</v>
      </c>
      <c r="AH72" s="81"/>
      <c r="AI72" s="81">
        <f t="shared" si="72"/>
        <v>9.9719999999999995</v>
      </c>
      <c r="AJ72" s="81">
        <f t="shared" si="73"/>
        <v>5.3479999999999999</v>
      </c>
      <c r="AK72" s="81">
        <f t="shared" si="74"/>
        <v>5.4710000000000001</v>
      </c>
      <c r="AW72" s="34" t="s">
        <v>115</v>
      </c>
      <c r="AZ72" s="46"/>
      <c r="BA72" s="52"/>
      <c r="BB72" s="52"/>
      <c r="BC72" s="52"/>
      <c r="BD72" s="47" t="s">
        <v>112</v>
      </c>
      <c r="BE72" s="53">
        <f>Main!C3</f>
        <v>17.43</v>
      </c>
      <c r="BF72" s="54"/>
    </row>
    <row r="73" spans="2:58" ht="13.5" customHeight="1">
      <c r="B73" s="81" t="s">
        <v>224</v>
      </c>
      <c r="C73" s="81"/>
      <c r="D73" s="81"/>
      <c r="E73" s="81"/>
      <c r="F73" s="81"/>
      <c r="G73" s="81"/>
      <c r="H73" s="81"/>
      <c r="I73" s="81"/>
      <c r="J73" s="81"/>
      <c r="K73" s="81"/>
      <c r="L73" s="81"/>
      <c r="M73" s="81"/>
      <c r="N73" s="81">
        <v>22.338999999999999</v>
      </c>
      <c r="O73" s="81">
        <v>20.966000000000001</v>
      </c>
      <c r="P73" s="81">
        <v>21.702999999999999</v>
      </c>
      <c r="Q73" s="81">
        <v>20.829000000000001</v>
      </c>
      <c r="R73" s="81">
        <v>19.751999999999999</v>
      </c>
      <c r="S73" s="81">
        <v>17.927</v>
      </c>
      <c r="T73" s="81">
        <v>16.099</v>
      </c>
      <c r="U73" s="81">
        <v>13.95</v>
      </c>
      <c r="V73" s="81">
        <v>14.587999999999999</v>
      </c>
      <c r="W73" s="81">
        <v>39.506999999999998</v>
      </c>
      <c r="X73" s="81">
        <v>48.871000000000002</v>
      </c>
      <c r="AH73" s="81"/>
      <c r="AI73" s="81">
        <f t="shared" si="72"/>
        <v>22.338999999999999</v>
      </c>
      <c r="AJ73" s="81">
        <f t="shared" si="73"/>
        <v>19.751999999999999</v>
      </c>
      <c r="AK73" s="81">
        <f t="shared" si="74"/>
        <v>14.587999999999999</v>
      </c>
      <c r="AW73" s="64" t="s">
        <v>106</v>
      </c>
      <c r="AZ73" s="59">
        <v>4.4699999999999997E-2</v>
      </c>
      <c r="BA73" s="46"/>
      <c r="BB73" s="46"/>
      <c r="BC73" s="46"/>
      <c r="BD73" s="47" t="s">
        <v>113</v>
      </c>
      <c r="BE73" s="48">
        <f>BE71/BE72-1</f>
        <v>1.1834397530880296</v>
      </c>
      <c r="BF73" s="88" t="str">
        <f>IF(BE73&gt;0,"Upside","Downside")</f>
        <v>Upside</v>
      </c>
    </row>
    <row r="74" spans="2:58" ht="13.5" customHeight="1">
      <c r="B74" s="81" t="s">
        <v>226</v>
      </c>
      <c r="C74" s="81"/>
      <c r="D74" s="81"/>
      <c r="E74" s="81"/>
      <c r="F74" s="81"/>
      <c r="G74" s="81"/>
      <c r="H74" s="81"/>
      <c r="I74" s="81"/>
      <c r="J74" s="81"/>
      <c r="K74" s="81"/>
      <c r="L74" s="81"/>
      <c r="M74" s="81"/>
      <c r="N74" s="81">
        <v>2.4289999999999998</v>
      </c>
      <c r="O74" s="81">
        <v>2.1989999999999998</v>
      </c>
      <c r="P74" s="81">
        <f>2.084</f>
        <v>2.0840000000000001</v>
      </c>
      <c r="Q74" s="81">
        <v>2.0830000000000002</v>
      </c>
      <c r="R74" s="81">
        <v>1.9470000000000001</v>
      </c>
      <c r="S74" s="81">
        <v>1.615</v>
      </c>
      <c r="T74" s="81">
        <v>2.2130000000000001</v>
      </c>
      <c r="U74" s="81">
        <v>1.9630000000000001</v>
      </c>
      <c r="V74" s="81">
        <v>8.1319999999999997</v>
      </c>
      <c r="W74" s="81">
        <v>7.944</v>
      </c>
      <c r="X74" s="81">
        <v>7.423</v>
      </c>
      <c r="AH74" s="81"/>
      <c r="AI74" s="81">
        <f t="shared" si="72"/>
        <v>2.4289999999999998</v>
      </c>
      <c r="AJ74" s="81">
        <f t="shared" si="73"/>
        <v>1.9470000000000001</v>
      </c>
      <c r="AK74" s="81">
        <f t="shared" si="74"/>
        <v>8.1319999999999997</v>
      </c>
      <c r="AW74" s="64" t="s">
        <v>108</v>
      </c>
      <c r="AZ74" s="53">
        <f>'Notes | Quant Analysis'!S244</f>
        <v>2.9471352753836424</v>
      </c>
      <c r="BD74" s="99" t="str" cm="1">
        <f t="array" ref="BD74">_xlfn.IFS(BE73&gt;=25%,"Strong Buy",BE73&gt;=10.00001%,"Buy",AND(BE73&lt;=10%,BE73&gt;=-4.9999%),"Hold",AND(BE73&lt;=-5%,BE73&gt;=-14.999999%),"Sell",BE73&lt;=-15%,"Strong Sell")</f>
        <v>Strong Buy</v>
      </c>
      <c r="BE74" s="99"/>
    </row>
    <row r="75" spans="2:58" ht="13.5" customHeight="1">
      <c r="B75" s="82" t="s">
        <v>127</v>
      </c>
      <c r="C75" s="82"/>
      <c r="D75" s="82"/>
      <c r="E75" s="82"/>
      <c r="F75" s="82"/>
      <c r="G75" s="82"/>
      <c r="H75" s="82"/>
      <c r="I75" s="82"/>
      <c r="J75" s="82"/>
      <c r="K75" s="82"/>
      <c r="L75" s="82"/>
      <c r="M75" s="82"/>
      <c r="N75" s="82">
        <f t="shared" ref="N75:X75" si="75">SUM(N62:N74)</f>
        <v>701.99699999999996</v>
      </c>
      <c r="O75" s="82">
        <f t="shared" si="75"/>
        <v>674.60199999999998</v>
      </c>
      <c r="P75" s="82">
        <f t="shared" si="75"/>
        <v>658.35099999999977</v>
      </c>
      <c r="Q75" s="82">
        <f t="shared" si="75"/>
        <v>630.7639999999999</v>
      </c>
      <c r="R75" s="82">
        <f t="shared" si="75"/>
        <v>633.79599999999982</v>
      </c>
      <c r="S75" s="82">
        <f t="shared" si="75"/>
        <v>658.38599999999997</v>
      </c>
      <c r="T75" s="82">
        <f t="shared" si="75"/>
        <v>696.42500000000007</v>
      </c>
      <c r="U75" s="82">
        <f t="shared" si="75"/>
        <v>1106.0600000000002</v>
      </c>
      <c r="V75" s="82">
        <f t="shared" si="75"/>
        <v>1145.6860000000001</v>
      </c>
      <c r="W75" s="82">
        <f t="shared" si="75"/>
        <v>1251.4309999999998</v>
      </c>
      <c r="X75" s="82">
        <f t="shared" si="75"/>
        <v>1430.9639999999999</v>
      </c>
      <c r="AH75" s="82"/>
      <c r="AI75" s="82">
        <f t="shared" si="72"/>
        <v>701.99699999999996</v>
      </c>
      <c r="AJ75" s="82">
        <f t="shared" si="73"/>
        <v>633.79599999999982</v>
      </c>
      <c r="AK75" s="82">
        <f t="shared" si="74"/>
        <v>1145.6860000000001</v>
      </c>
      <c r="AW75" s="60" t="s">
        <v>120</v>
      </c>
      <c r="AZ75" s="59">
        <v>7.4999999999999997E-2</v>
      </c>
    </row>
    <row r="76" spans="2:58" ht="13.5" customHeight="1">
      <c r="B76" s="81"/>
      <c r="C76" s="81"/>
      <c r="D76" s="81"/>
      <c r="E76" s="81"/>
      <c r="F76" s="81"/>
      <c r="G76" s="81"/>
      <c r="H76" s="81"/>
      <c r="I76" s="81"/>
      <c r="J76" s="81"/>
      <c r="K76" s="81"/>
      <c r="L76" s="81"/>
      <c r="M76" s="81"/>
      <c r="N76" s="81"/>
      <c r="O76" s="81"/>
      <c r="P76" s="81"/>
      <c r="Q76" s="81"/>
      <c r="R76" s="81"/>
      <c r="S76" s="81"/>
      <c r="T76" s="81"/>
      <c r="U76" s="81"/>
      <c r="V76" s="81"/>
      <c r="W76" s="81"/>
      <c r="X76" s="81"/>
      <c r="AI76" s="81"/>
      <c r="AJ76" s="81"/>
      <c r="AK76" s="81"/>
      <c r="AW76" s="61" t="s">
        <v>121</v>
      </c>
      <c r="AX76" s="46"/>
      <c r="AY76" s="2"/>
      <c r="AZ76" s="62">
        <f>(AZ73+AZ74)*(AZ75-AZ73)</f>
        <v>9.0652608844124377E-2</v>
      </c>
    </row>
    <row r="77" spans="2:58" ht="13.5" customHeight="1">
      <c r="B77" s="81" t="s">
        <v>227</v>
      </c>
      <c r="C77" s="81"/>
      <c r="D77" s="81"/>
      <c r="E77" s="81"/>
      <c r="F77" s="81"/>
      <c r="G77" s="81"/>
      <c r="H77" s="81"/>
      <c r="I77" s="81"/>
      <c r="J77" s="81"/>
      <c r="K77" s="81"/>
      <c r="L77" s="81"/>
      <c r="M77" s="81"/>
      <c r="N77" s="81">
        <v>2.601</v>
      </c>
      <c r="O77" s="81">
        <v>3.1309999999999998</v>
      </c>
      <c r="P77" s="81">
        <v>2.3919999999999999</v>
      </c>
      <c r="Q77" s="81">
        <v>3.5720000000000001</v>
      </c>
      <c r="R77" s="81">
        <v>2.6040000000000001</v>
      </c>
      <c r="S77" s="81">
        <v>4.0970000000000004</v>
      </c>
      <c r="T77" s="81">
        <v>11.053000000000001</v>
      </c>
      <c r="U77" s="81">
        <v>3.448</v>
      </c>
      <c r="V77" s="81">
        <v>10.612</v>
      </c>
      <c r="W77" s="81">
        <v>9.0399999999999991</v>
      </c>
      <c r="X77" s="81">
        <v>10.355</v>
      </c>
      <c r="AH77" s="81"/>
      <c r="AI77" s="81">
        <f t="shared" si="72"/>
        <v>2.601</v>
      </c>
      <c r="AJ77" s="81">
        <f t="shared" si="73"/>
        <v>2.6040000000000001</v>
      </c>
      <c r="AK77" s="81">
        <f t="shared" si="74"/>
        <v>10.612</v>
      </c>
      <c r="AW77" s="66"/>
    </row>
    <row r="78" spans="2:58" ht="13.5" customHeight="1">
      <c r="B78" s="81" t="s">
        <v>228</v>
      </c>
      <c r="C78" s="81"/>
      <c r="D78" s="81"/>
      <c r="E78" s="81"/>
      <c r="F78" s="81"/>
      <c r="G78" s="81"/>
      <c r="H78" s="81"/>
      <c r="I78" s="81"/>
      <c r="J78" s="81"/>
      <c r="K78" s="81"/>
      <c r="L78" s="81"/>
      <c r="M78" s="81"/>
      <c r="N78" s="81">
        <v>44.779000000000003</v>
      </c>
      <c r="O78" s="81">
        <v>43.360999999999997</v>
      </c>
      <c r="P78" s="81">
        <v>56.838999999999999</v>
      </c>
      <c r="Q78" s="81">
        <v>43.67</v>
      </c>
      <c r="R78" s="81">
        <v>42.6</v>
      </c>
      <c r="S78" s="81">
        <v>28.823</v>
      </c>
      <c r="T78" s="81">
        <v>32.442999999999998</v>
      </c>
      <c r="U78" s="81">
        <v>28.652000000000001</v>
      </c>
      <c r="V78" s="81">
        <v>55.874000000000002</v>
      </c>
      <c r="W78" s="81">
        <v>58.539000000000001</v>
      </c>
      <c r="X78" s="81">
        <v>56.078000000000003</v>
      </c>
      <c r="AH78" s="81"/>
      <c r="AI78" s="81">
        <f t="shared" si="72"/>
        <v>44.779000000000003</v>
      </c>
      <c r="AJ78" s="81">
        <f t="shared" si="73"/>
        <v>42.6</v>
      </c>
      <c r="AK78" s="81">
        <f t="shared" si="74"/>
        <v>55.874000000000002</v>
      </c>
      <c r="AW78" s="34" t="s">
        <v>122</v>
      </c>
      <c r="AX78" s="67"/>
      <c r="AZ78" s="58"/>
    </row>
    <row r="79" spans="2:58" ht="13.5" customHeight="1">
      <c r="B79" s="81" t="s">
        <v>229</v>
      </c>
      <c r="C79" s="81"/>
      <c r="D79" s="81"/>
      <c r="E79" s="81"/>
      <c r="F79" s="81"/>
      <c r="G79" s="81"/>
      <c r="H79" s="81"/>
      <c r="I79" s="81"/>
      <c r="J79" s="81"/>
      <c r="K79" s="81"/>
      <c r="L79" s="81"/>
      <c r="M79" s="81"/>
      <c r="N79" s="81">
        <v>72.326999999999998</v>
      </c>
      <c r="O79" s="81">
        <v>63.646000000000001</v>
      </c>
      <c r="P79" s="81">
        <v>64.522999999999996</v>
      </c>
      <c r="Q79" s="81">
        <v>66.462000000000003</v>
      </c>
      <c r="R79" s="81">
        <v>82.275000000000006</v>
      </c>
      <c r="S79" s="81">
        <v>108.336</v>
      </c>
      <c r="T79" s="81">
        <v>148.006</v>
      </c>
      <c r="U79" s="81">
        <v>145.857</v>
      </c>
      <c r="V79" s="81">
        <v>220.572</v>
      </c>
      <c r="W79" s="81">
        <v>230.68199999999999</v>
      </c>
      <c r="X79" s="81">
        <v>281.21499999999997</v>
      </c>
      <c r="AH79" s="81"/>
      <c r="AI79" s="81">
        <f t="shared" si="72"/>
        <v>72.326999999999998</v>
      </c>
      <c r="AJ79" s="81">
        <f t="shared" si="73"/>
        <v>82.275000000000006</v>
      </c>
      <c r="AK79" s="81">
        <f t="shared" si="74"/>
        <v>220.572</v>
      </c>
      <c r="AW79" s="68" t="s">
        <v>122</v>
      </c>
      <c r="AZ79" s="69">
        <v>5.0000000000000001E-3</v>
      </c>
      <c r="BB79" s="65"/>
      <c r="BD79" s="47"/>
    </row>
    <row r="80" spans="2:58" ht="13.5" customHeight="1">
      <c r="B80" s="81" t="s">
        <v>230</v>
      </c>
      <c r="C80" s="81"/>
      <c r="D80" s="81"/>
      <c r="E80" s="81"/>
      <c r="F80" s="81"/>
      <c r="G80" s="81"/>
      <c r="H80" s="81"/>
      <c r="I80" s="81"/>
      <c r="J80" s="81"/>
      <c r="K80" s="81"/>
      <c r="L80" s="81"/>
      <c r="M80" s="81"/>
      <c r="N80" s="81">
        <v>8.9640000000000004</v>
      </c>
      <c r="O80" s="81">
        <v>8.0679999999999996</v>
      </c>
      <c r="P80" s="81">
        <v>7.1710000000000003</v>
      </c>
      <c r="Q80" s="81">
        <v>6.2750000000000004</v>
      </c>
      <c r="R80" s="81">
        <v>5.3780000000000001</v>
      </c>
      <c r="S80" s="81">
        <v>4.4820000000000002</v>
      </c>
      <c r="T80" s="81">
        <v>3.5859999999999999</v>
      </c>
      <c r="U80" s="81">
        <v>2.6890000000000001</v>
      </c>
      <c r="V80" s="81">
        <v>1.7929999999999999</v>
      </c>
      <c r="W80" s="81">
        <v>0.89600000000000002</v>
      </c>
      <c r="X80" s="81">
        <v>0</v>
      </c>
      <c r="AH80" s="81"/>
      <c r="AI80" s="81">
        <f t="shared" si="72"/>
        <v>8.9640000000000004</v>
      </c>
      <c r="AJ80" s="81">
        <f t="shared" si="73"/>
        <v>5.3780000000000001</v>
      </c>
      <c r="AK80" s="81">
        <f t="shared" si="74"/>
        <v>1.7929999999999999</v>
      </c>
      <c r="AW80" s="60" t="s">
        <v>123</v>
      </c>
      <c r="AZ80" s="59">
        <v>1.4999999999999999E-2</v>
      </c>
      <c r="BB80" s="65"/>
      <c r="BC80" s="59"/>
      <c r="BD80" s="47"/>
      <c r="BE80" s="2"/>
      <c r="BF80" s="2"/>
    </row>
    <row r="81" spans="1:99" ht="13.5" customHeight="1">
      <c r="B81" s="81" t="s">
        <v>231</v>
      </c>
      <c r="C81" s="81"/>
      <c r="D81" s="81"/>
      <c r="E81" s="81"/>
      <c r="F81" s="81"/>
      <c r="G81" s="81"/>
      <c r="H81" s="81"/>
      <c r="I81" s="81"/>
      <c r="J81" s="81"/>
      <c r="K81" s="81"/>
      <c r="L81" s="81"/>
      <c r="M81" s="81"/>
      <c r="N81" s="81">
        <v>7.9779999999999998</v>
      </c>
      <c r="O81" s="81">
        <v>8.1750000000000007</v>
      </c>
      <c r="P81" s="81">
        <v>8.7550000000000008</v>
      </c>
      <c r="Q81" s="81">
        <v>9.1050000000000004</v>
      </c>
      <c r="R81" s="81">
        <v>9.2210000000000001</v>
      </c>
      <c r="S81" s="81">
        <v>8.8160000000000007</v>
      </c>
      <c r="T81" s="81">
        <v>8.4030000000000005</v>
      </c>
      <c r="U81" s="81">
        <v>7.9429999999999996</v>
      </c>
      <c r="V81" s="81">
        <v>7.2960000000000003</v>
      </c>
      <c r="W81" s="81">
        <v>3.3919999999999999</v>
      </c>
      <c r="X81" s="81">
        <v>3.6219999999999999</v>
      </c>
      <c r="AH81" s="81"/>
      <c r="AI81" s="81">
        <f t="shared" si="72"/>
        <v>7.9779999999999998</v>
      </c>
      <c r="AJ81" s="81">
        <f t="shared" si="73"/>
        <v>9.2210000000000001</v>
      </c>
      <c r="AK81" s="81">
        <f t="shared" si="74"/>
        <v>7.2960000000000003</v>
      </c>
      <c r="AW81" s="70" t="s">
        <v>124</v>
      </c>
      <c r="AZ81" s="62">
        <f>AZ79*(1-AZ80)</f>
        <v>4.9249999999999997E-3</v>
      </c>
      <c r="BD81" s="47"/>
    </row>
    <row r="82" spans="1:99" ht="13.5" customHeight="1">
      <c r="B82" s="81" t="s">
        <v>234</v>
      </c>
      <c r="C82" s="81"/>
      <c r="D82" s="81"/>
      <c r="E82" s="81"/>
      <c r="F82" s="81"/>
      <c r="G82" s="81"/>
      <c r="H82" s="81"/>
      <c r="I82" s="81"/>
      <c r="J82" s="81"/>
      <c r="K82" s="81"/>
      <c r="L82" s="81"/>
      <c r="M82" s="81"/>
      <c r="N82" s="81">
        <v>0</v>
      </c>
      <c r="O82" s="81">
        <v>0</v>
      </c>
      <c r="P82" s="81">
        <v>0</v>
      </c>
      <c r="Q82" s="81">
        <v>0</v>
      </c>
      <c r="R82" s="81">
        <v>0</v>
      </c>
      <c r="S82" s="81">
        <v>0</v>
      </c>
      <c r="T82" s="81">
        <v>0</v>
      </c>
      <c r="U82" s="81">
        <v>0</v>
      </c>
      <c r="V82" s="81">
        <v>173.30799999999999</v>
      </c>
      <c r="W82" s="81">
        <v>0</v>
      </c>
      <c r="X82" s="81">
        <v>0</v>
      </c>
      <c r="AH82" s="81"/>
      <c r="AI82" s="81">
        <f t="shared" si="72"/>
        <v>0</v>
      </c>
      <c r="AJ82" s="81">
        <f t="shared" si="73"/>
        <v>0</v>
      </c>
      <c r="AK82" s="81">
        <f t="shared" si="74"/>
        <v>173.30799999999999</v>
      </c>
      <c r="BD82" s="47"/>
    </row>
    <row r="83" spans="1:99" ht="13.5" customHeight="1">
      <c r="B83" s="81" t="s">
        <v>232</v>
      </c>
      <c r="C83" s="81"/>
      <c r="D83" s="81"/>
      <c r="E83" s="81"/>
      <c r="F83" s="81"/>
      <c r="G83" s="81"/>
      <c r="H83" s="81"/>
      <c r="I83" s="81"/>
      <c r="J83" s="81"/>
      <c r="K83" s="81"/>
      <c r="L83" s="81"/>
      <c r="M83" s="81"/>
      <c r="N83" s="81">
        <v>5.2930000000000001</v>
      </c>
      <c r="O83" s="81">
        <v>13.247</v>
      </c>
      <c r="P83" s="81">
        <v>11.968999999999999</v>
      </c>
      <c r="Q83" s="81">
        <v>11.23</v>
      </c>
      <c r="R83" s="81">
        <v>11.182</v>
      </c>
      <c r="S83" s="81">
        <v>29.675999999999998</v>
      </c>
      <c r="T83" s="81">
        <v>25.013000000000002</v>
      </c>
      <c r="U83" s="81">
        <v>48.332000000000001</v>
      </c>
      <c r="V83" s="81">
        <v>27.521999999999998</v>
      </c>
      <c r="W83" s="81">
        <v>16.239999999999998</v>
      </c>
      <c r="X83" s="81">
        <v>17.364000000000001</v>
      </c>
      <c r="AH83" s="81"/>
      <c r="AI83" s="81">
        <f t="shared" si="72"/>
        <v>5.2930000000000001</v>
      </c>
      <c r="AJ83" s="81">
        <f t="shared" si="73"/>
        <v>11.182</v>
      </c>
      <c r="AK83" s="81">
        <f t="shared" si="74"/>
        <v>27.521999999999998</v>
      </c>
      <c r="AW83" s="34" t="s">
        <v>125</v>
      </c>
      <c r="AZ83" s="62">
        <f>(AZ69*AZ76)+(AZ68*AZ81*(1-AZ80))</f>
        <v>8.4925826872042337E-2</v>
      </c>
      <c r="BD83" s="47"/>
      <c r="BE83" s="71"/>
    </row>
    <row r="84" spans="1:99" ht="13.5" customHeight="1">
      <c r="B84" s="81" t="s">
        <v>233</v>
      </c>
      <c r="C84" s="81"/>
      <c r="D84" s="81"/>
      <c r="E84" s="81"/>
      <c r="F84" s="81"/>
      <c r="G84" s="81"/>
      <c r="H84" s="81"/>
      <c r="I84" s="81"/>
      <c r="J84" s="81"/>
      <c r="K84" s="81"/>
      <c r="L84" s="81"/>
      <c r="M84" s="81"/>
      <c r="N84" s="81">
        <v>7.101</v>
      </c>
      <c r="O84" s="81">
        <v>9.2609999999999992</v>
      </c>
      <c r="P84" s="81">
        <v>7.9630000000000001</v>
      </c>
      <c r="Q84" s="81">
        <v>6.665</v>
      </c>
      <c r="R84" s="81">
        <v>5.3680000000000003</v>
      </c>
      <c r="S84" s="81">
        <v>7.75</v>
      </c>
      <c r="T84" s="81">
        <v>6.5119999999999996</v>
      </c>
      <c r="U84" s="81">
        <v>5.2729999999999997</v>
      </c>
      <c r="V84" s="81">
        <v>4.0339999999999998</v>
      </c>
      <c r="W84" s="81">
        <v>3.21</v>
      </c>
      <c r="X84" s="81">
        <v>1.885</v>
      </c>
      <c r="AH84" s="81"/>
      <c r="AI84" s="81">
        <f t="shared" si="72"/>
        <v>7.101</v>
      </c>
      <c r="AJ84" s="81">
        <f t="shared" si="73"/>
        <v>5.3680000000000003</v>
      </c>
      <c r="AK84" s="81">
        <f t="shared" si="74"/>
        <v>4.0339999999999998</v>
      </c>
    </row>
    <row r="85" spans="1:99" ht="13.5" customHeight="1">
      <c r="B85" s="81" t="s">
        <v>235</v>
      </c>
      <c r="C85" s="81"/>
      <c r="D85" s="81"/>
      <c r="E85" s="81"/>
      <c r="F85" s="81"/>
      <c r="G85" s="81"/>
      <c r="H85" s="81"/>
      <c r="I85" s="81"/>
      <c r="J85" s="81"/>
      <c r="K85" s="81"/>
      <c r="L85" s="81"/>
      <c r="M85" s="81"/>
      <c r="N85" s="81">
        <v>16.952000000000002</v>
      </c>
      <c r="O85" s="81">
        <v>15.207000000000001</v>
      </c>
      <c r="P85" s="81">
        <v>15.218</v>
      </c>
      <c r="Q85" s="81">
        <v>13.819000000000001</v>
      </c>
      <c r="R85" s="81">
        <v>12.391999999999999</v>
      </c>
      <c r="S85" s="81">
        <v>10.805999999999999</v>
      </c>
      <c r="T85" s="81">
        <v>9.1389999999999993</v>
      </c>
      <c r="U85" s="81">
        <v>7.2089999999999996</v>
      </c>
      <c r="V85" s="81">
        <v>8.3000000000000007</v>
      </c>
      <c r="W85" s="81">
        <v>37.073999999999998</v>
      </c>
      <c r="X85" s="81">
        <v>46.746000000000002</v>
      </c>
      <c r="AH85" s="81"/>
      <c r="AI85" s="81">
        <f t="shared" si="72"/>
        <v>16.952000000000002</v>
      </c>
      <c r="AJ85" s="81">
        <f t="shared" si="73"/>
        <v>12.391999999999999</v>
      </c>
      <c r="AK85" s="81">
        <f t="shared" si="74"/>
        <v>8.3000000000000007</v>
      </c>
    </row>
    <row r="86" spans="1:99" ht="13.5" customHeight="1">
      <c r="B86" s="81" t="s">
        <v>236</v>
      </c>
      <c r="C86" s="81"/>
      <c r="D86" s="81"/>
      <c r="E86" s="81"/>
      <c r="F86" s="81"/>
      <c r="G86" s="81"/>
      <c r="H86" s="81"/>
      <c r="I86" s="81"/>
      <c r="J86" s="81"/>
      <c r="K86" s="81"/>
      <c r="L86" s="81"/>
      <c r="M86" s="81"/>
      <c r="N86" s="81">
        <v>0</v>
      </c>
      <c r="O86" s="81">
        <v>0</v>
      </c>
      <c r="P86" s="81">
        <v>0</v>
      </c>
      <c r="Q86" s="81">
        <v>0</v>
      </c>
      <c r="R86" s="81">
        <v>0</v>
      </c>
      <c r="S86" s="81">
        <v>0</v>
      </c>
      <c r="T86" s="81">
        <v>0</v>
      </c>
      <c r="U86" s="81">
        <v>446.20100000000002</v>
      </c>
      <c r="V86" s="81">
        <v>446.88400000000001</v>
      </c>
      <c r="W86" s="81">
        <v>447.56900000000002</v>
      </c>
      <c r="X86" s="81">
        <v>448.255</v>
      </c>
      <c r="AH86" s="81"/>
      <c r="AI86" s="81">
        <f t="shared" si="72"/>
        <v>0</v>
      </c>
      <c r="AJ86" s="81">
        <f t="shared" si="73"/>
        <v>0</v>
      </c>
      <c r="AK86" s="81">
        <f t="shared" si="74"/>
        <v>446.88400000000001</v>
      </c>
      <c r="AL86" s="92">
        <f>AK86+AL45</f>
        <v>444.64958000000001</v>
      </c>
      <c r="AM86" s="92">
        <f t="shared" ref="AM86:AU86" si="76">AL86+AM45</f>
        <v>442.42633210000002</v>
      </c>
      <c r="AN86" s="92">
        <f t="shared" si="76"/>
        <v>440.21420043950002</v>
      </c>
      <c r="AO86" s="92">
        <f t="shared" si="76"/>
        <v>438.0131294373025</v>
      </c>
      <c r="AP86" s="92">
        <f t="shared" si="76"/>
        <v>435.82306379011601</v>
      </c>
      <c r="AQ86" s="92">
        <f t="shared" si="76"/>
        <v>433.6439484711654</v>
      </c>
      <c r="AR86" s="92">
        <f t="shared" si="76"/>
        <v>431.4757287288096</v>
      </c>
      <c r="AS86" s="92">
        <f t="shared" si="76"/>
        <v>429.31835008516555</v>
      </c>
      <c r="AT86" s="92">
        <f t="shared" si="76"/>
        <v>427.17175833473971</v>
      </c>
      <c r="AU86" s="92">
        <f t="shared" si="76"/>
        <v>425.03589954306602</v>
      </c>
    </row>
    <row r="87" spans="1:99" s="2" customFormat="1" ht="13.5" customHeight="1">
      <c r="B87" s="81" t="s">
        <v>237</v>
      </c>
      <c r="C87" s="81"/>
      <c r="D87" s="81"/>
      <c r="E87" s="81"/>
      <c r="F87" s="81"/>
      <c r="G87" s="81"/>
      <c r="H87" s="81"/>
      <c r="I87" s="81"/>
      <c r="J87" s="81"/>
      <c r="K87" s="81"/>
      <c r="L87" s="81"/>
      <c r="M87" s="81"/>
      <c r="N87" s="81">
        <v>17.984000000000002</v>
      </c>
      <c r="O87" s="81">
        <v>10.183</v>
      </c>
      <c r="P87" s="81">
        <v>10.273999999999999</v>
      </c>
      <c r="Q87" s="81">
        <v>5.3610000000000007</v>
      </c>
      <c r="R87" s="81">
        <v>21.490000000000002</v>
      </c>
      <c r="S87" s="81">
        <v>10.802</v>
      </c>
      <c r="T87" s="81">
        <v>16.581</v>
      </c>
      <c r="U87" s="81">
        <f>56.82+3.601+0.477</f>
        <v>60.897999999999996</v>
      </c>
      <c r="V87" s="81">
        <v>1.06</v>
      </c>
      <c r="W87" s="81">
        <v>1.085</v>
      </c>
      <c r="X87" s="81">
        <v>1.093</v>
      </c>
      <c r="AH87" s="81"/>
      <c r="AI87" s="81">
        <f t="shared" si="72"/>
        <v>17.984000000000002</v>
      </c>
      <c r="AJ87" s="81">
        <f t="shared" si="73"/>
        <v>21.490000000000002</v>
      </c>
      <c r="AK87" s="81">
        <f t="shared" si="74"/>
        <v>1.06</v>
      </c>
      <c r="AL87" s="34"/>
      <c r="AM87" s="60"/>
      <c r="AN87" s="35"/>
      <c r="AO87" s="35"/>
      <c r="AP87" s="59"/>
      <c r="AQ87" s="34"/>
      <c r="AR87" s="75"/>
      <c r="AS87" s="62"/>
      <c r="AT87" s="74"/>
      <c r="AW87" s="35"/>
      <c r="AX87" s="35"/>
      <c r="AY87" s="35"/>
      <c r="AZ87" s="35"/>
      <c r="BA87" s="35"/>
      <c r="BB87" s="35"/>
      <c r="BC87" s="35"/>
      <c r="BD87" s="35"/>
      <c r="BE87" s="35"/>
      <c r="BF87" s="35"/>
      <c r="BG87" s="35"/>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row>
    <row r="88" spans="1:99" ht="13.5" customHeight="1">
      <c r="B88" s="82" t="s">
        <v>128</v>
      </c>
      <c r="C88" s="82"/>
      <c r="D88" s="82"/>
      <c r="E88" s="82"/>
      <c r="F88" s="82"/>
      <c r="G88" s="82"/>
      <c r="H88" s="82"/>
      <c r="I88" s="82"/>
      <c r="J88" s="82"/>
      <c r="K88" s="82"/>
      <c r="L88" s="82"/>
      <c r="M88" s="82"/>
      <c r="N88" s="82">
        <f t="shared" ref="N88:V88" si="77">SUM(N77:N87)</f>
        <v>183.97900000000001</v>
      </c>
      <c r="O88" s="82">
        <f t="shared" si="77"/>
        <v>174.27899999999997</v>
      </c>
      <c r="P88" s="82">
        <f t="shared" si="77"/>
        <v>185.10399999999996</v>
      </c>
      <c r="Q88" s="82">
        <f t="shared" si="77"/>
        <v>166.15899999999996</v>
      </c>
      <c r="R88" s="82">
        <f t="shared" si="77"/>
        <v>192.51000000000002</v>
      </c>
      <c r="S88" s="82">
        <f t="shared" si="77"/>
        <v>213.58799999999999</v>
      </c>
      <c r="T88" s="82">
        <f t="shared" si="77"/>
        <v>260.73600000000005</v>
      </c>
      <c r="U88" s="82">
        <f t="shared" si="77"/>
        <v>756.50200000000007</v>
      </c>
      <c r="V88" s="82">
        <f t="shared" si="77"/>
        <v>957.25499999999988</v>
      </c>
      <c r="W88" s="82">
        <f>SUM(W77:W87)</f>
        <v>807.72700000000009</v>
      </c>
      <c r="X88" s="82">
        <f>SUM(X77:X87)</f>
        <v>866.61299999999994</v>
      </c>
      <c r="Y88" s="34"/>
      <c r="Z88" s="34"/>
      <c r="AA88" s="2"/>
      <c r="AB88" s="2"/>
      <c r="AC88" s="2"/>
      <c r="AD88" s="2"/>
      <c r="AE88" s="2"/>
      <c r="AF88" s="2"/>
      <c r="AG88" s="2"/>
      <c r="AH88" s="82"/>
      <c r="AI88" s="82">
        <f t="shared" si="72"/>
        <v>183.97900000000001</v>
      </c>
      <c r="AJ88" s="82">
        <f t="shared" si="73"/>
        <v>192.51000000000002</v>
      </c>
      <c r="AK88" s="82">
        <f t="shared" si="74"/>
        <v>957.25499999999988</v>
      </c>
      <c r="AM88" s="70"/>
      <c r="AP88" s="62"/>
      <c r="AT88" s="47"/>
      <c r="BG88" s="2"/>
    </row>
    <row r="89" spans="1:99" s="2" customFormat="1" ht="13.5" customHeight="1">
      <c r="B89" s="81" t="s">
        <v>129</v>
      </c>
      <c r="C89" s="81"/>
      <c r="D89" s="81"/>
      <c r="E89" s="81"/>
      <c r="F89" s="81"/>
      <c r="G89" s="81"/>
      <c r="H89" s="81"/>
      <c r="I89" s="81"/>
      <c r="J89" s="81"/>
      <c r="K89" s="81"/>
      <c r="L89" s="81"/>
      <c r="M89" s="81"/>
      <c r="N89" s="81">
        <v>518.01800000000003</v>
      </c>
      <c r="O89" s="81">
        <v>500.32499999999999</v>
      </c>
      <c r="P89" s="81">
        <v>473.24700000000001</v>
      </c>
      <c r="Q89" s="81">
        <v>464.60500000000002</v>
      </c>
      <c r="R89" s="81">
        <v>441.286</v>
      </c>
      <c r="S89" s="81">
        <v>444.80200000000002</v>
      </c>
      <c r="T89" s="81">
        <v>435.68900000000002</v>
      </c>
      <c r="U89" s="81">
        <v>349.55799999999999</v>
      </c>
      <c r="V89" s="81">
        <v>188.43100000000001</v>
      </c>
      <c r="W89" s="81">
        <v>443.70400000000001</v>
      </c>
      <c r="X89" s="81">
        <v>564.351</v>
      </c>
      <c r="Y89" s="35"/>
      <c r="Z89" s="35"/>
      <c r="AA89" s="1"/>
      <c r="AB89" s="1"/>
      <c r="AC89" s="1"/>
      <c r="AD89" s="1"/>
      <c r="AE89" s="1"/>
      <c r="AF89" s="1"/>
      <c r="AG89" s="1"/>
      <c r="AH89" s="81"/>
      <c r="AI89" s="81">
        <f t="shared" si="72"/>
        <v>518.01800000000003</v>
      </c>
      <c r="AJ89" s="81">
        <f t="shared" si="73"/>
        <v>441.286</v>
      </c>
      <c r="AK89" s="81">
        <f t="shared" si="74"/>
        <v>188.43100000000001</v>
      </c>
      <c r="AL89" s="34"/>
      <c r="AM89" s="34"/>
      <c r="AN89" s="34"/>
      <c r="AO89" s="34"/>
      <c r="AP89" s="34"/>
      <c r="AQ89" s="34"/>
      <c r="AR89" s="34"/>
      <c r="AS89" s="34"/>
      <c r="AT89" s="74"/>
      <c r="AU89" s="34"/>
      <c r="AV89" s="34"/>
      <c r="AW89" s="35"/>
      <c r="AX89" s="35"/>
      <c r="AY89" s="35"/>
      <c r="AZ89" s="35"/>
      <c r="BA89" s="35"/>
      <c r="BB89" s="35"/>
      <c r="BC89" s="35"/>
      <c r="BD89" s="35"/>
      <c r="BE89" s="35"/>
      <c r="BF89" s="35"/>
      <c r="BG89" s="35"/>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row>
    <row r="90" spans="1:99" ht="13.5" customHeight="1">
      <c r="B90" s="82" t="s">
        <v>130</v>
      </c>
      <c r="C90" s="82"/>
      <c r="D90" s="82"/>
      <c r="E90" s="82"/>
      <c r="F90" s="82"/>
      <c r="G90" s="82"/>
      <c r="H90" s="82"/>
      <c r="I90" s="82"/>
      <c r="J90" s="82"/>
      <c r="K90" s="82"/>
      <c r="L90" s="82"/>
      <c r="M90" s="82"/>
      <c r="N90" s="82">
        <f t="shared" ref="N90:U90" si="78">N88+N89</f>
        <v>701.99700000000007</v>
      </c>
      <c r="O90" s="82">
        <f t="shared" si="78"/>
        <v>674.60399999999993</v>
      </c>
      <c r="P90" s="82">
        <f t="shared" si="78"/>
        <v>658.351</v>
      </c>
      <c r="Q90" s="82">
        <f t="shared" si="78"/>
        <v>630.76400000000001</v>
      </c>
      <c r="R90" s="82">
        <f t="shared" si="78"/>
        <v>633.79600000000005</v>
      </c>
      <c r="S90" s="82">
        <f t="shared" si="78"/>
        <v>658.39</v>
      </c>
      <c r="T90" s="82">
        <f t="shared" si="78"/>
        <v>696.42500000000007</v>
      </c>
      <c r="U90" s="82">
        <f t="shared" si="78"/>
        <v>1106.06</v>
      </c>
      <c r="V90" s="82">
        <f>V88+V89</f>
        <v>1145.6859999999999</v>
      </c>
      <c r="W90" s="82">
        <f t="shared" ref="W90:X90" si="79">W88+W89</f>
        <v>1251.431</v>
      </c>
      <c r="X90" s="82">
        <f t="shared" si="79"/>
        <v>1430.9639999999999</v>
      </c>
      <c r="Y90" s="34"/>
      <c r="Z90" s="34"/>
      <c r="AA90" s="2"/>
      <c r="AB90" s="2"/>
      <c r="AC90" s="2"/>
      <c r="AD90" s="2"/>
      <c r="AE90" s="2"/>
      <c r="AF90" s="2"/>
      <c r="AG90" s="2"/>
      <c r="AH90" s="82"/>
      <c r="AI90" s="82">
        <f t="shared" si="72"/>
        <v>701.99700000000007</v>
      </c>
      <c r="AJ90" s="82">
        <f t="shared" si="73"/>
        <v>633.79600000000005</v>
      </c>
      <c r="AK90" s="82">
        <f t="shared" si="74"/>
        <v>1145.6859999999999</v>
      </c>
      <c r="AM90" s="34"/>
      <c r="AP90" s="62"/>
      <c r="AT90" s="47"/>
      <c r="AU90" s="71"/>
      <c r="BG90" s="2"/>
    </row>
    <row r="91" spans="1:99" ht="13.5" customHeight="1">
      <c r="N91" s="81"/>
      <c r="O91" s="81"/>
      <c r="P91" s="81"/>
      <c r="Q91" s="81"/>
      <c r="R91" s="81"/>
      <c r="S91" s="81"/>
      <c r="T91" s="81"/>
      <c r="X91" s="1"/>
      <c r="AT91" s="47"/>
    </row>
    <row r="92" spans="1:99" ht="13.5" customHeight="1">
      <c r="B92" s="1" t="s">
        <v>61</v>
      </c>
      <c r="C92" s="76"/>
      <c r="D92" s="76"/>
      <c r="E92" s="76"/>
      <c r="F92" s="76"/>
      <c r="G92" s="76"/>
      <c r="H92" s="76"/>
      <c r="I92" s="76"/>
      <c r="J92" s="76"/>
      <c r="K92" s="76"/>
      <c r="L92" s="76"/>
      <c r="M92" s="76"/>
      <c r="N92" s="76">
        <f t="shared" ref="N92:V92" si="80">SUM(N62:N67)/SUM(N77:N82)</f>
        <v>2.7087721095653827</v>
      </c>
      <c r="O92" s="76">
        <f t="shared" si="80"/>
        <v>2.7374051479257164</v>
      </c>
      <c r="P92" s="76">
        <f t="shared" si="80"/>
        <v>2.3392468499427266</v>
      </c>
      <c r="Q92" s="76">
        <f t="shared" si="80"/>
        <v>2.3364165969446251</v>
      </c>
      <c r="R92" s="76">
        <f t="shared" si="80"/>
        <v>2.1271766212925289</v>
      </c>
      <c r="S92" s="76">
        <f t="shared" si="80"/>
        <v>2.1016084992947448</v>
      </c>
      <c r="T92" s="76">
        <f t="shared" si="80"/>
        <v>1.7468241838705394</v>
      </c>
      <c r="U92" s="76">
        <f t="shared" si="80"/>
        <v>3.9988705597887471</v>
      </c>
      <c r="V92" s="76">
        <f t="shared" si="80"/>
        <v>1.6516215611719975</v>
      </c>
      <c r="W92" s="76">
        <f>SUM(W62:W67)/SUM(W77:W82)</f>
        <v>2.8060843036995662</v>
      </c>
      <c r="X92" s="76">
        <f>SUM(X62:X67)/SUM(X77:X82)</f>
        <v>2.8433683491331454</v>
      </c>
      <c r="AI92" s="76">
        <f t="shared" ref="AI92:AK92" si="81">SUM(AI62:AI67)/SUM(AI77:AI82)</f>
        <v>2.7087721095653827</v>
      </c>
      <c r="AJ92" s="76">
        <f t="shared" si="81"/>
        <v>2.1271766212925289</v>
      </c>
      <c r="AK92" s="76">
        <f t="shared" si="81"/>
        <v>1.6516215611719975</v>
      </c>
    </row>
    <row r="93" spans="1:99" ht="13.15" customHeight="1">
      <c r="B93" s="1" t="s">
        <v>62</v>
      </c>
      <c r="C93" s="76"/>
      <c r="D93" s="76"/>
      <c r="E93" s="76"/>
      <c r="F93" s="76"/>
      <c r="G93" s="76"/>
      <c r="H93" s="76"/>
      <c r="I93" s="76"/>
      <c r="J93" s="76"/>
      <c r="K93" s="76"/>
      <c r="L93" s="76"/>
      <c r="M93" s="76"/>
      <c r="N93" s="76">
        <f t="shared" ref="N93:V93" si="82">(SUM(N62:N67)-N66)/SUM(N77:N82)</f>
        <v>2.7087721095653827</v>
      </c>
      <c r="O93" s="76">
        <f t="shared" si="82"/>
        <v>2.7374051479257164</v>
      </c>
      <c r="P93" s="76">
        <f t="shared" si="82"/>
        <v>2.3392468499427266</v>
      </c>
      <c r="Q93" s="76">
        <f t="shared" si="82"/>
        <v>2.3364165969446251</v>
      </c>
      <c r="R93" s="76">
        <f t="shared" si="82"/>
        <v>2.1271766212925289</v>
      </c>
      <c r="S93" s="76">
        <f t="shared" si="82"/>
        <v>2.1016084992947448</v>
      </c>
      <c r="T93" s="76">
        <f t="shared" si="82"/>
        <v>1.7468241838705394</v>
      </c>
      <c r="U93" s="76">
        <f t="shared" si="82"/>
        <v>3.9988705597887471</v>
      </c>
      <c r="V93" s="76">
        <f t="shared" si="82"/>
        <v>1.6385894281667042</v>
      </c>
      <c r="W93" s="76">
        <f>(SUM(W62:W67)-W66)/SUM(W77:W82)</f>
        <v>2.7752033554895243</v>
      </c>
      <c r="X93" s="76">
        <f>(SUM(X62:X67)-X66)/SUM(X77:X82)</f>
        <v>2.8181683605203975</v>
      </c>
      <c r="AI93" s="76">
        <f t="shared" ref="AI93:AK93" si="83">(SUM(AI62:AI67)-AI66)/SUM(AI77:AI82)</f>
        <v>2.7087721095653827</v>
      </c>
      <c r="AJ93" s="76">
        <f t="shared" si="83"/>
        <v>2.1271766212925289</v>
      </c>
      <c r="AK93" s="76">
        <f t="shared" si="83"/>
        <v>1.6385894281667042</v>
      </c>
      <c r="AT93" s="47"/>
      <c r="AU93" s="66"/>
    </row>
    <row r="94" spans="1:99">
      <c r="B94" s="1" t="s">
        <v>63</v>
      </c>
      <c r="C94" s="76"/>
      <c r="D94" s="76"/>
      <c r="E94" s="76"/>
      <c r="F94" s="76"/>
      <c r="G94" s="76"/>
      <c r="H94" s="76"/>
      <c r="I94" s="76"/>
      <c r="J94" s="76"/>
      <c r="K94" s="76"/>
      <c r="L94" s="76"/>
      <c r="M94" s="76"/>
      <c r="N94" s="76">
        <f t="shared" ref="N94:V94" si="84">(N64+N62)/SUM(N77:N82)</f>
        <v>2.1874071526319256</v>
      </c>
      <c r="O94" s="76">
        <f t="shared" si="84"/>
        <v>2.1805888543372816</v>
      </c>
      <c r="P94" s="76">
        <f t="shared" si="84"/>
        <v>1.7854381443298972</v>
      </c>
      <c r="Q94" s="76">
        <f t="shared" si="84"/>
        <v>1.876483530104428</v>
      </c>
      <c r="R94" s="76">
        <f t="shared" si="84"/>
        <v>1.5630498740128658</v>
      </c>
      <c r="S94" s="76">
        <f t="shared" si="84"/>
        <v>1.462886758026321</v>
      </c>
      <c r="T94" s="76">
        <f t="shared" si="84"/>
        <v>1.3343931672653826</v>
      </c>
      <c r="U94" s="76">
        <f t="shared" si="84"/>
        <v>3.5915350312054253</v>
      </c>
      <c r="V94" s="76">
        <f t="shared" si="84"/>
        <v>1.3634746674335134</v>
      </c>
      <c r="W94" s="76">
        <f>(W64+W62)/SUM(W77:W82)</f>
        <v>2.4155921850675433</v>
      </c>
      <c r="X94" s="76">
        <f>(X64+X62)/SUM(X77:X82)</f>
        <v>2.4636832066501553</v>
      </c>
      <c r="AI94" s="76">
        <f t="shared" ref="AI94:AK94" si="85">(AI64+AI62)/SUM(AI77:AI82)</f>
        <v>2.1874071526319256</v>
      </c>
      <c r="AJ94" s="76">
        <f t="shared" si="85"/>
        <v>1.5630498740128658</v>
      </c>
      <c r="AK94" s="76">
        <f t="shared" si="85"/>
        <v>1.3634746674335134</v>
      </c>
      <c r="AT94" s="47"/>
      <c r="AU94" s="67"/>
    </row>
    <row r="95" spans="1:99">
      <c r="B95" s="1" t="s">
        <v>132</v>
      </c>
      <c r="C95" s="76"/>
      <c r="D95" s="76"/>
      <c r="E95" s="76"/>
      <c r="F95" s="76"/>
      <c r="G95" s="76"/>
      <c r="H95" s="76"/>
      <c r="I95" s="76"/>
      <c r="J95" s="76"/>
      <c r="K95" s="76"/>
      <c r="L95" s="76"/>
      <c r="M95" s="76"/>
      <c r="N95" s="76">
        <f t="shared" ref="N95:V95" si="86">N37/SUM(N68:N69)</f>
        <v>0.45871559633027514</v>
      </c>
      <c r="O95" s="76">
        <f t="shared" si="86"/>
        <v>0.47408244639100816</v>
      </c>
      <c r="P95" s="76">
        <f t="shared" si="86"/>
        <v>0.46802350075450594</v>
      </c>
      <c r="Q95" s="76">
        <f t="shared" si="86"/>
        <v>0.45347280272823437</v>
      </c>
      <c r="R95" s="76">
        <f t="shared" si="86"/>
        <v>0.43773938872821078</v>
      </c>
      <c r="S95" s="76">
        <f t="shared" si="86"/>
        <v>0.46606118546845121</v>
      </c>
      <c r="T95" s="76">
        <f t="shared" si="86"/>
        <v>0.48335583286687955</v>
      </c>
      <c r="U95" s="76">
        <f t="shared" si="86"/>
        <v>0.48932866274240722</v>
      </c>
      <c r="V95" s="76">
        <f t="shared" si="86"/>
        <v>0.50451036919929315</v>
      </c>
      <c r="W95" s="76">
        <f>W37/SUM(W68:W69)</f>
        <v>0.52297015961138105</v>
      </c>
      <c r="X95" s="76">
        <f>X37/SUM(X68:X69)</f>
        <v>0.58570411979348047</v>
      </c>
      <c r="AI95" s="76">
        <f t="shared" ref="AI95:AK95" si="87">AI37/SUM(AI68:AI69)</f>
        <v>1.9033971433466768</v>
      </c>
      <c r="AJ95" s="76">
        <f t="shared" si="87"/>
        <v>1.7786715746537527</v>
      </c>
      <c r="AK95" s="76">
        <f t="shared" si="87"/>
        <v>1.789035617967079</v>
      </c>
      <c r="AT95" s="47"/>
      <c r="AU95" s="67"/>
    </row>
    <row r="96" spans="1:99" ht="15">
      <c r="A96" s="2"/>
      <c r="B96" s="1" t="s">
        <v>133</v>
      </c>
      <c r="C96" s="76"/>
      <c r="D96" s="76"/>
      <c r="E96" s="76"/>
      <c r="F96" s="76"/>
      <c r="G96" s="76"/>
      <c r="H96" s="76"/>
      <c r="I96" s="76"/>
      <c r="J96" s="76"/>
      <c r="K96" s="76"/>
      <c r="L96" s="76"/>
      <c r="M96" s="76"/>
      <c r="N96" s="76">
        <f t="shared" ref="N96:V96" si="88">N37/N75</f>
        <v>8.3903492465067522E-2</v>
      </c>
      <c r="O96" s="76">
        <f t="shared" si="88"/>
        <v>8.9534273542029225E-2</v>
      </c>
      <c r="P96" s="76">
        <f t="shared" si="88"/>
        <v>9.2807636048247849E-2</v>
      </c>
      <c r="Q96" s="76">
        <f t="shared" si="88"/>
        <v>9.7183732743149592E-2</v>
      </c>
      <c r="R96" s="76">
        <f t="shared" si="88"/>
        <v>9.7192156466749585E-2</v>
      </c>
      <c r="S96" s="76">
        <f t="shared" si="88"/>
        <v>0.10070080469511807</v>
      </c>
      <c r="T96" s="76">
        <f t="shared" si="88"/>
        <v>0.10539541228416556</v>
      </c>
      <c r="U96" s="76">
        <f t="shared" si="88"/>
        <v>7.3504149865287582E-2</v>
      </c>
      <c r="V96" s="76">
        <f t="shared" si="88"/>
        <v>7.5762468948734632E-2</v>
      </c>
      <c r="W96" s="76">
        <f>W37/W75</f>
        <v>7.5273826523396023E-2</v>
      </c>
      <c r="X96" s="76">
        <f>X37/X75</f>
        <v>8.1100572760740314E-2</v>
      </c>
      <c r="AI96" s="76">
        <f t="shared" ref="AI96:AK96" si="89">AI37/AI75</f>
        <v>0.3481496359671053</v>
      </c>
      <c r="AJ96" s="76">
        <f t="shared" si="89"/>
        <v>0.39492202538356203</v>
      </c>
      <c r="AK96" s="76">
        <f t="shared" si="89"/>
        <v>0.26865999933664197</v>
      </c>
      <c r="AM96" s="34"/>
      <c r="AN96" s="34"/>
      <c r="AO96" s="34"/>
      <c r="AP96" s="34"/>
      <c r="AQ96" s="34"/>
      <c r="AR96" s="34"/>
      <c r="AS96" s="34"/>
      <c r="AT96" s="47"/>
      <c r="AU96" s="71"/>
      <c r="AV96" s="57"/>
    </row>
    <row r="97" spans="1:99">
      <c r="B97" s="1" t="s">
        <v>64</v>
      </c>
      <c r="C97" s="76"/>
      <c r="D97" s="76"/>
      <c r="E97" s="76"/>
      <c r="F97" s="76"/>
      <c r="G97" s="76"/>
      <c r="H97" s="76"/>
      <c r="I97" s="76"/>
      <c r="J97" s="76"/>
      <c r="K97" s="76"/>
      <c r="L97" s="76"/>
      <c r="M97" s="76"/>
      <c r="N97" s="76" t="e">
        <f t="shared" ref="N97:V97" si="90">N38/AVERAGE(K66:N66)</f>
        <v>#DIV/0!</v>
      </c>
      <c r="O97" s="76" t="e">
        <f t="shared" si="90"/>
        <v>#DIV/0!</v>
      </c>
      <c r="P97" s="76" t="e">
        <f t="shared" si="90"/>
        <v>#DIV/0!</v>
      </c>
      <c r="Q97" s="76" t="e">
        <f t="shared" si="90"/>
        <v>#DIV/0!</v>
      </c>
      <c r="R97" s="76" t="e">
        <f t="shared" si="90"/>
        <v>#DIV/0!</v>
      </c>
      <c r="S97" s="76" t="e">
        <f t="shared" si="90"/>
        <v>#DIV/0!</v>
      </c>
      <c r="T97" s="76" t="e">
        <f t="shared" si="90"/>
        <v>#DIV/0!</v>
      </c>
      <c r="U97" s="76" t="e">
        <f t="shared" si="90"/>
        <v>#DIV/0!</v>
      </c>
      <c r="V97" s="76">
        <f t="shared" si="90"/>
        <v>26.01634521085321</v>
      </c>
      <c r="W97" s="76">
        <f>W38/AVERAGE(T66:W66)</f>
        <v>11.318543431860812</v>
      </c>
      <c r="X97" s="76">
        <f>X38/AVERAGE(U66:X66)</f>
        <v>8.2951507424011837</v>
      </c>
      <c r="AI97" s="76" t="e">
        <f t="shared" ref="AI97:AK97" si="91">AI38/AVERAGE(AF66:AI66)</f>
        <v>#DIV/0!</v>
      </c>
      <c r="AJ97" s="76" t="e">
        <f t="shared" si="91"/>
        <v>#DIV/0!</v>
      </c>
      <c r="AK97" s="76">
        <f t="shared" si="91"/>
        <v>66.31677018633539</v>
      </c>
    </row>
    <row r="98" spans="1:99" ht="15">
      <c r="A98" s="2"/>
      <c r="B98" s="1" t="s">
        <v>65</v>
      </c>
      <c r="C98" s="77"/>
      <c r="D98" s="77"/>
      <c r="E98" s="77"/>
      <c r="F98" s="77"/>
      <c r="G98" s="77"/>
      <c r="H98" s="77"/>
      <c r="I98" s="77"/>
      <c r="J98" s="77"/>
      <c r="K98" s="77"/>
      <c r="L98" s="77"/>
      <c r="M98" s="77"/>
      <c r="N98" s="77">
        <f t="shared" ref="N98:X98" si="92">N50/N75</f>
        <v>-4.2789356649672296E-2</v>
      </c>
      <c r="O98" s="77">
        <f t="shared" si="92"/>
        <v>-4.3481934533250707E-2</v>
      </c>
      <c r="P98" s="77">
        <f t="shared" si="92"/>
        <v>-5.8722474789284163E-2</v>
      </c>
      <c r="Q98" s="77">
        <f t="shared" si="92"/>
        <v>-3.1782092827111252E-2</v>
      </c>
      <c r="R98" s="77">
        <f t="shared" si="92"/>
        <v>-5.5393218007055899E-2</v>
      </c>
      <c r="S98" s="77">
        <f t="shared" si="92"/>
        <v>-1.912707742874243E-2</v>
      </c>
      <c r="T98" s="77">
        <f t="shared" si="92"/>
        <v>-3.2419858563377216E-2</v>
      </c>
      <c r="U98" s="77">
        <f t="shared" si="92"/>
        <v>-5.34654539536734E-2</v>
      </c>
      <c r="V98" s="77">
        <f t="shared" si="92"/>
        <v>-0.13309056757261586</v>
      </c>
      <c r="W98" s="77">
        <f t="shared" si="92"/>
        <v>-0.11093060664151681</v>
      </c>
      <c r="X98" s="77">
        <f t="shared" si="92"/>
        <v>-6.5361532505359941E-3</v>
      </c>
      <c r="AI98" s="77">
        <f t="shared" ref="AI98:AK98" si="93">AI50/AI75</f>
        <v>-0.17542525110506169</v>
      </c>
      <c r="AJ98" s="77">
        <f t="shared" si="93"/>
        <v>-0.16788998352782292</v>
      </c>
      <c r="AK98" s="77">
        <f t="shared" si="93"/>
        <v>-0.21540544267801121</v>
      </c>
      <c r="AM98" s="34"/>
      <c r="AP98" s="62"/>
      <c r="AS98" s="59"/>
      <c r="AU98" s="59"/>
    </row>
    <row r="99" spans="1:99">
      <c r="B99" s="1" t="s">
        <v>66</v>
      </c>
      <c r="C99" s="77"/>
      <c r="D99" s="77"/>
      <c r="E99" s="77"/>
      <c r="F99" s="77"/>
      <c r="G99" s="77"/>
      <c r="H99" s="77"/>
      <c r="I99" s="77"/>
      <c r="J99" s="77"/>
      <c r="K99" s="77"/>
      <c r="L99" s="77"/>
      <c r="M99" s="77"/>
      <c r="N99" s="77">
        <f t="shared" ref="N99:W99" si="94">N50/N89</f>
        <v>-5.7986402016918327E-2</v>
      </c>
      <c r="O99" s="77">
        <f t="shared" si="94"/>
        <v>-5.8627891870284297E-2</v>
      </c>
      <c r="P99" s="77">
        <f t="shared" si="94"/>
        <v>-8.1690956308228049E-2</v>
      </c>
      <c r="Q99" s="77">
        <f t="shared" si="94"/>
        <v>-4.314848096770374E-2</v>
      </c>
      <c r="R99" s="77">
        <f t="shared" si="94"/>
        <v>-7.9558381639118367E-2</v>
      </c>
      <c r="S99" s="77">
        <f t="shared" si="94"/>
        <v>-2.8311473419633932E-2</v>
      </c>
      <c r="T99" s="77">
        <f t="shared" si="94"/>
        <v>-5.1821367994142567E-2</v>
      </c>
      <c r="U99" s="77">
        <f t="shared" si="94"/>
        <v>-0.16917364214236266</v>
      </c>
      <c r="V99" s="77">
        <f t="shared" si="94"/>
        <v>-0.80920867585482203</v>
      </c>
      <c r="W99" s="77">
        <f t="shared" si="94"/>
        <v>-0.312870742657267</v>
      </c>
      <c r="X99" s="77">
        <f>X50/X89</f>
        <v>-1.6573019273466313E-2</v>
      </c>
      <c r="AI99" s="77">
        <f t="shared" ref="AI99:AK99" si="95">AI50/AI89</f>
        <v>-0.23772919087753702</v>
      </c>
      <c r="AJ99" s="77">
        <f t="shared" si="95"/>
        <v>-0.24113160172767778</v>
      </c>
      <c r="AK99" s="77">
        <f t="shared" si="95"/>
        <v>-1.3096942647441236</v>
      </c>
    </row>
    <row r="100" spans="1:99">
      <c r="C100" s="77"/>
      <c r="D100" s="77"/>
      <c r="E100" s="77"/>
      <c r="F100" s="77"/>
      <c r="G100" s="77"/>
      <c r="H100" s="77"/>
      <c r="I100" s="77"/>
      <c r="J100" s="77"/>
      <c r="K100" s="77"/>
      <c r="L100" s="77"/>
      <c r="M100" s="77"/>
      <c r="N100" s="77"/>
      <c r="O100" s="77"/>
      <c r="P100" s="77"/>
      <c r="Q100" s="77"/>
      <c r="R100" s="77"/>
      <c r="S100" s="77"/>
      <c r="T100" s="77"/>
      <c r="U100" s="77"/>
      <c r="V100" s="77"/>
      <c r="W100" s="77"/>
      <c r="X100" s="77"/>
      <c r="AI100" s="77"/>
      <c r="AJ100" s="77"/>
      <c r="AK100" s="77"/>
    </row>
    <row r="101" spans="1:99">
      <c r="B101" s="1" t="s">
        <v>67</v>
      </c>
      <c r="C101" s="81">
        <f t="shared" ref="C101:W101" si="96">C50</f>
        <v>-29.212</v>
      </c>
      <c r="D101" s="81">
        <f t="shared" si="96"/>
        <v>-20.369000000000007</v>
      </c>
      <c r="E101" s="81">
        <f t="shared" si="96"/>
        <v>-41.541000000000004</v>
      </c>
      <c r="F101" s="81">
        <f t="shared" si="96"/>
        <v>-46.010999999999981</v>
      </c>
      <c r="G101" s="81">
        <f t="shared" si="96"/>
        <v>-44.387000000000008</v>
      </c>
      <c r="H101" s="81">
        <f t="shared" si="96"/>
        <v>-39.579000000000001</v>
      </c>
      <c r="I101" s="81">
        <f t="shared" si="96"/>
        <v>-40.239999999999988</v>
      </c>
      <c r="J101" s="81">
        <f t="shared" si="96"/>
        <v>-37.817999999999998</v>
      </c>
      <c r="K101" s="81">
        <f t="shared" si="96"/>
        <v>-34.446999999999996</v>
      </c>
      <c r="L101" s="81">
        <f t="shared" si="96"/>
        <v>-37.936000000000007</v>
      </c>
      <c r="M101" s="81">
        <f t="shared" si="96"/>
        <v>-37.984000000000002</v>
      </c>
      <c r="N101" s="81">
        <f t="shared" si="96"/>
        <v>-30.038</v>
      </c>
      <c r="O101" s="81">
        <f t="shared" si="96"/>
        <v>-29.332999999999991</v>
      </c>
      <c r="P101" s="81">
        <f t="shared" si="96"/>
        <v>-38.660000000000004</v>
      </c>
      <c r="Q101" s="81">
        <f t="shared" si="96"/>
        <v>-20.046999999999997</v>
      </c>
      <c r="R101" s="81">
        <f t="shared" si="96"/>
        <v>-35.10799999999999</v>
      </c>
      <c r="S101" s="81">
        <f t="shared" si="96"/>
        <v>-12.593000000000012</v>
      </c>
      <c r="T101" s="81">
        <f t="shared" si="96"/>
        <v>-22.577999999999982</v>
      </c>
      <c r="U101" s="81">
        <f t="shared" si="96"/>
        <v>-59.13600000000001</v>
      </c>
      <c r="V101" s="81">
        <f t="shared" si="96"/>
        <v>-152.47999999999999</v>
      </c>
      <c r="W101" s="81">
        <f t="shared" si="96"/>
        <v>-138.822</v>
      </c>
      <c r="X101" s="81">
        <f>X50</f>
        <v>-9.3529999999999873</v>
      </c>
      <c r="AF101" s="81">
        <f>AF50</f>
        <v>-137.13299999999998</v>
      </c>
      <c r="AG101" s="81">
        <f t="shared" ref="AG101:AK101" si="97">AG50</f>
        <v>-162.024</v>
      </c>
      <c r="AH101" s="81">
        <f t="shared" si="97"/>
        <v>-140.40500000000003</v>
      </c>
      <c r="AI101" s="81">
        <f t="shared" si="97"/>
        <v>-123.14799999999998</v>
      </c>
      <c r="AJ101" s="81">
        <f t="shared" si="97"/>
        <v>-106.40800000000002</v>
      </c>
      <c r="AK101" s="81">
        <f t="shared" si="97"/>
        <v>-246.78699999999998</v>
      </c>
    </row>
    <row r="102" spans="1:99" s="2" customFormat="1" ht="15">
      <c r="B102" s="2" t="s">
        <v>68</v>
      </c>
      <c r="C102" s="82">
        <v>3.8820000000000001</v>
      </c>
      <c r="D102" s="82">
        <v>-12.185</v>
      </c>
      <c r="E102" s="82">
        <v>-12.712999999999999</v>
      </c>
      <c r="F102" s="82">
        <v>-21.195</v>
      </c>
      <c r="G102" s="82">
        <v>-6.5339999999999998</v>
      </c>
      <c r="H102" s="82">
        <v>-22.27</v>
      </c>
      <c r="I102" s="82">
        <v>-30.314</v>
      </c>
      <c r="J102" s="82">
        <v>-14.815</v>
      </c>
      <c r="K102" s="82">
        <v>-30.600999999999999</v>
      </c>
      <c r="L102" s="82">
        <v>9.5969999999999995</v>
      </c>
      <c r="M102" s="82">
        <v>-22.87</v>
      </c>
      <c r="N102" s="82">
        <v>-6.8369999999999997</v>
      </c>
      <c r="O102" s="82">
        <v>-4.2969999999999997</v>
      </c>
      <c r="P102" s="82">
        <v>-7.8579999999999997</v>
      </c>
      <c r="Q102" s="82">
        <v>4.0759999999999996</v>
      </c>
      <c r="R102" s="82">
        <v>-6.2949999999999999</v>
      </c>
      <c r="S102" s="82">
        <v>17.346</v>
      </c>
      <c r="T102" s="82">
        <v>67.774000000000001</v>
      </c>
      <c r="U102" s="82">
        <v>28.593</v>
      </c>
      <c r="V102" s="82">
        <v>20.649000000000001</v>
      </c>
      <c r="W102" s="82">
        <v>15.44</v>
      </c>
      <c r="X102" s="82">
        <v>52.948</v>
      </c>
      <c r="Y102" s="34"/>
      <c r="Z102" s="34"/>
      <c r="AF102" s="82">
        <f t="shared" ref="AF102:AF104" si="98">SUM(C102:F102)</f>
        <v>-42.210999999999999</v>
      </c>
      <c r="AG102" s="82">
        <f t="shared" ref="AG102:AG104" si="99">SUM(G102:J102)</f>
        <v>-73.932999999999993</v>
      </c>
      <c r="AH102" s="82">
        <f t="shared" ref="AH102:AH104" si="100">SUM(K102:N102)</f>
        <v>-50.710999999999999</v>
      </c>
      <c r="AI102" s="82">
        <f t="shared" ref="AI102:AJ104" si="101">SUM(O102:R102)</f>
        <v>-14.374000000000001</v>
      </c>
      <c r="AJ102" s="82">
        <f t="shared" si="101"/>
        <v>7.2690000000000001</v>
      </c>
      <c r="AK102" s="82">
        <f t="shared" ref="AK102:AK104" si="102">SUM(S102:V102)</f>
        <v>134.36200000000002</v>
      </c>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row>
    <row r="103" spans="1:99">
      <c r="B103" s="1" t="s">
        <v>69</v>
      </c>
      <c r="C103" s="81">
        <v>-2.6139999999999999</v>
      </c>
      <c r="D103" s="81">
        <v>-3.3079999999999998</v>
      </c>
      <c r="E103" s="81">
        <v>-2.8069999999999999</v>
      </c>
      <c r="F103" s="81">
        <v>-6.202</v>
      </c>
      <c r="G103" s="81">
        <v>-3.5059999999999998</v>
      </c>
      <c r="H103" s="81">
        <v>-4.274</v>
      </c>
      <c r="I103" s="81">
        <v>-2.9649999999999999</v>
      </c>
      <c r="J103" s="81">
        <v>-2.0150000000000001</v>
      </c>
      <c r="K103" s="81">
        <v>-7.0750000000000002</v>
      </c>
      <c r="L103" s="81">
        <v>-16.632000000000001</v>
      </c>
      <c r="M103" s="81">
        <v>-8.6449999999999996</v>
      </c>
      <c r="N103" s="81">
        <v>-10.058</v>
      </c>
      <c r="O103" s="81">
        <v>-11.356</v>
      </c>
      <c r="P103" s="81">
        <v>-16.620999999999999</v>
      </c>
      <c r="Q103" s="81">
        <v>-8.8620000000000001</v>
      </c>
      <c r="R103" s="81">
        <v>-12.78</v>
      </c>
      <c r="S103" s="81">
        <v>-9.3439999999999994</v>
      </c>
      <c r="T103" s="81">
        <v>-21.486000000000001</v>
      </c>
      <c r="U103" s="81">
        <v>-27.681999999999999</v>
      </c>
      <c r="V103" s="81">
        <v>-22.984999999999999</v>
      </c>
      <c r="W103" s="81">
        <v>-17.957000000000001</v>
      </c>
      <c r="X103" s="81">
        <v>-29.134</v>
      </c>
      <c r="AF103" s="81">
        <f t="shared" si="98"/>
        <v>-14.930999999999999</v>
      </c>
      <c r="AG103" s="81">
        <f t="shared" si="99"/>
        <v>-12.76</v>
      </c>
      <c r="AH103" s="81">
        <f t="shared" si="100"/>
        <v>-42.410000000000004</v>
      </c>
      <c r="AI103" s="81">
        <f t="shared" si="101"/>
        <v>-49.619</v>
      </c>
      <c r="AJ103" s="81">
        <f t="shared" si="101"/>
        <v>-47.606999999999999</v>
      </c>
      <c r="AK103" s="81">
        <f t="shared" si="102"/>
        <v>-81.497</v>
      </c>
    </row>
    <row r="104" spans="1:99" s="2" customFormat="1" ht="15">
      <c r="B104" s="2" t="s">
        <v>70</v>
      </c>
      <c r="C104" s="82">
        <f t="shared" ref="C104:U104" si="103">C102+C103</f>
        <v>1.2680000000000002</v>
      </c>
      <c r="D104" s="82">
        <f t="shared" si="103"/>
        <v>-15.493</v>
      </c>
      <c r="E104" s="82">
        <f t="shared" si="103"/>
        <v>-15.52</v>
      </c>
      <c r="F104" s="82">
        <f t="shared" si="103"/>
        <v>-27.396999999999998</v>
      </c>
      <c r="G104" s="82">
        <f t="shared" si="103"/>
        <v>-10.039999999999999</v>
      </c>
      <c r="H104" s="82">
        <f t="shared" si="103"/>
        <v>-26.544</v>
      </c>
      <c r="I104" s="82">
        <f t="shared" si="103"/>
        <v>-33.278999999999996</v>
      </c>
      <c r="J104" s="82">
        <f t="shared" si="103"/>
        <v>-16.829999999999998</v>
      </c>
      <c r="K104" s="82">
        <f t="shared" si="103"/>
        <v>-37.676000000000002</v>
      </c>
      <c r="L104" s="82">
        <f t="shared" si="103"/>
        <v>-7.0350000000000019</v>
      </c>
      <c r="M104" s="82">
        <f t="shared" si="103"/>
        <v>-31.515000000000001</v>
      </c>
      <c r="N104" s="82">
        <f t="shared" si="103"/>
        <v>-16.895</v>
      </c>
      <c r="O104" s="82">
        <f t="shared" si="103"/>
        <v>-15.652999999999999</v>
      </c>
      <c r="P104" s="82">
        <f t="shared" si="103"/>
        <v>-24.478999999999999</v>
      </c>
      <c r="Q104" s="82">
        <f t="shared" si="103"/>
        <v>-4.7860000000000005</v>
      </c>
      <c r="R104" s="82">
        <f t="shared" si="103"/>
        <v>-19.074999999999999</v>
      </c>
      <c r="S104" s="82">
        <f t="shared" si="103"/>
        <v>8.0020000000000007</v>
      </c>
      <c r="T104" s="82">
        <f t="shared" si="103"/>
        <v>46.287999999999997</v>
      </c>
      <c r="U104" s="82">
        <f t="shared" si="103"/>
        <v>0.91100000000000136</v>
      </c>
      <c r="V104" s="82">
        <f>V102+V103</f>
        <v>-2.3359999999999985</v>
      </c>
      <c r="W104" s="82">
        <f>W102+W103</f>
        <v>-2.5170000000000012</v>
      </c>
      <c r="X104" s="82">
        <f>X102+X103</f>
        <v>23.814</v>
      </c>
      <c r="Y104" s="34"/>
      <c r="Z104" s="34"/>
      <c r="AF104" s="82">
        <f t="shared" si="98"/>
        <v>-57.141999999999996</v>
      </c>
      <c r="AG104" s="82">
        <f t="shared" si="99"/>
        <v>-86.692999999999998</v>
      </c>
      <c r="AH104" s="82">
        <f t="shared" si="100"/>
        <v>-93.120999999999995</v>
      </c>
      <c r="AI104" s="82">
        <f t="shared" si="101"/>
        <v>-63.992999999999995</v>
      </c>
      <c r="AJ104" s="82">
        <f t="shared" si="101"/>
        <v>-40.338000000000001</v>
      </c>
      <c r="AK104" s="82">
        <f t="shared" si="102"/>
        <v>52.865000000000002</v>
      </c>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row>
    <row r="105" spans="1:99">
      <c r="B105" s="1" t="s">
        <v>71</v>
      </c>
      <c r="C105" s="81">
        <f t="shared" ref="C105:X105" si="104">C51</f>
        <v>45.722000000000001</v>
      </c>
      <c r="D105" s="81">
        <f t="shared" si="104"/>
        <v>46.2</v>
      </c>
      <c r="E105" s="81">
        <f t="shared" si="104"/>
        <v>47.137</v>
      </c>
      <c r="F105" s="81">
        <f t="shared" si="104"/>
        <v>79.61</v>
      </c>
      <c r="G105" s="81">
        <f t="shared" si="104"/>
        <v>264.08800000000002</v>
      </c>
      <c r="H105" s="81">
        <f t="shared" si="104"/>
        <v>266.21199999999999</v>
      </c>
      <c r="I105" s="81">
        <f t="shared" si="104"/>
        <v>267.947</v>
      </c>
      <c r="J105" s="81">
        <f t="shared" si="104"/>
        <v>267.12599999999998</v>
      </c>
      <c r="K105" s="81">
        <f t="shared" si="104"/>
        <v>272.34699999999998</v>
      </c>
      <c r="L105" s="81">
        <f t="shared" si="104"/>
        <v>275.053</v>
      </c>
      <c r="M105" s="81">
        <f t="shared" si="104"/>
        <v>284.197</v>
      </c>
      <c r="N105" s="81">
        <f t="shared" si="104"/>
        <v>267.12599999999998</v>
      </c>
      <c r="O105" s="81">
        <f t="shared" si="104"/>
        <v>288.26799999999997</v>
      </c>
      <c r="P105" s="81">
        <f t="shared" si="104"/>
        <v>290.36399999999998</v>
      </c>
      <c r="Q105" s="81">
        <f t="shared" si="104"/>
        <v>293.33800000000002</v>
      </c>
      <c r="R105" s="81">
        <f t="shared" si="104"/>
        <v>292.12400000000002</v>
      </c>
      <c r="S105" s="81">
        <f t="shared" si="104"/>
        <v>300.267</v>
      </c>
      <c r="T105" s="81">
        <f t="shared" si="104"/>
        <v>304.12900000000002</v>
      </c>
      <c r="U105" s="81">
        <f t="shared" si="104"/>
        <v>309.24799999999999</v>
      </c>
      <c r="V105" s="81">
        <f t="shared" si="104"/>
        <v>307.79899999999998</v>
      </c>
      <c r="W105" s="81">
        <f t="shared" si="104"/>
        <v>345.524</v>
      </c>
      <c r="X105" s="81">
        <f t="shared" si="104"/>
        <v>359.59</v>
      </c>
      <c r="AF105" s="81">
        <f t="shared" ref="AF105:AK105" si="105">AF51</f>
        <v>54.667249999999996</v>
      </c>
      <c r="AG105" s="81">
        <f t="shared" si="105"/>
        <v>266.34325000000001</v>
      </c>
      <c r="AH105" s="81">
        <f t="shared" si="105"/>
        <v>274.68074999999999</v>
      </c>
      <c r="AI105" s="81">
        <f t="shared" si="105"/>
        <v>291.02350000000001</v>
      </c>
      <c r="AJ105" s="81">
        <f t="shared" si="105"/>
        <v>294.02325000000002</v>
      </c>
      <c r="AK105" s="81">
        <f t="shared" si="105"/>
        <v>305.36075</v>
      </c>
    </row>
    <row r="106" spans="1:99">
      <c r="B106" s="1" t="s">
        <v>72</v>
      </c>
      <c r="C106" s="39">
        <f t="shared" ref="C106:U106" si="106">C104/C105</f>
        <v>2.7732820086610387E-2</v>
      </c>
      <c r="D106" s="39">
        <f t="shared" si="106"/>
        <v>-0.33534632034632034</v>
      </c>
      <c r="E106" s="39">
        <f t="shared" si="106"/>
        <v>-0.32925302840655957</v>
      </c>
      <c r="F106" s="39">
        <f t="shared" si="106"/>
        <v>-0.34414018339404595</v>
      </c>
      <c r="G106" s="39">
        <f t="shared" si="106"/>
        <v>-3.8017630486807424E-2</v>
      </c>
      <c r="H106" s="39">
        <f t="shared" si="106"/>
        <v>-9.9710005559478912E-2</v>
      </c>
      <c r="I106" s="39">
        <f t="shared" si="106"/>
        <v>-0.12419993506178459</v>
      </c>
      <c r="J106" s="39">
        <f t="shared" si="106"/>
        <v>-6.3003975651939534E-2</v>
      </c>
      <c r="K106" s="39">
        <f t="shared" si="106"/>
        <v>-0.13833822292883713</v>
      </c>
      <c r="L106" s="39">
        <f t="shared" si="106"/>
        <v>-2.5576888817791486E-2</v>
      </c>
      <c r="M106" s="39">
        <f t="shared" si="106"/>
        <v>-0.11089138871979648</v>
      </c>
      <c r="N106" s="39">
        <f t="shared" si="106"/>
        <v>-6.3247306514528728E-2</v>
      </c>
      <c r="O106" s="39">
        <f t="shared" si="106"/>
        <v>-5.4300165124120614E-2</v>
      </c>
      <c r="P106" s="39">
        <f t="shared" si="106"/>
        <v>-8.4304528109545265E-2</v>
      </c>
      <c r="Q106" s="39">
        <f t="shared" si="106"/>
        <v>-1.6315649523757577E-2</v>
      </c>
      <c r="R106" s="39">
        <f t="shared" si="106"/>
        <v>-6.5297613342279293E-2</v>
      </c>
      <c r="S106" s="39">
        <f t="shared" si="106"/>
        <v>2.6649615175826851E-2</v>
      </c>
      <c r="T106" s="39">
        <f t="shared" si="106"/>
        <v>0.15219857363158396</v>
      </c>
      <c r="U106" s="39">
        <f t="shared" si="106"/>
        <v>2.9458557533112626E-3</v>
      </c>
      <c r="V106" s="39">
        <f>V104/V105</f>
        <v>-7.5893683865119726E-3</v>
      </c>
      <c r="W106" s="39">
        <f>W104/W105</f>
        <v>-7.2845880459823376E-3</v>
      </c>
      <c r="X106" s="39">
        <f>X104/X105</f>
        <v>6.6225423398870942E-2</v>
      </c>
      <c r="AF106" s="39">
        <f t="shared" ref="AF106" si="107">SUM(C106:F106)</f>
        <v>-0.98100671206031553</v>
      </c>
      <c r="AG106" s="39">
        <f t="shared" ref="AG106" si="108">SUM(G106:J106)</f>
        <v>-0.32493154676001051</v>
      </c>
      <c r="AH106" s="39">
        <f t="shared" ref="AH106" si="109">SUM(K106:N106)</f>
        <v>-0.33805380698095377</v>
      </c>
      <c r="AI106" s="39">
        <f t="shared" ref="AI106:AJ106" si="110">SUM(O106:R106)</f>
        <v>-0.22021795609970274</v>
      </c>
      <c r="AJ106" s="39">
        <f t="shared" si="110"/>
        <v>-0.13926817579975528</v>
      </c>
      <c r="AK106" s="39">
        <f t="shared" ref="AK106" si="111">SUM(S106:V106)</f>
        <v>0.17420467617421009</v>
      </c>
    </row>
    <row r="107" spans="1:99">
      <c r="X107" s="1"/>
    </row>
    <row r="108" spans="1:99">
      <c r="B108" s="1" t="s">
        <v>1266</v>
      </c>
      <c r="C108" s="85">
        <f t="shared" ref="C108:W108" si="112">C102/C37</f>
        <v>0.1213125</v>
      </c>
      <c r="D108" s="85">
        <f t="shared" si="112"/>
        <v>-0.40082236842105268</v>
      </c>
      <c r="E108" s="85">
        <f t="shared" si="112"/>
        <v>-0.4010410094637224</v>
      </c>
      <c r="F108" s="85">
        <f t="shared" si="112"/>
        <v>-0.57129380053908352</v>
      </c>
      <c r="G108" s="85">
        <f t="shared" si="112"/>
        <v>-0.16294264339152117</v>
      </c>
      <c r="H108" s="85">
        <f t="shared" si="112"/>
        <v>-0.46012396694214874</v>
      </c>
      <c r="I108" s="85">
        <f t="shared" si="112"/>
        <v>-0.6099396378269617</v>
      </c>
      <c r="J108" s="85">
        <f t="shared" si="112"/>
        <v>-0.27952830188679245</v>
      </c>
      <c r="K108" s="85">
        <f t="shared" si="112"/>
        <v>-0.5806641366223908</v>
      </c>
      <c r="L108" s="85">
        <f t="shared" si="112"/>
        <v>0.17838289962825279</v>
      </c>
      <c r="M108" s="85">
        <f t="shared" si="112"/>
        <v>-0.41281588447653433</v>
      </c>
      <c r="N108" s="85">
        <f t="shared" si="112"/>
        <v>-0.11607809847198641</v>
      </c>
      <c r="O108" s="85">
        <f t="shared" si="112"/>
        <v>-7.1142384105960257E-2</v>
      </c>
      <c r="P108" s="85">
        <f t="shared" si="112"/>
        <v>-0.1286088379705401</v>
      </c>
      <c r="Q108" s="85">
        <f t="shared" si="112"/>
        <v>6.64926590538336E-2</v>
      </c>
      <c r="R108" s="85">
        <f t="shared" si="112"/>
        <v>-0.10219155844155844</v>
      </c>
      <c r="S108" s="85">
        <f t="shared" si="112"/>
        <v>0.26162895927601809</v>
      </c>
      <c r="T108" s="85">
        <f t="shared" si="112"/>
        <v>0.92335149863760213</v>
      </c>
      <c r="U108" s="85">
        <f t="shared" si="112"/>
        <v>0.35169741697416973</v>
      </c>
      <c r="V108" s="85">
        <f t="shared" si="112"/>
        <v>0.23789170506912444</v>
      </c>
      <c r="W108" s="85">
        <f t="shared" si="112"/>
        <v>0.16390658174097664</v>
      </c>
      <c r="X108" s="85">
        <f>X102/X37</f>
        <v>0.45624375280046875</v>
      </c>
    </row>
    <row r="109" spans="1:99">
      <c r="B109" s="1" t="s">
        <v>137</v>
      </c>
      <c r="C109" s="85">
        <f t="shared" ref="C109:W109" si="113">C104/C37</f>
        <v>3.9625000000000007E-2</v>
      </c>
      <c r="D109" s="85">
        <f t="shared" si="113"/>
        <v>-0.50963815789473688</v>
      </c>
      <c r="E109" s="85">
        <f t="shared" si="113"/>
        <v>-0.48958990536277602</v>
      </c>
      <c r="F109" s="85">
        <f t="shared" si="113"/>
        <v>-0.73846361185983822</v>
      </c>
      <c r="G109" s="85">
        <f t="shared" si="113"/>
        <v>-0.2503740648379052</v>
      </c>
      <c r="H109" s="85">
        <f t="shared" si="113"/>
        <v>-0.54842975206611577</v>
      </c>
      <c r="I109" s="85">
        <f t="shared" si="113"/>
        <v>-0.66959758551307835</v>
      </c>
      <c r="J109" s="85">
        <f t="shared" si="113"/>
        <v>-0.3175471698113207</v>
      </c>
      <c r="K109" s="85">
        <f t="shared" si="113"/>
        <v>-0.71491461100569265</v>
      </c>
      <c r="L109" s="85">
        <f t="shared" si="113"/>
        <v>-0.13076208178438667</v>
      </c>
      <c r="M109" s="85">
        <f t="shared" si="113"/>
        <v>-0.56886281588447651</v>
      </c>
      <c r="N109" s="85">
        <f t="shared" si="113"/>
        <v>-0.2868421052631579</v>
      </c>
      <c r="O109" s="85">
        <f t="shared" si="113"/>
        <v>-0.25915562913907281</v>
      </c>
      <c r="P109" s="85">
        <f t="shared" si="113"/>
        <v>-0.4006382978723404</v>
      </c>
      <c r="Q109" s="85">
        <f t="shared" si="113"/>
        <v>-7.8075040783034275E-2</v>
      </c>
      <c r="R109" s="85">
        <f t="shared" si="113"/>
        <v>-0.30965909090909088</v>
      </c>
      <c r="S109" s="85">
        <f t="shared" si="113"/>
        <v>0.12069381598793365</v>
      </c>
      <c r="T109" s="85">
        <f t="shared" si="113"/>
        <v>0.63062670299727508</v>
      </c>
      <c r="U109" s="85">
        <f t="shared" si="113"/>
        <v>1.1205412054120558E-2</v>
      </c>
      <c r="V109" s="85">
        <f t="shared" si="113"/>
        <v>-2.6912442396313348E-2</v>
      </c>
      <c r="W109" s="85">
        <f t="shared" si="113"/>
        <v>-2.6719745222929948E-2</v>
      </c>
      <c r="X109" s="85">
        <f>X104/X37</f>
        <v>0.20520111674077138</v>
      </c>
      <c r="AF109" s="85">
        <f t="shared" ref="AF109:AK109" si="114">AF104/AF37</f>
        <v>-0.43553353658536587</v>
      </c>
      <c r="AG109" s="85">
        <f t="shared" si="114"/>
        <v>-0.4534152719665272</v>
      </c>
      <c r="AH109" s="85">
        <f t="shared" si="114"/>
        <v>-0.4217436594202898</v>
      </c>
      <c r="AI109" s="85">
        <f t="shared" si="114"/>
        <v>-0.26183715220949261</v>
      </c>
      <c r="AJ109" s="85">
        <f t="shared" si="114"/>
        <v>-0.16115860966839793</v>
      </c>
      <c r="AK109" s="85">
        <f t="shared" si="114"/>
        <v>0.17175113710201428</v>
      </c>
    </row>
    <row r="110" spans="1:99" s="2" customFormat="1" ht="15">
      <c r="B110" s="1" t="s">
        <v>138</v>
      </c>
      <c r="C110" s="85">
        <f t="shared" ref="C110:W110" si="115">-C103/C37</f>
        <v>8.1687499999999996E-2</v>
      </c>
      <c r="D110" s="85">
        <f t="shared" si="115"/>
        <v>0.10881578947368421</v>
      </c>
      <c r="E110" s="85">
        <f t="shared" si="115"/>
        <v>8.8548895899053626E-2</v>
      </c>
      <c r="F110" s="85">
        <f t="shared" si="115"/>
        <v>0.1671698113207547</v>
      </c>
      <c r="G110" s="85">
        <f t="shared" si="115"/>
        <v>8.7431421446384036E-2</v>
      </c>
      <c r="H110" s="85">
        <f t="shared" si="115"/>
        <v>8.8305785123966946E-2</v>
      </c>
      <c r="I110" s="85">
        <f t="shared" si="115"/>
        <v>5.9657947686116694E-2</v>
      </c>
      <c r="J110" s="85">
        <f t="shared" si="115"/>
        <v>3.8018867924528306E-2</v>
      </c>
      <c r="K110" s="85">
        <f t="shared" si="115"/>
        <v>0.1342504743833017</v>
      </c>
      <c r="L110" s="85">
        <f t="shared" si="115"/>
        <v>0.30914498141263946</v>
      </c>
      <c r="M110" s="85">
        <f t="shared" si="115"/>
        <v>0.15604693140794224</v>
      </c>
      <c r="N110" s="85">
        <f t="shared" si="115"/>
        <v>0.17076400679117149</v>
      </c>
      <c r="O110" s="85">
        <f t="shared" si="115"/>
        <v>0.18801324503311259</v>
      </c>
      <c r="P110" s="85">
        <f t="shared" si="115"/>
        <v>0.27202945990180027</v>
      </c>
      <c r="Q110" s="85">
        <f t="shared" si="115"/>
        <v>0.14456769983686787</v>
      </c>
      <c r="R110" s="85">
        <f t="shared" si="115"/>
        <v>0.20746753246753244</v>
      </c>
      <c r="S110" s="85">
        <f t="shared" si="115"/>
        <v>0.14093514328808446</v>
      </c>
      <c r="T110" s="85">
        <f t="shared" si="115"/>
        <v>0.29272479564032694</v>
      </c>
      <c r="U110" s="85">
        <f t="shared" si="115"/>
        <v>0.34049200492004922</v>
      </c>
      <c r="V110" s="85">
        <f t="shared" si="115"/>
        <v>0.26480414746543779</v>
      </c>
      <c r="W110" s="85">
        <f t="shared" si="115"/>
        <v>0.19062632696390658</v>
      </c>
      <c r="X110" s="85">
        <f>X103/X37</f>
        <v>-0.25104263605969734</v>
      </c>
      <c r="Y110" s="35"/>
      <c r="Z110" s="35"/>
      <c r="AA110" s="1"/>
      <c r="AB110" s="1"/>
      <c r="AC110" s="1"/>
      <c r="AD110" s="1"/>
      <c r="AE110" s="1"/>
      <c r="AF110" s="85">
        <f t="shared" ref="AF110:AK110" si="116">-AF103/AF37</f>
        <v>0.11380335365853658</v>
      </c>
      <c r="AG110" s="85">
        <f t="shared" si="116"/>
        <v>6.6736401673640172E-2</v>
      </c>
      <c r="AH110" s="85">
        <f t="shared" si="116"/>
        <v>0.19207427536231886</v>
      </c>
      <c r="AI110" s="85">
        <f t="shared" si="116"/>
        <v>0.20302373158756137</v>
      </c>
      <c r="AJ110" s="85">
        <f t="shared" si="116"/>
        <v>0.19019976028765481</v>
      </c>
      <c r="AK110" s="85">
        <f t="shared" si="116"/>
        <v>0.26477257959714101</v>
      </c>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row>
  </sheetData>
  <mergeCells count="1">
    <mergeCell ref="BD74:BE74"/>
  </mergeCells>
  <conditionalFormatting sqref="BD74">
    <cfRule type="colorScale" priority="1">
      <colorScale>
        <cfvo type="min"/>
        <cfvo type="percentile" val="50"/>
        <cfvo type="max"/>
        <color rgb="FFF8696B"/>
        <color rgb="FFFCFCFF"/>
        <color rgb="FF63BE7B"/>
      </colorScale>
    </cfRule>
    <cfRule type="containsText" dxfId="9" priority="2" operator="containsText" text="Strong Sell">
      <formula>NOT(ISERROR(SEARCH("Strong Sell",BD74)))</formula>
    </cfRule>
    <cfRule type="containsText" dxfId="8" priority="3" operator="containsText" text="Sell">
      <formula>NOT(ISERROR(SEARCH("Sell",BD74)))</formula>
    </cfRule>
    <cfRule type="containsText" dxfId="7" priority="4" operator="containsText" text="Hold">
      <formula>NOT(ISERROR(SEARCH("Hold",BD74)))</formula>
    </cfRule>
    <cfRule type="beginsWith" dxfId="6" priority="5" operator="beginsWith" text="Buy">
      <formula>LEFT(BD74,LEN("Buy"))="Buy"</formula>
    </cfRule>
    <cfRule type="beginsWith" dxfId="5" priority="6" operator="beginsWith" text="Strong">
      <formula>LEFT(BD74,LEN("Strong"))="Strong"</formula>
    </cfRule>
  </conditionalFormatting>
  <pageMargins left="0.7" right="0.7" top="0.75" bottom="0.75" header="0.3" footer="0.3"/>
  <ignoredErrors>
    <ignoredError sqref="AF37:AK52 N92:X99"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A1:CV108"/>
  <sheetViews>
    <sheetView zoomScale="85" zoomScaleNormal="85" workbookViewId="0">
      <pane xSplit="2" ySplit="3" topLeftCell="C4" activePane="bottomRight" state="frozen"/>
      <selection pane="topRight" activeCell="C1" sqref="C1"/>
      <selection pane="bottomLeft" activeCell="A4" sqref="A4"/>
      <selection pane="bottomRight" activeCell="X1" sqref="X1:X1048576"/>
    </sheetView>
  </sheetViews>
  <sheetFormatPr defaultColWidth="9.140625" defaultRowHeight="14.25"/>
  <cols>
    <col min="1" max="1" width="3.140625" style="1" customWidth="1"/>
    <col min="2" max="2" width="36.42578125" style="1" customWidth="1"/>
    <col min="3" max="23" width="9.140625" style="1"/>
    <col min="24" max="26" width="9.140625" style="35"/>
    <col min="27" max="37" width="9.140625" style="1"/>
    <col min="38" max="99" width="9.140625" style="35"/>
    <col min="100" max="16384" width="9.140625" style="1"/>
  </cols>
  <sheetData>
    <row r="1" spans="2:100" ht="15">
      <c r="B1" s="1" t="s">
        <v>48</v>
      </c>
      <c r="C1" s="33" t="s">
        <v>43</v>
      </c>
      <c r="G1" s="33" t="s">
        <v>44</v>
      </c>
      <c r="K1" s="33" t="s">
        <v>45</v>
      </c>
      <c r="O1" s="33" t="s">
        <v>46</v>
      </c>
      <c r="S1" s="33" t="s">
        <v>47</v>
      </c>
      <c r="W1" s="2" t="s">
        <v>183</v>
      </c>
    </row>
    <row r="2" spans="2:100">
      <c r="B2" s="1" t="s">
        <v>49</v>
      </c>
    </row>
    <row r="3" spans="2:100" ht="15">
      <c r="B3" s="2" t="s">
        <v>50</v>
      </c>
      <c r="C3" s="33" t="s">
        <v>43</v>
      </c>
      <c r="D3" s="37" t="s">
        <v>238</v>
      </c>
      <c r="E3" s="37" t="s">
        <v>239</v>
      </c>
      <c r="F3" s="37" t="s">
        <v>240</v>
      </c>
      <c r="G3" s="33" t="s">
        <v>44</v>
      </c>
      <c r="H3" s="37" t="s">
        <v>241</v>
      </c>
      <c r="I3" s="37" t="s">
        <v>242</v>
      </c>
      <c r="J3" s="37" t="s">
        <v>243</v>
      </c>
      <c r="K3" s="33" t="s">
        <v>45</v>
      </c>
      <c r="L3" s="37" t="s">
        <v>244</v>
      </c>
      <c r="M3" s="37" t="s">
        <v>245</v>
      </c>
      <c r="N3" s="37" t="s">
        <v>246</v>
      </c>
      <c r="O3" s="33" t="s">
        <v>46</v>
      </c>
      <c r="P3" s="37" t="s">
        <v>247</v>
      </c>
      <c r="Q3" s="37" t="s">
        <v>248</v>
      </c>
      <c r="R3" s="37" t="s">
        <v>249</v>
      </c>
      <c r="S3" s="33" t="s">
        <v>47</v>
      </c>
      <c r="T3" s="37" t="s">
        <v>250</v>
      </c>
      <c r="U3" s="37" t="s">
        <v>251</v>
      </c>
      <c r="V3" s="37" t="s">
        <v>252</v>
      </c>
      <c r="W3" s="33" t="s">
        <v>183</v>
      </c>
      <c r="X3" s="37" t="s">
        <v>1263</v>
      </c>
      <c r="Y3" s="34"/>
      <c r="Z3" s="34"/>
      <c r="AF3" s="2">
        <v>2020</v>
      </c>
      <c r="AG3" s="2">
        <f t="shared" ref="AG3:CH3" si="0">AF3+1</f>
        <v>2021</v>
      </c>
      <c r="AH3" s="2">
        <f t="shared" si="0"/>
        <v>2022</v>
      </c>
      <c r="AI3" s="2">
        <f t="shared" si="0"/>
        <v>2023</v>
      </c>
      <c r="AJ3" s="2">
        <f t="shared" si="0"/>
        <v>2024</v>
      </c>
      <c r="AK3" s="2">
        <f t="shared" si="0"/>
        <v>2025</v>
      </c>
      <c r="AL3" s="34">
        <v>2026</v>
      </c>
      <c r="AM3" s="34">
        <f t="shared" si="0"/>
        <v>2027</v>
      </c>
      <c r="AN3" s="34">
        <f t="shared" si="0"/>
        <v>2028</v>
      </c>
      <c r="AO3" s="34">
        <f t="shared" si="0"/>
        <v>2029</v>
      </c>
      <c r="AP3" s="34">
        <f t="shared" si="0"/>
        <v>2030</v>
      </c>
      <c r="AQ3" s="34">
        <f t="shared" si="0"/>
        <v>2031</v>
      </c>
      <c r="AR3" s="34">
        <f t="shared" si="0"/>
        <v>2032</v>
      </c>
      <c r="AS3" s="34">
        <f t="shared" si="0"/>
        <v>2033</v>
      </c>
      <c r="AT3" s="34">
        <f t="shared" si="0"/>
        <v>2034</v>
      </c>
      <c r="AU3" s="34">
        <f t="shared" si="0"/>
        <v>2035</v>
      </c>
      <c r="AV3" s="34">
        <f t="shared" si="0"/>
        <v>2036</v>
      </c>
      <c r="AW3" s="34">
        <f t="shared" si="0"/>
        <v>2037</v>
      </c>
      <c r="AX3" s="34">
        <f t="shared" si="0"/>
        <v>2038</v>
      </c>
      <c r="AY3" s="34">
        <f t="shared" si="0"/>
        <v>2039</v>
      </c>
      <c r="AZ3" s="34">
        <f t="shared" si="0"/>
        <v>2040</v>
      </c>
      <c r="BA3" s="34">
        <f t="shared" si="0"/>
        <v>2041</v>
      </c>
      <c r="BB3" s="34">
        <f t="shared" si="0"/>
        <v>2042</v>
      </c>
      <c r="BC3" s="34">
        <f t="shared" si="0"/>
        <v>2043</v>
      </c>
      <c r="BD3" s="34">
        <f t="shared" si="0"/>
        <v>2044</v>
      </c>
      <c r="BE3" s="34">
        <f t="shared" si="0"/>
        <v>2045</v>
      </c>
      <c r="BF3" s="34">
        <f t="shared" si="0"/>
        <v>2046</v>
      </c>
      <c r="BG3" s="34">
        <f t="shared" si="0"/>
        <v>2047</v>
      </c>
      <c r="BH3" s="34">
        <f t="shared" si="0"/>
        <v>2048</v>
      </c>
      <c r="BI3" s="34">
        <f t="shared" si="0"/>
        <v>2049</v>
      </c>
      <c r="BJ3" s="34">
        <f t="shared" si="0"/>
        <v>2050</v>
      </c>
      <c r="BK3" s="34">
        <f t="shared" si="0"/>
        <v>2051</v>
      </c>
      <c r="BL3" s="34">
        <f t="shared" si="0"/>
        <v>2052</v>
      </c>
      <c r="BM3" s="34">
        <f t="shared" si="0"/>
        <v>2053</v>
      </c>
      <c r="BN3" s="34">
        <f t="shared" si="0"/>
        <v>2054</v>
      </c>
      <c r="BO3" s="34">
        <f t="shared" si="0"/>
        <v>2055</v>
      </c>
      <c r="BP3" s="34">
        <f t="shared" si="0"/>
        <v>2056</v>
      </c>
      <c r="BQ3" s="34">
        <f t="shared" si="0"/>
        <v>2057</v>
      </c>
      <c r="BR3" s="34">
        <f t="shared" si="0"/>
        <v>2058</v>
      </c>
      <c r="BS3" s="34">
        <f t="shared" si="0"/>
        <v>2059</v>
      </c>
      <c r="BT3" s="34">
        <f t="shared" si="0"/>
        <v>2060</v>
      </c>
      <c r="BU3" s="34">
        <f t="shared" si="0"/>
        <v>2061</v>
      </c>
      <c r="BV3" s="34">
        <f t="shared" si="0"/>
        <v>2062</v>
      </c>
      <c r="BW3" s="34">
        <f t="shared" si="0"/>
        <v>2063</v>
      </c>
      <c r="BX3" s="34">
        <f t="shared" si="0"/>
        <v>2064</v>
      </c>
      <c r="BY3" s="34">
        <f t="shared" si="0"/>
        <v>2065</v>
      </c>
      <c r="BZ3" s="34">
        <f t="shared" si="0"/>
        <v>2066</v>
      </c>
      <c r="CA3" s="34">
        <f t="shared" si="0"/>
        <v>2067</v>
      </c>
      <c r="CB3" s="34">
        <f t="shared" si="0"/>
        <v>2068</v>
      </c>
      <c r="CC3" s="34">
        <f t="shared" si="0"/>
        <v>2069</v>
      </c>
      <c r="CD3" s="34">
        <f t="shared" si="0"/>
        <v>2070</v>
      </c>
      <c r="CE3" s="34">
        <f t="shared" si="0"/>
        <v>2071</v>
      </c>
      <c r="CF3" s="34">
        <f t="shared" si="0"/>
        <v>2072</v>
      </c>
      <c r="CG3" s="34">
        <f t="shared" si="0"/>
        <v>2073</v>
      </c>
      <c r="CH3" s="34">
        <f t="shared" si="0"/>
        <v>2074</v>
      </c>
      <c r="CI3" s="34">
        <f t="shared" ref="CI3:CS3" si="1">CH3+1</f>
        <v>2075</v>
      </c>
      <c r="CJ3" s="34">
        <f t="shared" si="1"/>
        <v>2076</v>
      </c>
      <c r="CK3" s="34">
        <f t="shared" si="1"/>
        <v>2077</v>
      </c>
      <c r="CL3" s="34">
        <f t="shared" si="1"/>
        <v>2078</v>
      </c>
      <c r="CM3" s="34">
        <f t="shared" si="1"/>
        <v>2079</v>
      </c>
      <c r="CN3" s="34">
        <f t="shared" si="1"/>
        <v>2080</v>
      </c>
      <c r="CO3" s="34">
        <f t="shared" si="1"/>
        <v>2081</v>
      </c>
      <c r="CP3" s="34">
        <f t="shared" si="1"/>
        <v>2082</v>
      </c>
      <c r="CQ3" s="34">
        <f t="shared" si="1"/>
        <v>2083</v>
      </c>
      <c r="CR3" s="34">
        <f t="shared" si="1"/>
        <v>2084</v>
      </c>
      <c r="CS3" s="34">
        <f t="shared" si="1"/>
        <v>2085</v>
      </c>
      <c r="CT3" s="34"/>
      <c r="CU3" s="34"/>
      <c r="CV3" s="2"/>
    </row>
    <row r="4" spans="2:100">
      <c r="B4" s="36" t="s">
        <v>195</v>
      </c>
      <c r="C4" s="81"/>
      <c r="D4" s="81"/>
      <c r="E4" s="81"/>
      <c r="F4" s="81"/>
      <c r="G4" s="81"/>
      <c r="H4" s="81"/>
      <c r="I4" s="81"/>
      <c r="J4" s="81"/>
      <c r="K4" s="81"/>
      <c r="L4" s="81"/>
      <c r="M4" s="81"/>
      <c r="N4" s="81"/>
      <c r="O4" s="81">
        <v>18.048999999999999</v>
      </c>
      <c r="P4" s="81">
        <v>17.178999999999998</v>
      </c>
      <c r="Q4" s="81">
        <v>18.552</v>
      </c>
      <c r="R4" s="81">
        <f>71.887-SUM(O4:Q4)</f>
        <v>18.107000000000006</v>
      </c>
      <c r="S4" s="81">
        <v>16.28</v>
      </c>
      <c r="T4" s="81">
        <v>16.425999999999998</v>
      </c>
      <c r="U4" s="81">
        <v>18.827999999999999</v>
      </c>
      <c r="V4" s="81">
        <f>71.91-SUM(S4:U4)</f>
        <v>20.375999999999991</v>
      </c>
      <c r="W4" s="81">
        <v>16.169</v>
      </c>
      <c r="X4" s="81">
        <v>17.498000000000001</v>
      </c>
      <c r="AF4" s="81"/>
      <c r="AG4" s="81"/>
      <c r="AH4" s="81"/>
      <c r="AI4" s="81">
        <f t="shared" ref="AI4:AJ7" si="2">SUM(O4:R4)</f>
        <v>71.887</v>
      </c>
      <c r="AJ4" s="81">
        <f t="shared" si="2"/>
        <v>70.117999999999995</v>
      </c>
      <c r="AK4" s="81">
        <f>SUM(S4:V4)</f>
        <v>71.91</v>
      </c>
      <c r="AL4" s="92">
        <f t="shared" ref="AL4:AU4" si="3">AK4*(1+AL9)</f>
        <v>75.505499999999998</v>
      </c>
      <c r="AM4" s="92">
        <f t="shared" si="3"/>
        <v>80.035830000000004</v>
      </c>
      <c r="AN4" s="92">
        <f t="shared" si="3"/>
        <v>85.638338100000013</v>
      </c>
      <c r="AO4" s="92">
        <f t="shared" si="3"/>
        <v>90.776638386000016</v>
      </c>
      <c r="AP4" s="92">
        <f t="shared" si="3"/>
        <v>95.315470305300025</v>
      </c>
      <c r="AQ4" s="92">
        <f t="shared" si="3"/>
        <v>99.128089117512033</v>
      </c>
      <c r="AR4" s="92">
        <f t="shared" si="3"/>
        <v>102.59757223662494</v>
      </c>
      <c r="AS4" s="92">
        <f t="shared" si="3"/>
        <v>105.67549940372369</v>
      </c>
      <c r="AT4" s="92">
        <f t="shared" si="3"/>
        <v>108.31738688881677</v>
      </c>
      <c r="AU4" s="92">
        <f t="shared" si="3"/>
        <v>110.4837346265931</v>
      </c>
    </row>
    <row r="5" spans="2:100">
      <c r="B5" s="36" t="s">
        <v>196</v>
      </c>
      <c r="C5" s="81"/>
      <c r="D5" s="81"/>
      <c r="E5" s="81"/>
      <c r="F5" s="81"/>
      <c r="G5" s="81"/>
      <c r="H5" s="81"/>
      <c r="I5" s="81"/>
      <c r="J5" s="81"/>
      <c r="K5" s="81"/>
      <c r="L5" s="81"/>
      <c r="M5" s="81"/>
      <c r="N5" s="81"/>
      <c r="O5" s="81">
        <v>12.776999999999999</v>
      </c>
      <c r="P5" s="81">
        <v>14.231999999999999</v>
      </c>
      <c r="Q5" s="81">
        <v>14.173</v>
      </c>
      <c r="R5" s="81">
        <f>56.184-SUM(O5:Q5)</f>
        <v>15.001999999999995</v>
      </c>
      <c r="S5" s="81">
        <v>13.337999999999999</v>
      </c>
      <c r="T5" s="81">
        <v>15.051</v>
      </c>
      <c r="U5" s="81">
        <v>13.061</v>
      </c>
      <c r="V5" s="81">
        <f>55.585-SUM(S5:U5)</f>
        <v>14.134999999999998</v>
      </c>
      <c r="W5" s="81">
        <v>16.594999999999999</v>
      </c>
      <c r="X5" s="81">
        <v>17.559000000000001</v>
      </c>
      <c r="AF5" s="81"/>
      <c r="AG5" s="81"/>
      <c r="AH5" s="81"/>
      <c r="AI5" s="81">
        <f t="shared" si="2"/>
        <v>56.183999999999997</v>
      </c>
      <c r="AJ5" s="81">
        <f t="shared" si="2"/>
        <v>56.744999999999997</v>
      </c>
      <c r="AK5" s="81">
        <f t="shared" ref="AK5:AK6" si="4">SUM(S5:V5)</f>
        <v>55.585000000000001</v>
      </c>
      <c r="AL5" s="92">
        <f t="shared" ref="AL5:AU5" si="5">AK5*(1+AL10)</f>
        <v>67.813699999999997</v>
      </c>
      <c r="AM5" s="92">
        <f t="shared" si="5"/>
        <v>77.307618000000005</v>
      </c>
      <c r="AN5" s="92">
        <f t="shared" si="5"/>
        <v>87.357608339999999</v>
      </c>
      <c r="AO5" s="92">
        <f t="shared" si="5"/>
        <v>97.840521340800009</v>
      </c>
      <c r="AP5" s="92">
        <f t="shared" si="5"/>
        <v>108.60297868828802</v>
      </c>
      <c r="AQ5" s="92">
        <f t="shared" si="5"/>
        <v>119.46327655711683</v>
      </c>
      <c r="AR5" s="92">
        <f t="shared" si="5"/>
        <v>130.21497144725734</v>
      </c>
      <c r="AS5" s="92">
        <f t="shared" si="5"/>
        <v>139.33001944856537</v>
      </c>
      <c r="AT5" s="92">
        <f t="shared" si="5"/>
        <v>146.29652042099363</v>
      </c>
      <c r="AU5" s="92">
        <f t="shared" si="5"/>
        <v>150.68541603362345</v>
      </c>
    </row>
    <row r="6" spans="2:100">
      <c r="B6" s="36" t="s">
        <v>197</v>
      </c>
      <c r="C6" s="81"/>
      <c r="D6" s="81"/>
      <c r="E6" s="81"/>
      <c r="F6" s="81"/>
      <c r="G6" s="81"/>
      <c r="H6" s="81"/>
      <c r="I6" s="81"/>
      <c r="J6" s="81"/>
      <c r="K6" s="81"/>
      <c r="L6" s="81"/>
      <c r="M6" s="81"/>
      <c r="N6" s="81"/>
      <c r="O6" s="81">
        <v>29.614000000000001</v>
      </c>
      <c r="P6" s="81">
        <v>29.681000000000001</v>
      </c>
      <c r="Q6" s="81">
        <v>28.541</v>
      </c>
      <c r="R6" s="81">
        <f>116.281-SUM(O6:Q6)</f>
        <v>28.445000000000007</v>
      </c>
      <c r="S6" s="81">
        <v>36.646999999999998</v>
      </c>
      <c r="T6" s="81">
        <v>41.908999999999999</v>
      </c>
      <c r="U6" s="81">
        <v>49.365000000000002</v>
      </c>
      <c r="V6" s="81">
        <f>180.232-SUM(S6:U6)</f>
        <v>52.311000000000007</v>
      </c>
      <c r="W6" s="81">
        <v>61.386000000000003</v>
      </c>
      <c r="X6" s="81">
        <v>80.995000000000005</v>
      </c>
      <c r="AF6" s="81"/>
      <c r="AG6" s="81"/>
      <c r="AH6" s="81"/>
      <c r="AI6" s="81">
        <f t="shared" si="2"/>
        <v>116.28100000000001</v>
      </c>
      <c r="AJ6" s="81">
        <f t="shared" si="2"/>
        <v>123.31399999999999</v>
      </c>
      <c r="AK6" s="81">
        <f t="shared" si="4"/>
        <v>180.232</v>
      </c>
      <c r="AL6" s="92">
        <f t="shared" ref="AL6:AU6" si="6">AK6*(1+AL11)</f>
        <v>279.3596</v>
      </c>
      <c r="AM6" s="92">
        <f t="shared" si="6"/>
        <v>385.51624799999996</v>
      </c>
      <c r="AN6" s="92">
        <f t="shared" si="6"/>
        <v>508.88144735999998</v>
      </c>
      <c r="AO6" s="92">
        <f t="shared" si="6"/>
        <v>646.27943814720004</v>
      </c>
      <c r="AP6" s="92">
        <f t="shared" si="6"/>
        <v>781.99812015811199</v>
      </c>
      <c r="AQ6" s="92">
        <f t="shared" si="6"/>
        <v>930.57776298815327</v>
      </c>
      <c r="AR6" s="92">
        <f t="shared" si="6"/>
        <v>1088.7759826961392</v>
      </c>
      <c r="AS6" s="92">
        <f t="shared" si="6"/>
        <v>1252.0923801005599</v>
      </c>
      <c r="AT6" s="92">
        <f t="shared" si="6"/>
        <v>1414.8643895136327</v>
      </c>
      <c r="AU6" s="92">
        <f t="shared" si="6"/>
        <v>1570.4994723601324</v>
      </c>
    </row>
    <row r="7" spans="2:100" s="2" customFormat="1" ht="15">
      <c r="B7" s="33" t="s">
        <v>51</v>
      </c>
      <c r="C7" s="82"/>
      <c r="D7" s="82"/>
      <c r="E7" s="82"/>
      <c r="F7" s="82"/>
      <c r="G7" s="82"/>
      <c r="H7" s="82"/>
      <c r="I7" s="82"/>
      <c r="J7" s="82"/>
      <c r="K7" s="82"/>
      <c r="L7" s="82"/>
      <c r="M7" s="82"/>
      <c r="N7" s="82"/>
      <c r="O7" s="82">
        <f t="shared" ref="O7:W7" si="7">SUM(O4:O6)</f>
        <v>60.44</v>
      </c>
      <c r="P7" s="82">
        <f t="shared" si="7"/>
        <v>61.091999999999999</v>
      </c>
      <c r="Q7" s="82">
        <f t="shared" si="7"/>
        <v>61.266000000000005</v>
      </c>
      <c r="R7" s="82">
        <f t="shared" si="7"/>
        <v>61.554000000000009</v>
      </c>
      <c r="S7" s="82">
        <f t="shared" si="7"/>
        <v>66.265000000000001</v>
      </c>
      <c r="T7" s="82">
        <f t="shared" si="7"/>
        <v>73.385999999999996</v>
      </c>
      <c r="U7" s="82">
        <f t="shared" si="7"/>
        <v>81.254000000000005</v>
      </c>
      <c r="V7" s="82">
        <f t="shared" si="7"/>
        <v>86.822000000000003</v>
      </c>
      <c r="W7" s="82">
        <f t="shared" si="7"/>
        <v>94.15</v>
      </c>
      <c r="X7" s="82">
        <f t="shared" ref="X7" si="8">SUM(X4:X6)</f>
        <v>116.05200000000001</v>
      </c>
      <c r="Y7" s="34"/>
      <c r="Z7" s="34"/>
      <c r="AF7" s="82"/>
      <c r="AG7" s="82"/>
      <c r="AH7" s="82"/>
      <c r="AI7" s="82">
        <f t="shared" si="2"/>
        <v>244.352</v>
      </c>
      <c r="AJ7" s="82">
        <f t="shared" si="2"/>
        <v>250.17700000000002</v>
      </c>
      <c r="AK7" s="82">
        <f>SUM(S7:V7)</f>
        <v>307.72700000000003</v>
      </c>
      <c r="AL7" s="89">
        <f t="shared" ref="AL7:AU7" si="9">SUM(AL4:AL6)</f>
        <v>422.67880000000002</v>
      </c>
      <c r="AM7" s="89">
        <f t="shared" si="9"/>
        <v>542.85969599999999</v>
      </c>
      <c r="AN7" s="89">
        <f t="shared" si="9"/>
        <v>681.87739379999994</v>
      </c>
      <c r="AO7" s="89">
        <f t="shared" si="9"/>
        <v>834.89659787400001</v>
      </c>
      <c r="AP7" s="89">
        <f t="shared" si="9"/>
        <v>985.91656915170006</v>
      </c>
      <c r="AQ7" s="89">
        <f t="shared" si="9"/>
        <v>1149.1691286627822</v>
      </c>
      <c r="AR7" s="89">
        <f t="shared" si="9"/>
        <v>1321.5885263800214</v>
      </c>
      <c r="AS7" s="89">
        <f t="shared" si="9"/>
        <v>1497.0978989528489</v>
      </c>
      <c r="AT7" s="89">
        <f t="shared" si="9"/>
        <v>1669.4782968234431</v>
      </c>
      <c r="AU7" s="89">
        <f t="shared" si="9"/>
        <v>1831.6686230203491</v>
      </c>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row>
    <row r="8" spans="2:100">
      <c r="B8" s="36"/>
      <c r="X8" s="1"/>
    </row>
    <row r="9" spans="2:100">
      <c r="B9" s="36" t="s">
        <v>214</v>
      </c>
      <c r="G9" s="85"/>
      <c r="H9" s="85"/>
      <c r="I9" s="85"/>
      <c r="J9" s="85"/>
      <c r="K9" s="85"/>
      <c r="L9" s="85"/>
      <c r="M9" s="85"/>
      <c r="N9" s="85"/>
      <c r="O9" s="85"/>
      <c r="P9" s="85"/>
      <c r="Q9" s="85"/>
      <c r="R9" s="85"/>
      <c r="S9" s="85">
        <f t="shared" ref="S9:X11" si="10">S4/O4-1</f>
        <v>-9.8010970136849562E-2</v>
      </c>
      <c r="T9" s="85">
        <f t="shared" si="10"/>
        <v>-4.3832586297223419E-2</v>
      </c>
      <c r="U9" s="85">
        <f t="shared" si="10"/>
        <v>1.487710219922378E-2</v>
      </c>
      <c r="V9" s="85">
        <f t="shared" si="10"/>
        <v>0.1253106533384869</v>
      </c>
      <c r="W9" s="85">
        <f t="shared" si="10"/>
        <v>-6.8181818181818343E-3</v>
      </c>
      <c r="X9" s="85">
        <f t="shared" si="10"/>
        <v>6.5262388895653389E-2</v>
      </c>
      <c r="AF9" s="85"/>
      <c r="AG9" s="85"/>
      <c r="AH9" s="85"/>
      <c r="AI9" s="85"/>
      <c r="AJ9" s="85">
        <f t="shared" ref="AJ9" si="11">AJ4/AI4-1</f>
        <v>-2.4608065436031668E-2</v>
      </c>
      <c r="AK9" s="85">
        <f>AK4/AJ4-1</f>
        <v>2.5556918337659384E-2</v>
      </c>
      <c r="AL9" s="90">
        <v>0.05</v>
      </c>
      <c r="AM9" s="90">
        <v>0.06</v>
      </c>
      <c r="AN9" s="90">
        <v>7.0000000000000007E-2</v>
      </c>
      <c r="AO9" s="90">
        <v>0.06</v>
      </c>
      <c r="AP9" s="90">
        <v>0.05</v>
      </c>
      <c r="AQ9" s="90">
        <v>0.04</v>
      </c>
      <c r="AR9" s="90">
        <v>3.5000000000000003E-2</v>
      </c>
      <c r="AS9" s="90">
        <v>0.03</v>
      </c>
      <c r="AT9" s="90">
        <v>2.5000000000000001E-2</v>
      </c>
      <c r="AU9" s="90">
        <v>0.02</v>
      </c>
    </row>
    <row r="10" spans="2:100">
      <c r="B10" s="36" t="s">
        <v>215</v>
      </c>
      <c r="G10" s="85"/>
      <c r="H10" s="85"/>
      <c r="I10" s="85"/>
      <c r="J10" s="85"/>
      <c r="K10" s="85"/>
      <c r="L10" s="85"/>
      <c r="M10" s="85"/>
      <c r="N10" s="85"/>
      <c r="O10" s="85"/>
      <c r="P10" s="85"/>
      <c r="Q10" s="85"/>
      <c r="R10" s="85"/>
      <c r="S10" s="85">
        <f t="shared" si="10"/>
        <v>4.3907020427330412E-2</v>
      </c>
      <c r="T10" s="85">
        <f t="shared" si="10"/>
        <v>5.7546374367622333E-2</v>
      </c>
      <c r="U10" s="85">
        <f t="shared" si="10"/>
        <v>-7.8459041840118537E-2</v>
      </c>
      <c r="V10" s="85">
        <f t="shared" si="10"/>
        <v>-5.7792294360751728E-2</v>
      </c>
      <c r="W10" s="85">
        <f t="shared" si="10"/>
        <v>0.24418953366321783</v>
      </c>
      <c r="X10" s="85">
        <f t="shared" si="10"/>
        <v>0.1666334462826391</v>
      </c>
      <c r="AF10" s="85"/>
      <c r="AG10" s="85"/>
      <c r="AH10" s="85"/>
      <c r="AI10" s="85"/>
      <c r="AJ10" s="85">
        <f t="shared" ref="AJ10" si="12">AJ5/AI5-1</f>
        <v>9.985049124305867E-3</v>
      </c>
      <c r="AK10" s="85">
        <f>AK5/AJ5-1</f>
        <v>-2.0442329720680164E-2</v>
      </c>
      <c r="AL10" s="90">
        <v>0.22</v>
      </c>
      <c r="AM10" s="90">
        <v>0.14000000000000001</v>
      </c>
      <c r="AN10" s="90">
        <v>0.13</v>
      </c>
      <c r="AO10" s="90">
        <v>0.12</v>
      </c>
      <c r="AP10" s="90">
        <v>0.11</v>
      </c>
      <c r="AQ10" s="90">
        <v>0.1</v>
      </c>
      <c r="AR10" s="90">
        <v>0.09</v>
      </c>
      <c r="AS10" s="90">
        <v>7.0000000000000007E-2</v>
      </c>
      <c r="AT10" s="90">
        <v>0.05</v>
      </c>
      <c r="AU10" s="90">
        <v>0.03</v>
      </c>
    </row>
    <row r="11" spans="2:100">
      <c r="B11" s="36" t="s">
        <v>216</v>
      </c>
      <c r="G11" s="85"/>
      <c r="H11" s="85"/>
      <c r="I11" s="85"/>
      <c r="J11" s="85"/>
      <c r="K11" s="85"/>
      <c r="L11" s="85"/>
      <c r="M11" s="85"/>
      <c r="N11" s="85"/>
      <c r="O11" s="85"/>
      <c r="P11" s="85"/>
      <c r="Q11" s="85"/>
      <c r="R11" s="85"/>
      <c r="S11" s="85">
        <f t="shared" si="10"/>
        <v>0.23748902546093054</v>
      </c>
      <c r="T11" s="85">
        <f t="shared" si="10"/>
        <v>0.4119807284121153</v>
      </c>
      <c r="U11" s="85">
        <f t="shared" si="10"/>
        <v>0.72961704214988976</v>
      </c>
      <c r="V11" s="85">
        <f t="shared" si="10"/>
        <v>0.83902267533837205</v>
      </c>
      <c r="W11" s="85">
        <f t="shared" si="10"/>
        <v>0.6750620787513304</v>
      </c>
      <c r="X11" s="85">
        <f t="shared" si="10"/>
        <v>0.93263976711446239</v>
      </c>
      <c r="AF11" s="85"/>
      <c r="AG11" s="85"/>
      <c r="AH11" s="85"/>
      <c r="AI11" s="85"/>
      <c r="AJ11" s="85">
        <f t="shared" ref="AJ11" si="13">AJ6/AI6-1</f>
        <v>6.0482795985586479E-2</v>
      </c>
      <c r="AK11" s="85">
        <f>AK6/AJ6-1</f>
        <v>0.46156965145887741</v>
      </c>
      <c r="AL11" s="90">
        <v>0.55000000000000004</v>
      </c>
      <c r="AM11" s="90">
        <v>0.38</v>
      </c>
      <c r="AN11" s="90">
        <v>0.32</v>
      </c>
      <c r="AO11" s="90">
        <v>0.27</v>
      </c>
      <c r="AP11" s="90">
        <v>0.21</v>
      </c>
      <c r="AQ11" s="90">
        <v>0.19</v>
      </c>
      <c r="AR11" s="90">
        <v>0.17</v>
      </c>
      <c r="AS11" s="90">
        <v>0.15</v>
      </c>
      <c r="AT11" s="90">
        <v>0.13</v>
      </c>
      <c r="AU11" s="90">
        <v>0.11</v>
      </c>
    </row>
    <row r="12" spans="2:100" s="2" customFormat="1" ht="15">
      <c r="B12" s="33" t="s">
        <v>101</v>
      </c>
      <c r="G12" s="87"/>
      <c r="H12" s="87"/>
      <c r="I12" s="87"/>
      <c r="J12" s="87"/>
      <c r="K12" s="87"/>
      <c r="L12" s="87"/>
      <c r="M12" s="87"/>
      <c r="N12" s="87"/>
      <c r="O12" s="87"/>
      <c r="P12" s="87"/>
      <c r="Q12" s="87"/>
      <c r="R12" s="87"/>
      <c r="S12" s="87">
        <f t="shared" ref="S12:U12" si="14">S7/O7-1</f>
        <v>9.6376571806750633E-2</v>
      </c>
      <c r="T12" s="87">
        <f t="shared" si="14"/>
        <v>0.20123747790218016</v>
      </c>
      <c r="U12" s="87">
        <f t="shared" si="14"/>
        <v>0.32624946952632783</v>
      </c>
      <c r="V12" s="87">
        <f t="shared" ref="V12:X12" si="15">V7/R7-1</f>
        <v>0.41050134840952635</v>
      </c>
      <c r="W12" s="87">
        <f t="shared" si="15"/>
        <v>0.42081038255489323</v>
      </c>
      <c r="X12" s="87">
        <f t="shared" si="15"/>
        <v>0.58139154607145804</v>
      </c>
      <c r="Y12" s="34"/>
      <c r="Z12" s="34"/>
      <c r="AF12" s="87"/>
      <c r="AG12" s="87"/>
      <c r="AH12" s="87"/>
      <c r="AI12" s="87"/>
      <c r="AJ12" s="87">
        <f t="shared" ref="AJ12" si="16">AJ7/AI7-1</f>
        <v>2.38385607647984E-2</v>
      </c>
      <c r="AK12" s="87">
        <f>AK7/AJ7-1</f>
        <v>0.23003713370933387</v>
      </c>
      <c r="AL12" s="91">
        <f t="shared" ref="AL12:AU12" si="17">AL7/AK7-1</f>
        <v>0.37355123209858077</v>
      </c>
      <c r="AM12" s="91">
        <f t="shared" si="17"/>
        <v>0.28433149710844252</v>
      </c>
      <c r="AN12" s="91">
        <f t="shared" si="17"/>
        <v>0.25608402838585387</v>
      </c>
      <c r="AO12" s="91">
        <f t="shared" si="17"/>
        <v>0.22440867737416426</v>
      </c>
      <c r="AP12" s="91">
        <f t="shared" si="17"/>
        <v>0.18088464087919487</v>
      </c>
      <c r="AQ12" s="91">
        <f t="shared" si="17"/>
        <v>0.16558455818583862</v>
      </c>
      <c r="AR12" s="91">
        <f t="shared" si="17"/>
        <v>0.15003831326192452</v>
      </c>
      <c r="AS12" s="91">
        <f t="shared" si="17"/>
        <v>0.13280182830700515</v>
      </c>
      <c r="AT12" s="91">
        <f t="shared" si="17"/>
        <v>0.11514303639806478</v>
      </c>
      <c r="AU12" s="91">
        <f t="shared" si="17"/>
        <v>9.7150305281302307E-2</v>
      </c>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row>
    <row r="13" spans="2:100">
      <c r="G13" s="85"/>
      <c r="H13" s="85"/>
      <c r="I13" s="85"/>
      <c r="J13" s="85"/>
      <c r="K13" s="85"/>
      <c r="L13" s="85"/>
      <c r="M13" s="85"/>
      <c r="N13" s="85"/>
      <c r="O13" s="85"/>
      <c r="P13" s="85"/>
      <c r="Q13" s="85"/>
      <c r="R13" s="85"/>
      <c r="S13" s="85"/>
      <c r="T13" s="85"/>
      <c r="U13" s="85"/>
      <c r="V13" s="85"/>
      <c r="W13" s="85"/>
      <c r="X13" s="85"/>
      <c r="AF13" s="85"/>
      <c r="AG13" s="85"/>
      <c r="AH13" s="85"/>
      <c r="AI13" s="85"/>
      <c r="AJ13" s="85"/>
      <c r="AK13" s="85"/>
    </row>
    <row r="14" spans="2:100">
      <c r="B14" s="36" t="s">
        <v>210</v>
      </c>
      <c r="C14" s="85"/>
      <c r="D14" s="85"/>
      <c r="E14" s="85"/>
      <c r="F14" s="85"/>
      <c r="G14" s="85"/>
      <c r="H14" s="85"/>
      <c r="I14" s="85"/>
      <c r="J14" s="85"/>
      <c r="K14" s="85"/>
      <c r="L14" s="85"/>
      <c r="M14" s="85"/>
      <c r="N14" s="85"/>
      <c r="O14" s="85">
        <f t="shared" ref="O14:V14" si="18">O4/O7</f>
        <v>0.29862673726009265</v>
      </c>
      <c r="P14" s="85">
        <f t="shared" si="18"/>
        <v>0.28119884763962544</v>
      </c>
      <c r="Q14" s="85">
        <f t="shared" si="18"/>
        <v>0.30281069434923119</v>
      </c>
      <c r="R14" s="85">
        <f t="shared" si="18"/>
        <v>0.29416447347044877</v>
      </c>
      <c r="S14" s="85">
        <f t="shared" si="18"/>
        <v>0.24568022334565759</v>
      </c>
      <c r="T14" s="85">
        <f t="shared" si="18"/>
        <v>0.22383015834082795</v>
      </c>
      <c r="U14" s="85">
        <f t="shared" si="18"/>
        <v>0.23171782312255396</v>
      </c>
      <c r="V14" s="85">
        <f t="shared" si="18"/>
        <v>0.23468706088318617</v>
      </c>
      <c r="W14" s="85">
        <f>W4/W7</f>
        <v>0.17173659054699947</v>
      </c>
      <c r="X14" s="85">
        <f>X4/X7</f>
        <v>0.15077723778995622</v>
      </c>
      <c r="AF14" s="85"/>
      <c r="AG14" s="85"/>
      <c r="AH14" s="85"/>
      <c r="AI14" s="85">
        <f t="shared" ref="AI14:AK14" si="19">AI4/AI7</f>
        <v>0.29419444080670509</v>
      </c>
      <c r="AJ14" s="85">
        <f t="shared" si="19"/>
        <v>0.28027356631504891</v>
      </c>
      <c r="AK14" s="85">
        <f t="shared" si="19"/>
        <v>0.23368115245006121</v>
      </c>
      <c r="AL14" s="44"/>
      <c r="AM14" s="44"/>
      <c r="AN14" s="44"/>
      <c r="AO14" s="44"/>
      <c r="AP14" s="44"/>
      <c r="AQ14" s="44"/>
      <c r="AR14" s="44"/>
      <c r="AS14" s="44"/>
      <c r="AT14" s="44"/>
      <c r="AU14" s="44"/>
    </row>
    <row r="15" spans="2:100">
      <c r="B15" s="36" t="s">
        <v>211</v>
      </c>
      <c r="C15" s="85"/>
      <c r="D15" s="85"/>
      <c r="E15" s="85"/>
      <c r="F15" s="85"/>
      <c r="G15" s="85"/>
      <c r="H15" s="85"/>
      <c r="I15" s="85"/>
      <c r="J15" s="85"/>
      <c r="K15" s="85"/>
      <c r="L15" s="85"/>
      <c r="M15" s="85"/>
      <c r="N15" s="85"/>
      <c r="O15" s="85">
        <f t="shared" ref="O15:V15" si="20">O5/O7</f>
        <v>0.21139973527465256</v>
      </c>
      <c r="P15" s="85">
        <f t="shared" si="20"/>
        <v>0.23296012571204086</v>
      </c>
      <c r="Q15" s="85">
        <f t="shared" si="20"/>
        <v>0.23133548787255573</v>
      </c>
      <c r="R15" s="85">
        <f t="shared" si="20"/>
        <v>0.24372096045748437</v>
      </c>
      <c r="S15" s="85">
        <f t="shared" si="20"/>
        <v>0.20128272843884401</v>
      </c>
      <c r="T15" s="85">
        <f t="shared" si="20"/>
        <v>0.20509361458588832</v>
      </c>
      <c r="U15" s="85">
        <f t="shared" si="20"/>
        <v>0.16074285573633296</v>
      </c>
      <c r="V15" s="85">
        <f t="shared" si="20"/>
        <v>0.1628043583423556</v>
      </c>
      <c r="W15" s="85">
        <f>W5/W7</f>
        <v>0.17626128518321824</v>
      </c>
      <c r="X15" s="85">
        <f>X5/X7</f>
        <v>0.15130286423327474</v>
      </c>
      <c r="AF15" s="85"/>
      <c r="AG15" s="85"/>
      <c r="AH15" s="85"/>
      <c r="AI15" s="85">
        <f t="shared" ref="AI15:AK15" si="21">AI5/AI7</f>
        <v>0.22993059193294918</v>
      </c>
      <c r="AJ15" s="85">
        <f t="shared" si="21"/>
        <v>0.22681941185640564</v>
      </c>
      <c r="AK15" s="85">
        <f t="shared" si="21"/>
        <v>0.18063088386784387</v>
      </c>
      <c r="AL15" s="44"/>
      <c r="AM15" s="44"/>
      <c r="AN15" s="44"/>
      <c r="AO15" s="44"/>
      <c r="AP15" s="44"/>
      <c r="AQ15" s="44"/>
      <c r="AR15" s="44"/>
      <c r="AS15" s="44"/>
      <c r="AT15" s="44"/>
      <c r="AU15" s="44"/>
    </row>
    <row r="16" spans="2:100">
      <c r="B16" s="36" t="s">
        <v>212</v>
      </c>
      <c r="C16" s="85"/>
      <c r="D16" s="85"/>
      <c r="E16" s="85"/>
      <c r="F16" s="85"/>
      <c r="G16" s="85"/>
      <c r="H16" s="85"/>
      <c r="I16" s="85"/>
      <c r="J16" s="85"/>
      <c r="K16" s="85"/>
      <c r="L16" s="85"/>
      <c r="M16" s="85"/>
      <c r="N16" s="85"/>
      <c r="O16" s="85">
        <f t="shared" ref="O16:V16" si="22">O6/O7</f>
        <v>0.48997352746525485</v>
      </c>
      <c r="P16" s="85">
        <f t="shared" si="22"/>
        <v>0.48584102664833367</v>
      </c>
      <c r="Q16" s="85">
        <f t="shared" si="22"/>
        <v>0.465853817778213</v>
      </c>
      <c r="R16" s="85">
        <f t="shared" si="22"/>
        <v>0.46211456607206686</v>
      </c>
      <c r="S16" s="85">
        <f t="shared" si="22"/>
        <v>0.55303704821549837</v>
      </c>
      <c r="T16" s="85">
        <f t="shared" si="22"/>
        <v>0.57107622707328376</v>
      </c>
      <c r="U16" s="85">
        <f t="shared" si="22"/>
        <v>0.60753932114111309</v>
      </c>
      <c r="V16" s="85">
        <f t="shared" si="22"/>
        <v>0.60250858077445812</v>
      </c>
      <c r="W16" s="85">
        <f>W6/W7</f>
        <v>0.65200212426978221</v>
      </c>
      <c r="X16" s="85">
        <f>X6/X7</f>
        <v>0.69791989797676901</v>
      </c>
      <c r="AF16" s="85"/>
      <c r="AG16" s="85"/>
      <c r="AH16" s="85"/>
      <c r="AI16" s="85">
        <f t="shared" ref="AI16:AK16" si="23">AI6/AI7</f>
        <v>0.47587496726034573</v>
      </c>
      <c r="AJ16" s="85">
        <f t="shared" si="23"/>
        <v>0.49290702182854534</v>
      </c>
      <c r="AK16" s="85">
        <f t="shared" si="23"/>
        <v>0.58568796368209475</v>
      </c>
      <c r="AL16" s="44"/>
      <c r="AM16" s="44"/>
      <c r="AN16" s="44"/>
      <c r="AO16" s="44"/>
      <c r="AP16" s="44"/>
      <c r="AQ16" s="44"/>
      <c r="AR16" s="44"/>
      <c r="AS16" s="44"/>
      <c r="AT16" s="44"/>
      <c r="AU16" s="44"/>
    </row>
    <row r="17" spans="2:99">
      <c r="X17" s="1"/>
    </row>
    <row r="18" spans="2:99">
      <c r="B18" s="36" t="s">
        <v>198</v>
      </c>
      <c r="C18" s="81"/>
      <c r="D18" s="81"/>
      <c r="E18" s="81"/>
      <c r="F18" s="81"/>
      <c r="G18" s="81"/>
      <c r="H18" s="81"/>
      <c r="I18" s="81"/>
      <c r="J18" s="81"/>
      <c r="K18" s="81"/>
      <c r="L18" s="81"/>
      <c r="M18" s="81"/>
      <c r="N18" s="81"/>
      <c r="O18" s="81">
        <v>32.713000000000001</v>
      </c>
      <c r="P18" s="81">
        <v>30.797000000000001</v>
      </c>
      <c r="Q18" s="81">
        <v>27.038</v>
      </c>
      <c r="R18" s="81">
        <f>119.35-SUM(O18:Q18)</f>
        <v>28.801999999999992</v>
      </c>
      <c r="S18" s="81">
        <v>29.533000000000001</v>
      </c>
      <c r="T18" s="81">
        <v>31.093</v>
      </c>
      <c r="U18" s="81">
        <v>35.148000000000003</v>
      </c>
      <c r="V18" s="81">
        <f>132.01-SUM(S18:U18)</f>
        <v>36.23599999999999</v>
      </c>
      <c r="W18" s="81">
        <v>37.036999999999999</v>
      </c>
      <c r="X18" s="81">
        <v>39.015000000000001</v>
      </c>
      <c r="AI18" s="81">
        <f>SUM(O18:R18)</f>
        <v>119.35</v>
      </c>
      <c r="AJ18" s="81">
        <f>SUM(P18:S18)</f>
        <v>116.17</v>
      </c>
      <c r="AK18" s="81">
        <f t="shared" ref="AK18" si="24">SUM(S18:V18)</f>
        <v>132.01</v>
      </c>
    </row>
    <row r="19" spans="2:99">
      <c r="B19" s="36" t="s">
        <v>199</v>
      </c>
      <c r="C19" s="81"/>
      <c r="D19" s="81"/>
      <c r="E19" s="81"/>
      <c r="F19" s="81"/>
      <c r="G19" s="81"/>
      <c r="H19" s="81"/>
      <c r="I19" s="81"/>
      <c r="J19" s="81"/>
      <c r="K19" s="81"/>
      <c r="L19" s="81"/>
      <c r="M19" s="81"/>
      <c r="N19" s="81"/>
      <c r="O19" s="81">
        <v>11.141999999999999</v>
      </c>
      <c r="P19" s="81">
        <v>10.298</v>
      </c>
      <c r="Q19" s="81">
        <v>10.334</v>
      </c>
      <c r="R19" s="81">
        <f>42.401-SUM(O19:Q19)</f>
        <v>10.627000000000006</v>
      </c>
      <c r="S19" s="81">
        <v>15.307</v>
      </c>
      <c r="T19" s="81">
        <v>16.149999999999999</v>
      </c>
      <c r="U19" s="81">
        <v>14.324</v>
      </c>
      <c r="V19" s="81">
        <f>59.813-SUM(S19:U19)</f>
        <v>14.032000000000004</v>
      </c>
      <c r="W19" s="81">
        <v>19.306999999999999</v>
      </c>
      <c r="X19" s="81">
        <v>19.094000000000001</v>
      </c>
      <c r="AI19" s="81">
        <f t="shared" ref="AI19:AI21" si="25">SUM(O19:R19)</f>
        <v>42.401000000000003</v>
      </c>
      <c r="AJ19" s="81">
        <f t="shared" ref="AJ19:AJ21" si="26">SUM(P19:S19)</f>
        <v>46.566000000000003</v>
      </c>
      <c r="AK19" s="81">
        <f t="shared" ref="AK19:AK22" si="27">SUM(S19:V19)</f>
        <v>59.813000000000002</v>
      </c>
    </row>
    <row r="20" spans="2:99">
      <c r="B20" s="36" t="s">
        <v>200</v>
      </c>
      <c r="C20" s="81"/>
      <c r="D20" s="81"/>
      <c r="E20" s="81"/>
      <c r="F20" s="81"/>
      <c r="G20" s="81"/>
      <c r="H20" s="81"/>
      <c r="I20" s="81"/>
      <c r="J20" s="81"/>
      <c r="K20" s="81"/>
      <c r="L20" s="81"/>
      <c r="M20" s="81"/>
      <c r="N20" s="81"/>
      <c r="O20" s="81">
        <v>13.694000000000001</v>
      </c>
      <c r="P20" s="81">
        <v>17.225999999999999</v>
      </c>
      <c r="Q20" s="81">
        <v>20.010999999999999</v>
      </c>
      <c r="R20" s="81">
        <f>70.085-SUM(O20:Q20)</f>
        <v>19.153999999999996</v>
      </c>
      <c r="S20" s="81">
        <v>18.849</v>
      </c>
      <c r="T20" s="81">
        <v>23.466999999999999</v>
      </c>
      <c r="U20" s="81">
        <v>27.613</v>
      </c>
      <c r="V20" s="81">
        <f>103.674-SUM(S20:U20)</f>
        <v>33.745000000000005</v>
      </c>
      <c r="W20" s="81">
        <v>35.052999999999997</v>
      </c>
      <c r="X20" s="81">
        <v>55.2</v>
      </c>
      <c r="AI20" s="81">
        <f t="shared" si="25"/>
        <v>70.084999999999994</v>
      </c>
      <c r="AJ20" s="81">
        <f t="shared" si="26"/>
        <v>75.239999999999995</v>
      </c>
      <c r="AK20" s="81">
        <f t="shared" si="27"/>
        <v>103.67400000000001</v>
      </c>
    </row>
    <row r="21" spans="2:99">
      <c r="B21" s="36" t="s">
        <v>201</v>
      </c>
      <c r="C21" s="81"/>
      <c r="D21" s="81"/>
      <c r="E21" s="81"/>
      <c r="F21" s="81"/>
      <c r="G21" s="81"/>
      <c r="H21" s="81"/>
      <c r="I21" s="81"/>
      <c r="J21" s="81"/>
      <c r="K21" s="81"/>
      <c r="L21" s="81"/>
      <c r="M21" s="81"/>
      <c r="N21" s="81"/>
      <c r="O21" s="81">
        <v>2.891</v>
      </c>
      <c r="P21" s="81">
        <v>2.7709999999999999</v>
      </c>
      <c r="Q21" s="81">
        <v>3.883</v>
      </c>
      <c r="R21" s="81">
        <f>12.516-SUM(O21:Q21)</f>
        <v>2.9710000000000001</v>
      </c>
      <c r="S21" s="81">
        <v>2.5760000000000001</v>
      </c>
      <c r="T21" s="81">
        <v>2.6760000000000002</v>
      </c>
      <c r="U21" s="81">
        <v>4.1689999999999996</v>
      </c>
      <c r="V21" s="81">
        <f>12.23-SUM(S21:U21)</f>
        <v>2.8090000000000011</v>
      </c>
      <c r="W21" s="81">
        <v>2.7530000000000001</v>
      </c>
      <c r="X21" s="81">
        <v>2.7429999999999999</v>
      </c>
      <c r="AI21" s="81">
        <f t="shared" si="25"/>
        <v>12.516</v>
      </c>
      <c r="AJ21" s="81">
        <f t="shared" si="26"/>
        <v>12.201000000000001</v>
      </c>
      <c r="AK21" s="81">
        <f t="shared" si="27"/>
        <v>12.23</v>
      </c>
    </row>
    <row r="22" spans="2:99" s="2" customFormat="1" ht="15">
      <c r="B22" s="33" t="s">
        <v>51</v>
      </c>
      <c r="C22" s="82"/>
      <c r="D22" s="82"/>
      <c r="E22" s="82"/>
      <c r="F22" s="82"/>
      <c r="G22" s="82"/>
      <c r="H22" s="82"/>
      <c r="I22" s="82"/>
      <c r="J22" s="82"/>
      <c r="K22" s="82"/>
      <c r="L22" s="82"/>
      <c r="M22" s="82"/>
      <c r="N22" s="82"/>
      <c r="O22" s="82">
        <f t="shared" ref="O22:V22" si="28">SUM(O18:O21)</f>
        <v>60.440000000000005</v>
      </c>
      <c r="P22" s="82">
        <f t="shared" si="28"/>
        <v>61.091999999999999</v>
      </c>
      <c r="Q22" s="82">
        <f t="shared" si="28"/>
        <v>61.265999999999998</v>
      </c>
      <c r="R22" s="82">
        <f t="shared" si="28"/>
        <v>61.554000000000002</v>
      </c>
      <c r="S22" s="82">
        <f t="shared" si="28"/>
        <v>66.265000000000001</v>
      </c>
      <c r="T22" s="82">
        <f t="shared" si="28"/>
        <v>73.385999999999996</v>
      </c>
      <c r="U22" s="82">
        <f t="shared" si="28"/>
        <v>81.254000000000005</v>
      </c>
      <c r="V22" s="82">
        <f t="shared" si="28"/>
        <v>86.822000000000003</v>
      </c>
      <c r="W22" s="82">
        <f>SUM(W18:W21)</f>
        <v>94.149999999999991</v>
      </c>
      <c r="X22" s="82">
        <f>SUM(X18:X21)</f>
        <v>116.05199999999999</v>
      </c>
      <c r="Y22" s="34"/>
      <c r="Z22" s="34"/>
      <c r="AI22" s="82">
        <f>SUM(O22:R22)</f>
        <v>244.352</v>
      </c>
      <c r="AJ22" s="82">
        <f>SUM(P22:S22)</f>
        <v>250.17700000000002</v>
      </c>
      <c r="AK22" s="82">
        <f t="shared" si="27"/>
        <v>307.72700000000003</v>
      </c>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row>
    <row r="23" spans="2:99">
      <c r="B23" s="36"/>
      <c r="X23" s="1"/>
    </row>
    <row r="24" spans="2:99">
      <c r="B24" s="36" t="s">
        <v>202</v>
      </c>
      <c r="G24" s="85"/>
      <c r="H24" s="85"/>
      <c r="I24" s="85"/>
      <c r="J24" s="85"/>
      <c r="K24" s="85"/>
      <c r="L24" s="85"/>
      <c r="M24" s="85"/>
      <c r="N24" s="85"/>
      <c r="O24" s="85"/>
      <c r="P24" s="85"/>
      <c r="Q24" s="85"/>
      <c r="R24" s="85"/>
      <c r="S24" s="85">
        <f t="shared" ref="S24:V24" si="29">S18/O18-1</f>
        <v>-9.720906061810286E-2</v>
      </c>
      <c r="T24" s="85">
        <f t="shared" si="29"/>
        <v>9.6113257784848916E-3</v>
      </c>
      <c r="U24" s="85">
        <f t="shared" si="29"/>
        <v>0.29994822102226504</v>
      </c>
      <c r="V24" s="85">
        <f t="shared" si="29"/>
        <v>0.25810707589750703</v>
      </c>
      <c r="W24" s="85">
        <f>W18/S18-1</f>
        <v>0.25408864659871999</v>
      </c>
      <c r="X24" s="85">
        <f>X18/T18-1</f>
        <v>0.25478403499179891</v>
      </c>
      <c r="AG24" s="85"/>
      <c r="AH24" s="85"/>
      <c r="AI24" s="85"/>
      <c r="AJ24" s="85">
        <f t="shared" ref="AJ24:AK27" si="30">AJ18/AI18-1</f>
        <v>-2.6644323418516858E-2</v>
      </c>
      <c r="AK24" s="85">
        <f t="shared" si="30"/>
        <v>0.13635189808039927</v>
      </c>
      <c r="AL24" s="44"/>
      <c r="AM24" s="44"/>
      <c r="AN24" s="44"/>
      <c r="AO24" s="44"/>
      <c r="AP24" s="44"/>
      <c r="AQ24" s="44"/>
      <c r="AR24" s="44"/>
      <c r="AS24" s="44"/>
      <c r="AT24" s="44"/>
      <c r="AU24" s="44"/>
    </row>
    <row r="25" spans="2:99">
      <c r="B25" s="36" t="s">
        <v>203</v>
      </c>
      <c r="G25" s="85"/>
      <c r="H25" s="85"/>
      <c r="I25" s="85"/>
      <c r="J25" s="85"/>
      <c r="K25" s="85"/>
      <c r="L25" s="85"/>
      <c r="M25" s="85"/>
      <c r="N25" s="85"/>
      <c r="O25" s="85"/>
      <c r="P25" s="85"/>
      <c r="Q25" s="85"/>
      <c r="R25" s="85"/>
      <c r="S25" s="85">
        <f t="shared" ref="S25:V28" si="31">S19/O19-1</f>
        <v>0.37381080595943295</v>
      </c>
      <c r="T25" s="85">
        <f t="shared" si="31"/>
        <v>0.56826568265682642</v>
      </c>
      <c r="U25" s="85">
        <f t="shared" si="31"/>
        <v>0.38610412231468949</v>
      </c>
      <c r="V25" s="85">
        <f t="shared" si="31"/>
        <v>0.32041027571280667</v>
      </c>
      <c r="W25" s="85">
        <f>W19/S19-1</f>
        <v>0.26131835108120449</v>
      </c>
      <c r="X25" s="85">
        <f>X19/T19-1</f>
        <v>0.18229102167182676</v>
      </c>
      <c r="AG25" s="85"/>
      <c r="AH25" s="85"/>
      <c r="AI25" s="85"/>
      <c r="AJ25" s="85">
        <f t="shared" si="30"/>
        <v>9.822881535812833E-2</v>
      </c>
      <c r="AK25" s="85">
        <f t="shared" si="30"/>
        <v>0.28447794528196546</v>
      </c>
      <c r="AL25" s="44"/>
      <c r="AM25" s="44"/>
      <c r="AN25" s="44"/>
      <c r="AO25" s="44"/>
      <c r="AP25" s="44"/>
      <c r="AQ25" s="44"/>
      <c r="AR25" s="44"/>
      <c r="AS25" s="44"/>
      <c r="AT25" s="44"/>
      <c r="AU25" s="44"/>
    </row>
    <row r="26" spans="2:99">
      <c r="B26" s="36" t="s">
        <v>204</v>
      </c>
      <c r="G26" s="85"/>
      <c r="H26" s="85"/>
      <c r="I26" s="85"/>
      <c r="J26" s="85"/>
      <c r="K26" s="85"/>
      <c r="L26" s="85"/>
      <c r="M26" s="85"/>
      <c r="N26" s="85"/>
      <c r="O26" s="85"/>
      <c r="P26" s="85"/>
      <c r="Q26" s="85"/>
      <c r="R26" s="85"/>
      <c r="S26" s="85">
        <f t="shared" si="31"/>
        <v>0.37644223747626682</v>
      </c>
      <c r="T26" s="85">
        <f t="shared" si="31"/>
        <v>0.36230117264600015</v>
      </c>
      <c r="U26" s="85">
        <f t="shared" si="31"/>
        <v>0.37989105991704575</v>
      </c>
      <c r="V26" s="85">
        <f t="shared" si="31"/>
        <v>0.76177299780724717</v>
      </c>
      <c r="W26" s="85">
        <f t="shared" ref="W26:X26" si="32">W20/S20-1</f>
        <v>0.85967425327603575</v>
      </c>
      <c r="X26" s="85">
        <f t="shared" si="32"/>
        <v>1.3522393147824605</v>
      </c>
      <c r="AG26" s="85"/>
      <c r="AH26" s="85"/>
      <c r="AI26" s="85"/>
      <c r="AJ26" s="85">
        <f t="shared" si="30"/>
        <v>7.3553542127416716E-2</v>
      </c>
      <c r="AK26" s="85">
        <f t="shared" si="30"/>
        <v>0.37791068580542286</v>
      </c>
      <c r="AL26" s="44"/>
      <c r="AM26" s="44"/>
      <c r="AN26" s="44"/>
      <c r="AO26" s="44"/>
      <c r="AP26" s="44"/>
      <c r="AQ26" s="44"/>
      <c r="AR26" s="44"/>
      <c r="AS26" s="44"/>
      <c r="AT26" s="44"/>
      <c r="AU26" s="44"/>
    </row>
    <row r="27" spans="2:99">
      <c r="B27" s="36" t="s">
        <v>205</v>
      </c>
      <c r="G27" s="85"/>
      <c r="H27" s="85"/>
      <c r="I27" s="85"/>
      <c r="J27" s="85"/>
      <c r="K27" s="85"/>
      <c r="L27" s="85"/>
      <c r="M27" s="85"/>
      <c r="N27" s="85"/>
      <c r="O27" s="85"/>
      <c r="P27" s="85"/>
      <c r="Q27" s="85"/>
      <c r="R27" s="85"/>
      <c r="S27" s="85">
        <f t="shared" si="31"/>
        <v>-0.10895883777239712</v>
      </c>
      <c r="T27" s="85">
        <f t="shared" si="31"/>
        <v>-3.4283652111151142E-2</v>
      </c>
      <c r="U27" s="85">
        <f t="shared" si="31"/>
        <v>7.3654390934844161E-2</v>
      </c>
      <c r="V27" s="85">
        <f t="shared" si="31"/>
        <v>-5.4527095254122915E-2</v>
      </c>
      <c r="W27" s="85">
        <f t="shared" ref="W27:X27" si="33">W21/S21-1</f>
        <v>6.8711180124223725E-2</v>
      </c>
      <c r="X27" s="85">
        <f t="shared" si="33"/>
        <v>2.5037369207772775E-2</v>
      </c>
      <c r="AG27" s="85"/>
      <c r="AH27" s="85"/>
      <c r="AI27" s="85"/>
      <c r="AJ27" s="85">
        <f t="shared" si="30"/>
        <v>-2.5167785234899265E-2</v>
      </c>
      <c r="AK27" s="85">
        <f t="shared" si="30"/>
        <v>2.3768543562003863E-3</v>
      </c>
      <c r="AL27" s="44"/>
      <c r="AM27" s="44"/>
      <c r="AN27" s="44"/>
      <c r="AO27" s="44"/>
      <c r="AP27" s="44"/>
      <c r="AQ27" s="44"/>
      <c r="AR27" s="44"/>
      <c r="AS27" s="44"/>
      <c r="AT27" s="44"/>
      <c r="AU27" s="44"/>
    </row>
    <row r="28" spans="2:99">
      <c r="B28" s="37" t="s">
        <v>101</v>
      </c>
      <c r="G28" s="85"/>
      <c r="H28" s="85"/>
      <c r="I28" s="85"/>
      <c r="J28" s="85"/>
      <c r="K28" s="85"/>
      <c r="L28" s="85"/>
      <c r="M28" s="85"/>
      <c r="N28" s="85"/>
      <c r="O28" s="85"/>
      <c r="P28" s="85"/>
      <c r="Q28" s="85"/>
      <c r="R28" s="85"/>
      <c r="S28" s="85">
        <f t="shared" si="31"/>
        <v>9.6376571806750411E-2</v>
      </c>
      <c r="T28" s="85">
        <f t="shared" si="31"/>
        <v>0.20123747790218016</v>
      </c>
      <c r="U28" s="85">
        <f t="shared" si="31"/>
        <v>0.32624946952632783</v>
      </c>
      <c r="V28" s="85">
        <f t="shared" si="31"/>
        <v>0.41050134840952657</v>
      </c>
      <c r="W28" s="85">
        <f t="shared" ref="W28:X28" si="34">W22/S22-1</f>
        <v>0.420810382554893</v>
      </c>
      <c r="X28" s="85">
        <f t="shared" si="34"/>
        <v>0.58139154607145782</v>
      </c>
      <c r="AG28" s="85"/>
      <c r="AH28" s="85"/>
      <c r="AI28" s="85"/>
      <c r="AJ28" s="85">
        <f t="shared" ref="AJ28:AK28" si="35">AJ22/AI22-1</f>
        <v>2.38385607647984E-2</v>
      </c>
      <c r="AK28" s="85">
        <f t="shared" si="35"/>
        <v>0.23003713370933387</v>
      </c>
      <c r="AL28" s="44"/>
      <c r="AM28" s="44"/>
      <c r="AN28" s="44"/>
      <c r="AO28" s="44"/>
      <c r="AP28" s="44"/>
      <c r="AQ28" s="44"/>
      <c r="AR28" s="44"/>
      <c r="AS28" s="44"/>
      <c r="AT28" s="44"/>
      <c r="AU28" s="44"/>
    </row>
    <row r="29" spans="2:99">
      <c r="G29" s="85"/>
      <c r="H29" s="85"/>
      <c r="I29" s="85"/>
      <c r="J29" s="85"/>
      <c r="K29" s="85"/>
      <c r="L29" s="85"/>
      <c r="M29" s="85"/>
      <c r="N29" s="85"/>
      <c r="O29" s="85"/>
      <c r="P29" s="85"/>
      <c r="Q29" s="85"/>
      <c r="R29" s="85"/>
      <c r="S29" s="85"/>
      <c r="T29" s="85"/>
      <c r="U29" s="85"/>
      <c r="V29" s="85"/>
      <c r="W29" s="85"/>
      <c r="X29" s="85"/>
    </row>
    <row r="30" spans="2:99">
      <c r="B30" s="36" t="s">
        <v>206</v>
      </c>
      <c r="C30" s="85"/>
      <c r="D30" s="85"/>
      <c r="E30" s="85"/>
      <c r="F30" s="85"/>
      <c r="G30" s="85"/>
      <c r="H30" s="85"/>
      <c r="I30" s="85"/>
      <c r="J30" s="85"/>
      <c r="K30" s="85"/>
      <c r="L30" s="85"/>
      <c r="M30" s="85"/>
      <c r="N30" s="85"/>
      <c r="O30" s="85">
        <f t="shared" ref="O30:V30" si="36">O18/O22</f>
        <v>0.54124751819986761</v>
      </c>
      <c r="P30" s="85">
        <f t="shared" si="36"/>
        <v>0.50410855758528128</v>
      </c>
      <c r="Q30" s="85">
        <f t="shared" si="36"/>
        <v>0.44132145072307644</v>
      </c>
      <c r="R30" s="85">
        <f t="shared" si="36"/>
        <v>0.46791435162621425</v>
      </c>
      <c r="S30" s="85">
        <f t="shared" si="36"/>
        <v>0.4456802233456576</v>
      </c>
      <c r="T30" s="85">
        <f t="shared" si="36"/>
        <v>0.42369116725260952</v>
      </c>
      <c r="U30" s="85">
        <f t="shared" si="36"/>
        <v>0.43256947350284297</v>
      </c>
      <c r="V30" s="85">
        <f t="shared" si="36"/>
        <v>0.41735965538688335</v>
      </c>
      <c r="W30" s="85">
        <f t="shared" ref="W30:X30" si="37">W18/W22</f>
        <v>0.39338289962825279</v>
      </c>
      <c r="X30" s="85">
        <f t="shared" si="37"/>
        <v>0.33618550305035677</v>
      </c>
      <c r="AF30" s="85"/>
      <c r="AG30" s="85"/>
      <c r="AH30" s="85"/>
      <c r="AI30" s="85">
        <f t="shared" ref="AI30:AK30" si="38">AI18/AI22</f>
        <v>0.48843471712938707</v>
      </c>
      <c r="AJ30" s="85">
        <f t="shared" si="38"/>
        <v>0.46435123932255962</v>
      </c>
      <c r="AK30" s="85">
        <f t="shared" si="38"/>
        <v>0.42898413203911251</v>
      </c>
    </row>
    <row r="31" spans="2:99">
      <c r="B31" s="36" t="s">
        <v>207</v>
      </c>
      <c r="C31" s="85"/>
      <c r="D31" s="85"/>
      <c r="E31" s="85"/>
      <c r="F31" s="85"/>
      <c r="G31" s="85"/>
      <c r="H31" s="85"/>
      <c r="I31" s="85"/>
      <c r="J31" s="85"/>
      <c r="K31" s="85"/>
      <c r="L31" s="85"/>
      <c r="M31" s="85"/>
      <c r="N31" s="85"/>
      <c r="O31" s="85">
        <f t="shared" ref="O31:V31" si="39">O19/O22</f>
        <v>0.18434811383189939</v>
      </c>
      <c r="P31" s="85">
        <f t="shared" si="39"/>
        <v>0.16856544228376874</v>
      </c>
      <c r="Q31" s="85">
        <f t="shared" si="39"/>
        <v>0.16867430548754611</v>
      </c>
      <c r="R31" s="85">
        <f t="shared" si="39"/>
        <v>0.1726451570978329</v>
      </c>
      <c r="S31" s="85">
        <f t="shared" si="39"/>
        <v>0.23099675545159587</v>
      </c>
      <c r="T31" s="85">
        <f t="shared" si="39"/>
        <v>0.22006922301256371</v>
      </c>
      <c r="U31" s="85">
        <f t="shared" si="39"/>
        <v>0.17628670588524872</v>
      </c>
      <c r="V31" s="85">
        <f t="shared" si="39"/>
        <v>0.16161802308170745</v>
      </c>
      <c r="W31" s="85">
        <f t="shared" ref="W31:X31" si="40">W19/W22</f>
        <v>0.20506638343069569</v>
      </c>
      <c r="X31" s="85">
        <f t="shared" si="40"/>
        <v>0.16452969358563405</v>
      </c>
      <c r="AF31" s="85"/>
      <c r="AG31" s="85"/>
      <c r="AH31" s="85"/>
      <c r="AI31" s="85">
        <f t="shared" ref="AI31:AK31" si="41">AI19/AI22</f>
        <v>0.17352426008381353</v>
      </c>
      <c r="AJ31" s="85">
        <f t="shared" si="41"/>
        <v>0.18613221838938032</v>
      </c>
      <c r="AK31" s="85">
        <f t="shared" si="41"/>
        <v>0.19437033474475751</v>
      </c>
    </row>
    <row r="32" spans="2:99">
      <c r="B32" s="36" t="s">
        <v>208</v>
      </c>
      <c r="C32" s="85"/>
      <c r="D32" s="85"/>
      <c r="E32" s="85"/>
      <c r="F32" s="85"/>
      <c r="G32" s="85"/>
      <c r="H32" s="85"/>
      <c r="I32" s="85"/>
      <c r="J32" s="85"/>
      <c r="K32" s="85"/>
      <c r="L32" s="85"/>
      <c r="M32" s="85"/>
      <c r="N32" s="85"/>
      <c r="O32" s="85">
        <f t="shared" ref="O32:V32" si="42">O20/O22</f>
        <v>0.22657180675049635</v>
      </c>
      <c r="P32" s="85">
        <f t="shared" si="42"/>
        <v>0.28196817913965821</v>
      </c>
      <c r="Q32" s="85">
        <f t="shared" si="42"/>
        <v>0.32662488166356546</v>
      </c>
      <c r="R32" s="85">
        <f t="shared" si="42"/>
        <v>0.31117392858303272</v>
      </c>
      <c r="S32" s="85">
        <f t="shared" si="42"/>
        <v>0.28444880404436729</v>
      </c>
      <c r="T32" s="85">
        <f t="shared" si="42"/>
        <v>0.31977488894339517</v>
      </c>
      <c r="U32" s="85">
        <f t="shared" si="42"/>
        <v>0.33983557732542397</v>
      </c>
      <c r="V32" s="85">
        <f t="shared" si="42"/>
        <v>0.38866877058809984</v>
      </c>
      <c r="W32" s="85">
        <f>W20/W22</f>
        <v>0.37231014338821034</v>
      </c>
      <c r="X32" s="85">
        <f>X20/X22</f>
        <v>0.47564884706855554</v>
      </c>
      <c r="AF32" s="85"/>
      <c r="AG32" s="85"/>
      <c r="AH32" s="85"/>
      <c r="AI32" s="85">
        <f t="shared" ref="AI32:AK32" si="43">AI20/AI22</f>
        <v>0.28681983368255626</v>
      </c>
      <c r="AJ32" s="85">
        <f t="shared" si="43"/>
        <v>0.30074707107367976</v>
      </c>
      <c r="AK32" s="85">
        <f t="shared" si="43"/>
        <v>0.33690251424151924</v>
      </c>
    </row>
    <row r="33" spans="2:99">
      <c r="B33" s="36" t="s">
        <v>209</v>
      </c>
      <c r="C33" s="85"/>
      <c r="D33" s="85"/>
      <c r="E33" s="85"/>
      <c r="F33" s="85"/>
      <c r="G33" s="85"/>
      <c r="H33" s="85"/>
      <c r="I33" s="85"/>
      <c r="J33" s="85"/>
      <c r="K33" s="85"/>
      <c r="L33" s="85"/>
      <c r="M33" s="85"/>
      <c r="N33" s="85"/>
      <c r="O33" s="85">
        <f t="shared" ref="O33:V33" si="44">O21/O22</f>
        <v>4.7832561217736595E-2</v>
      </c>
      <c r="P33" s="85">
        <f t="shared" si="44"/>
        <v>4.535782099129182E-2</v>
      </c>
      <c r="Q33" s="85">
        <f t="shared" si="44"/>
        <v>6.3379362125812036E-2</v>
      </c>
      <c r="R33" s="85">
        <f t="shared" si="44"/>
        <v>4.826656269292004E-2</v>
      </c>
      <c r="S33" s="85">
        <f t="shared" si="44"/>
        <v>3.8874217158379236E-2</v>
      </c>
      <c r="T33" s="85">
        <f t="shared" si="44"/>
        <v>3.6464720791431614E-2</v>
      </c>
      <c r="U33" s="85">
        <f t="shared" si="44"/>
        <v>5.1308243286484347E-2</v>
      </c>
      <c r="V33" s="85">
        <f t="shared" si="44"/>
        <v>3.2353550943309307E-2</v>
      </c>
      <c r="W33" s="85">
        <f>W21/W22</f>
        <v>2.9240573552841216E-2</v>
      </c>
      <c r="X33" s="85">
        <f>X21/X22</f>
        <v>2.3635956295453762E-2</v>
      </c>
      <c r="AF33" s="85"/>
      <c r="AG33" s="85"/>
      <c r="AH33" s="85"/>
      <c r="AI33" s="85">
        <f t="shared" ref="AI33:AK33" si="45">AI21/AI22</f>
        <v>5.1221189104243059E-2</v>
      </c>
      <c r="AJ33" s="85">
        <f t="shared" si="45"/>
        <v>4.8769471214380217E-2</v>
      </c>
      <c r="AK33" s="85">
        <f t="shared" si="45"/>
        <v>3.9743018974610612E-2</v>
      </c>
    </row>
    <row r="34" spans="2:99">
      <c r="B34" s="36"/>
      <c r="C34" s="85"/>
      <c r="D34" s="85"/>
      <c r="E34" s="85"/>
      <c r="F34" s="85"/>
      <c r="G34" s="85"/>
      <c r="H34" s="85"/>
      <c r="I34" s="85"/>
      <c r="J34" s="85"/>
      <c r="K34" s="85"/>
      <c r="L34" s="85"/>
      <c r="M34" s="85"/>
      <c r="N34" s="85"/>
      <c r="O34" s="85"/>
      <c r="P34" s="85"/>
      <c r="Q34" s="85"/>
      <c r="R34" s="85"/>
      <c r="S34" s="85"/>
      <c r="T34" s="85"/>
      <c r="U34" s="85"/>
      <c r="V34" s="85"/>
      <c r="W34" s="85"/>
      <c r="X34" s="85"/>
    </row>
    <row r="35" spans="2:99">
      <c r="B35" s="86" t="s">
        <v>213</v>
      </c>
      <c r="C35" s="86"/>
      <c r="D35" s="86"/>
      <c r="E35" s="86"/>
      <c r="F35" s="86"/>
      <c r="G35" s="86"/>
      <c r="H35" s="86"/>
      <c r="I35" s="86"/>
      <c r="J35" s="86"/>
      <c r="K35" s="86"/>
      <c r="L35" s="86"/>
      <c r="M35" s="86"/>
      <c r="N35" s="86"/>
      <c r="O35" s="86">
        <v>242.392</v>
      </c>
      <c r="P35" s="86">
        <v>213.5</v>
      </c>
      <c r="Q35" s="86">
        <v>232.14</v>
      </c>
      <c r="R35" s="86">
        <v>503.74900000000002</v>
      </c>
      <c r="S35" s="86">
        <v>527.04700000000003</v>
      </c>
      <c r="T35" s="86">
        <v>736.077</v>
      </c>
      <c r="U35" s="86">
        <v>734.471</v>
      </c>
      <c r="V35" s="86">
        <v>900.42700000000002</v>
      </c>
      <c r="W35" s="86">
        <v>906.05499999999995</v>
      </c>
      <c r="X35" s="86">
        <v>814.86300000000006</v>
      </c>
      <c r="AI35" s="81">
        <f>AVERAGE(O35:R35)</f>
        <v>297.94524999999999</v>
      </c>
      <c r="AJ35" s="81">
        <f>AVERAGE(P35:S35)</f>
        <v>369.10900000000004</v>
      </c>
      <c r="AK35" s="81">
        <f>AVERAGE(S35:V35)</f>
        <v>724.50549999999998</v>
      </c>
    </row>
    <row r="36" spans="2:99">
      <c r="X36" s="81"/>
    </row>
    <row r="37" spans="2:99" s="2" customFormat="1" ht="15">
      <c r="B37" s="2" t="s">
        <v>50</v>
      </c>
      <c r="C37" s="82">
        <v>32</v>
      </c>
      <c r="D37" s="82">
        <v>30.4</v>
      </c>
      <c r="E37" s="82">
        <v>31.7</v>
      </c>
      <c r="F37" s="82">
        <v>37.1</v>
      </c>
      <c r="G37" s="82">
        <v>40.1</v>
      </c>
      <c r="H37" s="82">
        <v>48.4</v>
      </c>
      <c r="I37" s="82">
        <v>49.7</v>
      </c>
      <c r="J37" s="82">
        <v>53</v>
      </c>
      <c r="K37" s="82">
        <v>52.7</v>
      </c>
      <c r="L37" s="82">
        <v>53.8</v>
      </c>
      <c r="M37" s="82">
        <v>55.4</v>
      </c>
      <c r="N37" s="82">
        <v>58.9</v>
      </c>
      <c r="O37" s="82">
        <v>60.4</v>
      </c>
      <c r="P37" s="82">
        <v>61.1</v>
      </c>
      <c r="Q37" s="82">
        <v>61.3</v>
      </c>
      <c r="R37" s="82">
        <v>61.6</v>
      </c>
      <c r="S37" s="82">
        <v>66.3</v>
      </c>
      <c r="T37" s="82">
        <v>73.400000000000006</v>
      </c>
      <c r="U37" s="82">
        <v>81.3</v>
      </c>
      <c r="V37" s="82">
        <v>86.8</v>
      </c>
      <c r="W37" s="82">
        <v>94.2</v>
      </c>
      <c r="X37" s="82">
        <v>116.05200000000001</v>
      </c>
      <c r="Y37" s="34"/>
      <c r="Z37" s="34"/>
      <c r="AF37" s="2">
        <f>SUM(C37:F37)</f>
        <v>131.19999999999999</v>
      </c>
      <c r="AG37" s="2">
        <f>SUM(G37:J37)</f>
        <v>191.2</v>
      </c>
      <c r="AH37" s="2">
        <f>SUM(K37:N37)</f>
        <v>220.8</v>
      </c>
      <c r="AI37" s="2">
        <f>SUM(O37:R37)</f>
        <v>244.4</v>
      </c>
      <c r="AJ37" s="2">
        <f>SUM(P37:S37)</f>
        <v>250.3</v>
      </c>
      <c r="AK37" s="2">
        <f>SUM(S37:V37)</f>
        <v>307.8</v>
      </c>
      <c r="AL37" s="89">
        <f t="shared" ref="AL37:AU37" si="46">AL7</f>
        <v>422.67880000000002</v>
      </c>
      <c r="AM37" s="89">
        <f t="shared" si="46"/>
        <v>542.85969599999999</v>
      </c>
      <c r="AN37" s="89">
        <f t="shared" si="46"/>
        <v>681.87739379999994</v>
      </c>
      <c r="AO37" s="89">
        <f t="shared" si="46"/>
        <v>834.89659787400001</v>
      </c>
      <c r="AP37" s="89">
        <f t="shared" si="46"/>
        <v>985.91656915170006</v>
      </c>
      <c r="AQ37" s="89">
        <f t="shared" si="46"/>
        <v>1149.1691286627822</v>
      </c>
      <c r="AR37" s="89">
        <f t="shared" si="46"/>
        <v>1321.5885263800214</v>
      </c>
      <c r="AS37" s="89">
        <f t="shared" si="46"/>
        <v>1497.0978989528489</v>
      </c>
      <c r="AT37" s="89">
        <f t="shared" si="46"/>
        <v>1669.4782968234431</v>
      </c>
      <c r="AU37" s="89">
        <f t="shared" si="46"/>
        <v>1831.6686230203491</v>
      </c>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row>
    <row r="38" spans="2:99">
      <c r="B38" s="1" t="s">
        <v>52</v>
      </c>
      <c r="C38" s="81">
        <v>19.126000000000001</v>
      </c>
      <c r="D38" s="81">
        <v>19.82</v>
      </c>
      <c r="E38" s="81">
        <v>20.811</v>
      </c>
      <c r="F38" s="81">
        <f>82.987-SUM(C38:E38)</f>
        <v>23.229999999999997</v>
      </c>
      <c r="G38" s="81">
        <v>23.628</v>
      </c>
      <c r="H38" s="81">
        <v>24.977</v>
      </c>
      <c r="I38" s="81">
        <v>24.728000000000002</v>
      </c>
      <c r="J38" s="81">
        <f>97.248-SUM(G38:I38)</f>
        <v>23.915000000000006</v>
      </c>
      <c r="K38" s="81">
        <v>24.556000000000001</v>
      </c>
      <c r="L38" s="81">
        <v>27.469000000000001</v>
      </c>
      <c r="M38" s="81">
        <v>29.35</v>
      </c>
      <c r="N38" s="81">
        <f>107.746-SUM(K38:M38)</f>
        <v>26.370999999999995</v>
      </c>
      <c r="O38" s="81">
        <v>28.757000000000001</v>
      </c>
      <c r="P38" s="81">
        <v>28.782</v>
      </c>
      <c r="Q38" s="81">
        <v>23.748999999999999</v>
      </c>
      <c r="R38" s="81">
        <f>104.627-SUM(O38:Q38)</f>
        <v>23.338999999999999</v>
      </c>
      <c r="S38" s="81">
        <v>29.661999999999999</v>
      </c>
      <c r="T38" s="81">
        <v>31.117999999999999</v>
      </c>
      <c r="U38" s="81">
        <v>34.67</v>
      </c>
      <c r="V38" s="81">
        <f>135.242-SUM(S38:U38)</f>
        <v>39.791999999999987</v>
      </c>
      <c r="W38" s="81">
        <v>43.749000000000002</v>
      </c>
      <c r="X38" s="81">
        <v>50.42</v>
      </c>
      <c r="AF38" s="81">
        <f>SUM(C38:F38)</f>
        <v>82.986999999999995</v>
      </c>
      <c r="AG38" s="81">
        <f>SUM(G38:J38)</f>
        <v>97.248000000000005</v>
      </c>
      <c r="AH38" s="81">
        <f>SUM(K38:N38)</f>
        <v>107.746</v>
      </c>
      <c r="AI38" s="81">
        <f>SUM(O38:R38)</f>
        <v>104.627</v>
      </c>
      <c r="AJ38" s="81">
        <f>SUM(P38:S38)</f>
        <v>105.53200000000001</v>
      </c>
      <c r="AK38" s="81">
        <f t="shared" ref="AK38" si="47">SUM(S38:V38)</f>
        <v>135.24199999999999</v>
      </c>
      <c r="AL38" s="92">
        <f>AL37*(1-AL54)</f>
        <v>194.43224799999999</v>
      </c>
      <c r="AM38" s="92">
        <f t="shared" ref="AM38:AU38" si="48">AM37*(1-AM54)</f>
        <v>238.85826623999998</v>
      </c>
      <c r="AN38" s="92">
        <f t="shared" si="48"/>
        <v>293.20727933400002</v>
      </c>
      <c r="AO38" s="92">
        <f t="shared" si="48"/>
        <v>346.48208811771002</v>
      </c>
      <c r="AP38" s="92">
        <f t="shared" si="48"/>
        <v>399.29621050643857</v>
      </c>
      <c r="AQ38" s="92">
        <f t="shared" si="48"/>
        <v>453.92180582179901</v>
      </c>
      <c r="AR38" s="92">
        <f t="shared" si="48"/>
        <v>515.41952528820843</v>
      </c>
      <c r="AS38" s="92">
        <f t="shared" si="48"/>
        <v>576.38269109684688</v>
      </c>
      <c r="AT38" s="92">
        <f t="shared" si="48"/>
        <v>626.05436130879116</v>
      </c>
      <c r="AU38" s="92">
        <f t="shared" si="48"/>
        <v>677.71739051752911</v>
      </c>
    </row>
    <row r="39" spans="2:99">
      <c r="B39" s="1" t="s">
        <v>53</v>
      </c>
      <c r="C39" s="81">
        <f t="shared" ref="C39:R39" si="49">C37-C38</f>
        <v>12.873999999999999</v>
      </c>
      <c r="D39" s="81">
        <f t="shared" si="49"/>
        <v>10.579999999999998</v>
      </c>
      <c r="E39" s="81">
        <f t="shared" si="49"/>
        <v>10.888999999999999</v>
      </c>
      <c r="F39" s="81">
        <f t="shared" si="49"/>
        <v>13.870000000000005</v>
      </c>
      <c r="G39" s="81">
        <f t="shared" si="49"/>
        <v>16.472000000000001</v>
      </c>
      <c r="H39" s="81">
        <f t="shared" si="49"/>
        <v>23.422999999999998</v>
      </c>
      <c r="I39" s="81">
        <f t="shared" si="49"/>
        <v>24.972000000000001</v>
      </c>
      <c r="J39" s="81">
        <f t="shared" si="49"/>
        <v>29.084999999999994</v>
      </c>
      <c r="K39" s="81">
        <f t="shared" si="49"/>
        <v>28.144000000000002</v>
      </c>
      <c r="L39" s="81">
        <f t="shared" si="49"/>
        <v>26.330999999999996</v>
      </c>
      <c r="M39" s="81">
        <f t="shared" si="49"/>
        <v>26.049999999999997</v>
      </c>
      <c r="N39" s="81">
        <f t="shared" si="49"/>
        <v>32.529000000000003</v>
      </c>
      <c r="O39" s="81">
        <f t="shared" si="49"/>
        <v>31.642999999999997</v>
      </c>
      <c r="P39" s="81">
        <f t="shared" si="49"/>
        <v>32.317999999999998</v>
      </c>
      <c r="Q39" s="81">
        <f t="shared" si="49"/>
        <v>37.551000000000002</v>
      </c>
      <c r="R39" s="81">
        <f t="shared" si="49"/>
        <v>38.261000000000003</v>
      </c>
      <c r="S39" s="81">
        <f>S37-S38</f>
        <v>36.637999999999998</v>
      </c>
      <c r="T39" s="81">
        <f t="shared" ref="T39:V39" si="50">T37-T38</f>
        <v>42.282000000000011</v>
      </c>
      <c r="U39" s="81">
        <f t="shared" si="50"/>
        <v>46.629999999999995</v>
      </c>
      <c r="V39" s="81">
        <f t="shared" si="50"/>
        <v>47.00800000000001</v>
      </c>
      <c r="W39" s="81">
        <f t="shared" ref="W39:X39" si="51">W37-W38</f>
        <v>50.451000000000001</v>
      </c>
      <c r="X39" s="81">
        <f t="shared" si="51"/>
        <v>65.632000000000005</v>
      </c>
      <c r="AF39" s="81">
        <f t="shared" ref="AF39:AF50" si="52">SUM(C39:F39)</f>
        <v>48.213000000000001</v>
      </c>
      <c r="AG39" s="81">
        <f t="shared" ref="AG39:AG50" si="53">SUM(G39:J39)</f>
        <v>93.951999999999984</v>
      </c>
      <c r="AH39" s="81">
        <f t="shared" ref="AH39:AH50" si="54">SUM(K39:N39)</f>
        <v>113.054</v>
      </c>
      <c r="AI39" s="81">
        <f t="shared" ref="AI39:AI50" si="55">SUM(O39:R39)</f>
        <v>139.773</v>
      </c>
      <c r="AJ39" s="81">
        <f t="shared" ref="AJ39:AJ50" si="56">SUM(P39:S39)</f>
        <v>144.768</v>
      </c>
      <c r="AK39" s="81">
        <f t="shared" ref="AK39:AK50" si="57">SUM(S39:V39)</f>
        <v>172.55800000000002</v>
      </c>
      <c r="AL39" s="92">
        <f>AL37*AL54</f>
        <v>228.24655200000004</v>
      </c>
      <c r="AM39" s="92">
        <f t="shared" ref="AM39:AU39" si="58">AM37*AM54</f>
        <v>304.00142976000001</v>
      </c>
      <c r="AN39" s="92">
        <f t="shared" si="58"/>
        <v>388.67011446599992</v>
      </c>
      <c r="AO39" s="92">
        <f t="shared" si="58"/>
        <v>488.41450975628999</v>
      </c>
      <c r="AP39" s="92">
        <f t="shared" si="58"/>
        <v>586.62035864526149</v>
      </c>
      <c r="AQ39" s="92">
        <f t="shared" si="58"/>
        <v>695.2473228409832</v>
      </c>
      <c r="AR39" s="92">
        <f t="shared" si="58"/>
        <v>806.16900109181302</v>
      </c>
      <c r="AS39" s="92">
        <f t="shared" si="58"/>
        <v>920.71520785600205</v>
      </c>
      <c r="AT39" s="92">
        <f t="shared" si="58"/>
        <v>1043.4239355146519</v>
      </c>
      <c r="AU39" s="92">
        <f t="shared" si="58"/>
        <v>1153.9512325028199</v>
      </c>
    </row>
    <row r="40" spans="2:99">
      <c r="B40" s="83" t="s">
        <v>182</v>
      </c>
      <c r="C40" s="81">
        <v>12.13</v>
      </c>
      <c r="D40" s="81">
        <v>12.432</v>
      </c>
      <c r="E40" s="81">
        <v>14.959</v>
      </c>
      <c r="F40" s="81">
        <f>66.684-SUM(C40:E40)</f>
        <v>27.162999999999997</v>
      </c>
      <c r="G40" s="81">
        <v>24.75</v>
      </c>
      <c r="H40" s="81">
        <v>26.736999999999998</v>
      </c>
      <c r="I40" s="81">
        <v>27.597999999999999</v>
      </c>
      <c r="J40" s="81">
        <f>110.916-SUM(G40:I40)</f>
        <v>31.831000000000003</v>
      </c>
      <c r="K40" s="81">
        <v>28.186</v>
      </c>
      <c r="L40" s="81">
        <v>26.741</v>
      </c>
      <c r="M40" s="81">
        <v>33.002000000000002</v>
      </c>
      <c r="N40" s="81">
        <f>116.339-SUM(K40:M40)</f>
        <v>28.409999999999997</v>
      </c>
      <c r="O40" s="81">
        <v>25.588999999999999</v>
      </c>
      <c r="P40" s="81">
        <v>27.25</v>
      </c>
      <c r="Q40" s="81">
        <v>25.216000000000001</v>
      </c>
      <c r="R40" s="81">
        <f>101.006-SUM(O40:Q40)</f>
        <v>22.950999999999993</v>
      </c>
      <c r="S40" s="81">
        <v>23.074000000000002</v>
      </c>
      <c r="T40" s="81">
        <v>24.155000000000001</v>
      </c>
      <c r="U40" s="81">
        <v>27.327000000000002</v>
      </c>
      <c r="V40" s="81">
        <f>106.749-SUM(S40:U40)</f>
        <v>32.192999999999998</v>
      </c>
      <c r="W40" s="81">
        <v>33.42</v>
      </c>
      <c r="X40" s="81">
        <v>35.155999999999999</v>
      </c>
      <c r="AF40" s="81">
        <f t="shared" si="52"/>
        <v>66.683999999999997</v>
      </c>
      <c r="AG40" s="81">
        <f t="shared" si="53"/>
        <v>110.916</v>
      </c>
      <c r="AH40" s="81">
        <f t="shared" si="54"/>
        <v>116.339</v>
      </c>
      <c r="AI40" s="81">
        <f t="shared" si="55"/>
        <v>101.006</v>
      </c>
      <c r="AJ40" s="81">
        <f t="shared" si="56"/>
        <v>98.491</v>
      </c>
      <c r="AK40" s="81">
        <f t="shared" si="57"/>
        <v>106.749</v>
      </c>
      <c r="AL40" s="92">
        <f>AL37*AL55</f>
        <v>147.93758</v>
      </c>
      <c r="AM40" s="92">
        <f t="shared" ref="AM40:AU40" si="59">AM37*AM55</f>
        <v>179.14369968</v>
      </c>
      <c r="AN40" s="92">
        <f t="shared" si="59"/>
        <v>204.56321813999998</v>
      </c>
      <c r="AO40" s="92">
        <f t="shared" si="59"/>
        <v>212.89863245787001</v>
      </c>
      <c r="AP40" s="92">
        <f t="shared" si="59"/>
        <v>241.5495594421665</v>
      </c>
      <c r="AQ40" s="92">
        <f t="shared" si="59"/>
        <v>270.05474523575378</v>
      </c>
      <c r="AR40" s="92">
        <f t="shared" si="59"/>
        <v>297.35741843550483</v>
      </c>
      <c r="AS40" s="92">
        <f t="shared" si="59"/>
        <v>321.87604827486251</v>
      </c>
      <c r="AT40" s="92">
        <f t="shared" si="59"/>
        <v>333.89565936468864</v>
      </c>
      <c r="AU40" s="92">
        <f t="shared" si="59"/>
        <v>338.85869525876456</v>
      </c>
    </row>
    <row r="41" spans="2:99">
      <c r="B41" s="83" t="s">
        <v>184</v>
      </c>
      <c r="C41" s="81">
        <v>10.653</v>
      </c>
      <c r="D41" s="81">
        <v>10.597</v>
      </c>
      <c r="E41" s="81">
        <v>12.441000000000001</v>
      </c>
      <c r="F41" s="81">
        <f>52.917-SUM(C41:E41)</f>
        <v>19.225999999999999</v>
      </c>
      <c r="G41" s="81">
        <v>18.855</v>
      </c>
      <c r="H41" s="81">
        <v>19.483000000000001</v>
      </c>
      <c r="I41" s="81">
        <v>19.382999999999999</v>
      </c>
      <c r="J41" s="81">
        <f>78.02-SUM(G41:I41)</f>
        <v>20.298999999999992</v>
      </c>
      <c r="K41" s="81">
        <v>23.125</v>
      </c>
      <c r="L41" s="81">
        <v>22.31</v>
      </c>
      <c r="M41" s="81">
        <v>20.774000000000001</v>
      </c>
      <c r="N41" s="81">
        <f>86.304-SUM(K41:M41)</f>
        <v>20.094999999999999</v>
      </c>
      <c r="O41" s="81">
        <v>21.484999999999999</v>
      </c>
      <c r="P41" s="81">
        <v>23.733000000000001</v>
      </c>
      <c r="Q41" s="81">
        <v>16.795000000000002</v>
      </c>
      <c r="R41" s="81">
        <f>77.694-SUM(O41:Q41)</f>
        <v>15.680999999999997</v>
      </c>
      <c r="S41" s="81">
        <v>16.314</v>
      </c>
      <c r="T41" s="81">
        <v>17.574000000000002</v>
      </c>
      <c r="U41" s="81">
        <v>18.783000000000001</v>
      </c>
      <c r="V41" s="81">
        <f>72.676-SUM(S41:U41)</f>
        <v>20.004999999999995</v>
      </c>
      <c r="W41" s="81">
        <v>22.782</v>
      </c>
      <c r="X41" s="81">
        <v>21.498000000000001</v>
      </c>
      <c r="AF41" s="81">
        <f t="shared" si="52"/>
        <v>52.917000000000002</v>
      </c>
      <c r="AG41" s="81">
        <f t="shared" si="53"/>
        <v>78.02</v>
      </c>
      <c r="AH41" s="81">
        <f t="shared" si="54"/>
        <v>86.304000000000002</v>
      </c>
      <c r="AI41" s="81">
        <f t="shared" si="55"/>
        <v>77.694000000000003</v>
      </c>
      <c r="AJ41" s="81">
        <f t="shared" si="56"/>
        <v>72.522999999999996</v>
      </c>
      <c r="AK41" s="81">
        <f t="shared" si="57"/>
        <v>72.676000000000002</v>
      </c>
      <c r="AL41" s="92">
        <f>AL37*AL56</f>
        <v>103.55630600000001</v>
      </c>
      <c r="AM41" s="92">
        <f t="shared" ref="AM41:AU41" si="60">AM37*AM56</f>
        <v>127.57202855999999</v>
      </c>
      <c r="AN41" s="92">
        <f t="shared" si="60"/>
        <v>150.01302663599998</v>
      </c>
      <c r="AO41" s="92">
        <f t="shared" si="60"/>
        <v>175.32828555353998</v>
      </c>
      <c r="AP41" s="92">
        <f t="shared" si="60"/>
        <v>202.1128966760985</v>
      </c>
      <c r="AQ41" s="92">
        <f t="shared" si="60"/>
        <v>229.83382573255645</v>
      </c>
      <c r="AR41" s="92">
        <f t="shared" si="60"/>
        <v>257.70976264410422</v>
      </c>
      <c r="AS41" s="92">
        <f t="shared" si="60"/>
        <v>284.44860080104132</v>
      </c>
      <c r="AT41" s="92">
        <f t="shared" si="60"/>
        <v>308.85348491233697</v>
      </c>
      <c r="AU41" s="92">
        <f t="shared" si="60"/>
        <v>329.70035214366283</v>
      </c>
    </row>
    <row r="42" spans="2:99">
      <c r="B42" s="83" t="s">
        <v>185</v>
      </c>
      <c r="C42" s="81">
        <v>8.3149999999999995</v>
      </c>
      <c r="D42" s="81">
        <v>11.824</v>
      </c>
      <c r="E42" s="81">
        <v>11.8</v>
      </c>
      <c r="F42" s="81">
        <f>56.672-SUM(C42:E42)</f>
        <v>24.732999999999997</v>
      </c>
      <c r="G42" s="81">
        <v>20.608000000000001</v>
      </c>
      <c r="H42" s="81">
        <v>19.893000000000001</v>
      </c>
      <c r="I42" s="81">
        <v>20.626999999999999</v>
      </c>
      <c r="J42" s="81">
        <f>80.747-SUM(G42:I42)</f>
        <v>19.619</v>
      </c>
      <c r="K42" s="81">
        <v>21.527999999999999</v>
      </c>
      <c r="L42" s="81">
        <v>20.521000000000001</v>
      </c>
      <c r="M42" s="81">
        <v>20.111999999999998</v>
      </c>
      <c r="N42" s="81">
        <f>80.055-SUM(K42:M42)</f>
        <v>17.894000000000005</v>
      </c>
      <c r="O42" s="81">
        <v>19.18</v>
      </c>
      <c r="P42" s="81">
        <v>20.904</v>
      </c>
      <c r="Q42" s="81">
        <v>18.114000000000001</v>
      </c>
      <c r="R42" s="81">
        <f>77.147-SUM(O42:Q42)</f>
        <v>18.948999999999998</v>
      </c>
      <c r="S42" s="81">
        <v>19.986000000000001</v>
      </c>
      <c r="T42" s="81">
        <v>18.498999999999999</v>
      </c>
      <c r="U42" s="81">
        <v>18.814</v>
      </c>
      <c r="V42" s="81">
        <f>88.133-SUM(S42:U42)</f>
        <v>30.833999999999996</v>
      </c>
      <c r="W42" s="81">
        <v>29.087</v>
      </c>
      <c r="X42" s="81">
        <v>22.486999999999998</v>
      </c>
      <c r="AF42" s="81">
        <f t="shared" si="52"/>
        <v>56.671999999999997</v>
      </c>
      <c r="AG42" s="81">
        <f t="shared" si="53"/>
        <v>80.747</v>
      </c>
      <c r="AH42" s="81">
        <f t="shared" si="54"/>
        <v>80.055000000000007</v>
      </c>
      <c r="AI42" s="81">
        <f t="shared" si="55"/>
        <v>77.147000000000006</v>
      </c>
      <c r="AJ42" s="81">
        <f t="shared" si="56"/>
        <v>77.953000000000003</v>
      </c>
      <c r="AK42" s="81">
        <f t="shared" si="57"/>
        <v>88.132999999999996</v>
      </c>
      <c r="AL42" s="92">
        <f>AL37*AL57</f>
        <v>131.030428</v>
      </c>
      <c r="AM42" s="92">
        <f t="shared" ref="AM42:AU42" si="61">AM37*AM57</f>
        <v>165.57220727999999</v>
      </c>
      <c r="AN42" s="92">
        <f t="shared" si="61"/>
        <v>204.56321813999998</v>
      </c>
      <c r="AO42" s="92">
        <f t="shared" si="61"/>
        <v>246.29449637283</v>
      </c>
      <c r="AP42" s="92">
        <f t="shared" si="61"/>
        <v>285.91580505399298</v>
      </c>
      <c r="AQ42" s="92">
        <f t="shared" si="61"/>
        <v>327.51320166889292</v>
      </c>
      <c r="AR42" s="92">
        <f t="shared" si="61"/>
        <v>370.04478738640603</v>
      </c>
      <c r="AS42" s="92">
        <f t="shared" si="61"/>
        <v>411.70192221203348</v>
      </c>
      <c r="AT42" s="92">
        <f t="shared" si="61"/>
        <v>470.79287970421092</v>
      </c>
      <c r="AU42" s="92">
        <f t="shared" si="61"/>
        <v>514.69888306871815</v>
      </c>
    </row>
    <row r="43" spans="2:99">
      <c r="B43" s="1" t="s">
        <v>186</v>
      </c>
      <c r="C43" s="81">
        <f t="shared" ref="C43:V43" si="62">C39-SUM(C40:C42)</f>
        <v>-18.224</v>
      </c>
      <c r="D43" s="81">
        <f t="shared" si="62"/>
        <v>-24.273000000000003</v>
      </c>
      <c r="E43" s="81">
        <f t="shared" si="62"/>
        <v>-28.311000000000003</v>
      </c>
      <c r="F43" s="81">
        <f t="shared" si="62"/>
        <v>-57.251999999999981</v>
      </c>
      <c r="G43" s="81">
        <f t="shared" si="62"/>
        <v>-47.741000000000007</v>
      </c>
      <c r="H43" s="81">
        <f t="shared" si="62"/>
        <v>-42.69</v>
      </c>
      <c r="I43" s="81">
        <f t="shared" si="62"/>
        <v>-42.635999999999989</v>
      </c>
      <c r="J43" s="81">
        <f t="shared" si="62"/>
        <v>-42.664000000000001</v>
      </c>
      <c r="K43" s="81">
        <f t="shared" si="62"/>
        <v>-44.694999999999993</v>
      </c>
      <c r="L43" s="81">
        <f t="shared" si="62"/>
        <v>-43.241000000000007</v>
      </c>
      <c r="M43" s="81">
        <f t="shared" si="62"/>
        <v>-47.838000000000008</v>
      </c>
      <c r="N43" s="81">
        <f t="shared" si="62"/>
        <v>-33.869999999999997</v>
      </c>
      <c r="O43" s="81">
        <f t="shared" si="62"/>
        <v>-34.61099999999999</v>
      </c>
      <c r="P43" s="81">
        <f t="shared" si="62"/>
        <v>-39.569000000000003</v>
      </c>
      <c r="Q43" s="81">
        <f t="shared" si="62"/>
        <v>-22.573999999999998</v>
      </c>
      <c r="R43" s="81">
        <f t="shared" si="62"/>
        <v>-19.319999999999986</v>
      </c>
      <c r="S43" s="81">
        <f t="shared" si="62"/>
        <v>-22.736000000000011</v>
      </c>
      <c r="T43" s="81">
        <f t="shared" si="62"/>
        <v>-17.945999999999984</v>
      </c>
      <c r="U43" s="81">
        <f t="shared" si="62"/>
        <v>-18.294000000000011</v>
      </c>
      <c r="V43" s="81">
        <f t="shared" si="62"/>
        <v>-36.023999999999972</v>
      </c>
      <c r="W43" s="81">
        <f>W39-SUM(W40:W42)</f>
        <v>-34.838000000000001</v>
      </c>
      <c r="X43" s="81">
        <f>X39-SUM(X40:X42)</f>
        <v>-13.508999999999986</v>
      </c>
      <c r="AF43" s="81">
        <f t="shared" si="52"/>
        <v>-128.06</v>
      </c>
      <c r="AG43" s="81">
        <f t="shared" si="53"/>
        <v>-175.73099999999999</v>
      </c>
      <c r="AH43" s="81">
        <f t="shared" si="54"/>
        <v>-169.64400000000001</v>
      </c>
      <c r="AI43" s="81">
        <f t="shared" si="55"/>
        <v>-116.07399999999998</v>
      </c>
      <c r="AJ43" s="81">
        <f t="shared" si="56"/>
        <v>-104.19900000000001</v>
      </c>
      <c r="AK43" s="81">
        <f t="shared" si="57"/>
        <v>-94.999999999999972</v>
      </c>
      <c r="AL43" s="92">
        <f>AL39-SUM(AL40:AL42)</f>
        <v>-154.27776199999997</v>
      </c>
      <c r="AM43" s="92">
        <f t="shared" ref="AM43:AU43" si="63">AM39-SUM(AM40:AM42)</f>
        <v>-168.28650575999995</v>
      </c>
      <c r="AN43" s="92">
        <f t="shared" si="63"/>
        <v>-170.46934845000004</v>
      </c>
      <c r="AO43" s="92">
        <f t="shared" si="63"/>
        <v>-146.10690462794997</v>
      </c>
      <c r="AP43" s="92">
        <f t="shared" si="63"/>
        <v>-142.95790252699646</v>
      </c>
      <c r="AQ43" s="92">
        <f t="shared" si="63"/>
        <v>-132.15444979621986</v>
      </c>
      <c r="AR43" s="92">
        <f t="shared" si="63"/>
        <v>-118.94296737420211</v>
      </c>
      <c r="AS43" s="92">
        <f t="shared" si="63"/>
        <v>-97.311363431935206</v>
      </c>
      <c r="AT43" s="92">
        <f t="shared" si="63"/>
        <v>-70.118088466584595</v>
      </c>
      <c r="AU43" s="92">
        <f t="shared" si="63"/>
        <v>-29.306697968325579</v>
      </c>
    </row>
    <row r="44" spans="2:99">
      <c r="B44" s="83" t="s">
        <v>187</v>
      </c>
      <c r="C44" s="81">
        <v>0</v>
      </c>
      <c r="D44" s="81">
        <v>0</v>
      </c>
      <c r="E44" s="81">
        <v>8.0000000000000002E-3</v>
      </c>
      <c r="F44" s="81">
        <f>0.021-SUM(C44:E44)</f>
        <v>1.3000000000000001E-2</v>
      </c>
      <c r="G44" s="81">
        <v>0.112</v>
      </c>
      <c r="H44" s="81">
        <v>1.3109999999999999</v>
      </c>
      <c r="I44" s="81">
        <v>2.8530000000000002</v>
      </c>
      <c r="J44" s="81">
        <f>7.67-SUM(G44:I44)</f>
        <v>3.3940000000000001</v>
      </c>
      <c r="K44" s="81">
        <v>4.5060000000000002</v>
      </c>
      <c r="L44" s="81">
        <v>3.802</v>
      </c>
      <c r="M44" s="81">
        <v>3.4449999999999998</v>
      </c>
      <c r="N44" s="81">
        <f>15.414-SUM(K44:M44)</f>
        <v>3.6609999999999996</v>
      </c>
      <c r="O44" s="81">
        <v>3.1070000000000002</v>
      </c>
      <c r="P44" s="81">
        <v>2.7709999999999999</v>
      </c>
      <c r="Q44" s="81">
        <v>2.4140000000000001</v>
      </c>
      <c r="R44" s="81">
        <f>10.257-SUM(O44:Q44)</f>
        <v>1.9649999999999999</v>
      </c>
      <c r="S44" s="81">
        <v>1.8839999999999999</v>
      </c>
      <c r="T44" s="81">
        <v>2.1720000000000002</v>
      </c>
      <c r="U44" s="81">
        <v>4.4139999999999997</v>
      </c>
      <c r="V44" s="81">
        <f>14.329-SUM(S44:U44)</f>
        <v>5.8590000000000018</v>
      </c>
      <c r="W44" s="81">
        <v>5.1529999999999996</v>
      </c>
      <c r="X44" s="81">
        <v>6.4329999999999998</v>
      </c>
      <c r="AF44" s="81">
        <f t="shared" si="52"/>
        <v>2.1000000000000001E-2</v>
      </c>
      <c r="AG44" s="81">
        <f t="shared" si="53"/>
        <v>7.67</v>
      </c>
      <c r="AH44" s="81">
        <f t="shared" si="54"/>
        <v>15.414</v>
      </c>
      <c r="AI44" s="81">
        <f t="shared" si="55"/>
        <v>10.257</v>
      </c>
      <c r="AJ44" s="81">
        <f t="shared" si="56"/>
        <v>9.0340000000000007</v>
      </c>
      <c r="AK44" s="81">
        <f t="shared" si="57"/>
        <v>14.329000000000001</v>
      </c>
      <c r="AL44" s="92">
        <f>SUM(AK62:AK64)*($BE$62)</f>
        <v>190.61776999999998</v>
      </c>
      <c r="AM44" s="92">
        <f>SUM(AL62:AL64)*($BE$62)</f>
        <v>200.95924772439167</v>
      </c>
      <c r="AN44" s="92">
        <f t="shared" ref="AN44:AU44" si="64">SUM(AM62:AM63)*($BE$62)</f>
        <v>210.1921266469279</v>
      </c>
      <c r="AO44" s="92">
        <f t="shared" si="64"/>
        <v>221.56608435684922</v>
      </c>
      <c r="AP44" s="92">
        <f t="shared" si="64"/>
        <v>243.77936798439586</v>
      </c>
      <c r="AQ44" s="92">
        <f t="shared" si="64"/>
        <v>273.68632704526556</v>
      </c>
      <c r="AR44" s="92">
        <f t="shared" si="64"/>
        <v>315.94079523776634</v>
      </c>
      <c r="AS44" s="92">
        <f t="shared" si="64"/>
        <v>375.01692236501128</v>
      </c>
      <c r="AT44" s="92">
        <f t="shared" si="64"/>
        <v>458.56849076077765</v>
      </c>
      <c r="AU44" s="92">
        <f t="shared" si="64"/>
        <v>575.70332073602981</v>
      </c>
    </row>
    <row r="45" spans="2:99">
      <c r="B45" s="83" t="s">
        <v>188</v>
      </c>
      <c r="C45" s="81">
        <v>-2.5270000000000001</v>
      </c>
      <c r="D45" s="81">
        <v>-2.6110000000000002</v>
      </c>
      <c r="E45" s="81">
        <v>-2.6120000000000001</v>
      </c>
      <c r="F45" s="81">
        <f>-8.772-SUM(C45:E45)</f>
        <v>-1.0220000000000002</v>
      </c>
      <c r="G45" s="81">
        <v>0</v>
      </c>
      <c r="H45" s="81">
        <v>0</v>
      </c>
      <c r="I45" s="81">
        <v>0</v>
      </c>
      <c r="J45" s="81">
        <f>0-SUM(G45:I45)</f>
        <v>0</v>
      </c>
      <c r="K45" s="81">
        <v>0</v>
      </c>
      <c r="L45" s="81">
        <v>0</v>
      </c>
      <c r="M45" s="81">
        <v>0</v>
      </c>
      <c r="N45" s="81">
        <f>0-SUM(K45:M45)</f>
        <v>0</v>
      </c>
      <c r="O45" s="81">
        <v>0</v>
      </c>
      <c r="P45" s="81">
        <v>0</v>
      </c>
      <c r="Q45" s="81">
        <v>-0.27700000000000002</v>
      </c>
      <c r="R45" s="81">
        <f>-0.832-SUM(O45:Q45)</f>
        <v>-0.55499999999999994</v>
      </c>
      <c r="S45" s="81">
        <v>-0.499</v>
      </c>
      <c r="T45" s="81">
        <v>0</v>
      </c>
      <c r="U45" s="81">
        <v>-1.02</v>
      </c>
      <c r="V45" s="81">
        <f>-3.436-SUM(S45:U45)</f>
        <v>-1.9169999999999998</v>
      </c>
      <c r="W45" s="81">
        <v>-1.446</v>
      </c>
      <c r="X45" s="81">
        <v>-1.4390000000000001</v>
      </c>
      <c r="AF45" s="81">
        <f t="shared" si="52"/>
        <v>-8.7720000000000002</v>
      </c>
      <c r="AG45" s="81">
        <f t="shared" si="53"/>
        <v>0</v>
      </c>
      <c r="AH45" s="81">
        <f t="shared" si="54"/>
        <v>0</v>
      </c>
      <c r="AI45" s="81">
        <f t="shared" si="55"/>
        <v>-0.83199999999999996</v>
      </c>
      <c r="AJ45" s="81">
        <f t="shared" si="56"/>
        <v>-1.331</v>
      </c>
      <c r="AK45" s="81">
        <f t="shared" si="57"/>
        <v>-3.4359999999999999</v>
      </c>
      <c r="AL45" s="92">
        <f t="shared" ref="AL45:AU45" si="65">-AK86*($AZ$79)</f>
        <v>-2.2344200000000001</v>
      </c>
      <c r="AM45" s="92">
        <f t="shared" si="65"/>
        <v>-2.2232479000000001</v>
      </c>
      <c r="AN45" s="92">
        <f t="shared" si="65"/>
        <v>-2.2121316605000003</v>
      </c>
      <c r="AO45" s="92">
        <f t="shared" si="65"/>
        <v>-2.2010710021975002</v>
      </c>
      <c r="AP45" s="92">
        <f t="shared" si="65"/>
        <v>-2.1900656471865125</v>
      </c>
      <c r="AQ45" s="92">
        <f t="shared" si="65"/>
        <v>-2.1791153189505801</v>
      </c>
      <c r="AR45" s="92">
        <f t="shared" si="65"/>
        <v>-2.1682197423558272</v>
      </c>
      <c r="AS45" s="92">
        <f t="shared" si="65"/>
        <v>-2.1573786436440479</v>
      </c>
      <c r="AT45" s="92">
        <f t="shared" si="65"/>
        <v>-2.1465917504258276</v>
      </c>
      <c r="AU45" s="92">
        <f t="shared" si="65"/>
        <v>-2.1358587916736984</v>
      </c>
    </row>
    <row r="46" spans="2:99">
      <c r="B46" s="83" t="s">
        <v>189</v>
      </c>
      <c r="C46" s="81">
        <v>-8.0259999999999998</v>
      </c>
      <c r="D46" s="81">
        <v>6.7690000000000001</v>
      </c>
      <c r="E46" s="81">
        <v>-10.172000000000001</v>
      </c>
      <c r="F46" s="81">
        <f>5.726-SUM(C46:E46)</f>
        <v>17.155000000000001</v>
      </c>
      <c r="G46" s="81">
        <v>3.2759999999999998</v>
      </c>
      <c r="H46" s="81">
        <v>2.1120000000000001</v>
      </c>
      <c r="I46" s="81">
        <v>-1.9E-2</v>
      </c>
      <c r="J46" s="81">
        <f>6.554-SUM(G46:I46)</f>
        <v>1.1850000000000005</v>
      </c>
      <c r="K46" s="81">
        <v>5.9450000000000003</v>
      </c>
      <c r="L46" s="81">
        <v>1.226</v>
      </c>
      <c r="M46" s="81">
        <v>6.8330000000000002</v>
      </c>
      <c r="N46" s="81">
        <f>13.709-SUM(K46:M46)</f>
        <v>-0.29500000000000171</v>
      </c>
      <c r="O46" s="81">
        <v>1.53</v>
      </c>
      <c r="P46" s="81">
        <v>-0.60199999999999998</v>
      </c>
      <c r="Q46" s="81">
        <v>0.19800000000000001</v>
      </c>
      <c r="R46" s="81">
        <f>-15.116-SUM(O46:Q46)</f>
        <v>-16.242000000000001</v>
      </c>
      <c r="S46" s="81">
        <v>10.387</v>
      </c>
      <c r="T46" s="81">
        <v>-5.6790000000000003</v>
      </c>
      <c r="U46" s="81">
        <v>-43.472999999999999</v>
      </c>
      <c r="V46" s="81">
        <f>-161.4-SUM(S46:U46)</f>
        <v>-122.63500000000001</v>
      </c>
      <c r="W46" s="81">
        <v>-106.474</v>
      </c>
      <c r="X46" s="81">
        <v>0</v>
      </c>
      <c r="AF46" s="81">
        <f t="shared" si="52"/>
        <v>5.7260000000000009</v>
      </c>
      <c r="AG46" s="81">
        <f t="shared" si="53"/>
        <v>6.5540000000000003</v>
      </c>
      <c r="AH46" s="81">
        <f t="shared" si="54"/>
        <v>13.709</v>
      </c>
      <c r="AI46" s="81">
        <f t="shared" si="55"/>
        <v>-15.116000000000001</v>
      </c>
      <c r="AJ46" s="81">
        <f t="shared" si="56"/>
        <v>-6.2590000000000003</v>
      </c>
      <c r="AK46" s="81">
        <f t="shared" si="57"/>
        <v>-161.4</v>
      </c>
      <c r="AL46" s="92">
        <v>0</v>
      </c>
      <c r="AM46" s="92">
        <v>0</v>
      </c>
      <c r="AN46" s="92">
        <v>0</v>
      </c>
      <c r="AO46" s="92">
        <v>0</v>
      </c>
      <c r="AP46" s="92">
        <v>0</v>
      </c>
      <c r="AQ46" s="92">
        <v>0</v>
      </c>
      <c r="AR46" s="92">
        <v>0</v>
      </c>
      <c r="AS46" s="92">
        <v>0</v>
      </c>
      <c r="AT46" s="92">
        <v>0</v>
      </c>
      <c r="AU46" s="92">
        <v>0</v>
      </c>
    </row>
    <row r="47" spans="2:99">
      <c r="B47" s="83" t="s">
        <v>190</v>
      </c>
      <c r="C47" s="81">
        <v>-0.17699999999999999</v>
      </c>
      <c r="D47" s="81">
        <v>-8.4000000000000005E-2</v>
      </c>
      <c r="E47" s="81">
        <v>-0.06</v>
      </c>
      <c r="F47" s="81">
        <f>-2.248-1.69-SUM(C47:E47)</f>
        <v>-3.617</v>
      </c>
      <c r="G47" s="81">
        <v>0.28000000000000003</v>
      </c>
      <c r="H47" s="81">
        <v>-0.158</v>
      </c>
      <c r="I47" s="81">
        <v>1E-3</v>
      </c>
      <c r="J47" s="81">
        <f>0.33-SUM(G47:I47)</f>
        <v>0.20699999999999999</v>
      </c>
      <c r="K47" s="81">
        <v>0.104</v>
      </c>
      <c r="L47" s="81">
        <v>0.85899999999999999</v>
      </c>
      <c r="M47" s="81">
        <v>-6.9000000000000006E-2</v>
      </c>
      <c r="N47" s="81">
        <f>0.931-SUM(K47:M47)</f>
        <v>3.7000000000000144E-2</v>
      </c>
      <c r="O47" s="81">
        <v>1.083</v>
      </c>
      <c r="P47" s="81">
        <v>-0.36299999999999999</v>
      </c>
      <c r="Q47" s="81">
        <v>0.217</v>
      </c>
      <c r="R47" s="81">
        <f>1.077-SUM(O47:Q47)</f>
        <v>0.14000000000000001</v>
      </c>
      <c r="S47" s="81">
        <v>-0.70099999999999996</v>
      </c>
      <c r="T47" s="81">
        <v>-0.628</v>
      </c>
      <c r="U47" s="81">
        <v>1.7999999999999999E-2</v>
      </c>
      <c r="V47" s="81">
        <f>3.375-SUM(S47:U47)</f>
        <v>4.6859999999999999</v>
      </c>
      <c r="W47" s="81">
        <v>-0.20599999999999999</v>
      </c>
      <c r="X47" s="81">
        <v>-0.105</v>
      </c>
      <c r="AF47" s="81">
        <f t="shared" si="52"/>
        <v>-3.9380000000000002</v>
      </c>
      <c r="AG47" s="81">
        <f t="shared" si="53"/>
        <v>0.33</v>
      </c>
      <c r="AH47" s="81">
        <f t="shared" si="54"/>
        <v>0.93100000000000005</v>
      </c>
      <c r="AI47" s="81">
        <f t="shared" si="55"/>
        <v>1.077</v>
      </c>
      <c r="AJ47" s="81">
        <f t="shared" si="56"/>
        <v>-0.70699999999999996</v>
      </c>
      <c r="AK47" s="81">
        <f t="shared" si="57"/>
        <v>3.375</v>
      </c>
      <c r="AL47" s="92">
        <v>0</v>
      </c>
      <c r="AM47" s="92">
        <v>0</v>
      </c>
      <c r="AN47" s="92">
        <v>0</v>
      </c>
      <c r="AO47" s="92">
        <v>0</v>
      </c>
      <c r="AP47" s="92">
        <v>0</v>
      </c>
      <c r="AQ47" s="92">
        <v>0</v>
      </c>
      <c r="AR47" s="92">
        <v>0</v>
      </c>
      <c r="AS47" s="92">
        <v>0</v>
      </c>
      <c r="AT47" s="92">
        <v>0</v>
      </c>
      <c r="AU47" s="92">
        <v>0</v>
      </c>
    </row>
    <row r="48" spans="2:99">
      <c r="B48" s="1" t="s">
        <v>191</v>
      </c>
      <c r="C48" s="81">
        <f t="shared" ref="C48:V48" si="66">C43+SUM(C44:C47)</f>
        <v>-28.954000000000001</v>
      </c>
      <c r="D48" s="81">
        <f t="shared" si="66"/>
        <v>-20.199000000000005</v>
      </c>
      <c r="E48" s="81">
        <f t="shared" si="66"/>
        <v>-41.147000000000006</v>
      </c>
      <c r="F48" s="81">
        <f t="shared" si="66"/>
        <v>-44.722999999999985</v>
      </c>
      <c r="G48" s="81">
        <f t="shared" si="66"/>
        <v>-44.073000000000008</v>
      </c>
      <c r="H48" s="81">
        <f t="shared" si="66"/>
        <v>-39.424999999999997</v>
      </c>
      <c r="I48" s="81">
        <f t="shared" si="66"/>
        <v>-39.800999999999988</v>
      </c>
      <c r="J48" s="81">
        <f t="shared" si="66"/>
        <v>-37.878</v>
      </c>
      <c r="K48" s="81">
        <f t="shared" si="66"/>
        <v>-34.139999999999993</v>
      </c>
      <c r="L48" s="81">
        <f t="shared" si="66"/>
        <v>-37.354000000000006</v>
      </c>
      <c r="M48" s="81">
        <f t="shared" si="66"/>
        <v>-37.629000000000005</v>
      </c>
      <c r="N48" s="81">
        <f t="shared" si="66"/>
        <v>-30.466999999999999</v>
      </c>
      <c r="O48" s="81">
        <f t="shared" si="66"/>
        <v>-28.890999999999991</v>
      </c>
      <c r="P48" s="81">
        <f t="shared" si="66"/>
        <v>-37.763000000000005</v>
      </c>
      <c r="Q48" s="81">
        <f t="shared" si="66"/>
        <v>-20.021999999999998</v>
      </c>
      <c r="R48" s="81">
        <f t="shared" si="66"/>
        <v>-34.011999999999986</v>
      </c>
      <c r="S48" s="81">
        <f t="shared" si="66"/>
        <v>-11.665000000000012</v>
      </c>
      <c r="T48" s="81">
        <f t="shared" si="66"/>
        <v>-22.080999999999982</v>
      </c>
      <c r="U48" s="81">
        <f t="shared" si="66"/>
        <v>-58.355000000000011</v>
      </c>
      <c r="V48" s="81">
        <f t="shared" si="66"/>
        <v>-150.03099999999998</v>
      </c>
      <c r="W48" s="81">
        <f>W43+SUM(W44:W47)</f>
        <v>-137.81100000000001</v>
      </c>
      <c r="X48" s="81">
        <f>X43+SUM(X44:X47)</f>
        <v>-8.6199999999999868</v>
      </c>
      <c r="AF48" s="81">
        <f t="shared" si="52"/>
        <v>-135.023</v>
      </c>
      <c r="AG48" s="81">
        <f t="shared" si="53"/>
        <v>-161.17699999999999</v>
      </c>
      <c r="AH48" s="81">
        <f t="shared" si="54"/>
        <v>-139.59</v>
      </c>
      <c r="AI48" s="81">
        <f t="shared" si="55"/>
        <v>-120.68799999999997</v>
      </c>
      <c r="AJ48" s="81">
        <f t="shared" si="56"/>
        <v>-103.462</v>
      </c>
      <c r="AK48" s="81">
        <f t="shared" si="57"/>
        <v>-242.13199999999998</v>
      </c>
      <c r="AL48" s="92">
        <f>AL43+SUM(AL44:AL47)</f>
        <v>34.105588000000012</v>
      </c>
      <c r="AM48" s="92">
        <f t="shared" ref="AM48:AU48" si="67">AM43+SUM(AM44:AM47)</f>
        <v>30.449494064391729</v>
      </c>
      <c r="AN48" s="92">
        <f t="shared" si="67"/>
        <v>37.510646536427856</v>
      </c>
      <c r="AO48" s="92">
        <f t="shared" si="67"/>
        <v>73.258108726701749</v>
      </c>
      <c r="AP48" s="92">
        <f t="shared" si="67"/>
        <v>98.631399810212883</v>
      </c>
      <c r="AQ48" s="92">
        <f t="shared" si="67"/>
        <v>139.35276193009508</v>
      </c>
      <c r="AR48" s="92">
        <f t="shared" si="67"/>
        <v>194.82960812120842</v>
      </c>
      <c r="AS48" s="92">
        <f t="shared" si="67"/>
        <v>275.54818028943203</v>
      </c>
      <c r="AT48" s="92">
        <f t="shared" si="67"/>
        <v>386.30381054376721</v>
      </c>
      <c r="AU48" s="92">
        <f t="shared" si="67"/>
        <v>544.26076397603049</v>
      </c>
    </row>
    <row r="49" spans="2:99">
      <c r="B49" s="1" t="s">
        <v>192</v>
      </c>
      <c r="C49" s="81">
        <v>0.25800000000000001</v>
      </c>
      <c r="D49" s="81">
        <v>0.17</v>
      </c>
      <c r="E49" s="81">
        <v>0.39400000000000002</v>
      </c>
      <c r="F49" s="81">
        <f>2.11-SUM(C49:E49)</f>
        <v>1.2879999999999998</v>
      </c>
      <c r="G49" s="81">
        <v>0.314</v>
      </c>
      <c r="H49" s="81">
        <v>0.154</v>
      </c>
      <c r="I49" s="81">
        <v>0.439</v>
      </c>
      <c r="J49" s="81">
        <f>0.847-SUM(G49:I49)</f>
        <v>-6.0000000000000053E-2</v>
      </c>
      <c r="K49" s="81">
        <v>0.307</v>
      </c>
      <c r="L49" s="81">
        <v>0.58199999999999996</v>
      </c>
      <c r="M49" s="81">
        <v>0.35499999999999998</v>
      </c>
      <c r="N49" s="81">
        <f>0.815-SUM(K49:M49)</f>
        <v>-0.42900000000000005</v>
      </c>
      <c r="O49" s="81">
        <v>0.442</v>
      </c>
      <c r="P49" s="81">
        <v>0.89700000000000002</v>
      </c>
      <c r="Q49" s="81">
        <v>2.5000000000000001E-2</v>
      </c>
      <c r="R49" s="81">
        <f>2.46-SUM(O49:Q49)</f>
        <v>1.0960000000000001</v>
      </c>
      <c r="S49" s="81">
        <v>0.92800000000000005</v>
      </c>
      <c r="T49" s="81">
        <v>0.497</v>
      </c>
      <c r="U49" s="81">
        <v>0.78100000000000003</v>
      </c>
      <c r="V49" s="81">
        <f>4.655-SUM(S49:U49)</f>
        <v>2.4490000000000003</v>
      </c>
      <c r="W49" s="81">
        <v>1.0109999999999999</v>
      </c>
      <c r="X49" s="81">
        <v>0.73299999999999998</v>
      </c>
      <c r="AF49" s="81">
        <f t="shared" si="52"/>
        <v>2.11</v>
      </c>
      <c r="AG49" s="81">
        <f t="shared" si="53"/>
        <v>0.84699999999999998</v>
      </c>
      <c r="AH49" s="81">
        <f t="shared" si="54"/>
        <v>0.81499999999999995</v>
      </c>
      <c r="AI49" s="81">
        <f t="shared" si="55"/>
        <v>2.46</v>
      </c>
      <c r="AJ49" s="81">
        <f t="shared" si="56"/>
        <v>2.9460000000000002</v>
      </c>
      <c r="AK49" s="81">
        <f t="shared" si="57"/>
        <v>4.6550000000000002</v>
      </c>
      <c r="AL49" s="67">
        <f>AL48*AL59</f>
        <v>-0.65568166182082532</v>
      </c>
      <c r="AM49" s="67">
        <f t="shared" ref="AM49:AU49" si="68">AM48*AM59</f>
        <v>-0.5853930701837986</v>
      </c>
      <c r="AN49" s="67">
        <f t="shared" si="68"/>
        <v>-0.72114408515632678</v>
      </c>
      <c r="AO49" s="67">
        <f t="shared" si="68"/>
        <v>-1.408390861690304</v>
      </c>
      <c r="AP49" s="67">
        <f t="shared" si="68"/>
        <v>-1.8961936717019685</v>
      </c>
      <c r="AQ49" s="67">
        <f t="shared" si="68"/>
        <v>-2.6790639270505046</v>
      </c>
      <c r="AR49" s="67">
        <f t="shared" si="68"/>
        <v>-3.7456091132284266</v>
      </c>
      <c r="AS49" s="67">
        <f t="shared" si="68"/>
        <v>-5.2974277635641149</v>
      </c>
      <c r="AT49" s="67">
        <f t="shared" si="68"/>
        <v>-7.4267103814499391</v>
      </c>
      <c r="AU49" s="67">
        <f t="shared" si="68"/>
        <v>-10.463440835199075</v>
      </c>
    </row>
    <row r="50" spans="2:99" s="2" customFormat="1" ht="15">
      <c r="B50" s="2" t="s">
        <v>67</v>
      </c>
      <c r="C50" s="82">
        <f t="shared" ref="C50:U50" si="69">C48-C49</f>
        <v>-29.212</v>
      </c>
      <c r="D50" s="82">
        <f t="shared" si="69"/>
        <v>-20.369000000000007</v>
      </c>
      <c r="E50" s="82">
        <f t="shared" si="69"/>
        <v>-41.541000000000004</v>
      </c>
      <c r="F50" s="82">
        <f>F48-F49</f>
        <v>-46.010999999999981</v>
      </c>
      <c r="G50" s="82">
        <f t="shared" si="69"/>
        <v>-44.387000000000008</v>
      </c>
      <c r="H50" s="82">
        <f t="shared" si="69"/>
        <v>-39.579000000000001</v>
      </c>
      <c r="I50" s="82">
        <f t="shared" si="69"/>
        <v>-40.239999999999988</v>
      </c>
      <c r="J50" s="82">
        <f>J48-J49</f>
        <v>-37.817999999999998</v>
      </c>
      <c r="K50" s="82">
        <f t="shared" si="69"/>
        <v>-34.446999999999996</v>
      </c>
      <c r="L50" s="82">
        <f t="shared" si="69"/>
        <v>-37.936000000000007</v>
      </c>
      <c r="M50" s="82">
        <f t="shared" si="69"/>
        <v>-37.984000000000002</v>
      </c>
      <c r="N50" s="82">
        <f>N48-N49</f>
        <v>-30.038</v>
      </c>
      <c r="O50" s="82">
        <f t="shared" si="69"/>
        <v>-29.332999999999991</v>
      </c>
      <c r="P50" s="82">
        <f t="shared" si="69"/>
        <v>-38.660000000000004</v>
      </c>
      <c r="Q50" s="82">
        <f t="shared" si="69"/>
        <v>-20.046999999999997</v>
      </c>
      <c r="R50" s="82">
        <f>R48-R49</f>
        <v>-35.10799999999999</v>
      </c>
      <c r="S50" s="82">
        <f t="shared" si="69"/>
        <v>-12.593000000000012</v>
      </c>
      <c r="T50" s="82">
        <f t="shared" si="69"/>
        <v>-22.577999999999982</v>
      </c>
      <c r="U50" s="82">
        <f t="shared" si="69"/>
        <v>-59.13600000000001</v>
      </c>
      <c r="V50" s="82">
        <f>V48-V49</f>
        <v>-152.47999999999999</v>
      </c>
      <c r="W50" s="82">
        <f t="shared" ref="W50:X50" si="70">W48-W49</f>
        <v>-138.822</v>
      </c>
      <c r="X50" s="82">
        <f t="shared" si="70"/>
        <v>-9.3529999999999873</v>
      </c>
      <c r="Y50" s="34"/>
      <c r="Z50" s="34"/>
      <c r="AF50" s="82">
        <f t="shared" si="52"/>
        <v>-137.13299999999998</v>
      </c>
      <c r="AG50" s="82">
        <f t="shared" si="53"/>
        <v>-162.024</v>
      </c>
      <c r="AH50" s="82">
        <f t="shared" si="54"/>
        <v>-140.40500000000003</v>
      </c>
      <c r="AI50" s="82">
        <f t="shared" si="55"/>
        <v>-123.14799999999998</v>
      </c>
      <c r="AJ50" s="82">
        <f t="shared" si="56"/>
        <v>-106.40800000000002</v>
      </c>
      <c r="AK50" s="82">
        <f t="shared" si="57"/>
        <v>-246.78699999999998</v>
      </c>
      <c r="AL50" s="89">
        <f>AL48-AL49</f>
        <v>34.76126966182084</v>
      </c>
      <c r="AM50" s="89">
        <f t="shared" ref="AM50:AU50" si="71">AM48-AM49</f>
        <v>31.034887134575527</v>
      </c>
      <c r="AN50" s="89">
        <f t="shared" si="71"/>
        <v>38.231790621584182</v>
      </c>
      <c r="AO50" s="89">
        <f t="shared" si="71"/>
        <v>74.666499588392057</v>
      </c>
      <c r="AP50" s="89">
        <f t="shared" si="71"/>
        <v>100.52759348191485</v>
      </c>
      <c r="AQ50" s="89">
        <f t="shared" si="71"/>
        <v>142.03182585714558</v>
      </c>
      <c r="AR50" s="89">
        <f t="shared" si="71"/>
        <v>198.57521723443685</v>
      </c>
      <c r="AS50" s="89">
        <f t="shared" si="71"/>
        <v>280.84560805299611</v>
      </c>
      <c r="AT50" s="89">
        <f t="shared" si="71"/>
        <v>393.73052092521715</v>
      </c>
      <c r="AU50" s="89">
        <f t="shared" si="71"/>
        <v>554.72420481122958</v>
      </c>
      <c r="AV50" s="89">
        <f>AU50*(1+$BE$63)</f>
        <v>567.20549941948218</v>
      </c>
      <c r="AW50" s="89">
        <f t="shared" ref="AW50:CS50" si="72">AV50*(1+$BE$63)</f>
        <v>579.96762315642047</v>
      </c>
      <c r="AX50" s="89">
        <f t="shared" si="72"/>
        <v>593.01689467743995</v>
      </c>
      <c r="AY50" s="89">
        <f t="shared" si="72"/>
        <v>606.35977480768236</v>
      </c>
      <c r="AZ50" s="89">
        <f t="shared" si="72"/>
        <v>620.0028697408552</v>
      </c>
      <c r="BA50" s="89">
        <f t="shared" si="72"/>
        <v>633.95293431002438</v>
      </c>
      <c r="BB50" s="89">
        <f t="shared" si="72"/>
        <v>648.21687533199986</v>
      </c>
      <c r="BC50" s="89">
        <f t="shared" si="72"/>
        <v>662.80175502696989</v>
      </c>
      <c r="BD50" s="89">
        <f t="shared" si="72"/>
        <v>677.71479451507673</v>
      </c>
      <c r="BE50" s="89">
        <f t="shared" si="72"/>
        <v>692.96337739166597</v>
      </c>
      <c r="BF50" s="89">
        <f t="shared" si="72"/>
        <v>708.55505338297849</v>
      </c>
      <c r="BG50" s="89">
        <f t="shared" si="72"/>
        <v>724.49754208409547</v>
      </c>
      <c r="BH50" s="89">
        <f t="shared" si="72"/>
        <v>740.79873678098761</v>
      </c>
      <c r="BI50" s="89">
        <f t="shared" si="72"/>
        <v>757.4667083585598</v>
      </c>
      <c r="BJ50" s="89">
        <f t="shared" si="72"/>
        <v>774.50970929662742</v>
      </c>
      <c r="BK50" s="89">
        <f t="shared" si="72"/>
        <v>791.93617775580151</v>
      </c>
      <c r="BL50" s="89">
        <f t="shared" si="72"/>
        <v>809.75474175530701</v>
      </c>
      <c r="BM50" s="89">
        <f t="shared" si="72"/>
        <v>827.9742234448014</v>
      </c>
      <c r="BN50" s="89">
        <f t="shared" si="72"/>
        <v>846.60364347230939</v>
      </c>
      <c r="BO50" s="89">
        <f t="shared" si="72"/>
        <v>865.65222545043628</v>
      </c>
      <c r="BP50" s="89">
        <f t="shared" si="72"/>
        <v>885.12940052307101</v>
      </c>
      <c r="BQ50" s="89">
        <f t="shared" si="72"/>
        <v>905.04481203484011</v>
      </c>
      <c r="BR50" s="89">
        <f t="shared" si="72"/>
        <v>925.40832030562399</v>
      </c>
      <c r="BS50" s="89">
        <f t="shared" si="72"/>
        <v>946.23000751250049</v>
      </c>
      <c r="BT50" s="89">
        <f t="shared" si="72"/>
        <v>967.52018268153176</v>
      </c>
      <c r="BU50" s="89">
        <f t="shared" si="72"/>
        <v>989.28938679186615</v>
      </c>
      <c r="BV50" s="89">
        <f t="shared" si="72"/>
        <v>1011.5483979946831</v>
      </c>
      <c r="BW50" s="89">
        <f t="shared" si="72"/>
        <v>1034.3082369495635</v>
      </c>
      <c r="BX50" s="89">
        <f t="shared" si="72"/>
        <v>1057.5801722809285</v>
      </c>
      <c r="BY50" s="89">
        <f t="shared" si="72"/>
        <v>1081.3757261572493</v>
      </c>
      <c r="BZ50" s="89">
        <f t="shared" si="72"/>
        <v>1105.7066799957875</v>
      </c>
      <c r="CA50" s="89">
        <f t="shared" si="72"/>
        <v>1130.5850802956927</v>
      </c>
      <c r="CB50" s="89">
        <f t="shared" si="72"/>
        <v>1156.0232446023458</v>
      </c>
      <c r="CC50" s="89">
        <f t="shared" si="72"/>
        <v>1182.0337676058984</v>
      </c>
      <c r="CD50" s="89">
        <f t="shared" si="72"/>
        <v>1208.6295273770311</v>
      </c>
      <c r="CE50" s="89">
        <f t="shared" si="72"/>
        <v>1235.8236917430143</v>
      </c>
      <c r="CF50" s="89">
        <f t="shared" si="72"/>
        <v>1263.6297248072319</v>
      </c>
      <c r="CG50" s="89">
        <f t="shared" si="72"/>
        <v>1292.0613936153945</v>
      </c>
      <c r="CH50" s="89">
        <f t="shared" si="72"/>
        <v>1321.1327749717409</v>
      </c>
      <c r="CI50" s="89">
        <f t="shared" si="72"/>
        <v>1350.858262408605</v>
      </c>
      <c r="CJ50" s="89">
        <f t="shared" si="72"/>
        <v>1381.2525733127986</v>
      </c>
      <c r="CK50" s="89">
        <f t="shared" si="72"/>
        <v>1412.3307562123366</v>
      </c>
      <c r="CL50" s="89">
        <f t="shared" si="72"/>
        <v>1444.1081982271141</v>
      </c>
      <c r="CM50" s="89">
        <f t="shared" si="72"/>
        <v>1476.6006326872241</v>
      </c>
      <c r="CN50" s="89">
        <f t="shared" si="72"/>
        <v>1509.8241469226866</v>
      </c>
      <c r="CO50" s="89">
        <f t="shared" si="72"/>
        <v>1543.7951902284469</v>
      </c>
      <c r="CP50" s="89">
        <f t="shared" si="72"/>
        <v>1578.5305820085869</v>
      </c>
      <c r="CQ50" s="89">
        <f t="shared" si="72"/>
        <v>1614.04752010378</v>
      </c>
      <c r="CR50" s="89">
        <f t="shared" si="72"/>
        <v>1650.363589306115</v>
      </c>
      <c r="CS50" s="89">
        <f t="shared" si="72"/>
        <v>1687.4967700655027</v>
      </c>
      <c r="CT50" s="34"/>
      <c r="CU50" s="34"/>
    </row>
    <row r="51" spans="2:99">
      <c r="B51" s="1" t="s">
        <v>71</v>
      </c>
      <c r="C51" s="81">
        <v>45.722000000000001</v>
      </c>
      <c r="D51" s="81">
        <v>46.2</v>
      </c>
      <c r="E51" s="81">
        <v>47.137</v>
      </c>
      <c r="F51" s="81">
        <v>79.61</v>
      </c>
      <c r="G51" s="81">
        <v>264.08800000000002</v>
      </c>
      <c r="H51" s="81">
        <v>266.21199999999999</v>
      </c>
      <c r="I51" s="81">
        <v>267.947</v>
      </c>
      <c r="J51" s="81">
        <v>267.12599999999998</v>
      </c>
      <c r="K51" s="81">
        <v>272.34699999999998</v>
      </c>
      <c r="L51" s="81">
        <v>275.053</v>
      </c>
      <c r="M51" s="81">
        <v>284.197</v>
      </c>
      <c r="N51" s="81">
        <v>267.12599999999998</v>
      </c>
      <c r="O51" s="81">
        <v>288.26799999999997</v>
      </c>
      <c r="P51" s="81">
        <v>290.36399999999998</v>
      </c>
      <c r="Q51" s="81">
        <v>293.33800000000002</v>
      </c>
      <c r="R51" s="81">
        <v>292.12400000000002</v>
      </c>
      <c r="S51" s="81">
        <v>300.267</v>
      </c>
      <c r="T51" s="81">
        <v>304.12900000000002</v>
      </c>
      <c r="U51" s="81">
        <v>309.24799999999999</v>
      </c>
      <c r="V51" s="81">
        <v>307.79899999999998</v>
      </c>
      <c r="W51" s="81">
        <v>345.524</v>
      </c>
      <c r="X51" s="81">
        <v>359.59</v>
      </c>
      <c r="AF51" s="81">
        <f>AVERAGE(C51:F51)</f>
        <v>54.667249999999996</v>
      </c>
      <c r="AG51" s="81">
        <f>AVERAGE(G51:J51)</f>
        <v>266.34325000000001</v>
      </c>
      <c r="AH51" s="81">
        <f>AVERAGE(K51:N51)</f>
        <v>274.68074999999999</v>
      </c>
      <c r="AI51" s="81">
        <f>AVERAGE(O51:R51)</f>
        <v>291.02350000000001</v>
      </c>
      <c r="AJ51" s="81">
        <f>AVERAGE(P51:S51)</f>
        <v>294.02325000000002</v>
      </c>
      <c r="AK51" s="81">
        <f>AVERAGE(S51:V51)</f>
        <v>305.36075</v>
      </c>
    </row>
    <row r="52" spans="2:99">
      <c r="B52" s="39" t="s">
        <v>131</v>
      </c>
      <c r="C52" s="39">
        <f t="shared" ref="C52:V52" si="73">C50/C51</f>
        <v>-0.63890468483443419</v>
      </c>
      <c r="D52" s="39">
        <f t="shared" si="73"/>
        <v>-0.44088744588744599</v>
      </c>
      <c r="E52" s="39">
        <f t="shared" si="73"/>
        <v>-0.88128221991217093</v>
      </c>
      <c r="F52" s="39">
        <f t="shared" si="73"/>
        <v>-0.57795503077502808</v>
      </c>
      <c r="G52" s="39">
        <f t="shared" si="73"/>
        <v>-0.16807655024082882</v>
      </c>
      <c r="H52" s="39">
        <f t="shared" si="73"/>
        <v>-0.14867474043243731</v>
      </c>
      <c r="I52" s="39">
        <f t="shared" si="73"/>
        <v>-0.1501789533004661</v>
      </c>
      <c r="J52" s="39">
        <f t="shared" si="73"/>
        <v>-0.14157363940612297</v>
      </c>
      <c r="K52" s="39">
        <f t="shared" si="73"/>
        <v>-0.12648202476987078</v>
      </c>
      <c r="L52" s="39">
        <f t="shared" si="73"/>
        <v>-0.13792250947999116</v>
      </c>
      <c r="M52" s="39">
        <f t="shared" si="73"/>
        <v>-0.13365376833675233</v>
      </c>
      <c r="N52" s="39">
        <f t="shared" si="73"/>
        <v>-0.11244880693006298</v>
      </c>
      <c r="O52" s="39">
        <f t="shared" si="73"/>
        <v>-0.10175600482883981</v>
      </c>
      <c r="P52" s="39">
        <f t="shared" si="73"/>
        <v>-0.13314322712181953</v>
      </c>
      <c r="Q52" s="39">
        <f t="shared" si="73"/>
        <v>-6.834095821202843E-2</v>
      </c>
      <c r="R52" s="39">
        <f t="shared" si="73"/>
        <v>-0.1201818405882433</v>
      </c>
      <c r="S52" s="39">
        <f t="shared" si="73"/>
        <v>-4.1939340653485105E-2</v>
      </c>
      <c r="T52" s="39">
        <f t="shared" si="73"/>
        <v>-7.4238234433414707E-2</v>
      </c>
      <c r="U52" s="39">
        <f t="shared" si="73"/>
        <v>-0.19122516556291394</v>
      </c>
      <c r="V52" s="39">
        <f t="shared" si="73"/>
        <v>-0.49538822413328176</v>
      </c>
      <c r="W52" s="39">
        <f>W50/W51</f>
        <v>-0.40177238050034153</v>
      </c>
      <c r="X52" s="39">
        <f>X50/X51</f>
        <v>-2.6010178258572228E-2</v>
      </c>
      <c r="AF52" s="39">
        <f>AF50/AF51</f>
        <v>-2.5085037202346925</v>
      </c>
      <c r="AG52" s="39">
        <f t="shared" ref="AG52:AK52" si="74">AG50/AG51</f>
        <v>-0.60832778754483174</v>
      </c>
      <c r="AH52" s="39">
        <f t="shared" si="74"/>
        <v>-0.51115704322199507</v>
      </c>
      <c r="AI52" s="39">
        <f t="shared" si="74"/>
        <v>-0.42315483113906599</v>
      </c>
      <c r="AJ52" s="39">
        <f t="shared" si="74"/>
        <v>-0.3619033528811072</v>
      </c>
      <c r="AK52" s="39">
        <f t="shared" si="74"/>
        <v>-0.8081817980863617</v>
      </c>
    </row>
    <row r="53" spans="2:99">
      <c r="C53" s="84"/>
      <c r="D53" s="84"/>
      <c r="E53" s="84"/>
      <c r="F53" s="84"/>
      <c r="G53" s="84"/>
      <c r="H53" s="84"/>
      <c r="I53" s="84"/>
      <c r="J53" s="84"/>
      <c r="K53" s="84"/>
      <c r="L53" s="84"/>
      <c r="M53" s="84"/>
      <c r="N53" s="84"/>
      <c r="O53" s="84"/>
      <c r="P53" s="84"/>
      <c r="Q53" s="84"/>
      <c r="R53" s="84"/>
      <c r="S53" s="84"/>
      <c r="T53" s="84"/>
      <c r="U53" s="84"/>
      <c r="V53" s="84"/>
      <c r="W53" s="84"/>
      <c r="X53" s="84"/>
      <c r="AL53" s="93"/>
      <c r="AM53" s="93"/>
      <c r="AN53" s="93"/>
      <c r="AO53" s="93"/>
      <c r="AP53" s="93"/>
      <c r="AQ53" s="93"/>
      <c r="AR53" s="93"/>
      <c r="AS53" s="93"/>
      <c r="AT53" s="93"/>
      <c r="AU53" s="93"/>
    </row>
    <row r="54" spans="2:99">
      <c r="B54" s="37" t="s">
        <v>54</v>
      </c>
      <c r="C54" s="85">
        <f t="shared" ref="C54:J54" si="75">C39/C37</f>
        <v>0.40231249999999996</v>
      </c>
      <c r="D54" s="85">
        <f t="shared" si="75"/>
        <v>0.34802631578947363</v>
      </c>
      <c r="E54" s="85">
        <f t="shared" si="75"/>
        <v>0.34350157728706621</v>
      </c>
      <c r="F54" s="85">
        <f t="shared" si="75"/>
        <v>0.3738544474393532</v>
      </c>
      <c r="G54" s="85">
        <f t="shared" si="75"/>
        <v>0.41077306733167085</v>
      </c>
      <c r="H54" s="85">
        <f t="shared" si="75"/>
        <v>0.48394628099173553</v>
      </c>
      <c r="I54" s="85">
        <f t="shared" si="75"/>
        <v>0.50245472837022132</v>
      </c>
      <c r="J54" s="85">
        <f t="shared" si="75"/>
        <v>0.54877358490566031</v>
      </c>
      <c r="K54" s="85">
        <f t="shared" ref="K54:V54" si="76">K39/K37</f>
        <v>0.5340417457305503</v>
      </c>
      <c r="L54" s="85">
        <f t="shared" si="76"/>
        <v>0.48942379182156132</v>
      </c>
      <c r="M54" s="85">
        <f t="shared" si="76"/>
        <v>0.47021660649819491</v>
      </c>
      <c r="N54" s="85">
        <f t="shared" si="76"/>
        <v>0.55227504244482184</v>
      </c>
      <c r="O54" s="85">
        <f t="shared" si="76"/>
        <v>0.52389072847682117</v>
      </c>
      <c r="P54" s="85">
        <f t="shared" si="76"/>
        <v>0.52893617021276595</v>
      </c>
      <c r="Q54" s="85">
        <f t="shared" si="76"/>
        <v>0.6125774877650898</v>
      </c>
      <c r="R54" s="85">
        <f t="shared" si="76"/>
        <v>0.62112012987012988</v>
      </c>
      <c r="S54" s="85">
        <f t="shared" si="76"/>
        <v>0.55260935143288081</v>
      </c>
      <c r="T54" s="85">
        <f t="shared" si="76"/>
        <v>0.57604904632152598</v>
      </c>
      <c r="U54" s="85">
        <f t="shared" si="76"/>
        <v>0.57355473554735548</v>
      </c>
      <c r="V54" s="85">
        <f t="shared" si="76"/>
        <v>0.54156682027649783</v>
      </c>
      <c r="W54" s="85">
        <f>W39/W37</f>
        <v>0.53557324840764331</v>
      </c>
      <c r="X54" s="85">
        <f>X39/X37</f>
        <v>0.5655395857029607</v>
      </c>
      <c r="AF54" s="85">
        <f t="shared" ref="AF54:AK54" si="77">AF39/AF37</f>
        <v>0.36747713414634148</v>
      </c>
      <c r="AG54" s="85">
        <f t="shared" si="77"/>
        <v>0.49138075313807528</v>
      </c>
      <c r="AH54" s="85">
        <f t="shared" si="77"/>
        <v>0.51201992753623182</v>
      </c>
      <c r="AI54" s="85">
        <f t="shared" si="77"/>
        <v>0.57190261865793779</v>
      </c>
      <c r="AJ54" s="85">
        <f t="shared" si="77"/>
        <v>0.5783779464642429</v>
      </c>
      <c r="AK54" s="85">
        <f t="shared" si="77"/>
        <v>0.56061728395061738</v>
      </c>
      <c r="AL54" s="93">
        <v>0.54</v>
      </c>
      <c r="AM54" s="93">
        <v>0.56000000000000005</v>
      </c>
      <c r="AN54" s="93">
        <v>0.56999999999999995</v>
      </c>
      <c r="AO54" s="93">
        <v>0.58499999999999996</v>
      </c>
      <c r="AP54" s="93">
        <v>0.59499999999999997</v>
      </c>
      <c r="AQ54" s="93">
        <v>0.60499999999999998</v>
      </c>
      <c r="AR54" s="93">
        <v>0.61</v>
      </c>
      <c r="AS54" s="93">
        <v>0.61499999999999999</v>
      </c>
      <c r="AT54" s="93">
        <v>0.625</v>
      </c>
      <c r="AU54" s="93">
        <v>0.63</v>
      </c>
    </row>
    <row r="55" spans="2:99">
      <c r="B55" s="83" t="s">
        <v>55</v>
      </c>
      <c r="C55" s="85">
        <f t="shared" ref="C55:J55" si="78">C40/C37</f>
        <v>0.37906250000000002</v>
      </c>
      <c r="D55" s="85">
        <f t="shared" si="78"/>
        <v>0.40894736842105267</v>
      </c>
      <c r="E55" s="85">
        <f t="shared" si="78"/>
        <v>0.47189274447949525</v>
      </c>
      <c r="F55" s="85">
        <f t="shared" si="78"/>
        <v>0.73215633423180582</v>
      </c>
      <c r="G55" s="85">
        <f t="shared" si="78"/>
        <v>0.61720698254364093</v>
      </c>
      <c r="H55" s="85">
        <f t="shared" si="78"/>
        <v>0.55241735537190084</v>
      </c>
      <c r="I55" s="85">
        <f t="shared" si="78"/>
        <v>0.55529175050301804</v>
      </c>
      <c r="J55" s="85">
        <f t="shared" si="78"/>
        <v>0.60058490566037737</v>
      </c>
      <c r="K55" s="85">
        <f t="shared" ref="K55:V55" si="79">K40/K37</f>
        <v>0.53483870967741931</v>
      </c>
      <c r="L55" s="85">
        <f t="shared" si="79"/>
        <v>0.49704460966542752</v>
      </c>
      <c r="M55" s="85">
        <f t="shared" si="79"/>
        <v>0.59570397111913365</v>
      </c>
      <c r="N55" s="85">
        <f t="shared" si="79"/>
        <v>0.4823429541595925</v>
      </c>
      <c r="O55" s="85">
        <f t="shared" si="79"/>
        <v>0.42365894039735097</v>
      </c>
      <c r="P55" s="85">
        <f t="shared" si="79"/>
        <v>0.44599018003273322</v>
      </c>
      <c r="Q55" s="85">
        <f t="shared" si="79"/>
        <v>0.41135399673735729</v>
      </c>
      <c r="R55" s="85">
        <f t="shared" si="79"/>
        <v>0.37258116883116871</v>
      </c>
      <c r="S55" s="85">
        <f t="shared" si="79"/>
        <v>0.34802413273001515</v>
      </c>
      <c r="T55" s="85">
        <f t="shared" si="79"/>
        <v>0.32908719346049048</v>
      </c>
      <c r="U55" s="85">
        <f t="shared" si="79"/>
        <v>0.33612546125461257</v>
      </c>
      <c r="V55" s="85">
        <f t="shared" si="79"/>
        <v>0.37088709677419351</v>
      </c>
      <c r="W55" s="85">
        <f>W40/W37</f>
        <v>0.3547770700636943</v>
      </c>
      <c r="X55" s="85">
        <f>X40/X37</f>
        <v>0.30293316789025604</v>
      </c>
      <c r="AF55" s="85">
        <f t="shared" ref="AF55:AK55" si="80">AF40/AF37</f>
        <v>0.50826219512195125</v>
      </c>
      <c r="AG55" s="85">
        <f t="shared" si="80"/>
        <v>0.58010460251046025</v>
      </c>
      <c r="AH55" s="85">
        <f t="shared" si="80"/>
        <v>0.52689764492753621</v>
      </c>
      <c r="AI55" s="85">
        <f t="shared" si="80"/>
        <v>0.41328150572831424</v>
      </c>
      <c r="AJ55" s="85">
        <f t="shared" si="80"/>
        <v>0.39349180982820614</v>
      </c>
      <c r="AK55" s="85">
        <f t="shared" si="80"/>
        <v>0.34681286549707602</v>
      </c>
      <c r="AL55" s="93">
        <v>0.35</v>
      </c>
      <c r="AM55" s="93">
        <v>0.33</v>
      </c>
      <c r="AN55" s="93">
        <v>0.3</v>
      </c>
      <c r="AO55" s="93">
        <v>0.255</v>
      </c>
      <c r="AP55" s="93">
        <v>0.245</v>
      </c>
      <c r="AQ55" s="93">
        <v>0.23499999999999999</v>
      </c>
      <c r="AR55" s="93">
        <v>0.22500000000000001</v>
      </c>
      <c r="AS55" s="93">
        <v>0.215</v>
      </c>
      <c r="AT55" s="93">
        <v>0.2</v>
      </c>
      <c r="AU55" s="93">
        <v>0.185</v>
      </c>
    </row>
    <row r="56" spans="2:99">
      <c r="B56" s="83" t="s">
        <v>193</v>
      </c>
      <c r="C56" s="85">
        <f t="shared" ref="C56:J56" si="81">C41/C37</f>
        <v>0.33290625000000001</v>
      </c>
      <c r="D56" s="85">
        <f t="shared" si="81"/>
        <v>0.34858552631578948</v>
      </c>
      <c r="E56" s="85">
        <f t="shared" si="81"/>
        <v>0.39246056782334388</v>
      </c>
      <c r="F56" s="85">
        <f t="shared" si="81"/>
        <v>0.51822102425876004</v>
      </c>
      <c r="G56" s="85">
        <f t="shared" si="81"/>
        <v>0.47019950124688281</v>
      </c>
      <c r="H56" s="85">
        <f t="shared" si="81"/>
        <v>0.4025413223140496</v>
      </c>
      <c r="I56" s="85">
        <f t="shared" si="81"/>
        <v>0.38999999999999996</v>
      </c>
      <c r="J56" s="85">
        <f t="shared" si="81"/>
        <v>0.38299999999999984</v>
      </c>
      <c r="K56" s="85">
        <f t="shared" ref="K56:V56" si="82">K41/K37</f>
        <v>0.43880455407969637</v>
      </c>
      <c r="L56" s="85">
        <f t="shared" si="82"/>
        <v>0.41468401486988848</v>
      </c>
      <c r="M56" s="85">
        <f t="shared" si="82"/>
        <v>0.37498194945848379</v>
      </c>
      <c r="N56" s="85">
        <f t="shared" si="82"/>
        <v>0.34117147707979628</v>
      </c>
      <c r="O56" s="85">
        <f t="shared" si="82"/>
        <v>0.35571192052980133</v>
      </c>
      <c r="P56" s="85">
        <f t="shared" si="82"/>
        <v>0.38842880523731588</v>
      </c>
      <c r="Q56" s="85">
        <f t="shared" si="82"/>
        <v>0.27398042414355633</v>
      </c>
      <c r="R56" s="85">
        <f t="shared" si="82"/>
        <v>0.25456168831168824</v>
      </c>
      <c r="S56" s="85">
        <f t="shared" si="82"/>
        <v>0.2460633484162896</v>
      </c>
      <c r="T56" s="85">
        <f t="shared" si="82"/>
        <v>0.23942779291553135</v>
      </c>
      <c r="U56" s="85">
        <f t="shared" si="82"/>
        <v>0.23103321033210333</v>
      </c>
      <c r="V56" s="85">
        <f t="shared" si="82"/>
        <v>0.23047235023041471</v>
      </c>
      <c r="W56" s="85">
        <f>W41/W37</f>
        <v>0.24184713375796177</v>
      </c>
      <c r="X56" s="85">
        <f>X41/X37</f>
        <v>0.18524454554854719</v>
      </c>
      <c r="AF56" s="85">
        <f t="shared" ref="AF56:AK56" si="83">AF41/AF37</f>
        <v>0.40333079268292688</v>
      </c>
      <c r="AG56" s="85">
        <f t="shared" si="83"/>
        <v>0.40805439330543936</v>
      </c>
      <c r="AH56" s="85">
        <f t="shared" si="83"/>
        <v>0.3908695652173913</v>
      </c>
      <c r="AI56" s="85">
        <f t="shared" si="83"/>
        <v>0.31789689034369883</v>
      </c>
      <c r="AJ56" s="85">
        <f t="shared" si="83"/>
        <v>0.2897443068318018</v>
      </c>
      <c r="AK56" s="85">
        <f t="shared" si="83"/>
        <v>0.23611435997400909</v>
      </c>
      <c r="AL56" s="93">
        <v>0.245</v>
      </c>
      <c r="AM56" s="93">
        <v>0.23499999999999999</v>
      </c>
      <c r="AN56" s="93">
        <v>0.22</v>
      </c>
      <c r="AO56" s="93">
        <v>0.21</v>
      </c>
      <c r="AP56" s="93">
        <v>0.20499999999999999</v>
      </c>
      <c r="AQ56" s="93">
        <v>0.2</v>
      </c>
      <c r="AR56" s="93">
        <v>0.19500000000000001</v>
      </c>
      <c r="AS56" s="93">
        <v>0.19</v>
      </c>
      <c r="AT56" s="93">
        <v>0.185</v>
      </c>
      <c r="AU56" s="93">
        <v>0.18</v>
      </c>
    </row>
    <row r="57" spans="2:99">
      <c r="B57" s="83" t="s">
        <v>194</v>
      </c>
      <c r="C57" s="85">
        <f t="shared" ref="C57:J57" si="84">C42/C37</f>
        <v>0.25984374999999998</v>
      </c>
      <c r="D57" s="85">
        <f t="shared" si="84"/>
        <v>0.38894736842105265</v>
      </c>
      <c r="E57" s="85">
        <f t="shared" si="84"/>
        <v>0.37223974763406942</v>
      </c>
      <c r="F57" s="85">
        <f t="shared" si="84"/>
        <v>0.66665768194070074</v>
      </c>
      <c r="G57" s="85">
        <f t="shared" si="84"/>
        <v>0.51391521197007484</v>
      </c>
      <c r="H57" s="85">
        <f t="shared" si="84"/>
        <v>0.41101239669421491</v>
      </c>
      <c r="I57" s="85">
        <f t="shared" si="84"/>
        <v>0.41503018108651907</v>
      </c>
      <c r="J57" s="85">
        <f t="shared" si="84"/>
        <v>0.37016981132075472</v>
      </c>
      <c r="K57" s="85">
        <f t="shared" ref="K57:V57" si="85">K42/K37</f>
        <v>0.40850094876660337</v>
      </c>
      <c r="L57" s="85">
        <f t="shared" si="85"/>
        <v>0.38143122676579927</v>
      </c>
      <c r="M57" s="85">
        <f t="shared" si="85"/>
        <v>0.36303249097472923</v>
      </c>
      <c r="N57" s="85">
        <f t="shared" si="85"/>
        <v>0.30380305602716479</v>
      </c>
      <c r="O57" s="85">
        <f t="shared" si="85"/>
        <v>0.31754966887417219</v>
      </c>
      <c r="P57" s="85">
        <f t="shared" si="85"/>
        <v>0.34212765957446806</v>
      </c>
      <c r="Q57" s="85">
        <f t="shared" si="85"/>
        <v>0.29549755301794456</v>
      </c>
      <c r="R57" s="85">
        <f t="shared" si="85"/>
        <v>0.30761363636363631</v>
      </c>
      <c r="S57" s="85">
        <f t="shared" si="85"/>
        <v>0.30144796380090499</v>
      </c>
      <c r="T57" s="85">
        <f t="shared" si="85"/>
        <v>0.25202997275204359</v>
      </c>
      <c r="U57" s="85">
        <f t="shared" si="85"/>
        <v>0.23141451414514147</v>
      </c>
      <c r="V57" s="85">
        <f t="shared" si="85"/>
        <v>0.35523041474654377</v>
      </c>
      <c r="W57" s="85">
        <f>W42/W37</f>
        <v>0.30877919320594477</v>
      </c>
      <c r="X57" s="85">
        <f>X42/X37</f>
        <v>0.19376658739185879</v>
      </c>
      <c r="AF57" s="85">
        <f t="shared" ref="AF57:AK57" si="86">AF42/AF37</f>
        <v>0.43195121951219512</v>
      </c>
      <c r="AG57" s="85">
        <f t="shared" si="86"/>
        <v>0.42231694560669458</v>
      </c>
      <c r="AH57" s="85">
        <f t="shared" si="86"/>
        <v>0.36256793478260868</v>
      </c>
      <c r="AI57" s="85">
        <f t="shared" si="86"/>
        <v>0.31565875613747957</v>
      </c>
      <c r="AJ57" s="85">
        <f t="shared" si="86"/>
        <v>0.31143827407111468</v>
      </c>
      <c r="AK57" s="85">
        <f t="shared" si="86"/>
        <v>0.28633203378817412</v>
      </c>
      <c r="AL57" s="93">
        <v>0.31</v>
      </c>
      <c r="AM57" s="93">
        <v>0.30499999999999999</v>
      </c>
      <c r="AN57" s="93">
        <v>0.3</v>
      </c>
      <c r="AO57" s="93">
        <v>0.29499999999999998</v>
      </c>
      <c r="AP57" s="93">
        <v>0.28999999999999998</v>
      </c>
      <c r="AQ57" s="93">
        <v>0.28499999999999998</v>
      </c>
      <c r="AR57" s="93">
        <v>0.28000000000000003</v>
      </c>
      <c r="AS57" s="93">
        <v>0.27500000000000002</v>
      </c>
      <c r="AT57" s="93">
        <v>0.28199999999999997</v>
      </c>
      <c r="AU57" s="93">
        <v>0.28100000000000003</v>
      </c>
    </row>
    <row r="58" spans="2:99">
      <c r="B58" s="37" t="s">
        <v>56</v>
      </c>
      <c r="C58" s="85">
        <f t="shared" ref="C58:J58" si="87">C43/C37</f>
        <v>-0.56950000000000001</v>
      </c>
      <c r="D58" s="85">
        <f t="shared" si="87"/>
        <v>-0.79845394736842124</v>
      </c>
      <c r="E58" s="85">
        <f t="shared" si="87"/>
        <v>-0.89309148264984239</v>
      </c>
      <c r="F58" s="85">
        <f t="shared" si="87"/>
        <v>-1.5431805929919131</v>
      </c>
      <c r="G58" s="85">
        <f t="shared" si="87"/>
        <v>-1.1905486284289277</v>
      </c>
      <c r="H58" s="85">
        <f t="shared" si="87"/>
        <v>-0.88202479338842976</v>
      </c>
      <c r="I58" s="85">
        <f t="shared" si="87"/>
        <v>-0.85786720321931564</v>
      </c>
      <c r="J58" s="85">
        <f t="shared" si="87"/>
        <v>-0.80498113207547173</v>
      </c>
      <c r="K58" s="85">
        <f t="shared" ref="K58:V58" si="88">K43/K37</f>
        <v>-0.8481024667931687</v>
      </c>
      <c r="L58" s="85">
        <f t="shared" si="88"/>
        <v>-0.80373605947955407</v>
      </c>
      <c r="M58" s="85">
        <f t="shared" si="88"/>
        <v>-0.86350180505415175</v>
      </c>
      <c r="N58" s="85">
        <f t="shared" si="88"/>
        <v>-0.57504244482173172</v>
      </c>
      <c r="O58" s="85">
        <f t="shared" si="88"/>
        <v>-0.57302980132450321</v>
      </c>
      <c r="P58" s="85">
        <f t="shared" si="88"/>
        <v>-0.64761047463175125</v>
      </c>
      <c r="Q58" s="85">
        <f t="shared" si="88"/>
        <v>-0.36825448613376832</v>
      </c>
      <c r="R58" s="85">
        <f t="shared" si="88"/>
        <v>-0.31363636363636338</v>
      </c>
      <c r="S58" s="85">
        <f t="shared" si="88"/>
        <v>-0.34292609351432901</v>
      </c>
      <c r="T58" s="85">
        <f t="shared" si="88"/>
        <v>-0.24449591280653926</v>
      </c>
      <c r="U58" s="85">
        <f t="shared" si="88"/>
        <v>-0.22501845018450198</v>
      </c>
      <c r="V58" s="85">
        <f t="shared" si="88"/>
        <v>-0.41502304147465408</v>
      </c>
      <c r="W58" s="85">
        <f>W43/W37</f>
        <v>-0.36983014861995755</v>
      </c>
      <c r="X58" s="85">
        <f>X43/X37</f>
        <v>-0.11640471512770124</v>
      </c>
      <c r="AF58" s="85">
        <f t="shared" ref="AF58:AK58" si="89">AF43/AF37</f>
        <v>-0.97606707317073182</v>
      </c>
      <c r="AG58" s="85">
        <f t="shared" si="89"/>
        <v>-0.91909518828451886</v>
      </c>
      <c r="AH58" s="85">
        <f t="shared" si="89"/>
        <v>-0.76831521739130437</v>
      </c>
      <c r="AI58" s="85">
        <f t="shared" si="89"/>
        <v>-0.47493453355155474</v>
      </c>
      <c r="AJ58" s="85">
        <f t="shared" si="89"/>
        <v>-0.41629644426687978</v>
      </c>
      <c r="AK58" s="85">
        <f t="shared" si="89"/>
        <v>-0.30864197530864185</v>
      </c>
      <c r="AL58" s="93">
        <f>AL43/AL37</f>
        <v>-0.36499999999999988</v>
      </c>
      <c r="AM58" s="93">
        <f t="shared" ref="AM58:AU58" si="90">AM43/AM37</f>
        <v>-0.30999999999999994</v>
      </c>
      <c r="AN58" s="93">
        <f t="shared" si="90"/>
        <v>-0.25000000000000011</v>
      </c>
      <c r="AO58" s="93">
        <f t="shared" si="90"/>
        <v>-0.17499999999999996</v>
      </c>
      <c r="AP58" s="93">
        <f t="shared" si="90"/>
        <v>-0.14499999999999996</v>
      </c>
      <c r="AQ58" s="93">
        <f t="shared" si="90"/>
        <v>-0.11499999999999992</v>
      </c>
      <c r="AR58" s="93">
        <f t="shared" si="90"/>
        <v>-9.0000000000000135E-2</v>
      </c>
      <c r="AS58" s="93">
        <f t="shared" si="90"/>
        <v>-6.5000000000000016E-2</v>
      </c>
      <c r="AT58" s="93">
        <f t="shared" si="90"/>
        <v>-4.1999999999999989E-2</v>
      </c>
      <c r="AU58" s="93">
        <f t="shared" si="90"/>
        <v>-1.5999999999999997E-2</v>
      </c>
    </row>
    <row r="59" spans="2:99">
      <c r="B59" s="37" t="s">
        <v>57</v>
      </c>
      <c r="C59" s="85">
        <f t="shared" ref="C59:J59" si="91">C49/C48</f>
        <v>-8.9106859155902475E-3</v>
      </c>
      <c r="D59" s="85">
        <f t="shared" si="91"/>
        <v>-8.4162582306054733E-3</v>
      </c>
      <c r="E59" s="85">
        <f t="shared" si="91"/>
        <v>-9.5754246968187216E-3</v>
      </c>
      <c r="F59" s="85">
        <f t="shared" si="91"/>
        <v>-2.8799499139145413E-2</v>
      </c>
      <c r="G59" s="85">
        <f t="shared" si="91"/>
        <v>-7.1245433712250122E-3</v>
      </c>
      <c r="H59" s="85">
        <f t="shared" si="91"/>
        <v>-3.9061509194673431E-3</v>
      </c>
      <c r="I59" s="85">
        <f t="shared" si="91"/>
        <v>-1.10298736212658E-2</v>
      </c>
      <c r="J59" s="85">
        <f t="shared" si="91"/>
        <v>1.5840329478853175E-3</v>
      </c>
      <c r="K59" s="85">
        <f t="shared" ref="K59:V59" si="92">K49/K48</f>
        <v>-8.9923842999414198E-3</v>
      </c>
      <c r="L59" s="85">
        <f t="shared" si="92"/>
        <v>-1.5580660705680781E-2</v>
      </c>
      <c r="M59" s="85">
        <f t="shared" si="92"/>
        <v>-9.4342129740359812E-3</v>
      </c>
      <c r="N59" s="85">
        <f t="shared" si="92"/>
        <v>1.4080808743886831E-2</v>
      </c>
      <c r="O59" s="85">
        <f t="shared" si="92"/>
        <v>-1.5298882004776578E-2</v>
      </c>
      <c r="P59" s="85">
        <f t="shared" si="92"/>
        <v>-2.3753409421920925E-2</v>
      </c>
      <c r="Q59" s="85">
        <f t="shared" si="92"/>
        <v>-1.2486265108380783E-3</v>
      </c>
      <c r="R59" s="85">
        <f t="shared" si="92"/>
        <v>-3.2223920969069758E-2</v>
      </c>
      <c r="S59" s="85">
        <f t="shared" si="92"/>
        <v>-7.9554222031718747E-2</v>
      </c>
      <c r="T59" s="85">
        <f t="shared" si="92"/>
        <v>-2.2508038585209021E-2</v>
      </c>
      <c r="U59" s="85">
        <f t="shared" si="92"/>
        <v>-1.3383600377002825E-2</v>
      </c>
      <c r="V59" s="85">
        <f t="shared" si="92"/>
        <v>-1.6323293186074884E-2</v>
      </c>
      <c r="W59" s="85">
        <f>W49/W48</f>
        <v>-7.3361342708492053E-3</v>
      </c>
      <c r="X59" s="85">
        <f>X49/X48</f>
        <v>-8.503480278422286E-2</v>
      </c>
      <c r="AF59" s="85">
        <f t="shared" ref="AF59:AK59" si="93">AF49/AF48</f>
        <v>-1.5626967257430215E-2</v>
      </c>
      <c r="AG59" s="85">
        <f t="shared" si="93"/>
        <v>-5.255092227799252E-3</v>
      </c>
      <c r="AH59" s="85">
        <f t="shared" si="93"/>
        <v>-5.8385271151228596E-3</v>
      </c>
      <c r="AI59" s="85">
        <f t="shared" si="93"/>
        <v>-2.0383136683017371E-2</v>
      </c>
      <c r="AJ59" s="85">
        <f t="shared" si="93"/>
        <v>-2.8474222419825636E-2</v>
      </c>
      <c r="AK59" s="85">
        <f t="shared" si="93"/>
        <v>-1.9225050798737882E-2</v>
      </c>
      <c r="AL59" s="93">
        <v>-1.9225050798737882E-2</v>
      </c>
      <c r="AM59" s="93">
        <v>-1.9225050798737882E-2</v>
      </c>
      <c r="AN59" s="93">
        <v>-1.9225050798737882E-2</v>
      </c>
      <c r="AO59" s="93">
        <v>-1.9225050798737882E-2</v>
      </c>
      <c r="AP59" s="93">
        <v>-1.9225050798737882E-2</v>
      </c>
      <c r="AQ59" s="93">
        <v>-1.9225050798737882E-2</v>
      </c>
      <c r="AR59" s="93">
        <v>-1.9225050798737882E-2</v>
      </c>
      <c r="AS59" s="93">
        <v>-1.9225050798737882E-2</v>
      </c>
      <c r="AT59" s="93">
        <v>-1.9225050798737882E-2</v>
      </c>
      <c r="AU59" s="93">
        <v>-1.9225050798737882E-2</v>
      </c>
    </row>
    <row r="60" spans="2:99">
      <c r="B60" s="37" t="s">
        <v>58</v>
      </c>
      <c r="C60" s="85">
        <f t="shared" ref="C60:J60" si="94">C50/C37</f>
        <v>-0.91287499999999999</v>
      </c>
      <c r="D60" s="85">
        <f t="shared" si="94"/>
        <v>-0.67003289473684235</v>
      </c>
      <c r="E60" s="85">
        <f t="shared" si="94"/>
        <v>-1.310441640378549</v>
      </c>
      <c r="F60" s="85">
        <f t="shared" si="94"/>
        <v>-1.2401886792452825</v>
      </c>
      <c r="G60" s="85">
        <f t="shared" si="94"/>
        <v>-1.1069077306733168</v>
      </c>
      <c r="H60" s="85">
        <f t="shared" si="94"/>
        <v>-0.81774793388429756</v>
      </c>
      <c r="I60" s="85">
        <f t="shared" si="94"/>
        <v>-0.80965794768611643</v>
      </c>
      <c r="J60" s="85">
        <f t="shared" si="94"/>
        <v>-0.71354716981132071</v>
      </c>
      <c r="K60" s="85">
        <f t="shared" ref="K60:V60" si="95">K50/K37</f>
        <v>-0.65364326375711568</v>
      </c>
      <c r="L60" s="85">
        <f t="shared" si="95"/>
        <v>-0.70513011152416372</v>
      </c>
      <c r="M60" s="85">
        <f t="shared" si="95"/>
        <v>-0.68563176895306865</v>
      </c>
      <c r="N60" s="85">
        <f t="shared" si="95"/>
        <v>-0.5099830220713073</v>
      </c>
      <c r="O60" s="85">
        <f t="shared" si="95"/>
        <v>-0.48564569536423829</v>
      </c>
      <c r="P60" s="85">
        <f t="shared" si="95"/>
        <v>-0.63273322422258593</v>
      </c>
      <c r="Q60" s="85">
        <f t="shared" si="95"/>
        <v>-0.32703099510603584</v>
      </c>
      <c r="R60" s="85">
        <f t="shared" si="95"/>
        <v>-0.56993506493506474</v>
      </c>
      <c r="S60" s="85">
        <f t="shared" si="95"/>
        <v>-0.18993966817496249</v>
      </c>
      <c r="T60" s="85">
        <f t="shared" si="95"/>
        <v>-0.307602179836512</v>
      </c>
      <c r="U60" s="85">
        <f t="shared" si="95"/>
        <v>-0.7273800738007381</v>
      </c>
      <c r="V60" s="85">
        <f t="shared" si="95"/>
        <v>-1.7566820276497694</v>
      </c>
      <c r="W60" s="85">
        <f>W50/W37</f>
        <v>-1.4736942675159235</v>
      </c>
      <c r="X60" s="85">
        <f>X50/X37</f>
        <v>-8.059318236652524E-2</v>
      </c>
      <c r="AF60" s="85">
        <f t="shared" ref="AF60:AK60" si="96">AF50/AF37</f>
        <v>-1.0452210365853658</v>
      </c>
      <c r="AG60" s="85">
        <f t="shared" si="96"/>
        <v>-0.84740585774058585</v>
      </c>
      <c r="AH60" s="85">
        <f t="shared" si="96"/>
        <v>-0.63589221014492758</v>
      </c>
      <c r="AI60" s="85">
        <f t="shared" si="96"/>
        <v>-0.50387888707037631</v>
      </c>
      <c r="AJ60" s="85">
        <f t="shared" si="96"/>
        <v>-0.42512185377546946</v>
      </c>
      <c r="AK60" s="85">
        <f t="shared" si="96"/>
        <v>-0.80177712800519807</v>
      </c>
      <c r="AL60" s="93">
        <f>AL50/AL37</f>
        <v>8.2240390721798298E-2</v>
      </c>
      <c r="AM60" s="93">
        <f t="shared" ref="AM60:AU60" si="97">AM50/AM37</f>
        <v>5.7169260056056048E-2</v>
      </c>
      <c r="AN60" s="93">
        <f t="shared" si="97"/>
        <v>5.6068423692013272E-2</v>
      </c>
      <c r="AO60" s="93">
        <f t="shared" si="97"/>
        <v>8.943203239601713E-2</v>
      </c>
      <c r="AP60" s="93">
        <f t="shared" si="97"/>
        <v>0.1019635906600196</v>
      </c>
      <c r="AQ60" s="93">
        <f t="shared" si="97"/>
        <v>0.12359523268991686</v>
      </c>
      <c r="AR60" s="93">
        <f t="shared" si="97"/>
        <v>0.15025494945719342</v>
      </c>
      <c r="AS60" s="93">
        <f t="shared" si="97"/>
        <v>0.18759334860427945</v>
      </c>
      <c r="AT60" s="93">
        <f t="shared" si="97"/>
        <v>0.23584045487406322</v>
      </c>
      <c r="AU60" s="93">
        <f t="shared" si="97"/>
        <v>0.30285183566474561</v>
      </c>
    </row>
    <row r="61" spans="2:99">
      <c r="X61" s="1"/>
    </row>
    <row r="62" spans="2:99" ht="15">
      <c r="B62" s="81" t="s">
        <v>59</v>
      </c>
      <c r="C62" s="81"/>
      <c r="D62" s="81"/>
      <c r="E62" s="81"/>
      <c r="F62" s="81"/>
      <c r="G62" s="81"/>
      <c r="H62" s="81"/>
      <c r="I62" s="81"/>
      <c r="J62" s="81"/>
      <c r="K62" s="81"/>
      <c r="L62" s="81"/>
      <c r="M62" s="81"/>
      <c r="N62" s="81">
        <v>83.866</v>
      </c>
      <c r="O62" s="81">
        <v>107.367</v>
      </c>
      <c r="P62" s="81">
        <v>148.28800000000001</v>
      </c>
      <c r="Q62" s="81">
        <v>138.96899999999999</v>
      </c>
      <c r="R62" s="81">
        <v>118.048</v>
      </c>
      <c r="S62" s="81">
        <v>133.471</v>
      </c>
      <c r="T62" s="81">
        <v>181.08699999999999</v>
      </c>
      <c r="U62" s="81">
        <v>443.34899999999999</v>
      </c>
      <c r="V62" s="81">
        <v>229.441</v>
      </c>
      <c r="W62" s="81">
        <v>368.09</v>
      </c>
      <c r="X62" s="81">
        <v>415.13</v>
      </c>
      <c r="AH62" s="81"/>
      <c r="AI62" s="81">
        <f>N62</f>
        <v>83.866</v>
      </c>
      <c r="AJ62" s="81">
        <f>R62</f>
        <v>118.048</v>
      </c>
      <c r="AK62" s="81">
        <f>V62</f>
        <v>229.441</v>
      </c>
      <c r="AL62" s="92">
        <f>SUM(AK62:AK64)+AL50</f>
        <v>675.49326966182082</v>
      </c>
      <c r="AM62" s="92">
        <f t="shared" ref="AM62:AU62" si="98">AL62+AM50</f>
        <v>706.52815679639639</v>
      </c>
      <c r="AN62" s="92">
        <f t="shared" si="98"/>
        <v>744.75994741798058</v>
      </c>
      <c r="AO62" s="92">
        <f t="shared" si="98"/>
        <v>819.42644700637265</v>
      </c>
      <c r="AP62" s="92">
        <f t="shared" si="98"/>
        <v>919.95404048828755</v>
      </c>
      <c r="AQ62" s="92">
        <f t="shared" si="98"/>
        <v>1061.9858663454331</v>
      </c>
      <c r="AR62" s="92">
        <f t="shared" si="98"/>
        <v>1260.56108357987</v>
      </c>
      <c r="AS62" s="92">
        <f t="shared" si="98"/>
        <v>1541.4066916328661</v>
      </c>
      <c r="AT62" s="92">
        <f t="shared" si="98"/>
        <v>1935.1372125580833</v>
      </c>
      <c r="AU62" s="92">
        <f t="shared" si="98"/>
        <v>2489.8614173693131</v>
      </c>
      <c r="AW62" s="72" t="s">
        <v>103</v>
      </c>
      <c r="AZ62" s="45" t="s">
        <v>126</v>
      </c>
      <c r="BA62" s="46"/>
      <c r="BB62" s="73" t="s">
        <v>102</v>
      </c>
      <c r="BC62" s="46"/>
      <c r="BD62" s="47" t="s">
        <v>104</v>
      </c>
      <c r="BE62" s="48">
        <v>0.29749999999999999</v>
      </c>
      <c r="BF62" s="46"/>
    </row>
    <row r="63" spans="2:99" ht="13.5" customHeight="1">
      <c r="B63" s="81" t="s">
        <v>217</v>
      </c>
      <c r="C63" s="81"/>
      <c r="D63" s="81"/>
      <c r="E63" s="81"/>
      <c r="F63" s="81"/>
      <c r="G63" s="81"/>
      <c r="H63" s="81"/>
      <c r="I63" s="81"/>
      <c r="J63" s="81"/>
      <c r="K63" s="81"/>
      <c r="L63" s="81"/>
      <c r="M63" s="81"/>
      <c r="N63" s="81">
        <v>8.36</v>
      </c>
      <c r="O63" s="81">
        <v>8.8000000000000007</v>
      </c>
      <c r="P63" s="81">
        <v>8.8019999999999996</v>
      </c>
      <c r="Q63" s="81">
        <v>6.5250000000000004</v>
      </c>
      <c r="R63" s="81">
        <v>6.5979999999999999</v>
      </c>
      <c r="S63" s="81">
        <v>6.6070000000000002</v>
      </c>
      <c r="T63" s="81">
        <v>6.3159999999999998</v>
      </c>
      <c r="U63" s="81">
        <v>0.90600000000000003</v>
      </c>
      <c r="V63" s="81">
        <v>0.64200000000000002</v>
      </c>
      <c r="W63" s="81">
        <v>0.89600000000000002</v>
      </c>
      <c r="X63" s="81">
        <v>1.891</v>
      </c>
      <c r="AH63" s="81"/>
      <c r="AI63" s="81">
        <f t="shared" ref="AI63:AI90" si="99">N63</f>
        <v>8.36</v>
      </c>
      <c r="AJ63" s="81">
        <f t="shared" ref="AJ63:AJ90" si="100">R63</f>
        <v>6.5979999999999999</v>
      </c>
      <c r="AK63" s="81">
        <f t="shared" ref="AK63:AK90" si="101">V63</f>
        <v>0.64200000000000002</v>
      </c>
      <c r="AW63" s="46">
        <v>2025</v>
      </c>
      <c r="AX63" s="46">
        <v>2026</v>
      </c>
      <c r="AZ63" s="45" t="s">
        <v>1261</v>
      </c>
      <c r="BA63" s="46"/>
      <c r="BB63" s="46">
        <v>2025</v>
      </c>
      <c r="BC63" s="46"/>
      <c r="BD63" s="47" t="s">
        <v>105</v>
      </c>
      <c r="BE63" s="48">
        <v>2.2499999999999999E-2</v>
      </c>
      <c r="BF63" s="46"/>
    </row>
    <row r="64" spans="2:99" ht="13.5" customHeight="1">
      <c r="B64" s="81" t="s">
        <v>60</v>
      </c>
      <c r="C64" s="81"/>
      <c r="D64" s="81"/>
      <c r="E64" s="81"/>
      <c r="F64" s="81"/>
      <c r="G64" s="81"/>
      <c r="H64" s="81"/>
      <c r="I64" s="81"/>
      <c r="J64" s="81"/>
      <c r="K64" s="81"/>
      <c r="L64" s="81"/>
      <c r="M64" s="81"/>
      <c r="N64" s="81">
        <v>215.041</v>
      </c>
      <c r="O64" s="81">
        <v>168.21799999999999</v>
      </c>
      <c r="P64" s="81">
        <v>101.102</v>
      </c>
      <c r="Q64" s="81">
        <v>103.255</v>
      </c>
      <c r="R64" s="81">
        <v>104.027</v>
      </c>
      <c r="S64" s="81">
        <v>92.623999999999995</v>
      </c>
      <c r="T64" s="81">
        <v>90.45</v>
      </c>
      <c r="U64" s="81">
        <v>233.97499999999999</v>
      </c>
      <c r="V64" s="81">
        <v>410.649</v>
      </c>
      <c r="W64" s="81">
        <v>362.745</v>
      </c>
      <c r="X64" s="81">
        <v>450.28800000000001</v>
      </c>
      <c r="AH64" s="81"/>
      <c r="AI64" s="81">
        <f t="shared" si="99"/>
        <v>215.041</v>
      </c>
      <c r="AJ64" s="81">
        <f t="shared" si="100"/>
        <v>104.027</v>
      </c>
      <c r="AK64" s="81">
        <f t="shared" si="101"/>
        <v>410.649</v>
      </c>
      <c r="AL64" s="93"/>
      <c r="AM64" s="93"/>
      <c r="AN64" s="93"/>
      <c r="AO64" s="93"/>
      <c r="AP64" s="93"/>
      <c r="AQ64" s="93"/>
      <c r="AR64" s="93"/>
      <c r="AS64" s="93"/>
      <c r="AT64" s="93"/>
      <c r="AU64" s="93"/>
      <c r="AW64" s="50">
        <f>SUM(AJ62:AJ67)-AJ71-AJ77+AJ68+AJ70</f>
        <v>530.26700000000005</v>
      </c>
      <c r="AX64" s="50">
        <f>SUM(AK62:AK67)-AK71-AK77+AK68+AK70</f>
        <v>1032.1420000000001</v>
      </c>
      <c r="AZ64" s="50">
        <f>AVERAGE(AW64:AX64)</f>
        <v>781.20450000000005</v>
      </c>
      <c r="BA64" s="46"/>
      <c r="BB64" s="98">
        <f>AVERAGE(AL43)*(1-AL59)</f>
        <v>-157.24375981156555</v>
      </c>
      <c r="BC64" s="46"/>
      <c r="BD64" s="47" t="s">
        <v>106</v>
      </c>
      <c r="BE64" s="48">
        <v>4.4699999999999997E-2</v>
      </c>
      <c r="BF64" s="46"/>
    </row>
    <row r="65" spans="2:58" ht="13.5" customHeight="1">
      <c r="B65" s="81" t="s">
        <v>218</v>
      </c>
      <c r="C65" s="81"/>
      <c r="D65" s="81"/>
      <c r="E65" s="81"/>
      <c r="F65" s="81"/>
      <c r="G65" s="81"/>
      <c r="H65" s="81"/>
      <c r="I65" s="81"/>
      <c r="J65" s="81"/>
      <c r="K65" s="81"/>
      <c r="L65" s="81"/>
      <c r="M65" s="81"/>
      <c r="N65" s="81">
        <v>43.32</v>
      </c>
      <c r="O65" s="81">
        <v>38.527000000000001</v>
      </c>
      <c r="P65" s="81">
        <v>43.926000000000002</v>
      </c>
      <c r="Q65" s="81">
        <v>38.853000000000002</v>
      </c>
      <c r="R65" s="81">
        <v>55.832999999999998</v>
      </c>
      <c r="S65" s="81">
        <v>74.662999999999997</v>
      </c>
      <c r="T65" s="81">
        <v>51.633000000000003</v>
      </c>
      <c r="U65" s="81">
        <v>46.332000000000001</v>
      </c>
      <c r="V65" s="81">
        <v>83.528000000000006</v>
      </c>
      <c r="W65" s="81">
        <v>61.604999999999997</v>
      </c>
      <c r="X65" s="81">
        <v>59.87</v>
      </c>
      <c r="AH65" s="81"/>
      <c r="AI65" s="81">
        <f t="shared" si="99"/>
        <v>43.32</v>
      </c>
      <c r="AJ65" s="81">
        <f t="shared" si="100"/>
        <v>55.832999999999998</v>
      </c>
      <c r="AK65" s="81">
        <f t="shared" si="101"/>
        <v>83.528000000000006</v>
      </c>
      <c r="AL65" s="93"/>
      <c r="AM65" s="93"/>
      <c r="AN65" s="93"/>
      <c r="AO65" s="93"/>
      <c r="AP65" s="93"/>
      <c r="AQ65" s="93"/>
      <c r="AR65" s="93"/>
      <c r="AS65" s="93"/>
      <c r="AT65" s="93"/>
      <c r="AU65" s="93"/>
      <c r="AX65" s="46"/>
      <c r="AY65" s="46"/>
      <c r="AZ65" s="46"/>
      <c r="BA65" s="46"/>
      <c r="BB65" s="51">
        <f>BB64/AZ64</f>
        <v>-0.20128373532354915</v>
      </c>
      <c r="BC65" s="46"/>
      <c r="BD65" s="47" t="s">
        <v>107</v>
      </c>
      <c r="BE65" s="48">
        <f>4.6%-BE64</f>
        <v>1.3000000000000025E-3</v>
      </c>
      <c r="BF65" s="46"/>
    </row>
    <row r="66" spans="2:58" ht="13.5" customHeight="1">
      <c r="B66" s="81" t="s">
        <v>219</v>
      </c>
      <c r="C66" s="81"/>
      <c r="D66" s="81"/>
      <c r="E66" s="81"/>
      <c r="F66" s="81"/>
      <c r="G66" s="81"/>
      <c r="H66" s="81"/>
      <c r="I66" s="81"/>
      <c r="J66" s="81"/>
      <c r="K66" s="81"/>
      <c r="L66" s="81"/>
      <c r="M66" s="81"/>
      <c r="N66" s="81">
        <v>0</v>
      </c>
      <c r="O66" s="81">
        <v>0</v>
      </c>
      <c r="P66" s="81">
        <v>0</v>
      </c>
      <c r="Q66" s="81">
        <v>0</v>
      </c>
      <c r="R66" s="81">
        <v>0</v>
      </c>
      <c r="S66" s="81">
        <v>0</v>
      </c>
      <c r="T66" s="81">
        <v>0</v>
      </c>
      <c r="U66" s="81">
        <v>0</v>
      </c>
      <c r="V66" s="81">
        <v>6.1180000000000003</v>
      </c>
      <c r="W66" s="81">
        <v>9.343</v>
      </c>
      <c r="X66" s="81">
        <v>8.8520000000000003</v>
      </c>
      <c r="AH66" s="81"/>
      <c r="AI66" s="81">
        <f t="shared" si="99"/>
        <v>0</v>
      </c>
      <c r="AJ66" s="81">
        <f t="shared" si="100"/>
        <v>0</v>
      </c>
      <c r="AK66" s="81">
        <f t="shared" si="101"/>
        <v>6.1180000000000003</v>
      </c>
      <c r="AL66" s="93"/>
      <c r="AM66" s="93"/>
      <c r="AN66" s="93"/>
      <c r="AO66" s="93"/>
      <c r="AP66" s="93"/>
      <c r="AQ66" s="93"/>
      <c r="AR66" s="93"/>
      <c r="AS66" s="93"/>
      <c r="AT66" s="93"/>
      <c r="AU66" s="93"/>
      <c r="AW66" s="52" t="s">
        <v>116</v>
      </c>
      <c r="AX66" s="46"/>
      <c r="AY66" s="46"/>
      <c r="BA66" s="46"/>
      <c r="BB66" s="46"/>
      <c r="BC66" s="46"/>
      <c r="BD66" s="47" t="s">
        <v>108</v>
      </c>
      <c r="BE66" s="53">
        <f>AZ74</f>
        <v>2.9471352753836424</v>
      </c>
      <c r="BF66" s="46"/>
    </row>
    <row r="67" spans="2:58" ht="13.5" customHeight="1">
      <c r="B67" s="81" t="s">
        <v>220</v>
      </c>
      <c r="C67" s="81"/>
      <c r="D67" s="81"/>
      <c r="E67" s="81"/>
      <c r="F67" s="81"/>
      <c r="G67" s="81"/>
      <c r="H67" s="81"/>
      <c r="I67" s="81"/>
      <c r="J67" s="81"/>
      <c r="K67" s="81"/>
      <c r="L67" s="81"/>
      <c r="M67" s="81"/>
      <c r="N67" s="81">
        <v>19.564</v>
      </c>
      <c r="O67" s="81">
        <v>23.044</v>
      </c>
      <c r="P67" s="81">
        <v>24.628</v>
      </c>
      <c r="Q67" s="81">
        <v>13.992000000000001</v>
      </c>
      <c r="R67" s="81">
        <v>17.719000000000001</v>
      </c>
      <c r="S67" s="81">
        <v>17.446999999999999</v>
      </c>
      <c r="T67" s="81">
        <v>25.977</v>
      </c>
      <c r="U67" s="81">
        <v>29.581</v>
      </c>
      <c r="V67" s="81">
        <v>44.984000000000002</v>
      </c>
      <c r="W67" s="81">
        <v>46.298999999999999</v>
      </c>
      <c r="X67" s="81">
        <v>62.759</v>
      </c>
      <c r="AH67" s="81"/>
      <c r="AI67" s="81">
        <f t="shared" si="99"/>
        <v>19.564</v>
      </c>
      <c r="AJ67" s="81">
        <f t="shared" si="100"/>
        <v>17.719000000000001</v>
      </c>
      <c r="AK67" s="81">
        <f t="shared" si="101"/>
        <v>44.984000000000002</v>
      </c>
      <c r="AL67" s="93"/>
      <c r="AM67" s="93"/>
      <c r="AN67" s="93"/>
      <c r="AO67" s="93"/>
      <c r="AP67" s="93"/>
      <c r="AQ67" s="93"/>
      <c r="AR67" s="93"/>
      <c r="AS67" s="93"/>
      <c r="AT67" s="93"/>
      <c r="AU67" s="93"/>
      <c r="AW67" s="60" t="s">
        <v>117</v>
      </c>
      <c r="AZ67" s="49">
        <f>Main!C5</f>
        <v>6267.7234199999994</v>
      </c>
      <c r="BA67" s="46"/>
      <c r="BC67" s="46"/>
      <c r="BD67" s="47" t="s">
        <v>109</v>
      </c>
      <c r="BE67" s="48">
        <f>+BE64+(BE65*BE66)</f>
        <v>4.853127585799874E-2</v>
      </c>
      <c r="BF67" s="46"/>
    </row>
    <row r="68" spans="2:58" ht="13.5" customHeight="1">
      <c r="B68" s="81" t="s">
        <v>253</v>
      </c>
      <c r="C68" s="81"/>
      <c r="D68" s="81"/>
      <c r="E68" s="81"/>
      <c r="F68" s="81"/>
      <c r="G68" s="81"/>
      <c r="H68" s="81"/>
      <c r="I68" s="81"/>
      <c r="J68" s="81"/>
      <c r="K68" s="81"/>
      <c r="L68" s="81"/>
      <c r="M68" s="81"/>
      <c r="N68" s="81">
        <v>113.429</v>
      </c>
      <c r="O68" s="81">
        <v>111.33799999999999</v>
      </c>
      <c r="P68" s="81">
        <v>113.227</v>
      </c>
      <c r="Q68" s="81">
        <v>116.92</v>
      </c>
      <c r="R68" s="81">
        <v>121.749</v>
      </c>
      <c r="S68" s="81">
        <v>122.473</v>
      </c>
      <c r="T68" s="81">
        <v>131.28800000000001</v>
      </c>
      <c r="U68" s="81">
        <v>145.084</v>
      </c>
      <c r="V68" s="81">
        <v>150.57300000000001</v>
      </c>
      <c r="W68" s="81">
        <v>159.14500000000001</v>
      </c>
      <c r="X68" s="81">
        <v>176.09</v>
      </c>
      <c r="AH68" s="81"/>
      <c r="AI68" s="81">
        <f t="shared" si="99"/>
        <v>113.429</v>
      </c>
      <c r="AJ68" s="81">
        <f t="shared" si="100"/>
        <v>121.749</v>
      </c>
      <c r="AK68" s="81">
        <f t="shared" si="101"/>
        <v>150.57300000000001</v>
      </c>
      <c r="AL68" s="93"/>
      <c r="AM68" s="93"/>
      <c r="AN68" s="93"/>
      <c r="AO68" s="93"/>
      <c r="AP68" s="93"/>
      <c r="AQ68" s="93"/>
      <c r="AR68" s="93"/>
      <c r="AS68" s="93"/>
      <c r="AT68" s="93"/>
      <c r="AU68" s="93"/>
      <c r="AW68" s="60" t="s">
        <v>118</v>
      </c>
      <c r="AZ68" s="59">
        <f>Main!C7/(Main!C7+AZ67)</f>
        <v>6.674455633524802E-2</v>
      </c>
      <c r="BA68" s="52"/>
      <c r="BC68" s="46"/>
      <c r="BD68" s="47"/>
      <c r="BE68" s="46"/>
      <c r="BF68" s="46"/>
    </row>
    <row r="69" spans="2:58" ht="13.5" customHeight="1">
      <c r="B69" s="81" t="s">
        <v>221</v>
      </c>
      <c r="C69" s="81"/>
      <c r="D69" s="81"/>
      <c r="E69" s="81"/>
      <c r="F69" s="81"/>
      <c r="G69" s="81"/>
      <c r="H69" s="81"/>
      <c r="I69" s="81"/>
      <c r="J69" s="81"/>
      <c r="K69" s="81"/>
      <c r="L69" s="81"/>
      <c r="M69" s="81"/>
      <c r="N69" s="81">
        <v>14.973000000000001</v>
      </c>
      <c r="O69" s="81">
        <v>16.065999999999999</v>
      </c>
      <c r="P69" s="81">
        <v>17.321999999999999</v>
      </c>
      <c r="Q69" s="81">
        <v>18.259</v>
      </c>
      <c r="R69" s="81">
        <v>18.974</v>
      </c>
      <c r="S69" s="81">
        <v>19.783000000000001</v>
      </c>
      <c r="T69" s="81">
        <v>20.567</v>
      </c>
      <c r="U69" s="81">
        <v>21.062000000000001</v>
      </c>
      <c r="V69" s="81">
        <v>21.475000000000001</v>
      </c>
      <c r="W69" s="81">
        <v>20.98</v>
      </c>
      <c r="X69" s="81">
        <v>22.050999999999998</v>
      </c>
      <c r="AH69" s="81"/>
      <c r="AI69" s="81">
        <f t="shared" si="99"/>
        <v>14.973000000000001</v>
      </c>
      <c r="AJ69" s="81">
        <f t="shared" si="100"/>
        <v>18.974</v>
      </c>
      <c r="AK69" s="81">
        <f t="shared" si="101"/>
        <v>21.475000000000001</v>
      </c>
      <c r="AL69" s="93"/>
      <c r="AM69" s="93"/>
      <c r="AN69" s="93"/>
      <c r="AO69" s="93"/>
      <c r="AP69" s="93"/>
      <c r="AQ69" s="93"/>
      <c r="AR69" s="93"/>
      <c r="AS69" s="93"/>
      <c r="AT69" s="93"/>
      <c r="AU69" s="93"/>
      <c r="AW69" s="60" t="s">
        <v>119</v>
      </c>
      <c r="AZ69" s="59">
        <f>AZ67/(AZ67+Main!C7)</f>
        <v>0.93325544366475199</v>
      </c>
      <c r="BA69" s="46"/>
      <c r="BC69" s="46"/>
      <c r="BD69" s="47" t="s">
        <v>110</v>
      </c>
      <c r="BE69" s="49">
        <f>NPV(BE67,AL50:CS50)</f>
        <v>10985.516963947499</v>
      </c>
      <c r="BF69" s="46"/>
    </row>
    <row r="70" spans="2:58" ht="13.5" customHeight="1">
      <c r="B70" s="81" t="s">
        <v>222</v>
      </c>
      <c r="C70" s="81"/>
      <c r="D70" s="81"/>
      <c r="E70" s="81"/>
      <c r="F70" s="81"/>
      <c r="G70" s="81"/>
      <c r="H70" s="81"/>
      <c r="I70" s="81"/>
      <c r="J70" s="81"/>
      <c r="K70" s="81"/>
      <c r="L70" s="81"/>
      <c r="M70" s="81"/>
      <c r="N70" s="81">
        <v>136.256</v>
      </c>
      <c r="O70" s="81">
        <v>137.11000000000001</v>
      </c>
      <c r="P70" s="81">
        <v>137.32499999999999</v>
      </c>
      <c r="Q70" s="81">
        <v>137.411</v>
      </c>
      <c r="R70" s="81">
        <v>136.34899999999999</v>
      </c>
      <c r="S70" s="81">
        <v>138.49</v>
      </c>
      <c r="T70" s="81">
        <v>138.64400000000001</v>
      </c>
      <c r="U70" s="81">
        <v>138.95400000000001</v>
      </c>
      <c r="V70" s="81">
        <v>143.452</v>
      </c>
      <c r="W70" s="81">
        <v>143.11099999999999</v>
      </c>
      <c r="X70" s="81">
        <v>142.70099999999999</v>
      </c>
      <c r="AH70" s="81"/>
      <c r="AI70" s="81">
        <f t="shared" si="99"/>
        <v>136.256</v>
      </c>
      <c r="AJ70" s="81">
        <f t="shared" si="100"/>
        <v>136.34899999999999</v>
      </c>
      <c r="AK70" s="81">
        <f t="shared" si="101"/>
        <v>143.452</v>
      </c>
      <c r="AL70" s="93"/>
      <c r="AM70" s="93"/>
      <c r="AN70" s="93"/>
      <c r="AO70" s="93"/>
      <c r="AP70" s="93"/>
      <c r="AQ70" s="93"/>
      <c r="AR70" s="93"/>
      <c r="AS70" s="93"/>
      <c r="AT70" s="93"/>
      <c r="AU70" s="93"/>
      <c r="AW70" s="61" t="s">
        <v>134</v>
      </c>
      <c r="AX70" s="34"/>
      <c r="AY70" s="34"/>
      <c r="AZ70" s="62">
        <f>AK86/AK89</f>
        <v>2.3716055213844855</v>
      </c>
      <c r="BA70" s="46"/>
      <c r="BB70" s="46"/>
      <c r="BC70" s="46"/>
      <c r="BD70" s="47" t="s">
        <v>71</v>
      </c>
      <c r="BE70" s="50">
        <f>Main!C4</f>
        <v>359.59399999999999</v>
      </c>
      <c r="BF70" s="63"/>
    </row>
    <row r="71" spans="2:58" ht="13.5" customHeight="1">
      <c r="B71" s="81" t="s">
        <v>223</v>
      </c>
      <c r="C71" s="81"/>
      <c r="D71" s="81"/>
      <c r="E71" s="81"/>
      <c r="F71" s="81"/>
      <c r="G71" s="81"/>
      <c r="H71" s="81"/>
      <c r="I71" s="81"/>
      <c r="J71" s="81"/>
      <c r="K71" s="81"/>
      <c r="L71" s="81"/>
      <c r="M71" s="81"/>
      <c r="N71" s="81">
        <v>32.448</v>
      </c>
      <c r="O71" s="81">
        <v>31.402999999999999</v>
      </c>
      <c r="P71" s="81">
        <v>30.405000000000001</v>
      </c>
      <c r="Q71" s="81">
        <v>29.231000000000002</v>
      </c>
      <c r="R71" s="81">
        <v>27.452000000000002</v>
      </c>
      <c r="S71" s="81">
        <v>27.76</v>
      </c>
      <c r="T71" s="81">
        <v>26.623999999999999</v>
      </c>
      <c r="U71" s="81">
        <v>25.536999999999999</v>
      </c>
      <c r="V71" s="81">
        <v>26.632999999999999</v>
      </c>
      <c r="W71" s="81">
        <v>25.155999999999999</v>
      </c>
      <c r="X71" s="81">
        <v>28.431000000000001</v>
      </c>
      <c r="AH71" s="81"/>
      <c r="AI71" s="81">
        <f t="shared" si="99"/>
        <v>32.448</v>
      </c>
      <c r="AJ71" s="81">
        <f t="shared" si="100"/>
        <v>27.452000000000002</v>
      </c>
      <c r="AK71" s="81">
        <f t="shared" si="101"/>
        <v>26.632999999999999</v>
      </c>
      <c r="BA71" s="46"/>
      <c r="BB71" s="46"/>
      <c r="BC71" s="46"/>
      <c r="BD71" s="47" t="s">
        <v>111</v>
      </c>
      <c r="BE71" s="53">
        <f>BE69/BE70</f>
        <v>30.549778260892836</v>
      </c>
      <c r="BF71" s="45"/>
    </row>
    <row r="72" spans="2:58" ht="13.5" customHeight="1">
      <c r="B72" s="81" t="s">
        <v>225</v>
      </c>
      <c r="C72" s="81"/>
      <c r="D72" s="81"/>
      <c r="E72" s="81"/>
      <c r="F72" s="81"/>
      <c r="G72" s="81"/>
      <c r="H72" s="81"/>
      <c r="I72" s="81"/>
      <c r="J72" s="81"/>
      <c r="K72" s="81"/>
      <c r="L72" s="81"/>
      <c r="M72" s="81"/>
      <c r="N72" s="81">
        <v>9.9719999999999995</v>
      </c>
      <c r="O72" s="81">
        <v>9.5640000000000001</v>
      </c>
      <c r="P72" s="81">
        <v>9.5389999999999997</v>
      </c>
      <c r="Q72" s="81">
        <v>4.4370000000000003</v>
      </c>
      <c r="R72" s="81">
        <v>5.3479999999999999</v>
      </c>
      <c r="S72" s="81">
        <v>5.5259999999999998</v>
      </c>
      <c r="T72" s="81">
        <v>5.5270000000000001</v>
      </c>
      <c r="U72" s="81">
        <v>5.367</v>
      </c>
      <c r="V72" s="81">
        <v>5.4710000000000001</v>
      </c>
      <c r="W72" s="81">
        <v>6.61</v>
      </c>
      <c r="X72" s="81">
        <v>6.6070000000000002</v>
      </c>
      <c r="AH72" s="81"/>
      <c r="AI72" s="81">
        <f t="shared" si="99"/>
        <v>9.9719999999999995</v>
      </c>
      <c r="AJ72" s="81">
        <f t="shared" si="100"/>
        <v>5.3479999999999999</v>
      </c>
      <c r="AK72" s="81">
        <f t="shared" si="101"/>
        <v>5.4710000000000001</v>
      </c>
      <c r="AW72" s="34" t="s">
        <v>115</v>
      </c>
      <c r="AZ72" s="46"/>
      <c r="BA72" s="52"/>
      <c r="BB72" s="52"/>
      <c r="BC72" s="52"/>
      <c r="BD72" s="47" t="s">
        <v>112</v>
      </c>
      <c r="BE72" s="53">
        <f>Main!C3</f>
        <v>17.43</v>
      </c>
      <c r="BF72" s="54"/>
    </row>
    <row r="73" spans="2:58" ht="13.5" customHeight="1">
      <c r="B73" s="81" t="s">
        <v>224</v>
      </c>
      <c r="C73" s="81"/>
      <c r="D73" s="81"/>
      <c r="E73" s="81"/>
      <c r="F73" s="81"/>
      <c r="G73" s="81"/>
      <c r="H73" s="81"/>
      <c r="I73" s="81"/>
      <c r="J73" s="81"/>
      <c r="K73" s="81"/>
      <c r="L73" s="81"/>
      <c r="M73" s="81"/>
      <c r="N73" s="81">
        <v>22.338999999999999</v>
      </c>
      <c r="O73" s="81">
        <v>20.966000000000001</v>
      </c>
      <c r="P73" s="81">
        <v>21.702999999999999</v>
      </c>
      <c r="Q73" s="81">
        <v>20.829000000000001</v>
      </c>
      <c r="R73" s="81">
        <v>19.751999999999999</v>
      </c>
      <c r="S73" s="81">
        <v>17.927</v>
      </c>
      <c r="T73" s="81">
        <v>16.099</v>
      </c>
      <c r="U73" s="81">
        <v>13.95</v>
      </c>
      <c r="V73" s="81">
        <v>14.587999999999999</v>
      </c>
      <c r="W73" s="81">
        <v>39.506999999999998</v>
      </c>
      <c r="X73" s="81">
        <v>48.871000000000002</v>
      </c>
      <c r="AH73" s="81"/>
      <c r="AI73" s="81">
        <f t="shared" si="99"/>
        <v>22.338999999999999</v>
      </c>
      <c r="AJ73" s="81">
        <f t="shared" si="100"/>
        <v>19.751999999999999</v>
      </c>
      <c r="AK73" s="81">
        <f t="shared" si="101"/>
        <v>14.587999999999999</v>
      </c>
      <c r="AW73" s="64" t="s">
        <v>106</v>
      </c>
      <c r="AZ73" s="59">
        <v>4.4699999999999997E-2</v>
      </c>
      <c r="BA73" s="46"/>
      <c r="BB73" s="46"/>
      <c r="BC73" s="46"/>
      <c r="BD73" s="47" t="s">
        <v>113</v>
      </c>
      <c r="BE73" s="48">
        <f>BE71/BE72-1</f>
        <v>0.75271246476723097</v>
      </c>
      <c r="BF73" s="88" t="str">
        <f>IF(BE73&gt;0,"Upside","Downside")</f>
        <v>Upside</v>
      </c>
    </row>
    <row r="74" spans="2:58" ht="13.5" customHeight="1">
      <c r="B74" s="81" t="s">
        <v>226</v>
      </c>
      <c r="C74" s="81"/>
      <c r="D74" s="81"/>
      <c r="E74" s="81"/>
      <c r="F74" s="81"/>
      <c r="G74" s="81"/>
      <c r="H74" s="81"/>
      <c r="I74" s="81"/>
      <c r="J74" s="81"/>
      <c r="K74" s="81"/>
      <c r="L74" s="81"/>
      <c r="M74" s="81"/>
      <c r="N74" s="81">
        <v>2.4289999999999998</v>
      </c>
      <c r="O74" s="81">
        <v>2.1989999999999998</v>
      </c>
      <c r="P74" s="81">
        <f>2.084</f>
        <v>2.0840000000000001</v>
      </c>
      <c r="Q74" s="81">
        <v>2.0830000000000002</v>
      </c>
      <c r="R74" s="81">
        <v>1.9470000000000001</v>
      </c>
      <c r="S74" s="81">
        <v>1.615</v>
      </c>
      <c r="T74" s="81">
        <v>2.2130000000000001</v>
      </c>
      <c r="U74" s="81">
        <v>1.9630000000000001</v>
      </c>
      <c r="V74" s="81">
        <v>8.1319999999999997</v>
      </c>
      <c r="W74" s="81">
        <v>7.944</v>
      </c>
      <c r="X74" s="81">
        <v>7.423</v>
      </c>
      <c r="AH74" s="81"/>
      <c r="AI74" s="81">
        <f t="shared" si="99"/>
        <v>2.4289999999999998</v>
      </c>
      <c r="AJ74" s="81">
        <f t="shared" si="100"/>
        <v>1.9470000000000001</v>
      </c>
      <c r="AK74" s="81">
        <f t="shared" si="101"/>
        <v>8.1319999999999997</v>
      </c>
      <c r="AW74" s="64" t="s">
        <v>108</v>
      </c>
      <c r="AZ74" s="53">
        <f>'Notes | Quant Analysis'!S244</f>
        <v>2.9471352753836424</v>
      </c>
      <c r="BD74" s="99" t="str" cm="1">
        <f t="array" ref="BD74">_xlfn.IFS(BE73&gt;=25%,"Strong Buy",BE73&gt;=10.00001%,"Buy",AND(BE73&lt;=10%,BE73&gt;=-4.9999%),"Hold",AND(BE73&lt;=-5%,BE73&gt;=-14.999999%),"Sell",BE73&lt;=-15%,"Strong Sell")</f>
        <v>Strong Buy</v>
      </c>
      <c r="BE74" s="99"/>
    </row>
    <row r="75" spans="2:58" ht="13.5" customHeight="1">
      <c r="B75" s="82" t="s">
        <v>127</v>
      </c>
      <c r="C75" s="82"/>
      <c r="D75" s="82"/>
      <c r="E75" s="82"/>
      <c r="F75" s="82"/>
      <c r="G75" s="82"/>
      <c r="H75" s="82"/>
      <c r="I75" s="82"/>
      <c r="J75" s="82"/>
      <c r="K75" s="82"/>
      <c r="L75" s="82"/>
      <c r="M75" s="82"/>
      <c r="N75" s="82">
        <f t="shared" ref="N75:W75" si="102">SUM(N62:N74)</f>
        <v>701.99699999999996</v>
      </c>
      <c r="O75" s="82">
        <f t="shared" si="102"/>
        <v>674.60199999999998</v>
      </c>
      <c r="P75" s="82">
        <f t="shared" si="102"/>
        <v>658.35099999999977</v>
      </c>
      <c r="Q75" s="82">
        <f t="shared" si="102"/>
        <v>630.7639999999999</v>
      </c>
      <c r="R75" s="82">
        <f t="shared" si="102"/>
        <v>633.79599999999982</v>
      </c>
      <c r="S75" s="82">
        <f t="shared" si="102"/>
        <v>658.38599999999997</v>
      </c>
      <c r="T75" s="82">
        <f t="shared" si="102"/>
        <v>696.42500000000007</v>
      </c>
      <c r="U75" s="82">
        <f t="shared" si="102"/>
        <v>1106.0600000000002</v>
      </c>
      <c r="V75" s="82">
        <f t="shared" si="102"/>
        <v>1145.6860000000001</v>
      </c>
      <c r="W75" s="82">
        <f t="shared" si="102"/>
        <v>1251.4309999999998</v>
      </c>
      <c r="X75" s="82">
        <f t="shared" ref="X75" si="103">SUM(X62:X74)</f>
        <v>1430.9639999999999</v>
      </c>
      <c r="AH75" s="82"/>
      <c r="AI75" s="82">
        <f t="shared" si="99"/>
        <v>701.99699999999996</v>
      </c>
      <c r="AJ75" s="82">
        <f t="shared" si="100"/>
        <v>633.79599999999982</v>
      </c>
      <c r="AK75" s="82">
        <f t="shared" si="101"/>
        <v>1145.6860000000001</v>
      </c>
      <c r="AW75" s="60" t="s">
        <v>120</v>
      </c>
      <c r="AZ75" s="59">
        <v>7.4999999999999997E-2</v>
      </c>
    </row>
    <row r="76" spans="2:58" ht="13.5" customHeight="1">
      <c r="B76" s="81"/>
      <c r="C76" s="81"/>
      <c r="D76" s="81"/>
      <c r="E76" s="81"/>
      <c r="F76" s="81"/>
      <c r="G76" s="81"/>
      <c r="H76" s="81"/>
      <c r="I76" s="81"/>
      <c r="J76" s="81"/>
      <c r="K76" s="81"/>
      <c r="L76" s="81"/>
      <c r="M76" s="81"/>
      <c r="N76" s="81"/>
      <c r="O76" s="81"/>
      <c r="P76" s="81"/>
      <c r="Q76" s="81"/>
      <c r="R76" s="81"/>
      <c r="S76" s="81"/>
      <c r="T76" s="81"/>
      <c r="U76" s="81"/>
      <c r="V76" s="81"/>
      <c r="W76" s="81"/>
      <c r="X76" s="81"/>
      <c r="AI76" s="81"/>
      <c r="AJ76" s="81"/>
      <c r="AK76" s="81"/>
      <c r="AW76" s="61" t="s">
        <v>121</v>
      </c>
      <c r="AX76" s="46"/>
      <c r="AY76" s="2"/>
      <c r="AZ76" s="62">
        <f>(AZ73+AZ74)*(AZ75-AZ73)</f>
        <v>9.0652608844124377E-2</v>
      </c>
    </row>
    <row r="77" spans="2:58" ht="13.5" customHeight="1">
      <c r="B77" s="81" t="s">
        <v>227</v>
      </c>
      <c r="C77" s="81"/>
      <c r="D77" s="81"/>
      <c r="E77" s="81"/>
      <c r="F77" s="81"/>
      <c r="G77" s="81"/>
      <c r="H77" s="81"/>
      <c r="I77" s="81"/>
      <c r="J77" s="81"/>
      <c r="K77" s="81"/>
      <c r="L77" s="81"/>
      <c r="M77" s="81"/>
      <c r="N77" s="81">
        <v>2.601</v>
      </c>
      <c r="O77" s="81">
        <v>3.1309999999999998</v>
      </c>
      <c r="P77" s="81">
        <v>2.3919999999999999</v>
      </c>
      <c r="Q77" s="81">
        <v>3.5720000000000001</v>
      </c>
      <c r="R77" s="81">
        <v>2.6040000000000001</v>
      </c>
      <c r="S77" s="81">
        <v>4.0970000000000004</v>
      </c>
      <c r="T77" s="81">
        <v>11.053000000000001</v>
      </c>
      <c r="U77" s="81">
        <v>3.448</v>
      </c>
      <c r="V77" s="81">
        <v>10.612</v>
      </c>
      <c r="W77" s="81">
        <v>9.0399999999999991</v>
      </c>
      <c r="X77" s="81">
        <v>10.355</v>
      </c>
      <c r="AH77" s="81"/>
      <c r="AI77" s="81">
        <f t="shared" si="99"/>
        <v>2.601</v>
      </c>
      <c r="AJ77" s="81">
        <f t="shared" si="100"/>
        <v>2.6040000000000001</v>
      </c>
      <c r="AK77" s="81">
        <f t="shared" si="101"/>
        <v>10.612</v>
      </c>
      <c r="AW77" s="66"/>
    </row>
    <row r="78" spans="2:58" ht="13.5" customHeight="1">
      <c r="B78" s="81" t="s">
        <v>228</v>
      </c>
      <c r="C78" s="81"/>
      <c r="D78" s="81"/>
      <c r="E78" s="81"/>
      <c r="F78" s="81"/>
      <c r="G78" s="81"/>
      <c r="H78" s="81"/>
      <c r="I78" s="81"/>
      <c r="J78" s="81"/>
      <c r="K78" s="81"/>
      <c r="L78" s="81"/>
      <c r="M78" s="81"/>
      <c r="N78" s="81">
        <v>44.779000000000003</v>
      </c>
      <c r="O78" s="81">
        <v>43.360999999999997</v>
      </c>
      <c r="P78" s="81">
        <v>56.838999999999999</v>
      </c>
      <c r="Q78" s="81">
        <v>43.67</v>
      </c>
      <c r="R78" s="81">
        <v>42.6</v>
      </c>
      <c r="S78" s="81">
        <v>28.823</v>
      </c>
      <c r="T78" s="81">
        <v>32.442999999999998</v>
      </c>
      <c r="U78" s="81">
        <v>28.652000000000001</v>
      </c>
      <c r="V78" s="81">
        <v>55.874000000000002</v>
      </c>
      <c r="W78" s="81">
        <v>58.539000000000001</v>
      </c>
      <c r="X78" s="81">
        <v>56.078000000000003</v>
      </c>
      <c r="AH78" s="81"/>
      <c r="AI78" s="81">
        <f t="shared" si="99"/>
        <v>44.779000000000003</v>
      </c>
      <c r="AJ78" s="81">
        <f t="shared" si="100"/>
        <v>42.6</v>
      </c>
      <c r="AK78" s="81">
        <f t="shared" si="101"/>
        <v>55.874000000000002</v>
      </c>
      <c r="AW78" s="34" t="s">
        <v>122</v>
      </c>
      <c r="AX78" s="67"/>
      <c r="AZ78" s="58"/>
    </row>
    <row r="79" spans="2:58" ht="13.5" customHeight="1">
      <c r="B79" s="81" t="s">
        <v>229</v>
      </c>
      <c r="C79" s="81"/>
      <c r="D79" s="81"/>
      <c r="E79" s="81"/>
      <c r="F79" s="81"/>
      <c r="G79" s="81"/>
      <c r="H79" s="81"/>
      <c r="I79" s="81"/>
      <c r="J79" s="81"/>
      <c r="K79" s="81"/>
      <c r="L79" s="81"/>
      <c r="M79" s="81"/>
      <c r="N79" s="81">
        <v>72.326999999999998</v>
      </c>
      <c r="O79" s="81">
        <v>63.646000000000001</v>
      </c>
      <c r="P79" s="81">
        <v>64.522999999999996</v>
      </c>
      <c r="Q79" s="81">
        <v>66.462000000000003</v>
      </c>
      <c r="R79" s="81">
        <v>82.275000000000006</v>
      </c>
      <c r="S79" s="81">
        <v>108.336</v>
      </c>
      <c r="T79" s="81">
        <v>148.006</v>
      </c>
      <c r="U79" s="81">
        <v>145.857</v>
      </c>
      <c r="V79" s="81">
        <v>220.572</v>
      </c>
      <c r="W79" s="81">
        <v>230.68199999999999</v>
      </c>
      <c r="X79" s="81">
        <v>281.21499999999997</v>
      </c>
      <c r="AH79" s="81"/>
      <c r="AI79" s="81">
        <f t="shared" si="99"/>
        <v>72.326999999999998</v>
      </c>
      <c r="AJ79" s="81">
        <f t="shared" si="100"/>
        <v>82.275000000000006</v>
      </c>
      <c r="AK79" s="81">
        <f t="shared" si="101"/>
        <v>220.572</v>
      </c>
      <c r="AW79" s="68" t="s">
        <v>122</v>
      </c>
      <c r="AZ79" s="69">
        <v>5.0000000000000001E-3</v>
      </c>
      <c r="BB79" s="65"/>
      <c r="BD79" s="47"/>
    </row>
    <row r="80" spans="2:58" ht="13.5" customHeight="1">
      <c r="B80" s="81" t="s">
        <v>230</v>
      </c>
      <c r="C80" s="81"/>
      <c r="D80" s="81"/>
      <c r="E80" s="81"/>
      <c r="F80" s="81"/>
      <c r="G80" s="81"/>
      <c r="H80" s="81"/>
      <c r="I80" s="81"/>
      <c r="J80" s="81"/>
      <c r="K80" s="81"/>
      <c r="L80" s="81"/>
      <c r="M80" s="81"/>
      <c r="N80" s="81">
        <v>8.9640000000000004</v>
      </c>
      <c r="O80" s="81">
        <v>8.0679999999999996</v>
      </c>
      <c r="P80" s="81">
        <v>7.1710000000000003</v>
      </c>
      <c r="Q80" s="81">
        <v>6.2750000000000004</v>
      </c>
      <c r="R80" s="81">
        <v>5.3780000000000001</v>
      </c>
      <c r="S80" s="81">
        <v>4.4820000000000002</v>
      </c>
      <c r="T80" s="81">
        <v>3.5859999999999999</v>
      </c>
      <c r="U80" s="81">
        <v>2.6890000000000001</v>
      </c>
      <c r="V80" s="81">
        <v>1.7929999999999999</v>
      </c>
      <c r="W80" s="81">
        <v>0.89600000000000002</v>
      </c>
      <c r="X80" s="81">
        <v>0</v>
      </c>
      <c r="AH80" s="81"/>
      <c r="AI80" s="81">
        <f t="shared" si="99"/>
        <v>8.9640000000000004</v>
      </c>
      <c r="AJ80" s="81">
        <f t="shared" si="100"/>
        <v>5.3780000000000001</v>
      </c>
      <c r="AK80" s="81">
        <f t="shared" si="101"/>
        <v>1.7929999999999999</v>
      </c>
      <c r="AW80" s="60" t="s">
        <v>123</v>
      </c>
      <c r="AZ80" s="59">
        <v>1.4999999999999999E-2</v>
      </c>
      <c r="BB80" s="65"/>
      <c r="BC80" s="59"/>
      <c r="BD80" s="47"/>
      <c r="BE80" s="2"/>
      <c r="BF80" s="2"/>
    </row>
    <row r="81" spans="1:99" ht="13.5" customHeight="1">
      <c r="B81" s="81" t="s">
        <v>231</v>
      </c>
      <c r="C81" s="81"/>
      <c r="D81" s="81"/>
      <c r="E81" s="81"/>
      <c r="F81" s="81"/>
      <c r="G81" s="81"/>
      <c r="H81" s="81"/>
      <c r="I81" s="81"/>
      <c r="J81" s="81"/>
      <c r="K81" s="81"/>
      <c r="L81" s="81"/>
      <c r="M81" s="81"/>
      <c r="N81" s="81">
        <v>7.9779999999999998</v>
      </c>
      <c r="O81" s="81">
        <v>8.1750000000000007</v>
      </c>
      <c r="P81" s="81">
        <v>8.7550000000000008</v>
      </c>
      <c r="Q81" s="81">
        <v>9.1050000000000004</v>
      </c>
      <c r="R81" s="81">
        <v>9.2210000000000001</v>
      </c>
      <c r="S81" s="81">
        <v>8.8160000000000007</v>
      </c>
      <c r="T81" s="81">
        <v>8.4030000000000005</v>
      </c>
      <c r="U81" s="81">
        <v>7.9429999999999996</v>
      </c>
      <c r="V81" s="81">
        <v>7.2960000000000003</v>
      </c>
      <c r="W81" s="81">
        <v>3.3919999999999999</v>
      </c>
      <c r="X81" s="81">
        <v>3.6219999999999999</v>
      </c>
      <c r="AH81" s="81"/>
      <c r="AI81" s="81">
        <f t="shared" si="99"/>
        <v>7.9779999999999998</v>
      </c>
      <c r="AJ81" s="81">
        <f t="shared" si="100"/>
        <v>9.2210000000000001</v>
      </c>
      <c r="AK81" s="81">
        <f t="shared" si="101"/>
        <v>7.2960000000000003</v>
      </c>
      <c r="AW81" s="70" t="s">
        <v>124</v>
      </c>
      <c r="AZ81" s="62">
        <f>AZ79*(1-AZ80)</f>
        <v>4.9249999999999997E-3</v>
      </c>
      <c r="BD81" s="47"/>
    </row>
    <row r="82" spans="1:99" ht="13.5" customHeight="1">
      <c r="B82" s="81" t="s">
        <v>234</v>
      </c>
      <c r="C82" s="81"/>
      <c r="D82" s="81"/>
      <c r="E82" s="81"/>
      <c r="F82" s="81"/>
      <c r="G82" s="81"/>
      <c r="H82" s="81"/>
      <c r="I82" s="81"/>
      <c r="J82" s="81"/>
      <c r="K82" s="81"/>
      <c r="L82" s="81"/>
      <c r="M82" s="81"/>
      <c r="N82" s="81">
        <v>0</v>
      </c>
      <c r="O82" s="81">
        <v>0</v>
      </c>
      <c r="P82" s="81">
        <v>0</v>
      </c>
      <c r="Q82" s="81">
        <v>0</v>
      </c>
      <c r="R82" s="81">
        <v>0</v>
      </c>
      <c r="S82" s="81">
        <v>0</v>
      </c>
      <c r="T82" s="81">
        <v>0</v>
      </c>
      <c r="U82" s="81">
        <v>0</v>
      </c>
      <c r="V82" s="81">
        <v>173.30799999999999</v>
      </c>
      <c r="W82" s="81">
        <v>0</v>
      </c>
      <c r="X82" s="81">
        <v>0</v>
      </c>
      <c r="AH82" s="81"/>
      <c r="AI82" s="81">
        <f t="shared" si="99"/>
        <v>0</v>
      </c>
      <c r="AJ82" s="81">
        <f t="shared" si="100"/>
        <v>0</v>
      </c>
      <c r="AK82" s="81">
        <f t="shared" si="101"/>
        <v>173.30799999999999</v>
      </c>
      <c r="BD82" s="47"/>
    </row>
    <row r="83" spans="1:99" ht="13.5" customHeight="1">
      <c r="B83" s="81" t="s">
        <v>232</v>
      </c>
      <c r="C83" s="81"/>
      <c r="D83" s="81"/>
      <c r="E83" s="81"/>
      <c r="F83" s="81"/>
      <c r="G83" s="81"/>
      <c r="H83" s="81"/>
      <c r="I83" s="81"/>
      <c r="J83" s="81"/>
      <c r="K83" s="81"/>
      <c r="L83" s="81"/>
      <c r="M83" s="81"/>
      <c r="N83" s="81">
        <v>5.2930000000000001</v>
      </c>
      <c r="O83" s="81">
        <v>13.247</v>
      </c>
      <c r="P83" s="81">
        <v>11.968999999999999</v>
      </c>
      <c r="Q83" s="81">
        <v>11.23</v>
      </c>
      <c r="R83" s="81">
        <v>11.182</v>
      </c>
      <c r="S83" s="81">
        <v>29.675999999999998</v>
      </c>
      <c r="T83" s="81">
        <v>25.013000000000002</v>
      </c>
      <c r="U83" s="81">
        <v>48.332000000000001</v>
      </c>
      <c r="V83" s="81">
        <v>27.521999999999998</v>
      </c>
      <c r="W83" s="81">
        <v>16.239999999999998</v>
      </c>
      <c r="X83" s="81">
        <v>17.364000000000001</v>
      </c>
      <c r="AH83" s="81"/>
      <c r="AI83" s="81">
        <f t="shared" si="99"/>
        <v>5.2930000000000001</v>
      </c>
      <c r="AJ83" s="81">
        <f t="shared" si="100"/>
        <v>11.182</v>
      </c>
      <c r="AK83" s="81">
        <f t="shared" si="101"/>
        <v>27.521999999999998</v>
      </c>
      <c r="AW83" s="34" t="s">
        <v>125</v>
      </c>
      <c r="AZ83" s="62">
        <f>(AZ69*AZ76)+(AZ68*AZ81*(1-AZ80))</f>
        <v>8.4925826872042337E-2</v>
      </c>
      <c r="BD83" s="47"/>
      <c r="BE83" s="71"/>
    </row>
    <row r="84" spans="1:99" ht="13.5" customHeight="1">
      <c r="B84" s="81" t="s">
        <v>233</v>
      </c>
      <c r="C84" s="81"/>
      <c r="D84" s="81"/>
      <c r="E84" s="81"/>
      <c r="F84" s="81"/>
      <c r="G84" s="81"/>
      <c r="H84" s="81"/>
      <c r="I84" s="81"/>
      <c r="J84" s="81"/>
      <c r="K84" s="81"/>
      <c r="L84" s="81"/>
      <c r="M84" s="81"/>
      <c r="N84" s="81">
        <v>7.101</v>
      </c>
      <c r="O84" s="81">
        <v>9.2609999999999992</v>
      </c>
      <c r="P84" s="81">
        <v>7.9630000000000001</v>
      </c>
      <c r="Q84" s="81">
        <v>6.665</v>
      </c>
      <c r="R84" s="81">
        <v>5.3680000000000003</v>
      </c>
      <c r="S84" s="81">
        <v>7.75</v>
      </c>
      <c r="T84" s="81">
        <v>6.5119999999999996</v>
      </c>
      <c r="U84" s="81">
        <v>5.2729999999999997</v>
      </c>
      <c r="V84" s="81">
        <v>4.0339999999999998</v>
      </c>
      <c r="W84" s="81">
        <v>3.21</v>
      </c>
      <c r="X84" s="81">
        <v>1.885</v>
      </c>
      <c r="AH84" s="81"/>
      <c r="AI84" s="81">
        <f t="shared" si="99"/>
        <v>7.101</v>
      </c>
      <c r="AJ84" s="81">
        <f t="shared" si="100"/>
        <v>5.3680000000000003</v>
      </c>
      <c r="AK84" s="81">
        <f t="shared" si="101"/>
        <v>4.0339999999999998</v>
      </c>
    </row>
    <row r="85" spans="1:99" ht="13.5" customHeight="1">
      <c r="B85" s="81" t="s">
        <v>235</v>
      </c>
      <c r="C85" s="81"/>
      <c r="D85" s="81"/>
      <c r="E85" s="81"/>
      <c r="F85" s="81"/>
      <c r="G85" s="81"/>
      <c r="H85" s="81"/>
      <c r="I85" s="81"/>
      <c r="J85" s="81"/>
      <c r="K85" s="81"/>
      <c r="L85" s="81"/>
      <c r="M85" s="81"/>
      <c r="N85" s="81">
        <v>16.952000000000002</v>
      </c>
      <c r="O85" s="81">
        <v>15.207000000000001</v>
      </c>
      <c r="P85" s="81">
        <v>15.218</v>
      </c>
      <c r="Q85" s="81">
        <v>13.819000000000001</v>
      </c>
      <c r="R85" s="81">
        <v>12.391999999999999</v>
      </c>
      <c r="S85" s="81">
        <v>10.805999999999999</v>
      </c>
      <c r="T85" s="81">
        <v>9.1389999999999993</v>
      </c>
      <c r="U85" s="81">
        <v>7.2089999999999996</v>
      </c>
      <c r="V85" s="81">
        <v>8.3000000000000007</v>
      </c>
      <c r="W85" s="81">
        <v>37.073999999999998</v>
      </c>
      <c r="X85" s="81">
        <v>46.746000000000002</v>
      </c>
      <c r="AH85" s="81"/>
      <c r="AI85" s="81">
        <f t="shared" si="99"/>
        <v>16.952000000000002</v>
      </c>
      <c r="AJ85" s="81">
        <f t="shared" si="100"/>
        <v>12.391999999999999</v>
      </c>
      <c r="AK85" s="81">
        <f t="shared" si="101"/>
        <v>8.3000000000000007</v>
      </c>
    </row>
    <row r="86" spans="1:99" ht="13.5" customHeight="1">
      <c r="B86" s="81" t="s">
        <v>236</v>
      </c>
      <c r="C86" s="81"/>
      <c r="D86" s="81"/>
      <c r="E86" s="81"/>
      <c r="F86" s="81"/>
      <c r="G86" s="81"/>
      <c r="H86" s="81"/>
      <c r="I86" s="81"/>
      <c r="J86" s="81"/>
      <c r="K86" s="81"/>
      <c r="L86" s="81"/>
      <c r="M86" s="81"/>
      <c r="N86" s="81">
        <v>0</v>
      </c>
      <c r="O86" s="81">
        <v>0</v>
      </c>
      <c r="P86" s="81">
        <v>0</v>
      </c>
      <c r="Q86" s="81">
        <v>0</v>
      </c>
      <c r="R86" s="81">
        <v>0</v>
      </c>
      <c r="S86" s="81">
        <v>0</v>
      </c>
      <c r="T86" s="81">
        <v>0</v>
      </c>
      <c r="U86" s="81">
        <v>446.20100000000002</v>
      </c>
      <c r="V86" s="81">
        <v>446.88400000000001</v>
      </c>
      <c r="W86" s="81">
        <v>447.56900000000002</v>
      </c>
      <c r="X86" s="81">
        <v>448.255</v>
      </c>
      <c r="AH86" s="81"/>
      <c r="AI86" s="81">
        <f t="shared" si="99"/>
        <v>0</v>
      </c>
      <c r="AJ86" s="81">
        <f t="shared" si="100"/>
        <v>0</v>
      </c>
      <c r="AK86" s="81">
        <f t="shared" si="101"/>
        <v>446.88400000000001</v>
      </c>
      <c r="AL86" s="92">
        <f>AK86+AL45</f>
        <v>444.64958000000001</v>
      </c>
      <c r="AM86" s="92">
        <f t="shared" ref="AM86:AU86" si="104">AL86+AM45</f>
        <v>442.42633210000002</v>
      </c>
      <c r="AN86" s="92">
        <f t="shared" si="104"/>
        <v>440.21420043950002</v>
      </c>
      <c r="AO86" s="92">
        <f t="shared" si="104"/>
        <v>438.0131294373025</v>
      </c>
      <c r="AP86" s="92">
        <f t="shared" si="104"/>
        <v>435.82306379011601</v>
      </c>
      <c r="AQ86" s="92">
        <f t="shared" si="104"/>
        <v>433.6439484711654</v>
      </c>
      <c r="AR86" s="92">
        <f t="shared" si="104"/>
        <v>431.4757287288096</v>
      </c>
      <c r="AS86" s="92">
        <f t="shared" si="104"/>
        <v>429.31835008516555</v>
      </c>
      <c r="AT86" s="92">
        <f t="shared" si="104"/>
        <v>427.17175833473971</v>
      </c>
      <c r="AU86" s="92">
        <f t="shared" si="104"/>
        <v>425.03589954306602</v>
      </c>
    </row>
    <row r="87" spans="1:99" s="2" customFormat="1" ht="13.5" customHeight="1">
      <c r="B87" s="81" t="s">
        <v>237</v>
      </c>
      <c r="C87" s="81"/>
      <c r="D87" s="81"/>
      <c r="E87" s="81"/>
      <c r="F87" s="81"/>
      <c r="G87" s="81"/>
      <c r="H87" s="81"/>
      <c r="I87" s="81"/>
      <c r="J87" s="81"/>
      <c r="K87" s="81"/>
      <c r="L87" s="81"/>
      <c r="M87" s="81"/>
      <c r="N87" s="81">
        <v>17.984000000000002</v>
      </c>
      <c r="O87" s="81">
        <v>10.183</v>
      </c>
      <c r="P87" s="81">
        <v>10.273999999999999</v>
      </c>
      <c r="Q87" s="81">
        <v>5.3610000000000007</v>
      </c>
      <c r="R87" s="81">
        <v>21.490000000000002</v>
      </c>
      <c r="S87" s="81">
        <v>10.802</v>
      </c>
      <c r="T87" s="81">
        <v>16.581</v>
      </c>
      <c r="U87" s="81">
        <f>56.82+3.601+0.477</f>
        <v>60.897999999999996</v>
      </c>
      <c r="V87" s="81">
        <v>1.06</v>
      </c>
      <c r="W87" s="81">
        <v>1.085</v>
      </c>
      <c r="X87" s="81">
        <v>1.093</v>
      </c>
      <c r="AH87" s="81"/>
      <c r="AI87" s="81">
        <f t="shared" si="99"/>
        <v>17.984000000000002</v>
      </c>
      <c r="AJ87" s="81">
        <f t="shared" si="100"/>
        <v>21.490000000000002</v>
      </c>
      <c r="AK87" s="81">
        <f t="shared" si="101"/>
        <v>1.06</v>
      </c>
      <c r="AL87" s="34"/>
      <c r="AM87" s="60"/>
      <c r="AN87" s="35"/>
      <c r="AO87" s="35"/>
      <c r="AP87" s="59"/>
      <c r="AQ87" s="34"/>
      <c r="AR87" s="75"/>
      <c r="AS87" s="62"/>
      <c r="AT87" s="74"/>
      <c r="AW87" s="35"/>
      <c r="AX87" s="35"/>
      <c r="AY87" s="35"/>
      <c r="AZ87" s="35"/>
      <c r="BA87" s="35"/>
      <c r="BB87" s="35"/>
      <c r="BC87" s="35"/>
      <c r="BD87" s="35"/>
      <c r="BE87" s="35"/>
      <c r="BF87" s="35"/>
      <c r="BG87" s="35"/>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row>
    <row r="88" spans="1:99" ht="13.5" customHeight="1">
      <c r="B88" s="82" t="s">
        <v>128</v>
      </c>
      <c r="C88" s="82"/>
      <c r="D88" s="82"/>
      <c r="E88" s="82"/>
      <c r="F88" s="82"/>
      <c r="G88" s="82"/>
      <c r="H88" s="82"/>
      <c r="I88" s="82"/>
      <c r="J88" s="82"/>
      <c r="K88" s="82"/>
      <c r="L88" s="82"/>
      <c r="M88" s="82"/>
      <c r="N88" s="82">
        <f t="shared" ref="N88:V88" si="105">SUM(N77:N87)</f>
        <v>183.97900000000001</v>
      </c>
      <c r="O88" s="82">
        <f t="shared" si="105"/>
        <v>174.27899999999997</v>
      </c>
      <c r="P88" s="82">
        <f t="shared" si="105"/>
        <v>185.10399999999996</v>
      </c>
      <c r="Q88" s="82">
        <f t="shared" si="105"/>
        <v>166.15899999999996</v>
      </c>
      <c r="R88" s="82">
        <f t="shared" si="105"/>
        <v>192.51000000000002</v>
      </c>
      <c r="S88" s="82">
        <f t="shared" si="105"/>
        <v>213.58799999999999</v>
      </c>
      <c r="T88" s="82">
        <f t="shared" si="105"/>
        <v>260.73600000000005</v>
      </c>
      <c r="U88" s="82">
        <f t="shared" si="105"/>
        <v>756.50200000000007</v>
      </c>
      <c r="V88" s="82">
        <f t="shared" si="105"/>
        <v>957.25499999999988</v>
      </c>
      <c r="W88" s="82">
        <f>SUM(W77:W87)</f>
        <v>807.72700000000009</v>
      </c>
      <c r="X88" s="82">
        <f>SUM(X77:X87)</f>
        <v>866.61299999999994</v>
      </c>
      <c r="Y88" s="34"/>
      <c r="Z88" s="34"/>
      <c r="AA88" s="2"/>
      <c r="AB88" s="2"/>
      <c r="AC88" s="2"/>
      <c r="AD88" s="2"/>
      <c r="AE88" s="2"/>
      <c r="AF88" s="2"/>
      <c r="AG88" s="2"/>
      <c r="AH88" s="82"/>
      <c r="AI88" s="82">
        <f t="shared" si="99"/>
        <v>183.97900000000001</v>
      </c>
      <c r="AJ88" s="82">
        <f t="shared" si="100"/>
        <v>192.51000000000002</v>
      </c>
      <c r="AK88" s="82">
        <f t="shared" si="101"/>
        <v>957.25499999999988</v>
      </c>
      <c r="AM88" s="70"/>
      <c r="AP88" s="62"/>
      <c r="AT88" s="47"/>
      <c r="BG88" s="2"/>
    </row>
    <row r="89" spans="1:99" s="2" customFormat="1" ht="13.5" customHeight="1">
      <c r="B89" s="81" t="s">
        <v>129</v>
      </c>
      <c r="C89" s="81"/>
      <c r="D89" s="81"/>
      <c r="E89" s="81"/>
      <c r="F89" s="81"/>
      <c r="G89" s="81"/>
      <c r="H89" s="81"/>
      <c r="I89" s="81"/>
      <c r="J89" s="81"/>
      <c r="K89" s="81"/>
      <c r="L89" s="81"/>
      <c r="M89" s="81"/>
      <c r="N89" s="81">
        <v>518.01800000000003</v>
      </c>
      <c r="O89" s="81">
        <v>500.32499999999999</v>
      </c>
      <c r="P89" s="81">
        <v>473.24700000000001</v>
      </c>
      <c r="Q89" s="81">
        <v>464.60500000000002</v>
      </c>
      <c r="R89" s="81">
        <v>441.286</v>
      </c>
      <c r="S89" s="81">
        <v>444.80200000000002</v>
      </c>
      <c r="T89" s="81">
        <v>435.68900000000002</v>
      </c>
      <c r="U89" s="81">
        <v>349.55799999999999</v>
      </c>
      <c r="V89" s="81">
        <v>188.43100000000001</v>
      </c>
      <c r="W89" s="81">
        <v>443.70400000000001</v>
      </c>
      <c r="X89" s="81">
        <v>564.351</v>
      </c>
      <c r="Y89" s="35"/>
      <c r="Z89" s="35"/>
      <c r="AA89" s="1"/>
      <c r="AB89" s="1"/>
      <c r="AC89" s="1"/>
      <c r="AD89" s="1"/>
      <c r="AE89" s="1"/>
      <c r="AF89" s="1"/>
      <c r="AG89" s="1"/>
      <c r="AH89" s="81"/>
      <c r="AI89" s="81">
        <f t="shared" si="99"/>
        <v>518.01800000000003</v>
      </c>
      <c r="AJ89" s="81">
        <f t="shared" si="100"/>
        <v>441.286</v>
      </c>
      <c r="AK89" s="81">
        <f t="shared" si="101"/>
        <v>188.43100000000001</v>
      </c>
      <c r="AL89" s="34"/>
      <c r="AM89" s="34"/>
      <c r="AN89" s="34"/>
      <c r="AO89" s="34"/>
      <c r="AP89" s="34"/>
      <c r="AQ89" s="34"/>
      <c r="AR89" s="34"/>
      <c r="AS89" s="34"/>
      <c r="AT89" s="74"/>
      <c r="AU89" s="34"/>
      <c r="AV89" s="34"/>
      <c r="AW89" s="35"/>
      <c r="AX89" s="35"/>
      <c r="AY89" s="35"/>
      <c r="AZ89" s="35"/>
      <c r="BA89" s="35"/>
      <c r="BB89" s="35"/>
      <c r="BC89" s="35"/>
      <c r="BD89" s="35"/>
      <c r="BE89" s="35"/>
      <c r="BF89" s="35"/>
      <c r="BG89" s="35"/>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row>
    <row r="90" spans="1:99" ht="13.5" customHeight="1">
      <c r="B90" s="82" t="s">
        <v>130</v>
      </c>
      <c r="C90" s="82"/>
      <c r="D90" s="82"/>
      <c r="E90" s="82"/>
      <c r="F90" s="82"/>
      <c r="G90" s="82"/>
      <c r="H90" s="82"/>
      <c r="I90" s="82"/>
      <c r="J90" s="82"/>
      <c r="K90" s="82"/>
      <c r="L90" s="82"/>
      <c r="M90" s="82"/>
      <c r="N90" s="82">
        <f t="shared" ref="N90:U90" si="106">N88+N89</f>
        <v>701.99700000000007</v>
      </c>
      <c r="O90" s="82">
        <f t="shared" si="106"/>
        <v>674.60399999999993</v>
      </c>
      <c r="P90" s="82">
        <f t="shared" si="106"/>
        <v>658.351</v>
      </c>
      <c r="Q90" s="82">
        <f t="shared" si="106"/>
        <v>630.76400000000001</v>
      </c>
      <c r="R90" s="82">
        <f t="shared" si="106"/>
        <v>633.79600000000005</v>
      </c>
      <c r="S90" s="82">
        <f t="shared" si="106"/>
        <v>658.39</v>
      </c>
      <c r="T90" s="82">
        <f t="shared" si="106"/>
        <v>696.42500000000007</v>
      </c>
      <c r="U90" s="82">
        <f t="shared" si="106"/>
        <v>1106.06</v>
      </c>
      <c r="V90" s="82">
        <f>V88+V89</f>
        <v>1145.6859999999999</v>
      </c>
      <c r="W90" s="82">
        <f t="shared" ref="W90:X90" si="107">W88+W89</f>
        <v>1251.431</v>
      </c>
      <c r="X90" s="82">
        <f t="shared" si="107"/>
        <v>1430.9639999999999</v>
      </c>
      <c r="Y90" s="34"/>
      <c r="Z90" s="34"/>
      <c r="AA90" s="2"/>
      <c r="AB90" s="2"/>
      <c r="AC90" s="2"/>
      <c r="AD90" s="2"/>
      <c r="AE90" s="2"/>
      <c r="AF90" s="2"/>
      <c r="AG90" s="2"/>
      <c r="AH90" s="82"/>
      <c r="AI90" s="82">
        <f t="shared" si="99"/>
        <v>701.99700000000007</v>
      </c>
      <c r="AJ90" s="82">
        <f t="shared" si="100"/>
        <v>633.79600000000005</v>
      </c>
      <c r="AK90" s="82">
        <f t="shared" si="101"/>
        <v>1145.6859999999999</v>
      </c>
      <c r="AM90" s="34"/>
      <c r="AP90" s="62"/>
      <c r="AT90" s="47"/>
      <c r="AU90" s="71"/>
      <c r="BG90" s="2"/>
    </row>
    <row r="91" spans="1:99" ht="13.5" customHeight="1">
      <c r="N91" s="81"/>
      <c r="O91" s="81"/>
      <c r="P91" s="81"/>
      <c r="Q91" s="81"/>
      <c r="R91" s="81"/>
      <c r="S91" s="81"/>
      <c r="T91" s="81"/>
      <c r="X91" s="1"/>
      <c r="AT91" s="47"/>
    </row>
    <row r="92" spans="1:99" ht="13.5" customHeight="1">
      <c r="B92" s="1" t="s">
        <v>61</v>
      </c>
      <c r="C92" s="76"/>
      <c r="D92" s="76"/>
      <c r="E92" s="76"/>
      <c r="F92" s="76"/>
      <c r="G92" s="76"/>
      <c r="H92" s="76"/>
      <c r="I92" s="76"/>
      <c r="J92" s="76"/>
      <c r="K92" s="76"/>
      <c r="L92" s="76"/>
      <c r="M92" s="76"/>
      <c r="N92" s="76">
        <f t="shared" ref="N92:V92" si="108">SUM(N62:N67)/SUM(N77:N82)</f>
        <v>2.7087721095653827</v>
      </c>
      <c r="O92" s="76">
        <f t="shared" si="108"/>
        <v>2.7374051479257164</v>
      </c>
      <c r="P92" s="76">
        <f t="shared" si="108"/>
        <v>2.3392468499427266</v>
      </c>
      <c r="Q92" s="76">
        <f t="shared" si="108"/>
        <v>2.3364165969446251</v>
      </c>
      <c r="R92" s="76">
        <f t="shared" si="108"/>
        <v>2.1271766212925289</v>
      </c>
      <c r="S92" s="76">
        <f t="shared" si="108"/>
        <v>2.1016084992947448</v>
      </c>
      <c r="T92" s="76">
        <f t="shared" si="108"/>
        <v>1.7468241838705394</v>
      </c>
      <c r="U92" s="76">
        <f t="shared" si="108"/>
        <v>3.9988705597887471</v>
      </c>
      <c r="V92" s="76">
        <f t="shared" si="108"/>
        <v>1.6516215611719975</v>
      </c>
      <c r="W92" s="76">
        <f>SUM(W62:W67)/SUM(W77:W82)</f>
        <v>2.8060843036995662</v>
      </c>
      <c r="X92" s="76">
        <f>SUM(X62:X67)/SUM(X77:X82)</f>
        <v>2.8433683491331454</v>
      </c>
      <c r="AI92" s="76">
        <f t="shared" ref="AI92:AK92" si="109">SUM(AI62:AI67)/SUM(AI77:AI82)</f>
        <v>2.7087721095653827</v>
      </c>
      <c r="AJ92" s="76">
        <f t="shared" si="109"/>
        <v>2.1271766212925289</v>
      </c>
      <c r="AK92" s="76">
        <f t="shared" si="109"/>
        <v>1.6516215611719975</v>
      </c>
    </row>
    <row r="93" spans="1:99" ht="13.15" customHeight="1">
      <c r="B93" s="1" t="s">
        <v>62</v>
      </c>
      <c r="C93" s="76"/>
      <c r="D93" s="76"/>
      <c r="E93" s="76"/>
      <c r="F93" s="76"/>
      <c r="G93" s="76"/>
      <c r="H93" s="76"/>
      <c r="I93" s="76"/>
      <c r="J93" s="76"/>
      <c r="K93" s="76"/>
      <c r="L93" s="76"/>
      <c r="M93" s="76"/>
      <c r="N93" s="76">
        <f t="shared" ref="N93:V93" si="110">(SUM(N62:N67)-N66)/SUM(N77:N82)</f>
        <v>2.7087721095653827</v>
      </c>
      <c r="O93" s="76">
        <f t="shared" si="110"/>
        <v>2.7374051479257164</v>
      </c>
      <c r="P93" s="76">
        <f t="shared" si="110"/>
        <v>2.3392468499427266</v>
      </c>
      <c r="Q93" s="76">
        <f t="shared" si="110"/>
        <v>2.3364165969446251</v>
      </c>
      <c r="R93" s="76">
        <f t="shared" si="110"/>
        <v>2.1271766212925289</v>
      </c>
      <c r="S93" s="76">
        <f t="shared" si="110"/>
        <v>2.1016084992947448</v>
      </c>
      <c r="T93" s="76">
        <f t="shared" si="110"/>
        <v>1.7468241838705394</v>
      </c>
      <c r="U93" s="76">
        <f t="shared" si="110"/>
        <v>3.9988705597887471</v>
      </c>
      <c r="V93" s="76">
        <f t="shared" si="110"/>
        <v>1.6385894281667042</v>
      </c>
      <c r="W93" s="76">
        <f>(SUM(W62:W67)-W66)/SUM(W77:W82)</f>
        <v>2.7752033554895243</v>
      </c>
      <c r="X93" s="76">
        <f>(SUM(X62:X67)-X66)/SUM(X77:X82)</f>
        <v>2.8181683605203975</v>
      </c>
      <c r="AI93" s="76">
        <f t="shared" ref="AI93:AK93" si="111">(SUM(AI62:AI67)-AI66)/SUM(AI77:AI82)</f>
        <v>2.7087721095653827</v>
      </c>
      <c r="AJ93" s="76">
        <f t="shared" si="111"/>
        <v>2.1271766212925289</v>
      </c>
      <c r="AK93" s="76">
        <f t="shared" si="111"/>
        <v>1.6385894281667042</v>
      </c>
      <c r="AT93" s="47"/>
      <c r="AU93" s="66"/>
    </row>
    <row r="94" spans="1:99">
      <c r="B94" s="1" t="s">
        <v>63</v>
      </c>
      <c r="C94" s="76"/>
      <c r="D94" s="76"/>
      <c r="E94" s="76"/>
      <c r="F94" s="76"/>
      <c r="G94" s="76"/>
      <c r="H94" s="76"/>
      <c r="I94" s="76"/>
      <c r="J94" s="76"/>
      <c r="K94" s="76"/>
      <c r="L94" s="76"/>
      <c r="M94" s="76"/>
      <c r="N94" s="76">
        <f t="shared" ref="N94:V94" si="112">(N64+N62)/SUM(N77:N82)</f>
        <v>2.1874071526319256</v>
      </c>
      <c r="O94" s="76">
        <f t="shared" si="112"/>
        <v>2.1805888543372816</v>
      </c>
      <c r="P94" s="76">
        <f t="shared" si="112"/>
        <v>1.7854381443298972</v>
      </c>
      <c r="Q94" s="76">
        <f t="shared" si="112"/>
        <v>1.876483530104428</v>
      </c>
      <c r="R94" s="76">
        <f t="shared" si="112"/>
        <v>1.5630498740128658</v>
      </c>
      <c r="S94" s="76">
        <f t="shared" si="112"/>
        <v>1.462886758026321</v>
      </c>
      <c r="T94" s="76">
        <f t="shared" si="112"/>
        <v>1.3343931672653826</v>
      </c>
      <c r="U94" s="76">
        <f t="shared" si="112"/>
        <v>3.5915350312054253</v>
      </c>
      <c r="V94" s="76">
        <f t="shared" si="112"/>
        <v>1.3634746674335134</v>
      </c>
      <c r="W94" s="76">
        <f>(W64+W62)/SUM(W77:W82)</f>
        <v>2.4155921850675433</v>
      </c>
      <c r="X94" s="76">
        <f>(X64+X62)/SUM(X77:X82)</f>
        <v>2.4636832066501553</v>
      </c>
      <c r="AI94" s="76">
        <f t="shared" ref="AI94:AK94" si="113">(AI64+AI62)/SUM(AI77:AI82)</f>
        <v>2.1874071526319256</v>
      </c>
      <c r="AJ94" s="76">
        <f t="shared" si="113"/>
        <v>1.5630498740128658</v>
      </c>
      <c r="AK94" s="76">
        <f t="shared" si="113"/>
        <v>1.3634746674335134</v>
      </c>
      <c r="AT94" s="47"/>
      <c r="AU94" s="67"/>
    </row>
    <row r="95" spans="1:99">
      <c r="B95" s="1" t="s">
        <v>132</v>
      </c>
      <c r="C95" s="76"/>
      <c r="D95" s="76"/>
      <c r="E95" s="76"/>
      <c r="F95" s="76"/>
      <c r="G95" s="76"/>
      <c r="H95" s="76"/>
      <c r="I95" s="76"/>
      <c r="J95" s="76"/>
      <c r="K95" s="76"/>
      <c r="L95" s="76"/>
      <c r="M95" s="76"/>
      <c r="N95" s="76">
        <f t="shared" ref="N95:V95" si="114">N37/SUM(N68:N69)</f>
        <v>0.45871559633027514</v>
      </c>
      <c r="O95" s="76">
        <f t="shared" si="114"/>
        <v>0.47408244639100816</v>
      </c>
      <c r="P95" s="76">
        <f t="shared" si="114"/>
        <v>0.46802350075450594</v>
      </c>
      <c r="Q95" s="76">
        <f t="shared" si="114"/>
        <v>0.45347280272823437</v>
      </c>
      <c r="R95" s="76">
        <f t="shared" si="114"/>
        <v>0.43773938872821078</v>
      </c>
      <c r="S95" s="76">
        <f t="shared" si="114"/>
        <v>0.46606118546845121</v>
      </c>
      <c r="T95" s="76">
        <f t="shared" si="114"/>
        <v>0.48335583286687955</v>
      </c>
      <c r="U95" s="76">
        <f t="shared" si="114"/>
        <v>0.48932866274240722</v>
      </c>
      <c r="V95" s="76">
        <f t="shared" si="114"/>
        <v>0.50451036919929315</v>
      </c>
      <c r="W95" s="76">
        <f>W37/SUM(W68:W69)</f>
        <v>0.52297015961138105</v>
      </c>
      <c r="X95" s="76">
        <f>X37/SUM(X68:X69)</f>
        <v>0.58570411979348047</v>
      </c>
      <c r="AI95" s="76">
        <f t="shared" ref="AI95:AK95" si="115">AI37/SUM(AI68:AI69)</f>
        <v>1.9033971433466768</v>
      </c>
      <c r="AJ95" s="76">
        <f t="shared" si="115"/>
        <v>1.7786715746537527</v>
      </c>
      <c r="AK95" s="76">
        <f t="shared" si="115"/>
        <v>1.789035617967079</v>
      </c>
      <c r="AT95" s="47"/>
      <c r="AU95" s="67"/>
    </row>
    <row r="96" spans="1:99" ht="15">
      <c r="A96" s="2"/>
      <c r="B96" s="1" t="s">
        <v>133</v>
      </c>
      <c r="C96" s="76"/>
      <c r="D96" s="76"/>
      <c r="E96" s="76"/>
      <c r="F96" s="76"/>
      <c r="G96" s="76"/>
      <c r="H96" s="76"/>
      <c r="I96" s="76"/>
      <c r="J96" s="76"/>
      <c r="K96" s="76"/>
      <c r="L96" s="76"/>
      <c r="M96" s="76"/>
      <c r="N96" s="76">
        <f t="shared" ref="N96:V96" si="116">N37/N75</f>
        <v>8.3903492465067522E-2</v>
      </c>
      <c r="O96" s="76">
        <f t="shared" si="116"/>
        <v>8.9534273542029225E-2</v>
      </c>
      <c r="P96" s="76">
        <f t="shared" si="116"/>
        <v>9.2807636048247849E-2</v>
      </c>
      <c r="Q96" s="76">
        <f t="shared" si="116"/>
        <v>9.7183732743149592E-2</v>
      </c>
      <c r="R96" s="76">
        <f t="shared" si="116"/>
        <v>9.7192156466749585E-2</v>
      </c>
      <c r="S96" s="76">
        <f t="shared" si="116"/>
        <v>0.10070080469511807</v>
      </c>
      <c r="T96" s="76">
        <f t="shared" si="116"/>
        <v>0.10539541228416556</v>
      </c>
      <c r="U96" s="76">
        <f t="shared" si="116"/>
        <v>7.3504149865287582E-2</v>
      </c>
      <c r="V96" s="76">
        <f t="shared" si="116"/>
        <v>7.5762468948734632E-2</v>
      </c>
      <c r="W96" s="76">
        <f>W37/W75</f>
        <v>7.5273826523396023E-2</v>
      </c>
      <c r="X96" s="76">
        <f>X37/X75</f>
        <v>8.1100572760740314E-2</v>
      </c>
      <c r="AI96" s="76">
        <f t="shared" ref="AI96:AK96" si="117">AI37/AI75</f>
        <v>0.3481496359671053</v>
      </c>
      <c r="AJ96" s="76">
        <f t="shared" si="117"/>
        <v>0.39492202538356203</v>
      </c>
      <c r="AK96" s="76">
        <f t="shared" si="117"/>
        <v>0.26865999933664197</v>
      </c>
      <c r="AM96" s="34"/>
      <c r="AN96" s="34"/>
      <c r="AO96" s="34"/>
      <c r="AP96" s="34"/>
      <c r="AQ96" s="34"/>
      <c r="AR96" s="34"/>
      <c r="AS96" s="34"/>
      <c r="AT96" s="47"/>
      <c r="AU96" s="71"/>
      <c r="AV96" s="57"/>
    </row>
    <row r="97" spans="1:99">
      <c r="B97" s="1" t="s">
        <v>64</v>
      </c>
      <c r="C97" s="76"/>
      <c r="D97" s="76"/>
      <c r="E97" s="76"/>
      <c r="F97" s="76"/>
      <c r="G97" s="76"/>
      <c r="H97" s="76"/>
      <c r="I97" s="76"/>
      <c r="J97" s="76"/>
      <c r="K97" s="76"/>
      <c r="L97" s="76"/>
      <c r="M97" s="76"/>
      <c r="N97" s="76" t="e">
        <f t="shared" ref="N97:V97" si="118">N38/AVERAGE(K66:N66)</f>
        <v>#DIV/0!</v>
      </c>
      <c r="O97" s="76" t="e">
        <f t="shared" si="118"/>
        <v>#DIV/0!</v>
      </c>
      <c r="P97" s="76" t="e">
        <f t="shared" si="118"/>
        <v>#DIV/0!</v>
      </c>
      <c r="Q97" s="76" t="e">
        <f t="shared" si="118"/>
        <v>#DIV/0!</v>
      </c>
      <c r="R97" s="76" t="e">
        <f t="shared" si="118"/>
        <v>#DIV/0!</v>
      </c>
      <c r="S97" s="76" t="e">
        <f t="shared" si="118"/>
        <v>#DIV/0!</v>
      </c>
      <c r="T97" s="76" t="e">
        <f t="shared" si="118"/>
        <v>#DIV/0!</v>
      </c>
      <c r="U97" s="76" t="e">
        <f t="shared" si="118"/>
        <v>#DIV/0!</v>
      </c>
      <c r="V97" s="76">
        <f t="shared" si="118"/>
        <v>26.01634521085321</v>
      </c>
      <c r="W97" s="76">
        <f>W38/AVERAGE(T66:W66)</f>
        <v>11.318543431860812</v>
      </c>
      <c r="X97" s="76">
        <f>X38/AVERAGE(U66:X66)</f>
        <v>8.2951507424011837</v>
      </c>
      <c r="AI97" s="76" t="e">
        <f t="shared" ref="AI97:AK97" si="119">AI38/AVERAGE(AF66:AI66)</f>
        <v>#DIV/0!</v>
      </c>
      <c r="AJ97" s="76" t="e">
        <f t="shared" si="119"/>
        <v>#DIV/0!</v>
      </c>
      <c r="AK97" s="76">
        <f t="shared" si="119"/>
        <v>66.31677018633539</v>
      </c>
    </row>
    <row r="98" spans="1:99" ht="15">
      <c r="A98" s="2"/>
      <c r="B98" s="1" t="s">
        <v>65</v>
      </c>
      <c r="C98" s="77"/>
      <c r="D98" s="77"/>
      <c r="E98" s="77"/>
      <c r="F98" s="77"/>
      <c r="G98" s="77"/>
      <c r="H98" s="77"/>
      <c r="I98" s="77"/>
      <c r="J98" s="77"/>
      <c r="K98" s="77"/>
      <c r="L98" s="77"/>
      <c r="M98" s="77"/>
      <c r="N98" s="77">
        <f t="shared" ref="N98:W98" si="120">N50/N75</f>
        <v>-4.2789356649672296E-2</v>
      </c>
      <c r="O98" s="77">
        <f t="shared" si="120"/>
        <v>-4.3481934533250707E-2</v>
      </c>
      <c r="P98" s="77">
        <f t="shared" si="120"/>
        <v>-5.8722474789284163E-2</v>
      </c>
      <c r="Q98" s="77">
        <f t="shared" si="120"/>
        <v>-3.1782092827111252E-2</v>
      </c>
      <c r="R98" s="77">
        <f t="shared" si="120"/>
        <v>-5.5393218007055899E-2</v>
      </c>
      <c r="S98" s="77">
        <f t="shared" si="120"/>
        <v>-1.912707742874243E-2</v>
      </c>
      <c r="T98" s="77">
        <f t="shared" si="120"/>
        <v>-3.2419858563377216E-2</v>
      </c>
      <c r="U98" s="77">
        <f t="shared" si="120"/>
        <v>-5.34654539536734E-2</v>
      </c>
      <c r="V98" s="77">
        <f t="shared" si="120"/>
        <v>-0.13309056757261586</v>
      </c>
      <c r="W98" s="77">
        <f t="shared" si="120"/>
        <v>-0.11093060664151681</v>
      </c>
      <c r="X98" s="77">
        <f t="shared" ref="X98" si="121">X50/X75</f>
        <v>-6.5361532505359941E-3</v>
      </c>
      <c r="AI98" s="77">
        <f t="shared" ref="AI98:AK98" si="122">AI50/AI75</f>
        <v>-0.17542525110506169</v>
      </c>
      <c r="AJ98" s="77">
        <f t="shared" si="122"/>
        <v>-0.16788998352782292</v>
      </c>
      <c r="AK98" s="77">
        <f t="shared" si="122"/>
        <v>-0.21540544267801121</v>
      </c>
      <c r="AM98" s="34"/>
      <c r="AP98" s="62"/>
      <c r="AS98" s="59"/>
      <c r="AU98" s="59"/>
    </row>
    <row r="99" spans="1:99">
      <c r="B99" s="1" t="s">
        <v>66</v>
      </c>
      <c r="C99" s="77"/>
      <c r="D99" s="77"/>
      <c r="E99" s="77"/>
      <c r="F99" s="77"/>
      <c r="G99" s="77"/>
      <c r="H99" s="77"/>
      <c r="I99" s="77"/>
      <c r="J99" s="77"/>
      <c r="K99" s="77"/>
      <c r="L99" s="77"/>
      <c r="M99" s="77"/>
      <c r="N99" s="77">
        <f t="shared" ref="N99:W99" si="123">N50/N89</f>
        <v>-5.7986402016918327E-2</v>
      </c>
      <c r="O99" s="77">
        <f t="shared" si="123"/>
        <v>-5.8627891870284297E-2</v>
      </c>
      <c r="P99" s="77">
        <f t="shared" si="123"/>
        <v>-8.1690956308228049E-2</v>
      </c>
      <c r="Q99" s="77">
        <f t="shared" si="123"/>
        <v>-4.314848096770374E-2</v>
      </c>
      <c r="R99" s="77">
        <f t="shared" si="123"/>
        <v>-7.9558381639118367E-2</v>
      </c>
      <c r="S99" s="77">
        <f t="shared" si="123"/>
        <v>-2.8311473419633932E-2</v>
      </c>
      <c r="T99" s="77">
        <f t="shared" si="123"/>
        <v>-5.1821367994142567E-2</v>
      </c>
      <c r="U99" s="77">
        <f t="shared" si="123"/>
        <v>-0.16917364214236266</v>
      </c>
      <c r="V99" s="77">
        <f t="shared" si="123"/>
        <v>-0.80920867585482203</v>
      </c>
      <c r="W99" s="77">
        <f t="shared" si="123"/>
        <v>-0.312870742657267</v>
      </c>
      <c r="X99" s="77">
        <f>X50/X89</f>
        <v>-1.6573019273466313E-2</v>
      </c>
      <c r="AI99" s="77">
        <f t="shared" ref="AI99:AK99" si="124">AI50/AI89</f>
        <v>-0.23772919087753702</v>
      </c>
      <c r="AJ99" s="77">
        <f t="shared" si="124"/>
        <v>-0.24113160172767778</v>
      </c>
      <c r="AK99" s="77">
        <f t="shared" si="124"/>
        <v>-1.3096942647441236</v>
      </c>
    </row>
    <row r="100" spans="1:99">
      <c r="X100" s="1"/>
    </row>
    <row r="101" spans="1:99" s="2" customFormat="1" ht="15">
      <c r="B101" s="2" t="s">
        <v>68</v>
      </c>
      <c r="C101" s="82">
        <v>-29.3</v>
      </c>
      <c r="D101" s="82">
        <v>-20.399999999999999</v>
      </c>
      <c r="E101" s="82">
        <v>-41.5</v>
      </c>
      <c r="F101" s="82">
        <v>-46</v>
      </c>
      <c r="G101" s="82">
        <v>-44.4</v>
      </c>
      <c r="H101" s="82">
        <v>-39.5</v>
      </c>
      <c r="I101" s="82">
        <v>-40.200000000000003</v>
      </c>
      <c r="J101" s="82">
        <v>-37.799999999999997</v>
      </c>
      <c r="K101" s="82">
        <v>-34.4</v>
      </c>
      <c r="L101" s="82">
        <v>-38</v>
      </c>
      <c r="M101" s="82">
        <v>-38</v>
      </c>
      <c r="N101" s="82">
        <v>-30.1</v>
      </c>
      <c r="O101" s="82">
        <v>-29.3</v>
      </c>
      <c r="P101" s="82">
        <v>-38.700000000000003</v>
      </c>
      <c r="Q101" s="82">
        <v>-20.100000000000001</v>
      </c>
      <c r="R101" s="82">
        <v>-35.200000000000003</v>
      </c>
      <c r="S101" s="82">
        <v>-12.6</v>
      </c>
      <c r="T101" s="82">
        <v>-22.6</v>
      </c>
      <c r="U101" s="82">
        <v>-59.2</v>
      </c>
      <c r="V101" s="82">
        <v>-152.5</v>
      </c>
      <c r="W101" s="82">
        <v>-138.9</v>
      </c>
      <c r="X101" s="82">
        <v>-138.9</v>
      </c>
      <c r="Y101" s="34"/>
      <c r="Z101" s="34"/>
      <c r="AF101" s="82">
        <f t="shared" ref="AF101:AF103" si="125">SUM(C101:F101)</f>
        <v>-137.19999999999999</v>
      </c>
      <c r="AG101" s="82">
        <f t="shared" ref="AG101:AG103" si="126">SUM(G101:J101)</f>
        <v>-161.9</v>
      </c>
      <c r="AH101" s="82">
        <f t="shared" ref="AH101:AH103" si="127">SUM(K101:N101)</f>
        <v>-140.5</v>
      </c>
      <c r="AI101" s="82">
        <f t="shared" ref="AI101:AI103" si="128">SUM(O101:R101)</f>
        <v>-123.3</v>
      </c>
      <c r="AJ101" s="82">
        <f t="shared" ref="AJ101:AJ103" si="129">SUM(P101:S101)</f>
        <v>-106.6</v>
      </c>
      <c r="AK101" s="82">
        <f t="shared" ref="AK101:AK103" si="130">SUM(S101:V101)</f>
        <v>-246.9</v>
      </c>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row>
    <row r="102" spans="1:99">
      <c r="B102" s="1" t="s">
        <v>69</v>
      </c>
      <c r="C102" s="81">
        <v>-2.6</v>
      </c>
      <c r="D102" s="81">
        <v>-3.3</v>
      </c>
      <c r="E102" s="81">
        <v>-2.8</v>
      </c>
      <c r="F102" s="81">
        <v>-6.2</v>
      </c>
      <c r="G102" s="81">
        <v>-3.5</v>
      </c>
      <c r="H102" s="81">
        <v>-4.3</v>
      </c>
      <c r="I102" s="81">
        <v>-3</v>
      </c>
      <c r="J102" s="81">
        <v>-2</v>
      </c>
      <c r="K102" s="81">
        <v>-7.1</v>
      </c>
      <c r="L102" s="81">
        <v>-16.600000000000001</v>
      </c>
      <c r="M102" s="81">
        <v>-8.6</v>
      </c>
      <c r="N102" s="81">
        <v>-10.1</v>
      </c>
      <c r="O102" s="81">
        <v>-11.4</v>
      </c>
      <c r="P102" s="81">
        <v>-16.600000000000001</v>
      </c>
      <c r="Q102" s="81">
        <v>-8.9</v>
      </c>
      <c r="R102" s="81">
        <v>-12.8</v>
      </c>
      <c r="S102" s="81">
        <v>-9.3000000000000007</v>
      </c>
      <c r="T102" s="81">
        <v>-21.5</v>
      </c>
      <c r="U102" s="81">
        <v>-27.7</v>
      </c>
      <c r="V102" s="81">
        <v>-23</v>
      </c>
      <c r="W102" s="81">
        <v>-18</v>
      </c>
      <c r="X102" s="81">
        <v>-18</v>
      </c>
      <c r="AF102" s="81">
        <f t="shared" si="125"/>
        <v>-14.899999999999999</v>
      </c>
      <c r="AG102" s="81">
        <f t="shared" si="126"/>
        <v>-12.8</v>
      </c>
      <c r="AH102" s="81">
        <f t="shared" si="127"/>
        <v>-42.400000000000006</v>
      </c>
      <c r="AI102" s="81">
        <f t="shared" si="128"/>
        <v>-49.7</v>
      </c>
      <c r="AJ102" s="81">
        <f t="shared" si="129"/>
        <v>-47.599999999999994</v>
      </c>
      <c r="AK102" s="81">
        <f t="shared" si="130"/>
        <v>-81.5</v>
      </c>
    </row>
    <row r="103" spans="1:99" s="2" customFormat="1" ht="15">
      <c r="B103" s="2" t="s">
        <v>70</v>
      </c>
      <c r="C103" s="82">
        <f t="shared" ref="C103:N103" si="131">C101+C102</f>
        <v>-31.900000000000002</v>
      </c>
      <c r="D103" s="82">
        <f t="shared" si="131"/>
        <v>-23.7</v>
      </c>
      <c r="E103" s="82">
        <f t="shared" si="131"/>
        <v>-44.3</v>
      </c>
      <c r="F103" s="82">
        <f t="shared" si="131"/>
        <v>-52.2</v>
      </c>
      <c r="G103" s="82">
        <f t="shared" si="131"/>
        <v>-47.9</v>
      </c>
      <c r="H103" s="82">
        <f t="shared" si="131"/>
        <v>-43.8</v>
      </c>
      <c r="I103" s="82">
        <f t="shared" si="131"/>
        <v>-43.2</v>
      </c>
      <c r="J103" s="82">
        <f t="shared" si="131"/>
        <v>-39.799999999999997</v>
      </c>
      <c r="K103" s="82">
        <f t="shared" si="131"/>
        <v>-41.5</v>
      </c>
      <c r="L103" s="82">
        <f t="shared" si="131"/>
        <v>-54.6</v>
      </c>
      <c r="M103" s="82">
        <f t="shared" si="131"/>
        <v>-46.6</v>
      </c>
      <c r="N103" s="82">
        <f t="shared" si="131"/>
        <v>-40.200000000000003</v>
      </c>
      <c r="O103" s="82">
        <f t="shared" ref="O103:U103" si="132">O101+O102</f>
        <v>-40.700000000000003</v>
      </c>
      <c r="P103" s="82">
        <f t="shared" si="132"/>
        <v>-55.300000000000004</v>
      </c>
      <c r="Q103" s="82">
        <f t="shared" si="132"/>
        <v>-29</v>
      </c>
      <c r="R103" s="82">
        <f t="shared" si="132"/>
        <v>-48</v>
      </c>
      <c r="S103" s="82">
        <f t="shared" si="132"/>
        <v>-21.9</v>
      </c>
      <c r="T103" s="82">
        <f t="shared" si="132"/>
        <v>-44.1</v>
      </c>
      <c r="U103" s="82">
        <f t="shared" si="132"/>
        <v>-86.9</v>
      </c>
      <c r="V103" s="82">
        <f>V101+V102</f>
        <v>-175.5</v>
      </c>
      <c r="W103" s="82">
        <f>W101+W102</f>
        <v>-156.9</v>
      </c>
      <c r="X103" s="82">
        <f>X101+X102</f>
        <v>-156.9</v>
      </c>
      <c r="Y103" s="34"/>
      <c r="Z103" s="34"/>
      <c r="AF103" s="82">
        <f t="shared" si="125"/>
        <v>-152.10000000000002</v>
      </c>
      <c r="AG103" s="82">
        <f t="shared" si="126"/>
        <v>-174.7</v>
      </c>
      <c r="AH103" s="82">
        <f t="shared" si="127"/>
        <v>-182.89999999999998</v>
      </c>
      <c r="AI103" s="82">
        <f t="shared" si="128"/>
        <v>-173</v>
      </c>
      <c r="AJ103" s="82">
        <f t="shared" si="129"/>
        <v>-154.20000000000002</v>
      </c>
      <c r="AK103" s="82">
        <f t="shared" si="130"/>
        <v>-328.4</v>
      </c>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row>
    <row r="104" spans="1:99">
      <c r="B104" s="1" t="s">
        <v>71</v>
      </c>
      <c r="C104" s="81">
        <f t="shared" ref="C104:W104" si="133">C51</f>
        <v>45.722000000000001</v>
      </c>
      <c r="D104" s="81">
        <f t="shared" si="133"/>
        <v>46.2</v>
      </c>
      <c r="E104" s="81">
        <f t="shared" si="133"/>
        <v>47.137</v>
      </c>
      <c r="F104" s="81">
        <f t="shared" si="133"/>
        <v>79.61</v>
      </c>
      <c r="G104" s="81">
        <f t="shared" si="133"/>
        <v>264.08800000000002</v>
      </c>
      <c r="H104" s="81">
        <f t="shared" si="133"/>
        <v>266.21199999999999</v>
      </c>
      <c r="I104" s="81">
        <f t="shared" si="133"/>
        <v>267.947</v>
      </c>
      <c r="J104" s="81">
        <f t="shared" si="133"/>
        <v>267.12599999999998</v>
      </c>
      <c r="K104" s="81">
        <f t="shared" si="133"/>
        <v>272.34699999999998</v>
      </c>
      <c r="L104" s="81">
        <f t="shared" si="133"/>
        <v>275.053</v>
      </c>
      <c r="M104" s="81">
        <f t="shared" si="133"/>
        <v>284.197</v>
      </c>
      <c r="N104" s="81">
        <f t="shared" si="133"/>
        <v>267.12599999999998</v>
      </c>
      <c r="O104" s="81">
        <f t="shared" si="133"/>
        <v>288.26799999999997</v>
      </c>
      <c r="P104" s="81">
        <f t="shared" si="133"/>
        <v>290.36399999999998</v>
      </c>
      <c r="Q104" s="81">
        <f t="shared" si="133"/>
        <v>293.33800000000002</v>
      </c>
      <c r="R104" s="81">
        <f t="shared" si="133"/>
        <v>292.12400000000002</v>
      </c>
      <c r="S104" s="81">
        <f t="shared" si="133"/>
        <v>300.267</v>
      </c>
      <c r="T104" s="81">
        <f t="shared" si="133"/>
        <v>304.12900000000002</v>
      </c>
      <c r="U104" s="81">
        <f t="shared" si="133"/>
        <v>309.24799999999999</v>
      </c>
      <c r="V104" s="81">
        <f t="shared" si="133"/>
        <v>307.79899999999998</v>
      </c>
      <c r="W104" s="81">
        <f t="shared" si="133"/>
        <v>345.524</v>
      </c>
      <c r="X104" s="81">
        <f t="shared" ref="X104" si="134">X51</f>
        <v>359.59</v>
      </c>
      <c r="AF104" s="81">
        <f t="shared" ref="AF104:AK104" si="135">AF51</f>
        <v>54.667249999999996</v>
      </c>
      <c r="AG104" s="81">
        <f t="shared" si="135"/>
        <v>266.34325000000001</v>
      </c>
      <c r="AH104" s="81">
        <f t="shared" si="135"/>
        <v>274.68074999999999</v>
      </c>
      <c r="AI104" s="81">
        <f t="shared" si="135"/>
        <v>291.02350000000001</v>
      </c>
      <c r="AJ104" s="81">
        <f t="shared" si="135"/>
        <v>294.02325000000002</v>
      </c>
      <c r="AK104" s="81">
        <f t="shared" si="135"/>
        <v>305.36075</v>
      </c>
    </row>
    <row r="105" spans="1:99">
      <c r="B105" s="1" t="s">
        <v>72</v>
      </c>
      <c r="C105" s="39">
        <f t="shared" ref="C105:N105" si="136">C103/C104</f>
        <v>-0.69769476400857355</v>
      </c>
      <c r="D105" s="39">
        <f t="shared" si="136"/>
        <v>-0.51298701298701299</v>
      </c>
      <c r="E105" s="39">
        <f t="shared" si="136"/>
        <v>-0.939813734433672</v>
      </c>
      <c r="F105" s="39">
        <f t="shared" si="136"/>
        <v>-0.65569652053762095</v>
      </c>
      <c r="G105" s="39">
        <f t="shared" si="136"/>
        <v>-0.18137893429462904</v>
      </c>
      <c r="H105" s="39">
        <f t="shared" si="136"/>
        <v>-0.16453052454434811</v>
      </c>
      <c r="I105" s="39">
        <f t="shared" si="136"/>
        <v>-0.16122591408002329</v>
      </c>
      <c r="J105" s="39">
        <f t="shared" si="136"/>
        <v>-0.14899335893922719</v>
      </c>
      <c r="K105" s="39">
        <f t="shared" si="136"/>
        <v>-0.15237913397246897</v>
      </c>
      <c r="L105" s="39">
        <f t="shared" si="136"/>
        <v>-0.19850719679479956</v>
      </c>
      <c r="M105" s="39">
        <f t="shared" si="136"/>
        <v>-0.16397076675686231</v>
      </c>
      <c r="N105" s="39">
        <f t="shared" si="136"/>
        <v>-0.15049077963208377</v>
      </c>
      <c r="O105" s="39">
        <f t="shared" ref="O105:U105" si="137">O103/O104</f>
        <v>-0.14118806110980062</v>
      </c>
      <c r="P105" s="39">
        <f t="shared" si="137"/>
        <v>-0.19045060682453752</v>
      </c>
      <c r="Q105" s="39">
        <f t="shared" si="137"/>
        <v>-9.8862063558079749E-2</v>
      </c>
      <c r="R105" s="39">
        <f t="shared" si="137"/>
        <v>-0.1643137845572428</v>
      </c>
      <c r="S105" s="39">
        <f t="shared" si="137"/>
        <v>-7.2935087771883025E-2</v>
      </c>
      <c r="T105" s="39">
        <f t="shared" si="137"/>
        <v>-0.14500425806154624</v>
      </c>
      <c r="U105" s="39">
        <f t="shared" si="137"/>
        <v>-0.28100424254966888</v>
      </c>
      <c r="V105" s="39">
        <f>V103/V104</f>
        <v>-0.57017729102433734</v>
      </c>
      <c r="W105" s="39">
        <f>W103/W104</f>
        <v>-0.45409291395098461</v>
      </c>
      <c r="X105" s="39">
        <f>X103/X104</f>
        <v>-0.4363302650240552</v>
      </c>
      <c r="AF105" s="39">
        <f t="shared" ref="AF105" si="138">SUM(C105:F105)</f>
        <v>-2.8061920319668796</v>
      </c>
      <c r="AG105" s="39">
        <f t="shared" ref="AG105" si="139">SUM(G105:J105)</f>
        <v>-0.65612873185822762</v>
      </c>
      <c r="AH105" s="39">
        <f t="shared" ref="AH105" si="140">SUM(K105:N105)</f>
        <v>-0.66534787715621457</v>
      </c>
      <c r="AI105" s="39">
        <f t="shared" ref="AI105" si="141">SUM(O105:R105)</f>
        <v>-0.59481451604966074</v>
      </c>
      <c r="AJ105" s="39">
        <f t="shared" ref="AJ105" si="142">SUM(P105:S105)</f>
        <v>-0.52656154271174316</v>
      </c>
      <c r="AK105" s="39">
        <f t="shared" ref="AK105" si="143">SUM(S105:V105)</f>
        <v>-1.0691208794074356</v>
      </c>
    </row>
    <row r="106" spans="1:99">
      <c r="X106" s="1"/>
    </row>
    <row r="107" spans="1:99">
      <c r="B107" s="1" t="s">
        <v>137</v>
      </c>
      <c r="C107" s="85">
        <f t="shared" ref="C107:W107" si="144">C103/C37</f>
        <v>-0.99687500000000007</v>
      </c>
      <c r="D107" s="85">
        <f t="shared" si="144"/>
        <v>-0.7796052631578948</v>
      </c>
      <c r="E107" s="85">
        <f t="shared" si="144"/>
        <v>-1.3974763406940063</v>
      </c>
      <c r="F107" s="85">
        <f t="shared" si="144"/>
        <v>-1.4070080862533694</v>
      </c>
      <c r="G107" s="85">
        <f t="shared" si="144"/>
        <v>-1.1945137157107231</v>
      </c>
      <c r="H107" s="85">
        <f t="shared" si="144"/>
        <v>-0.9049586776859504</v>
      </c>
      <c r="I107" s="85">
        <f t="shared" si="144"/>
        <v>-0.86921529175050305</v>
      </c>
      <c r="J107" s="85">
        <f t="shared" si="144"/>
        <v>-0.75094339622641504</v>
      </c>
      <c r="K107" s="85">
        <f t="shared" si="144"/>
        <v>-0.78747628083491461</v>
      </c>
      <c r="L107" s="85">
        <f t="shared" si="144"/>
        <v>-1.0148698884758365</v>
      </c>
      <c r="M107" s="85">
        <f t="shared" si="144"/>
        <v>-0.84115523465703979</v>
      </c>
      <c r="N107" s="85">
        <f t="shared" si="144"/>
        <v>-0.68251273344651964</v>
      </c>
      <c r="O107" s="85">
        <f t="shared" si="144"/>
        <v>-0.67384105960264906</v>
      </c>
      <c r="P107" s="85">
        <f t="shared" si="144"/>
        <v>-0.90507364975450089</v>
      </c>
      <c r="Q107" s="85">
        <f t="shared" si="144"/>
        <v>-0.47308319738988586</v>
      </c>
      <c r="R107" s="85">
        <f t="shared" si="144"/>
        <v>-0.77922077922077926</v>
      </c>
      <c r="S107" s="85">
        <f t="shared" si="144"/>
        <v>-0.33031674208144796</v>
      </c>
      <c r="T107" s="85">
        <f t="shared" si="144"/>
        <v>-0.60081743869209803</v>
      </c>
      <c r="U107" s="85">
        <f t="shared" si="144"/>
        <v>-1.0688806888068882</v>
      </c>
      <c r="V107" s="85">
        <f t="shared" si="144"/>
        <v>-2.0218894009216593</v>
      </c>
      <c r="W107" s="85">
        <f t="shared" si="144"/>
        <v>-1.6656050955414012</v>
      </c>
      <c r="X107" s="85">
        <f t="shared" ref="X107" si="145">X103/X37</f>
        <v>-1.3519801468307311</v>
      </c>
      <c r="AF107" s="85">
        <f t="shared" ref="AF107:AK107" si="146">AF103/AF37</f>
        <v>-1.1592987804878052</v>
      </c>
      <c r="AG107" s="85">
        <f t="shared" si="146"/>
        <v>-0.91370292887029292</v>
      </c>
      <c r="AH107" s="85">
        <f t="shared" si="146"/>
        <v>-0.82835144927536219</v>
      </c>
      <c r="AI107" s="85">
        <f t="shared" si="146"/>
        <v>-0.70785597381342058</v>
      </c>
      <c r="AJ107" s="85">
        <f t="shared" si="146"/>
        <v>-0.61606072712744708</v>
      </c>
      <c r="AK107" s="85">
        <f t="shared" si="146"/>
        <v>-1.0669265756985054</v>
      </c>
    </row>
    <row r="108" spans="1:99" s="2" customFormat="1" ht="15">
      <c r="B108" s="1" t="s">
        <v>138</v>
      </c>
      <c r="C108" s="85">
        <f t="shared" ref="C108:W108" si="147">-C102/C37</f>
        <v>8.1250000000000003E-2</v>
      </c>
      <c r="D108" s="85">
        <f t="shared" si="147"/>
        <v>0.10855263157894737</v>
      </c>
      <c r="E108" s="85">
        <f t="shared" si="147"/>
        <v>8.8328075709779172E-2</v>
      </c>
      <c r="F108" s="85">
        <f t="shared" si="147"/>
        <v>0.16711590296495957</v>
      </c>
      <c r="G108" s="85">
        <f t="shared" si="147"/>
        <v>8.7281795511221935E-2</v>
      </c>
      <c r="H108" s="85">
        <f t="shared" si="147"/>
        <v>8.8842975206611566E-2</v>
      </c>
      <c r="I108" s="85">
        <f t="shared" si="147"/>
        <v>6.0362173038229376E-2</v>
      </c>
      <c r="J108" s="85">
        <f t="shared" si="147"/>
        <v>3.7735849056603772E-2</v>
      </c>
      <c r="K108" s="85">
        <f t="shared" si="147"/>
        <v>0.13472485768500947</v>
      </c>
      <c r="L108" s="85">
        <f t="shared" si="147"/>
        <v>0.308550185873606</v>
      </c>
      <c r="M108" s="85">
        <f t="shared" si="147"/>
        <v>0.15523465703971118</v>
      </c>
      <c r="N108" s="85">
        <f t="shared" si="147"/>
        <v>0.17147707979626486</v>
      </c>
      <c r="O108" s="85">
        <f t="shared" si="147"/>
        <v>0.18874172185430466</v>
      </c>
      <c r="P108" s="85">
        <f t="shared" si="147"/>
        <v>0.27168576104746317</v>
      </c>
      <c r="Q108" s="85">
        <f t="shared" si="147"/>
        <v>0.14518760195758565</v>
      </c>
      <c r="R108" s="85">
        <f t="shared" si="147"/>
        <v>0.20779220779220781</v>
      </c>
      <c r="S108" s="85">
        <f t="shared" si="147"/>
        <v>0.14027149321266971</v>
      </c>
      <c r="T108" s="85">
        <f t="shared" si="147"/>
        <v>0.29291553133514986</v>
      </c>
      <c r="U108" s="85">
        <f t="shared" si="147"/>
        <v>0.34071340713407133</v>
      </c>
      <c r="V108" s="85">
        <f t="shared" si="147"/>
        <v>0.26497695852534564</v>
      </c>
      <c r="W108" s="85">
        <f t="shared" si="147"/>
        <v>0.19108280254777069</v>
      </c>
      <c r="X108" s="85">
        <f t="shared" ref="X108" si="148">-X102/X37</f>
        <v>0.15510288491365939</v>
      </c>
      <c r="Y108" s="35"/>
      <c r="Z108" s="35"/>
      <c r="AA108" s="1"/>
      <c r="AB108" s="1"/>
      <c r="AC108" s="1"/>
      <c r="AD108" s="1"/>
      <c r="AE108" s="1"/>
      <c r="AF108" s="85">
        <f t="shared" ref="AF108:AK108" si="149">-AF102/AF37</f>
        <v>0.11356707317073171</v>
      </c>
      <c r="AG108" s="85">
        <f t="shared" si="149"/>
        <v>6.6945606694560678E-2</v>
      </c>
      <c r="AH108" s="85">
        <f t="shared" si="149"/>
        <v>0.1920289855072464</v>
      </c>
      <c r="AI108" s="85">
        <f t="shared" si="149"/>
        <v>0.20335515548281508</v>
      </c>
      <c r="AJ108" s="85">
        <f t="shared" si="149"/>
        <v>0.19017179384738311</v>
      </c>
      <c r="AK108" s="85">
        <f t="shared" si="149"/>
        <v>0.26478232618583497</v>
      </c>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row>
  </sheetData>
  <mergeCells count="1">
    <mergeCell ref="BD74:BE74"/>
  </mergeCells>
  <conditionalFormatting sqref="BD74">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Sell",BD74)))</formula>
    </cfRule>
    <cfRule type="containsText" dxfId="3" priority="3" operator="containsText" text="Sell">
      <formula>NOT(ISERROR(SEARCH("Sell",BD74)))</formula>
    </cfRule>
    <cfRule type="containsText" dxfId="2" priority="4" operator="containsText" text="Hold">
      <formula>NOT(ISERROR(SEARCH("Hold",BD74)))</formula>
    </cfRule>
    <cfRule type="beginsWith" dxfId="1" priority="5" operator="beginsWith" text="Buy">
      <formula>LEFT(BD74,LEN("Buy"))="Buy"</formula>
    </cfRule>
    <cfRule type="beginsWith" dxfId="0" priority="6" operator="beginsWith" text="Strong">
      <formula>LEFT(BD74,LEN("Strong"))="Strong"</formula>
    </cfRule>
  </conditionalFormatting>
  <pageMargins left="0.7" right="0.7" top="0.75" bottom="0.75" header="0.3" footer="0.3"/>
  <ignoredErrors>
    <ignoredError sqref="AI29 W30:W31 F52:W52 AF52:AK53 G13:W13 W14:W16 O14:U17 B34:U34 S18 B36:U37 B35:N35 S9:W12 B24:B33 O29:U33 S24:U28 M97:M98 AI97:AJ97" evalError="1"/>
    <ignoredError sqref="AF37:AK38 N92:W92 N95:W96 N93:W93 N99:W99 V97:W98 N94:W94 AI35:AK35 AF101:AK103 AF105:AK105 X92:X98" formulaRange="1"/>
    <ignoredError sqref="N97:U98 AF51:AK51" evalError="1" formulaRange="1"/>
    <ignoredError sqref="AF104:AK104" formula="1" formulaRange="1"/>
    <ignoredError sqref="AL104"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I1590"/>
  <sheetViews>
    <sheetView topLeftCell="P1" zoomScale="85" zoomScaleNormal="85" workbookViewId="0">
      <selection activeCell="AI146" sqref="AI146"/>
    </sheetView>
  </sheetViews>
  <sheetFormatPr defaultColWidth="9.140625" defaultRowHeight="14.25"/>
  <cols>
    <col min="1" max="7" width="0" style="1" hidden="1" customWidth="1"/>
    <col min="8" max="8" width="3.140625" style="1" hidden="1" customWidth="1"/>
    <col min="9" max="15" width="0" style="1" hidden="1" customWidth="1"/>
    <col min="16" max="16" width="3.140625" style="1" customWidth="1"/>
    <col min="17" max="36" width="9.140625" style="1"/>
    <col min="37" max="37" width="2.85546875" style="1" customWidth="1"/>
    <col min="38" max="16384" width="9.140625" style="1"/>
  </cols>
  <sheetData>
    <row r="1" spans="16:87">
      <c r="CI1" s="1">
        <v>0</v>
      </c>
    </row>
    <row r="2" spans="16:87" ht="15">
      <c r="P2" s="2" t="s">
        <v>93</v>
      </c>
      <c r="AL2" s="2" t="s">
        <v>135</v>
      </c>
    </row>
    <row r="29" spans="17:38">
      <c r="Q29" s="1" t="s">
        <v>14</v>
      </c>
      <c r="R29" s="1" t="s">
        <v>15</v>
      </c>
    </row>
    <row r="30" spans="17:38">
      <c r="R30" s="1" t="s">
        <v>16</v>
      </c>
    </row>
    <row r="31" spans="17:38">
      <c r="R31" s="1" t="s">
        <v>17</v>
      </c>
    </row>
    <row r="32" spans="17:38" ht="15">
      <c r="AL32" s="2" t="s">
        <v>136</v>
      </c>
    </row>
    <row r="33" spans="16:38" ht="15">
      <c r="P33" s="2" t="s">
        <v>173</v>
      </c>
      <c r="AL33" s="2" t="s">
        <v>73</v>
      </c>
    </row>
    <row r="62" spans="17:18">
      <c r="Q62" s="1" t="s">
        <v>14</v>
      </c>
      <c r="R62" s="1" t="s">
        <v>174</v>
      </c>
    </row>
    <row r="63" spans="17:18">
      <c r="R63" s="1" t="s">
        <v>16</v>
      </c>
    </row>
    <row r="64" spans="17:18">
      <c r="R64" s="1" t="s">
        <v>17</v>
      </c>
    </row>
    <row r="66" spans="16:38" ht="15">
      <c r="P66" s="2" t="s">
        <v>1260</v>
      </c>
      <c r="AL66" s="2" t="s">
        <v>74</v>
      </c>
    </row>
    <row r="98" spans="16:38">
      <c r="Q98" s="1" t="s">
        <v>14</v>
      </c>
      <c r="R98" s="1" t="s">
        <v>15</v>
      </c>
    </row>
    <row r="99" spans="16:38">
      <c r="R99" s="1" t="s">
        <v>16</v>
      </c>
    </row>
    <row r="100" spans="16:38">
      <c r="R100" s="1" t="s">
        <v>17</v>
      </c>
    </row>
    <row r="102" spans="16:38" ht="15">
      <c r="P102" s="2" t="s">
        <v>1260</v>
      </c>
      <c r="AL102" s="2" t="s">
        <v>75</v>
      </c>
    </row>
    <row r="134" spans="16:38">
      <c r="Q134" s="1" t="s">
        <v>14</v>
      </c>
      <c r="R134" s="1" t="s">
        <v>15</v>
      </c>
    </row>
    <row r="135" spans="16:38" ht="15">
      <c r="R135" s="1" t="s">
        <v>16</v>
      </c>
      <c r="AL135" s="2" t="s">
        <v>76</v>
      </c>
    </row>
    <row r="136" spans="16:38">
      <c r="R136" s="1" t="s">
        <v>17</v>
      </c>
    </row>
    <row r="138" spans="16:38" ht="15">
      <c r="P138" s="2" t="s">
        <v>96</v>
      </c>
    </row>
    <row r="167" spans="16:18">
      <c r="Q167" s="1" t="s">
        <v>14</v>
      </c>
      <c r="R167" s="1" t="s">
        <v>15</v>
      </c>
    </row>
    <row r="168" spans="16:18">
      <c r="R168" s="1" t="s">
        <v>16</v>
      </c>
    </row>
    <row r="169" spans="16:18">
      <c r="R169" s="1" t="s">
        <v>17</v>
      </c>
    </row>
    <row r="171" spans="16:18" ht="15">
      <c r="P171" s="2" t="s">
        <v>95</v>
      </c>
    </row>
    <row r="187" ht="15" customHeight="1"/>
    <row r="200" spans="17:18">
      <c r="Q200" s="1" t="s">
        <v>14</v>
      </c>
      <c r="R200" s="1" t="s">
        <v>15</v>
      </c>
    </row>
    <row r="201" spans="17:18">
      <c r="R201" s="1" t="s">
        <v>16</v>
      </c>
    </row>
    <row r="202" spans="17:18">
      <c r="R202" s="1" t="s">
        <v>17</v>
      </c>
    </row>
    <row r="217" spans="1:15">
      <c r="A217" s="1" t="s">
        <v>114</v>
      </c>
      <c r="I217" s="1" t="s">
        <v>1258</v>
      </c>
    </row>
    <row r="218" spans="1:15">
      <c r="A218" s="1" t="s">
        <v>1257</v>
      </c>
      <c r="I218" s="1" t="s">
        <v>1257</v>
      </c>
    </row>
    <row r="219" spans="1:15" ht="13.9" customHeight="1">
      <c r="A219" s="24" t="s">
        <v>18</v>
      </c>
      <c r="B219" s="24" t="s">
        <v>19</v>
      </c>
      <c r="C219" s="24" t="s">
        <v>20</v>
      </c>
      <c r="D219" s="24" t="s">
        <v>21</v>
      </c>
      <c r="E219" s="24" t="s">
        <v>22</v>
      </c>
      <c r="F219" s="24" t="s">
        <v>23</v>
      </c>
      <c r="G219" s="24" t="s">
        <v>24</v>
      </c>
      <c r="I219" s="24" t="s">
        <v>18</v>
      </c>
      <c r="J219" s="24" t="s">
        <v>19</v>
      </c>
      <c r="K219" s="24" t="s">
        <v>20</v>
      </c>
      <c r="L219" s="24" t="s">
        <v>21</v>
      </c>
      <c r="M219" s="24" t="s">
        <v>22</v>
      </c>
      <c r="N219" s="24" t="s">
        <v>23</v>
      </c>
      <c r="O219" s="24" t="s">
        <v>24</v>
      </c>
    </row>
    <row r="220" spans="1:15">
      <c r="A220" s="94">
        <v>686.1</v>
      </c>
      <c r="B220" s="94">
        <v>691.5</v>
      </c>
      <c r="C220" s="94">
        <v>685</v>
      </c>
      <c r="D220" s="94">
        <v>689.17</v>
      </c>
      <c r="E220" s="94">
        <v>13326373.3358</v>
      </c>
      <c r="F220" s="94" t="s">
        <v>254</v>
      </c>
      <c r="G220" s="25">
        <f t="shared" ref="G220:G283" si="0">A220/D220-1</f>
        <v>-4.4546338349027437E-3</v>
      </c>
      <c r="I220" s="94">
        <v>28.77</v>
      </c>
      <c r="J220" s="94">
        <v>29.135000000000002</v>
      </c>
      <c r="K220" s="94">
        <v>26.71</v>
      </c>
      <c r="L220" s="94">
        <v>27.96</v>
      </c>
      <c r="M220" s="94">
        <v>15178413.589199999</v>
      </c>
      <c r="N220" s="94" t="s">
        <v>254</v>
      </c>
      <c r="O220" s="25">
        <f t="shared" ref="O220:O283" si="1">I220/L220-1</f>
        <v>2.8969957081544928E-2</v>
      </c>
    </row>
    <row r="221" spans="1:15">
      <c r="A221" s="94">
        <v>688.11</v>
      </c>
      <c r="B221" s="94">
        <v>689.7</v>
      </c>
      <c r="C221" s="94">
        <v>685.7</v>
      </c>
      <c r="D221" s="94">
        <v>689.3</v>
      </c>
      <c r="E221" s="94">
        <v>17717272.326900002</v>
      </c>
      <c r="F221" s="94" t="s">
        <v>255</v>
      </c>
      <c r="G221" s="25">
        <f t="shared" si="0"/>
        <v>-1.7263890903814749E-3</v>
      </c>
      <c r="I221" s="94">
        <v>28.23</v>
      </c>
      <c r="J221" s="94">
        <v>29</v>
      </c>
      <c r="K221" s="94">
        <v>26.33</v>
      </c>
      <c r="L221" s="94">
        <v>28.65</v>
      </c>
      <c r="M221" s="94">
        <v>17151428.4003</v>
      </c>
      <c r="N221" s="94" t="s">
        <v>255</v>
      </c>
      <c r="O221" s="25">
        <f t="shared" si="1"/>
        <v>-1.4659685863874228E-2</v>
      </c>
    </row>
    <row r="222" spans="1:15">
      <c r="A222" s="94">
        <v>681.41</v>
      </c>
      <c r="B222" s="94">
        <v>691.53</v>
      </c>
      <c r="C222" s="94">
        <v>679.64</v>
      </c>
      <c r="D222" s="94">
        <v>690.76</v>
      </c>
      <c r="E222" s="94">
        <v>14960955.4219</v>
      </c>
      <c r="F222" s="94" t="s">
        <v>256</v>
      </c>
      <c r="G222" s="25">
        <f t="shared" si="0"/>
        <v>-1.3535815623371361E-2</v>
      </c>
      <c r="I222" s="94">
        <v>28.22</v>
      </c>
      <c r="J222" s="94">
        <v>29.35</v>
      </c>
      <c r="K222" s="94">
        <v>28.08</v>
      </c>
      <c r="L222" s="94">
        <v>28.39</v>
      </c>
      <c r="M222" s="94">
        <v>10639759.7641</v>
      </c>
      <c r="N222" s="94" t="s">
        <v>256</v>
      </c>
      <c r="O222" s="25">
        <f t="shared" si="1"/>
        <v>-5.9880239520958556E-3</v>
      </c>
    </row>
    <row r="223" spans="1:15">
      <c r="A223" s="94">
        <v>689.75</v>
      </c>
      <c r="B223" s="94">
        <v>694.57</v>
      </c>
      <c r="C223" s="94">
        <v>689.44</v>
      </c>
      <c r="D223" s="94">
        <v>693.83</v>
      </c>
      <c r="E223" s="94">
        <v>13283626.8026</v>
      </c>
      <c r="F223" s="94" t="s">
        <v>257</v>
      </c>
      <c r="G223" s="25">
        <f t="shared" si="0"/>
        <v>-5.8804029805572533E-3</v>
      </c>
      <c r="I223" s="94">
        <v>28.21</v>
      </c>
      <c r="J223" s="94">
        <v>31.25</v>
      </c>
      <c r="K223" s="94">
        <v>27.0442</v>
      </c>
      <c r="L223" s="94">
        <v>30.02</v>
      </c>
      <c r="M223" s="94">
        <v>23141670.9144</v>
      </c>
      <c r="N223" s="94" t="s">
        <v>257</v>
      </c>
      <c r="O223" s="25">
        <f t="shared" si="1"/>
        <v>-6.0293137908061234E-2</v>
      </c>
    </row>
    <row r="224" spans="1:15">
      <c r="A224" s="94">
        <v>693.83</v>
      </c>
      <c r="B224" s="94">
        <v>695.75</v>
      </c>
      <c r="C224" s="94">
        <v>691.26</v>
      </c>
      <c r="D224" s="94">
        <v>691.3</v>
      </c>
      <c r="E224" s="94">
        <v>14017149.8136</v>
      </c>
      <c r="F224" s="94" t="s">
        <v>258</v>
      </c>
      <c r="G224" s="25">
        <f t="shared" si="0"/>
        <v>3.6597714451036545E-3</v>
      </c>
      <c r="I224" s="94">
        <v>30.58</v>
      </c>
      <c r="J224" s="94">
        <v>32.14</v>
      </c>
      <c r="K224" s="94">
        <v>30.11</v>
      </c>
      <c r="L224" s="94">
        <v>32.08</v>
      </c>
      <c r="M224" s="94">
        <v>14745533.993000001</v>
      </c>
      <c r="N224" s="94" t="s">
        <v>258</v>
      </c>
      <c r="O224" s="25">
        <f t="shared" si="1"/>
        <v>-4.6758104738154671E-2</v>
      </c>
    </row>
    <row r="225" spans="1:19">
      <c r="A225" s="94">
        <v>681.95</v>
      </c>
      <c r="B225" s="94">
        <v>684.43870000000004</v>
      </c>
      <c r="C225" s="94">
        <v>675.81</v>
      </c>
      <c r="D225" s="94">
        <v>681.07500000000005</v>
      </c>
      <c r="E225" s="94">
        <v>6296298.6447999999</v>
      </c>
      <c r="F225" s="94" t="s">
        <v>259</v>
      </c>
      <c r="G225" s="25">
        <f t="shared" si="0"/>
        <v>1.2847336930588149E-3</v>
      </c>
      <c r="I225" s="94">
        <v>31.15</v>
      </c>
      <c r="J225" s="94">
        <v>34.15</v>
      </c>
      <c r="K225" s="94">
        <v>29.77</v>
      </c>
      <c r="L225" s="94">
        <v>33.89</v>
      </c>
      <c r="M225" s="94">
        <v>19504822.920600001</v>
      </c>
      <c r="N225" s="94" t="s">
        <v>259</v>
      </c>
      <c r="O225" s="25">
        <f t="shared" si="1"/>
        <v>-8.0849808203009799E-2</v>
      </c>
    </row>
    <row r="226" spans="1:19">
      <c r="A226" s="94">
        <v>678.23</v>
      </c>
      <c r="B226" s="94">
        <v>680.38</v>
      </c>
      <c r="C226" s="94">
        <v>666</v>
      </c>
      <c r="D226" s="94">
        <v>670.1</v>
      </c>
      <c r="E226" s="94">
        <v>19868903.494199999</v>
      </c>
      <c r="F226" s="94" t="s">
        <v>260</v>
      </c>
      <c r="G226" s="25">
        <f t="shared" si="0"/>
        <v>1.2132517534696241E-2</v>
      </c>
      <c r="I226" s="94">
        <v>34.17</v>
      </c>
      <c r="J226" s="94">
        <v>34.32</v>
      </c>
      <c r="K226" s="94">
        <v>30.42</v>
      </c>
      <c r="L226" s="94">
        <v>31.5</v>
      </c>
      <c r="M226" s="94">
        <v>15976293.594599999</v>
      </c>
      <c r="N226" s="94" t="s">
        <v>260</v>
      </c>
      <c r="O226" s="25">
        <f t="shared" si="1"/>
        <v>8.4761904761904816E-2</v>
      </c>
    </row>
    <row r="227" spans="1:19">
      <c r="A227" s="94">
        <v>667.05</v>
      </c>
      <c r="B227" s="94">
        <v>678.875</v>
      </c>
      <c r="C227" s="94">
        <v>666.88</v>
      </c>
      <c r="D227" s="94">
        <v>674.31500000000005</v>
      </c>
      <c r="E227" s="94">
        <v>16308606.3871</v>
      </c>
      <c r="F227" s="94" t="s">
        <v>261</v>
      </c>
      <c r="G227" s="25">
        <f t="shared" si="0"/>
        <v>-1.0773896472716871E-2</v>
      </c>
      <c r="I227" s="94">
        <v>30.72</v>
      </c>
      <c r="J227" s="94">
        <v>31.8</v>
      </c>
      <c r="K227" s="94">
        <v>30.2</v>
      </c>
      <c r="L227" s="94">
        <v>30.89</v>
      </c>
      <c r="M227" s="94">
        <v>11044012.5232</v>
      </c>
      <c r="N227" s="94" t="s">
        <v>261</v>
      </c>
      <c r="O227" s="25">
        <f t="shared" si="1"/>
        <v>-5.5033991583036679E-3</v>
      </c>
    </row>
    <row r="228" spans="1:19">
      <c r="A228" s="94">
        <v>677.7</v>
      </c>
      <c r="B228" s="94">
        <v>686.76</v>
      </c>
      <c r="C228" s="94">
        <v>664.32010000000002</v>
      </c>
      <c r="D228" s="94">
        <v>683.71</v>
      </c>
      <c r="E228" s="94">
        <v>13784137.2391</v>
      </c>
      <c r="F228" s="94" t="s">
        <v>262</v>
      </c>
      <c r="G228" s="25">
        <f t="shared" si="0"/>
        <v>-8.7902765792514659E-3</v>
      </c>
      <c r="I228" s="94">
        <v>31.17</v>
      </c>
      <c r="J228" s="94">
        <v>34.369999999999997</v>
      </c>
      <c r="K228" s="94">
        <v>29.32</v>
      </c>
      <c r="L228" s="94">
        <v>33.42</v>
      </c>
      <c r="M228" s="94">
        <v>22105338.9921</v>
      </c>
      <c r="N228" s="94" t="s">
        <v>262</v>
      </c>
      <c r="O228" s="25">
        <f t="shared" si="1"/>
        <v>-6.7324955116696561E-2</v>
      </c>
    </row>
    <row r="229" spans="1:19">
      <c r="A229" s="94">
        <v>679.68</v>
      </c>
      <c r="B229" s="94">
        <v>685.29</v>
      </c>
      <c r="C229" s="94">
        <v>678.7</v>
      </c>
      <c r="D229" s="94">
        <v>683.47</v>
      </c>
      <c r="E229" s="94">
        <v>8744745.4520999994</v>
      </c>
      <c r="F229" s="94" t="s">
        <v>263</v>
      </c>
      <c r="G229" s="25">
        <f t="shared" si="0"/>
        <v>-5.5452324169313894E-3</v>
      </c>
      <c r="I229" s="94">
        <v>32.74</v>
      </c>
      <c r="J229" s="94">
        <v>34.04</v>
      </c>
      <c r="K229" s="94">
        <v>31.33</v>
      </c>
      <c r="L229" s="94">
        <v>34.01</v>
      </c>
      <c r="M229" s="94">
        <v>20005203.786400001</v>
      </c>
      <c r="N229" s="94" t="s">
        <v>263</v>
      </c>
      <c r="O229" s="25">
        <f t="shared" si="1"/>
        <v>-3.7341958247574136E-2</v>
      </c>
    </row>
    <row r="230" spans="1:19">
      <c r="A230" s="94">
        <v>678</v>
      </c>
      <c r="B230" s="94">
        <v>692.18</v>
      </c>
      <c r="C230" s="94">
        <v>676.25</v>
      </c>
      <c r="D230" s="94">
        <v>691.71</v>
      </c>
      <c r="E230" s="94">
        <v>10689226.337300001</v>
      </c>
      <c r="F230" s="94" t="s">
        <v>264</v>
      </c>
      <c r="G230" s="25">
        <f t="shared" si="0"/>
        <v>-1.9820444984169683E-2</v>
      </c>
      <c r="I230" s="94">
        <v>32.22</v>
      </c>
      <c r="J230" s="94">
        <v>39.18</v>
      </c>
      <c r="K230" s="94">
        <v>31.66</v>
      </c>
      <c r="L230" s="94">
        <v>38.299999999999997</v>
      </c>
      <c r="M230" s="94">
        <v>40356015.812600002</v>
      </c>
      <c r="N230" s="94" t="s">
        <v>264</v>
      </c>
      <c r="O230" s="25">
        <f t="shared" si="1"/>
        <v>-0.15874673629242819</v>
      </c>
    </row>
    <row r="231" spans="1:19">
      <c r="A231" s="94">
        <v>696.06</v>
      </c>
      <c r="B231" s="94">
        <v>697.2</v>
      </c>
      <c r="C231" s="94">
        <v>690.9</v>
      </c>
      <c r="D231" s="94">
        <v>691.49</v>
      </c>
      <c r="E231" s="94">
        <v>6574889.4815999996</v>
      </c>
      <c r="F231" s="94" t="s">
        <v>265</v>
      </c>
      <c r="G231" s="25">
        <f t="shared" si="0"/>
        <v>6.608916976384327E-3</v>
      </c>
      <c r="I231" s="94">
        <v>43.53</v>
      </c>
      <c r="J231" s="94">
        <v>45.164999999999999</v>
      </c>
      <c r="K231" s="94">
        <v>41.3</v>
      </c>
      <c r="L231" s="94">
        <v>43.23</v>
      </c>
      <c r="M231" s="94">
        <v>17737570.208000001</v>
      </c>
      <c r="N231" s="94" t="s">
        <v>265</v>
      </c>
      <c r="O231" s="25">
        <f t="shared" si="1"/>
        <v>6.9396252602360597E-3</v>
      </c>
    </row>
    <row r="232" spans="1:19">
      <c r="A232" s="94">
        <v>693.36</v>
      </c>
      <c r="B232" s="94">
        <v>697.6499</v>
      </c>
      <c r="C232" s="94">
        <v>692.85</v>
      </c>
      <c r="D232" s="94">
        <v>697.08</v>
      </c>
      <c r="E232" s="94">
        <v>5882577.2603000002</v>
      </c>
      <c r="F232" s="94" t="s">
        <v>266</v>
      </c>
      <c r="G232" s="25">
        <f t="shared" si="0"/>
        <v>-5.336546737820691E-3</v>
      </c>
      <c r="I232" s="94">
        <v>43.13</v>
      </c>
      <c r="J232" s="94">
        <v>47.62</v>
      </c>
      <c r="K232" s="94">
        <v>42.664999999999999</v>
      </c>
      <c r="L232" s="94">
        <v>47.62</v>
      </c>
      <c r="M232" s="94">
        <v>15510376.8148</v>
      </c>
      <c r="N232" s="94" t="s">
        <v>266</v>
      </c>
      <c r="O232" s="25">
        <f t="shared" si="1"/>
        <v>-9.4288114237715104E-2</v>
      </c>
    </row>
    <row r="233" spans="1:19" ht="14.45" customHeight="1">
      <c r="A233" s="94">
        <v>698.26</v>
      </c>
      <c r="B233" s="94">
        <v>699.15</v>
      </c>
      <c r="C233" s="94">
        <v>695.78</v>
      </c>
      <c r="D233" s="94">
        <v>696.06</v>
      </c>
      <c r="E233" s="94">
        <v>4698396.5372000001</v>
      </c>
      <c r="F233" s="94" t="s">
        <v>267</v>
      </c>
      <c r="G233" s="25">
        <f t="shared" si="0"/>
        <v>3.1606470706548873E-3</v>
      </c>
      <c r="I233" s="94">
        <v>48.09</v>
      </c>
      <c r="J233" s="94">
        <v>50.77</v>
      </c>
      <c r="K233" s="94">
        <v>46.46</v>
      </c>
      <c r="L233" s="94">
        <v>47.17</v>
      </c>
      <c r="M233" s="94">
        <v>11301286.6346</v>
      </c>
      <c r="N233" s="94" t="s">
        <v>267</v>
      </c>
      <c r="O233" s="25">
        <f t="shared" si="1"/>
        <v>1.9503921984312056E-2</v>
      </c>
    </row>
    <row r="234" spans="1:19" ht="14.45" customHeight="1">
      <c r="A234" s="94">
        <v>697.3</v>
      </c>
      <c r="B234" s="94">
        <v>699.06</v>
      </c>
      <c r="C234" s="94">
        <v>693.94</v>
      </c>
      <c r="D234" s="94">
        <v>694.54</v>
      </c>
      <c r="E234" s="94">
        <v>9948832.8736000005</v>
      </c>
      <c r="F234" s="94" t="s">
        <v>268</v>
      </c>
      <c r="G234" s="25">
        <f t="shared" si="0"/>
        <v>3.9738531977999703E-3</v>
      </c>
      <c r="I234" s="94">
        <v>46.46</v>
      </c>
      <c r="J234" s="94">
        <v>50.75</v>
      </c>
      <c r="K234" s="94">
        <v>45.53</v>
      </c>
      <c r="L234" s="94">
        <v>49.09</v>
      </c>
      <c r="M234" s="94">
        <v>13480274.215</v>
      </c>
      <c r="N234" s="94" t="s">
        <v>268</v>
      </c>
      <c r="O234" s="25">
        <f t="shared" si="1"/>
        <v>-5.35750662049298E-2</v>
      </c>
    </row>
    <row r="235" spans="1:19" ht="14.45" customHeight="1">
      <c r="A235" s="94">
        <v>695.49</v>
      </c>
      <c r="B235" s="94">
        <v>697</v>
      </c>
      <c r="C235" s="94">
        <v>693.89</v>
      </c>
      <c r="D235" s="94">
        <v>695</v>
      </c>
      <c r="E235" s="94">
        <v>5039219.5801999997</v>
      </c>
      <c r="F235" s="94" t="s">
        <v>269</v>
      </c>
      <c r="G235" s="25">
        <f t="shared" si="0"/>
        <v>7.0503597122306694E-4</v>
      </c>
      <c r="I235" s="94">
        <v>51.14</v>
      </c>
      <c r="J235" s="94">
        <v>51.27</v>
      </c>
      <c r="K235" s="94">
        <v>44.78</v>
      </c>
      <c r="L235" s="94">
        <v>49.125</v>
      </c>
      <c r="M235" s="94">
        <v>18701507.839499999</v>
      </c>
      <c r="N235" s="94" t="s">
        <v>269</v>
      </c>
      <c r="O235" s="25">
        <f t="shared" si="1"/>
        <v>4.1017811704834539E-2</v>
      </c>
    </row>
    <row r="236" spans="1:19" ht="14.45" customHeight="1">
      <c r="A236" s="94">
        <v>693.91</v>
      </c>
      <c r="B236" s="94">
        <v>694.29</v>
      </c>
      <c r="C236" s="94">
        <v>688.85</v>
      </c>
      <c r="D236" s="94">
        <v>689.76</v>
      </c>
      <c r="E236" s="94">
        <v>8444851.8936000001</v>
      </c>
      <c r="F236" s="94" t="s">
        <v>270</v>
      </c>
      <c r="G236" s="25">
        <f t="shared" si="0"/>
        <v>6.016585479007075E-3</v>
      </c>
      <c r="I236" s="94">
        <v>51.4</v>
      </c>
      <c r="J236" s="94">
        <v>51.76</v>
      </c>
      <c r="K236" s="94">
        <v>47</v>
      </c>
      <c r="L236" s="94">
        <v>50.15</v>
      </c>
      <c r="M236" s="94">
        <v>10205873.7502</v>
      </c>
      <c r="N236" s="94" t="s">
        <v>270</v>
      </c>
      <c r="O236" s="25">
        <f t="shared" si="1"/>
        <v>2.4925224327019047E-2</v>
      </c>
    </row>
    <row r="237" spans="1:19" ht="14.45" customHeight="1">
      <c r="A237" s="94">
        <v>689.96</v>
      </c>
      <c r="B237" s="94">
        <v>690.78</v>
      </c>
      <c r="C237" s="94">
        <v>687.92</v>
      </c>
      <c r="D237" s="94">
        <v>690.36</v>
      </c>
      <c r="E237" s="94">
        <v>7335365.9545999998</v>
      </c>
      <c r="F237" s="94" t="s">
        <v>271</v>
      </c>
      <c r="G237" s="25">
        <f t="shared" si="0"/>
        <v>-5.7940784518217825E-4</v>
      </c>
      <c r="I237" s="94">
        <v>50.48</v>
      </c>
      <c r="J237" s="94">
        <v>50.98</v>
      </c>
      <c r="K237" s="94">
        <v>47.11</v>
      </c>
      <c r="L237" s="94">
        <v>50.1</v>
      </c>
      <c r="M237" s="94">
        <v>15352438.0802</v>
      </c>
      <c r="N237" s="94" t="s">
        <v>271</v>
      </c>
      <c r="O237" s="25">
        <f t="shared" si="1"/>
        <v>7.5848303393213357E-3</v>
      </c>
    </row>
    <row r="238" spans="1:19" ht="14.45" customHeight="1">
      <c r="A238" s="94">
        <v>690.01</v>
      </c>
      <c r="B238" s="94">
        <v>691.51049999999998</v>
      </c>
      <c r="C238" s="94">
        <v>688.08</v>
      </c>
      <c r="D238" s="94">
        <v>689.65</v>
      </c>
      <c r="E238" s="94">
        <v>6602813.0300000003</v>
      </c>
      <c r="F238" s="94" t="s">
        <v>272</v>
      </c>
      <c r="G238" s="25">
        <f t="shared" si="0"/>
        <v>5.220039150293232E-4</v>
      </c>
      <c r="I238" s="94">
        <v>48.32</v>
      </c>
      <c r="J238" s="94">
        <v>51.13</v>
      </c>
      <c r="K238" s="94">
        <v>45.86</v>
      </c>
      <c r="L238" s="94">
        <v>47.695</v>
      </c>
      <c r="M238" s="94">
        <v>16813952.990899999</v>
      </c>
      <c r="N238" s="94" t="s">
        <v>272</v>
      </c>
      <c r="O238" s="25">
        <f t="shared" si="1"/>
        <v>1.3104098962155364E-2</v>
      </c>
      <c r="Q238" s="26"/>
      <c r="R238" s="26" t="s">
        <v>25</v>
      </c>
      <c r="S238" s="27">
        <f>MIN(O220:O1222)</f>
        <v>-0.2017937219730942</v>
      </c>
    </row>
    <row r="239" spans="1:19" ht="14.45" customHeight="1">
      <c r="A239" s="94">
        <v>685.55</v>
      </c>
      <c r="B239" s="94">
        <v>688.58</v>
      </c>
      <c r="C239" s="94">
        <v>684.47990000000004</v>
      </c>
      <c r="D239" s="94">
        <v>686.1</v>
      </c>
      <c r="E239" s="94">
        <v>4263727.3558</v>
      </c>
      <c r="F239" s="94" t="s">
        <v>273</v>
      </c>
      <c r="G239" s="25">
        <f t="shared" si="0"/>
        <v>-8.0163241509989547E-4</v>
      </c>
      <c r="I239" s="94">
        <v>44.35</v>
      </c>
      <c r="J239" s="94">
        <v>45.265799999999999</v>
      </c>
      <c r="K239" s="94">
        <v>43.100099999999998</v>
      </c>
      <c r="L239" s="94">
        <v>43.35</v>
      </c>
      <c r="M239" s="94">
        <v>9761458.0198999997</v>
      </c>
      <c r="N239" s="94" t="s">
        <v>273</v>
      </c>
      <c r="O239" s="25">
        <f t="shared" si="1"/>
        <v>2.3068050749711633E-2</v>
      </c>
      <c r="Q239" s="26"/>
      <c r="R239" s="26" t="s">
        <v>26</v>
      </c>
      <c r="S239" s="27">
        <f>MAX(O220:O1222)</f>
        <v>0.25373134328358216</v>
      </c>
    </row>
    <row r="240" spans="1:19" ht="14.45" customHeight="1">
      <c r="A240" s="94">
        <v>682.84</v>
      </c>
      <c r="B240" s="94">
        <v>684.82500000000005</v>
      </c>
      <c r="C240" s="94">
        <v>677.62</v>
      </c>
      <c r="D240" s="94">
        <v>679.08</v>
      </c>
      <c r="E240" s="94">
        <v>7288934.5127999997</v>
      </c>
      <c r="F240" s="94" t="s">
        <v>274</v>
      </c>
      <c r="G240" s="25">
        <f t="shared" si="0"/>
        <v>5.5369028685869903E-3</v>
      </c>
      <c r="I240" s="94">
        <v>42.48</v>
      </c>
      <c r="J240" s="94">
        <v>44</v>
      </c>
      <c r="K240" s="94">
        <v>41.04</v>
      </c>
      <c r="L240" s="94">
        <v>42.066000000000003</v>
      </c>
      <c r="M240" s="94">
        <v>7143277.3660000004</v>
      </c>
      <c r="N240" s="94" t="s">
        <v>274</v>
      </c>
      <c r="O240" s="25">
        <f t="shared" si="1"/>
        <v>9.8416773641418764E-3</v>
      </c>
      <c r="Q240" s="26"/>
      <c r="R240" s="26" t="s">
        <v>27</v>
      </c>
      <c r="S240" s="27">
        <f>AVERAGE(O220:O1222)</f>
        <v>5.4308194924342176E-6</v>
      </c>
    </row>
    <row r="241" spans="1:25" ht="14.45" customHeight="1">
      <c r="A241" s="94">
        <v>681.57</v>
      </c>
      <c r="B241" s="94">
        <v>682</v>
      </c>
      <c r="C241" s="94">
        <v>674.74009999999998</v>
      </c>
      <c r="D241" s="94">
        <v>676.32</v>
      </c>
      <c r="E241" s="94">
        <v>5437520.4704</v>
      </c>
      <c r="F241" s="94" t="s">
        <v>275</v>
      </c>
      <c r="G241" s="25">
        <f t="shared" si="0"/>
        <v>7.762597586941089E-3</v>
      </c>
      <c r="I241" s="94">
        <v>42.66</v>
      </c>
      <c r="J241" s="94">
        <v>43.55</v>
      </c>
      <c r="K241" s="94">
        <v>40.67</v>
      </c>
      <c r="L241" s="94">
        <v>42.4</v>
      </c>
      <c r="M241" s="94">
        <v>8080839.0862999996</v>
      </c>
      <c r="N241" s="94" t="s">
        <v>275</v>
      </c>
      <c r="O241" s="25">
        <f t="shared" si="1"/>
        <v>6.1320754716980286E-3</v>
      </c>
      <c r="Q241" s="26"/>
      <c r="R241" s="26" t="s">
        <v>28</v>
      </c>
      <c r="S241" s="27">
        <f>MEDIAN(O220:O1222)</f>
        <v>-7.5949367088612441E-4</v>
      </c>
    </row>
    <row r="242" spans="1:25" ht="14.45" customHeight="1">
      <c r="A242" s="94">
        <v>674.59</v>
      </c>
      <c r="B242" s="94">
        <v>678.15</v>
      </c>
      <c r="C242" s="94">
        <v>672.55</v>
      </c>
      <c r="D242" s="94">
        <v>675.56</v>
      </c>
      <c r="E242" s="94">
        <v>5595102.2361000003</v>
      </c>
      <c r="F242" s="94" t="s">
        <v>276</v>
      </c>
      <c r="G242" s="25">
        <f t="shared" si="0"/>
        <v>-1.4358458168036714E-3</v>
      </c>
      <c r="I242" s="94">
        <v>41.59</v>
      </c>
      <c r="J242" s="94">
        <v>41.75</v>
      </c>
      <c r="K242" s="94">
        <v>38.020000000000003</v>
      </c>
      <c r="L242" s="94">
        <v>40.93</v>
      </c>
      <c r="M242" s="94">
        <v>8748798.7988000009</v>
      </c>
      <c r="N242" s="94" t="s">
        <v>276</v>
      </c>
      <c r="O242" s="25">
        <f t="shared" si="1"/>
        <v>1.6125091619838772E-2</v>
      </c>
      <c r="Q242" s="26"/>
      <c r="R242" s="26" t="s">
        <v>29</v>
      </c>
      <c r="S242" s="27">
        <f>_xlfn.STDEV.P(O220:O1222)</f>
        <v>4.2727250178318882E-2</v>
      </c>
      <c r="U242" s="2"/>
    </row>
    <row r="243" spans="1:25" ht="14.45" customHeight="1">
      <c r="A243" s="94">
        <v>678.91</v>
      </c>
      <c r="B243" s="94">
        <v>681.61</v>
      </c>
      <c r="C243" s="94">
        <v>674.25</v>
      </c>
      <c r="D243" s="94">
        <v>680.18</v>
      </c>
      <c r="E243" s="94">
        <v>7548004.3112000003</v>
      </c>
      <c r="F243" s="94" t="s">
        <v>277</v>
      </c>
      <c r="G243" s="25">
        <f t="shared" si="0"/>
        <v>-1.8671528124908354E-3</v>
      </c>
      <c r="I243" s="94">
        <v>41.61</v>
      </c>
      <c r="J243" s="94">
        <v>45.78</v>
      </c>
      <c r="K243" s="94">
        <v>40.26</v>
      </c>
      <c r="L243" s="94">
        <v>43.28</v>
      </c>
      <c r="M243" s="94">
        <v>11396072.7434</v>
      </c>
      <c r="N243" s="94" t="s">
        <v>277</v>
      </c>
      <c r="O243" s="25">
        <f t="shared" si="1"/>
        <v>-3.8585951940850349E-2</v>
      </c>
      <c r="Q243" s="26"/>
      <c r="R243" s="28" t="s">
        <v>30</v>
      </c>
      <c r="S243" s="27">
        <f>3*S242</f>
        <v>0.12818175053495665</v>
      </c>
      <c r="T243" s="26"/>
      <c r="U243" s="2" t="s">
        <v>86</v>
      </c>
    </row>
    <row r="244" spans="1:25" ht="14.45" customHeight="1">
      <c r="A244" s="94">
        <v>679.44</v>
      </c>
      <c r="B244" s="94">
        <v>683.52</v>
      </c>
      <c r="C244" s="94">
        <v>678.44100000000003</v>
      </c>
      <c r="D244" s="94">
        <v>682.04</v>
      </c>
      <c r="E244" s="94">
        <v>6403309.8222000003</v>
      </c>
      <c r="F244" s="94" t="s">
        <v>278</v>
      </c>
      <c r="G244" s="25">
        <f t="shared" si="0"/>
        <v>-3.8120931323675222E-3</v>
      </c>
      <c r="I244" s="94">
        <v>41.62</v>
      </c>
      <c r="J244" s="94">
        <v>43.18</v>
      </c>
      <c r="K244" s="94">
        <v>40.54</v>
      </c>
      <c r="L244" s="94">
        <v>42.07</v>
      </c>
      <c r="M244" s="94">
        <v>8732818.6831</v>
      </c>
      <c r="N244" s="94" t="s">
        <v>278</v>
      </c>
      <c r="O244" s="25">
        <f t="shared" si="1"/>
        <v>-1.0696458283812715E-2</v>
      </c>
      <c r="Q244" s="26"/>
      <c r="R244" s="28" t="s">
        <v>31</v>
      </c>
      <c r="S244" s="56">
        <f>_xlfn.COVARIANCE.P(O220:O468,G220:G468)/_xlfn.VAR.P(G220:G468)</f>
        <v>2.9471352753836424</v>
      </c>
      <c r="T244" s="26"/>
      <c r="U244" s="2" t="s">
        <v>32</v>
      </c>
    </row>
    <row r="245" spans="1:25" ht="14.45" customHeight="1">
      <c r="A245" s="94">
        <v>687.73</v>
      </c>
      <c r="B245" s="94">
        <v>689.1</v>
      </c>
      <c r="C245" s="94">
        <v>683.66</v>
      </c>
      <c r="D245" s="94">
        <v>683.74</v>
      </c>
      <c r="E245" s="94">
        <v>5337833.8098999998</v>
      </c>
      <c r="F245" s="94" t="s">
        <v>279</v>
      </c>
      <c r="G245" s="25">
        <f t="shared" si="0"/>
        <v>5.8355515254335799E-3</v>
      </c>
      <c r="I245" s="94">
        <v>43.04</v>
      </c>
      <c r="J245" s="94">
        <v>43.45</v>
      </c>
      <c r="K245" s="94">
        <v>39.600299999999997</v>
      </c>
      <c r="L245" s="94">
        <v>40.630000000000003</v>
      </c>
      <c r="M245" s="94">
        <v>7970064.659</v>
      </c>
      <c r="N245" s="94" t="s">
        <v>279</v>
      </c>
      <c r="O245" s="25">
        <f t="shared" si="1"/>
        <v>5.9315776519812902E-2</v>
      </c>
    </row>
    <row r="246" spans="1:25" ht="14.45" customHeight="1">
      <c r="A246" s="94">
        <v>682.41</v>
      </c>
      <c r="B246" s="94">
        <v>683.91</v>
      </c>
      <c r="C246" s="94">
        <v>676.2</v>
      </c>
      <c r="D246" s="94">
        <v>678.9</v>
      </c>
      <c r="E246" s="94">
        <v>4882510.3684999999</v>
      </c>
      <c r="F246" s="94" t="s">
        <v>280</v>
      </c>
      <c r="G246" s="25">
        <f t="shared" si="0"/>
        <v>5.1701281484755057E-3</v>
      </c>
      <c r="I246" s="94">
        <v>40.74</v>
      </c>
      <c r="J246" s="94">
        <v>42.2</v>
      </c>
      <c r="K246" s="94">
        <v>38.85</v>
      </c>
      <c r="L246" s="94">
        <v>42.18</v>
      </c>
      <c r="M246" s="94">
        <v>8620143.6217999998</v>
      </c>
      <c r="N246" s="94" t="s">
        <v>280</v>
      </c>
      <c r="O246" s="25">
        <f t="shared" si="1"/>
        <v>-3.4139402560455112E-2</v>
      </c>
      <c r="Q246" s="29" t="s">
        <v>33</v>
      </c>
      <c r="R246" s="30">
        <v>1014</v>
      </c>
    </row>
    <row r="247" spans="1:25" ht="14.45" customHeight="1" thickBot="1">
      <c r="A247" s="94">
        <v>678.67</v>
      </c>
      <c r="B247" s="94">
        <v>679.26</v>
      </c>
      <c r="C247" s="94">
        <v>672.8</v>
      </c>
      <c r="D247" s="94">
        <v>677.47</v>
      </c>
      <c r="E247" s="94">
        <v>6020032.0614999998</v>
      </c>
      <c r="F247" s="94" t="s">
        <v>281</v>
      </c>
      <c r="G247" s="25">
        <f t="shared" si="0"/>
        <v>1.771296145954615E-3</v>
      </c>
      <c r="I247" s="94">
        <v>40.68</v>
      </c>
      <c r="J247" s="94">
        <v>41.88</v>
      </c>
      <c r="K247" s="94">
        <v>38.26</v>
      </c>
      <c r="L247" s="94">
        <v>40.090000000000003</v>
      </c>
      <c r="M247" s="94">
        <v>8897065.6557</v>
      </c>
      <c r="N247" s="94" t="s">
        <v>281</v>
      </c>
      <c r="O247" s="25">
        <f t="shared" si="1"/>
        <v>1.4716887004240453E-2</v>
      </c>
      <c r="Q247" s="1" t="s">
        <v>34</v>
      </c>
      <c r="T247" s="1" t="s">
        <v>35</v>
      </c>
      <c r="X247" s="1" t="s">
        <v>36</v>
      </c>
    </row>
    <row r="248" spans="1:25" ht="14.45" customHeight="1">
      <c r="A248" s="94">
        <v>679.52</v>
      </c>
      <c r="B248" s="94">
        <v>681.06</v>
      </c>
      <c r="C248" s="94">
        <v>677.08</v>
      </c>
      <c r="D248" s="94">
        <v>677.08</v>
      </c>
      <c r="E248" s="94">
        <v>5660494.4861000003</v>
      </c>
      <c r="F248" s="94" t="s">
        <v>282</v>
      </c>
      <c r="G248" s="25">
        <f t="shared" si="0"/>
        <v>3.6037100490340368E-3</v>
      </c>
      <c r="I248" s="94">
        <v>41.84</v>
      </c>
      <c r="J248" s="94">
        <v>43.12</v>
      </c>
      <c r="K248" s="94">
        <v>38.1</v>
      </c>
      <c r="L248" s="94">
        <v>38.65</v>
      </c>
      <c r="M248" s="94">
        <v>12107822.5593</v>
      </c>
      <c r="N248" s="94" t="s">
        <v>282</v>
      </c>
      <c r="O248" s="25">
        <f t="shared" si="1"/>
        <v>8.2535575679172135E-2</v>
      </c>
      <c r="Q248" s="97" t="s">
        <v>37</v>
      </c>
      <c r="R248" s="97" t="s">
        <v>38</v>
      </c>
      <c r="T248" s="31" t="s">
        <v>39</v>
      </c>
      <c r="U248" s="32" t="s">
        <v>40</v>
      </c>
      <c r="X248" s="31" t="s">
        <v>41</v>
      </c>
      <c r="Y248" s="32" t="s">
        <v>42</v>
      </c>
    </row>
    <row r="249" spans="1:25" ht="14.45" customHeight="1">
      <c r="A249" s="94">
        <v>678.04</v>
      </c>
      <c r="B249" s="94">
        <v>678.53</v>
      </c>
      <c r="C249" s="94">
        <v>675.37</v>
      </c>
      <c r="D249" s="94">
        <v>675.7</v>
      </c>
      <c r="E249" s="94">
        <v>4309792.4078000002</v>
      </c>
      <c r="F249" s="94" t="s">
        <v>283</v>
      </c>
      <c r="G249" s="25">
        <f t="shared" si="0"/>
        <v>3.4630753292881344E-3</v>
      </c>
      <c r="I249" s="94">
        <v>39.04</v>
      </c>
      <c r="J249" s="94">
        <v>39.85</v>
      </c>
      <c r="K249" s="94">
        <v>35.799999999999997</v>
      </c>
      <c r="L249" s="94">
        <v>36.4</v>
      </c>
      <c r="M249" s="94">
        <v>12836828.9955</v>
      </c>
      <c r="N249" s="94" t="s">
        <v>283</v>
      </c>
      <c r="O249" s="25">
        <f t="shared" si="1"/>
        <v>7.2527472527472492E-2</v>
      </c>
      <c r="Q249" s="95">
        <v>-0.13500000000000006</v>
      </c>
      <c r="R249">
        <v>5</v>
      </c>
      <c r="T249" s="55">
        <f t="shared" ref="T249:T252" si="2">T250-0.0025</f>
        <v>-0.14500000000000007</v>
      </c>
      <c r="U249" s="1">
        <f t="shared" ref="U249:U280" si="3">_xlfn.NORM.DIST(T249,$S$240,$S$242,FALSE)</f>
        <v>2.9458410569789723E-2</v>
      </c>
      <c r="W249" s="1" t="s">
        <v>77</v>
      </c>
      <c r="X249" s="55">
        <f>S240</f>
        <v>5.4308194924342176E-6</v>
      </c>
      <c r="Y249" s="1">
        <v>0</v>
      </c>
    </row>
    <row r="250" spans="1:25" ht="14.45" customHeight="1">
      <c r="A250" s="94">
        <v>672.54</v>
      </c>
      <c r="B250" s="94">
        <v>676.76009999999997</v>
      </c>
      <c r="C250" s="94">
        <v>670.92</v>
      </c>
      <c r="D250" s="94">
        <v>675.82</v>
      </c>
      <c r="E250" s="94">
        <v>6049366.8409000002</v>
      </c>
      <c r="F250" s="94" t="s">
        <v>284</v>
      </c>
      <c r="G250" s="25">
        <f t="shared" si="0"/>
        <v>-4.8533633215945837E-3</v>
      </c>
      <c r="I250" s="94">
        <v>35.24</v>
      </c>
      <c r="J250" s="94">
        <v>40.92</v>
      </c>
      <c r="K250" s="94">
        <v>34.93</v>
      </c>
      <c r="L250" s="94">
        <v>39.520000000000003</v>
      </c>
      <c r="M250" s="94">
        <v>10367448.648700001</v>
      </c>
      <c r="N250" s="94" t="s">
        <v>284</v>
      </c>
      <c r="O250" s="25">
        <f t="shared" si="1"/>
        <v>-0.1082995951417004</v>
      </c>
      <c r="Q250" s="95">
        <v>-0.13250000000000006</v>
      </c>
      <c r="R250">
        <v>1</v>
      </c>
      <c r="T250" s="55">
        <f t="shared" si="2"/>
        <v>-0.14250000000000007</v>
      </c>
      <c r="U250" s="1">
        <f t="shared" si="3"/>
        <v>3.5867731698812813E-2</v>
      </c>
      <c r="X250" s="55">
        <f>S240</f>
        <v>5.4308194924342176E-6</v>
      </c>
      <c r="Y250" s="1">
        <v>9.5</v>
      </c>
    </row>
    <row r="251" spans="1:25" ht="14.45" customHeight="1">
      <c r="A251" s="94">
        <v>674.66</v>
      </c>
      <c r="B251" s="94">
        <v>675.34</v>
      </c>
      <c r="C251" s="94">
        <v>669.15</v>
      </c>
      <c r="D251" s="94">
        <v>669.45</v>
      </c>
      <c r="E251" s="94">
        <v>6397545.8450999996</v>
      </c>
      <c r="F251" s="94" t="s">
        <v>285</v>
      </c>
      <c r="G251" s="25">
        <f t="shared" si="0"/>
        <v>7.7825080289788406E-3</v>
      </c>
      <c r="I251" s="94">
        <v>39.69</v>
      </c>
      <c r="J251" s="94">
        <v>39.76</v>
      </c>
      <c r="K251" s="94">
        <v>35.51</v>
      </c>
      <c r="L251" s="94">
        <v>36.994999999999997</v>
      </c>
      <c r="M251" s="94">
        <v>7469800.7571999999</v>
      </c>
      <c r="N251" s="94" t="s">
        <v>285</v>
      </c>
      <c r="O251" s="25">
        <f t="shared" si="1"/>
        <v>7.2847682119205226E-2</v>
      </c>
      <c r="Q251" s="95">
        <v>-0.13000000000000006</v>
      </c>
      <c r="R251">
        <v>0</v>
      </c>
      <c r="T251" s="55">
        <f t="shared" si="2"/>
        <v>-0.14000000000000007</v>
      </c>
      <c r="U251" s="1">
        <f t="shared" si="3"/>
        <v>4.3522286916775822E-2</v>
      </c>
      <c r="W251" s="38" t="s">
        <v>78</v>
      </c>
      <c r="X251" s="55">
        <f>($S$242*-3)+$S$240</f>
        <v>-0.1281763197154642</v>
      </c>
      <c r="Y251" s="1">
        <v>0</v>
      </c>
    </row>
    <row r="252" spans="1:25" ht="14.45" customHeight="1">
      <c r="A252" s="94">
        <v>665.3</v>
      </c>
      <c r="B252" s="94">
        <v>666.55</v>
      </c>
      <c r="C252" s="94">
        <v>663.33</v>
      </c>
      <c r="D252" s="94">
        <v>663.58</v>
      </c>
      <c r="E252" s="94">
        <v>4947610.7884</v>
      </c>
      <c r="F252" s="94" t="s">
        <v>286</v>
      </c>
      <c r="G252" s="25">
        <f t="shared" si="0"/>
        <v>2.5920009644653241E-3</v>
      </c>
      <c r="I252" s="94">
        <v>37.130000000000003</v>
      </c>
      <c r="J252" s="94">
        <v>39.43</v>
      </c>
      <c r="K252" s="94">
        <v>35.950000000000003</v>
      </c>
      <c r="L252" s="94">
        <v>39.200000000000003</v>
      </c>
      <c r="M252" s="94">
        <v>8276453.6254000003</v>
      </c>
      <c r="N252" s="94" t="s">
        <v>286</v>
      </c>
      <c r="O252" s="25">
        <f t="shared" si="1"/>
        <v>-5.2806122448979642E-2</v>
      </c>
      <c r="Q252" s="95">
        <v>-0.12750000000000006</v>
      </c>
      <c r="R252">
        <v>0</v>
      </c>
      <c r="T252" s="55">
        <f t="shared" si="2"/>
        <v>-0.13750000000000007</v>
      </c>
      <c r="U252" s="1">
        <f t="shared" si="3"/>
        <v>5.2629918371761099E-2</v>
      </c>
      <c r="W252" s="39"/>
      <c r="X252" s="55">
        <f>($S$242*-3)+$S$240</f>
        <v>-0.1281763197154642</v>
      </c>
      <c r="Y252" s="1">
        <v>1</v>
      </c>
    </row>
    <row r="253" spans="1:25" ht="14.45" customHeight="1">
      <c r="A253" s="94">
        <v>660.12</v>
      </c>
      <c r="B253" s="94">
        <v>663.85</v>
      </c>
      <c r="C253" s="94">
        <v>657.39</v>
      </c>
      <c r="D253" s="94">
        <v>661.99</v>
      </c>
      <c r="E253" s="94">
        <v>5927455.8631999996</v>
      </c>
      <c r="F253" s="94" t="s">
        <v>287</v>
      </c>
      <c r="G253" s="25">
        <f t="shared" si="0"/>
        <v>-2.8248160848350912E-3</v>
      </c>
      <c r="I253" s="94">
        <v>38.54</v>
      </c>
      <c r="J253" s="94">
        <v>39.270000000000003</v>
      </c>
      <c r="K253" s="94">
        <v>35.82</v>
      </c>
      <c r="L253" s="94">
        <v>37.04</v>
      </c>
      <c r="M253" s="94">
        <v>8478269.8553999998</v>
      </c>
      <c r="N253" s="94" t="s">
        <v>287</v>
      </c>
      <c r="O253" s="25">
        <f t="shared" si="1"/>
        <v>4.0496760259179254E-2</v>
      </c>
      <c r="Q253" s="95">
        <v>-0.12500000000000006</v>
      </c>
      <c r="R253">
        <v>2</v>
      </c>
      <c r="T253" s="55">
        <f t="shared" ref="T253:T275" si="4">T254-0.0025</f>
        <v>-0.13500000000000006</v>
      </c>
      <c r="U253" s="1">
        <f t="shared" si="3"/>
        <v>6.3425935085715271E-2</v>
      </c>
      <c r="W253" s="38" t="s">
        <v>79</v>
      </c>
      <c r="X253" s="55">
        <f>($S$242*-2)+$S$240</f>
        <v>-8.5449069537145331E-2</v>
      </c>
      <c r="Y253" s="1">
        <v>0</v>
      </c>
    </row>
    <row r="254" spans="1:25" ht="14.45" customHeight="1">
      <c r="A254" s="94">
        <v>662.52</v>
      </c>
      <c r="B254" s="94">
        <v>666.41499999999996</v>
      </c>
      <c r="C254" s="94">
        <v>662.38</v>
      </c>
      <c r="D254" s="94">
        <v>663.09</v>
      </c>
      <c r="E254" s="94">
        <v>4934232.1723999996</v>
      </c>
      <c r="F254" s="94" t="s">
        <v>288</v>
      </c>
      <c r="G254" s="25">
        <f t="shared" si="0"/>
        <v>-8.59611817400463E-4</v>
      </c>
      <c r="I254" s="94">
        <v>36.9</v>
      </c>
      <c r="J254" s="94">
        <v>37.284999999999997</v>
      </c>
      <c r="K254" s="94">
        <v>34.840600000000002</v>
      </c>
      <c r="L254" s="94">
        <v>36.744999999999997</v>
      </c>
      <c r="M254" s="94">
        <v>8967098.4685999993</v>
      </c>
      <c r="N254" s="94" t="s">
        <v>288</v>
      </c>
      <c r="O254" s="25">
        <f t="shared" si="1"/>
        <v>4.2182609878895772E-3</v>
      </c>
      <c r="Q254" s="95">
        <v>-0.12250000000000007</v>
      </c>
      <c r="R254">
        <v>0</v>
      </c>
      <c r="T254" s="55">
        <f t="shared" si="4"/>
        <v>-0.13250000000000006</v>
      </c>
      <c r="U254" s="1">
        <f t="shared" si="3"/>
        <v>7.6175314255861951E-2</v>
      </c>
      <c r="W254" s="39"/>
      <c r="X254" s="55">
        <f>($S$242*-2)+$S$240</f>
        <v>-8.5449069537145331E-2</v>
      </c>
      <c r="Y254" s="1">
        <v>2</v>
      </c>
    </row>
    <row r="255" spans="1:25" ht="14.45" customHeight="1">
      <c r="A255" s="94">
        <v>660.58</v>
      </c>
      <c r="B255" s="94">
        <v>661.77</v>
      </c>
      <c r="C255" s="94">
        <v>653.14499999999998</v>
      </c>
      <c r="D255" s="94">
        <v>657</v>
      </c>
      <c r="E255" s="94">
        <v>5902689.6080999998</v>
      </c>
      <c r="F255" s="94" t="s">
        <v>289</v>
      </c>
      <c r="G255" s="25">
        <f t="shared" si="0"/>
        <v>5.4490106544902162E-3</v>
      </c>
      <c r="I255" s="94">
        <v>36.97</v>
      </c>
      <c r="J255" s="94">
        <v>36.97</v>
      </c>
      <c r="K255" s="94">
        <v>34.306699999999999</v>
      </c>
      <c r="L255" s="94">
        <v>34.53</v>
      </c>
      <c r="M255" s="94">
        <v>8013391.9545</v>
      </c>
      <c r="N255" s="94" t="s">
        <v>289</v>
      </c>
      <c r="O255" s="25">
        <f t="shared" si="1"/>
        <v>7.0663191427744021E-2</v>
      </c>
      <c r="Q255" s="95">
        <v>-0.12000000000000006</v>
      </c>
      <c r="R255">
        <v>0</v>
      </c>
      <c r="T255" s="55">
        <f t="shared" si="4"/>
        <v>-0.13000000000000006</v>
      </c>
      <c r="U255" s="1">
        <f t="shared" si="3"/>
        <v>9.1174800962228672E-2</v>
      </c>
      <c r="W255" s="40" t="s">
        <v>80</v>
      </c>
      <c r="X255" s="55">
        <f>($S$242*-1)+$S$240</f>
        <v>-4.2721819358826449E-2</v>
      </c>
      <c r="Y255" s="1">
        <v>0</v>
      </c>
    </row>
    <row r="256" spans="1:25" ht="14.45" customHeight="1">
      <c r="A256" s="94">
        <v>654.24</v>
      </c>
      <c r="B256" s="94">
        <v>654.72370000000001</v>
      </c>
      <c r="C256" s="94">
        <v>651.26</v>
      </c>
      <c r="D256" s="94">
        <v>653.62</v>
      </c>
      <c r="E256" s="94">
        <v>6203101.4225000003</v>
      </c>
      <c r="F256" s="94" t="s">
        <v>290</v>
      </c>
      <c r="G256" s="25">
        <f t="shared" si="0"/>
        <v>9.4856338545334928E-4</v>
      </c>
      <c r="I256" s="94">
        <v>34.08</v>
      </c>
      <c r="J256" s="94">
        <v>35</v>
      </c>
      <c r="K256" s="94">
        <v>32.57</v>
      </c>
      <c r="L256" s="94">
        <v>34.380000000000003</v>
      </c>
      <c r="M256" s="94">
        <v>6836085.0740999999</v>
      </c>
      <c r="N256" s="94" t="s">
        <v>290</v>
      </c>
      <c r="O256" s="25">
        <f t="shared" si="1"/>
        <v>-8.7260034904015349E-3</v>
      </c>
      <c r="Q256" s="95">
        <v>-0.11750000000000006</v>
      </c>
      <c r="R256">
        <v>1</v>
      </c>
      <c r="T256" s="55">
        <f t="shared" si="4"/>
        <v>-0.12750000000000006</v>
      </c>
      <c r="U256" s="1">
        <f t="shared" si="3"/>
        <v>0.10875483824709062</v>
      </c>
      <c r="X256" s="55">
        <f>($S$242*-1)+$S$240</f>
        <v>-4.2721819358826449E-2</v>
      </c>
      <c r="Y256" s="1">
        <v>5.5</v>
      </c>
    </row>
    <row r="257" spans="1:25" ht="14.45" customHeight="1">
      <c r="A257" s="94">
        <v>654.26</v>
      </c>
      <c r="B257" s="94">
        <v>655.39</v>
      </c>
      <c r="C257" s="94">
        <v>652.01</v>
      </c>
      <c r="D257" s="94">
        <v>654.41</v>
      </c>
      <c r="E257" s="94">
        <v>5509669.8037999999</v>
      </c>
      <c r="F257" s="94" t="s">
        <v>291</v>
      </c>
      <c r="G257" s="25">
        <f t="shared" si="0"/>
        <v>-2.2921410125142927E-4</v>
      </c>
      <c r="I257" s="94">
        <v>35.03</v>
      </c>
      <c r="J257" s="94">
        <v>35.305</v>
      </c>
      <c r="K257" s="94">
        <v>33.734000000000002</v>
      </c>
      <c r="L257" s="94">
        <v>34.6</v>
      </c>
      <c r="M257" s="94">
        <v>6065920.3519000001</v>
      </c>
      <c r="N257" s="94" t="s">
        <v>291</v>
      </c>
      <c r="O257" s="25">
        <f t="shared" si="1"/>
        <v>1.242774566473992E-2</v>
      </c>
      <c r="Q257" s="95">
        <v>-0.11500000000000006</v>
      </c>
      <c r="R257">
        <v>0</v>
      </c>
      <c r="T257" s="55">
        <f t="shared" si="4"/>
        <v>-0.12500000000000006</v>
      </c>
      <c r="U257" s="1">
        <f t="shared" si="3"/>
        <v>0.12928125019182291</v>
      </c>
      <c r="W257" s="1" t="s">
        <v>81</v>
      </c>
      <c r="X257" s="55">
        <f>($S$242*1)+$S$240</f>
        <v>4.2732680997811315E-2</v>
      </c>
      <c r="Y257" s="1">
        <v>0</v>
      </c>
    </row>
    <row r="258" spans="1:25" ht="14.45" customHeight="1">
      <c r="A258" s="94">
        <v>657.5</v>
      </c>
      <c r="B258" s="94">
        <v>657.9</v>
      </c>
      <c r="C258" s="94">
        <v>654.84</v>
      </c>
      <c r="D258" s="94">
        <v>655.67</v>
      </c>
      <c r="E258" s="94">
        <v>5282297.3092</v>
      </c>
      <c r="F258" s="94" t="s">
        <v>292</v>
      </c>
      <c r="G258" s="25">
        <f t="shared" si="0"/>
        <v>2.791038174691618E-3</v>
      </c>
      <c r="I258" s="94">
        <v>35.450000000000003</v>
      </c>
      <c r="J258" s="94">
        <v>36.229999999999997</v>
      </c>
      <c r="K258" s="94">
        <v>33.630000000000003</v>
      </c>
      <c r="L258" s="94">
        <v>35.47</v>
      </c>
      <c r="M258" s="94">
        <v>7716352.3507000003</v>
      </c>
      <c r="N258" s="94" t="s">
        <v>292</v>
      </c>
      <c r="O258" s="25">
        <f t="shared" si="1"/>
        <v>-5.638567803776251E-4</v>
      </c>
      <c r="Q258" s="95">
        <v>-0.11250000000000006</v>
      </c>
      <c r="R258">
        <v>0</v>
      </c>
      <c r="T258" s="55">
        <f t="shared" si="4"/>
        <v>-0.12250000000000007</v>
      </c>
      <c r="U258" s="1">
        <f t="shared" si="3"/>
        <v>0.15315659171740389</v>
      </c>
      <c r="X258" s="55">
        <f>($S$242*1)+$S$240</f>
        <v>4.2732680997811315E-2</v>
      </c>
      <c r="Y258" s="1">
        <v>5.5</v>
      </c>
    </row>
    <row r="259" spans="1:25" ht="14.45" customHeight="1">
      <c r="A259" s="94">
        <v>656.42</v>
      </c>
      <c r="B259" s="94">
        <v>656.82</v>
      </c>
      <c r="C259" s="94">
        <v>651.8202</v>
      </c>
      <c r="D259" s="94">
        <v>653.4</v>
      </c>
      <c r="E259" s="94">
        <v>4722997.4007999999</v>
      </c>
      <c r="F259" s="94" t="s">
        <v>293</v>
      </c>
      <c r="G259" s="25">
        <f t="shared" si="0"/>
        <v>4.6219773492499616E-3</v>
      </c>
      <c r="I259" s="94">
        <v>35.44</v>
      </c>
      <c r="J259" s="94">
        <v>39.5</v>
      </c>
      <c r="K259" s="94">
        <v>35.130000000000003</v>
      </c>
      <c r="L259" s="94">
        <v>39.11</v>
      </c>
      <c r="M259" s="94">
        <v>10407668.082800001</v>
      </c>
      <c r="N259" s="94" t="s">
        <v>293</v>
      </c>
      <c r="O259" s="25">
        <f t="shared" si="1"/>
        <v>-9.3837893121963778E-2</v>
      </c>
      <c r="Q259" s="95">
        <v>-0.11000000000000006</v>
      </c>
      <c r="R259">
        <v>2</v>
      </c>
      <c r="T259" s="55">
        <f t="shared" si="4"/>
        <v>-0.12000000000000006</v>
      </c>
      <c r="U259" s="1">
        <f t="shared" si="3"/>
        <v>0.18082107076307821</v>
      </c>
      <c r="W259" s="41" t="s">
        <v>82</v>
      </c>
      <c r="X259" s="55">
        <f>($S$242*2)+$S$240</f>
        <v>8.5459931176130197E-2</v>
      </c>
      <c r="Y259" s="1">
        <v>0</v>
      </c>
    </row>
    <row r="260" spans="1:25" ht="14.45" customHeight="1">
      <c r="A260" s="94">
        <v>651.26</v>
      </c>
      <c r="B260" s="94">
        <v>654.9</v>
      </c>
      <c r="C260" s="94">
        <v>645.66</v>
      </c>
      <c r="D260" s="94">
        <v>652.23</v>
      </c>
      <c r="E260" s="94">
        <v>6016793.4914999995</v>
      </c>
      <c r="F260" s="94" t="s">
        <v>294</v>
      </c>
      <c r="G260" s="25">
        <f t="shared" si="0"/>
        <v>-1.4872054336660945E-3</v>
      </c>
      <c r="I260" s="94">
        <v>38.29</v>
      </c>
      <c r="J260" s="94">
        <v>40</v>
      </c>
      <c r="K260" s="94">
        <v>36.33</v>
      </c>
      <c r="L260" s="94">
        <v>39.33</v>
      </c>
      <c r="M260" s="94">
        <v>11884235.2479</v>
      </c>
      <c r="N260" s="94" t="s">
        <v>294</v>
      </c>
      <c r="O260" s="25">
        <f t="shared" si="1"/>
        <v>-2.6442918891431466E-2</v>
      </c>
      <c r="Q260" s="95">
        <v>-0.10750000000000005</v>
      </c>
      <c r="R260">
        <v>1</v>
      </c>
      <c r="T260" s="55">
        <f t="shared" si="4"/>
        <v>-0.11750000000000006</v>
      </c>
      <c r="U260" s="1">
        <f t="shared" si="3"/>
        <v>0.21275294168496664</v>
      </c>
      <c r="X260" s="55">
        <f>($S$242*2)+$S$240</f>
        <v>8.5459931176130197E-2</v>
      </c>
      <c r="Y260" s="1">
        <v>2</v>
      </c>
    </row>
    <row r="261" spans="1:25" ht="14.45" customHeight="1">
      <c r="A261" s="94">
        <v>653.9</v>
      </c>
      <c r="B261" s="94">
        <v>654.19000000000005</v>
      </c>
      <c r="C261" s="94">
        <v>651.09</v>
      </c>
      <c r="D261" s="94">
        <v>651.98</v>
      </c>
      <c r="E261" s="94">
        <v>4491871.3339</v>
      </c>
      <c r="F261" s="94" t="s">
        <v>295</v>
      </c>
      <c r="G261" s="25">
        <f t="shared" si="0"/>
        <v>2.9448756096812634E-3</v>
      </c>
      <c r="I261" s="94">
        <v>39.47</v>
      </c>
      <c r="J261" s="94">
        <v>41.71</v>
      </c>
      <c r="K261" s="94">
        <v>38.28</v>
      </c>
      <c r="L261" s="94">
        <v>39.5</v>
      </c>
      <c r="M261" s="94">
        <v>12057104.996099999</v>
      </c>
      <c r="N261" s="94" t="s">
        <v>295</v>
      </c>
      <c r="O261" s="25">
        <f t="shared" si="1"/>
        <v>-7.5949367088612441E-4</v>
      </c>
      <c r="Q261" s="95">
        <v>-0.10500000000000005</v>
      </c>
      <c r="R261">
        <v>0</v>
      </c>
      <c r="T261" s="55">
        <f t="shared" si="4"/>
        <v>-0.11500000000000006</v>
      </c>
      <c r="U261" s="1">
        <f t="shared" si="3"/>
        <v>0.24946826363025815</v>
      </c>
      <c r="W261" s="41" t="s">
        <v>83</v>
      </c>
      <c r="X261" s="55">
        <f>($S$242*3)+$S$240</f>
        <v>0.12818718135444909</v>
      </c>
      <c r="Y261" s="1">
        <v>0</v>
      </c>
    </row>
    <row r="262" spans="1:25" ht="14.45" customHeight="1">
      <c r="A262" s="94">
        <v>647.25</v>
      </c>
      <c r="B262" s="94">
        <v>653.86</v>
      </c>
      <c r="C262" s="94">
        <v>645.94039999999995</v>
      </c>
      <c r="D262" s="94">
        <v>652.94000000000005</v>
      </c>
      <c r="E262" s="94">
        <v>8457026.3370999992</v>
      </c>
      <c r="F262" s="94" t="s">
        <v>296</v>
      </c>
      <c r="G262" s="25">
        <f t="shared" si="0"/>
        <v>-8.7144301160904103E-3</v>
      </c>
      <c r="I262" s="94">
        <v>38.03</v>
      </c>
      <c r="J262" s="94">
        <v>39.53</v>
      </c>
      <c r="K262" s="94">
        <v>37.520000000000003</v>
      </c>
      <c r="L262" s="94">
        <v>38.22</v>
      </c>
      <c r="M262" s="94">
        <v>10220648.711300001</v>
      </c>
      <c r="N262" s="94" t="s">
        <v>296</v>
      </c>
      <c r="O262" s="25">
        <f t="shared" si="1"/>
        <v>-4.9712192569334457E-3</v>
      </c>
      <c r="Q262" s="95">
        <v>-0.10250000000000005</v>
      </c>
      <c r="R262">
        <v>0</v>
      </c>
      <c r="T262" s="55">
        <f t="shared" si="4"/>
        <v>-0.11250000000000006</v>
      </c>
      <c r="U262" s="1">
        <f t="shared" si="3"/>
        <v>0.29151991477448963</v>
      </c>
      <c r="W262" s="41"/>
      <c r="X262" s="55">
        <f>($S$242*3)+$S$240</f>
        <v>0.12818718135444909</v>
      </c>
      <c r="Y262" s="1">
        <v>1</v>
      </c>
    </row>
    <row r="263" spans="1:25" ht="14.45" customHeight="1">
      <c r="A263" s="94">
        <v>651.54</v>
      </c>
      <c r="B263" s="94">
        <v>652.6</v>
      </c>
      <c r="C263" s="94">
        <v>649.16999999999996</v>
      </c>
      <c r="D263" s="94">
        <v>651.62</v>
      </c>
      <c r="E263" s="94">
        <v>6350549.1677999999</v>
      </c>
      <c r="F263" s="94" t="s">
        <v>297</v>
      </c>
      <c r="G263" s="25">
        <f t="shared" si="0"/>
        <v>-1.2277094011858836E-4</v>
      </c>
      <c r="I263" s="94">
        <v>37.5</v>
      </c>
      <c r="J263" s="94">
        <v>39.909999999999997</v>
      </c>
      <c r="K263" s="94">
        <v>36.93</v>
      </c>
      <c r="L263" s="94">
        <v>39.15</v>
      </c>
      <c r="M263" s="94">
        <v>8852181.8180999998</v>
      </c>
      <c r="N263" s="94" t="s">
        <v>297</v>
      </c>
      <c r="O263" s="25">
        <f t="shared" si="1"/>
        <v>-4.2145593869731712E-2</v>
      </c>
      <c r="Q263" s="95">
        <v>-0.10000000000000005</v>
      </c>
      <c r="R263">
        <v>0</v>
      </c>
      <c r="T263" s="55">
        <f t="shared" si="4"/>
        <v>-0.11000000000000006</v>
      </c>
      <c r="U263" s="1">
        <f t="shared" si="3"/>
        <v>0.33949575315896985</v>
      </c>
    </row>
    <row r="264" spans="1:25" ht="14.45" customHeight="1">
      <c r="A264" s="94">
        <v>652.78</v>
      </c>
      <c r="B264" s="94">
        <v>654.88</v>
      </c>
      <c r="C264" s="94">
        <v>648.86</v>
      </c>
      <c r="D264" s="94">
        <v>649.17999999999995</v>
      </c>
      <c r="E264" s="94">
        <v>7783977.6215000004</v>
      </c>
      <c r="F264" s="94" t="s">
        <v>298</v>
      </c>
      <c r="G264" s="25">
        <f t="shared" si="0"/>
        <v>5.5454573461906076E-3</v>
      </c>
      <c r="I264" s="94">
        <v>38.479999999999997</v>
      </c>
      <c r="J264" s="94">
        <v>40.229999999999997</v>
      </c>
      <c r="K264" s="94">
        <v>37.840000000000003</v>
      </c>
      <c r="L264" s="94">
        <v>39.14</v>
      </c>
      <c r="M264" s="94">
        <v>11680043.452199999</v>
      </c>
      <c r="N264" s="94" t="s">
        <v>298</v>
      </c>
      <c r="O264" s="25">
        <f t="shared" si="1"/>
        <v>-1.6862544711292893E-2</v>
      </c>
      <c r="Q264" s="95">
        <v>-9.7500000000000045E-2</v>
      </c>
      <c r="R264">
        <v>3</v>
      </c>
      <c r="T264" s="55">
        <f t="shared" si="4"/>
        <v>-0.10750000000000005</v>
      </c>
      <c r="U264" s="1">
        <f t="shared" si="3"/>
        <v>0.39401581792169943</v>
      </c>
    </row>
    <row r="265" spans="1:25" ht="14.45" customHeight="1">
      <c r="A265" s="94">
        <v>644.86</v>
      </c>
      <c r="B265" s="94">
        <v>646.07000000000005</v>
      </c>
      <c r="C265" s="94">
        <v>642.15</v>
      </c>
      <c r="D265" s="94">
        <v>644.51</v>
      </c>
      <c r="E265" s="94">
        <v>5858046.4994999999</v>
      </c>
      <c r="F265" s="94" t="s">
        <v>299</v>
      </c>
      <c r="G265" s="25">
        <f t="shared" si="0"/>
        <v>5.4304820716510882E-4</v>
      </c>
      <c r="I265" s="94">
        <v>39.89</v>
      </c>
      <c r="J265" s="94">
        <v>40.229999999999997</v>
      </c>
      <c r="K265" s="94">
        <v>34.924999999999997</v>
      </c>
      <c r="L265" s="94">
        <v>34.979999999999997</v>
      </c>
      <c r="M265" s="94">
        <v>19468425.6976</v>
      </c>
      <c r="N265" s="94" t="s">
        <v>299</v>
      </c>
      <c r="O265" s="25">
        <f t="shared" si="1"/>
        <v>0.14036592338479137</v>
      </c>
      <c r="Q265" s="95">
        <v>-9.5000000000000043E-2</v>
      </c>
      <c r="R265">
        <v>2</v>
      </c>
      <c r="T265" s="55">
        <f t="shared" si="4"/>
        <v>-0.10500000000000005</v>
      </c>
      <c r="U265" s="1">
        <f t="shared" si="3"/>
        <v>0.45572847143488032</v>
      </c>
    </row>
    <row r="266" spans="1:25" ht="14.45" customHeight="1">
      <c r="A266" s="94">
        <v>643.45000000000005</v>
      </c>
      <c r="B266" s="94">
        <v>643.79</v>
      </c>
      <c r="C266" s="94">
        <v>638.23</v>
      </c>
      <c r="D266" s="94">
        <v>639.19000000000005</v>
      </c>
      <c r="E266" s="94">
        <v>5050447.7390999999</v>
      </c>
      <c r="F266" s="94" t="s">
        <v>300</v>
      </c>
      <c r="G266" s="25">
        <f t="shared" si="0"/>
        <v>6.6646849919429485E-3</v>
      </c>
      <c r="I266" s="94">
        <v>34.409999999999997</v>
      </c>
      <c r="J266" s="94">
        <v>35.17</v>
      </c>
      <c r="K266" s="94">
        <v>32.81</v>
      </c>
      <c r="L266" s="94">
        <v>34.42</v>
      </c>
      <c r="M266" s="94">
        <v>10894203.737</v>
      </c>
      <c r="N266" s="94" t="s">
        <v>300</v>
      </c>
      <c r="O266" s="25">
        <f t="shared" si="1"/>
        <v>-2.9052876234758607E-4</v>
      </c>
      <c r="Q266" s="95">
        <v>-9.2500000000000041E-2</v>
      </c>
      <c r="R266">
        <v>4</v>
      </c>
      <c r="T266" s="55">
        <f t="shared" si="4"/>
        <v>-0.10250000000000005</v>
      </c>
      <c r="U266" s="1">
        <f t="shared" si="3"/>
        <v>0.52530539364542062</v>
      </c>
    </row>
    <row r="267" spans="1:25" ht="14.45" customHeight="1">
      <c r="A267" s="94">
        <v>638.35</v>
      </c>
      <c r="B267" s="94">
        <v>638.52</v>
      </c>
      <c r="C267" s="94">
        <v>632.22</v>
      </c>
      <c r="D267" s="94">
        <v>632.22500000000002</v>
      </c>
      <c r="E267" s="94">
        <v>4998949.1047999999</v>
      </c>
      <c r="F267" s="94" t="s">
        <v>301</v>
      </c>
      <c r="G267" s="25">
        <f t="shared" si="0"/>
        <v>9.6880066432045719E-3</v>
      </c>
      <c r="I267" s="94">
        <v>33.93</v>
      </c>
      <c r="J267" s="94">
        <v>36.448</v>
      </c>
      <c r="K267" s="94">
        <v>31.88</v>
      </c>
      <c r="L267" s="94">
        <v>35.590000000000003</v>
      </c>
      <c r="M267" s="94">
        <v>16257982.1395</v>
      </c>
      <c r="N267" s="94" t="s">
        <v>301</v>
      </c>
      <c r="O267" s="25">
        <f t="shared" si="1"/>
        <v>-4.6642315257094835E-2</v>
      </c>
      <c r="Q267" s="95">
        <v>-9.0000000000000038E-2</v>
      </c>
      <c r="R267">
        <v>2</v>
      </c>
      <c r="T267" s="55">
        <f t="shared" si="4"/>
        <v>-0.10000000000000005</v>
      </c>
      <c r="U267" s="1">
        <f t="shared" si="3"/>
        <v>0.60343535507954993</v>
      </c>
    </row>
    <row r="268" spans="1:25" ht="14.45" customHeight="1">
      <c r="A268" s="94">
        <v>630.72</v>
      </c>
      <c r="B268" s="94">
        <v>630.9</v>
      </c>
      <c r="C268" s="94">
        <v>621.98</v>
      </c>
      <c r="D268" s="94">
        <v>622.75</v>
      </c>
      <c r="E268" s="94">
        <v>5100917.8858000003</v>
      </c>
      <c r="F268" s="94" t="s">
        <v>302</v>
      </c>
      <c r="G268" s="25">
        <f t="shared" si="0"/>
        <v>1.2798073063027049E-2</v>
      </c>
      <c r="I268" s="94">
        <v>34.32</v>
      </c>
      <c r="J268" s="94">
        <v>35.484999999999999</v>
      </c>
      <c r="K268" s="94">
        <v>32.720100000000002</v>
      </c>
      <c r="L268" s="94">
        <v>34.229999999999997</v>
      </c>
      <c r="M268" s="94">
        <v>11878432.089</v>
      </c>
      <c r="N268" s="94" t="s">
        <v>302</v>
      </c>
      <c r="O268" s="25">
        <f t="shared" si="1"/>
        <v>2.6292725679228912E-3</v>
      </c>
      <c r="Q268" s="95">
        <v>-8.7500000000000036E-2</v>
      </c>
      <c r="R268">
        <v>1</v>
      </c>
      <c r="T268" s="55">
        <f t="shared" si="4"/>
        <v>-9.7500000000000045E-2</v>
      </c>
      <c r="U268" s="1">
        <f t="shared" si="3"/>
        <v>0.69081671472761452</v>
      </c>
    </row>
    <row r="269" spans="1:25" ht="14.45" customHeight="1">
      <c r="A269" s="94">
        <v>624.6</v>
      </c>
      <c r="B269" s="94">
        <v>626.99</v>
      </c>
      <c r="C269" s="94">
        <v>623.72</v>
      </c>
      <c r="D269" s="94">
        <v>626.32500000000005</v>
      </c>
      <c r="E269" s="94">
        <v>4574295.0051999995</v>
      </c>
      <c r="F269" s="94" t="s">
        <v>303</v>
      </c>
      <c r="G269" s="25">
        <f t="shared" si="0"/>
        <v>-2.7541611783020725E-3</v>
      </c>
      <c r="I269" s="94">
        <v>34.67</v>
      </c>
      <c r="J269" s="94">
        <v>36.39</v>
      </c>
      <c r="K269" s="94">
        <v>33.950000000000003</v>
      </c>
      <c r="L269" s="94">
        <v>34.880000000000003</v>
      </c>
      <c r="M269" s="94">
        <v>9362650.2071000002</v>
      </c>
      <c r="N269" s="94" t="s">
        <v>303</v>
      </c>
      <c r="O269" s="25">
        <f t="shared" si="1"/>
        <v>-6.0206422018348471E-3</v>
      </c>
      <c r="Q269" s="95">
        <v>-8.5000000000000034E-2</v>
      </c>
      <c r="R269">
        <v>2</v>
      </c>
      <c r="T269" s="55">
        <f t="shared" si="4"/>
        <v>-9.5000000000000043E-2</v>
      </c>
      <c r="U269" s="1">
        <f t="shared" si="3"/>
        <v>0.78814861344429299</v>
      </c>
    </row>
    <row r="270" spans="1:25" ht="14.45" customHeight="1">
      <c r="A270" s="94">
        <v>625.02</v>
      </c>
      <c r="B270" s="94">
        <v>626.16999999999996</v>
      </c>
      <c r="C270" s="94">
        <v>619.4</v>
      </c>
      <c r="D270" s="94">
        <v>620.34</v>
      </c>
      <c r="E270" s="94">
        <v>5470297.4748</v>
      </c>
      <c r="F270" s="94" t="s">
        <v>304</v>
      </c>
      <c r="G270" s="25">
        <f t="shared" si="0"/>
        <v>7.5442499274589458E-3</v>
      </c>
      <c r="I270" s="94">
        <v>34.229999999999997</v>
      </c>
      <c r="J270" s="94">
        <v>37.17</v>
      </c>
      <c r="K270" s="94">
        <v>33.94</v>
      </c>
      <c r="L270" s="94">
        <v>36.5</v>
      </c>
      <c r="M270" s="94">
        <v>11225177.765699999</v>
      </c>
      <c r="N270" s="94" t="s">
        <v>304</v>
      </c>
      <c r="O270" s="25">
        <f t="shared" si="1"/>
        <v>-6.2191780821917897E-2</v>
      </c>
      <c r="Q270" s="95">
        <v>-8.2500000000000032E-2</v>
      </c>
      <c r="R270">
        <v>2</v>
      </c>
      <c r="T270" s="55">
        <f t="shared" si="4"/>
        <v>-9.2500000000000041E-2</v>
      </c>
      <c r="U270" s="1">
        <f t="shared" si="3"/>
        <v>0.89612086249753453</v>
      </c>
    </row>
    <row r="271" spans="1:25" ht="14.45" customHeight="1">
      <c r="A271" s="94">
        <v>621.34</v>
      </c>
      <c r="B271" s="94">
        <v>622.49</v>
      </c>
      <c r="C271" s="94">
        <v>617.29999999999995</v>
      </c>
      <c r="D271" s="94">
        <v>621.79499999999996</v>
      </c>
      <c r="E271" s="94">
        <v>9765573.5870999992</v>
      </c>
      <c r="F271" s="94" t="s">
        <v>305</v>
      </c>
      <c r="G271" s="25">
        <f t="shared" si="0"/>
        <v>-7.3175242644263339E-4</v>
      </c>
      <c r="I271" s="94">
        <v>36.549999999999997</v>
      </c>
      <c r="J271" s="94">
        <v>38.21</v>
      </c>
      <c r="K271" s="94">
        <v>35.44</v>
      </c>
      <c r="L271" s="94">
        <v>36.9</v>
      </c>
      <c r="M271" s="94">
        <v>16073285.4233</v>
      </c>
      <c r="N271" s="94" t="s">
        <v>305</v>
      </c>
      <c r="O271" s="25">
        <f t="shared" si="1"/>
        <v>-9.4850948509485056E-3</v>
      </c>
      <c r="Q271" s="95">
        <v>-8.0000000000000029E-2</v>
      </c>
      <c r="R271">
        <v>2</v>
      </c>
      <c r="T271" s="55">
        <f t="shared" si="4"/>
        <v>-9.0000000000000038E-2</v>
      </c>
      <c r="U271" s="1">
        <f t="shared" si="3"/>
        <v>1.0154025602107</v>
      </c>
    </row>
    <row r="272" spans="1:25" ht="14.45" customHeight="1">
      <c r="A272" s="94">
        <v>606.04</v>
      </c>
      <c r="B272" s="94">
        <v>606.30999999999995</v>
      </c>
      <c r="C272" s="94">
        <v>598.5</v>
      </c>
      <c r="D272" s="94">
        <v>603.58000000000004</v>
      </c>
      <c r="E272" s="94">
        <v>6146307.9808999998</v>
      </c>
      <c r="F272" s="94" t="s">
        <v>306</v>
      </c>
      <c r="G272" s="25">
        <f t="shared" si="0"/>
        <v>4.0756817654659105E-3</v>
      </c>
      <c r="I272" s="94">
        <v>35.17</v>
      </c>
      <c r="J272" s="94">
        <v>35.799999999999997</v>
      </c>
      <c r="K272" s="94">
        <v>32.770000000000003</v>
      </c>
      <c r="L272" s="94">
        <v>35.380000000000003</v>
      </c>
      <c r="M272" s="94">
        <v>13076902.578299999</v>
      </c>
      <c r="N272" s="94" t="s">
        <v>306</v>
      </c>
      <c r="O272" s="25">
        <f t="shared" si="1"/>
        <v>-5.9355568117580582E-3</v>
      </c>
      <c r="Q272" s="95">
        <v>-7.7500000000000027E-2</v>
      </c>
      <c r="R272">
        <v>4</v>
      </c>
      <c r="T272" s="55">
        <f t="shared" si="4"/>
        <v>-8.7500000000000036E-2</v>
      </c>
      <c r="U272" s="1">
        <f t="shared" si="3"/>
        <v>1.1466295068041763</v>
      </c>
    </row>
    <row r="273" spans="1:21" ht="14.45" customHeight="1">
      <c r="A273" s="94">
        <v>605.66999999999996</v>
      </c>
      <c r="B273" s="94">
        <v>606.44000000000005</v>
      </c>
      <c r="C273" s="94">
        <v>602.61</v>
      </c>
      <c r="D273" s="94">
        <v>602.91999999999996</v>
      </c>
      <c r="E273" s="94">
        <v>6282638.1659000004</v>
      </c>
      <c r="F273" s="94" t="s">
        <v>307</v>
      </c>
      <c r="G273" s="25">
        <f t="shared" si="0"/>
        <v>4.5611358057453533E-3</v>
      </c>
      <c r="I273" s="94">
        <v>35.020000000000003</v>
      </c>
      <c r="J273" s="94">
        <v>36.29</v>
      </c>
      <c r="K273" s="94">
        <v>34.21</v>
      </c>
      <c r="L273" s="94">
        <v>35.92</v>
      </c>
      <c r="M273" s="94">
        <v>12502655.2073</v>
      </c>
      <c r="N273" s="94" t="s">
        <v>307</v>
      </c>
      <c r="O273" s="25">
        <f t="shared" si="1"/>
        <v>-2.5055679287305122E-2</v>
      </c>
      <c r="Q273" s="95">
        <v>-7.5000000000000025E-2</v>
      </c>
      <c r="R273">
        <v>3</v>
      </c>
      <c r="T273" s="55">
        <f t="shared" si="4"/>
        <v>-8.5000000000000034E-2</v>
      </c>
      <c r="U273" s="1">
        <f t="shared" si="3"/>
        <v>1.2903905278855503</v>
      </c>
    </row>
    <row r="274" spans="1:21" ht="14.45" customHeight="1">
      <c r="A274" s="94">
        <v>602.99</v>
      </c>
      <c r="B274" s="94">
        <v>604.79</v>
      </c>
      <c r="C274" s="94">
        <v>593.03200000000004</v>
      </c>
      <c r="D274" s="94">
        <v>594.23</v>
      </c>
      <c r="E274" s="94">
        <v>12739516.127900001</v>
      </c>
      <c r="F274" s="94" t="s">
        <v>308</v>
      </c>
      <c r="G274" s="25">
        <f t="shared" si="0"/>
        <v>1.474176665600857E-2</v>
      </c>
      <c r="I274" s="94">
        <v>35.880000000000003</v>
      </c>
      <c r="J274" s="94">
        <v>36.04</v>
      </c>
      <c r="K274" s="94">
        <v>29.44</v>
      </c>
      <c r="L274" s="94">
        <v>29.44</v>
      </c>
      <c r="M274" s="94">
        <v>25265919.447700001</v>
      </c>
      <c r="N274" s="94" t="s">
        <v>308</v>
      </c>
      <c r="O274" s="25">
        <f t="shared" si="1"/>
        <v>0.21875</v>
      </c>
      <c r="Q274" s="95">
        <v>-7.2500000000000023E-2</v>
      </c>
      <c r="R274">
        <v>5</v>
      </c>
      <c r="T274" s="55">
        <f t="shared" si="4"/>
        <v>-8.2500000000000032E-2</v>
      </c>
      <c r="U274" s="1">
        <f t="shared" si="3"/>
        <v>1.4472128596818625</v>
      </c>
    </row>
    <row r="275" spans="1:21" ht="14.45" customHeight="1">
      <c r="A275" s="94">
        <v>602.29999999999995</v>
      </c>
      <c r="B275" s="94">
        <v>605.35</v>
      </c>
      <c r="C275" s="94">
        <v>600.27</v>
      </c>
      <c r="D275" s="94">
        <v>601.05999999999995</v>
      </c>
      <c r="E275" s="94">
        <v>11281644.7634</v>
      </c>
      <c r="F275" s="94" t="s">
        <v>309</v>
      </c>
      <c r="G275" s="25">
        <f t="shared" si="0"/>
        <v>2.0630219944763883E-3</v>
      </c>
      <c r="I275" s="94">
        <v>30.71</v>
      </c>
      <c r="J275" s="94">
        <v>31.18</v>
      </c>
      <c r="K275" s="94">
        <v>28.52</v>
      </c>
      <c r="L275" s="94">
        <v>29</v>
      </c>
      <c r="M275" s="94">
        <v>17094163.965100002</v>
      </c>
      <c r="N275" s="94" t="s">
        <v>309</v>
      </c>
      <c r="O275" s="25">
        <f t="shared" si="1"/>
        <v>5.8965517241379439E-2</v>
      </c>
      <c r="Q275" s="95">
        <v>-7.0000000000000021E-2</v>
      </c>
      <c r="R275">
        <v>8</v>
      </c>
      <c r="T275" s="55">
        <f t="shared" si="4"/>
        <v>-8.0000000000000029E-2</v>
      </c>
      <c r="U275" s="1">
        <f t="shared" si="3"/>
        <v>1.6175467929705598</v>
      </c>
    </row>
    <row r="276" spans="1:21" ht="14.45" customHeight="1">
      <c r="A276" s="94">
        <v>597.54999999999995</v>
      </c>
      <c r="B276" s="94">
        <v>598.85</v>
      </c>
      <c r="C276" s="94">
        <v>586.5</v>
      </c>
      <c r="D276" s="94">
        <v>587.35</v>
      </c>
      <c r="E276" s="94">
        <v>12339438.2972</v>
      </c>
      <c r="F276" s="94" t="s">
        <v>310</v>
      </c>
      <c r="G276" s="25">
        <f t="shared" si="0"/>
        <v>1.7366136034732138E-2</v>
      </c>
      <c r="I276" s="94">
        <v>27.95</v>
      </c>
      <c r="J276" s="94">
        <v>28.93</v>
      </c>
      <c r="K276" s="94">
        <v>26.285</v>
      </c>
      <c r="L276" s="94">
        <v>28.8</v>
      </c>
      <c r="M276" s="94">
        <v>18874117.6976</v>
      </c>
      <c r="N276" s="94" t="s">
        <v>310</v>
      </c>
      <c r="O276" s="25">
        <f t="shared" si="1"/>
        <v>-2.9513888888888951E-2</v>
      </c>
      <c r="Q276" s="95">
        <v>-6.7500000000000018E-2</v>
      </c>
      <c r="R276">
        <v>6</v>
      </c>
      <c r="T276" s="55">
        <f t="shared" ref="T276:T305" si="5">T277-0.0025</f>
        <v>-7.7500000000000027E-2</v>
      </c>
      <c r="U276" s="1">
        <f t="shared" si="3"/>
        <v>1.8017498164766279</v>
      </c>
    </row>
    <row r="277" spans="1:21" ht="14.45" customHeight="1">
      <c r="A277" s="94">
        <v>580.92999999999995</v>
      </c>
      <c r="B277" s="94">
        <v>588.66999999999996</v>
      </c>
      <c r="C277" s="94">
        <v>578.46</v>
      </c>
      <c r="D277" s="94">
        <v>588.39</v>
      </c>
      <c r="E277" s="94">
        <v>11742470.464299999</v>
      </c>
      <c r="F277" s="94" t="s">
        <v>311</v>
      </c>
      <c r="G277" s="25">
        <f t="shared" si="0"/>
        <v>-1.2678665510970633E-2</v>
      </c>
      <c r="I277" s="94">
        <v>27.89</v>
      </c>
      <c r="J277" s="94">
        <v>31.41</v>
      </c>
      <c r="K277" s="94">
        <v>27.245000000000001</v>
      </c>
      <c r="L277" s="94">
        <v>30.85</v>
      </c>
      <c r="M277" s="94">
        <v>15704525.228</v>
      </c>
      <c r="N277" s="94" t="s">
        <v>311</v>
      </c>
      <c r="O277" s="25">
        <f t="shared" si="1"/>
        <v>-9.5948136142625651E-2</v>
      </c>
      <c r="Q277" s="95">
        <v>-6.5000000000000016E-2</v>
      </c>
      <c r="R277">
        <v>2</v>
      </c>
      <c r="T277" s="55">
        <f t="shared" si="5"/>
        <v>-7.5000000000000025E-2</v>
      </c>
      <c r="U277" s="1">
        <f t="shared" si="3"/>
        <v>2.0000705428292052</v>
      </c>
    </row>
    <row r="278" spans="1:21" ht="14.45" customHeight="1">
      <c r="A278" s="94">
        <v>582.96</v>
      </c>
      <c r="B278" s="94">
        <v>590.83000000000004</v>
      </c>
      <c r="C278" s="94">
        <v>582.03</v>
      </c>
      <c r="D278" s="94">
        <v>590.67999999999995</v>
      </c>
      <c r="E278" s="94">
        <v>11603861.857899999</v>
      </c>
      <c r="F278" s="94" t="s">
        <v>312</v>
      </c>
      <c r="G278" s="25">
        <f t="shared" si="0"/>
        <v>-1.3069682399945659E-2</v>
      </c>
      <c r="I278" s="94">
        <v>30.86</v>
      </c>
      <c r="J278" s="94">
        <v>34.24</v>
      </c>
      <c r="K278" s="94">
        <v>30.54</v>
      </c>
      <c r="L278" s="94">
        <v>33.979999999999997</v>
      </c>
      <c r="M278" s="94">
        <v>16050575.3314</v>
      </c>
      <c r="N278" s="94" t="s">
        <v>312</v>
      </c>
      <c r="O278" s="25">
        <f t="shared" si="1"/>
        <v>-9.1818716892289487E-2</v>
      </c>
      <c r="Q278" s="95">
        <v>-6.2500000000000014E-2</v>
      </c>
      <c r="R278">
        <v>2</v>
      </c>
      <c r="T278" s="55">
        <f t="shared" si="5"/>
        <v>-7.2500000000000023E-2</v>
      </c>
      <c r="U278" s="1">
        <f t="shared" si="3"/>
        <v>2.2126327394536109</v>
      </c>
    </row>
    <row r="279" spans="1:21" ht="14.45" customHeight="1">
      <c r="A279" s="94">
        <v>594.91999999999996</v>
      </c>
      <c r="B279" s="94">
        <v>603.90499999999997</v>
      </c>
      <c r="C279" s="94">
        <v>594.67999999999995</v>
      </c>
      <c r="D279" s="94">
        <v>601.29499999999996</v>
      </c>
      <c r="E279" s="94">
        <v>7586549.3713999996</v>
      </c>
      <c r="F279" s="94" t="s">
        <v>313</v>
      </c>
      <c r="G279" s="25">
        <f t="shared" si="0"/>
        <v>-1.0602117097265107E-2</v>
      </c>
      <c r="I279" s="94">
        <v>32.4</v>
      </c>
      <c r="J279" s="94">
        <v>35.693800000000003</v>
      </c>
      <c r="K279" s="94">
        <v>32.119999999999997</v>
      </c>
      <c r="L279" s="94">
        <v>34.97</v>
      </c>
      <c r="M279" s="94">
        <v>14425138.452400001</v>
      </c>
      <c r="N279" s="94" t="s">
        <v>313</v>
      </c>
      <c r="O279" s="25">
        <f t="shared" si="1"/>
        <v>-7.3491564197883941E-2</v>
      </c>
      <c r="Q279" s="95">
        <v>-6.0000000000000019E-2</v>
      </c>
      <c r="R279">
        <v>9</v>
      </c>
      <c r="T279" s="55">
        <f t="shared" si="5"/>
        <v>-7.0000000000000021E-2</v>
      </c>
      <c r="U279" s="1">
        <f t="shared" si="3"/>
        <v>2.4394198213768257</v>
      </c>
    </row>
    <row r="280" spans="1:21" ht="14.45" customHeight="1">
      <c r="A280" s="94">
        <v>605.66</v>
      </c>
      <c r="B280" s="94">
        <v>609.44000000000005</v>
      </c>
      <c r="C280" s="94">
        <v>603.36</v>
      </c>
      <c r="D280" s="94">
        <v>607.4</v>
      </c>
      <c r="E280" s="94">
        <v>23232293.025600001</v>
      </c>
      <c r="F280" s="94" t="s">
        <v>314</v>
      </c>
      <c r="G280" s="25">
        <f t="shared" si="0"/>
        <v>-2.8646690813303177E-3</v>
      </c>
      <c r="I280" s="94">
        <v>35.369999999999997</v>
      </c>
      <c r="J280" s="94">
        <v>37.049999999999997</v>
      </c>
      <c r="K280" s="94">
        <v>31.13</v>
      </c>
      <c r="L280" s="94">
        <v>32.4</v>
      </c>
      <c r="M280" s="94">
        <v>24783470.563299999</v>
      </c>
      <c r="N280" s="94" t="s">
        <v>314</v>
      </c>
      <c r="O280" s="25">
        <f t="shared" si="1"/>
        <v>9.1666666666666563E-2</v>
      </c>
      <c r="Q280" s="95">
        <v>-5.7500000000000016E-2</v>
      </c>
      <c r="R280">
        <v>4</v>
      </c>
      <c r="T280" s="55">
        <f t="shared" si="5"/>
        <v>-6.7500000000000018E-2</v>
      </c>
      <c r="U280" s="1">
        <f t="shared" si="3"/>
        <v>2.6802601911850386</v>
      </c>
    </row>
    <row r="281" spans="1:21" ht="14.45" customHeight="1">
      <c r="A281" s="94">
        <v>602.38</v>
      </c>
      <c r="B281" s="94">
        <v>605.91</v>
      </c>
      <c r="C281" s="94">
        <v>599.32000000000005</v>
      </c>
      <c r="D281" s="94">
        <v>600.63</v>
      </c>
      <c r="E281" s="94">
        <v>18198747.991500001</v>
      </c>
      <c r="F281" s="94" t="s">
        <v>315</v>
      </c>
      <c r="G281" s="25">
        <f t="shared" si="0"/>
        <v>2.913607378918881E-3</v>
      </c>
      <c r="I281" s="94">
        <v>31.83</v>
      </c>
      <c r="J281" s="94">
        <v>36.090000000000003</v>
      </c>
      <c r="K281" s="94">
        <v>31.11</v>
      </c>
      <c r="L281" s="94">
        <v>33.71</v>
      </c>
      <c r="M281" s="94">
        <v>23020341.9714</v>
      </c>
      <c r="N281" s="94" t="s">
        <v>315</v>
      </c>
      <c r="O281" s="25">
        <f t="shared" si="1"/>
        <v>-5.5769801245921125E-2</v>
      </c>
      <c r="Q281" s="95">
        <v>-5.5000000000000014E-2</v>
      </c>
      <c r="R281">
        <v>8</v>
      </c>
      <c r="T281" s="55">
        <f t="shared" si="5"/>
        <v>-6.5000000000000016E-2</v>
      </c>
      <c r="U281" s="1">
        <f t="shared" ref="U281:U312" si="6">_xlfn.NORM.DIST(T281,$S$240,$S$242,FALSE)</f>
        <v>2.9348138316693277</v>
      </c>
    </row>
    <row r="282" spans="1:21" ht="14.45" customHeight="1">
      <c r="A282" s="94">
        <v>604.42999999999995</v>
      </c>
      <c r="B282" s="94">
        <v>611.02499999999998</v>
      </c>
      <c r="C282" s="94">
        <v>603.05999999999995</v>
      </c>
      <c r="D282" s="94">
        <v>606.86</v>
      </c>
      <c r="E282" s="94">
        <v>23967148.126899999</v>
      </c>
      <c r="F282" s="94" t="s">
        <v>316</v>
      </c>
      <c r="G282" s="25">
        <f t="shared" si="0"/>
        <v>-4.0042184358831667E-3</v>
      </c>
      <c r="I282" s="94">
        <v>33.82</v>
      </c>
      <c r="J282" s="94">
        <v>34.840000000000003</v>
      </c>
      <c r="K282" s="94">
        <v>31.23</v>
      </c>
      <c r="L282" s="94">
        <v>34.5</v>
      </c>
      <c r="M282" s="94">
        <v>28997570.296100002</v>
      </c>
      <c r="N282" s="94" t="s">
        <v>316</v>
      </c>
      <c r="O282" s="25">
        <f t="shared" si="1"/>
        <v>-1.97101449275362E-2</v>
      </c>
      <c r="Q282" s="95">
        <v>-5.2500000000000012E-2</v>
      </c>
      <c r="R282">
        <v>8</v>
      </c>
      <c r="T282" s="55">
        <f t="shared" si="5"/>
        <v>-6.2500000000000014E-2</v>
      </c>
      <c r="U282" s="1">
        <f t="shared" si="6"/>
        <v>3.2025605675156337</v>
      </c>
    </row>
    <row r="283" spans="1:21" ht="14.45" customHeight="1">
      <c r="A283" s="94">
        <v>597.94000000000005</v>
      </c>
      <c r="B283" s="94">
        <v>605.6</v>
      </c>
      <c r="C283" s="94">
        <v>594.57000000000005</v>
      </c>
      <c r="D283" s="94">
        <v>605.42999999999995</v>
      </c>
      <c r="E283" s="94">
        <v>17532378.112500001</v>
      </c>
      <c r="F283" s="94" t="s">
        <v>317</v>
      </c>
      <c r="G283" s="25">
        <f t="shared" si="0"/>
        <v>-1.2371372412995574E-2</v>
      </c>
      <c r="I283" s="94">
        <v>33.83</v>
      </c>
      <c r="J283" s="94">
        <v>36.28</v>
      </c>
      <c r="K283" s="94">
        <v>32.260599999999997</v>
      </c>
      <c r="L283" s="94">
        <v>33.549999999999997</v>
      </c>
      <c r="M283" s="94">
        <v>63380662.733099997</v>
      </c>
      <c r="N283" s="94" t="s">
        <v>317</v>
      </c>
      <c r="O283" s="25">
        <f t="shared" si="1"/>
        <v>8.3457526080477074E-3</v>
      </c>
      <c r="Q283" s="95">
        <v>-5.000000000000001E-2</v>
      </c>
      <c r="R283">
        <v>6</v>
      </c>
      <c r="T283" s="55">
        <f t="shared" si="5"/>
        <v>-6.0000000000000019E-2</v>
      </c>
      <c r="U283" s="1">
        <f t="shared" si="6"/>
        <v>3.4827904124028453</v>
      </c>
    </row>
    <row r="284" spans="1:21" ht="14.45" customHeight="1">
      <c r="A284" s="94">
        <v>606.75</v>
      </c>
      <c r="B284" s="94">
        <v>609.69000000000005</v>
      </c>
      <c r="C284" s="94">
        <v>602.54</v>
      </c>
      <c r="D284" s="94">
        <v>604.14</v>
      </c>
      <c r="E284" s="94">
        <v>10187821.512800001</v>
      </c>
      <c r="F284" s="94" t="s">
        <v>318</v>
      </c>
      <c r="G284" s="25">
        <f t="shared" ref="G284:G347" si="7">A284/D284-1</f>
        <v>4.3201906842784688E-3</v>
      </c>
      <c r="I284" s="94">
        <v>26.96</v>
      </c>
      <c r="J284" s="94">
        <v>27.26</v>
      </c>
      <c r="K284" s="94">
        <v>23.94</v>
      </c>
      <c r="L284" s="94">
        <v>24.25</v>
      </c>
      <c r="M284" s="94">
        <v>21631819.752</v>
      </c>
      <c r="N284" s="94" t="s">
        <v>318</v>
      </c>
      <c r="O284" s="25">
        <f t="shared" ref="O284:O347" si="8">I284/L284-1</f>
        <v>0.11175257731958776</v>
      </c>
      <c r="Q284" s="95">
        <v>-4.7500000000000007E-2</v>
      </c>
      <c r="R284">
        <v>7</v>
      </c>
      <c r="T284" s="55">
        <f t="shared" si="5"/>
        <v>-5.7500000000000016E-2</v>
      </c>
      <c r="U284" s="1">
        <f t="shared" si="6"/>
        <v>3.7745964059829267</v>
      </c>
    </row>
    <row r="285" spans="1:21" ht="14.45" customHeight="1">
      <c r="A285" s="94">
        <v>608.38</v>
      </c>
      <c r="B285" s="94">
        <v>615.89</v>
      </c>
      <c r="C285" s="94">
        <v>608.13</v>
      </c>
      <c r="D285" s="94">
        <v>614.69000000000005</v>
      </c>
      <c r="E285" s="94">
        <v>12287474.027899999</v>
      </c>
      <c r="F285" s="94" t="s">
        <v>319</v>
      </c>
      <c r="G285" s="25">
        <f t="shared" si="7"/>
        <v>-1.0265336999137897E-2</v>
      </c>
      <c r="I285" s="94">
        <v>24.81</v>
      </c>
      <c r="J285" s="94">
        <v>27.08</v>
      </c>
      <c r="K285" s="94">
        <v>24.76</v>
      </c>
      <c r="L285" s="94">
        <v>26.5</v>
      </c>
      <c r="M285" s="94">
        <v>14110880.626399999</v>
      </c>
      <c r="N285" s="94" t="s">
        <v>319</v>
      </c>
      <c r="O285" s="25">
        <f t="shared" si="8"/>
        <v>-6.377358490566043E-2</v>
      </c>
      <c r="Q285" s="95">
        <v>-4.5000000000000005E-2</v>
      </c>
      <c r="R285">
        <v>16</v>
      </c>
      <c r="T285" s="55">
        <f t="shared" si="5"/>
        <v>-5.5000000000000014E-2</v>
      </c>
      <c r="U285" s="1">
        <f t="shared" si="6"/>
        <v>4.0768703206618051</v>
      </c>
    </row>
    <row r="286" spans="1:21" ht="14.45" customHeight="1">
      <c r="A286" s="94">
        <v>616.89</v>
      </c>
      <c r="B286" s="94">
        <v>620.27</v>
      </c>
      <c r="C286" s="94">
        <v>616.27</v>
      </c>
      <c r="D286" s="94">
        <v>618.37</v>
      </c>
      <c r="E286" s="94">
        <v>8746916.8288000003</v>
      </c>
      <c r="F286" s="94" t="s">
        <v>320</v>
      </c>
      <c r="G286" s="25">
        <f t="shared" si="7"/>
        <v>-2.3933890712680705E-3</v>
      </c>
      <c r="I286" s="94">
        <v>27.08</v>
      </c>
      <c r="J286" s="94">
        <v>27.09</v>
      </c>
      <c r="K286" s="94">
        <v>24.4</v>
      </c>
      <c r="L286" s="94">
        <v>24.85</v>
      </c>
      <c r="M286" s="94">
        <v>11630080.4726</v>
      </c>
      <c r="N286" s="94" t="s">
        <v>320</v>
      </c>
      <c r="O286" s="25">
        <f t="shared" si="8"/>
        <v>8.973843058350095E-2</v>
      </c>
      <c r="Q286" s="95">
        <v>-4.2500000000000003E-2</v>
      </c>
      <c r="R286">
        <v>8</v>
      </c>
      <c r="T286" s="55">
        <f t="shared" si="5"/>
        <v>-5.2500000000000012E-2</v>
      </c>
      <c r="U286" s="1">
        <f t="shared" si="6"/>
        <v>4.38830158049059</v>
      </c>
    </row>
    <row r="287" spans="1:21" ht="14.45" customHeight="1">
      <c r="A287" s="94">
        <v>615.19000000000005</v>
      </c>
      <c r="B287" s="94">
        <v>618.08000000000004</v>
      </c>
      <c r="C287" s="94">
        <v>613.54</v>
      </c>
      <c r="D287" s="94">
        <v>614.72</v>
      </c>
      <c r="E287" s="94">
        <v>8224067.5078999996</v>
      </c>
      <c r="F287" s="94" t="s">
        <v>321</v>
      </c>
      <c r="G287" s="25">
        <f t="shared" si="7"/>
        <v>7.645757418011101E-4</v>
      </c>
      <c r="I287" s="94">
        <v>24.6</v>
      </c>
      <c r="J287" s="94">
        <v>25.5</v>
      </c>
      <c r="K287" s="94">
        <v>23.661999999999999</v>
      </c>
      <c r="L287" s="94">
        <v>25.13</v>
      </c>
      <c r="M287" s="94">
        <v>10452618.8665</v>
      </c>
      <c r="N287" s="94" t="s">
        <v>321</v>
      </c>
      <c r="O287" s="25">
        <f t="shared" si="8"/>
        <v>-2.1090330282530712E-2</v>
      </c>
      <c r="Q287" s="95">
        <v>-0.04</v>
      </c>
      <c r="R287">
        <v>15</v>
      </c>
      <c r="T287" s="55">
        <f t="shared" si="5"/>
        <v>-5.000000000000001E-2</v>
      </c>
      <c r="U287" s="1">
        <f t="shared" si="6"/>
        <v>4.7073796838528592</v>
      </c>
    </row>
    <row r="288" spans="1:21" ht="14.45" customHeight="1">
      <c r="A288" s="94">
        <v>609.09</v>
      </c>
      <c r="B288" s="94">
        <v>618.33399999999995</v>
      </c>
      <c r="C288" s="94">
        <v>608.25</v>
      </c>
      <c r="D288" s="94">
        <v>615.54</v>
      </c>
      <c r="E288" s="94">
        <v>23517362.5515</v>
      </c>
      <c r="F288" s="94" t="s">
        <v>322</v>
      </c>
      <c r="G288" s="25">
        <f t="shared" si="7"/>
        <v>-1.0478604152451387E-2</v>
      </c>
      <c r="I288" s="94">
        <v>24.79</v>
      </c>
      <c r="J288" s="94">
        <v>26.026599999999998</v>
      </c>
      <c r="K288" s="94">
        <v>24.31</v>
      </c>
      <c r="L288" s="94">
        <v>24.98</v>
      </c>
      <c r="M288" s="94">
        <v>7434275.1116000004</v>
      </c>
      <c r="N288" s="94" t="s">
        <v>322</v>
      </c>
      <c r="O288" s="25">
        <f t="shared" si="8"/>
        <v>-7.6060848678943804E-3</v>
      </c>
      <c r="Q288" s="95">
        <v>-3.7499999999999999E-2</v>
      </c>
      <c r="R288">
        <v>9</v>
      </c>
      <c r="T288" s="55">
        <f t="shared" si="5"/>
        <v>-4.7500000000000007E-2</v>
      </c>
      <c r="U288" s="1">
        <f t="shared" si="6"/>
        <v>5.0324003585007153</v>
      </c>
    </row>
    <row r="289" spans="1:21" ht="14.45" customHeight="1">
      <c r="A289" s="94">
        <v>612.5</v>
      </c>
      <c r="B289" s="94">
        <v>617.71</v>
      </c>
      <c r="C289" s="94">
        <v>612.41999999999996</v>
      </c>
      <c r="D289" s="94">
        <v>617.22</v>
      </c>
      <c r="E289" s="94">
        <v>12003111.3224</v>
      </c>
      <c r="F289" s="94" t="s">
        <v>323</v>
      </c>
      <c r="G289" s="25">
        <f t="shared" si="7"/>
        <v>-7.6471922491170297E-3</v>
      </c>
      <c r="I289" s="94">
        <v>24.97</v>
      </c>
      <c r="J289" s="94">
        <v>26.06</v>
      </c>
      <c r="K289" s="94">
        <v>24.28</v>
      </c>
      <c r="L289" s="94">
        <v>25.97</v>
      </c>
      <c r="M289" s="94">
        <v>9395631.6738000009</v>
      </c>
      <c r="N289" s="94" t="s">
        <v>323</v>
      </c>
      <c r="O289" s="25">
        <f t="shared" si="8"/>
        <v>-3.8505968425105896E-2</v>
      </c>
      <c r="Q289" s="95">
        <v>-3.4999999999999996E-2</v>
      </c>
      <c r="R289">
        <v>11</v>
      </c>
      <c r="T289" s="55">
        <f t="shared" si="5"/>
        <v>-4.5000000000000005E-2</v>
      </c>
      <c r="U289" s="1">
        <f t="shared" si="6"/>
        <v>5.3614756028403292</v>
      </c>
    </row>
    <row r="290" spans="1:21" ht="14.45" customHeight="1">
      <c r="A290" s="94">
        <v>622.03</v>
      </c>
      <c r="B290" s="94">
        <v>625.42999999999995</v>
      </c>
      <c r="C290" s="94">
        <v>619.29999999999995</v>
      </c>
      <c r="D290" s="94">
        <v>623.20000000000005</v>
      </c>
      <c r="E290" s="94">
        <v>6326793.6336000003</v>
      </c>
      <c r="F290" s="94" t="s">
        <v>324</v>
      </c>
      <c r="G290" s="25">
        <f t="shared" si="7"/>
        <v>-1.8774069319641429E-3</v>
      </c>
      <c r="I290" s="94">
        <v>25.44</v>
      </c>
      <c r="J290" s="94">
        <v>26.92</v>
      </c>
      <c r="K290" s="94">
        <v>24.94</v>
      </c>
      <c r="L290" s="94">
        <v>25.34</v>
      </c>
      <c r="M290" s="94">
        <v>8151414.9391000001</v>
      </c>
      <c r="N290" s="94" t="s">
        <v>324</v>
      </c>
      <c r="O290" s="25">
        <f t="shared" si="8"/>
        <v>3.9463299131807794E-3</v>
      </c>
      <c r="Q290" s="95">
        <v>-3.2499999999999994E-2</v>
      </c>
      <c r="R290">
        <v>14</v>
      </c>
      <c r="T290" s="55">
        <f t="shared" si="5"/>
        <v>-4.2500000000000003E-2</v>
      </c>
      <c r="U290" s="1">
        <f t="shared" si="6"/>
        <v>5.6925476826741983</v>
      </c>
    </row>
    <row r="291" spans="1:21" ht="14.45" customHeight="1">
      <c r="A291" s="94">
        <v>622.72</v>
      </c>
      <c r="B291" s="94">
        <v>628.50040000000001</v>
      </c>
      <c r="C291" s="94">
        <v>620.63</v>
      </c>
      <c r="D291" s="94">
        <v>623.32000000000005</v>
      </c>
      <c r="E291" s="94">
        <v>15534813.5547</v>
      </c>
      <c r="F291" s="94" t="s">
        <v>325</v>
      </c>
      <c r="G291" s="25">
        <f t="shared" si="7"/>
        <v>-9.6258743502541932E-4</v>
      </c>
      <c r="I291" s="94">
        <v>25.4</v>
      </c>
      <c r="J291" s="94">
        <v>26.47</v>
      </c>
      <c r="K291" s="94">
        <v>25.2</v>
      </c>
      <c r="L291" s="94">
        <v>25.82</v>
      </c>
      <c r="M291" s="94">
        <v>8158628.1699000001</v>
      </c>
      <c r="N291" s="94" t="s">
        <v>325</v>
      </c>
      <c r="O291" s="25">
        <f t="shared" si="8"/>
        <v>-1.6266460108443126E-2</v>
      </c>
      <c r="Q291" s="95">
        <v>-2.9999999999999995E-2</v>
      </c>
      <c r="R291">
        <v>10</v>
      </c>
      <c r="T291" s="55">
        <f t="shared" si="5"/>
        <v>-0.04</v>
      </c>
      <c r="U291" s="1">
        <f t="shared" si="6"/>
        <v>6.0234070598160505</v>
      </c>
    </row>
    <row r="292" spans="1:21" ht="14.45" customHeight="1">
      <c r="A292" s="94">
        <v>623.79999999999995</v>
      </c>
      <c r="B292" s="94">
        <v>625.32000000000005</v>
      </c>
      <c r="C292" s="94">
        <v>609.20000000000005</v>
      </c>
      <c r="D292" s="94">
        <v>612.86</v>
      </c>
      <c r="E292" s="94">
        <v>13178894.2619</v>
      </c>
      <c r="F292" s="94" t="s">
        <v>326</v>
      </c>
      <c r="G292" s="25">
        <f t="shared" si="7"/>
        <v>1.7850732630616983E-2</v>
      </c>
      <c r="I292" s="94">
        <v>25.82</v>
      </c>
      <c r="J292" s="94">
        <v>26.09</v>
      </c>
      <c r="K292" s="94">
        <v>24.45</v>
      </c>
      <c r="L292" s="94">
        <v>24.84</v>
      </c>
      <c r="M292" s="94">
        <v>10833720.0833</v>
      </c>
      <c r="N292" s="94" t="s">
        <v>326</v>
      </c>
      <c r="O292" s="25">
        <f t="shared" si="8"/>
        <v>3.9452495974235058E-2</v>
      </c>
      <c r="Q292" s="95">
        <v>-2.7499999999999997E-2</v>
      </c>
      <c r="R292">
        <v>17</v>
      </c>
      <c r="T292" s="55">
        <f t="shared" si="5"/>
        <v>-3.7499999999999999E-2</v>
      </c>
      <c r="U292" s="1">
        <f t="shared" si="6"/>
        <v>6.3517141304763767</v>
      </c>
    </row>
    <row r="293" spans="1:21" ht="14.45" customHeight="1">
      <c r="A293" s="94">
        <v>618.42999999999995</v>
      </c>
      <c r="B293" s="94">
        <v>621.82000000000005</v>
      </c>
      <c r="C293" s="94">
        <v>616</v>
      </c>
      <c r="D293" s="94">
        <v>619.33500000000004</v>
      </c>
      <c r="E293" s="94">
        <v>9662553.9519999996</v>
      </c>
      <c r="F293" s="94" t="s">
        <v>327</v>
      </c>
      <c r="G293" s="25">
        <f t="shared" si="7"/>
        <v>-1.461244722161803E-3</v>
      </c>
      <c r="I293" s="94">
        <v>25.28</v>
      </c>
      <c r="J293" s="94">
        <v>27.5688</v>
      </c>
      <c r="K293" s="94">
        <v>23.85</v>
      </c>
      <c r="L293" s="94">
        <v>23.89</v>
      </c>
      <c r="M293" s="94">
        <v>14068561.030099999</v>
      </c>
      <c r="N293" s="94" t="s">
        <v>327</v>
      </c>
      <c r="O293" s="25">
        <f t="shared" si="8"/>
        <v>5.818334030975314E-2</v>
      </c>
      <c r="Q293" s="95">
        <v>-2.4999999999999998E-2</v>
      </c>
      <c r="R293">
        <v>17</v>
      </c>
      <c r="T293" s="55">
        <f t="shared" si="5"/>
        <v>-3.4999999999999996E-2</v>
      </c>
      <c r="U293" s="1">
        <f t="shared" si="6"/>
        <v>6.6750245498066425</v>
      </c>
    </row>
    <row r="294" spans="1:21" ht="14.45" customHeight="1">
      <c r="A294" s="94">
        <v>626.80999999999995</v>
      </c>
      <c r="B294" s="94">
        <v>630.5</v>
      </c>
      <c r="C294" s="94">
        <v>621.4</v>
      </c>
      <c r="D294" s="94">
        <v>627.29</v>
      </c>
      <c r="E294" s="94">
        <v>12159038.5933</v>
      </c>
      <c r="F294" s="94" t="s">
        <v>328</v>
      </c>
      <c r="G294" s="25">
        <f t="shared" si="7"/>
        <v>-7.651963206810608E-4</v>
      </c>
      <c r="I294" s="94">
        <v>24.59</v>
      </c>
      <c r="J294" s="94">
        <v>26.24</v>
      </c>
      <c r="K294" s="94">
        <v>23.51</v>
      </c>
      <c r="L294" s="94">
        <v>25.5</v>
      </c>
      <c r="M294" s="94">
        <v>9346894.5903999992</v>
      </c>
      <c r="N294" s="94" t="s">
        <v>328</v>
      </c>
      <c r="O294" s="25">
        <f t="shared" si="8"/>
        <v>-3.5686274509803884E-2</v>
      </c>
      <c r="Q294" s="95">
        <v>-2.2499999999999999E-2</v>
      </c>
      <c r="R294">
        <v>27</v>
      </c>
      <c r="T294" s="55">
        <f t="shared" si="5"/>
        <v>-3.2499999999999994E-2</v>
      </c>
      <c r="U294" s="1">
        <f t="shared" si="6"/>
        <v>6.9908178175075379</v>
      </c>
    </row>
    <row r="295" spans="1:21" ht="14.45" customHeight="1">
      <c r="A295" s="94">
        <v>630.17999999999995</v>
      </c>
      <c r="B295" s="94">
        <v>631.96</v>
      </c>
      <c r="C295" s="94">
        <v>625.07000000000005</v>
      </c>
      <c r="D295" s="94">
        <v>626.91999999999996</v>
      </c>
      <c r="E295" s="94">
        <v>13385521.501599999</v>
      </c>
      <c r="F295" s="94" t="s">
        <v>329</v>
      </c>
      <c r="G295" s="25">
        <f t="shared" si="7"/>
        <v>5.2000255215975955E-3</v>
      </c>
      <c r="I295" s="94">
        <v>26</v>
      </c>
      <c r="J295" s="94">
        <v>26.504999999999999</v>
      </c>
      <c r="K295" s="94">
        <v>25.067799999999998</v>
      </c>
      <c r="L295" s="94">
        <v>25.6</v>
      </c>
      <c r="M295" s="94">
        <v>8631446.8723000009</v>
      </c>
      <c r="N295" s="94" t="s">
        <v>329</v>
      </c>
      <c r="O295" s="25">
        <f t="shared" si="8"/>
        <v>1.5625E-2</v>
      </c>
      <c r="Q295" s="95">
        <v>-0.02</v>
      </c>
      <c r="R295">
        <v>27</v>
      </c>
      <c r="T295" s="55">
        <f t="shared" si="5"/>
        <v>-2.9999999999999995E-2</v>
      </c>
      <c r="U295" s="1">
        <f t="shared" si="6"/>
        <v>7.2965287011544611</v>
      </c>
    </row>
    <row r="296" spans="1:21" ht="14.45" customHeight="1">
      <c r="A296" s="94">
        <v>625.72</v>
      </c>
      <c r="B296" s="94">
        <v>627.79</v>
      </c>
      <c r="C296" s="94">
        <v>615.88</v>
      </c>
      <c r="D296" s="94">
        <v>620.80999999999995</v>
      </c>
      <c r="E296" s="94">
        <v>17750853.1439</v>
      </c>
      <c r="F296" s="94" t="s">
        <v>330</v>
      </c>
      <c r="G296" s="25">
        <f t="shared" si="7"/>
        <v>7.9090220840516423E-3</v>
      </c>
      <c r="I296" s="94">
        <v>25.3</v>
      </c>
      <c r="J296" s="94">
        <v>26.44</v>
      </c>
      <c r="K296" s="94">
        <v>24.38</v>
      </c>
      <c r="L296" s="94">
        <v>26.105</v>
      </c>
      <c r="M296" s="94">
        <v>11482734.369899999</v>
      </c>
      <c r="N296" s="94" t="s">
        <v>330</v>
      </c>
      <c r="O296" s="25">
        <f t="shared" si="8"/>
        <v>-3.0837004405286361E-2</v>
      </c>
      <c r="Q296" s="95">
        <v>-1.7500000000000002E-2</v>
      </c>
      <c r="R296">
        <v>16</v>
      </c>
      <c r="T296" s="55">
        <f t="shared" si="5"/>
        <v>-2.7499999999999997E-2</v>
      </c>
      <c r="U296" s="1">
        <f t="shared" si="6"/>
        <v>7.5895809821481395</v>
      </c>
    </row>
    <row r="297" spans="1:21" ht="14.45" customHeight="1">
      <c r="A297" s="94">
        <v>631.28</v>
      </c>
      <c r="B297" s="94">
        <v>633.34</v>
      </c>
      <c r="C297" s="94">
        <v>623.6</v>
      </c>
      <c r="D297" s="94">
        <v>624.18499999999995</v>
      </c>
      <c r="E297" s="94">
        <v>9141073.2248</v>
      </c>
      <c r="F297" s="94" t="s">
        <v>331</v>
      </c>
      <c r="G297" s="25">
        <f t="shared" si="7"/>
        <v>1.1366822336326576E-2</v>
      </c>
      <c r="I297" s="94">
        <v>26.36</v>
      </c>
      <c r="J297" s="94">
        <v>26.93</v>
      </c>
      <c r="K297" s="94">
        <v>23.72</v>
      </c>
      <c r="L297" s="94">
        <v>23.72</v>
      </c>
      <c r="M297" s="94">
        <v>10566023.170299999</v>
      </c>
      <c r="N297" s="94" t="s">
        <v>331</v>
      </c>
      <c r="O297" s="25">
        <f t="shared" si="8"/>
        <v>0.11129848229342332</v>
      </c>
      <c r="Q297" s="95">
        <v>-1.5000000000000001E-2</v>
      </c>
      <c r="R297">
        <v>25</v>
      </c>
      <c r="T297" s="55">
        <f t="shared" si="5"/>
        <v>-2.4999999999999998E-2</v>
      </c>
      <c r="U297" s="1">
        <f t="shared" si="6"/>
        <v>7.8674229271866833</v>
      </c>
    </row>
    <row r="298" spans="1:21" ht="14.45" customHeight="1">
      <c r="A298" s="94">
        <v>631.04</v>
      </c>
      <c r="B298" s="94">
        <v>631.69000000000005</v>
      </c>
      <c r="C298" s="94">
        <v>626.94000000000005</v>
      </c>
      <c r="D298" s="94">
        <v>628.24</v>
      </c>
      <c r="E298" s="94">
        <v>10428128.689200001</v>
      </c>
      <c r="F298" s="94" t="s">
        <v>332</v>
      </c>
      <c r="G298" s="25">
        <f t="shared" si="7"/>
        <v>4.4568954539665473E-3</v>
      </c>
      <c r="I298" s="94">
        <v>24.14</v>
      </c>
      <c r="J298" s="94">
        <v>24.8399</v>
      </c>
      <c r="K298" s="94">
        <v>22.78</v>
      </c>
      <c r="L298" s="94">
        <v>24.574999999999999</v>
      </c>
      <c r="M298" s="94">
        <v>9196909.7677999996</v>
      </c>
      <c r="N298" s="94" t="s">
        <v>332</v>
      </c>
      <c r="O298" s="25">
        <f t="shared" si="8"/>
        <v>-1.7700915564598074E-2</v>
      </c>
      <c r="Q298" s="95">
        <v>-1.2500000000000001E-2</v>
      </c>
      <c r="R298">
        <v>32</v>
      </c>
      <c r="T298" s="55">
        <f t="shared" si="5"/>
        <v>-2.2499999999999999E-2</v>
      </c>
      <c r="U298" s="1">
        <f t="shared" si="6"/>
        <v>8.1275638189283548</v>
      </c>
    </row>
    <row r="299" spans="1:21" ht="14.45" customHeight="1">
      <c r="A299" s="94">
        <v>633.95000000000005</v>
      </c>
      <c r="B299" s="94">
        <v>637.77</v>
      </c>
      <c r="C299" s="94">
        <v>629.42999999999995</v>
      </c>
      <c r="D299" s="94">
        <v>637.65</v>
      </c>
      <c r="E299" s="94">
        <v>9408061.2331000008</v>
      </c>
      <c r="F299" s="94" t="s">
        <v>333</v>
      </c>
      <c r="G299" s="25">
        <f t="shared" si="7"/>
        <v>-5.8025562612717962E-3</v>
      </c>
      <c r="I299" s="94">
        <v>25.6</v>
      </c>
      <c r="J299" s="94">
        <v>25.69</v>
      </c>
      <c r="K299" s="94">
        <v>24.07</v>
      </c>
      <c r="L299" s="94">
        <v>24.5</v>
      </c>
      <c r="M299" s="94">
        <v>7670276.5122999996</v>
      </c>
      <c r="N299" s="94" t="s">
        <v>333</v>
      </c>
      <c r="O299" s="25">
        <f t="shared" si="8"/>
        <v>4.4897959183673564E-2</v>
      </c>
      <c r="Q299" s="95">
        <v>-0.01</v>
      </c>
      <c r="R299">
        <v>31</v>
      </c>
      <c r="T299" s="55">
        <f t="shared" si="5"/>
        <v>-0.02</v>
      </c>
      <c r="U299" s="1">
        <f t="shared" si="6"/>
        <v>8.3676108258218136</v>
      </c>
    </row>
    <row r="300" spans="1:21" ht="14.45" customHeight="1">
      <c r="A300" s="94">
        <v>637.53</v>
      </c>
      <c r="B300" s="94">
        <v>638</v>
      </c>
      <c r="C300" s="94">
        <v>634.74</v>
      </c>
      <c r="D300" s="94">
        <v>634.77</v>
      </c>
      <c r="E300" s="94">
        <v>11992947.0348</v>
      </c>
      <c r="F300" s="94" t="s">
        <v>334</v>
      </c>
      <c r="G300" s="25">
        <f t="shared" si="7"/>
        <v>4.3480315704900185E-3</v>
      </c>
      <c r="I300" s="94">
        <v>24.63</v>
      </c>
      <c r="J300" s="94">
        <v>25.813600000000001</v>
      </c>
      <c r="K300" s="94">
        <v>24.49</v>
      </c>
      <c r="L300" s="94">
        <v>25.3</v>
      </c>
      <c r="M300" s="94">
        <v>8061254.8848000001</v>
      </c>
      <c r="N300" s="94" t="s">
        <v>334</v>
      </c>
      <c r="O300" s="25">
        <f t="shared" si="8"/>
        <v>-2.6482213438735247E-2</v>
      </c>
      <c r="Q300" s="95">
        <v>-7.4999999999999997E-3</v>
      </c>
      <c r="R300">
        <v>47</v>
      </c>
      <c r="T300" s="55">
        <f t="shared" si="5"/>
        <v>-1.7500000000000002E-2</v>
      </c>
      <c r="U300" s="1">
        <f t="shared" si="6"/>
        <v>8.5853054552518255</v>
      </c>
    </row>
    <row r="301" spans="1:21" ht="14.45" customHeight="1">
      <c r="A301" s="94">
        <v>632.21</v>
      </c>
      <c r="B301" s="94">
        <v>633.09</v>
      </c>
      <c r="C301" s="94">
        <v>625.4</v>
      </c>
      <c r="D301" s="94">
        <v>627.15</v>
      </c>
      <c r="E301" s="94">
        <v>6892400.0921999998</v>
      </c>
      <c r="F301" s="94" t="s">
        <v>335</v>
      </c>
      <c r="G301" s="25">
        <f t="shared" si="7"/>
        <v>8.0682452363869395E-3</v>
      </c>
      <c r="I301" s="94">
        <v>24.71</v>
      </c>
      <c r="J301" s="94">
        <v>24.81</v>
      </c>
      <c r="K301" s="94">
        <v>22.350100000000001</v>
      </c>
      <c r="L301" s="94">
        <v>23.25</v>
      </c>
      <c r="M301" s="94">
        <v>7404435.6618999997</v>
      </c>
      <c r="N301" s="94" t="s">
        <v>335</v>
      </c>
      <c r="O301" s="25">
        <f t="shared" si="8"/>
        <v>6.2795698924731136E-2</v>
      </c>
      <c r="Q301" s="95">
        <v>-5.0000000000000001E-3</v>
      </c>
      <c r="R301">
        <v>28</v>
      </c>
      <c r="T301" s="55">
        <f t="shared" si="5"/>
        <v>-1.5000000000000001E-2</v>
      </c>
      <c r="U301" s="1">
        <f t="shared" si="6"/>
        <v>8.7785588179863137</v>
      </c>
    </row>
    <row r="302" spans="1:21" ht="14.45" customHeight="1">
      <c r="A302" s="94">
        <v>627.63</v>
      </c>
      <c r="B302" s="94">
        <v>634.61</v>
      </c>
      <c r="C302" s="94">
        <v>625.75</v>
      </c>
      <c r="D302" s="94">
        <v>632.61</v>
      </c>
      <c r="E302" s="94">
        <v>10817766.553200001</v>
      </c>
      <c r="F302" s="94" t="s">
        <v>336</v>
      </c>
      <c r="G302" s="25">
        <f t="shared" si="7"/>
        <v>-7.8721487172191962E-3</v>
      </c>
      <c r="I302" s="94">
        <v>23.78</v>
      </c>
      <c r="J302" s="94">
        <v>24.704999999999998</v>
      </c>
      <c r="K302" s="94">
        <v>23.2303</v>
      </c>
      <c r="L302" s="94">
        <v>23.4</v>
      </c>
      <c r="M302" s="94">
        <v>6713048.8168000001</v>
      </c>
      <c r="N302" s="94" t="s">
        <v>336</v>
      </c>
      <c r="O302" s="25">
        <f t="shared" si="8"/>
        <v>1.6239316239316404E-2</v>
      </c>
      <c r="Q302" s="95">
        <v>-2.5000000000000001E-3</v>
      </c>
      <c r="R302">
        <v>32</v>
      </c>
      <c r="T302" s="55">
        <f t="shared" si="5"/>
        <v>-1.2500000000000001E-2</v>
      </c>
      <c r="U302" s="1">
        <f t="shared" si="6"/>
        <v>8.9454849366023179</v>
      </c>
    </row>
    <row r="303" spans="1:21" ht="14.45" customHeight="1">
      <c r="A303" s="94">
        <v>634.02</v>
      </c>
      <c r="B303" s="94">
        <v>634.58000000000004</v>
      </c>
      <c r="C303" s="94">
        <v>627.03</v>
      </c>
      <c r="D303" s="94">
        <v>627.48</v>
      </c>
      <c r="E303" s="94">
        <v>7448059</v>
      </c>
      <c r="F303" s="94" t="s">
        <v>337</v>
      </c>
      <c r="G303" s="25">
        <f t="shared" si="7"/>
        <v>1.0422642952763406E-2</v>
      </c>
      <c r="I303" s="94">
        <v>23.9</v>
      </c>
      <c r="J303" s="94">
        <v>25.69</v>
      </c>
      <c r="K303" s="94">
        <v>23.51</v>
      </c>
      <c r="L303" s="94">
        <v>24.74</v>
      </c>
      <c r="M303" s="94">
        <v>10713363</v>
      </c>
      <c r="N303" s="94" t="s">
        <v>337</v>
      </c>
      <c r="O303" s="25">
        <f t="shared" si="8"/>
        <v>-3.3953112368633742E-2</v>
      </c>
      <c r="Q303" s="95">
        <v>0</v>
      </c>
      <c r="R303">
        <v>50</v>
      </c>
      <c r="T303" s="55">
        <f t="shared" si="5"/>
        <v>-0.01</v>
      </c>
      <c r="U303" s="1">
        <f t="shared" si="6"/>
        <v>9.0844313566188042</v>
      </c>
    </row>
    <row r="304" spans="1:21" ht="14.45" customHeight="1">
      <c r="A304" s="94">
        <v>629.53</v>
      </c>
      <c r="B304" s="94">
        <v>631.08000000000004</v>
      </c>
      <c r="C304" s="94">
        <v>626.80999999999995</v>
      </c>
      <c r="D304" s="94">
        <v>628.95000000000005</v>
      </c>
      <c r="E304" s="94">
        <v>5170563</v>
      </c>
      <c r="F304" s="94" t="s">
        <v>338</v>
      </c>
      <c r="G304" s="25">
        <f t="shared" si="7"/>
        <v>9.2217187375776E-4</v>
      </c>
      <c r="I304" s="94">
        <v>25.11</v>
      </c>
      <c r="J304" s="94">
        <v>25.11</v>
      </c>
      <c r="K304" s="94">
        <v>22.46</v>
      </c>
      <c r="L304" s="94">
        <v>23.02</v>
      </c>
      <c r="M304" s="94">
        <v>10743891</v>
      </c>
      <c r="N304" s="94" t="s">
        <v>338</v>
      </c>
      <c r="O304" s="25">
        <f t="shared" si="8"/>
        <v>9.0790616854908857E-2</v>
      </c>
      <c r="Q304" s="95">
        <v>2.5000000000000001E-3</v>
      </c>
      <c r="R304">
        <v>8</v>
      </c>
      <c r="T304" s="55">
        <f t="shared" si="5"/>
        <v>-7.4999999999999997E-3</v>
      </c>
      <c r="U304" s="1">
        <f t="shared" si="6"/>
        <v>9.1940063662558789</v>
      </c>
    </row>
    <row r="305" spans="1:21" ht="14.45" customHeight="1">
      <c r="A305" s="94">
        <v>631.15</v>
      </c>
      <c r="B305" s="94">
        <v>633.79999999999995</v>
      </c>
      <c r="C305" s="94">
        <v>628</v>
      </c>
      <c r="D305" s="94">
        <v>629.11</v>
      </c>
      <c r="E305" s="94">
        <v>9509175</v>
      </c>
      <c r="F305" s="94" t="s">
        <v>339</v>
      </c>
      <c r="G305" s="25">
        <f t="shared" si="7"/>
        <v>3.2426761615615973E-3</v>
      </c>
      <c r="I305" s="94">
        <v>23.74</v>
      </c>
      <c r="J305" s="94">
        <v>24.6</v>
      </c>
      <c r="K305" s="94">
        <v>22.24</v>
      </c>
      <c r="L305" s="94">
        <v>22.4</v>
      </c>
      <c r="M305" s="94">
        <v>10005440</v>
      </c>
      <c r="N305" s="94" t="s">
        <v>339</v>
      </c>
      <c r="O305" s="25">
        <f t="shared" si="8"/>
        <v>5.982142857142847E-2</v>
      </c>
      <c r="Q305" s="95">
        <v>5.0000000000000001E-3</v>
      </c>
      <c r="R305">
        <v>40</v>
      </c>
      <c r="T305" s="55">
        <f t="shared" si="5"/>
        <v>-5.0000000000000001E-3</v>
      </c>
      <c r="U305" s="1">
        <f t="shared" si="6"/>
        <v>9.2731021981204691</v>
      </c>
    </row>
    <row r="306" spans="1:21" ht="14.45" customHeight="1">
      <c r="A306" s="94">
        <v>627.99</v>
      </c>
      <c r="B306" s="94">
        <v>629.92999999999995</v>
      </c>
      <c r="C306" s="94">
        <v>621.51</v>
      </c>
      <c r="D306" s="94">
        <v>625.54</v>
      </c>
      <c r="E306" s="94">
        <v>8039425</v>
      </c>
      <c r="F306" s="94" t="s">
        <v>340</v>
      </c>
      <c r="G306" s="25">
        <f t="shared" si="7"/>
        <v>3.9166160437382747E-3</v>
      </c>
      <c r="I306" s="94">
        <v>22.21</v>
      </c>
      <c r="J306" s="94">
        <v>22.789899999999999</v>
      </c>
      <c r="K306" s="94">
        <v>21.5</v>
      </c>
      <c r="L306" s="94">
        <v>22</v>
      </c>
      <c r="M306" s="94">
        <v>5521178</v>
      </c>
      <c r="N306" s="94" t="s">
        <v>340</v>
      </c>
      <c r="O306" s="25">
        <f t="shared" si="8"/>
        <v>9.5454545454545237E-3</v>
      </c>
      <c r="Q306" s="95">
        <v>7.4999999999999997E-3</v>
      </c>
      <c r="R306">
        <v>18</v>
      </c>
      <c r="T306" s="55">
        <f>T307-0.0025</f>
        <v>-2.5000000000000001E-3</v>
      </c>
      <c r="U306" s="1">
        <f t="shared" si="6"/>
        <v>9.3209136720202252</v>
      </c>
    </row>
    <row r="307" spans="1:21" ht="14.45" customHeight="1">
      <c r="A307" s="94">
        <v>626.89</v>
      </c>
      <c r="B307" s="94">
        <v>631.16999999999996</v>
      </c>
      <c r="C307" s="94">
        <v>623.11500000000001</v>
      </c>
      <c r="D307" s="94">
        <v>626.92999999999995</v>
      </c>
      <c r="E307" s="94">
        <v>9248752</v>
      </c>
      <c r="F307" s="94" t="s">
        <v>341</v>
      </c>
      <c r="G307" s="25">
        <f t="shared" si="7"/>
        <v>-6.3802976408844359E-5</v>
      </c>
      <c r="I307" s="94">
        <v>22.42</v>
      </c>
      <c r="J307" s="94">
        <v>22.93</v>
      </c>
      <c r="K307" s="94">
        <v>21.128499999999999</v>
      </c>
      <c r="L307" s="94">
        <v>21.5</v>
      </c>
      <c r="M307" s="94">
        <v>6446423</v>
      </c>
      <c r="N307" s="94" t="s">
        <v>341</v>
      </c>
      <c r="O307" s="25">
        <f t="shared" si="8"/>
        <v>4.2790697674418787E-2</v>
      </c>
      <c r="Q307" s="95">
        <v>0.01</v>
      </c>
      <c r="R307">
        <v>37</v>
      </c>
      <c r="T307" s="55">
        <v>0</v>
      </c>
      <c r="U307" s="1">
        <f t="shared" si="6"/>
        <v>9.3369518401937555</v>
      </c>
    </row>
    <row r="308" spans="1:21" ht="14.45" customHeight="1">
      <c r="A308" s="94">
        <v>626.49</v>
      </c>
      <c r="B308" s="94">
        <v>639.52</v>
      </c>
      <c r="C308" s="94">
        <v>625.76</v>
      </c>
      <c r="D308" s="94">
        <v>638.51</v>
      </c>
      <c r="E308" s="94">
        <v>8866872</v>
      </c>
      <c r="F308" s="94" t="s">
        <v>342</v>
      </c>
      <c r="G308" s="25">
        <f t="shared" si="7"/>
        <v>-1.8825077132699541E-2</v>
      </c>
      <c r="I308" s="94">
        <v>21.3</v>
      </c>
      <c r="J308" s="94">
        <v>21.91</v>
      </c>
      <c r="K308" s="94">
        <v>19.98</v>
      </c>
      <c r="L308" s="94">
        <v>21.57</v>
      </c>
      <c r="M308" s="94">
        <v>13315667</v>
      </c>
      <c r="N308" s="94" t="s">
        <v>342</v>
      </c>
      <c r="O308" s="25">
        <f t="shared" si="8"/>
        <v>-1.2517385257301838E-2</v>
      </c>
      <c r="Q308" s="95">
        <v>1.2500000000000001E-2</v>
      </c>
      <c r="R308">
        <v>21</v>
      </c>
      <c r="T308" s="25">
        <f t="shared" ref="T308:T339" si="9">T307+0.0025</f>
        <v>2.5000000000000001E-3</v>
      </c>
      <c r="U308" s="1">
        <f t="shared" si="6"/>
        <v>9.3210523115896091</v>
      </c>
    </row>
    <row r="309" spans="1:21" ht="14.45" customHeight="1">
      <c r="A309" s="94">
        <v>636.35</v>
      </c>
      <c r="B309" s="94">
        <v>641.15</v>
      </c>
      <c r="C309" s="94">
        <v>633.84</v>
      </c>
      <c r="D309" s="94">
        <v>640.49</v>
      </c>
      <c r="E309" s="94">
        <v>5317092</v>
      </c>
      <c r="F309" s="94" t="s">
        <v>343</v>
      </c>
      <c r="G309" s="25">
        <f t="shared" si="7"/>
        <v>-6.4638011522427652E-3</v>
      </c>
      <c r="I309" s="94">
        <v>21.65</v>
      </c>
      <c r="J309" s="94">
        <v>23.524999999999999</v>
      </c>
      <c r="K309" s="94">
        <v>20.91</v>
      </c>
      <c r="L309" s="94">
        <v>23.524999999999999</v>
      </c>
      <c r="M309" s="94">
        <v>7993775</v>
      </c>
      <c r="N309" s="94" t="s">
        <v>343</v>
      </c>
      <c r="O309" s="25">
        <f t="shared" si="8"/>
        <v>-7.9702444208289092E-2</v>
      </c>
      <c r="Q309" s="95">
        <v>1.5000000000000001E-2</v>
      </c>
      <c r="R309">
        <v>27</v>
      </c>
      <c r="T309" s="25">
        <f t="shared" si="9"/>
        <v>5.0000000000000001E-3</v>
      </c>
      <c r="U309" s="1">
        <f t="shared" si="6"/>
        <v>9.2733780570119926</v>
      </c>
    </row>
    <row r="310" spans="1:21" ht="14.45" customHeight="1">
      <c r="A310" s="94">
        <v>636.44000000000005</v>
      </c>
      <c r="B310" s="94">
        <v>640.62</v>
      </c>
      <c r="C310" s="94">
        <v>636.08000000000004</v>
      </c>
      <c r="D310" s="94">
        <v>639.14</v>
      </c>
      <c r="E310" s="94">
        <v>13619951</v>
      </c>
      <c r="F310" s="94" t="s">
        <v>344</v>
      </c>
      <c r="G310" s="25">
        <f t="shared" si="7"/>
        <v>-4.2244265732076514E-3</v>
      </c>
      <c r="I310" s="94">
        <v>22.79</v>
      </c>
      <c r="J310" s="94">
        <v>23.98</v>
      </c>
      <c r="K310" s="94">
        <v>22.71</v>
      </c>
      <c r="L310" s="94">
        <v>23.87</v>
      </c>
      <c r="M310" s="94">
        <v>7584708</v>
      </c>
      <c r="N310" s="94" t="s">
        <v>344</v>
      </c>
      <c r="O310" s="25">
        <f t="shared" si="8"/>
        <v>-4.5245077503142106E-2</v>
      </c>
      <c r="Q310" s="95">
        <v>1.7500000000000002E-2</v>
      </c>
      <c r="R310">
        <v>32</v>
      </c>
      <c r="T310" s="25">
        <f t="shared" si="9"/>
        <v>7.4999999999999997E-3</v>
      </c>
      <c r="U310" s="1">
        <f t="shared" si="6"/>
        <v>9.1944166281961923</v>
      </c>
    </row>
    <row r="311" spans="1:21" ht="14.45" customHeight="1">
      <c r="A311" s="94">
        <v>638.23</v>
      </c>
      <c r="B311" s="94">
        <v>639.99</v>
      </c>
      <c r="C311" s="94">
        <v>633.11</v>
      </c>
      <c r="D311" s="94">
        <v>634.07000000000005</v>
      </c>
      <c r="E311" s="94">
        <v>8885179</v>
      </c>
      <c r="F311" s="94" t="s">
        <v>345</v>
      </c>
      <c r="G311" s="25">
        <f t="shared" si="7"/>
        <v>6.5607898181587743E-3</v>
      </c>
      <c r="I311" s="94">
        <v>24.02</v>
      </c>
      <c r="J311" s="94">
        <v>24.094999999999999</v>
      </c>
      <c r="K311" s="94">
        <v>21.65</v>
      </c>
      <c r="L311" s="94">
        <v>21.96</v>
      </c>
      <c r="M311" s="94">
        <v>10567276</v>
      </c>
      <c r="N311" s="94" t="s">
        <v>345</v>
      </c>
      <c r="O311" s="25">
        <f t="shared" si="8"/>
        <v>9.380692167577398E-2</v>
      </c>
      <c r="Q311" s="95">
        <v>0.02</v>
      </c>
      <c r="R311">
        <v>21</v>
      </c>
      <c r="T311" s="25">
        <f t="shared" si="9"/>
        <v>0.01</v>
      </c>
      <c r="U311" s="1">
        <f t="shared" si="6"/>
        <v>9.0849718571731017</v>
      </c>
    </row>
    <row r="312" spans="1:21" ht="14.45" customHeight="1">
      <c r="A312" s="94">
        <v>635.24</v>
      </c>
      <c r="B312" s="94">
        <v>636.72</v>
      </c>
      <c r="C312" s="94">
        <v>626.20000000000005</v>
      </c>
      <c r="D312" s="94">
        <v>626.72</v>
      </c>
      <c r="E312" s="94">
        <v>12959420</v>
      </c>
      <c r="F312" s="94" t="s">
        <v>346</v>
      </c>
      <c r="G312" s="25">
        <f t="shared" si="7"/>
        <v>1.3594587694664151E-2</v>
      </c>
      <c r="I312" s="94">
        <v>22.26</v>
      </c>
      <c r="J312" s="94">
        <v>22.28</v>
      </c>
      <c r="K312" s="94">
        <v>20.81</v>
      </c>
      <c r="L312" s="94">
        <v>21.04</v>
      </c>
      <c r="M312" s="94">
        <v>9412809</v>
      </c>
      <c r="N312" s="94" t="s">
        <v>346</v>
      </c>
      <c r="O312" s="25">
        <f t="shared" si="8"/>
        <v>5.7984790874524794E-2</v>
      </c>
      <c r="Q312" s="95">
        <v>2.2499999999999999E-2</v>
      </c>
      <c r="R312">
        <v>19</v>
      </c>
      <c r="T312" s="25">
        <f t="shared" si="9"/>
        <v>1.2500000000000001E-2</v>
      </c>
      <c r="U312" s="1">
        <f t="shared" si="6"/>
        <v>8.9461502335448859</v>
      </c>
    </row>
    <row r="313" spans="1:21" ht="14.45" customHeight="1">
      <c r="A313" s="94">
        <v>623.1</v>
      </c>
      <c r="B313" s="94">
        <v>628.75</v>
      </c>
      <c r="C313" s="94">
        <v>621.5</v>
      </c>
      <c r="D313" s="94">
        <v>626.24</v>
      </c>
      <c r="E313" s="94">
        <v>11506981</v>
      </c>
      <c r="F313" s="94" t="s">
        <v>347</v>
      </c>
      <c r="G313" s="25">
        <f t="shared" si="7"/>
        <v>-5.0140521205926936E-3</v>
      </c>
      <c r="I313" s="94">
        <v>20.43</v>
      </c>
      <c r="J313" s="94">
        <v>21.542000000000002</v>
      </c>
      <c r="K313" s="94">
        <v>20.149999999999999</v>
      </c>
      <c r="L313" s="94">
        <v>21</v>
      </c>
      <c r="M313" s="94">
        <v>11082687</v>
      </c>
      <c r="N313" s="94" t="s">
        <v>347</v>
      </c>
      <c r="O313" s="25">
        <f t="shared" si="8"/>
        <v>-2.7142857142857135E-2</v>
      </c>
      <c r="Q313" s="95">
        <v>2.4999999999999998E-2</v>
      </c>
      <c r="R313">
        <v>25</v>
      </c>
      <c r="T313" s="25">
        <f t="shared" si="9"/>
        <v>1.5000000000000001E-2</v>
      </c>
      <c r="U313" s="1">
        <f t="shared" ref="U313:U344" si="10">_xlfn.NORM.DIST(T313,$S$240,$S$242,FALSE)</f>
        <v>8.7793422825141754</v>
      </c>
    </row>
    <row r="314" spans="1:21" ht="14.45" customHeight="1">
      <c r="A314" s="94">
        <v>630.91</v>
      </c>
      <c r="B314" s="94">
        <v>635.91999999999996</v>
      </c>
      <c r="C314" s="94">
        <v>627</v>
      </c>
      <c r="D314" s="94">
        <v>634.92999999999995</v>
      </c>
      <c r="E314" s="94">
        <v>11228241</v>
      </c>
      <c r="F314" s="94" t="s">
        <v>348</v>
      </c>
      <c r="G314" s="25">
        <f t="shared" si="7"/>
        <v>-6.3314066117524659E-3</v>
      </c>
      <c r="I314" s="94">
        <v>21.77</v>
      </c>
      <c r="J314" s="94">
        <v>24</v>
      </c>
      <c r="K314" s="94">
        <v>20.59</v>
      </c>
      <c r="L314" s="94">
        <v>24</v>
      </c>
      <c r="M314" s="94">
        <v>12162902</v>
      </c>
      <c r="N314" s="94" t="s">
        <v>348</v>
      </c>
      <c r="O314" s="25">
        <f t="shared" si="8"/>
        <v>-9.2916666666666647E-2</v>
      </c>
      <c r="Q314" s="95">
        <v>2.7499999999999997E-2</v>
      </c>
      <c r="R314">
        <v>12</v>
      </c>
      <c r="T314" s="25">
        <f t="shared" si="9"/>
        <v>1.7500000000000002E-2</v>
      </c>
      <c r="U314" s="1">
        <f t="shared" si="10"/>
        <v>8.586199381903878</v>
      </c>
    </row>
    <row r="315" spans="1:21" ht="14.45" customHeight="1">
      <c r="A315" s="94">
        <v>634.15</v>
      </c>
      <c r="B315" s="94">
        <v>641</v>
      </c>
      <c r="C315" s="94">
        <v>629.10500000000002</v>
      </c>
      <c r="D315" s="94">
        <v>640.33000000000004</v>
      </c>
      <c r="E315" s="94">
        <v>9644195</v>
      </c>
      <c r="F315" s="94" t="s">
        <v>349</v>
      </c>
      <c r="G315" s="25">
        <f t="shared" si="7"/>
        <v>-9.6512735620696288E-3</v>
      </c>
      <c r="I315" s="94">
        <v>23.95</v>
      </c>
      <c r="J315" s="94">
        <v>23.986799999999999</v>
      </c>
      <c r="K315" s="94">
        <v>22.91</v>
      </c>
      <c r="L315" s="94">
        <v>23.98</v>
      </c>
      <c r="M315" s="94">
        <v>9573272</v>
      </c>
      <c r="N315" s="94" t="s">
        <v>349</v>
      </c>
      <c r="O315" s="25">
        <f t="shared" si="8"/>
        <v>-1.2510425354462784E-3</v>
      </c>
      <c r="Q315" s="95">
        <v>2.9999999999999995E-2</v>
      </c>
      <c r="R315">
        <v>17</v>
      </c>
      <c r="T315" s="25">
        <f t="shared" si="9"/>
        <v>0.02</v>
      </c>
      <c r="U315" s="1">
        <f t="shared" si="10"/>
        <v>8.3686065585554275</v>
      </c>
    </row>
    <row r="316" spans="1:21" ht="14.45" customHeight="1">
      <c r="A316" s="94">
        <v>639.67999999999995</v>
      </c>
      <c r="B316" s="94">
        <v>640.96</v>
      </c>
      <c r="C316" s="94">
        <v>634.07000000000005</v>
      </c>
      <c r="D316" s="94">
        <v>634.17999999999995</v>
      </c>
      <c r="E316" s="94">
        <v>9124531</v>
      </c>
      <c r="F316" s="94" t="s">
        <v>350</v>
      </c>
      <c r="G316" s="25">
        <f t="shared" si="7"/>
        <v>8.6726166072723654E-3</v>
      </c>
      <c r="I316" s="94">
        <v>22.85</v>
      </c>
      <c r="J316" s="94">
        <v>25.771999999999998</v>
      </c>
      <c r="K316" s="94">
        <v>22.465</v>
      </c>
      <c r="L316" s="94">
        <v>24.89</v>
      </c>
      <c r="M316" s="94">
        <v>14876944</v>
      </c>
      <c r="N316" s="94" t="s">
        <v>350</v>
      </c>
      <c r="O316" s="25">
        <f t="shared" si="8"/>
        <v>-8.1960626757733968E-2</v>
      </c>
      <c r="Q316" s="95">
        <v>3.2499999999999994E-2</v>
      </c>
      <c r="R316">
        <v>19</v>
      </c>
      <c r="T316" s="25">
        <f t="shared" si="9"/>
        <v>2.2499999999999999E-2</v>
      </c>
      <c r="U316" s="1">
        <f t="shared" si="10"/>
        <v>8.1286518904708025</v>
      </c>
    </row>
    <row r="317" spans="1:21" ht="14.45" customHeight="1">
      <c r="A317" s="94">
        <v>636.22</v>
      </c>
      <c r="B317" s="94">
        <v>638.45000000000005</v>
      </c>
      <c r="C317" s="94">
        <v>631.95000000000005</v>
      </c>
      <c r="D317" s="94">
        <v>636.25</v>
      </c>
      <c r="E317" s="94">
        <v>6519552</v>
      </c>
      <c r="F317" s="94" t="s">
        <v>351</v>
      </c>
      <c r="G317" s="25">
        <f t="shared" si="7"/>
        <v>-4.71512770137128E-5</v>
      </c>
      <c r="I317" s="94">
        <v>24.97</v>
      </c>
      <c r="J317" s="94">
        <v>27.25</v>
      </c>
      <c r="K317" s="94">
        <v>24.445</v>
      </c>
      <c r="L317" s="94">
        <v>25.715</v>
      </c>
      <c r="M317" s="94">
        <v>15421065</v>
      </c>
      <c r="N317" s="94" t="s">
        <v>351</v>
      </c>
      <c r="O317" s="25">
        <f t="shared" si="8"/>
        <v>-2.8971417460626148E-2</v>
      </c>
      <c r="Q317" s="95">
        <v>3.4999999999999996E-2</v>
      </c>
      <c r="R317">
        <v>15</v>
      </c>
      <c r="T317" s="25">
        <f t="shared" si="9"/>
        <v>2.4999999999999998E-2</v>
      </c>
      <c r="U317" s="1">
        <f t="shared" si="10"/>
        <v>7.8685932085286945</v>
      </c>
    </row>
    <row r="318" spans="1:21" ht="14.45" customHeight="1">
      <c r="A318" s="94">
        <v>638.27</v>
      </c>
      <c r="B318" s="94">
        <v>641.04</v>
      </c>
      <c r="C318" s="94">
        <v>629.82000000000005</v>
      </c>
      <c r="D318" s="94">
        <v>640.42999999999995</v>
      </c>
      <c r="E318" s="94">
        <v>8485857</v>
      </c>
      <c r="F318" s="94" t="s">
        <v>352</v>
      </c>
      <c r="G318" s="25">
        <f t="shared" si="7"/>
        <v>-3.37273394438109E-3</v>
      </c>
      <c r="I318" s="94">
        <v>26.35</v>
      </c>
      <c r="J318" s="94">
        <v>27.7</v>
      </c>
      <c r="K318" s="94">
        <v>25.55</v>
      </c>
      <c r="L318" s="94">
        <v>27.7</v>
      </c>
      <c r="M318" s="94">
        <v>10387135</v>
      </c>
      <c r="N318" s="94" t="s">
        <v>352</v>
      </c>
      <c r="O318" s="25">
        <f t="shared" si="8"/>
        <v>-4.8736462093862731E-2</v>
      </c>
      <c r="Q318" s="95">
        <v>3.7499999999999999E-2</v>
      </c>
      <c r="R318">
        <v>14</v>
      </c>
      <c r="T318" s="25">
        <f t="shared" si="9"/>
        <v>2.7499999999999997E-2</v>
      </c>
      <c r="U318" s="1">
        <f t="shared" si="10"/>
        <v>7.590822838887191</v>
      </c>
    </row>
    <row r="319" spans="1:21" ht="14.45" customHeight="1">
      <c r="A319" s="94">
        <v>639.6</v>
      </c>
      <c r="B319" s="94">
        <v>641.80999999999995</v>
      </c>
      <c r="C319" s="94">
        <v>638.22</v>
      </c>
      <c r="D319" s="94">
        <v>641.04999999999995</v>
      </c>
      <c r="E319" s="94">
        <v>5488373</v>
      </c>
      <c r="F319" s="94" t="s">
        <v>353</v>
      </c>
      <c r="G319" s="25">
        <f t="shared" si="7"/>
        <v>-2.2619140472660559E-3</v>
      </c>
      <c r="I319" s="94">
        <v>27.88</v>
      </c>
      <c r="J319" s="94">
        <v>28.4</v>
      </c>
      <c r="K319" s="94">
        <v>26.81</v>
      </c>
      <c r="L319" s="94">
        <v>28.05</v>
      </c>
      <c r="M319" s="94">
        <v>12700109</v>
      </c>
      <c r="N319" s="94" t="s">
        <v>353</v>
      </c>
      <c r="O319" s="25">
        <f t="shared" si="8"/>
        <v>-6.0606060606060996E-3</v>
      </c>
      <c r="Q319" s="95">
        <v>0.04</v>
      </c>
      <c r="R319">
        <v>10</v>
      </c>
      <c r="T319" s="25">
        <f t="shared" si="9"/>
        <v>2.9999999999999995E-2</v>
      </c>
      <c r="U319" s="1">
        <f t="shared" si="10"/>
        <v>7.2978311533285147</v>
      </c>
    </row>
    <row r="320" spans="1:21" ht="14.45" customHeight="1">
      <c r="A320" s="94">
        <v>639.70000000000005</v>
      </c>
      <c r="B320" s="94">
        <v>640.59590000000003</v>
      </c>
      <c r="C320" s="94">
        <v>637.87</v>
      </c>
      <c r="D320" s="94">
        <v>638.41999999999996</v>
      </c>
      <c r="E320" s="94">
        <v>4308306</v>
      </c>
      <c r="F320" s="94" t="s">
        <v>354</v>
      </c>
      <c r="G320" s="25">
        <f t="shared" si="7"/>
        <v>2.0049497196203969E-3</v>
      </c>
      <c r="I320" s="94">
        <v>28.07</v>
      </c>
      <c r="J320" s="94">
        <v>28.7</v>
      </c>
      <c r="K320" s="94">
        <v>26.059100000000001</v>
      </c>
      <c r="L320" s="94">
        <v>26.08</v>
      </c>
      <c r="M320" s="94">
        <v>14550134</v>
      </c>
      <c r="N320" s="94" t="s">
        <v>354</v>
      </c>
      <c r="O320" s="25">
        <f t="shared" si="8"/>
        <v>7.6303680981595123E-2</v>
      </c>
      <c r="Q320" s="95">
        <v>4.2500000000000003E-2</v>
      </c>
      <c r="R320">
        <v>15</v>
      </c>
      <c r="T320" s="25">
        <f t="shared" si="9"/>
        <v>3.2499999999999994E-2</v>
      </c>
      <c r="U320" s="1">
        <f t="shared" si="10"/>
        <v>6.992169699585272</v>
      </c>
    </row>
    <row r="321" spans="1:21" ht="14.45" customHeight="1">
      <c r="A321" s="94">
        <v>637.09</v>
      </c>
      <c r="B321" s="94">
        <v>638.39</v>
      </c>
      <c r="C321" s="94">
        <v>634.52</v>
      </c>
      <c r="D321" s="94">
        <v>635.03</v>
      </c>
      <c r="E321" s="94">
        <v>8976388</v>
      </c>
      <c r="F321" s="94" t="s">
        <v>355</v>
      </c>
      <c r="G321" s="25">
        <f t="shared" si="7"/>
        <v>3.2439412311229265E-3</v>
      </c>
      <c r="I321" s="94">
        <v>25.87</v>
      </c>
      <c r="J321" s="94">
        <v>26.6998</v>
      </c>
      <c r="K321" s="94">
        <v>25.22</v>
      </c>
      <c r="L321" s="94">
        <v>26.6</v>
      </c>
      <c r="M321" s="94">
        <v>12515093</v>
      </c>
      <c r="N321" s="94" t="s">
        <v>355</v>
      </c>
      <c r="O321" s="25">
        <f t="shared" si="8"/>
        <v>-2.7443609022556381E-2</v>
      </c>
      <c r="Q321" s="95">
        <v>4.5000000000000005E-2</v>
      </c>
      <c r="R321">
        <v>10</v>
      </c>
      <c r="T321" s="25">
        <f t="shared" si="9"/>
        <v>3.4999999999999996E-2</v>
      </c>
      <c r="U321" s="1">
        <f t="shared" si="10"/>
        <v>6.6764146676140861</v>
      </c>
    </row>
    <row r="322" spans="1:21" ht="14.45" customHeight="1">
      <c r="A322" s="94">
        <v>633.83000000000004</v>
      </c>
      <c r="B322" s="94">
        <v>635.47050000000002</v>
      </c>
      <c r="C322" s="94">
        <v>631.97</v>
      </c>
      <c r="D322" s="94">
        <v>632.88</v>
      </c>
      <c r="E322" s="94">
        <v>5827254</v>
      </c>
      <c r="F322" s="94" t="s">
        <v>356</v>
      </c>
      <c r="G322" s="25">
        <f t="shared" si="7"/>
        <v>1.5010744532930609E-3</v>
      </c>
      <c r="I322" s="94">
        <v>26.94</v>
      </c>
      <c r="J322" s="94">
        <v>27.73</v>
      </c>
      <c r="K322" s="94">
        <v>25.18</v>
      </c>
      <c r="L322" s="94">
        <v>26.01</v>
      </c>
      <c r="M322" s="94">
        <v>14789100</v>
      </c>
      <c r="N322" s="94" t="s">
        <v>356</v>
      </c>
      <c r="O322" s="25">
        <f t="shared" si="8"/>
        <v>3.5755478662053086E-2</v>
      </c>
      <c r="Q322" s="95">
        <v>4.7500000000000007E-2</v>
      </c>
      <c r="R322">
        <v>9</v>
      </c>
      <c r="T322" s="25">
        <f t="shared" si="9"/>
        <v>3.7499999999999999E-2</v>
      </c>
      <c r="U322" s="1">
        <f t="shared" si="10"/>
        <v>6.3531314120356699</v>
      </c>
    </row>
    <row r="323" spans="1:21" ht="14.45" customHeight="1">
      <c r="A323" s="94">
        <v>633.57000000000005</v>
      </c>
      <c r="B323" s="94">
        <v>635.62</v>
      </c>
      <c r="C323" s="94">
        <v>631.75</v>
      </c>
      <c r="D323" s="94">
        <v>634.42999999999995</v>
      </c>
      <c r="E323" s="94">
        <v>6057784</v>
      </c>
      <c r="F323" s="94" t="s">
        <v>357</v>
      </c>
      <c r="G323" s="25">
        <f t="shared" si="7"/>
        <v>-1.3555474993299788E-3</v>
      </c>
      <c r="I323" s="94">
        <v>26.06</v>
      </c>
      <c r="J323" s="94">
        <v>26.917000000000002</v>
      </c>
      <c r="K323" s="94">
        <v>25.14</v>
      </c>
      <c r="L323" s="94">
        <v>26.75</v>
      </c>
      <c r="M323" s="94">
        <v>14515960</v>
      </c>
      <c r="N323" s="94" t="s">
        <v>357</v>
      </c>
      <c r="O323" s="25">
        <f t="shared" si="8"/>
        <v>-2.5794392523364573E-2</v>
      </c>
      <c r="Q323" s="95">
        <v>5.000000000000001E-2</v>
      </c>
      <c r="R323">
        <v>9</v>
      </c>
      <c r="T323" s="25">
        <f t="shared" si="9"/>
        <v>0.04</v>
      </c>
      <c r="U323" s="1">
        <f t="shared" si="10"/>
        <v>6.0248406973407658</v>
      </c>
    </row>
    <row r="324" spans="1:21" ht="14.45" customHeight="1">
      <c r="A324" s="94">
        <v>630.29</v>
      </c>
      <c r="B324" s="94">
        <v>633.4</v>
      </c>
      <c r="C324" s="94">
        <v>623.65</v>
      </c>
      <c r="D324" s="94">
        <v>625.02</v>
      </c>
      <c r="E324" s="94">
        <v>10354978</v>
      </c>
      <c r="F324" s="94" t="s">
        <v>358</v>
      </c>
      <c r="G324" s="25">
        <f t="shared" si="7"/>
        <v>8.4317301846341675E-3</v>
      </c>
      <c r="I324" s="94">
        <v>26.38</v>
      </c>
      <c r="J324" s="94">
        <v>28.669699999999999</v>
      </c>
      <c r="K324" s="94">
        <v>25.13</v>
      </c>
      <c r="L324" s="94">
        <v>28.5</v>
      </c>
      <c r="M324" s="94">
        <v>19258004</v>
      </c>
      <c r="N324" s="94" t="s">
        <v>358</v>
      </c>
      <c r="O324" s="25">
        <f t="shared" si="8"/>
        <v>-7.4385964912280778E-2</v>
      </c>
      <c r="Q324" s="95">
        <v>5.2500000000000012E-2</v>
      </c>
      <c r="R324">
        <v>6</v>
      </c>
      <c r="T324" s="25">
        <f t="shared" si="9"/>
        <v>4.2500000000000003E-2</v>
      </c>
      <c r="U324" s="1">
        <f t="shared" si="10"/>
        <v>5.6939872632962105</v>
      </c>
    </row>
    <row r="325" spans="1:21" ht="14.45" customHeight="1">
      <c r="A325" s="94">
        <v>623.15</v>
      </c>
      <c r="B325" s="94">
        <v>629.75990000000002</v>
      </c>
      <c r="C325" s="94">
        <v>622.22</v>
      </c>
      <c r="D325" s="94">
        <v>626.76</v>
      </c>
      <c r="E325" s="94">
        <v>14877629</v>
      </c>
      <c r="F325" s="94" t="s">
        <v>359</v>
      </c>
      <c r="G325" s="25">
        <f t="shared" si="7"/>
        <v>-5.7597804582296686E-3</v>
      </c>
      <c r="I325" s="94">
        <v>28</v>
      </c>
      <c r="J325" s="94">
        <v>29.72</v>
      </c>
      <c r="K325" s="94">
        <v>27.435099999999998</v>
      </c>
      <c r="L325" s="94">
        <v>27.59</v>
      </c>
      <c r="M325" s="94">
        <v>16343903</v>
      </c>
      <c r="N325" s="94" t="s">
        <v>359</v>
      </c>
      <c r="O325" s="25">
        <f t="shared" si="8"/>
        <v>1.4860456687205481E-2</v>
      </c>
      <c r="Q325" s="95">
        <v>5.5000000000000014E-2</v>
      </c>
      <c r="R325">
        <v>5</v>
      </c>
      <c r="T325" s="25">
        <f t="shared" si="9"/>
        <v>4.5000000000000005E-2</v>
      </c>
      <c r="U325" s="1">
        <f t="shared" si="10"/>
        <v>5.3629112260228711</v>
      </c>
    </row>
    <row r="326" spans="1:21" ht="14.45" customHeight="1">
      <c r="A326" s="94">
        <v>636.09</v>
      </c>
      <c r="B326" s="94">
        <v>638.50990000000002</v>
      </c>
      <c r="C326" s="94">
        <v>634.67999999999995</v>
      </c>
      <c r="D326" s="94">
        <v>637.96</v>
      </c>
      <c r="E326" s="94">
        <v>6694041</v>
      </c>
      <c r="F326" s="94" t="s">
        <v>360</v>
      </c>
      <c r="G326" s="25">
        <f t="shared" si="7"/>
        <v>-2.9312182581979762E-3</v>
      </c>
      <c r="I326" s="94">
        <v>28.78</v>
      </c>
      <c r="J326" s="94">
        <v>30.8978</v>
      </c>
      <c r="K326" s="94">
        <v>28.36</v>
      </c>
      <c r="L326" s="94">
        <v>28.45</v>
      </c>
      <c r="M326" s="94">
        <v>19874296</v>
      </c>
      <c r="N326" s="94" t="s">
        <v>360</v>
      </c>
      <c r="O326" s="25">
        <f t="shared" si="8"/>
        <v>1.1599297012302445E-2</v>
      </c>
      <c r="Q326" s="95">
        <v>5.7500000000000016E-2</v>
      </c>
      <c r="R326">
        <v>6</v>
      </c>
      <c r="T326" s="25">
        <f t="shared" si="9"/>
        <v>4.7500000000000007E-2</v>
      </c>
      <c r="U326" s="1">
        <f t="shared" si="10"/>
        <v>5.0338227385072951</v>
      </c>
    </row>
    <row r="327" spans="1:21" ht="14.45" customHeight="1">
      <c r="A327" s="94">
        <v>636.62</v>
      </c>
      <c r="B327" s="94">
        <v>639.58000000000004</v>
      </c>
      <c r="C327" s="94">
        <v>635.70000000000005</v>
      </c>
      <c r="D327" s="94">
        <v>638.77</v>
      </c>
      <c r="E327" s="94">
        <v>6751601</v>
      </c>
      <c r="F327" s="94" t="s">
        <v>361</v>
      </c>
      <c r="G327" s="25">
        <f t="shared" si="7"/>
        <v>-3.3658437309203038E-3</v>
      </c>
      <c r="I327" s="94">
        <v>28.28</v>
      </c>
      <c r="J327" s="94">
        <v>29.379899999999999</v>
      </c>
      <c r="K327" s="94">
        <v>26.26</v>
      </c>
      <c r="L327" s="94">
        <v>26.81</v>
      </c>
      <c r="M327" s="94">
        <v>21668992</v>
      </c>
      <c r="N327" s="94" t="s">
        <v>361</v>
      </c>
      <c r="O327" s="25">
        <f t="shared" si="8"/>
        <v>5.4830287206266481E-2</v>
      </c>
      <c r="Q327" s="95">
        <v>6.0000000000000019E-2</v>
      </c>
      <c r="R327">
        <v>8</v>
      </c>
      <c r="T327" s="25">
        <f t="shared" si="9"/>
        <v>5.000000000000001E-2</v>
      </c>
      <c r="U327" s="1">
        <f t="shared" si="10"/>
        <v>4.7087802360779847</v>
      </c>
    </row>
    <row r="328" spans="1:21" ht="14.45" customHeight="1">
      <c r="A328" s="94">
        <v>634.94000000000005</v>
      </c>
      <c r="B328" s="94">
        <v>636.11900000000003</v>
      </c>
      <c r="C328" s="94">
        <v>631</v>
      </c>
      <c r="D328" s="94">
        <v>635.49</v>
      </c>
      <c r="E328" s="94">
        <v>8576256</v>
      </c>
      <c r="F328" s="94" t="s">
        <v>362</v>
      </c>
      <c r="G328" s="25">
        <f t="shared" si="7"/>
        <v>-8.6547388629243382E-4</v>
      </c>
      <c r="I328" s="94">
        <v>26.73</v>
      </c>
      <c r="J328" s="94">
        <v>26.77</v>
      </c>
      <c r="K328" s="94">
        <v>25</v>
      </c>
      <c r="L328" s="94">
        <v>25.5</v>
      </c>
      <c r="M328" s="94">
        <v>14163758</v>
      </c>
      <c r="N328" s="94" t="s">
        <v>362</v>
      </c>
      <c r="O328" s="25">
        <f t="shared" si="8"/>
        <v>4.8235294117647154E-2</v>
      </c>
      <c r="Q328" s="95">
        <v>6.2500000000000014E-2</v>
      </c>
      <c r="R328">
        <v>3</v>
      </c>
      <c r="T328" s="25">
        <f t="shared" si="9"/>
        <v>5.2500000000000012E-2</v>
      </c>
      <c r="U328" s="1">
        <f t="shared" si="10"/>
        <v>4.3896724909013791</v>
      </c>
    </row>
    <row r="329" spans="1:21" ht="14.45" customHeight="1">
      <c r="A329" s="94">
        <v>638.03</v>
      </c>
      <c r="B329" s="94">
        <v>640.15070000000003</v>
      </c>
      <c r="C329" s="94">
        <v>635.81500000000005</v>
      </c>
      <c r="D329" s="94">
        <v>639.67999999999995</v>
      </c>
      <c r="E329" s="94">
        <v>8837128</v>
      </c>
      <c r="F329" s="94" t="s">
        <v>363</v>
      </c>
      <c r="G329" s="25">
        <f t="shared" si="7"/>
        <v>-2.5794147073536777E-3</v>
      </c>
      <c r="I329" s="94">
        <v>25.32</v>
      </c>
      <c r="J329" s="94">
        <v>26.59</v>
      </c>
      <c r="K329" s="94">
        <v>25.12</v>
      </c>
      <c r="L329" s="94">
        <v>26.26</v>
      </c>
      <c r="M329" s="94">
        <v>16540158</v>
      </c>
      <c r="N329" s="94" t="s">
        <v>363</v>
      </c>
      <c r="O329" s="25">
        <f t="shared" si="8"/>
        <v>-3.5795887281035887E-2</v>
      </c>
      <c r="Q329" s="95">
        <v>6.5000000000000016E-2</v>
      </c>
      <c r="R329">
        <v>2</v>
      </c>
      <c r="T329" s="25">
        <f t="shared" si="9"/>
        <v>5.5000000000000014E-2</v>
      </c>
      <c r="U329" s="1">
        <f t="shared" si="10"/>
        <v>4.0782045980363568</v>
      </c>
    </row>
    <row r="330" spans="1:21" ht="14.45" customHeight="1">
      <c r="A330" s="94">
        <v>639.34</v>
      </c>
      <c r="B330" s="94">
        <v>640.16</v>
      </c>
      <c r="C330" s="94">
        <v>635.16</v>
      </c>
      <c r="D330" s="94">
        <v>635.19000000000005</v>
      </c>
      <c r="E330" s="94">
        <v>7889884</v>
      </c>
      <c r="F330" s="94" t="s">
        <v>364</v>
      </c>
      <c r="G330" s="25">
        <f t="shared" si="7"/>
        <v>6.5334781718855428E-3</v>
      </c>
      <c r="I330" s="94">
        <v>25.44</v>
      </c>
      <c r="J330" s="94">
        <v>25.56</v>
      </c>
      <c r="K330" s="94">
        <v>23.16</v>
      </c>
      <c r="L330" s="94">
        <v>23.3</v>
      </c>
      <c r="M330" s="94">
        <v>18139127</v>
      </c>
      <c r="N330" s="94" t="s">
        <v>364</v>
      </c>
      <c r="O330" s="25">
        <f t="shared" si="8"/>
        <v>9.1845493562231706E-2</v>
      </c>
      <c r="Q330" s="95">
        <v>6.7500000000000018E-2</v>
      </c>
      <c r="R330">
        <v>4</v>
      </c>
      <c r="T330" s="25">
        <f t="shared" si="9"/>
        <v>5.7500000000000016E-2</v>
      </c>
      <c r="U330" s="1">
        <f t="shared" si="10"/>
        <v>3.7758879170486668</v>
      </c>
    </row>
    <row r="331" spans="1:21" ht="14.45" customHeight="1">
      <c r="A331" s="94">
        <v>638.30999999999995</v>
      </c>
      <c r="B331" s="94">
        <v>639.44000000000005</v>
      </c>
      <c r="C331" s="94">
        <v>633.79999999999995</v>
      </c>
      <c r="D331" s="94">
        <v>635.15</v>
      </c>
      <c r="E331" s="94">
        <v>7843716</v>
      </c>
      <c r="F331" s="94" t="s">
        <v>365</v>
      </c>
      <c r="G331" s="25">
        <f t="shared" si="7"/>
        <v>4.9752027080216532E-3</v>
      </c>
      <c r="I331" s="94">
        <v>22.71</v>
      </c>
      <c r="J331" s="94">
        <v>23.7774</v>
      </c>
      <c r="K331" s="94">
        <v>21.8126</v>
      </c>
      <c r="L331" s="94">
        <v>22.6</v>
      </c>
      <c r="M331" s="94">
        <v>13882026</v>
      </c>
      <c r="N331" s="94" t="s">
        <v>365</v>
      </c>
      <c r="O331" s="25">
        <f t="shared" si="8"/>
        <v>4.8672566371681381E-3</v>
      </c>
      <c r="Q331" s="95">
        <v>7.0000000000000021E-2</v>
      </c>
      <c r="R331">
        <v>2</v>
      </c>
      <c r="T331" s="25">
        <f t="shared" si="9"/>
        <v>6.0000000000000019E-2</v>
      </c>
      <c r="U331" s="1">
        <f t="shared" si="10"/>
        <v>3.4840339003654028</v>
      </c>
    </row>
    <row r="332" spans="1:21" ht="14.45" customHeight="1">
      <c r="A332" s="94">
        <v>634.05999999999995</v>
      </c>
      <c r="B332" s="94">
        <v>635.1001</v>
      </c>
      <c r="C332" s="94">
        <v>632.23620000000005</v>
      </c>
      <c r="D332" s="94">
        <v>633.48</v>
      </c>
      <c r="E332" s="94">
        <v>8962799</v>
      </c>
      <c r="F332" s="94" t="s">
        <v>366</v>
      </c>
      <c r="G332" s="25">
        <f t="shared" si="7"/>
        <v>9.155774452231924E-4</v>
      </c>
      <c r="I332" s="94">
        <v>22.44</v>
      </c>
      <c r="J332" s="94">
        <v>23.6</v>
      </c>
      <c r="K332" s="94">
        <v>22.09</v>
      </c>
      <c r="L332" s="94">
        <v>22.85</v>
      </c>
      <c r="M332" s="94">
        <v>12512504</v>
      </c>
      <c r="N332" s="94" t="s">
        <v>366</v>
      </c>
      <c r="O332" s="25">
        <f t="shared" si="8"/>
        <v>-1.794310722100656E-2</v>
      </c>
      <c r="Q332" s="95">
        <v>7.2500000000000023E-2</v>
      </c>
      <c r="R332">
        <v>7</v>
      </c>
      <c r="T332" s="25">
        <f t="shared" si="9"/>
        <v>6.2500000000000014E-2</v>
      </c>
      <c r="U332" s="1">
        <f t="shared" si="10"/>
        <v>3.2037516548162017</v>
      </c>
    </row>
    <row r="333" spans="1:21" ht="14.45" customHeight="1">
      <c r="A333" s="94">
        <v>634.16999999999996</v>
      </c>
      <c r="B333" s="94">
        <v>638.22</v>
      </c>
      <c r="C333" s="94">
        <v>633.92999999999995</v>
      </c>
      <c r="D333" s="94">
        <v>636.58000000000004</v>
      </c>
      <c r="E333" s="94">
        <v>8796759</v>
      </c>
      <c r="F333" s="94" t="s">
        <v>367</v>
      </c>
      <c r="G333" s="25">
        <f t="shared" si="7"/>
        <v>-3.7858556662164755E-3</v>
      </c>
      <c r="I333" s="94">
        <v>22.61</v>
      </c>
      <c r="J333" s="94">
        <v>22.86</v>
      </c>
      <c r="K333" s="94">
        <v>21.41</v>
      </c>
      <c r="L333" s="94">
        <v>21.72</v>
      </c>
      <c r="M333" s="94">
        <v>11198753</v>
      </c>
      <c r="N333" s="94" t="s">
        <v>367</v>
      </c>
      <c r="O333" s="25">
        <f t="shared" si="8"/>
        <v>4.097605893185996E-2</v>
      </c>
      <c r="Q333" s="95">
        <v>7.5000000000000025E-2</v>
      </c>
      <c r="R333">
        <v>6</v>
      </c>
      <c r="T333" s="25">
        <f t="shared" si="9"/>
        <v>6.5000000000000016E-2</v>
      </c>
      <c r="U333" s="1">
        <f t="shared" si="10"/>
        <v>2.9359490081088171</v>
      </c>
    </row>
    <row r="334" spans="1:21" ht="14.45" customHeight="1">
      <c r="A334" s="94">
        <v>636.21</v>
      </c>
      <c r="B334" s="94">
        <v>636.67999999999995</v>
      </c>
      <c r="C334" s="94">
        <v>632.53</v>
      </c>
      <c r="D334" s="94">
        <v>632.64</v>
      </c>
      <c r="E334" s="94">
        <v>8630900</v>
      </c>
      <c r="F334" s="94" t="s">
        <v>368</v>
      </c>
      <c r="G334" s="25">
        <f t="shared" si="7"/>
        <v>5.6430197268588778E-3</v>
      </c>
      <c r="I334" s="94">
        <v>21.84</v>
      </c>
      <c r="J334" s="94">
        <v>22.074999999999999</v>
      </c>
      <c r="K334" s="94">
        <v>20.970099999999999</v>
      </c>
      <c r="L334" s="94">
        <v>21.5</v>
      </c>
      <c r="M334" s="94">
        <v>10766482</v>
      </c>
      <c r="N334" s="94" t="s">
        <v>368</v>
      </c>
      <c r="O334" s="25">
        <f t="shared" si="8"/>
        <v>1.5813953488372112E-2</v>
      </c>
      <c r="Q334" s="95">
        <v>7.7500000000000027E-2</v>
      </c>
      <c r="R334">
        <v>8</v>
      </c>
      <c r="T334" s="25">
        <f t="shared" si="9"/>
        <v>6.7500000000000018E-2</v>
      </c>
      <c r="U334" s="1">
        <f t="shared" si="10"/>
        <v>2.6813367888010982</v>
      </c>
    </row>
    <row r="335" spans="1:21" ht="14.45" customHeight="1">
      <c r="A335" s="94">
        <v>632.46</v>
      </c>
      <c r="B335" s="94">
        <v>634.04</v>
      </c>
      <c r="C335" s="94">
        <v>631.23</v>
      </c>
      <c r="D335" s="94">
        <v>631.38</v>
      </c>
      <c r="E335" s="94">
        <v>16140408</v>
      </c>
      <c r="F335" s="94" t="s">
        <v>369</v>
      </c>
      <c r="G335" s="25">
        <f t="shared" si="7"/>
        <v>1.7105388197282689E-3</v>
      </c>
      <c r="I335" s="94">
        <v>21.39</v>
      </c>
      <c r="J335" s="94">
        <v>21.434999999999999</v>
      </c>
      <c r="K335" s="94">
        <v>19.490200000000002</v>
      </c>
      <c r="L335" s="94">
        <v>20.7</v>
      </c>
      <c r="M335" s="94">
        <v>13664788</v>
      </c>
      <c r="N335" s="94" t="s">
        <v>369</v>
      </c>
      <c r="O335" s="25">
        <f t="shared" si="8"/>
        <v>3.3333333333333437E-2</v>
      </c>
      <c r="Q335" s="95">
        <v>8.0000000000000029E-2</v>
      </c>
      <c r="R335">
        <v>2</v>
      </c>
      <c r="T335" s="25">
        <f t="shared" si="9"/>
        <v>7.0000000000000021E-2</v>
      </c>
      <c r="U335" s="1">
        <f t="shared" si="10"/>
        <v>2.4404359776518123</v>
      </c>
    </row>
    <row r="336" spans="1:21" ht="14.45" customHeight="1">
      <c r="A336" s="94">
        <v>628.29999999999995</v>
      </c>
      <c r="B336" s="94">
        <v>631.66</v>
      </c>
      <c r="C336" s="94">
        <v>625.21</v>
      </c>
      <c r="D336" s="94">
        <v>630.63499999999999</v>
      </c>
      <c r="E336" s="94">
        <v>10997544</v>
      </c>
      <c r="F336" s="94" t="s">
        <v>370</v>
      </c>
      <c r="G336" s="25">
        <f t="shared" si="7"/>
        <v>-3.7026172032951221E-3</v>
      </c>
      <c r="I336" s="94">
        <v>20.41</v>
      </c>
      <c r="J336" s="94">
        <v>20.81</v>
      </c>
      <c r="K336" s="94">
        <v>18.971499999999999</v>
      </c>
      <c r="L336" s="94">
        <v>19.855</v>
      </c>
      <c r="M336" s="94">
        <v>10455336</v>
      </c>
      <c r="N336" s="94" t="s">
        <v>370</v>
      </c>
      <c r="O336" s="25">
        <f t="shared" si="8"/>
        <v>2.7952656761520922E-2</v>
      </c>
      <c r="Q336" s="95">
        <v>8.2500000000000032E-2</v>
      </c>
      <c r="R336">
        <v>3</v>
      </c>
      <c r="T336" s="25">
        <f t="shared" si="9"/>
        <v>7.2500000000000023E-2</v>
      </c>
      <c r="U336" s="1">
        <f t="shared" si="10"/>
        <v>2.2135873505665811</v>
      </c>
    </row>
    <row r="337" spans="1:21" ht="14.45" customHeight="1">
      <c r="A337" s="94">
        <v>627.13</v>
      </c>
      <c r="B337" s="94">
        <v>632.14</v>
      </c>
      <c r="C337" s="94">
        <v>626.94000000000005</v>
      </c>
      <c r="D337" s="94">
        <v>631.94000000000005</v>
      </c>
      <c r="E337" s="94">
        <v>5511193</v>
      </c>
      <c r="F337" s="94" t="s">
        <v>371</v>
      </c>
      <c r="G337" s="25">
        <f t="shared" si="7"/>
        <v>-7.6114821027313262E-3</v>
      </c>
      <c r="I337" s="94">
        <v>19.72</v>
      </c>
      <c r="J337" s="94">
        <v>20.3</v>
      </c>
      <c r="K337" s="94">
        <v>19.631</v>
      </c>
      <c r="L337" s="94">
        <v>19.745000000000001</v>
      </c>
      <c r="M337" s="94">
        <v>7798438</v>
      </c>
      <c r="N337" s="94" t="s">
        <v>371</v>
      </c>
      <c r="O337" s="25">
        <f t="shared" si="8"/>
        <v>-1.2661433274248068E-3</v>
      </c>
      <c r="Q337" s="95">
        <v>8.5000000000000034E-2</v>
      </c>
      <c r="R337">
        <v>3</v>
      </c>
      <c r="T337" s="25">
        <f t="shared" si="9"/>
        <v>7.5000000000000025E-2</v>
      </c>
      <c r="U337" s="1">
        <f t="shared" si="10"/>
        <v>2.0009632087439018</v>
      </c>
    </row>
    <row r="338" spans="1:21" ht="14.45" customHeight="1">
      <c r="A338" s="94">
        <v>631.72</v>
      </c>
      <c r="B338" s="94">
        <v>633.21</v>
      </c>
      <c r="C338" s="94">
        <v>631.41</v>
      </c>
      <c r="D338" s="94">
        <v>632.20000000000005</v>
      </c>
      <c r="E338" s="94">
        <v>4150867</v>
      </c>
      <c r="F338" s="94" t="s">
        <v>372</v>
      </c>
      <c r="G338" s="25">
        <f t="shared" si="7"/>
        <v>-7.5925340082250159E-4</v>
      </c>
      <c r="I338" s="94">
        <v>19.739999999999998</v>
      </c>
      <c r="J338" s="94">
        <v>20.234999999999999</v>
      </c>
      <c r="K338" s="94">
        <v>19.440000000000001</v>
      </c>
      <c r="L338" s="94">
        <v>20.03</v>
      </c>
      <c r="M338" s="94">
        <v>7485508</v>
      </c>
      <c r="N338" s="94" t="s">
        <v>372</v>
      </c>
      <c r="O338" s="25">
        <f t="shared" si="8"/>
        <v>-1.4478282576135926E-2</v>
      </c>
      <c r="Q338" s="95">
        <v>8.7500000000000036E-2</v>
      </c>
      <c r="R338">
        <v>0</v>
      </c>
      <c r="T338" s="25">
        <f t="shared" si="9"/>
        <v>7.7500000000000027E-2</v>
      </c>
      <c r="U338" s="1">
        <f t="shared" si="10"/>
        <v>1.8025807796826732</v>
      </c>
    </row>
    <row r="339" spans="1:21" ht="14.45" customHeight="1">
      <c r="A339" s="94">
        <v>632.6</v>
      </c>
      <c r="B339" s="94">
        <v>633.79</v>
      </c>
      <c r="C339" s="94">
        <v>630.95000000000005</v>
      </c>
      <c r="D339" s="94">
        <v>632.29999999999995</v>
      </c>
      <c r="E339" s="94">
        <v>6496953</v>
      </c>
      <c r="F339" s="94" t="s">
        <v>373</v>
      </c>
      <c r="G339" s="25">
        <f t="shared" si="7"/>
        <v>4.744583267437541E-4</v>
      </c>
      <c r="I339" s="94">
        <v>19.87</v>
      </c>
      <c r="J339" s="94">
        <v>20.145</v>
      </c>
      <c r="K339" s="94">
        <v>18.760000000000002</v>
      </c>
      <c r="L339" s="94">
        <v>18.864999999999998</v>
      </c>
      <c r="M339" s="94">
        <v>9649615</v>
      </c>
      <c r="N339" s="94" t="s">
        <v>373</v>
      </c>
      <c r="O339" s="25">
        <f t="shared" si="8"/>
        <v>5.3273257354890191E-2</v>
      </c>
      <c r="Q339" s="95">
        <v>9.0000000000000038E-2</v>
      </c>
      <c r="R339">
        <v>4</v>
      </c>
      <c r="T339" s="25">
        <f t="shared" si="9"/>
        <v>8.0000000000000029E-2</v>
      </c>
      <c r="U339" s="1">
        <f t="shared" si="10"/>
        <v>1.6183168726707371</v>
      </c>
    </row>
    <row r="340" spans="1:21" ht="14.45" customHeight="1">
      <c r="A340" s="94">
        <v>634.84</v>
      </c>
      <c r="B340" s="94">
        <v>636.07500000000005</v>
      </c>
      <c r="C340" s="94">
        <v>633.88</v>
      </c>
      <c r="D340" s="94">
        <v>635.14</v>
      </c>
      <c r="E340" s="94">
        <v>3829855</v>
      </c>
      <c r="F340" s="94" t="s">
        <v>374</v>
      </c>
      <c r="G340" s="25">
        <f t="shared" si="7"/>
        <v>-4.7233680763292263E-4</v>
      </c>
      <c r="I340" s="94">
        <v>19.36</v>
      </c>
      <c r="J340" s="94">
        <v>20.335000000000001</v>
      </c>
      <c r="K340" s="94">
        <v>19.04</v>
      </c>
      <c r="L340" s="94">
        <v>20.3</v>
      </c>
      <c r="M340" s="94">
        <v>7739623</v>
      </c>
      <c r="N340" s="94" t="s">
        <v>374</v>
      </c>
      <c r="O340" s="25">
        <f t="shared" si="8"/>
        <v>-4.6305418719211899E-2</v>
      </c>
      <c r="Q340" s="95">
        <v>9.2500000000000041E-2</v>
      </c>
      <c r="R340">
        <v>4</v>
      </c>
      <c r="T340" s="25">
        <f t="shared" ref="T340:T361" si="11">T339+0.0025</f>
        <v>8.2500000000000032E-2</v>
      </c>
      <c r="U340" s="1">
        <f t="shared" si="10"/>
        <v>1.4479233831498519</v>
      </c>
    </row>
    <row r="341" spans="1:21" ht="14.45" customHeight="1">
      <c r="A341" s="94">
        <v>634.78</v>
      </c>
      <c r="B341" s="94">
        <v>635.32000000000005</v>
      </c>
      <c r="C341" s="94">
        <v>632.54</v>
      </c>
      <c r="D341" s="94">
        <v>632.66999999999996</v>
      </c>
      <c r="E341" s="94">
        <v>3273415</v>
      </c>
      <c r="F341" s="94" t="s">
        <v>375</v>
      </c>
      <c r="G341" s="25">
        <f t="shared" si="7"/>
        <v>3.3350719964595488E-3</v>
      </c>
      <c r="I341" s="94">
        <v>20.32</v>
      </c>
      <c r="J341" s="94">
        <v>20.93</v>
      </c>
      <c r="K341" s="94">
        <v>20.11</v>
      </c>
      <c r="L341" s="94">
        <v>20.73</v>
      </c>
      <c r="M341" s="94">
        <v>3822538</v>
      </c>
      <c r="N341" s="94" t="s">
        <v>375</v>
      </c>
      <c r="O341" s="25">
        <f t="shared" si="8"/>
        <v>-1.9778099372889546E-2</v>
      </c>
      <c r="Q341" s="95">
        <v>9.5000000000000043E-2</v>
      </c>
      <c r="R341">
        <v>2</v>
      </c>
      <c r="T341" s="25">
        <f t="shared" si="11"/>
        <v>8.5000000000000034E-2</v>
      </c>
      <c r="U341" s="1">
        <f t="shared" si="10"/>
        <v>1.2910432606119089</v>
      </c>
    </row>
    <row r="342" spans="1:21" ht="14.45" customHeight="1">
      <c r="A342" s="94">
        <v>632.66999999999996</v>
      </c>
      <c r="B342" s="94">
        <v>632.88</v>
      </c>
      <c r="C342" s="94">
        <v>628.91999999999996</v>
      </c>
      <c r="D342" s="94">
        <v>628.94000000000005</v>
      </c>
      <c r="E342" s="94">
        <v>13758872</v>
      </c>
      <c r="F342" s="94" t="s">
        <v>376</v>
      </c>
      <c r="G342" s="25">
        <f t="shared" si="7"/>
        <v>5.9306134130441279E-3</v>
      </c>
      <c r="I342" s="94">
        <v>20.73</v>
      </c>
      <c r="J342" s="94">
        <v>20.99</v>
      </c>
      <c r="K342" s="94">
        <v>19.600000000000001</v>
      </c>
      <c r="L342" s="94">
        <v>19.8</v>
      </c>
      <c r="M342" s="94">
        <v>13650356</v>
      </c>
      <c r="N342" s="94" t="s">
        <v>376</v>
      </c>
      <c r="O342" s="25">
        <f t="shared" si="8"/>
        <v>4.6969696969696884E-2</v>
      </c>
      <c r="Q342" s="95">
        <v>9.7500000000000045E-2</v>
      </c>
      <c r="R342">
        <v>0</v>
      </c>
      <c r="T342" s="25">
        <f t="shared" si="11"/>
        <v>8.7500000000000036E-2</v>
      </c>
      <c r="U342" s="1">
        <f t="shared" si="10"/>
        <v>1.1472265829106547</v>
      </c>
    </row>
    <row r="343" spans="1:21" ht="14.45" customHeight="1">
      <c r="A343" s="94">
        <v>629.73</v>
      </c>
      <c r="B343" s="94">
        <v>630.27</v>
      </c>
      <c r="C343" s="94">
        <v>627.79999999999995</v>
      </c>
      <c r="D343" s="94">
        <v>628.96500000000003</v>
      </c>
      <c r="E343" s="94">
        <v>9796066</v>
      </c>
      <c r="F343" s="94" t="s">
        <v>377</v>
      </c>
      <c r="G343" s="25">
        <f t="shared" si="7"/>
        <v>1.2162838949703048E-3</v>
      </c>
      <c r="I343" s="94">
        <v>20.6</v>
      </c>
      <c r="J343" s="94">
        <v>20.76</v>
      </c>
      <c r="K343" s="94">
        <v>19.61</v>
      </c>
      <c r="L343" s="94">
        <v>19.78</v>
      </c>
      <c r="M343" s="94">
        <v>16100510</v>
      </c>
      <c r="N343" s="94" t="s">
        <v>377</v>
      </c>
      <c r="O343" s="25">
        <f t="shared" si="8"/>
        <v>4.1456016177957578E-2</v>
      </c>
      <c r="Q343" s="95">
        <v>0.10000000000000005</v>
      </c>
      <c r="R343">
        <v>0</v>
      </c>
      <c r="T343" s="25">
        <f t="shared" si="11"/>
        <v>9.0000000000000038E-2</v>
      </c>
      <c r="U343" s="1">
        <f t="shared" si="10"/>
        <v>1.0159464144513448</v>
      </c>
    </row>
    <row r="344" spans="1:21" ht="14.45" customHeight="1">
      <c r="A344" s="94">
        <v>627.55999999999995</v>
      </c>
      <c r="B344" s="94">
        <v>628.13</v>
      </c>
      <c r="C344" s="94">
        <v>623.86</v>
      </c>
      <c r="D344" s="94">
        <v>623.98</v>
      </c>
      <c r="E344" s="94">
        <v>10447326</v>
      </c>
      <c r="F344" s="94" t="s">
        <v>378</v>
      </c>
      <c r="G344" s="25">
        <f t="shared" si="7"/>
        <v>5.7373633770312349E-3</v>
      </c>
      <c r="I344" s="94">
        <v>19.18</v>
      </c>
      <c r="J344" s="94">
        <v>19.829999999999998</v>
      </c>
      <c r="K344" s="94">
        <v>17.989999999999998</v>
      </c>
      <c r="L344" s="94">
        <v>17.989999999999998</v>
      </c>
      <c r="M344" s="94">
        <v>23036076</v>
      </c>
      <c r="N344" s="94" t="s">
        <v>378</v>
      </c>
      <c r="O344" s="25">
        <f t="shared" si="8"/>
        <v>6.6147859922178975E-2</v>
      </c>
      <c r="Q344" s="95">
        <v>0.10250000000000005</v>
      </c>
      <c r="R344">
        <v>0</v>
      </c>
      <c r="T344" s="25">
        <f t="shared" si="11"/>
        <v>9.2500000000000041E-2</v>
      </c>
      <c r="U344" s="1">
        <f t="shared" si="10"/>
        <v>0.89661416498659097</v>
      </c>
    </row>
    <row r="345" spans="1:21" ht="14.45" customHeight="1">
      <c r="A345" s="94">
        <v>622.01</v>
      </c>
      <c r="B345" s="94">
        <v>625.94000000000005</v>
      </c>
      <c r="C345" s="94">
        <v>620.57000000000005</v>
      </c>
      <c r="D345" s="94">
        <v>623.04999999999995</v>
      </c>
      <c r="E345" s="94">
        <v>33420938</v>
      </c>
      <c r="F345" s="94" t="s">
        <v>379</v>
      </c>
      <c r="G345" s="25">
        <f t="shared" si="7"/>
        <v>-1.6692079287375927E-3</v>
      </c>
      <c r="I345" s="94">
        <v>17.489999999999998</v>
      </c>
      <c r="J345" s="94">
        <v>17.95</v>
      </c>
      <c r="K345" s="94">
        <v>17.04</v>
      </c>
      <c r="L345" s="94">
        <v>17.04</v>
      </c>
      <c r="M345" s="94">
        <v>9223407</v>
      </c>
      <c r="N345" s="94" t="s">
        <v>379</v>
      </c>
      <c r="O345" s="25">
        <f t="shared" si="8"/>
        <v>2.6408450704225261E-2</v>
      </c>
      <c r="Q345" s="95">
        <v>0.10500000000000005</v>
      </c>
      <c r="R345">
        <v>0</v>
      </c>
      <c r="T345" s="25">
        <f t="shared" si="11"/>
        <v>9.5000000000000043E-2</v>
      </c>
      <c r="U345" s="1">
        <f t="shared" ref="U345:U365" si="12">_xlfn.NORM.DIST(T345,$S$240,$S$242,FALSE)</f>
        <v>0.78859420806273894</v>
      </c>
    </row>
    <row r="346" spans="1:21" ht="14.45" customHeight="1">
      <c r="A346" s="94">
        <v>617.35</v>
      </c>
      <c r="B346" s="94">
        <v>625.64</v>
      </c>
      <c r="C346" s="94">
        <v>617.15899999999999</v>
      </c>
      <c r="D346" s="94">
        <v>625.19000000000005</v>
      </c>
      <c r="E346" s="94">
        <v>20953077</v>
      </c>
      <c r="F346" s="94" t="s">
        <v>380</v>
      </c>
      <c r="G346" s="25">
        <f t="shared" si="7"/>
        <v>-1.2540187782913992E-2</v>
      </c>
      <c r="I346" s="94">
        <v>16.47</v>
      </c>
      <c r="J346" s="94">
        <v>18.549900000000001</v>
      </c>
      <c r="K346" s="94">
        <v>16.43</v>
      </c>
      <c r="L346" s="94">
        <v>18.18</v>
      </c>
      <c r="M346" s="94">
        <v>13416108</v>
      </c>
      <c r="N346" s="94" t="s">
        <v>380</v>
      </c>
      <c r="O346" s="25">
        <f t="shared" si="8"/>
        <v>-9.4059405940594143E-2</v>
      </c>
      <c r="Q346" s="95">
        <v>0.10750000000000005</v>
      </c>
      <c r="R346">
        <v>1</v>
      </c>
      <c r="T346" s="25">
        <f t="shared" si="11"/>
        <v>9.7500000000000045E-2</v>
      </c>
      <c r="U346" s="1">
        <f t="shared" si="12"/>
        <v>0.69121756196872608</v>
      </c>
    </row>
    <row r="347" spans="1:21" ht="14.45" customHeight="1">
      <c r="A347" s="94">
        <v>624.21</v>
      </c>
      <c r="B347" s="94">
        <v>626.22</v>
      </c>
      <c r="C347" s="94">
        <v>620.65</v>
      </c>
      <c r="D347" s="94">
        <v>624.54999999999995</v>
      </c>
      <c r="E347" s="94">
        <v>13922431</v>
      </c>
      <c r="F347" s="94" t="s">
        <v>381</v>
      </c>
      <c r="G347" s="25">
        <f t="shared" si="7"/>
        <v>-5.4439196221267583E-4</v>
      </c>
      <c r="I347" s="94">
        <v>17.88</v>
      </c>
      <c r="J347" s="94">
        <v>18.28</v>
      </c>
      <c r="K347" s="94">
        <v>16.93</v>
      </c>
      <c r="L347" s="94">
        <v>17.649999999999999</v>
      </c>
      <c r="M347" s="94">
        <v>13930710</v>
      </c>
      <c r="N347" s="94" t="s">
        <v>381</v>
      </c>
      <c r="O347" s="25">
        <f t="shared" si="8"/>
        <v>1.3031161473087804E-2</v>
      </c>
      <c r="Q347" s="95">
        <v>0.11000000000000006</v>
      </c>
      <c r="R347">
        <v>0</v>
      </c>
      <c r="T347" s="25">
        <f t="shared" si="11"/>
        <v>0.10000000000000005</v>
      </c>
      <c r="U347" s="1">
        <f t="shared" si="12"/>
        <v>0.60379447990508306</v>
      </c>
    </row>
    <row r="348" spans="1:21" ht="14.45" customHeight="1">
      <c r="A348" s="94">
        <v>625.96</v>
      </c>
      <c r="B348" s="94">
        <v>630.55999999999995</v>
      </c>
      <c r="C348" s="94">
        <v>624.57000000000005</v>
      </c>
      <c r="D348" s="94">
        <v>630.55999999999995</v>
      </c>
      <c r="E348" s="94">
        <v>11306924</v>
      </c>
      <c r="F348" s="94" t="s">
        <v>382</v>
      </c>
      <c r="G348" s="25">
        <f t="shared" ref="G348:G411" si="13">A348/D348-1</f>
        <v>-7.2951027657953693E-3</v>
      </c>
      <c r="I348" s="94">
        <v>18.05</v>
      </c>
      <c r="J348" s="94">
        <v>19.690000000000001</v>
      </c>
      <c r="K348" s="94">
        <v>17.64</v>
      </c>
      <c r="L348" s="94">
        <v>18.809999999999999</v>
      </c>
      <c r="M348" s="94">
        <v>18180801</v>
      </c>
      <c r="N348" s="94" t="s">
        <v>382</v>
      </c>
      <c r="O348" s="25">
        <f t="shared" ref="O348:O411" si="14">I348/L348-1</f>
        <v>-4.0404040404040331E-2</v>
      </c>
      <c r="Q348" s="95">
        <v>0.11250000000000006</v>
      </c>
      <c r="R348">
        <v>3</v>
      </c>
      <c r="T348" s="25">
        <f t="shared" si="11"/>
        <v>0.10250000000000005</v>
      </c>
      <c r="U348" s="1">
        <f t="shared" si="12"/>
        <v>0.5256258387430125</v>
      </c>
    </row>
    <row r="349" spans="1:21" ht="14.45" customHeight="1">
      <c r="A349" s="94">
        <v>626.87</v>
      </c>
      <c r="B349" s="94">
        <v>633.42999999999995</v>
      </c>
      <c r="C349" s="94">
        <v>624.48</v>
      </c>
      <c r="D349" s="94">
        <v>632.79999999999995</v>
      </c>
      <c r="E349" s="94">
        <v>8504783</v>
      </c>
      <c r="F349" s="94" t="s">
        <v>383</v>
      </c>
      <c r="G349" s="25">
        <f t="shared" si="13"/>
        <v>-9.3710493046775811E-3</v>
      </c>
      <c r="I349" s="94">
        <v>18.239999999999998</v>
      </c>
      <c r="J349" s="94">
        <v>19.100000000000001</v>
      </c>
      <c r="K349" s="94">
        <v>17.37</v>
      </c>
      <c r="L349" s="94">
        <v>18.440000000000001</v>
      </c>
      <c r="M349" s="94">
        <v>30784752</v>
      </c>
      <c r="N349" s="94" t="s">
        <v>383</v>
      </c>
      <c r="O349" s="25">
        <f t="shared" si="14"/>
        <v>-1.0845986984815759E-2</v>
      </c>
      <c r="Q349" s="95">
        <v>0.11500000000000006</v>
      </c>
      <c r="R349">
        <v>0</v>
      </c>
      <c r="T349" s="25">
        <f t="shared" si="11"/>
        <v>0.10500000000000005</v>
      </c>
      <c r="U349" s="1">
        <f t="shared" si="12"/>
        <v>0.45601325609830567</v>
      </c>
    </row>
    <row r="350" spans="1:21" ht="14.45" customHeight="1">
      <c r="A350" s="94">
        <v>633.71</v>
      </c>
      <c r="B350" s="94">
        <v>633.87</v>
      </c>
      <c r="C350" s="94">
        <v>627.27</v>
      </c>
      <c r="D350" s="94">
        <v>630</v>
      </c>
      <c r="E350" s="94">
        <v>22128232</v>
      </c>
      <c r="F350" s="94" t="s">
        <v>384</v>
      </c>
      <c r="G350" s="25">
        <f t="shared" si="13"/>
        <v>5.8888888888890545E-3</v>
      </c>
      <c r="I350" s="94">
        <v>17.47</v>
      </c>
      <c r="J350" s="94">
        <v>17.975000000000001</v>
      </c>
      <c r="K350" s="94">
        <v>15.01</v>
      </c>
      <c r="L350" s="94">
        <v>15.79</v>
      </c>
      <c r="M350" s="94">
        <v>58274353</v>
      </c>
      <c r="N350" s="94" t="s">
        <v>384</v>
      </c>
      <c r="O350" s="25">
        <f t="shared" si="14"/>
        <v>0.10639645345155158</v>
      </c>
      <c r="Q350" s="95">
        <v>0.11750000000000006</v>
      </c>
      <c r="R350">
        <v>1</v>
      </c>
      <c r="T350" s="25">
        <f t="shared" si="11"/>
        <v>0.10750000000000005</v>
      </c>
      <c r="U350" s="1">
        <f t="shared" si="12"/>
        <v>0.39426790262207356</v>
      </c>
    </row>
    <row r="351" spans="1:21" ht="14.45" customHeight="1">
      <c r="A351" s="94">
        <v>632.16</v>
      </c>
      <c r="B351" s="94">
        <v>633.505</v>
      </c>
      <c r="C351" s="94">
        <v>626.47</v>
      </c>
      <c r="D351" s="94">
        <v>627.63</v>
      </c>
      <c r="E351" s="94">
        <v>22399235</v>
      </c>
      <c r="F351" s="94" t="s">
        <v>385</v>
      </c>
      <c r="G351" s="25">
        <f t="shared" si="13"/>
        <v>7.2176282204483577E-3</v>
      </c>
      <c r="I351" s="94">
        <v>12.94</v>
      </c>
      <c r="J351" s="94">
        <v>13.24</v>
      </c>
      <c r="K351" s="94">
        <v>12.5801</v>
      </c>
      <c r="L351" s="94">
        <v>12.8</v>
      </c>
      <c r="M351" s="94">
        <v>14682707</v>
      </c>
      <c r="N351" s="94" t="s">
        <v>385</v>
      </c>
      <c r="O351" s="25">
        <f t="shared" si="14"/>
        <v>1.0937499999999822E-2</v>
      </c>
      <c r="Q351" s="95">
        <v>0.12000000000000006</v>
      </c>
      <c r="R351">
        <v>2</v>
      </c>
      <c r="T351" s="25">
        <f t="shared" si="11"/>
        <v>0.11000000000000006</v>
      </c>
      <c r="U351" s="1">
        <f t="shared" si="12"/>
        <v>0.33971800973934296</v>
      </c>
    </row>
    <row r="352" spans="1:21" ht="14.45" customHeight="1">
      <c r="A352" s="94">
        <v>628.1</v>
      </c>
      <c r="B352" s="94">
        <v>630.21</v>
      </c>
      <c r="C352" s="94">
        <v>627.66</v>
      </c>
      <c r="D352" s="94">
        <v>628.17999999999995</v>
      </c>
      <c r="E352" s="94">
        <v>9617841</v>
      </c>
      <c r="F352" s="94" t="s">
        <v>386</v>
      </c>
      <c r="G352" s="25">
        <f t="shared" si="13"/>
        <v>-1.2735203285674235E-4</v>
      </c>
      <c r="I352" s="94">
        <v>12.84</v>
      </c>
      <c r="J352" s="94">
        <v>13</v>
      </c>
      <c r="K352" s="94">
        <v>12.5585</v>
      </c>
      <c r="L352" s="94">
        <v>12.62</v>
      </c>
      <c r="M352" s="94">
        <v>5776502</v>
      </c>
      <c r="N352" s="94" t="s">
        <v>386</v>
      </c>
      <c r="O352" s="25">
        <f t="shared" si="14"/>
        <v>1.7432646592709933E-2</v>
      </c>
      <c r="Q352" s="95">
        <v>0.12250000000000007</v>
      </c>
      <c r="R352">
        <v>1</v>
      </c>
      <c r="T352" s="25">
        <f t="shared" si="11"/>
        <v>0.11250000000000006</v>
      </c>
      <c r="U352" s="1">
        <f t="shared" si="12"/>
        <v>0.29171510208407081</v>
      </c>
    </row>
    <row r="353" spans="1:21" ht="14.45" customHeight="1">
      <c r="A353" s="94">
        <v>628.61</v>
      </c>
      <c r="B353" s="94">
        <v>631.47</v>
      </c>
      <c r="C353" s="94">
        <v>626.70100000000002</v>
      </c>
      <c r="D353" s="94">
        <v>631.36</v>
      </c>
      <c r="E353" s="94">
        <v>6833888</v>
      </c>
      <c r="F353" s="94" t="s">
        <v>387</v>
      </c>
      <c r="G353" s="25">
        <f t="shared" si="13"/>
        <v>-4.3556766345665965E-3</v>
      </c>
      <c r="I353" s="94">
        <v>12.95</v>
      </c>
      <c r="J353" s="94">
        <v>13.23</v>
      </c>
      <c r="K353" s="94">
        <v>12.62</v>
      </c>
      <c r="L353" s="94">
        <v>13.18</v>
      </c>
      <c r="M353" s="94">
        <v>6975458</v>
      </c>
      <c r="N353" s="94" t="s">
        <v>387</v>
      </c>
      <c r="O353" s="25">
        <f t="shared" si="14"/>
        <v>-1.7450682852807264E-2</v>
      </c>
      <c r="Q353" s="95">
        <v>0.12500000000000006</v>
      </c>
      <c r="R353">
        <v>1</v>
      </c>
      <c r="T353" s="25">
        <f t="shared" si="11"/>
        <v>0.11500000000000006</v>
      </c>
      <c r="U353" s="1">
        <f t="shared" si="12"/>
        <v>0.24963900831848604</v>
      </c>
    </row>
    <row r="354" spans="1:21" ht="14.45" customHeight="1">
      <c r="A354" s="94">
        <v>630.48</v>
      </c>
      <c r="B354" s="94">
        <v>632.98</v>
      </c>
      <c r="C354" s="94">
        <v>629.48</v>
      </c>
      <c r="D354" s="94">
        <v>630.29999999999995</v>
      </c>
      <c r="E354" s="94">
        <v>5007553</v>
      </c>
      <c r="F354" s="94" t="s">
        <v>388</v>
      </c>
      <c r="G354" s="25">
        <f t="shared" si="13"/>
        <v>2.8557829604958229E-4</v>
      </c>
      <c r="I354" s="94">
        <v>12.77</v>
      </c>
      <c r="J354" s="94">
        <v>12.875</v>
      </c>
      <c r="K354" s="94">
        <v>12.51</v>
      </c>
      <c r="L354" s="94">
        <v>12.76</v>
      </c>
      <c r="M354" s="94">
        <v>5303673</v>
      </c>
      <c r="N354" s="94" t="s">
        <v>388</v>
      </c>
      <c r="O354" s="25">
        <f t="shared" si="14"/>
        <v>7.8369905956110486E-4</v>
      </c>
      <c r="Q354" s="95">
        <v>0.12750000000000006</v>
      </c>
      <c r="R354">
        <v>0</v>
      </c>
      <c r="T354" s="25">
        <f t="shared" si="11"/>
        <v>0.11750000000000006</v>
      </c>
      <c r="U354" s="1">
        <f t="shared" si="12"/>
        <v>0.21290172379986877</v>
      </c>
    </row>
    <row r="355" spans="1:21" ht="14.45" customHeight="1">
      <c r="A355" s="94">
        <v>629.29999999999995</v>
      </c>
      <c r="B355" s="94">
        <v>630.17999999999995</v>
      </c>
      <c r="C355" s="94">
        <v>626.48</v>
      </c>
      <c r="D355" s="94">
        <v>630.13</v>
      </c>
      <c r="E355" s="94">
        <v>5114434</v>
      </c>
      <c r="F355" s="94" t="s">
        <v>389</v>
      </c>
      <c r="G355" s="25">
        <f t="shared" si="13"/>
        <v>-1.3171885166554098E-3</v>
      </c>
      <c r="I355" s="94">
        <v>12.94</v>
      </c>
      <c r="J355" s="94">
        <v>13.2</v>
      </c>
      <c r="K355" s="94">
        <v>11.93</v>
      </c>
      <c r="L355" s="94">
        <v>11.95</v>
      </c>
      <c r="M355" s="94">
        <v>9889670</v>
      </c>
      <c r="N355" s="94" t="s">
        <v>389</v>
      </c>
      <c r="O355" s="25">
        <f t="shared" si="14"/>
        <v>8.2845188284518922E-2</v>
      </c>
      <c r="Q355" s="95">
        <v>0.13000000000000006</v>
      </c>
      <c r="R355">
        <v>0</v>
      </c>
      <c r="T355" s="25">
        <f t="shared" si="11"/>
        <v>0.12000000000000006</v>
      </c>
      <c r="U355" s="1">
        <f t="shared" si="12"/>
        <v>0.18095021374213266</v>
      </c>
    </row>
    <row r="356" spans="1:21" ht="14.45" customHeight="1">
      <c r="A356" s="94">
        <v>628.77</v>
      </c>
      <c r="B356" s="94">
        <v>629.78</v>
      </c>
      <c r="C356" s="94">
        <v>624.95000000000005</v>
      </c>
      <c r="D356" s="94">
        <v>625.77</v>
      </c>
      <c r="E356" s="94">
        <v>5149531</v>
      </c>
      <c r="F356" s="94" t="s">
        <v>390</v>
      </c>
      <c r="G356" s="25">
        <f t="shared" si="13"/>
        <v>4.7940936765904496E-3</v>
      </c>
      <c r="I356" s="94">
        <v>12.01</v>
      </c>
      <c r="J356" s="94">
        <v>12.19</v>
      </c>
      <c r="K356" s="94">
        <v>11.74</v>
      </c>
      <c r="L356" s="94">
        <v>11.83</v>
      </c>
      <c r="M356" s="94">
        <v>5598858</v>
      </c>
      <c r="N356" s="94" t="s">
        <v>390</v>
      </c>
      <c r="O356" s="25">
        <f t="shared" si="14"/>
        <v>1.5215553677092153E-2</v>
      </c>
      <c r="Q356" s="95">
        <v>0.13250000000000006</v>
      </c>
      <c r="R356">
        <v>0</v>
      </c>
      <c r="T356" s="25">
        <f t="shared" si="11"/>
        <v>0.12250000000000007</v>
      </c>
      <c r="U356" s="1">
        <f t="shared" si="12"/>
        <v>0.15326825632132929</v>
      </c>
    </row>
    <row r="357" spans="1:21" ht="14.45" customHeight="1">
      <c r="A357" s="94">
        <v>626.58000000000004</v>
      </c>
      <c r="B357" s="94">
        <v>628.77</v>
      </c>
      <c r="C357" s="94">
        <v>624.62</v>
      </c>
      <c r="D357" s="94">
        <v>627.01</v>
      </c>
      <c r="E357" s="94">
        <v>5256797</v>
      </c>
      <c r="F357" s="94" t="s">
        <v>391</v>
      </c>
      <c r="G357" s="25">
        <f t="shared" si="13"/>
        <v>-6.8579448493633066E-4</v>
      </c>
      <c r="I357" s="94">
        <v>11.77</v>
      </c>
      <c r="J357" s="94">
        <v>12.26</v>
      </c>
      <c r="K357" s="94">
        <v>11.664999999999999</v>
      </c>
      <c r="L357" s="94">
        <v>11.88</v>
      </c>
      <c r="M357" s="94">
        <v>5614604</v>
      </c>
      <c r="N357" s="94" t="s">
        <v>391</v>
      </c>
      <c r="O357" s="25">
        <f t="shared" si="14"/>
        <v>-9.2592592592594114E-3</v>
      </c>
      <c r="Q357" s="95">
        <v>0.13500000000000006</v>
      </c>
      <c r="R357">
        <v>0</v>
      </c>
      <c r="T357" s="25">
        <f t="shared" si="11"/>
        <v>0.12500000000000006</v>
      </c>
      <c r="U357" s="1">
        <f t="shared" si="12"/>
        <v>0.12937743191075651</v>
      </c>
    </row>
    <row r="358" spans="1:21" ht="14.45" customHeight="1" thickBot="1">
      <c r="A358" s="94">
        <v>625.52</v>
      </c>
      <c r="B358" s="94">
        <v>628.01</v>
      </c>
      <c r="C358" s="94">
        <v>624.1</v>
      </c>
      <c r="D358" s="94">
        <v>624.16999999999996</v>
      </c>
      <c r="E358" s="94">
        <v>8381362</v>
      </c>
      <c r="F358" s="94" t="s">
        <v>392</v>
      </c>
      <c r="G358" s="25">
        <f t="shared" si="13"/>
        <v>2.1628722944069256E-3</v>
      </c>
      <c r="I358" s="94">
        <v>11.7</v>
      </c>
      <c r="J358" s="94">
        <v>11.82</v>
      </c>
      <c r="K358" s="94">
        <v>11.4</v>
      </c>
      <c r="L358" s="94">
        <v>11.6</v>
      </c>
      <c r="M358" s="94">
        <v>4969861</v>
      </c>
      <c r="N358" s="94" t="s">
        <v>392</v>
      </c>
      <c r="O358" s="25">
        <f t="shared" si="14"/>
        <v>8.6206896551723755E-3</v>
      </c>
      <c r="Q358" s="96" t="s">
        <v>1259</v>
      </c>
      <c r="R358" s="96">
        <v>7</v>
      </c>
      <c r="T358" s="25">
        <f t="shared" si="11"/>
        <v>0.12750000000000006</v>
      </c>
      <c r="U358" s="1">
        <f t="shared" si="12"/>
        <v>0.10883736770262416</v>
      </c>
    </row>
    <row r="359" spans="1:21" ht="14.45" customHeight="1">
      <c r="A359" s="94">
        <v>628.41</v>
      </c>
      <c r="B359" s="94">
        <v>628.63</v>
      </c>
      <c r="C359" s="94">
        <v>625.70500000000004</v>
      </c>
      <c r="D359" s="94">
        <v>626.02499999999998</v>
      </c>
      <c r="E359" s="94">
        <v>2949167</v>
      </c>
      <c r="F359" s="94" t="s">
        <v>393</v>
      </c>
      <c r="G359" s="25">
        <f t="shared" si="13"/>
        <v>3.8097520067090773E-3</v>
      </c>
      <c r="I359" s="94">
        <v>11.9</v>
      </c>
      <c r="J359" s="94">
        <v>12.01</v>
      </c>
      <c r="K359" s="94">
        <v>11.715999999999999</v>
      </c>
      <c r="L359" s="94">
        <v>11.91</v>
      </c>
      <c r="M359" s="94">
        <v>2033951</v>
      </c>
      <c r="N359" s="94" t="s">
        <v>393</v>
      </c>
      <c r="O359" s="25">
        <f t="shared" si="14"/>
        <v>-8.3963056255242918E-4</v>
      </c>
      <c r="T359" s="25">
        <f t="shared" si="11"/>
        <v>0.13000000000000006</v>
      </c>
      <c r="U359" s="1">
        <f t="shared" si="12"/>
        <v>9.1245346835662142E-2</v>
      </c>
    </row>
    <row r="360" spans="1:21" ht="14.45" customHeight="1">
      <c r="A360" s="94">
        <v>624.95000000000005</v>
      </c>
      <c r="B360" s="94">
        <v>626.80999999999995</v>
      </c>
      <c r="C360" s="94">
        <v>622.26</v>
      </c>
      <c r="D360" s="94">
        <v>623.05999999999995</v>
      </c>
      <c r="E360" s="94">
        <v>5292533</v>
      </c>
      <c r="F360" s="94" t="s">
        <v>394</v>
      </c>
      <c r="G360" s="25">
        <f t="shared" si="13"/>
        <v>3.033415722402566E-3</v>
      </c>
      <c r="I360" s="94">
        <v>11.72</v>
      </c>
      <c r="J360" s="94">
        <v>12.02</v>
      </c>
      <c r="K360" s="94">
        <v>11.63</v>
      </c>
      <c r="L360" s="94">
        <v>11.77</v>
      </c>
      <c r="M360" s="94">
        <v>4680600</v>
      </c>
      <c r="N360" s="94" t="s">
        <v>394</v>
      </c>
      <c r="O360" s="25">
        <f t="shared" si="14"/>
        <v>-4.2480883602378228E-3</v>
      </c>
      <c r="T360" s="25">
        <f t="shared" si="11"/>
        <v>0.13250000000000006</v>
      </c>
      <c r="U360" s="1">
        <f t="shared" si="12"/>
        <v>7.6235388290652878E-2</v>
      </c>
    </row>
    <row r="361" spans="1:21" ht="14.45" customHeight="1">
      <c r="A361" s="94">
        <v>620.66</v>
      </c>
      <c r="B361" s="94">
        <v>621.75</v>
      </c>
      <c r="C361" s="94">
        <v>610.99</v>
      </c>
      <c r="D361" s="94">
        <v>614.78</v>
      </c>
      <c r="E361" s="94">
        <v>7289905</v>
      </c>
      <c r="F361" s="94" t="s">
        <v>395</v>
      </c>
      <c r="G361" s="25">
        <f t="shared" si="13"/>
        <v>9.5643970200722794E-3</v>
      </c>
      <c r="I361" s="94">
        <v>11.73</v>
      </c>
      <c r="J361" s="94">
        <v>11.868600000000001</v>
      </c>
      <c r="K361" s="94">
        <v>11.26</v>
      </c>
      <c r="L361" s="94">
        <v>11.51</v>
      </c>
      <c r="M361" s="94">
        <v>4516360</v>
      </c>
      <c r="N361" s="94" t="s">
        <v>395</v>
      </c>
      <c r="O361" s="25">
        <f t="shared" si="14"/>
        <v>1.9113814074717794E-2</v>
      </c>
      <c r="T361" s="25">
        <f t="shared" si="11"/>
        <v>0.13500000000000006</v>
      </c>
      <c r="U361" s="1">
        <f t="shared" si="12"/>
        <v>6.3476898738286658E-2</v>
      </c>
    </row>
    <row r="362" spans="1:21" ht="14.45" customHeight="1">
      <c r="A362" s="94">
        <v>614.94000000000005</v>
      </c>
      <c r="B362" s="94">
        <v>616.09</v>
      </c>
      <c r="C362" s="94">
        <v>608.30499999999995</v>
      </c>
      <c r="D362" s="94">
        <v>609.28</v>
      </c>
      <c r="E362" s="94">
        <v>6218559</v>
      </c>
      <c r="F362" s="94" t="s">
        <v>396</v>
      </c>
      <c r="G362" s="25">
        <f t="shared" si="13"/>
        <v>9.2896533613446852E-3</v>
      </c>
      <c r="I362" s="94">
        <v>11.54</v>
      </c>
      <c r="J362" s="94">
        <v>11.654999999999999</v>
      </c>
      <c r="K362" s="94">
        <v>11.26</v>
      </c>
      <c r="L362" s="94">
        <v>11.35</v>
      </c>
      <c r="M362" s="94">
        <v>6076696</v>
      </c>
      <c r="N362" s="94" t="s">
        <v>396</v>
      </c>
      <c r="O362" s="25">
        <f t="shared" si="14"/>
        <v>1.6740088105726914E-2</v>
      </c>
      <c r="T362" s="25">
        <f t="shared" ref="T362:T365" si="15">T361+0.0025</f>
        <v>0.13750000000000007</v>
      </c>
      <c r="U362" s="1">
        <f t="shared" si="12"/>
        <v>5.2672990717475672E-2</v>
      </c>
    </row>
    <row r="363" spans="1:21" ht="14.45" customHeight="1">
      <c r="A363" s="94">
        <v>605.92999999999995</v>
      </c>
      <c r="B363" s="94">
        <v>611.01</v>
      </c>
      <c r="C363" s="94">
        <v>598.38</v>
      </c>
      <c r="D363" s="94">
        <v>602.25</v>
      </c>
      <c r="E363" s="94">
        <v>9789866</v>
      </c>
      <c r="F363" s="94" t="s">
        <v>397</v>
      </c>
      <c r="G363" s="25">
        <f t="shared" si="13"/>
        <v>6.1104192611041164E-3</v>
      </c>
      <c r="I363" s="94">
        <v>11.16</v>
      </c>
      <c r="J363" s="94">
        <v>11.5</v>
      </c>
      <c r="K363" s="94">
        <v>10.52</v>
      </c>
      <c r="L363" s="94">
        <v>11.24</v>
      </c>
      <c r="M363" s="94">
        <v>11238581</v>
      </c>
      <c r="N363" s="94" t="s">
        <v>397</v>
      </c>
      <c r="O363" s="25">
        <f t="shared" si="14"/>
        <v>-7.1174377224199059E-3</v>
      </c>
      <c r="T363" s="25">
        <f t="shared" si="15"/>
        <v>0.14000000000000007</v>
      </c>
      <c r="U363" s="1">
        <f t="shared" si="12"/>
        <v>4.3558553455043551E-2</v>
      </c>
    </row>
    <row r="364" spans="1:21" ht="14.45" customHeight="1">
      <c r="A364" s="94">
        <v>599.96</v>
      </c>
      <c r="B364" s="94">
        <v>621.12879999999996</v>
      </c>
      <c r="C364" s="94">
        <v>599.36</v>
      </c>
      <c r="D364" s="94">
        <v>618.72</v>
      </c>
      <c r="E364" s="94">
        <v>13857655</v>
      </c>
      <c r="F364" s="94" t="s">
        <v>398</v>
      </c>
      <c r="G364" s="25">
        <f t="shared" si="13"/>
        <v>-3.0320662011895538E-2</v>
      </c>
      <c r="I364" s="94">
        <v>11.23</v>
      </c>
      <c r="J364" s="94">
        <v>12.5</v>
      </c>
      <c r="K364" s="94">
        <v>11.0913</v>
      </c>
      <c r="L364" s="94">
        <v>12.2</v>
      </c>
      <c r="M364" s="94">
        <v>10247146</v>
      </c>
      <c r="N364" s="94" t="s">
        <v>398</v>
      </c>
      <c r="O364" s="25">
        <f t="shared" si="14"/>
        <v>-7.9508196721311375E-2</v>
      </c>
      <c r="T364" s="25">
        <f t="shared" si="15"/>
        <v>0.14250000000000007</v>
      </c>
      <c r="U364" s="1">
        <f t="shared" si="12"/>
        <v>3.5898153741177455E-2</v>
      </c>
    </row>
    <row r="365" spans="1:21" ht="14.45" customHeight="1">
      <c r="A365" s="94">
        <v>609.20000000000005</v>
      </c>
      <c r="B365" s="94">
        <v>613.56989999999996</v>
      </c>
      <c r="C365" s="94">
        <v>605.66999999999996</v>
      </c>
      <c r="D365" s="94">
        <v>607.52</v>
      </c>
      <c r="E365" s="94">
        <v>7297298</v>
      </c>
      <c r="F365" s="94" t="s">
        <v>399</v>
      </c>
      <c r="G365" s="25">
        <f t="shared" si="13"/>
        <v>2.7653410587307192E-3</v>
      </c>
      <c r="I365" s="94">
        <v>11.79</v>
      </c>
      <c r="J365" s="94">
        <v>12.48</v>
      </c>
      <c r="K365" s="94">
        <v>11.4</v>
      </c>
      <c r="L365" s="94">
        <v>11.46</v>
      </c>
      <c r="M365" s="94">
        <v>7364643</v>
      </c>
      <c r="N365" s="94" t="s">
        <v>399</v>
      </c>
      <c r="O365" s="25">
        <f t="shared" si="14"/>
        <v>2.8795811518324443E-2</v>
      </c>
      <c r="T365" s="25">
        <f t="shared" si="15"/>
        <v>0.14500000000000007</v>
      </c>
      <c r="U365" s="1">
        <f t="shared" si="12"/>
        <v>2.9483834935872553E-2</v>
      </c>
    </row>
    <row r="366" spans="1:21" ht="14.45" customHeight="1">
      <c r="A366" s="94">
        <v>607</v>
      </c>
      <c r="B366" s="94">
        <v>611.51</v>
      </c>
      <c r="C366" s="94">
        <v>603</v>
      </c>
      <c r="D366" s="94">
        <v>608.72</v>
      </c>
      <c r="E366" s="94">
        <v>8485565</v>
      </c>
      <c r="F366" s="94" t="s">
        <v>400</v>
      </c>
      <c r="G366" s="25">
        <f t="shared" si="13"/>
        <v>-2.8256012616638682E-3</v>
      </c>
      <c r="I366" s="94">
        <v>11.45</v>
      </c>
      <c r="J366" s="94">
        <v>11.885</v>
      </c>
      <c r="K366" s="94">
        <v>10.965</v>
      </c>
      <c r="L366" s="94">
        <v>11.04</v>
      </c>
      <c r="M366" s="94">
        <v>8442425</v>
      </c>
      <c r="N366" s="94" t="s">
        <v>400</v>
      </c>
      <c r="O366" s="25">
        <f t="shared" si="14"/>
        <v>3.7137681159420399E-2</v>
      </c>
    </row>
    <row r="367" spans="1:21" ht="14.45" customHeight="1">
      <c r="A367" s="94">
        <v>612.04</v>
      </c>
      <c r="B367" s="94">
        <v>619.44849999999997</v>
      </c>
      <c r="C367" s="94">
        <v>608.80999999999995</v>
      </c>
      <c r="D367" s="94">
        <v>615.74</v>
      </c>
      <c r="E367" s="94">
        <v>8858869</v>
      </c>
      <c r="F367" s="94" t="s">
        <v>401</v>
      </c>
      <c r="G367" s="25">
        <f t="shared" si="13"/>
        <v>-6.0090297852990471E-3</v>
      </c>
      <c r="I367" s="94">
        <v>11.21</v>
      </c>
      <c r="J367" s="94">
        <v>11.61</v>
      </c>
      <c r="K367" s="94">
        <v>10.88</v>
      </c>
      <c r="L367" s="94">
        <v>11.18</v>
      </c>
      <c r="M367" s="94">
        <v>7317695</v>
      </c>
      <c r="N367" s="94" t="s">
        <v>401</v>
      </c>
      <c r="O367" s="25">
        <f t="shared" si="14"/>
        <v>2.6833631484795006E-3</v>
      </c>
    </row>
    <row r="368" spans="1:21" ht="14.45" customHeight="1">
      <c r="A368" s="94">
        <v>617.83000000000004</v>
      </c>
      <c r="B368" s="94">
        <v>621.21990000000005</v>
      </c>
      <c r="C368" s="94">
        <v>609.83000000000004</v>
      </c>
      <c r="D368" s="94">
        <v>611.75</v>
      </c>
      <c r="E368" s="94">
        <v>9651895</v>
      </c>
      <c r="F368" s="94" t="s">
        <v>402</v>
      </c>
      <c r="G368" s="25">
        <f t="shared" si="13"/>
        <v>9.9387004495301579E-3</v>
      </c>
      <c r="I368" s="94">
        <v>11.4</v>
      </c>
      <c r="J368" s="94">
        <v>11.849500000000001</v>
      </c>
      <c r="K368" s="94">
        <v>10.732200000000001</v>
      </c>
      <c r="L368" s="94">
        <v>11</v>
      </c>
      <c r="M368" s="94">
        <v>9094648</v>
      </c>
      <c r="N368" s="94" t="s">
        <v>402</v>
      </c>
      <c r="O368" s="25">
        <f t="shared" si="14"/>
        <v>3.6363636363636376E-2</v>
      </c>
    </row>
    <row r="369" spans="1:15" ht="14.45" customHeight="1">
      <c r="A369" s="94">
        <v>617.99</v>
      </c>
      <c r="B369" s="94">
        <v>626.02</v>
      </c>
      <c r="C369" s="94">
        <v>616.51</v>
      </c>
      <c r="D369" s="94">
        <v>625.66999999999996</v>
      </c>
      <c r="E369" s="94">
        <v>10526401</v>
      </c>
      <c r="F369" s="94" t="s">
        <v>403</v>
      </c>
      <c r="G369" s="25">
        <f t="shared" si="13"/>
        <v>-1.2274841370051193E-2</v>
      </c>
      <c r="I369" s="94">
        <v>11.41</v>
      </c>
      <c r="J369" s="94">
        <v>12.41</v>
      </c>
      <c r="K369" s="94">
        <v>11.045</v>
      </c>
      <c r="L369" s="94">
        <v>12.27</v>
      </c>
      <c r="M369" s="94">
        <v>10843209</v>
      </c>
      <c r="N369" s="94" t="s">
        <v>403</v>
      </c>
      <c r="O369" s="25">
        <f t="shared" si="14"/>
        <v>-7.0089649551752231E-2</v>
      </c>
    </row>
    <row r="370" spans="1:15" ht="14.45" customHeight="1">
      <c r="A370" s="94">
        <v>628.22</v>
      </c>
      <c r="B370" s="94">
        <v>629.77</v>
      </c>
      <c r="C370" s="94">
        <v>626.1</v>
      </c>
      <c r="D370" s="94">
        <v>629.65</v>
      </c>
      <c r="E370" s="94">
        <v>6065826</v>
      </c>
      <c r="F370" s="94" t="s">
        <v>404</v>
      </c>
      <c r="G370" s="25">
        <f t="shared" si="13"/>
        <v>-2.2711029937265703E-3</v>
      </c>
      <c r="I370" s="94">
        <v>12.44</v>
      </c>
      <c r="J370" s="94">
        <v>12.9</v>
      </c>
      <c r="K370" s="94">
        <v>12.33</v>
      </c>
      <c r="L370" s="94">
        <v>12.63</v>
      </c>
      <c r="M370" s="94">
        <v>5944276</v>
      </c>
      <c r="N370" s="94" t="s">
        <v>404</v>
      </c>
      <c r="O370" s="25">
        <f t="shared" si="14"/>
        <v>-1.5043547110055511E-2</v>
      </c>
    </row>
    <row r="371" spans="1:15" ht="14.45" customHeight="1">
      <c r="A371" s="94">
        <v>627.91</v>
      </c>
      <c r="B371" s="94">
        <v>628.49</v>
      </c>
      <c r="C371" s="94">
        <v>624.07000000000005</v>
      </c>
      <c r="D371" s="94">
        <v>625.16</v>
      </c>
      <c r="E371" s="94">
        <v>5610874</v>
      </c>
      <c r="F371" s="94" t="s">
        <v>405</v>
      </c>
      <c r="G371" s="25">
        <f t="shared" si="13"/>
        <v>4.3988738882845269E-3</v>
      </c>
      <c r="I371" s="94">
        <v>12.47</v>
      </c>
      <c r="J371" s="94">
        <v>13.37</v>
      </c>
      <c r="K371" s="94">
        <v>12.28</v>
      </c>
      <c r="L371" s="94">
        <v>13.2</v>
      </c>
      <c r="M371" s="94">
        <v>8560617</v>
      </c>
      <c r="N371" s="94" t="s">
        <v>405</v>
      </c>
      <c r="O371" s="25">
        <f t="shared" si="14"/>
        <v>-5.5303030303030187E-2</v>
      </c>
    </row>
    <row r="372" spans="1:15" ht="14.45" customHeight="1">
      <c r="A372" s="94">
        <v>626.47</v>
      </c>
      <c r="B372" s="94">
        <v>627.21</v>
      </c>
      <c r="C372" s="94">
        <v>620.66</v>
      </c>
      <c r="D372" s="94">
        <v>622.69000000000005</v>
      </c>
      <c r="E372" s="94">
        <v>8383792</v>
      </c>
      <c r="F372" s="94" t="s">
        <v>406</v>
      </c>
      <c r="G372" s="25">
        <f t="shared" si="13"/>
        <v>6.0704363326855582E-3</v>
      </c>
      <c r="I372" s="94">
        <v>13.39</v>
      </c>
      <c r="J372" s="94">
        <v>13.8</v>
      </c>
      <c r="K372" s="94">
        <v>12.9224</v>
      </c>
      <c r="L372" s="94">
        <v>13.23</v>
      </c>
      <c r="M372" s="94">
        <v>10743744</v>
      </c>
      <c r="N372" s="94" t="s">
        <v>406</v>
      </c>
      <c r="O372" s="25">
        <f t="shared" si="14"/>
        <v>1.2093726379440728E-2</v>
      </c>
    </row>
    <row r="373" spans="1:15" ht="14.45" customHeight="1">
      <c r="A373" s="94">
        <v>616.89</v>
      </c>
      <c r="B373" s="94">
        <v>617.02</v>
      </c>
      <c r="C373" s="94">
        <v>607.91999999999996</v>
      </c>
      <c r="D373" s="94">
        <v>614.09</v>
      </c>
      <c r="E373" s="94">
        <v>7527198</v>
      </c>
      <c r="F373" s="94" t="s">
        <v>407</v>
      </c>
      <c r="G373" s="25">
        <f t="shared" si="13"/>
        <v>4.5595922421794999E-3</v>
      </c>
      <c r="I373" s="94">
        <v>12.81</v>
      </c>
      <c r="J373" s="94">
        <v>12.824999999999999</v>
      </c>
      <c r="K373" s="94">
        <v>11.93</v>
      </c>
      <c r="L373" s="94">
        <v>12.11</v>
      </c>
      <c r="M373" s="94">
        <v>6822501</v>
      </c>
      <c r="N373" s="94" t="s">
        <v>407</v>
      </c>
      <c r="O373" s="25">
        <f t="shared" si="14"/>
        <v>5.7803468208092568E-2</v>
      </c>
    </row>
    <row r="374" spans="1:15" ht="14.45" customHeight="1">
      <c r="A374" s="94">
        <v>616.24</v>
      </c>
      <c r="B374" s="94">
        <v>622.79</v>
      </c>
      <c r="C374" s="94">
        <v>614.82000000000005</v>
      </c>
      <c r="D374" s="94">
        <v>621.96</v>
      </c>
      <c r="E374" s="94">
        <v>7032116</v>
      </c>
      <c r="F374" s="94" t="s">
        <v>408</v>
      </c>
      <c r="G374" s="25">
        <f t="shared" si="13"/>
        <v>-9.1967329088687988E-3</v>
      </c>
      <c r="I374" s="94">
        <v>12.46</v>
      </c>
      <c r="J374" s="94">
        <v>13.02</v>
      </c>
      <c r="K374" s="94">
        <v>12.07</v>
      </c>
      <c r="L374" s="94">
        <v>13.01</v>
      </c>
      <c r="M374" s="94">
        <v>9749304</v>
      </c>
      <c r="N374" s="94" t="s">
        <v>408</v>
      </c>
      <c r="O374" s="25">
        <f t="shared" si="14"/>
        <v>-4.2275172943889272E-2</v>
      </c>
    </row>
    <row r="375" spans="1:15" ht="14.45" customHeight="1">
      <c r="A375" s="94">
        <v>622.86</v>
      </c>
      <c r="B375" s="94">
        <v>626</v>
      </c>
      <c r="C375" s="94">
        <v>619.83000000000004</v>
      </c>
      <c r="D375" s="94">
        <v>620.59</v>
      </c>
      <c r="E375" s="94">
        <v>10264461</v>
      </c>
      <c r="F375" s="94" t="s">
        <v>409</v>
      </c>
      <c r="G375" s="25">
        <f t="shared" si="13"/>
        <v>3.6578095038592995E-3</v>
      </c>
      <c r="I375" s="94">
        <v>13.25</v>
      </c>
      <c r="J375" s="94">
        <v>13.345000000000001</v>
      </c>
      <c r="K375" s="94">
        <v>12.53</v>
      </c>
      <c r="L375" s="94">
        <v>12.84</v>
      </c>
      <c r="M375" s="94">
        <v>6676164</v>
      </c>
      <c r="N375" s="94" t="s">
        <v>409</v>
      </c>
      <c r="O375" s="25">
        <f t="shared" si="14"/>
        <v>3.1931464174454804E-2</v>
      </c>
    </row>
    <row r="376" spans="1:15">
      <c r="A376" s="94">
        <v>620.99</v>
      </c>
      <c r="B376" s="94">
        <v>625.16999999999996</v>
      </c>
      <c r="C376" s="94">
        <v>620.20000000000005</v>
      </c>
      <c r="D376" s="94">
        <v>621.65</v>
      </c>
      <c r="E376" s="94">
        <v>8203353</v>
      </c>
      <c r="F376" s="94" t="s">
        <v>410</v>
      </c>
      <c r="G376" s="25">
        <f t="shared" si="13"/>
        <v>-1.0616906619479449E-3</v>
      </c>
      <c r="I376" s="94">
        <v>12.7</v>
      </c>
      <c r="J376" s="94">
        <v>13.52</v>
      </c>
      <c r="K376" s="94">
        <v>12.460100000000001</v>
      </c>
      <c r="L376" s="94">
        <v>12.73</v>
      </c>
      <c r="M376" s="94">
        <v>9759678</v>
      </c>
      <c r="N376" s="94" t="s">
        <v>410</v>
      </c>
      <c r="O376" s="25">
        <f t="shared" si="14"/>
        <v>-2.3566378633150808E-3</v>
      </c>
    </row>
    <row r="377" spans="1:15">
      <c r="A377" s="94">
        <v>628.27</v>
      </c>
      <c r="B377" s="94">
        <v>630.54</v>
      </c>
      <c r="C377" s="94">
        <v>625.16</v>
      </c>
      <c r="D377" s="94">
        <v>630.41999999999996</v>
      </c>
      <c r="E377" s="94">
        <v>5510227</v>
      </c>
      <c r="F377" s="94" t="s">
        <v>411</v>
      </c>
      <c r="G377" s="25">
        <f t="shared" si="13"/>
        <v>-3.4104247961675993E-3</v>
      </c>
      <c r="I377" s="94">
        <v>13.19</v>
      </c>
      <c r="J377" s="94">
        <v>13.379899999999999</v>
      </c>
      <c r="K377" s="94">
        <v>12.73</v>
      </c>
      <c r="L377" s="94">
        <v>13.33</v>
      </c>
      <c r="M377" s="94">
        <v>6371103</v>
      </c>
      <c r="N377" s="94" t="s">
        <v>411</v>
      </c>
      <c r="O377" s="25">
        <f t="shared" si="14"/>
        <v>-1.0502625656414133E-2</v>
      </c>
    </row>
    <row r="378" spans="1:15">
      <c r="A378" s="94">
        <v>627.04</v>
      </c>
      <c r="B378" s="94">
        <v>629.94000000000005</v>
      </c>
      <c r="C378" s="94">
        <v>624.5</v>
      </c>
      <c r="D378" s="94">
        <v>629.84</v>
      </c>
      <c r="E378" s="94">
        <v>7019277</v>
      </c>
      <c r="F378" s="94" t="s">
        <v>412</v>
      </c>
      <c r="G378" s="25">
        <f t="shared" si="13"/>
        <v>-4.4455734789788925E-3</v>
      </c>
      <c r="I378" s="94">
        <v>13.45</v>
      </c>
      <c r="J378" s="94">
        <v>13.729900000000001</v>
      </c>
      <c r="K378" s="94">
        <v>12.89</v>
      </c>
      <c r="L378" s="94">
        <v>12.89</v>
      </c>
      <c r="M378" s="94">
        <v>8539537</v>
      </c>
      <c r="N378" s="94" t="s">
        <v>412</v>
      </c>
      <c r="O378" s="25">
        <f t="shared" si="14"/>
        <v>4.3444530643909962E-2</v>
      </c>
    </row>
    <row r="379" spans="1:15">
      <c r="A379" s="94">
        <v>625.24</v>
      </c>
      <c r="B379" s="94">
        <v>630.63</v>
      </c>
      <c r="C379" s="94">
        <v>625.1</v>
      </c>
      <c r="D379" s="94">
        <v>628.80999999999995</v>
      </c>
      <c r="E379" s="94">
        <v>6171678</v>
      </c>
      <c r="F379" s="94" t="s">
        <v>413</v>
      </c>
      <c r="G379" s="25">
        <f t="shared" si="13"/>
        <v>-5.6773906267393315E-3</v>
      </c>
      <c r="I379" s="94">
        <v>12.86</v>
      </c>
      <c r="J379" s="94">
        <v>13.2</v>
      </c>
      <c r="K379" s="94">
        <v>12.5307</v>
      </c>
      <c r="L379" s="94">
        <v>12.74</v>
      </c>
      <c r="M379" s="94">
        <v>5943206</v>
      </c>
      <c r="N379" s="94" t="s">
        <v>413</v>
      </c>
      <c r="O379" s="25">
        <f t="shared" si="14"/>
        <v>9.4191522762949731E-3</v>
      </c>
    </row>
    <row r="380" spans="1:15">
      <c r="A380" s="94">
        <v>631.95000000000005</v>
      </c>
      <c r="B380" s="94">
        <v>634.13</v>
      </c>
      <c r="C380" s="94">
        <v>627.87</v>
      </c>
      <c r="D380" s="94">
        <v>633.21</v>
      </c>
      <c r="E380" s="94">
        <v>6037388</v>
      </c>
      <c r="F380" s="94" t="s">
        <v>414</v>
      </c>
      <c r="G380" s="25">
        <f t="shared" si="13"/>
        <v>-1.9898611834936464E-3</v>
      </c>
      <c r="I380" s="94">
        <v>12.9</v>
      </c>
      <c r="J380" s="94">
        <v>13.335000000000001</v>
      </c>
      <c r="K380" s="94">
        <v>12.765000000000001</v>
      </c>
      <c r="L380" s="94">
        <v>12.96</v>
      </c>
      <c r="M380" s="94">
        <v>6648786</v>
      </c>
      <c r="N380" s="94" t="s">
        <v>414</v>
      </c>
      <c r="O380" s="25">
        <f t="shared" si="14"/>
        <v>-4.6296296296296502E-3</v>
      </c>
    </row>
    <row r="381" spans="1:15">
      <c r="A381" s="94">
        <v>631.69000000000005</v>
      </c>
      <c r="B381" s="94">
        <v>633.39</v>
      </c>
      <c r="C381" s="94">
        <v>629.64</v>
      </c>
      <c r="D381" s="94">
        <v>631.71</v>
      </c>
      <c r="E381" s="94">
        <v>5575277</v>
      </c>
      <c r="F381" s="94" t="s">
        <v>415</v>
      </c>
      <c r="G381" s="25">
        <f t="shared" si="13"/>
        <v>-3.1660097196462011E-5</v>
      </c>
      <c r="I381" s="94">
        <v>12.84</v>
      </c>
      <c r="J381" s="94">
        <v>13.47</v>
      </c>
      <c r="K381" s="94">
        <v>12.78</v>
      </c>
      <c r="L381" s="94">
        <v>13.4</v>
      </c>
      <c r="M381" s="94">
        <v>6321969</v>
      </c>
      <c r="N381" s="94" t="s">
        <v>415</v>
      </c>
      <c r="O381" s="25">
        <f t="shared" si="14"/>
        <v>-4.179104477611939E-2</v>
      </c>
    </row>
    <row r="382" spans="1:15">
      <c r="A382" s="94">
        <v>630</v>
      </c>
      <c r="B382" s="94">
        <v>630.29</v>
      </c>
      <c r="C382" s="94">
        <v>627.16</v>
      </c>
      <c r="D382" s="94">
        <v>627.74</v>
      </c>
      <c r="E382" s="94">
        <v>7804316</v>
      </c>
      <c r="F382" s="94" t="s">
        <v>416</v>
      </c>
      <c r="G382" s="25">
        <f t="shared" si="13"/>
        <v>3.600216650205379E-3</v>
      </c>
      <c r="I382" s="94">
        <v>13.31</v>
      </c>
      <c r="J382" s="94">
        <v>13.96</v>
      </c>
      <c r="K382" s="94">
        <v>13.27</v>
      </c>
      <c r="L382" s="94">
        <v>13.95</v>
      </c>
      <c r="M382" s="94">
        <v>6607274</v>
      </c>
      <c r="N382" s="94" t="s">
        <v>416</v>
      </c>
      <c r="O382" s="25">
        <f t="shared" si="14"/>
        <v>-4.587813620071679E-2</v>
      </c>
    </row>
    <row r="383" spans="1:15">
      <c r="A383" s="94">
        <v>622.54999999999995</v>
      </c>
      <c r="B383" s="94">
        <v>623.78989999999999</v>
      </c>
      <c r="C383" s="94">
        <v>621.20699999999999</v>
      </c>
      <c r="D383" s="94">
        <v>621.91999999999996</v>
      </c>
      <c r="E383" s="94">
        <v>5650844</v>
      </c>
      <c r="F383" s="94" t="s">
        <v>417</v>
      </c>
      <c r="G383" s="25">
        <f t="shared" si="13"/>
        <v>1.0129920246977342E-3</v>
      </c>
      <c r="I383" s="94">
        <v>13.61</v>
      </c>
      <c r="J383" s="94">
        <v>13.715</v>
      </c>
      <c r="K383" s="94">
        <v>13.14</v>
      </c>
      <c r="L383" s="94">
        <v>13.3</v>
      </c>
      <c r="M383" s="94">
        <v>7254190</v>
      </c>
      <c r="N383" s="94" t="s">
        <v>417</v>
      </c>
      <c r="O383" s="25">
        <f t="shared" si="14"/>
        <v>2.3308270676691611E-2</v>
      </c>
    </row>
    <row r="384" spans="1:15">
      <c r="A384" s="94">
        <v>617.44000000000005</v>
      </c>
      <c r="B384" s="94">
        <v>618.47400000000005</v>
      </c>
      <c r="C384" s="94">
        <v>613.99</v>
      </c>
      <c r="D384" s="94">
        <v>614.25</v>
      </c>
      <c r="E384" s="94">
        <v>5825360</v>
      </c>
      <c r="F384" s="94" t="s">
        <v>418</v>
      </c>
      <c r="G384" s="25">
        <f t="shared" si="13"/>
        <v>5.1933251933253821E-3</v>
      </c>
      <c r="I384" s="94">
        <v>12.95</v>
      </c>
      <c r="J384" s="94">
        <v>13.305</v>
      </c>
      <c r="K384" s="94">
        <v>12.59</v>
      </c>
      <c r="L384" s="94">
        <v>12.63</v>
      </c>
      <c r="M384" s="94">
        <v>6986589</v>
      </c>
      <c r="N384" s="94" t="s">
        <v>418</v>
      </c>
      <c r="O384" s="25">
        <f t="shared" si="14"/>
        <v>2.5336500395882755E-2</v>
      </c>
    </row>
    <row r="385" spans="1:15">
      <c r="A385" s="94">
        <v>613.97</v>
      </c>
      <c r="B385" s="94">
        <v>617.83000000000004</v>
      </c>
      <c r="C385" s="94">
        <v>609.83000000000004</v>
      </c>
      <c r="D385" s="94">
        <v>617.83000000000004</v>
      </c>
      <c r="E385" s="94">
        <v>6119026</v>
      </c>
      <c r="F385" s="94" t="s">
        <v>419</v>
      </c>
      <c r="G385" s="25">
        <f t="shared" si="13"/>
        <v>-6.247673308191648E-3</v>
      </c>
      <c r="I385" s="94">
        <v>12.5</v>
      </c>
      <c r="J385" s="94">
        <v>13.05</v>
      </c>
      <c r="K385" s="94">
        <v>11.97</v>
      </c>
      <c r="L385" s="94">
        <v>12.75</v>
      </c>
      <c r="M385" s="94">
        <v>12222233</v>
      </c>
      <c r="N385" s="94" t="s">
        <v>419</v>
      </c>
      <c r="O385" s="25">
        <f t="shared" si="14"/>
        <v>-1.9607843137254943E-2</v>
      </c>
    </row>
    <row r="386" spans="1:15">
      <c r="A386" s="94">
        <v>617.09</v>
      </c>
      <c r="B386" s="94">
        <v>618.74</v>
      </c>
      <c r="C386" s="94">
        <v>615.98099999999999</v>
      </c>
      <c r="D386" s="94">
        <v>617.33000000000004</v>
      </c>
      <c r="E386" s="94">
        <v>4156131</v>
      </c>
      <c r="F386" s="94" t="s">
        <v>420</v>
      </c>
      <c r="G386" s="25">
        <f t="shared" si="13"/>
        <v>-3.8877099768364065E-4</v>
      </c>
      <c r="I386" s="94">
        <v>12.91</v>
      </c>
      <c r="J386" s="94">
        <v>13.3355</v>
      </c>
      <c r="K386" s="94">
        <v>12.81</v>
      </c>
      <c r="L386" s="94">
        <v>13.18</v>
      </c>
      <c r="M386" s="94">
        <v>7388622</v>
      </c>
      <c r="N386" s="94" t="s">
        <v>420</v>
      </c>
      <c r="O386" s="25">
        <f t="shared" si="14"/>
        <v>-2.0485584218512876E-2</v>
      </c>
    </row>
    <row r="387" spans="1:15">
      <c r="A387" s="94">
        <v>617.16999999999996</v>
      </c>
      <c r="B387" s="94">
        <v>618.01</v>
      </c>
      <c r="C387" s="94">
        <v>613.51</v>
      </c>
      <c r="D387" s="94">
        <v>613.51</v>
      </c>
      <c r="E387" s="94">
        <v>4049225</v>
      </c>
      <c r="F387" s="94" t="s">
        <v>421</v>
      </c>
      <c r="G387" s="25">
        <f t="shared" si="13"/>
        <v>5.9656729311665657E-3</v>
      </c>
      <c r="I387" s="94">
        <v>13.56</v>
      </c>
      <c r="J387" s="94">
        <v>14.409800000000001</v>
      </c>
      <c r="K387" s="94">
        <v>13.5</v>
      </c>
      <c r="L387" s="94">
        <v>14.02</v>
      </c>
      <c r="M387" s="94">
        <v>9667315</v>
      </c>
      <c r="N387" s="94" t="s">
        <v>421</v>
      </c>
      <c r="O387" s="25">
        <f t="shared" si="14"/>
        <v>-3.2810271041369354E-2</v>
      </c>
    </row>
    <row r="388" spans="1:15">
      <c r="A388" s="94">
        <v>610.76</v>
      </c>
      <c r="B388" s="94">
        <v>612.02</v>
      </c>
      <c r="C388" s="94">
        <v>605.1</v>
      </c>
      <c r="D388" s="94">
        <v>606.34</v>
      </c>
      <c r="E388" s="94">
        <v>6884090</v>
      </c>
      <c r="F388" s="94" t="s">
        <v>422</v>
      </c>
      <c r="G388" s="25">
        <f t="shared" si="13"/>
        <v>7.289639476201426E-3</v>
      </c>
      <c r="I388" s="94">
        <v>13.11</v>
      </c>
      <c r="J388" s="94">
        <v>13.58</v>
      </c>
      <c r="K388" s="94">
        <v>12.571999999999999</v>
      </c>
      <c r="L388" s="94">
        <v>13</v>
      </c>
      <c r="M388" s="94">
        <v>13525567</v>
      </c>
      <c r="N388" s="94" t="s">
        <v>422</v>
      </c>
      <c r="O388" s="25">
        <f t="shared" si="14"/>
        <v>8.4615384615385203E-3</v>
      </c>
    </row>
    <row r="389" spans="1:15">
      <c r="A389" s="94">
        <v>607.39</v>
      </c>
      <c r="B389" s="94">
        <v>614.79999999999995</v>
      </c>
      <c r="C389" s="94">
        <v>604.14</v>
      </c>
      <c r="D389" s="94">
        <v>613.11</v>
      </c>
      <c r="E389" s="94">
        <v>7533209</v>
      </c>
      <c r="F389" s="94" t="s">
        <v>423</v>
      </c>
      <c r="G389" s="25">
        <f t="shared" si="13"/>
        <v>-9.3294841056255073E-3</v>
      </c>
      <c r="I389" s="94">
        <v>13.23</v>
      </c>
      <c r="J389" s="94">
        <v>15.5594</v>
      </c>
      <c r="K389" s="94">
        <v>13.12</v>
      </c>
      <c r="L389" s="94">
        <v>15.47</v>
      </c>
      <c r="M389" s="94">
        <v>18482169</v>
      </c>
      <c r="N389" s="94" t="s">
        <v>423</v>
      </c>
      <c r="O389" s="25">
        <f t="shared" si="14"/>
        <v>-0.14479638009049778</v>
      </c>
    </row>
    <row r="390" spans="1:15">
      <c r="A390" s="94">
        <v>611.42999999999995</v>
      </c>
      <c r="B390" s="94">
        <v>616.20500000000004</v>
      </c>
      <c r="C390" s="94">
        <v>605.82000000000005</v>
      </c>
      <c r="D390" s="94">
        <v>613.07000000000005</v>
      </c>
      <c r="E390" s="94">
        <v>6474986</v>
      </c>
      <c r="F390" s="94" t="s">
        <v>424</v>
      </c>
      <c r="G390" s="25">
        <f t="shared" si="13"/>
        <v>-2.6750615753504681E-3</v>
      </c>
      <c r="I390" s="94">
        <v>15.09</v>
      </c>
      <c r="J390" s="94">
        <v>15.664999999999999</v>
      </c>
      <c r="K390" s="94">
        <v>14.85</v>
      </c>
      <c r="L390" s="94">
        <v>15.45</v>
      </c>
      <c r="M390" s="94">
        <v>11448562</v>
      </c>
      <c r="N390" s="94" t="s">
        <v>424</v>
      </c>
      <c r="O390" s="25">
        <f t="shared" si="14"/>
        <v>-2.3300970873786353E-2</v>
      </c>
    </row>
    <row r="391" spans="1:15">
      <c r="A391" s="94">
        <v>608.75</v>
      </c>
      <c r="B391" s="94">
        <v>612.14</v>
      </c>
      <c r="C391" s="94">
        <v>600.51</v>
      </c>
      <c r="D391" s="94">
        <v>604.20000000000005</v>
      </c>
      <c r="E391" s="94">
        <v>7469018</v>
      </c>
      <c r="F391" s="94" t="s">
        <v>425</v>
      </c>
      <c r="G391" s="25">
        <f t="shared" si="13"/>
        <v>7.5306190003310292E-3</v>
      </c>
      <c r="I391" s="94">
        <v>14.78</v>
      </c>
      <c r="J391" s="94">
        <v>15.25</v>
      </c>
      <c r="K391" s="94">
        <v>14.545</v>
      </c>
      <c r="L391" s="94">
        <v>15</v>
      </c>
      <c r="M391" s="94">
        <v>13480314</v>
      </c>
      <c r="N391" s="94" t="s">
        <v>425</v>
      </c>
      <c r="O391" s="25">
        <f t="shared" si="14"/>
        <v>-1.4666666666666717E-2</v>
      </c>
    </row>
    <row r="392" spans="1:15">
      <c r="A392" s="94">
        <v>609.61</v>
      </c>
      <c r="B392" s="94">
        <v>611.02719999999999</v>
      </c>
      <c r="C392" s="94">
        <v>606.57500000000005</v>
      </c>
      <c r="D392" s="94">
        <v>607.37</v>
      </c>
      <c r="E392" s="94">
        <v>6942460</v>
      </c>
      <c r="F392" s="94" t="s">
        <v>426</v>
      </c>
      <c r="G392" s="25">
        <f t="shared" si="13"/>
        <v>3.6880320068493067E-3</v>
      </c>
      <c r="I392" s="94">
        <v>15.25</v>
      </c>
      <c r="J392" s="94">
        <v>15.95</v>
      </c>
      <c r="K392" s="94">
        <v>15.16</v>
      </c>
      <c r="L392" s="94">
        <v>15.21</v>
      </c>
      <c r="M392" s="94">
        <v>11199746</v>
      </c>
      <c r="N392" s="94" t="s">
        <v>426</v>
      </c>
      <c r="O392" s="25">
        <f t="shared" si="14"/>
        <v>2.629848783694877E-3</v>
      </c>
    </row>
    <row r="393" spans="1:15">
      <c r="A393" s="94">
        <v>600.51</v>
      </c>
      <c r="B393" s="94">
        <v>619.6</v>
      </c>
      <c r="C393" s="94">
        <v>600.23</v>
      </c>
      <c r="D393" s="94">
        <v>617.99</v>
      </c>
      <c r="E393" s="94">
        <v>13339202</v>
      </c>
      <c r="F393" s="94" t="s">
        <v>427</v>
      </c>
      <c r="G393" s="25">
        <f t="shared" si="13"/>
        <v>-2.8285247334099317E-2</v>
      </c>
      <c r="I393" s="94">
        <v>14.7</v>
      </c>
      <c r="J393" s="94">
        <v>16.05</v>
      </c>
      <c r="K393" s="94">
        <v>14.555</v>
      </c>
      <c r="L393" s="94">
        <v>15.86</v>
      </c>
      <c r="M393" s="94">
        <v>18584629</v>
      </c>
      <c r="N393" s="94" t="s">
        <v>427</v>
      </c>
      <c r="O393" s="25">
        <f t="shared" si="14"/>
        <v>-7.3139974779319106E-2</v>
      </c>
    </row>
    <row r="394" spans="1:15">
      <c r="A394" s="94">
        <v>617.1</v>
      </c>
      <c r="B394" s="94">
        <v>619.59</v>
      </c>
      <c r="C394" s="94">
        <v>615.28</v>
      </c>
      <c r="D394" s="94">
        <v>619.23</v>
      </c>
      <c r="E394" s="94">
        <v>5879748</v>
      </c>
      <c r="F394" s="94" t="s">
        <v>428</v>
      </c>
      <c r="G394" s="25">
        <f t="shared" si="13"/>
        <v>-3.439755825783597E-3</v>
      </c>
      <c r="I394" s="94">
        <v>15.66</v>
      </c>
      <c r="J394" s="94">
        <v>15.8</v>
      </c>
      <c r="K394" s="94">
        <v>15.08</v>
      </c>
      <c r="L394" s="94">
        <v>15.59</v>
      </c>
      <c r="M394" s="94">
        <v>10642245</v>
      </c>
      <c r="N394" s="94" t="s">
        <v>428</v>
      </c>
      <c r="O394" s="25">
        <f t="shared" si="14"/>
        <v>4.4900577293136568E-3</v>
      </c>
    </row>
    <row r="395" spans="1:15">
      <c r="A395" s="94">
        <v>618.77</v>
      </c>
      <c r="B395" s="94">
        <v>618.9</v>
      </c>
      <c r="C395" s="94">
        <v>615.46420000000001</v>
      </c>
      <c r="D395" s="94">
        <v>616.21500000000003</v>
      </c>
      <c r="E395" s="94">
        <v>5000436</v>
      </c>
      <c r="F395" s="94" t="s">
        <v>429</v>
      </c>
      <c r="G395" s="25">
        <f t="shared" si="13"/>
        <v>4.1462801132721161E-3</v>
      </c>
      <c r="I395" s="94">
        <v>15.6</v>
      </c>
      <c r="J395" s="94">
        <v>16.78</v>
      </c>
      <c r="K395" s="94">
        <v>15.26</v>
      </c>
      <c r="L395" s="94">
        <v>16.55</v>
      </c>
      <c r="M395" s="94">
        <v>15459381</v>
      </c>
      <c r="N395" s="94" t="s">
        <v>429</v>
      </c>
      <c r="O395" s="25">
        <f t="shared" si="14"/>
        <v>-5.7401812688821829E-2</v>
      </c>
    </row>
    <row r="396" spans="1:15">
      <c r="A396" s="94">
        <v>615.20000000000005</v>
      </c>
      <c r="B396" s="94">
        <v>618.73929999999996</v>
      </c>
      <c r="C396" s="94">
        <v>613.82000000000005</v>
      </c>
      <c r="D396" s="94">
        <v>618.29999999999995</v>
      </c>
      <c r="E396" s="94">
        <v>7439508</v>
      </c>
      <c r="F396" s="94" t="s">
        <v>430</v>
      </c>
      <c r="G396" s="25">
        <f t="shared" si="13"/>
        <v>-5.0137473718258052E-3</v>
      </c>
      <c r="I396" s="94">
        <v>15.68</v>
      </c>
      <c r="J396" s="94">
        <v>16.010000000000002</v>
      </c>
      <c r="K396" s="94">
        <v>14.78</v>
      </c>
      <c r="L396" s="94">
        <v>15</v>
      </c>
      <c r="M396" s="94">
        <v>16592101</v>
      </c>
      <c r="N396" s="94" t="s">
        <v>430</v>
      </c>
      <c r="O396" s="25">
        <f t="shared" si="14"/>
        <v>4.5333333333333226E-2</v>
      </c>
    </row>
    <row r="397" spans="1:15">
      <c r="A397" s="94">
        <v>617.4</v>
      </c>
      <c r="B397" s="94">
        <v>618.28</v>
      </c>
      <c r="C397" s="94">
        <v>615.48</v>
      </c>
      <c r="D397" s="94">
        <v>617.46</v>
      </c>
      <c r="E397" s="94">
        <v>5958193</v>
      </c>
      <c r="F397" s="94" t="s">
        <v>431</v>
      </c>
      <c r="G397" s="25">
        <f t="shared" si="13"/>
        <v>-9.7172286463997892E-5</v>
      </c>
      <c r="I397" s="94">
        <v>15.24</v>
      </c>
      <c r="J397" s="94">
        <v>15.89</v>
      </c>
      <c r="K397" s="94">
        <v>15.19</v>
      </c>
      <c r="L397" s="94">
        <v>15.8</v>
      </c>
      <c r="M397" s="94">
        <v>16728036</v>
      </c>
      <c r="N397" s="94" t="s">
        <v>431</v>
      </c>
      <c r="O397" s="25">
        <f t="shared" si="14"/>
        <v>-3.5443037974683622E-2</v>
      </c>
    </row>
    <row r="398" spans="1:15">
      <c r="A398" s="94">
        <v>615.29999999999995</v>
      </c>
      <c r="B398" s="94">
        <v>618.41999999999996</v>
      </c>
      <c r="C398" s="94">
        <v>614.28800000000001</v>
      </c>
      <c r="D398" s="94">
        <v>615.95000000000005</v>
      </c>
      <c r="E398" s="94">
        <v>7187163</v>
      </c>
      <c r="F398" s="94" t="s">
        <v>432</v>
      </c>
      <c r="G398" s="25">
        <f t="shared" si="13"/>
        <v>-1.0552804610765021E-3</v>
      </c>
      <c r="I398" s="94">
        <v>15.31</v>
      </c>
      <c r="J398" s="94">
        <v>15.5</v>
      </c>
      <c r="K398" s="94">
        <v>14.76</v>
      </c>
      <c r="L398" s="94">
        <v>14.95</v>
      </c>
      <c r="M398" s="94">
        <v>18083907</v>
      </c>
      <c r="N398" s="94" t="s">
        <v>432</v>
      </c>
      <c r="O398" s="25">
        <f t="shared" si="14"/>
        <v>2.4080267558528545E-2</v>
      </c>
    </row>
    <row r="399" spans="1:15">
      <c r="A399" s="94">
        <v>615.25</v>
      </c>
      <c r="B399" s="94">
        <v>616.48</v>
      </c>
      <c r="C399" s="94">
        <v>613.02</v>
      </c>
      <c r="D399" s="94">
        <v>616.41</v>
      </c>
      <c r="E399" s="94">
        <v>7036646</v>
      </c>
      <c r="F399" s="94" t="s">
        <v>433</v>
      </c>
      <c r="G399" s="25">
        <f t="shared" si="13"/>
        <v>-1.8818643435375426E-3</v>
      </c>
      <c r="I399" s="94">
        <v>14.85</v>
      </c>
      <c r="J399" s="94">
        <v>15.1074</v>
      </c>
      <c r="K399" s="94">
        <v>14.08</v>
      </c>
      <c r="L399" s="94">
        <v>14.36</v>
      </c>
      <c r="M399" s="94">
        <v>21144544</v>
      </c>
      <c r="N399" s="94" t="s">
        <v>433</v>
      </c>
      <c r="O399" s="25">
        <f t="shared" si="14"/>
        <v>3.4122562674094636E-2</v>
      </c>
    </row>
    <row r="400" spans="1:15">
      <c r="A400" s="94">
        <v>614.57000000000005</v>
      </c>
      <c r="B400" s="94">
        <v>615.39</v>
      </c>
      <c r="C400" s="94">
        <v>609.57000000000005</v>
      </c>
      <c r="D400" s="94">
        <v>609.70000000000005</v>
      </c>
      <c r="E400" s="94">
        <v>9753029</v>
      </c>
      <c r="F400" s="94" t="s">
        <v>434</v>
      </c>
      <c r="G400" s="25">
        <f t="shared" si="13"/>
        <v>7.9875348532065793E-3</v>
      </c>
      <c r="I400" s="94">
        <v>13.77</v>
      </c>
      <c r="J400" s="94">
        <v>14.02</v>
      </c>
      <c r="K400" s="94">
        <v>12.6</v>
      </c>
      <c r="L400" s="94">
        <v>12.84</v>
      </c>
      <c r="M400" s="94">
        <v>17853303</v>
      </c>
      <c r="N400" s="94" t="s">
        <v>434</v>
      </c>
      <c r="O400" s="25">
        <f t="shared" si="14"/>
        <v>7.2429906542055944E-2</v>
      </c>
    </row>
    <row r="401" spans="1:15">
      <c r="A401" s="94">
        <v>612.38</v>
      </c>
      <c r="B401" s="94">
        <v>612.86</v>
      </c>
      <c r="C401" s="94">
        <v>608.27</v>
      </c>
      <c r="D401" s="94">
        <v>609.42999999999995</v>
      </c>
      <c r="E401" s="94">
        <v>6481423</v>
      </c>
      <c r="F401" s="94" t="s">
        <v>435</v>
      </c>
      <c r="G401" s="25">
        <f t="shared" si="13"/>
        <v>4.8405887468618847E-3</v>
      </c>
      <c r="I401" s="94">
        <v>12.98</v>
      </c>
      <c r="J401" s="94">
        <v>13.06</v>
      </c>
      <c r="K401" s="94">
        <v>12.12</v>
      </c>
      <c r="L401" s="94">
        <v>12.7</v>
      </c>
      <c r="M401" s="94">
        <v>17416255</v>
      </c>
      <c r="N401" s="94" t="s">
        <v>435</v>
      </c>
      <c r="O401" s="25">
        <f t="shared" si="14"/>
        <v>2.2047244094488327E-2</v>
      </c>
    </row>
    <row r="402" spans="1:15">
      <c r="A402" s="94">
        <v>610.13</v>
      </c>
      <c r="B402" s="94">
        <v>611.67999999999995</v>
      </c>
      <c r="C402" s="94">
        <v>608.48</v>
      </c>
      <c r="D402" s="94">
        <v>610.79</v>
      </c>
      <c r="E402" s="94">
        <v>5658835</v>
      </c>
      <c r="F402" s="94" t="s">
        <v>436</v>
      </c>
      <c r="G402" s="25">
        <f t="shared" si="13"/>
        <v>-1.0805677892564702E-3</v>
      </c>
      <c r="I402" s="94">
        <v>12.79</v>
      </c>
      <c r="J402" s="94">
        <v>13</v>
      </c>
      <c r="K402" s="94">
        <v>12.36</v>
      </c>
      <c r="L402" s="94">
        <v>12.39</v>
      </c>
      <c r="M402" s="94">
        <v>17484323</v>
      </c>
      <c r="N402" s="94" t="s">
        <v>436</v>
      </c>
      <c r="O402" s="25">
        <f t="shared" si="14"/>
        <v>3.2284100080710143E-2</v>
      </c>
    </row>
    <row r="403" spans="1:15">
      <c r="A403" s="94">
        <v>610.16</v>
      </c>
      <c r="B403" s="94">
        <v>610.70000000000005</v>
      </c>
      <c r="C403" s="94">
        <v>606.56500000000005</v>
      </c>
      <c r="D403" s="94">
        <v>608.03</v>
      </c>
      <c r="E403" s="94">
        <v>6438634</v>
      </c>
      <c r="F403" s="94" t="s">
        <v>437</v>
      </c>
      <c r="G403" s="25">
        <f t="shared" si="13"/>
        <v>3.5031166225349963E-3</v>
      </c>
      <c r="I403" s="94">
        <v>12.2</v>
      </c>
      <c r="J403" s="94">
        <v>12.33</v>
      </c>
      <c r="K403" s="94">
        <v>11.76</v>
      </c>
      <c r="L403" s="94">
        <v>11.86</v>
      </c>
      <c r="M403" s="94">
        <v>10358844</v>
      </c>
      <c r="N403" s="94" t="s">
        <v>437</v>
      </c>
      <c r="O403" s="25">
        <f t="shared" si="14"/>
        <v>2.8667790893760481E-2</v>
      </c>
    </row>
    <row r="404" spans="1:15">
      <c r="A404" s="94">
        <v>606.59</v>
      </c>
      <c r="B404" s="94">
        <v>607.92999999999995</v>
      </c>
      <c r="C404" s="94">
        <v>603.35</v>
      </c>
      <c r="D404" s="94">
        <v>606.62</v>
      </c>
      <c r="E404" s="94">
        <v>6927746</v>
      </c>
      <c r="F404" s="94" t="s">
        <v>438</v>
      </c>
      <c r="G404" s="25">
        <f t="shared" si="13"/>
        <v>-4.9454353631572801E-5</v>
      </c>
      <c r="I404" s="94">
        <v>11.96</v>
      </c>
      <c r="J404" s="94">
        <v>12.28</v>
      </c>
      <c r="K404" s="94">
        <v>11.42</v>
      </c>
      <c r="L404" s="94">
        <v>11.5</v>
      </c>
      <c r="M404" s="94">
        <v>12716221</v>
      </c>
      <c r="N404" s="94" t="s">
        <v>438</v>
      </c>
      <c r="O404" s="25">
        <f t="shared" si="14"/>
        <v>4.0000000000000036E-2</v>
      </c>
    </row>
    <row r="405" spans="1:15">
      <c r="A405" s="94">
        <v>609.5</v>
      </c>
      <c r="B405" s="94">
        <v>612.74</v>
      </c>
      <c r="C405" s="94">
        <v>608.19000000000005</v>
      </c>
      <c r="D405" s="94">
        <v>612.63</v>
      </c>
      <c r="E405" s="94">
        <v>23764079</v>
      </c>
      <c r="F405" s="94" t="s">
        <v>439</v>
      </c>
      <c r="G405" s="25">
        <f t="shared" si="13"/>
        <v>-5.1091196970438624E-3</v>
      </c>
      <c r="I405" s="94">
        <v>11.93</v>
      </c>
      <c r="J405" s="94">
        <v>12.23</v>
      </c>
      <c r="K405" s="94">
        <v>11.67</v>
      </c>
      <c r="L405" s="94">
        <v>12.14</v>
      </c>
      <c r="M405" s="94">
        <v>11924883</v>
      </c>
      <c r="N405" s="94" t="s">
        <v>439</v>
      </c>
      <c r="O405" s="25">
        <f t="shared" si="14"/>
        <v>-1.7298187808896248E-2</v>
      </c>
    </row>
    <row r="406" spans="1:15">
      <c r="A406" s="94">
        <v>611.54</v>
      </c>
      <c r="B406" s="94">
        <v>615.26</v>
      </c>
      <c r="C406" s="94">
        <v>610.34100000000001</v>
      </c>
      <c r="D406" s="94">
        <v>614.70500000000004</v>
      </c>
      <c r="E406" s="94">
        <v>10728553</v>
      </c>
      <c r="F406" s="94" t="s">
        <v>440</v>
      </c>
      <c r="G406" s="25">
        <f t="shared" si="13"/>
        <v>-5.148811218389393E-3</v>
      </c>
      <c r="I406" s="94">
        <v>12.05</v>
      </c>
      <c r="J406" s="94">
        <v>12.13</v>
      </c>
      <c r="K406" s="94">
        <v>11.07</v>
      </c>
      <c r="L406" s="94">
        <v>11.24</v>
      </c>
      <c r="M406" s="94">
        <v>14648155</v>
      </c>
      <c r="N406" s="94" t="s">
        <v>440</v>
      </c>
      <c r="O406" s="25">
        <f t="shared" si="14"/>
        <v>7.2064056939501908E-2</v>
      </c>
    </row>
    <row r="407" spans="1:15">
      <c r="A407" s="94">
        <v>614.76</v>
      </c>
      <c r="B407" s="94">
        <v>615.22</v>
      </c>
      <c r="C407" s="94">
        <v>610.51</v>
      </c>
      <c r="D407" s="94">
        <v>610.52</v>
      </c>
      <c r="E407" s="94">
        <v>11551587</v>
      </c>
      <c r="F407" s="94" t="s">
        <v>441</v>
      </c>
      <c r="G407" s="25">
        <f t="shared" si="13"/>
        <v>6.9448994299941003E-3</v>
      </c>
      <c r="I407" s="94">
        <v>11.11</v>
      </c>
      <c r="J407" s="94">
        <v>11.15</v>
      </c>
      <c r="K407" s="94">
        <v>10.72</v>
      </c>
      <c r="L407" s="94">
        <v>10.86</v>
      </c>
      <c r="M407" s="94">
        <v>10079721</v>
      </c>
      <c r="N407" s="94" t="s">
        <v>441</v>
      </c>
      <c r="O407" s="25">
        <f t="shared" si="14"/>
        <v>2.3020257826887658E-2</v>
      </c>
    </row>
    <row r="408" spans="1:15">
      <c r="A408" s="94">
        <v>611.78</v>
      </c>
      <c r="B408" s="94">
        <v>612.66999999999996</v>
      </c>
      <c r="C408" s="94">
        <v>608.85</v>
      </c>
      <c r="D408" s="94">
        <v>610.62</v>
      </c>
      <c r="E408" s="94">
        <v>6065655</v>
      </c>
      <c r="F408" s="94" t="s">
        <v>442</v>
      </c>
      <c r="G408" s="25">
        <f t="shared" si="13"/>
        <v>1.899708493007024E-3</v>
      </c>
      <c r="I408" s="94">
        <v>11.11</v>
      </c>
      <c r="J408" s="94">
        <v>11.41</v>
      </c>
      <c r="K408" s="94">
        <v>10.615</v>
      </c>
      <c r="L408" s="94">
        <v>10.66</v>
      </c>
      <c r="M408" s="94">
        <v>21936211</v>
      </c>
      <c r="N408" s="94" t="s">
        <v>442</v>
      </c>
      <c r="O408" s="25">
        <f t="shared" si="14"/>
        <v>4.2213883677298281E-2</v>
      </c>
    </row>
    <row r="409" spans="1:15">
      <c r="A409" s="94">
        <v>608.94000000000005</v>
      </c>
      <c r="B409" s="94">
        <v>611.30999999999995</v>
      </c>
      <c r="C409" s="94">
        <v>607.07000000000005</v>
      </c>
      <c r="D409" s="94">
        <v>608.54999999999995</v>
      </c>
      <c r="E409" s="94">
        <v>11029230</v>
      </c>
      <c r="F409" s="94" t="s">
        <v>443</v>
      </c>
      <c r="G409" s="25">
        <f t="shared" si="13"/>
        <v>6.4086763618442788E-4</v>
      </c>
      <c r="I409" s="94">
        <v>10.61</v>
      </c>
      <c r="J409" s="94">
        <v>10.71</v>
      </c>
      <c r="K409" s="94">
        <v>10.220000000000001</v>
      </c>
      <c r="L409" s="94">
        <v>10.48</v>
      </c>
      <c r="M409" s="94">
        <v>10515288</v>
      </c>
      <c r="N409" s="94" t="s">
        <v>443</v>
      </c>
      <c r="O409" s="25">
        <f t="shared" si="14"/>
        <v>1.2404580152671763E-2</v>
      </c>
    </row>
    <row r="410" spans="1:15">
      <c r="A410" s="94">
        <v>606.09</v>
      </c>
      <c r="B410" s="94">
        <v>608.33000000000004</v>
      </c>
      <c r="C410" s="94">
        <v>601.54999999999995</v>
      </c>
      <c r="D410" s="94">
        <v>606.84</v>
      </c>
      <c r="E410" s="94">
        <v>11613628</v>
      </c>
      <c r="F410" s="94" t="s">
        <v>444</v>
      </c>
      <c r="G410" s="25">
        <f t="shared" si="13"/>
        <v>-1.2359106189440139E-3</v>
      </c>
      <c r="I410" s="94">
        <v>10.23</v>
      </c>
      <c r="J410" s="94">
        <v>10.4</v>
      </c>
      <c r="K410" s="94">
        <v>9.68</v>
      </c>
      <c r="L410" s="94">
        <v>9.75</v>
      </c>
      <c r="M410" s="94">
        <v>12872250</v>
      </c>
      <c r="N410" s="94" t="s">
        <v>444</v>
      </c>
      <c r="O410" s="25">
        <f t="shared" si="14"/>
        <v>4.9230769230769189E-2</v>
      </c>
    </row>
    <row r="411" spans="1:15">
      <c r="A411" s="94">
        <v>606.79</v>
      </c>
      <c r="B411" s="94">
        <v>608.41999999999996</v>
      </c>
      <c r="C411" s="94">
        <v>606.06089999999995</v>
      </c>
      <c r="D411" s="94">
        <v>608.16</v>
      </c>
      <c r="E411" s="94">
        <v>6367152</v>
      </c>
      <c r="F411" s="94" t="s">
        <v>445</v>
      </c>
      <c r="G411" s="25">
        <f t="shared" si="13"/>
        <v>-2.2526966587740338E-3</v>
      </c>
      <c r="I411" s="94">
        <v>9.75</v>
      </c>
      <c r="J411" s="94">
        <v>9.9763000000000002</v>
      </c>
      <c r="K411" s="94">
        <v>9.66</v>
      </c>
      <c r="L411" s="94">
        <v>9.86</v>
      </c>
      <c r="M411" s="94">
        <v>7892184</v>
      </c>
      <c r="N411" s="94" t="s">
        <v>445</v>
      </c>
      <c r="O411" s="25">
        <f t="shared" si="14"/>
        <v>-1.1156186612576002E-2</v>
      </c>
    </row>
    <row r="412" spans="1:15">
      <c r="A412" s="94">
        <v>607.59</v>
      </c>
      <c r="B412" s="94">
        <v>607.77</v>
      </c>
      <c r="C412" s="94">
        <v>606.20000000000005</v>
      </c>
      <c r="D412" s="94">
        <v>606.47</v>
      </c>
      <c r="E412" s="94">
        <v>7447134</v>
      </c>
      <c r="F412" s="94" t="s">
        <v>446</v>
      </c>
      <c r="G412" s="25">
        <f t="shared" ref="G412:G475" si="16">A412/D412-1</f>
        <v>1.8467525186736111E-3</v>
      </c>
      <c r="I412" s="94">
        <v>9.86</v>
      </c>
      <c r="J412" s="94">
        <v>10.11</v>
      </c>
      <c r="K412" s="94">
        <v>9.4849999999999994</v>
      </c>
      <c r="L412" s="94">
        <v>9.9700000000000006</v>
      </c>
      <c r="M412" s="94">
        <v>11048286</v>
      </c>
      <c r="N412" s="94" t="s">
        <v>446</v>
      </c>
      <c r="O412" s="25">
        <f t="shared" ref="O412:O475" si="17">I412/L412-1</f>
        <v>-1.1033099297893756E-2</v>
      </c>
    </row>
    <row r="413" spans="1:15">
      <c r="A413" s="94">
        <v>604.44000000000005</v>
      </c>
      <c r="B413" s="94">
        <v>605.98</v>
      </c>
      <c r="C413" s="94">
        <v>603.95000000000005</v>
      </c>
      <c r="D413" s="94">
        <v>604.59</v>
      </c>
      <c r="E413" s="94">
        <v>8108692</v>
      </c>
      <c r="F413" s="94" t="s">
        <v>447</v>
      </c>
      <c r="G413" s="25">
        <f t="shared" si="16"/>
        <v>-2.4810201955038913E-4</v>
      </c>
      <c r="I413" s="94">
        <v>9.7799999999999994</v>
      </c>
      <c r="J413" s="94">
        <v>9.7899999999999991</v>
      </c>
      <c r="K413" s="94">
        <v>9.39</v>
      </c>
      <c r="L413" s="94">
        <v>9.6199999999999992</v>
      </c>
      <c r="M413" s="94">
        <v>14910546</v>
      </c>
      <c r="N413" s="94" t="s">
        <v>447</v>
      </c>
      <c r="O413" s="25">
        <f t="shared" si="17"/>
        <v>1.6632016632016633E-2</v>
      </c>
    </row>
    <row r="414" spans="1:15">
      <c r="A414" s="94">
        <v>604.57000000000005</v>
      </c>
      <c r="B414" s="94">
        <v>605.23</v>
      </c>
      <c r="C414" s="94">
        <v>600.89</v>
      </c>
      <c r="D414" s="94">
        <v>601.42999999999995</v>
      </c>
      <c r="E414" s="94">
        <v>9086806</v>
      </c>
      <c r="F414" s="94" t="s">
        <v>448</v>
      </c>
      <c r="G414" s="25">
        <f t="shared" si="16"/>
        <v>5.2208902116623879E-3</v>
      </c>
      <c r="I414" s="94">
        <v>9.67</v>
      </c>
      <c r="J414" s="94">
        <v>10.08</v>
      </c>
      <c r="K414" s="94">
        <v>9.1300000000000008</v>
      </c>
      <c r="L414" s="94">
        <v>9.19</v>
      </c>
      <c r="M414" s="94">
        <v>26419566</v>
      </c>
      <c r="N414" s="94" t="s">
        <v>448</v>
      </c>
      <c r="O414" s="25">
        <f t="shared" si="17"/>
        <v>5.2230685527747678E-2</v>
      </c>
    </row>
    <row r="415" spans="1:15">
      <c r="A415" s="94">
        <v>599.67999999999995</v>
      </c>
      <c r="B415" s="94">
        <v>601.75</v>
      </c>
      <c r="C415" s="94">
        <v>598.16</v>
      </c>
      <c r="D415" s="94">
        <v>600.91999999999996</v>
      </c>
      <c r="E415" s="94">
        <v>21542357</v>
      </c>
      <c r="F415" s="94" t="s">
        <v>449</v>
      </c>
      <c r="G415" s="25">
        <f t="shared" si="16"/>
        <v>-2.0635026293017722E-3</v>
      </c>
      <c r="I415" s="94">
        <v>8.9700000000000006</v>
      </c>
      <c r="J415" s="94">
        <v>9.35</v>
      </c>
      <c r="K415" s="94">
        <v>8.5950000000000006</v>
      </c>
      <c r="L415" s="94">
        <v>9.1999999999999993</v>
      </c>
      <c r="M415" s="94">
        <v>32196915</v>
      </c>
      <c r="N415" s="94" t="s">
        <v>449</v>
      </c>
      <c r="O415" s="25">
        <f t="shared" si="17"/>
        <v>-2.49999999999998E-2</v>
      </c>
    </row>
    <row r="416" spans="1:15">
      <c r="A416" s="94">
        <v>597.95000000000005</v>
      </c>
      <c r="B416" s="94">
        <v>598.37</v>
      </c>
      <c r="C416" s="94">
        <v>595.01</v>
      </c>
      <c r="D416" s="94">
        <v>596.61</v>
      </c>
      <c r="E416" s="94">
        <v>7780114</v>
      </c>
      <c r="F416" s="94" t="s">
        <v>450</v>
      </c>
      <c r="G416" s="25">
        <f t="shared" si="16"/>
        <v>2.2460233653476269E-3</v>
      </c>
      <c r="I416" s="94">
        <v>9.02</v>
      </c>
      <c r="J416" s="94">
        <v>9.5549999999999997</v>
      </c>
      <c r="K416" s="94">
        <v>8.51</v>
      </c>
      <c r="L416" s="94">
        <v>8.64</v>
      </c>
      <c r="M416" s="94">
        <v>43198909</v>
      </c>
      <c r="N416" s="94" t="s">
        <v>450</v>
      </c>
      <c r="O416" s="25">
        <f t="shared" si="17"/>
        <v>4.3981481481481399E-2</v>
      </c>
    </row>
    <row r="417" spans="1:15">
      <c r="A417" s="94">
        <v>596.5</v>
      </c>
      <c r="B417" s="94">
        <v>597.41</v>
      </c>
      <c r="C417" s="94">
        <v>595.03</v>
      </c>
      <c r="D417" s="94">
        <v>596.30999999999995</v>
      </c>
      <c r="E417" s="94">
        <v>9448293</v>
      </c>
      <c r="F417" s="94" t="s">
        <v>451</v>
      </c>
      <c r="G417" s="25">
        <f t="shared" si="16"/>
        <v>3.1862621790690326E-4</v>
      </c>
      <c r="I417" s="94">
        <v>9.66</v>
      </c>
      <c r="J417" s="94">
        <v>9.7081</v>
      </c>
      <c r="K417" s="94">
        <v>7.29</v>
      </c>
      <c r="L417" s="94">
        <v>7.7050000000000001</v>
      </c>
      <c r="M417" s="94">
        <v>62463217</v>
      </c>
      <c r="N417" s="94" t="s">
        <v>451</v>
      </c>
      <c r="O417" s="25">
        <f t="shared" si="17"/>
        <v>0.25373134328358216</v>
      </c>
    </row>
    <row r="418" spans="1:15">
      <c r="A418" s="94">
        <v>594.96</v>
      </c>
      <c r="B418" s="94">
        <v>599.6</v>
      </c>
      <c r="C418" s="94">
        <v>591.45000000000005</v>
      </c>
      <c r="D418" s="94">
        <v>598.91</v>
      </c>
      <c r="E418" s="94">
        <v>6622130</v>
      </c>
      <c r="F418" s="94" t="s">
        <v>452</v>
      </c>
      <c r="G418" s="25">
        <f t="shared" si="16"/>
        <v>-6.5953148219264346E-3</v>
      </c>
      <c r="I418" s="94">
        <v>6.53</v>
      </c>
      <c r="J418" s="94">
        <v>6.65</v>
      </c>
      <c r="K418" s="94">
        <v>6.2549999999999999</v>
      </c>
      <c r="L418" s="94">
        <v>6.61</v>
      </c>
      <c r="M418" s="94">
        <v>8776948</v>
      </c>
      <c r="N418" s="94" t="s">
        <v>452</v>
      </c>
      <c r="O418" s="25">
        <f t="shared" si="17"/>
        <v>-1.2102874432677768E-2</v>
      </c>
    </row>
    <row r="419" spans="1:15">
      <c r="A419" s="94">
        <v>596.59</v>
      </c>
      <c r="B419" s="94">
        <v>596.77</v>
      </c>
      <c r="C419" s="94">
        <v>591.6</v>
      </c>
      <c r="D419" s="94">
        <v>592.47</v>
      </c>
      <c r="E419" s="94">
        <v>8012477</v>
      </c>
      <c r="F419" s="94" t="s">
        <v>453</v>
      </c>
      <c r="G419" s="25">
        <f t="shared" si="16"/>
        <v>6.9539385960470934E-3</v>
      </c>
      <c r="I419" s="94">
        <v>6.46</v>
      </c>
      <c r="J419" s="94">
        <v>6.55</v>
      </c>
      <c r="K419" s="94">
        <v>6.29</v>
      </c>
      <c r="L419" s="94">
        <v>6.55</v>
      </c>
      <c r="M419" s="94">
        <v>7107058</v>
      </c>
      <c r="N419" s="94" t="s">
        <v>453</v>
      </c>
      <c r="O419" s="25">
        <f t="shared" si="17"/>
        <v>-1.3740458015267132E-2</v>
      </c>
    </row>
    <row r="420" spans="1:15">
      <c r="A420" s="94">
        <v>591.72</v>
      </c>
      <c r="B420" s="94">
        <v>592.23</v>
      </c>
      <c r="C420" s="94">
        <v>588.78</v>
      </c>
      <c r="D420" s="94">
        <v>590.80999999999995</v>
      </c>
      <c r="E420" s="94">
        <v>6669875</v>
      </c>
      <c r="F420" s="94" t="s">
        <v>454</v>
      </c>
      <c r="G420" s="25">
        <f t="shared" si="16"/>
        <v>1.5402582894672445E-3</v>
      </c>
      <c r="I420" s="94">
        <v>6.44</v>
      </c>
      <c r="J420" s="94">
        <v>6.76</v>
      </c>
      <c r="K420" s="94">
        <v>6.43</v>
      </c>
      <c r="L420" s="94">
        <v>6.76</v>
      </c>
      <c r="M420" s="94">
        <v>6931243</v>
      </c>
      <c r="N420" s="94" t="s">
        <v>454</v>
      </c>
      <c r="O420" s="25">
        <f t="shared" si="17"/>
        <v>-4.7337278106508784E-2</v>
      </c>
    </row>
    <row r="421" spans="1:15">
      <c r="A421" s="94">
        <v>588.71</v>
      </c>
      <c r="B421" s="94">
        <v>588.79999999999995</v>
      </c>
      <c r="C421" s="94">
        <v>583.66999999999996</v>
      </c>
      <c r="D421" s="94">
        <v>586.05999999999995</v>
      </c>
      <c r="E421" s="94">
        <v>11063662</v>
      </c>
      <c r="F421" s="94" t="s">
        <v>455</v>
      </c>
      <c r="G421" s="25">
        <f t="shared" si="16"/>
        <v>4.5217213254618027E-3</v>
      </c>
      <c r="I421" s="94">
        <v>6.65</v>
      </c>
      <c r="J421" s="94">
        <v>6.79</v>
      </c>
      <c r="K421" s="94">
        <v>6.41</v>
      </c>
      <c r="L421" s="94">
        <v>6.76</v>
      </c>
      <c r="M421" s="94">
        <v>9883685</v>
      </c>
      <c r="N421" s="94" t="s">
        <v>455</v>
      </c>
      <c r="O421" s="25">
        <f t="shared" si="17"/>
        <v>-1.6272189349112343E-2</v>
      </c>
    </row>
    <row r="422" spans="1:15">
      <c r="A422" s="94">
        <v>593.08000000000004</v>
      </c>
      <c r="B422" s="94">
        <v>595.54999999999995</v>
      </c>
      <c r="C422" s="94">
        <v>591.245</v>
      </c>
      <c r="D422" s="94">
        <v>595.24</v>
      </c>
      <c r="E422" s="94">
        <v>7480746</v>
      </c>
      <c r="F422" s="94" t="s">
        <v>456</v>
      </c>
      <c r="G422" s="25">
        <f t="shared" si="16"/>
        <v>-3.6287883878770577E-3</v>
      </c>
      <c r="I422" s="94">
        <v>7.09</v>
      </c>
      <c r="J422" s="94">
        <v>7.1616</v>
      </c>
      <c r="K422" s="94">
        <v>6.7927999999999997</v>
      </c>
      <c r="L422" s="94">
        <v>7.14</v>
      </c>
      <c r="M422" s="94">
        <v>6397855</v>
      </c>
      <c r="N422" s="94" t="s">
        <v>456</v>
      </c>
      <c r="O422" s="25">
        <f t="shared" si="17"/>
        <v>-7.0028011204481544E-3</v>
      </c>
    </row>
    <row r="423" spans="1:15">
      <c r="A423" s="94">
        <v>596.52</v>
      </c>
      <c r="B423" s="94">
        <v>597.07000000000005</v>
      </c>
      <c r="C423" s="94">
        <v>593.27</v>
      </c>
      <c r="D423" s="94">
        <v>595.07000000000005</v>
      </c>
      <c r="E423" s="94">
        <v>5037983</v>
      </c>
      <c r="F423" s="94" t="s">
        <v>457</v>
      </c>
      <c r="G423" s="25">
        <f t="shared" si="16"/>
        <v>2.4366881207251723E-3</v>
      </c>
      <c r="I423" s="94">
        <v>7.21</v>
      </c>
      <c r="J423" s="94">
        <v>7.38</v>
      </c>
      <c r="K423" s="94">
        <v>6.96</v>
      </c>
      <c r="L423" s="94">
        <v>7.12</v>
      </c>
      <c r="M423" s="94">
        <v>7695018</v>
      </c>
      <c r="N423" s="94" t="s">
        <v>457</v>
      </c>
      <c r="O423" s="25">
        <f t="shared" si="17"/>
        <v>1.2640449438202195E-2</v>
      </c>
    </row>
    <row r="424" spans="1:15">
      <c r="A424" s="94">
        <v>594.41999999999996</v>
      </c>
      <c r="B424" s="94">
        <v>595.14</v>
      </c>
      <c r="C424" s="94">
        <v>592.44000000000005</v>
      </c>
      <c r="D424" s="94">
        <v>592.52</v>
      </c>
      <c r="E424" s="94">
        <v>6089564</v>
      </c>
      <c r="F424" s="94" t="s">
        <v>458</v>
      </c>
      <c r="G424" s="25">
        <f t="shared" si="16"/>
        <v>3.20664281374472E-3</v>
      </c>
      <c r="I424" s="94">
        <v>7.08</v>
      </c>
      <c r="J424" s="94">
        <v>7.1349999999999998</v>
      </c>
      <c r="K424" s="94">
        <v>6.85</v>
      </c>
      <c r="L424" s="94">
        <v>6.98</v>
      </c>
      <c r="M424" s="94">
        <v>5333411</v>
      </c>
      <c r="N424" s="94" t="s">
        <v>458</v>
      </c>
      <c r="O424" s="25">
        <f t="shared" si="17"/>
        <v>1.4326647564469885E-2</v>
      </c>
    </row>
    <row r="425" spans="1:15">
      <c r="A425" s="94">
        <v>593.05999999999995</v>
      </c>
      <c r="B425" s="94">
        <v>593.42999999999995</v>
      </c>
      <c r="C425" s="94">
        <v>589.79499999999996</v>
      </c>
      <c r="D425" s="94">
        <v>590.38</v>
      </c>
      <c r="E425" s="94">
        <v>4746851</v>
      </c>
      <c r="F425" s="94" t="s">
        <v>459</v>
      </c>
      <c r="G425" s="25">
        <f t="shared" si="16"/>
        <v>4.5394491683321547E-3</v>
      </c>
      <c r="I425" s="94">
        <v>6.98</v>
      </c>
      <c r="J425" s="94">
        <v>7.24</v>
      </c>
      <c r="K425" s="94">
        <v>6.9522000000000004</v>
      </c>
      <c r="L425" s="94">
        <v>7.03</v>
      </c>
      <c r="M425" s="94">
        <v>5577387</v>
      </c>
      <c r="N425" s="94" t="s">
        <v>459</v>
      </c>
      <c r="O425" s="25">
        <f t="shared" si="17"/>
        <v>-7.1123755334281391E-3</v>
      </c>
    </row>
    <row r="426" spans="1:15">
      <c r="A426" s="94">
        <v>590.70000000000005</v>
      </c>
      <c r="B426" s="94">
        <v>593.22990000000004</v>
      </c>
      <c r="C426" s="94">
        <v>590.54999999999995</v>
      </c>
      <c r="D426" s="94">
        <v>592.04999999999995</v>
      </c>
      <c r="E426" s="94">
        <v>6483035</v>
      </c>
      <c r="F426" s="94" t="s">
        <v>460</v>
      </c>
      <c r="G426" s="25">
        <f t="shared" si="16"/>
        <v>-2.2802128198630145E-3</v>
      </c>
      <c r="I426" s="94">
        <v>7.06</v>
      </c>
      <c r="J426" s="94">
        <v>7.21</v>
      </c>
      <c r="K426" s="94">
        <v>6.73</v>
      </c>
      <c r="L426" s="94">
        <v>6.78</v>
      </c>
      <c r="M426" s="94">
        <v>9365260</v>
      </c>
      <c r="N426" s="94" t="s">
        <v>460</v>
      </c>
      <c r="O426" s="25">
        <f t="shared" si="17"/>
        <v>4.1297935103244754E-2</v>
      </c>
    </row>
    <row r="427" spans="1:15">
      <c r="A427" s="94">
        <v>593.21</v>
      </c>
      <c r="B427" s="94">
        <v>594.32000000000005</v>
      </c>
      <c r="C427" s="94">
        <v>585.84</v>
      </c>
      <c r="D427" s="94">
        <v>586.27</v>
      </c>
      <c r="E427" s="94">
        <v>6368542</v>
      </c>
      <c r="F427" s="94" t="s">
        <v>461</v>
      </c>
      <c r="G427" s="25">
        <f t="shared" si="16"/>
        <v>1.1837549252051272E-2</v>
      </c>
      <c r="I427" s="94">
        <v>6.8</v>
      </c>
      <c r="J427" s="94">
        <v>6.84</v>
      </c>
      <c r="K427" s="94">
        <v>6.37</v>
      </c>
      <c r="L427" s="94">
        <v>6.49</v>
      </c>
      <c r="M427" s="94">
        <v>5192786</v>
      </c>
      <c r="N427" s="94" t="s">
        <v>461</v>
      </c>
      <c r="O427" s="25">
        <f t="shared" si="17"/>
        <v>4.7765793528505407E-2</v>
      </c>
    </row>
    <row r="428" spans="1:15">
      <c r="A428" s="94">
        <v>584.27</v>
      </c>
      <c r="B428" s="94">
        <v>586.46</v>
      </c>
      <c r="C428" s="94">
        <v>582.65</v>
      </c>
      <c r="D428" s="94">
        <v>584.92999999999995</v>
      </c>
      <c r="E428" s="94">
        <v>4807277</v>
      </c>
      <c r="F428" s="94" t="s">
        <v>462</v>
      </c>
      <c r="G428" s="25">
        <f t="shared" si="16"/>
        <v>-1.1283401432649054E-3</v>
      </c>
      <c r="I428" s="94">
        <v>6.48</v>
      </c>
      <c r="J428" s="94">
        <v>6.48</v>
      </c>
      <c r="K428" s="94">
        <v>6.3417000000000003</v>
      </c>
      <c r="L428" s="94">
        <v>6.35</v>
      </c>
      <c r="M428" s="94">
        <v>3640587</v>
      </c>
      <c r="N428" s="94" t="s">
        <v>462</v>
      </c>
      <c r="O428" s="25">
        <f t="shared" si="17"/>
        <v>2.0472440944881987E-2</v>
      </c>
    </row>
    <row r="429" spans="1:15">
      <c r="A429" s="94">
        <v>586.58000000000004</v>
      </c>
      <c r="B429" s="94">
        <v>588</v>
      </c>
      <c r="C429" s="94">
        <v>581.85</v>
      </c>
      <c r="D429" s="94">
        <v>587.80999999999995</v>
      </c>
      <c r="E429" s="94">
        <v>7054266</v>
      </c>
      <c r="F429" s="94" t="s">
        <v>463</v>
      </c>
      <c r="G429" s="25">
        <f t="shared" si="16"/>
        <v>-2.0925128868169995E-3</v>
      </c>
      <c r="I429" s="94">
        <v>6.43</v>
      </c>
      <c r="J429" s="94">
        <v>6.44</v>
      </c>
      <c r="K429" s="94">
        <v>6.1</v>
      </c>
      <c r="L429" s="94">
        <v>6.34</v>
      </c>
      <c r="M429" s="94">
        <v>4628605</v>
      </c>
      <c r="N429" s="94" t="s">
        <v>463</v>
      </c>
      <c r="O429" s="25">
        <f t="shared" si="17"/>
        <v>1.4195583596214423E-2</v>
      </c>
    </row>
    <row r="430" spans="1:15">
      <c r="A430" s="94">
        <v>588.13</v>
      </c>
      <c r="B430" s="94">
        <v>592.12</v>
      </c>
      <c r="C430" s="94">
        <v>586.94000000000005</v>
      </c>
      <c r="D430" s="94">
        <v>591.25</v>
      </c>
      <c r="E430" s="94">
        <v>6689596</v>
      </c>
      <c r="F430" s="94" t="s">
        <v>464</v>
      </c>
      <c r="G430" s="25">
        <f t="shared" si="16"/>
        <v>-5.2769556025370479E-3</v>
      </c>
      <c r="I430" s="94">
        <v>6.38</v>
      </c>
      <c r="J430" s="94">
        <v>6.8</v>
      </c>
      <c r="K430" s="94">
        <v>6.3742000000000001</v>
      </c>
      <c r="L430" s="94">
        <v>6.77</v>
      </c>
      <c r="M430" s="94">
        <v>5797232</v>
      </c>
      <c r="N430" s="94" t="s">
        <v>464</v>
      </c>
      <c r="O430" s="25">
        <f t="shared" si="17"/>
        <v>-5.7607090103397263E-2</v>
      </c>
    </row>
    <row r="431" spans="1:15">
      <c r="A431" s="94">
        <v>591.36</v>
      </c>
      <c r="B431" s="94">
        <v>592.02</v>
      </c>
      <c r="C431" s="94">
        <v>590.35</v>
      </c>
      <c r="D431" s="94">
        <v>590.98</v>
      </c>
      <c r="E431" s="94">
        <v>5311743</v>
      </c>
      <c r="F431" s="94" t="s">
        <v>465</v>
      </c>
      <c r="G431" s="25">
        <f t="shared" si="16"/>
        <v>6.4299976310544515E-4</v>
      </c>
      <c r="I431" s="94">
        <v>6.84</v>
      </c>
      <c r="J431" s="94">
        <v>7.03</v>
      </c>
      <c r="K431" s="94">
        <v>6.64</v>
      </c>
      <c r="L431" s="94">
        <v>6.8</v>
      </c>
      <c r="M431" s="94">
        <v>5669599</v>
      </c>
      <c r="N431" s="94" t="s">
        <v>465</v>
      </c>
      <c r="O431" s="25">
        <f t="shared" si="17"/>
        <v>5.8823529411764497E-3</v>
      </c>
    </row>
    <row r="432" spans="1:15">
      <c r="A432" s="94">
        <v>591.57000000000005</v>
      </c>
      <c r="B432" s="94">
        <v>593.95000000000005</v>
      </c>
      <c r="C432" s="94">
        <v>590.66</v>
      </c>
      <c r="D432" s="94">
        <v>593.86</v>
      </c>
      <c r="E432" s="94">
        <v>7196315</v>
      </c>
      <c r="F432" s="94" t="s">
        <v>466</v>
      </c>
      <c r="G432" s="25">
        <f t="shared" si="16"/>
        <v>-3.8561277068668298E-3</v>
      </c>
      <c r="I432" s="94">
        <v>6.78</v>
      </c>
      <c r="J432" s="94">
        <v>6.8550000000000004</v>
      </c>
      <c r="K432" s="94">
        <v>6.52</v>
      </c>
      <c r="L432" s="94">
        <v>6.84</v>
      </c>
      <c r="M432" s="94">
        <v>5268042</v>
      </c>
      <c r="N432" s="94" t="s">
        <v>466</v>
      </c>
      <c r="O432" s="25">
        <f t="shared" si="17"/>
        <v>-8.7719298245613198E-3</v>
      </c>
    </row>
    <row r="433" spans="1:15">
      <c r="A433" s="94">
        <v>592.85</v>
      </c>
      <c r="B433" s="94">
        <v>593.51</v>
      </c>
      <c r="C433" s="94">
        <v>590.5</v>
      </c>
      <c r="D433" s="94">
        <v>590.91999999999996</v>
      </c>
      <c r="E433" s="94">
        <v>6236666</v>
      </c>
      <c r="F433" s="94" t="s">
        <v>467</v>
      </c>
      <c r="G433" s="25">
        <f t="shared" si="16"/>
        <v>3.2660935490422816E-3</v>
      </c>
      <c r="I433" s="94">
        <v>6.82</v>
      </c>
      <c r="J433" s="94">
        <v>6.98</v>
      </c>
      <c r="K433" s="94">
        <v>6.5</v>
      </c>
      <c r="L433" s="94">
        <v>6.6</v>
      </c>
      <c r="M433" s="94">
        <v>6072433</v>
      </c>
      <c r="N433" s="94" t="s">
        <v>467</v>
      </c>
      <c r="O433" s="25">
        <f t="shared" si="17"/>
        <v>3.3333333333333437E-2</v>
      </c>
    </row>
    <row r="434" spans="1:15">
      <c r="A434" s="94">
        <v>592.84</v>
      </c>
      <c r="B434" s="94">
        <v>594.03</v>
      </c>
      <c r="C434" s="94">
        <v>590.80999999999995</v>
      </c>
      <c r="D434" s="94">
        <v>592.86</v>
      </c>
      <c r="E434" s="94">
        <v>5392973</v>
      </c>
      <c r="F434" s="94" t="s">
        <v>468</v>
      </c>
      <c r="G434" s="25">
        <f t="shared" si="16"/>
        <v>-3.3734777181715359E-5</v>
      </c>
      <c r="I434" s="94">
        <v>6.74</v>
      </c>
      <c r="J434" s="94">
        <v>6.88</v>
      </c>
      <c r="K434" s="94">
        <v>6.5</v>
      </c>
      <c r="L434" s="94">
        <v>6.8</v>
      </c>
      <c r="M434" s="94">
        <v>5946312</v>
      </c>
      <c r="N434" s="94" t="s">
        <v>468</v>
      </c>
      <c r="O434" s="25">
        <f t="shared" si="17"/>
        <v>-8.8235294117646745E-3</v>
      </c>
    </row>
    <row r="435" spans="1:15">
      <c r="A435" s="94">
        <v>590.78</v>
      </c>
      <c r="B435" s="94">
        <v>590.96</v>
      </c>
      <c r="C435" s="94">
        <v>585.43499999999995</v>
      </c>
      <c r="D435" s="94">
        <v>586.75</v>
      </c>
      <c r="E435" s="94">
        <v>5874245</v>
      </c>
      <c r="F435" s="94" t="s">
        <v>469</v>
      </c>
      <c r="G435" s="25">
        <f t="shared" si="16"/>
        <v>6.8683425649764818E-3</v>
      </c>
      <c r="I435" s="94">
        <v>6.65</v>
      </c>
      <c r="J435" s="94">
        <v>6.7</v>
      </c>
      <c r="K435" s="94">
        <v>6.35</v>
      </c>
      <c r="L435" s="94">
        <v>6.43</v>
      </c>
      <c r="M435" s="94">
        <v>5588460</v>
      </c>
      <c r="N435" s="94" t="s">
        <v>469</v>
      </c>
      <c r="O435" s="25">
        <f t="shared" si="17"/>
        <v>3.4214618973561484E-2</v>
      </c>
    </row>
    <row r="436" spans="1:15">
      <c r="A436" s="94">
        <v>584.54</v>
      </c>
      <c r="B436" s="94">
        <v>587.36</v>
      </c>
      <c r="C436" s="94">
        <v>583.44000000000005</v>
      </c>
      <c r="D436" s="94">
        <v>586.03</v>
      </c>
      <c r="E436" s="94">
        <v>5373949</v>
      </c>
      <c r="F436" s="94" t="s">
        <v>470</v>
      </c>
      <c r="G436" s="25">
        <f t="shared" si="16"/>
        <v>-2.542531952289151E-3</v>
      </c>
      <c r="I436" s="94">
        <v>6.42</v>
      </c>
      <c r="J436" s="94">
        <v>6.54</v>
      </c>
      <c r="K436" s="94">
        <v>6.27</v>
      </c>
      <c r="L436" s="94">
        <v>6.3550000000000004</v>
      </c>
      <c r="M436" s="94">
        <v>4692769</v>
      </c>
      <c r="N436" s="94" t="s">
        <v>470</v>
      </c>
      <c r="O436" s="25">
        <f t="shared" si="17"/>
        <v>1.0228166797797034E-2</v>
      </c>
    </row>
    <row r="437" spans="1:15">
      <c r="A437" s="94">
        <v>585.74</v>
      </c>
      <c r="B437" s="94">
        <v>586.16999999999996</v>
      </c>
      <c r="C437" s="94">
        <v>582.6</v>
      </c>
      <c r="D437" s="94">
        <v>582.92999999999995</v>
      </c>
      <c r="E437" s="94">
        <v>4342341</v>
      </c>
      <c r="F437" s="94" t="s">
        <v>471</v>
      </c>
      <c r="G437" s="25">
        <f t="shared" si="16"/>
        <v>4.8204758718886076E-3</v>
      </c>
      <c r="I437" s="94">
        <v>6.4</v>
      </c>
      <c r="J437" s="94">
        <v>6.56</v>
      </c>
      <c r="K437" s="94">
        <v>6.27</v>
      </c>
      <c r="L437" s="94">
        <v>6.37</v>
      </c>
      <c r="M437" s="94">
        <v>6790172</v>
      </c>
      <c r="N437" s="94" t="s">
        <v>471</v>
      </c>
      <c r="O437" s="25">
        <f t="shared" si="17"/>
        <v>4.7095761381477086E-3</v>
      </c>
    </row>
    <row r="438" spans="1:15">
      <c r="A438" s="94">
        <v>581.29</v>
      </c>
      <c r="B438" s="94">
        <v>585.52</v>
      </c>
      <c r="C438" s="94">
        <v>578.31269999999995</v>
      </c>
      <c r="D438" s="94">
        <v>584.87</v>
      </c>
      <c r="E438" s="94">
        <v>4594260</v>
      </c>
      <c r="F438" s="94" t="s">
        <v>472</v>
      </c>
      <c r="G438" s="25">
        <f t="shared" si="16"/>
        <v>-6.1210183459572409E-3</v>
      </c>
      <c r="I438" s="94">
        <v>6.27</v>
      </c>
      <c r="J438" s="94">
        <v>6.48</v>
      </c>
      <c r="K438" s="94">
        <v>6.1550000000000002</v>
      </c>
      <c r="L438" s="94">
        <v>6.34</v>
      </c>
      <c r="M438" s="94">
        <v>4402194</v>
      </c>
      <c r="N438" s="94" t="s">
        <v>472</v>
      </c>
      <c r="O438" s="25">
        <f t="shared" si="17"/>
        <v>-1.104100946372244E-2</v>
      </c>
    </row>
    <row r="439" spans="1:15">
      <c r="A439" s="94">
        <v>581.64</v>
      </c>
      <c r="B439" s="94">
        <v>582.27</v>
      </c>
      <c r="C439" s="94">
        <v>577.41</v>
      </c>
      <c r="D439" s="94">
        <v>578.25</v>
      </c>
      <c r="E439" s="94">
        <v>4545015</v>
      </c>
      <c r="F439" s="94" t="s">
        <v>473</v>
      </c>
      <c r="G439" s="25">
        <f t="shared" si="16"/>
        <v>5.8625162127108332E-3</v>
      </c>
      <c r="I439" s="94">
        <v>6.32</v>
      </c>
      <c r="J439" s="94">
        <v>6.4249999999999998</v>
      </c>
      <c r="K439" s="94">
        <v>6.27</v>
      </c>
      <c r="L439" s="94">
        <v>6.38</v>
      </c>
      <c r="M439" s="94">
        <v>2914617</v>
      </c>
      <c r="N439" s="94" t="s">
        <v>473</v>
      </c>
      <c r="O439" s="25">
        <f t="shared" si="17"/>
        <v>-9.4043887147334804E-3</v>
      </c>
    </row>
    <row r="440" spans="1:15">
      <c r="A440" s="94">
        <v>577.35</v>
      </c>
      <c r="B440" s="94">
        <v>581.5</v>
      </c>
      <c r="C440" s="94">
        <v>576.4</v>
      </c>
      <c r="D440" s="94">
        <v>580.79</v>
      </c>
      <c r="E440" s="94">
        <v>4647381</v>
      </c>
      <c r="F440" s="94" t="s">
        <v>474</v>
      </c>
      <c r="G440" s="25">
        <f t="shared" si="16"/>
        <v>-5.9229669932332474E-3</v>
      </c>
      <c r="I440" s="94">
        <v>6.39</v>
      </c>
      <c r="J440" s="94">
        <v>6.7350000000000003</v>
      </c>
      <c r="K440" s="94">
        <v>6.29</v>
      </c>
      <c r="L440" s="94">
        <v>6.64</v>
      </c>
      <c r="M440" s="94">
        <v>5000345</v>
      </c>
      <c r="N440" s="94" t="s">
        <v>474</v>
      </c>
      <c r="O440" s="25">
        <f t="shared" si="17"/>
        <v>-3.7650602409638578E-2</v>
      </c>
    </row>
    <row r="441" spans="1:15">
      <c r="A441" s="94">
        <v>580.14</v>
      </c>
      <c r="B441" s="94">
        <v>580.21</v>
      </c>
      <c r="C441" s="94">
        <v>575.08000000000004</v>
      </c>
      <c r="D441" s="94">
        <v>575.16999999999996</v>
      </c>
      <c r="E441" s="94">
        <v>6640089</v>
      </c>
      <c r="F441" s="94" t="s">
        <v>475</v>
      </c>
      <c r="G441" s="25">
        <f t="shared" si="16"/>
        <v>8.6409235530364725E-3</v>
      </c>
      <c r="I441" s="94">
        <v>6.54</v>
      </c>
      <c r="J441" s="94">
        <v>6.57</v>
      </c>
      <c r="K441" s="94">
        <v>6.24</v>
      </c>
      <c r="L441" s="94">
        <v>6.25</v>
      </c>
      <c r="M441" s="94">
        <v>5447075</v>
      </c>
      <c r="N441" s="94" t="s">
        <v>475</v>
      </c>
      <c r="O441" s="25">
        <f t="shared" si="17"/>
        <v>4.6399999999999997E-2</v>
      </c>
    </row>
    <row r="442" spans="1:15">
      <c r="A442" s="94">
        <v>571.45000000000005</v>
      </c>
      <c r="B442" s="94">
        <v>575.74</v>
      </c>
      <c r="C442" s="94">
        <v>569.29</v>
      </c>
      <c r="D442" s="94">
        <v>575.73</v>
      </c>
      <c r="E442" s="94">
        <v>8781254</v>
      </c>
      <c r="F442" s="94" t="s">
        <v>476</v>
      </c>
      <c r="G442" s="25">
        <f t="shared" si="16"/>
        <v>-7.4340402619282875E-3</v>
      </c>
      <c r="I442" s="94">
        <v>6.18</v>
      </c>
      <c r="J442" s="94">
        <v>6.31</v>
      </c>
      <c r="K442" s="94">
        <v>5.87</v>
      </c>
      <c r="L442" s="94">
        <v>6</v>
      </c>
      <c r="M442" s="94">
        <v>6299549</v>
      </c>
      <c r="N442" s="94" t="s">
        <v>476</v>
      </c>
      <c r="O442" s="25">
        <f t="shared" si="17"/>
        <v>3.0000000000000027E-2</v>
      </c>
    </row>
    <row r="443" spans="1:15">
      <c r="A443" s="94">
        <v>581.02</v>
      </c>
      <c r="B443" s="94">
        <v>588.16139999999996</v>
      </c>
      <c r="C443" s="94">
        <v>579.84</v>
      </c>
      <c r="D443" s="94">
        <v>587.83000000000004</v>
      </c>
      <c r="E443" s="94">
        <v>7046843</v>
      </c>
      <c r="F443" s="94" t="s">
        <v>477</v>
      </c>
      <c r="G443" s="25">
        <f t="shared" si="16"/>
        <v>-1.1584982052634363E-2</v>
      </c>
      <c r="I443" s="94">
        <v>6.25</v>
      </c>
      <c r="J443" s="94">
        <v>6.51</v>
      </c>
      <c r="K443" s="94">
        <v>6.18</v>
      </c>
      <c r="L443" s="94">
        <v>6.32</v>
      </c>
      <c r="M443" s="94">
        <v>4271412</v>
      </c>
      <c r="N443" s="94" t="s">
        <v>477</v>
      </c>
      <c r="O443" s="25">
        <f t="shared" si="17"/>
        <v>-1.1075949367088667E-2</v>
      </c>
    </row>
    <row r="444" spans="1:15">
      <c r="A444" s="94">
        <v>583.21</v>
      </c>
      <c r="B444" s="94">
        <v>586.15</v>
      </c>
      <c r="C444" s="94">
        <v>580.54999999999995</v>
      </c>
      <c r="D444" s="94">
        <v>584.66</v>
      </c>
      <c r="E444" s="94">
        <v>6974729</v>
      </c>
      <c r="F444" s="94" t="s">
        <v>478</v>
      </c>
      <c r="G444" s="25">
        <f t="shared" si="16"/>
        <v>-2.4800738890977669E-3</v>
      </c>
      <c r="I444" s="94">
        <v>6.28</v>
      </c>
      <c r="J444" s="94">
        <v>6.41</v>
      </c>
      <c r="K444" s="94">
        <v>6.17</v>
      </c>
      <c r="L444" s="94">
        <v>6.25</v>
      </c>
      <c r="M444" s="94">
        <v>4932974</v>
      </c>
      <c r="N444" s="94" t="s">
        <v>478</v>
      </c>
      <c r="O444" s="25">
        <f t="shared" si="17"/>
        <v>4.8000000000001375E-3</v>
      </c>
    </row>
    <row r="445" spans="1:15">
      <c r="A445" s="94">
        <v>583.91999999999996</v>
      </c>
      <c r="B445" s="94">
        <v>587.08000000000004</v>
      </c>
      <c r="C445" s="94">
        <v>583.12</v>
      </c>
      <c r="D445" s="94">
        <v>586.82000000000005</v>
      </c>
      <c r="E445" s="94">
        <v>5033308</v>
      </c>
      <c r="F445" s="94" t="s">
        <v>479</v>
      </c>
      <c r="G445" s="25">
        <f t="shared" si="16"/>
        <v>-4.9418901877920085E-3</v>
      </c>
      <c r="I445" s="94">
        <v>6.19</v>
      </c>
      <c r="J445" s="94">
        <v>6.5149999999999997</v>
      </c>
      <c r="K445" s="94">
        <v>6.05</v>
      </c>
      <c r="L445" s="94">
        <v>6.47</v>
      </c>
      <c r="M445" s="94">
        <v>5009127</v>
      </c>
      <c r="N445" s="94" t="s">
        <v>479</v>
      </c>
      <c r="O445" s="25">
        <f t="shared" si="17"/>
        <v>-4.3276661514683012E-2</v>
      </c>
    </row>
    <row r="446" spans="1:15">
      <c r="A446" s="94">
        <v>585.44000000000005</v>
      </c>
      <c r="B446" s="94">
        <v>586.5</v>
      </c>
      <c r="C446" s="94">
        <v>584.24</v>
      </c>
      <c r="D446" s="94">
        <v>586.04</v>
      </c>
      <c r="E446" s="94">
        <v>4169858</v>
      </c>
      <c r="F446" s="94" t="s">
        <v>480</v>
      </c>
      <c r="G446" s="25">
        <f t="shared" si="16"/>
        <v>-1.0238208995971831E-3</v>
      </c>
      <c r="I446" s="94">
        <v>6.36</v>
      </c>
      <c r="J446" s="94">
        <v>6.69</v>
      </c>
      <c r="K446" s="94">
        <v>6.32</v>
      </c>
      <c r="L446" s="94">
        <v>6.67</v>
      </c>
      <c r="M446" s="94">
        <v>5507412</v>
      </c>
      <c r="N446" s="94" t="s">
        <v>480</v>
      </c>
      <c r="O446" s="25">
        <f t="shared" si="17"/>
        <v>-4.6476761619190343E-2</v>
      </c>
    </row>
    <row r="447" spans="1:15">
      <c r="A447" s="94">
        <v>585.58000000000004</v>
      </c>
      <c r="B447" s="94">
        <v>586.04</v>
      </c>
      <c r="C447" s="94">
        <v>583.59</v>
      </c>
      <c r="D447" s="94">
        <v>583.80999999999995</v>
      </c>
      <c r="E447" s="94">
        <v>3189061</v>
      </c>
      <c r="F447" s="94" t="s">
        <v>481</v>
      </c>
      <c r="G447" s="25">
        <f t="shared" si="16"/>
        <v>3.0318082937943469E-3</v>
      </c>
      <c r="I447" s="94">
        <v>6.65</v>
      </c>
      <c r="J447" s="94">
        <v>7.16</v>
      </c>
      <c r="K447" s="94">
        <v>6.61</v>
      </c>
      <c r="L447" s="94">
        <v>6.93</v>
      </c>
      <c r="M447" s="94">
        <v>5438889</v>
      </c>
      <c r="N447" s="94" t="s">
        <v>481</v>
      </c>
      <c r="O447" s="25">
        <f t="shared" si="17"/>
        <v>-4.0404040404040331E-2</v>
      </c>
    </row>
    <row r="448" spans="1:15">
      <c r="A448" s="94">
        <v>583.26</v>
      </c>
      <c r="B448" s="94">
        <v>584.75</v>
      </c>
      <c r="C448" s="94">
        <v>582.72</v>
      </c>
      <c r="D448" s="94">
        <v>583.34</v>
      </c>
      <c r="E448" s="94">
        <v>3840901</v>
      </c>
      <c r="F448" s="94" t="s">
        <v>482</v>
      </c>
      <c r="G448" s="25">
        <f t="shared" si="16"/>
        <v>-1.3714128981390239E-4</v>
      </c>
      <c r="I448" s="94">
        <v>6.84</v>
      </c>
      <c r="J448" s="94">
        <v>6.97</v>
      </c>
      <c r="K448" s="94">
        <v>6.7149999999999999</v>
      </c>
      <c r="L448" s="94">
        <v>6.86</v>
      </c>
      <c r="M448" s="94">
        <v>4577668</v>
      </c>
      <c r="N448" s="94" t="s">
        <v>482</v>
      </c>
      <c r="O448" s="25">
        <f t="shared" si="17"/>
        <v>-2.9154518950438302E-3</v>
      </c>
    </row>
    <row r="449" spans="1:15">
      <c r="A449" s="94">
        <v>582.86</v>
      </c>
      <c r="B449" s="94">
        <v>582.96</v>
      </c>
      <c r="C449" s="94">
        <v>578.87</v>
      </c>
      <c r="D449" s="94">
        <v>580.57000000000005</v>
      </c>
      <c r="E449" s="94">
        <v>4257345</v>
      </c>
      <c r="F449" s="94" t="s">
        <v>483</v>
      </c>
      <c r="G449" s="25">
        <f t="shared" si="16"/>
        <v>3.9443994694867701E-3</v>
      </c>
      <c r="I449" s="94">
        <v>6.86</v>
      </c>
      <c r="J449" s="94">
        <v>6.87</v>
      </c>
      <c r="K449" s="94">
        <v>6.56</v>
      </c>
      <c r="L449" s="94">
        <v>6.59</v>
      </c>
      <c r="M449" s="94">
        <v>6929884</v>
      </c>
      <c r="N449" s="94" t="s">
        <v>483</v>
      </c>
      <c r="O449" s="25">
        <f t="shared" si="17"/>
        <v>4.0971168437025973E-2</v>
      </c>
    </row>
    <row r="450" spans="1:15">
      <c r="A450" s="94">
        <v>577.95000000000005</v>
      </c>
      <c r="B450" s="94">
        <v>578.84</v>
      </c>
      <c r="C450" s="94">
        <v>575.64</v>
      </c>
      <c r="D450" s="94">
        <v>578.28</v>
      </c>
      <c r="E450" s="94">
        <v>4743679</v>
      </c>
      <c r="F450" s="94" t="s">
        <v>484</v>
      </c>
      <c r="G450" s="25">
        <f t="shared" si="16"/>
        <v>-5.7065781282406025E-4</v>
      </c>
      <c r="I450" s="94">
        <v>6.6</v>
      </c>
      <c r="J450" s="94">
        <v>6.9749999999999996</v>
      </c>
      <c r="K450" s="94">
        <v>6.4649999999999999</v>
      </c>
      <c r="L450" s="94">
        <v>6.9749999999999996</v>
      </c>
      <c r="M450" s="94">
        <v>8508550</v>
      </c>
      <c r="N450" s="94" t="s">
        <v>484</v>
      </c>
      <c r="O450" s="25">
        <f t="shared" si="17"/>
        <v>-5.3763440860215006E-2</v>
      </c>
    </row>
    <row r="451" spans="1:15">
      <c r="A451" s="94">
        <v>577.95000000000005</v>
      </c>
      <c r="B451" s="94">
        <v>580.53</v>
      </c>
      <c r="C451" s="94">
        <v>577.59</v>
      </c>
      <c r="D451" s="94">
        <v>577.98</v>
      </c>
      <c r="E451" s="94">
        <v>5892207</v>
      </c>
      <c r="F451" s="94" t="s">
        <v>485</v>
      </c>
      <c r="G451" s="25">
        <f t="shared" si="16"/>
        <v>-5.1904910204458865E-5</v>
      </c>
      <c r="I451" s="94">
        <v>7.03</v>
      </c>
      <c r="J451" s="94">
        <v>7.25</v>
      </c>
      <c r="K451" s="94">
        <v>6.84</v>
      </c>
      <c r="L451" s="94">
        <v>7</v>
      </c>
      <c r="M451" s="94">
        <v>14511323</v>
      </c>
      <c r="N451" s="94" t="s">
        <v>485</v>
      </c>
      <c r="O451" s="25">
        <f t="shared" si="17"/>
        <v>4.2857142857142261E-3</v>
      </c>
    </row>
    <row r="452" spans="1:15">
      <c r="A452" s="94">
        <v>576.91999999999996</v>
      </c>
      <c r="B452" s="94">
        <v>578.5</v>
      </c>
      <c r="C452" s="94">
        <v>575.84</v>
      </c>
      <c r="D452" s="94">
        <v>578.47</v>
      </c>
      <c r="E452" s="94">
        <v>4244147</v>
      </c>
      <c r="F452" s="94" t="s">
        <v>486</v>
      </c>
      <c r="G452" s="25">
        <f t="shared" si="16"/>
        <v>-2.6794820820441601E-3</v>
      </c>
      <c r="I452" s="94">
        <v>6.79</v>
      </c>
      <c r="J452" s="94">
        <v>6.8</v>
      </c>
      <c r="K452" s="94">
        <v>6.47</v>
      </c>
      <c r="L452" s="94">
        <v>6.63</v>
      </c>
      <c r="M452" s="94">
        <v>7606007</v>
      </c>
      <c r="N452" s="94" t="s">
        <v>486</v>
      </c>
      <c r="O452" s="25">
        <f t="shared" si="17"/>
        <v>2.4132730015082871E-2</v>
      </c>
    </row>
    <row r="453" spans="1:15">
      <c r="A453" s="94">
        <v>577.17999999999995</v>
      </c>
      <c r="B453" s="94">
        <v>577.65</v>
      </c>
      <c r="C453" s="94">
        <v>573.79999999999995</v>
      </c>
      <c r="D453" s="94">
        <v>574.02</v>
      </c>
      <c r="E453" s="94">
        <v>5391575</v>
      </c>
      <c r="F453" s="94" t="s">
        <v>487</v>
      </c>
      <c r="G453" s="25">
        <f t="shared" si="16"/>
        <v>5.5050346677816275E-3</v>
      </c>
      <c r="I453" s="94">
        <v>6.63</v>
      </c>
      <c r="J453" s="94">
        <v>6.89</v>
      </c>
      <c r="K453" s="94">
        <v>6.6050000000000004</v>
      </c>
      <c r="L453" s="94">
        <v>6.63</v>
      </c>
      <c r="M453" s="94">
        <v>8215267</v>
      </c>
      <c r="N453" s="94" t="s">
        <v>487</v>
      </c>
      <c r="O453" s="25">
        <f t="shared" si="17"/>
        <v>0</v>
      </c>
    </row>
    <row r="454" spans="1:15">
      <c r="A454" s="94">
        <v>573.74</v>
      </c>
      <c r="B454" s="94">
        <v>574.26</v>
      </c>
      <c r="C454" s="94">
        <v>568.16999999999996</v>
      </c>
      <c r="D454" s="94">
        <v>573.4</v>
      </c>
      <c r="E454" s="94">
        <v>6119852</v>
      </c>
      <c r="F454" s="94" t="s">
        <v>488</v>
      </c>
      <c r="G454" s="25">
        <f t="shared" si="16"/>
        <v>5.9295430763861567E-4</v>
      </c>
      <c r="I454" s="94">
        <v>6.45</v>
      </c>
      <c r="J454" s="94">
        <v>6.5350000000000001</v>
      </c>
      <c r="K454" s="94">
        <v>6.2149999999999999</v>
      </c>
      <c r="L454" s="94">
        <v>6.45</v>
      </c>
      <c r="M454" s="94">
        <v>6050617</v>
      </c>
      <c r="N454" s="94" t="s">
        <v>488</v>
      </c>
      <c r="O454" s="25">
        <f t="shared" si="17"/>
        <v>0</v>
      </c>
    </row>
    <row r="455" spans="1:15">
      <c r="A455" s="94">
        <v>571.86</v>
      </c>
      <c r="B455" s="94">
        <v>577.16</v>
      </c>
      <c r="C455" s="94">
        <v>571.85</v>
      </c>
      <c r="D455" s="94">
        <v>576.85</v>
      </c>
      <c r="E455" s="94">
        <v>5338268</v>
      </c>
      <c r="F455" s="94" t="s">
        <v>489</v>
      </c>
      <c r="G455" s="25">
        <f t="shared" si="16"/>
        <v>-8.6504290543468754E-3</v>
      </c>
      <c r="I455" s="94">
        <v>6.43</v>
      </c>
      <c r="J455" s="94">
        <v>6.65</v>
      </c>
      <c r="K455" s="94">
        <v>6.1993</v>
      </c>
      <c r="L455" s="94">
        <v>6.23</v>
      </c>
      <c r="M455" s="94">
        <v>9135850</v>
      </c>
      <c r="N455" s="94" t="s">
        <v>489</v>
      </c>
      <c r="O455" s="25">
        <f t="shared" si="17"/>
        <v>3.2102728731942198E-2</v>
      </c>
    </row>
    <row r="456" spans="1:15">
      <c r="A456" s="94">
        <v>574.35</v>
      </c>
      <c r="B456" s="94">
        <v>574.67899999999997</v>
      </c>
      <c r="C456" s="94">
        <v>571.58000000000004</v>
      </c>
      <c r="D456" s="94">
        <v>572.85</v>
      </c>
      <c r="E456" s="94">
        <v>4719971</v>
      </c>
      <c r="F456" s="94" t="s">
        <v>490</v>
      </c>
      <c r="G456" s="25">
        <f t="shared" si="16"/>
        <v>2.6184865147944603E-3</v>
      </c>
      <c r="I456" s="94">
        <v>6.2</v>
      </c>
      <c r="J456" s="94">
        <v>6.29</v>
      </c>
      <c r="K456" s="94">
        <v>6.0149999999999997</v>
      </c>
      <c r="L456" s="94">
        <v>6.11</v>
      </c>
      <c r="M456" s="94">
        <v>8838528</v>
      </c>
      <c r="N456" s="94" t="s">
        <v>490</v>
      </c>
      <c r="O456" s="25">
        <f t="shared" si="17"/>
        <v>1.4729950900163713E-2</v>
      </c>
    </row>
    <row r="457" spans="1:15">
      <c r="A457" s="94">
        <v>573.22</v>
      </c>
      <c r="B457" s="94">
        <v>574.37570000000005</v>
      </c>
      <c r="C457" s="94">
        <v>571.37</v>
      </c>
      <c r="D457" s="94">
        <v>572.45000000000005</v>
      </c>
      <c r="E457" s="94">
        <v>4414258</v>
      </c>
      <c r="F457" s="94" t="s">
        <v>491</v>
      </c>
      <c r="G457" s="25">
        <f t="shared" si="16"/>
        <v>1.3450956415406168E-3</v>
      </c>
      <c r="I457" s="94">
        <v>6.14</v>
      </c>
      <c r="J457" s="94">
        <v>6.5350000000000001</v>
      </c>
      <c r="K457" s="94">
        <v>6.1150000000000002</v>
      </c>
      <c r="L457" s="94">
        <v>6.51</v>
      </c>
      <c r="M457" s="94">
        <v>9107448</v>
      </c>
      <c r="N457" s="94" t="s">
        <v>491</v>
      </c>
      <c r="O457" s="25">
        <f t="shared" si="17"/>
        <v>-5.6835637480798784E-2</v>
      </c>
    </row>
    <row r="458" spans="1:15">
      <c r="A458" s="94">
        <v>575.29</v>
      </c>
      <c r="B458" s="94">
        <v>576.26</v>
      </c>
      <c r="C458" s="94">
        <v>572.70000000000005</v>
      </c>
      <c r="D458" s="94">
        <v>573.78</v>
      </c>
      <c r="E458" s="94">
        <v>4920279</v>
      </c>
      <c r="F458" s="94" t="s">
        <v>492</v>
      </c>
      <c r="G458" s="25">
        <f t="shared" si="16"/>
        <v>2.6316706751716712E-3</v>
      </c>
      <c r="I458" s="94">
        <v>6.6</v>
      </c>
      <c r="J458" s="94">
        <v>6.9497999999999998</v>
      </c>
      <c r="K458" s="94">
        <v>6.6</v>
      </c>
      <c r="L458" s="94">
        <v>6.82</v>
      </c>
      <c r="M458" s="94">
        <v>6283370</v>
      </c>
      <c r="N458" s="94" t="s">
        <v>492</v>
      </c>
      <c r="O458" s="25">
        <f t="shared" si="17"/>
        <v>-3.2258064516129115E-2</v>
      </c>
    </row>
    <row r="459" spans="1:15">
      <c r="A459" s="94">
        <v>573.61</v>
      </c>
      <c r="B459" s="94">
        <v>574.26</v>
      </c>
      <c r="C459" s="94">
        <v>570.76</v>
      </c>
      <c r="D459" s="94">
        <v>572.46</v>
      </c>
      <c r="E459" s="94">
        <v>6833139</v>
      </c>
      <c r="F459" s="94" t="s">
        <v>493</v>
      </c>
      <c r="G459" s="25">
        <f t="shared" si="16"/>
        <v>2.0088739824615232E-3</v>
      </c>
      <c r="I459" s="94">
        <v>6.85</v>
      </c>
      <c r="J459" s="94">
        <v>7.13</v>
      </c>
      <c r="K459" s="94">
        <v>6.7</v>
      </c>
      <c r="L459" s="94">
        <v>6.99</v>
      </c>
      <c r="M459" s="94">
        <v>7547446</v>
      </c>
      <c r="N459" s="94" t="s">
        <v>493</v>
      </c>
      <c r="O459" s="25">
        <f t="shared" si="17"/>
        <v>-2.002861230329045E-2</v>
      </c>
    </row>
    <row r="460" spans="1:15">
      <c r="A460" s="94">
        <v>570.23</v>
      </c>
      <c r="B460" s="94">
        <v>571.83000000000004</v>
      </c>
      <c r="C460" s="94">
        <v>569.48</v>
      </c>
      <c r="D460" s="94">
        <v>571.15</v>
      </c>
      <c r="E460" s="94">
        <v>6916815</v>
      </c>
      <c r="F460" s="94" t="s">
        <v>494</v>
      </c>
      <c r="G460" s="25">
        <f t="shared" si="16"/>
        <v>-1.6107852578131077E-3</v>
      </c>
      <c r="I460" s="94">
        <v>6.93</v>
      </c>
      <c r="J460" s="94">
        <v>7.15</v>
      </c>
      <c r="K460" s="94">
        <v>6.72</v>
      </c>
      <c r="L460" s="94">
        <v>6.96</v>
      </c>
      <c r="M460" s="94">
        <v>13547084</v>
      </c>
      <c r="N460" s="94" t="s">
        <v>494</v>
      </c>
      <c r="O460" s="25">
        <f t="shared" si="17"/>
        <v>-4.3103448275861878E-3</v>
      </c>
    </row>
    <row r="461" spans="1:15">
      <c r="A461" s="94">
        <v>570.61</v>
      </c>
      <c r="B461" s="94">
        <v>573.59</v>
      </c>
      <c r="C461" s="94">
        <v>567.98</v>
      </c>
      <c r="D461" s="94">
        <v>573</v>
      </c>
      <c r="E461" s="94">
        <v>6347907</v>
      </c>
      <c r="F461" s="94" t="s">
        <v>495</v>
      </c>
      <c r="G461" s="25">
        <f t="shared" si="16"/>
        <v>-4.1710296684118742E-3</v>
      </c>
      <c r="I461" s="94">
        <v>6.83</v>
      </c>
      <c r="J461" s="94">
        <v>6.91</v>
      </c>
      <c r="K461" s="94">
        <v>6.43</v>
      </c>
      <c r="L461" s="94">
        <v>6.81</v>
      </c>
      <c r="M461" s="94">
        <v>8501519</v>
      </c>
      <c r="N461" s="94" t="s">
        <v>495</v>
      </c>
      <c r="O461" s="25">
        <f t="shared" si="17"/>
        <v>2.936857562408246E-3</v>
      </c>
    </row>
    <row r="462" spans="1:15">
      <c r="A462" s="94">
        <v>575.22</v>
      </c>
      <c r="B462" s="94">
        <v>575.66999999999996</v>
      </c>
      <c r="C462" s="94">
        <v>572.13</v>
      </c>
      <c r="D462" s="94">
        <v>572.17999999999995</v>
      </c>
      <c r="E462" s="94">
        <v>4833973</v>
      </c>
      <c r="F462" s="94" t="s">
        <v>496</v>
      </c>
      <c r="G462" s="25">
        <f t="shared" si="16"/>
        <v>5.3130133873957597E-3</v>
      </c>
      <c r="I462" s="94">
        <v>6.85</v>
      </c>
      <c r="J462" s="94">
        <v>6.97</v>
      </c>
      <c r="K462" s="94">
        <v>6.08</v>
      </c>
      <c r="L462" s="94">
        <v>6.1</v>
      </c>
      <c r="M462" s="94">
        <v>15383655</v>
      </c>
      <c r="N462" s="94" t="s">
        <v>496</v>
      </c>
      <c r="O462" s="25">
        <f t="shared" si="17"/>
        <v>0.12295081967213117</v>
      </c>
    </row>
    <row r="463" spans="1:15">
      <c r="A463" s="94">
        <v>570.29</v>
      </c>
      <c r="B463" s="94">
        <v>570.34</v>
      </c>
      <c r="C463" s="94">
        <v>566.80999999999995</v>
      </c>
      <c r="D463" s="94">
        <v>567.37</v>
      </c>
      <c r="E463" s="94">
        <v>6134026</v>
      </c>
      <c r="F463" s="94" t="s">
        <v>497</v>
      </c>
      <c r="G463" s="25">
        <f t="shared" si="16"/>
        <v>5.1465533954913045E-3</v>
      </c>
      <c r="I463" s="94">
        <v>6.14</v>
      </c>
      <c r="J463" s="94">
        <v>6.23</v>
      </c>
      <c r="K463" s="94">
        <v>5.92</v>
      </c>
      <c r="L463" s="94">
        <v>6.17</v>
      </c>
      <c r="M463" s="94">
        <v>11781770</v>
      </c>
      <c r="N463" s="94" t="s">
        <v>497</v>
      </c>
      <c r="O463" s="25">
        <f t="shared" si="17"/>
        <v>-4.8622366288493257E-3</v>
      </c>
    </row>
    <row r="464" spans="1:15">
      <c r="A464" s="94">
        <v>567.77</v>
      </c>
      <c r="B464" s="94">
        <v>568.79999999999995</v>
      </c>
      <c r="C464" s="94">
        <v>565.79999999999995</v>
      </c>
      <c r="D464" s="94">
        <v>566.55999999999995</v>
      </c>
      <c r="E464" s="94">
        <v>7369350</v>
      </c>
      <c r="F464" s="94" t="s">
        <v>498</v>
      </c>
      <c r="G464" s="25">
        <f t="shared" si="16"/>
        <v>2.1356961310365907E-3</v>
      </c>
      <c r="I464" s="94">
        <v>6.16</v>
      </c>
      <c r="J464" s="94">
        <v>7.7191000000000001</v>
      </c>
      <c r="K464" s="94">
        <v>6.1</v>
      </c>
      <c r="L464" s="94">
        <v>7.13</v>
      </c>
      <c r="M464" s="94">
        <v>43863445</v>
      </c>
      <c r="N464" s="94" t="s">
        <v>498</v>
      </c>
      <c r="O464" s="25">
        <f t="shared" si="17"/>
        <v>-0.13604488078541366</v>
      </c>
    </row>
    <row r="465" spans="1:15">
      <c r="A465" s="94">
        <v>568.03</v>
      </c>
      <c r="B465" s="94">
        <v>569.15</v>
      </c>
      <c r="C465" s="94">
        <v>565.375</v>
      </c>
      <c r="D465" s="94">
        <v>567.5</v>
      </c>
      <c r="E465" s="94">
        <v>5719188</v>
      </c>
      <c r="F465" s="94" t="s">
        <v>499</v>
      </c>
      <c r="G465" s="25">
        <f t="shared" si="16"/>
        <v>9.3392070484576983E-4</v>
      </c>
      <c r="I465" s="94">
        <v>6.1</v>
      </c>
      <c r="J465" s="94">
        <v>6.23</v>
      </c>
      <c r="K465" s="94">
        <v>5.98</v>
      </c>
      <c r="L465" s="94">
        <v>6.15</v>
      </c>
      <c r="M465" s="94">
        <v>12578114</v>
      </c>
      <c r="N465" s="94" t="s">
        <v>499</v>
      </c>
      <c r="O465" s="25">
        <f t="shared" si="17"/>
        <v>-8.1300813008131634E-3</v>
      </c>
    </row>
    <row r="466" spans="1:15">
      <c r="A466" s="94">
        <v>566.95000000000005</v>
      </c>
      <c r="B466" s="94">
        <v>568.33000000000004</v>
      </c>
      <c r="C466" s="94">
        <v>563.21</v>
      </c>
      <c r="D466" s="94">
        <v>565.11</v>
      </c>
      <c r="E466" s="94">
        <v>6056524</v>
      </c>
      <c r="F466" s="94" t="s">
        <v>500</v>
      </c>
      <c r="G466" s="25">
        <f t="shared" si="16"/>
        <v>3.2560032560033925E-3</v>
      </c>
      <c r="I466" s="94">
        <v>6.07</v>
      </c>
      <c r="J466" s="94">
        <v>6.5949999999999998</v>
      </c>
      <c r="K466" s="94">
        <v>5.91</v>
      </c>
      <c r="L466" s="94">
        <v>6.11</v>
      </c>
      <c r="M466" s="94">
        <v>26495081</v>
      </c>
      <c r="N466" s="94" t="s">
        <v>500</v>
      </c>
      <c r="O466" s="25">
        <f t="shared" si="17"/>
        <v>-6.5466448445171688E-3</v>
      </c>
    </row>
    <row r="467" spans="1:15">
      <c r="A467" s="94">
        <v>564.15</v>
      </c>
      <c r="B467" s="94">
        <v>564.54999999999995</v>
      </c>
      <c r="C467" s="94">
        <v>560.96</v>
      </c>
      <c r="D467" s="94">
        <v>561.52</v>
      </c>
      <c r="E467" s="94">
        <v>6081444</v>
      </c>
      <c r="F467" s="94" t="s">
        <v>501</v>
      </c>
      <c r="G467" s="25">
        <f t="shared" si="16"/>
        <v>4.6837156290069348E-3</v>
      </c>
      <c r="I467" s="94">
        <v>6.06</v>
      </c>
      <c r="J467" s="94">
        <v>6.1</v>
      </c>
      <c r="K467" s="94">
        <v>5.52</v>
      </c>
      <c r="L467" s="94">
        <v>5.54</v>
      </c>
      <c r="M467" s="94">
        <v>14505117</v>
      </c>
      <c r="N467" s="94" t="s">
        <v>501</v>
      </c>
      <c r="O467" s="25">
        <f t="shared" si="17"/>
        <v>9.3862815884476536E-2</v>
      </c>
    </row>
    <row r="468" spans="1:15">
      <c r="A468" s="94">
        <v>559.72</v>
      </c>
      <c r="B468" s="94">
        <v>561.02</v>
      </c>
      <c r="C468" s="94">
        <v>558.34</v>
      </c>
      <c r="D468" s="94">
        <v>560.52</v>
      </c>
      <c r="E468" s="94">
        <v>16472305</v>
      </c>
      <c r="F468" s="94" t="s">
        <v>502</v>
      </c>
      <c r="G468" s="25">
        <f t="shared" si="16"/>
        <v>-1.4272461285947946E-3</v>
      </c>
      <c r="I468" s="94">
        <v>5.42</v>
      </c>
      <c r="J468" s="94">
        <v>5.74</v>
      </c>
      <c r="K468" s="94">
        <v>5.42</v>
      </c>
      <c r="L468" s="94">
        <v>5.73</v>
      </c>
      <c r="M468" s="94">
        <v>5399554</v>
      </c>
      <c r="N468" s="94" t="s">
        <v>502</v>
      </c>
      <c r="O468" s="25">
        <f t="shared" si="17"/>
        <v>-5.4101221640488695E-2</v>
      </c>
    </row>
    <row r="469" spans="1:15">
      <c r="A469" s="94">
        <v>559.44000000000005</v>
      </c>
      <c r="B469" s="94">
        <v>560.42999999999995</v>
      </c>
      <c r="C469" s="94">
        <v>556.37</v>
      </c>
      <c r="D469" s="94">
        <v>557.17999999999995</v>
      </c>
      <c r="E469" s="94">
        <v>6770036</v>
      </c>
      <c r="F469" s="94" t="s">
        <v>503</v>
      </c>
      <c r="G469" s="25">
        <f t="shared" si="16"/>
        <v>4.0561398470873034E-3</v>
      </c>
      <c r="I469" s="94">
        <v>5.57</v>
      </c>
      <c r="J469" s="94">
        <v>5.64</v>
      </c>
      <c r="K469" s="94">
        <v>5.41</v>
      </c>
      <c r="L469" s="94">
        <v>5.5</v>
      </c>
      <c r="M469" s="94">
        <v>6585751</v>
      </c>
      <c r="N469" s="94" t="s">
        <v>503</v>
      </c>
      <c r="O469" s="25">
        <f t="shared" si="17"/>
        <v>1.2727272727272698E-2</v>
      </c>
    </row>
    <row r="470" spans="1:15">
      <c r="A470" s="94">
        <v>553.36</v>
      </c>
      <c r="B470" s="94">
        <v>553.70000000000005</v>
      </c>
      <c r="C470" s="94">
        <v>545.75</v>
      </c>
      <c r="D470" s="94">
        <v>548.66</v>
      </c>
      <c r="E470" s="94">
        <v>9691151</v>
      </c>
      <c r="F470" s="94" t="s">
        <v>504</v>
      </c>
      <c r="G470" s="25">
        <f t="shared" si="16"/>
        <v>8.5663252287391245E-3</v>
      </c>
      <c r="I470" s="94">
        <v>5.3</v>
      </c>
      <c r="J470" s="94">
        <v>5.3650000000000002</v>
      </c>
      <c r="K470" s="94">
        <v>4.9000000000000004</v>
      </c>
      <c r="L470" s="94">
        <v>4.97</v>
      </c>
      <c r="M470" s="94">
        <v>8644902</v>
      </c>
      <c r="N470" s="94" t="s">
        <v>504</v>
      </c>
      <c r="O470" s="25">
        <f t="shared" si="17"/>
        <v>6.6398390342052416E-2</v>
      </c>
    </row>
    <row r="471" spans="1:15">
      <c r="A471" s="94">
        <v>547.72</v>
      </c>
      <c r="B471" s="94">
        <v>552.72</v>
      </c>
      <c r="C471" s="94">
        <v>546.62</v>
      </c>
      <c r="D471" s="94">
        <v>551.72</v>
      </c>
      <c r="E471" s="94">
        <v>9942858</v>
      </c>
      <c r="F471" s="94" t="s">
        <v>505</v>
      </c>
      <c r="G471" s="25">
        <f t="shared" si="16"/>
        <v>-7.2500543754078217E-3</v>
      </c>
      <c r="I471" s="94">
        <v>5.03</v>
      </c>
      <c r="J471" s="94">
        <v>5.21</v>
      </c>
      <c r="K471" s="94">
        <v>4.96</v>
      </c>
      <c r="L471" s="94">
        <v>5.15</v>
      </c>
      <c r="M471" s="94">
        <v>10680711</v>
      </c>
      <c r="N471" s="94" t="s">
        <v>505</v>
      </c>
      <c r="O471" s="25">
        <f t="shared" si="17"/>
        <v>-2.3300970873786464E-2</v>
      </c>
    </row>
    <row r="472" spans="1:15">
      <c r="A472" s="94">
        <v>549.24</v>
      </c>
      <c r="B472" s="94">
        <v>552.71</v>
      </c>
      <c r="C472" s="94">
        <v>548.39</v>
      </c>
      <c r="D472" s="94">
        <v>550.16</v>
      </c>
      <c r="E472" s="94">
        <v>4602329</v>
      </c>
      <c r="F472" s="94" t="s">
        <v>506</v>
      </c>
      <c r="G472" s="25">
        <f t="shared" si="16"/>
        <v>-1.6722408026754731E-3</v>
      </c>
      <c r="I472" s="94">
        <v>5.1100000000000003</v>
      </c>
      <c r="J472" s="94">
        <v>5.22</v>
      </c>
      <c r="K472" s="94">
        <v>5.03</v>
      </c>
      <c r="L472" s="94">
        <v>5.0999999999999996</v>
      </c>
      <c r="M472" s="94">
        <v>5442301</v>
      </c>
      <c r="N472" s="94" t="s">
        <v>506</v>
      </c>
      <c r="O472" s="25">
        <f t="shared" si="17"/>
        <v>1.9607843137257053E-3</v>
      </c>
    </row>
    <row r="473" spans="1:15">
      <c r="A473" s="94">
        <v>549.35</v>
      </c>
      <c r="B473" s="94">
        <v>553.16</v>
      </c>
      <c r="C473" s="94">
        <v>548.63499999999999</v>
      </c>
      <c r="D473" s="94">
        <v>551.79</v>
      </c>
      <c r="E473" s="94">
        <v>4753344</v>
      </c>
      <c r="F473" s="94" t="s">
        <v>507</v>
      </c>
      <c r="G473" s="25">
        <f t="shared" si="16"/>
        <v>-4.4219721270771783E-3</v>
      </c>
      <c r="I473" s="94">
        <v>5.0999999999999996</v>
      </c>
      <c r="J473" s="94">
        <v>5.28</v>
      </c>
      <c r="K473" s="94">
        <v>5.0201000000000002</v>
      </c>
      <c r="L473" s="94">
        <v>5.2549999999999999</v>
      </c>
      <c r="M473" s="94">
        <v>7282251</v>
      </c>
      <c r="N473" s="94" t="s">
        <v>507</v>
      </c>
      <c r="O473" s="25">
        <f t="shared" si="17"/>
        <v>-2.949571836346343E-2</v>
      </c>
    </row>
    <row r="474" spans="1:15">
      <c r="A474" s="94">
        <v>554.07000000000005</v>
      </c>
      <c r="B474" s="94">
        <v>555.69000000000005</v>
      </c>
      <c r="C474" s="94">
        <v>551.87</v>
      </c>
      <c r="D474" s="94">
        <v>551.94000000000005</v>
      </c>
      <c r="E474" s="94">
        <v>7421327</v>
      </c>
      <c r="F474" s="94" t="s">
        <v>508</v>
      </c>
      <c r="G474" s="25">
        <f t="shared" si="16"/>
        <v>3.8591151212088448E-3</v>
      </c>
      <c r="I474" s="94">
        <v>5.34</v>
      </c>
      <c r="J474" s="94">
        <v>5.49</v>
      </c>
      <c r="K474" s="94">
        <v>5.17</v>
      </c>
      <c r="L474" s="94">
        <v>5.4050000000000002</v>
      </c>
      <c r="M474" s="94">
        <v>8207155</v>
      </c>
      <c r="N474" s="94" t="s">
        <v>508</v>
      </c>
      <c r="O474" s="25">
        <f t="shared" si="17"/>
        <v>-1.2025901942645745E-2</v>
      </c>
    </row>
    <row r="475" spans="1:15">
      <c r="A475" s="94">
        <v>548.77</v>
      </c>
      <c r="B475" s="94">
        <v>553.245</v>
      </c>
      <c r="C475" s="94">
        <v>547.41</v>
      </c>
      <c r="D475" s="94">
        <v>550.24</v>
      </c>
      <c r="E475" s="94">
        <v>7062316</v>
      </c>
      <c r="F475" s="94" t="s">
        <v>509</v>
      </c>
      <c r="G475" s="25">
        <f t="shared" si="16"/>
        <v>-2.671561500436237E-3</v>
      </c>
      <c r="I475" s="94">
        <v>5.37</v>
      </c>
      <c r="J475" s="94">
        <v>5.59</v>
      </c>
      <c r="K475" s="94">
        <v>5.2500999999999998</v>
      </c>
      <c r="L475" s="94">
        <v>5.28</v>
      </c>
      <c r="M475" s="94">
        <v>8389230</v>
      </c>
      <c r="N475" s="94" t="s">
        <v>509</v>
      </c>
      <c r="O475" s="25">
        <f t="shared" si="17"/>
        <v>1.7045454545454586E-2</v>
      </c>
    </row>
    <row r="476" spans="1:15">
      <c r="A476" s="94">
        <v>554.95000000000005</v>
      </c>
      <c r="B476" s="94">
        <v>555</v>
      </c>
      <c r="C476" s="94">
        <v>551.13220000000001</v>
      </c>
      <c r="D476" s="94">
        <v>551.6</v>
      </c>
      <c r="E476" s="94">
        <v>8422943</v>
      </c>
      <c r="F476" s="94" t="s">
        <v>510</v>
      </c>
      <c r="G476" s="25">
        <f t="shared" ref="G476:G539" si="18">A476/D476-1</f>
        <v>6.0732414793329692E-3</v>
      </c>
      <c r="I476" s="94">
        <v>5.46</v>
      </c>
      <c r="J476" s="94">
        <v>6.28</v>
      </c>
      <c r="K476" s="94">
        <v>5.26</v>
      </c>
      <c r="L476" s="94">
        <v>6.25</v>
      </c>
      <c r="M476" s="94">
        <v>27345319</v>
      </c>
      <c r="N476" s="94" t="s">
        <v>510</v>
      </c>
      <c r="O476" s="25">
        <f t="shared" ref="O476:O539" si="19">I476/L476-1</f>
        <v>-0.12639999999999996</v>
      </c>
    </row>
    <row r="477" spans="1:15">
      <c r="A477" s="94">
        <v>552.86</v>
      </c>
      <c r="B477" s="94">
        <v>556.22500000000002</v>
      </c>
      <c r="C477" s="94">
        <v>550.91</v>
      </c>
      <c r="D477" s="94">
        <v>555.41</v>
      </c>
      <c r="E477" s="94">
        <v>20800557</v>
      </c>
      <c r="F477" s="94" t="s">
        <v>511</v>
      </c>
      <c r="G477" s="25">
        <f t="shared" si="18"/>
        <v>-4.5912028951584638E-3</v>
      </c>
      <c r="I477" s="94">
        <v>5.43</v>
      </c>
      <c r="J477" s="94">
        <v>5.73</v>
      </c>
      <c r="K477" s="94">
        <v>5.42</v>
      </c>
      <c r="L477" s="94">
        <v>5.66</v>
      </c>
      <c r="M477" s="94">
        <v>6863295</v>
      </c>
      <c r="N477" s="94" t="s">
        <v>511</v>
      </c>
      <c r="O477" s="25">
        <f t="shared" si="19"/>
        <v>-4.0636042402826922E-2</v>
      </c>
    </row>
    <row r="478" spans="1:15">
      <c r="A478" s="94">
        <v>554.39</v>
      </c>
      <c r="B478" s="94">
        <v>554.74</v>
      </c>
      <c r="C478" s="94">
        <v>550.74</v>
      </c>
      <c r="D478" s="94">
        <v>551.78</v>
      </c>
      <c r="E478" s="94">
        <v>5951290</v>
      </c>
      <c r="F478" s="94" t="s">
        <v>512</v>
      </c>
      <c r="G478" s="25">
        <f t="shared" si="18"/>
        <v>4.7301460727102729E-3</v>
      </c>
      <c r="I478" s="94">
        <v>5.59</v>
      </c>
      <c r="J478" s="94">
        <v>5.84</v>
      </c>
      <c r="K478" s="94">
        <v>5.44</v>
      </c>
      <c r="L478" s="94">
        <v>5.83</v>
      </c>
      <c r="M478" s="94">
        <v>8922942</v>
      </c>
      <c r="N478" s="94" t="s">
        <v>512</v>
      </c>
      <c r="O478" s="25">
        <f t="shared" si="19"/>
        <v>-4.116638078902235E-2</v>
      </c>
    </row>
    <row r="479" spans="1:15">
      <c r="A479" s="94">
        <v>551.25</v>
      </c>
      <c r="B479" s="94">
        <v>552.70000000000005</v>
      </c>
      <c r="C479" s="94">
        <v>550.20000000000005</v>
      </c>
      <c r="D479" s="94">
        <v>551.29999999999995</v>
      </c>
      <c r="E479" s="94">
        <v>4482378</v>
      </c>
      <c r="F479" s="94" t="s">
        <v>513</v>
      </c>
      <c r="G479" s="25">
        <f t="shared" si="18"/>
        <v>-9.0694721567086134E-5</v>
      </c>
      <c r="I479" s="94">
        <v>5.83</v>
      </c>
      <c r="J479" s="94">
        <v>6.15</v>
      </c>
      <c r="K479" s="94">
        <v>5.64</v>
      </c>
      <c r="L479" s="94">
        <v>5.9</v>
      </c>
      <c r="M479" s="94">
        <v>13401309</v>
      </c>
      <c r="N479" s="94" t="s">
        <v>513</v>
      </c>
      <c r="O479" s="25">
        <f t="shared" si="19"/>
        <v>-1.1864406779661052E-2</v>
      </c>
    </row>
    <row r="480" spans="1:15">
      <c r="A480" s="94">
        <v>550.66</v>
      </c>
      <c r="B480" s="94">
        <v>552.32000000000005</v>
      </c>
      <c r="C480" s="94">
        <v>548.69989999999996</v>
      </c>
      <c r="D480" s="94">
        <v>550.29999999999995</v>
      </c>
      <c r="E480" s="94">
        <v>4712599</v>
      </c>
      <c r="F480" s="94" t="s">
        <v>514</v>
      </c>
      <c r="G480" s="25">
        <f t="shared" si="18"/>
        <v>6.5418862438670899E-4</v>
      </c>
      <c r="I480" s="94">
        <v>5.84</v>
      </c>
      <c r="J480" s="94">
        <v>6.2</v>
      </c>
      <c r="K480" s="94">
        <v>5.76</v>
      </c>
      <c r="L480" s="94">
        <v>5.9</v>
      </c>
      <c r="M480" s="94">
        <v>20093744</v>
      </c>
      <c r="N480" s="94" t="s">
        <v>514</v>
      </c>
      <c r="O480" s="25">
        <f t="shared" si="19"/>
        <v>-1.0169491525423791E-2</v>
      </c>
    </row>
    <row r="481" spans="1:15">
      <c r="A481" s="94">
        <v>545.09</v>
      </c>
      <c r="B481" s="94">
        <v>550.63</v>
      </c>
      <c r="C481" s="94">
        <v>543.33749999999998</v>
      </c>
      <c r="D481" s="94">
        <v>549.48</v>
      </c>
      <c r="E481" s="94">
        <v>6334538</v>
      </c>
      <c r="F481" s="94" t="s">
        <v>515</v>
      </c>
      <c r="G481" s="25">
        <f t="shared" si="18"/>
        <v>-7.9893717696730704E-3</v>
      </c>
      <c r="I481" s="94">
        <v>5.96</v>
      </c>
      <c r="J481" s="94">
        <v>6.45</v>
      </c>
      <c r="K481" s="94">
        <v>5.01</v>
      </c>
      <c r="L481" s="94">
        <v>5.22</v>
      </c>
      <c r="M481" s="94">
        <v>68048021</v>
      </c>
      <c r="N481" s="94" t="s">
        <v>515</v>
      </c>
      <c r="O481" s="25">
        <f t="shared" si="19"/>
        <v>0.14176245210727978</v>
      </c>
    </row>
    <row r="482" spans="1:15">
      <c r="A482" s="94">
        <v>547.65</v>
      </c>
      <c r="B482" s="94">
        <v>549.65</v>
      </c>
      <c r="C482" s="94">
        <v>547.44259999999997</v>
      </c>
      <c r="D482" s="94">
        <v>548.75</v>
      </c>
      <c r="E482" s="94">
        <v>4510272</v>
      </c>
      <c r="F482" s="94" t="s">
        <v>516</v>
      </c>
      <c r="G482" s="25">
        <f t="shared" si="18"/>
        <v>-2.0045558086561055E-3</v>
      </c>
      <c r="I482" s="94">
        <v>3.99</v>
      </c>
      <c r="J482" s="94">
        <v>4.03</v>
      </c>
      <c r="K482" s="94">
        <v>3.78</v>
      </c>
      <c r="L482" s="94">
        <v>4.0199999999999996</v>
      </c>
      <c r="M482" s="94">
        <v>7475706</v>
      </c>
      <c r="N482" s="94" t="s">
        <v>516</v>
      </c>
      <c r="O482" s="25">
        <f t="shared" si="19"/>
        <v>-7.4626865671639786E-3</v>
      </c>
    </row>
    <row r="483" spans="1:15">
      <c r="A483" s="94">
        <v>548</v>
      </c>
      <c r="B483" s="94">
        <v>548.87</v>
      </c>
      <c r="C483" s="94">
        <v>544.09</v>
      </c>
      <c r="D483" s="94">
        <v>544.53</v>
      </c>
      <c r="E483" s="94">
        <v>4968649</v>
      </c>
      <c r="F483" s="94" t="s">
        <v>517</v>
      </c>
      <c r="G483" s="25">
        <f t="shared" si="18"/>
        <v>6.3724679999266343E-3</v>
      </c>
      <c r="I483" s="94">
        <v>3.84</v>
      </c>
      <c r="J483" s="94">
        <v>3.88</v>
      </c>
      <c r="K483" s="94">
        <v>3.7601</v>
      </c>
      <c r="L483" s="94">
        <v>3.85</v>
      </c>
      <c r="M483" s="94">
        <v>3893429</v>
      </c>
      <c r="N483" s="94" t="s">
        <v>517</v>
      </c>
      <c r="O483" s="25">
        <f t="shared" si="19"/>
        <v>-2.5974025974027093E-3</v>
      </c>
    </row>
    <row r="484" spans="1:15">
      <c r="A484" s="94">
        <v>544.91</v>
      </c>
      <c r="B484" s="94">
        <v>544.91</v>
      </c>
      <c r="C484" s="94">
        <v>537.79999999999995</v>
      </c>
      <c r="D484" s="94">
        <v>540.25</v>
      </c>
      <c r="E484" s="94">
        <v>5900870</v>
      </c>
      <c r="F484" s="94" t="s">
        <v>518</v>
      </c>
      <c r="G484" s="25">
        <f t="shared" si="18"/>
        <v>8.6256362795000818E-3</v>
      </c>
      <c r="I484" s="94">
        <v>3.79</v>
      </c>
      <c r="J484" s="94">
        <v>3.86</v>
      </c>
      <c r="K484" s="94">
        <v>3.66</v>
      </c>
      <c r="L484" s="94">
        <v>3.84</v>
      </c>
      <c r="M484" s="94">
        <v>3098491</v>
      </c>
      <c r="N484" s="94" t="s">
        <v>518</v>
      </c>
      <c r="O484" s="25">
        <f t="shared" si="19"/>
        <v>-1.3020833333333259E-2</v>
      </c>
    </row>
    <row r="485" spans="1:15">
      <c r="A485" s="94">
        <v>541.76</v>
      </c>
      <c r="B485" s="94">
        <v>543.39</v>
      </c>
      <c r="C485" s="94">
        <v>536.16</v>
      </c>
      <c r="D485" s="94">
        <v>541.35</v>
      </c>
      <c r="E485" s="94">
        <v>6160101</v>
      </c>
      <c r="F485" s="94" t="s">
        <v>519</v>
      </c>
      <c r="G485" s="25">
        <f t="shared" si="18"/>
        <v>7.5736584464758394E-4</v>
      </c>
      <c r="I485" s="94">
        <v>3.84</v>
      </c>
      <c r="J485" s="94">
        <v>3.9499</v>
      </c>
      <c r="K485" s="94">
        <v>3.78</v>
      </c>
      <c r="L485" s="94">
        <v>3.9</v>
      </c>
      <c r="M485" s="94">
        <v>4267052</v>
      </c>
      <c r="N485" s="94" t="s">
        <v>519</v>
      </c>
      <c r="O485" s="25">
        <f t="shared" si="19"/>
        <v>-1.5384615384615441E-2</v>
      </c>
    </row>
    <row r="486" spans="1:15">
      <c r="A486" s="94">
        <v>542.32000000000005</v>
      </c>
      <c r="B486" s="94">
        <v>545.28</v>
      </c>
      <c r="C486" s="94">
        <v>538.74</v>
      </c>
      <c r="D486" s="94">
        <v>545.15</v>
      </c>
      <c r="E486" s="94">
        <v>4668939</v>
      </c>
      <c r="F486" s="94" t="s">
        <v>520</v>
      </c>
      <c r="G486" s="25">
        <f t="shared" si="18"/>
        <v>-5.1912317710720579E-3</v>
      </c>
      <c r="I486" s="94">
        <v>3.94</v>
      </c>
      <c r="J486" s="94">
        <v>4.1193999999999997</v>
      </c>
      <c r="K486" s="94">
        <v>3.9</v>
      </c>
      <c r="L486" s="94">
        <v>4.1100000000000003</v>
      </c>
      <c r="M486" s="94">
        <v>4627399</v>
      </c>
      <c r="N486" s="94" t="s">
        <v>520</v>
      </c>
      <c r="O486" s="25">
        <f t="shared" si="19"/>
        <v>-4.1362530413625365E-2</v>
      </c>
    </row>
    <row r="487" spans="1:15">
      <c r="A487" s="94">
        <v>540.24</v>
      </c>
      <c r="B487" s="94">
        <v>544.9</v>
      </c>
      <c r="C487" s="94">
        <v>539.61</v>
      </c>
      <c r="D487" s="94">
        <v>543.79</v>
      </c>
      <c r="E487" s="94">
        <v>4806244</v>
      </c>
      <c r="F487" s="94" t="s">
        <v>521</v>
      </c>
      <c r="G487" s="25">
        <f t="shared" si="18"/>
        <v>-6.5282553927066278E-3</v>
      </c>
      <c r="I487" s="94">
        <v>3.99</v>
      </c>
      <c r="J487" s="94">
        <v>4.0350000000000001</v>
      </c>
      <c r="K487" s="94">
        <v>3.895</v>
      </c>
      <c r="L487" s="94">
        <v>4</v>
      </c>
      <c r="M487" s="94">
        <v>5274960</v>
      </c>
      <c r="N487" s="94" t="s">
        <v>521</v>
      </c>
      <c r="O487" s="25">
        <f t="shared" si="19"/>
        <v>-2.4999999999999467E-3</v>
      </c>
    </row>
    <row r="488" spans="1:15">
      <c r="A488" s="94">
        <v>543.34</v>
      </c>
      <c r="B488" s="94">
        <v>543.52</v>
      </c>
      <c r="C488" s="94">
        <v>537.17999999999995</v>
      </c>
      <c r="D488" s="94">
        <v>538.72</v>
      </c>
      <c r="E488" s="94">
        <v>6086299</v>
      </c>
      <c r="F488" s="94" t="s">
        <v>522</v>
      </c>
      <c r="G488" s="25">
        <f t="shared" si="18"/>
        <v>8.5758835758835694E-3</v>
      </c>
      <c r="I488" s="94">
        <v>3.97</v>
      </c>
      <c r="J488" s="94">
        <v>3.98</v>
      </c>
      <c r="K488" s="94">
        <v>3.75</v>
      </c>
      <c r="L488" s="94">
        <v>3.77</v>
      </c>
      <c r="M488" s="94">
        <v>4804098</v>
      </c>
      <c r="N488" s="94" t="s">
        <v>522</v>
      </c>
      <c r="O488" s="25">
        <f t="shared" si="19"/>
        <v>5.3050397877984157E-2</v>
      </c>
    </row>
    <row r="489" spans="1:15">
      <c r="A489" s="94">
        <v>532.4</v>
      </c>
      <c r="B489" s="94">
        <v>534.80989999999997</v>
      </c>
      <c r="C489" s="94">
        <v>529.11</v>
      </c>
      <c r="D489" s="94">
        <v>529.42999999999995</v>
      </c>
      <c r="E489" s="94">
        <v>6455875</v>
      </c>
      <c r="F489" s="94" t="s">
        <v>523</v>
      </c>
      <c r="G489" s="25">
        <f t="shared" si="18"/>
        <v>5.6098067733223456E-3</v>
      </c>
      <c r="I489" s="94">
        <v>3.68</v>
      </c>
      <c r="J489" s="94">
        <v>3.74</v>
      </c>
      <c r="K489" s="94">
        <v>3.53</v>
      </c>
      <c r="L489" s="94">
        <v>3.53</v>
      </c>
      <c r="M489" s="94">
        <v>4004373</v>
      </c>
      <c r="N489" s="94" t="s">
        <v>523</v>
      </c>
      <c r="O489" s="25">
        <f t="shared" si="19"/>
        <v>4.2492917847025691E-2</v>
      </c>
    </row>
    <row r="490" spans="1:15">
      <c r="A490" s="94">
        <v>536.02</v>
      </c>
      <c r="B490" s="94">
        <v>539.22500000000002</v>
      </c>
      <c r="C490" s="94">
        <v>534.44000000000005</v>
      </c>
      <c r="D490" s="94">
        <v>535.6</v>
      </c>
      <c r="E490" s="94">
        <v>5816572</v>
      </c>
      <c r="F490" s="94" t="s">
        <v>524</v>
      </c>
      <c r="G490" s="25">
        <f t="shared" si="18"/>
        <v>7.8416728902164223E-4</v>
      </c>
      <c r="I490" s="94">
        <v>3.69</v>
      </c>
      <c r="J490" s="94">
        <v>3.7650000000000001</v>
      </c>
      <c r="K490" s="94">
        <v>3.47</v>
      </c>
      <c r="L490" s="94">
        <v>3.6</v>
      </c>
      <c r="M490" s="94">
        <v>4410232</v>
      </c>
      <c r="N490" s="94" t="s">
        <v>524</v>
      </c>
      <c r="O490" s="25">
        <f t="shared" si="19"/>
        <v>2.4999999999999911E-2</v>
      </c>
    </row>
    <row r="491" spans="1:15">
      <c r="A491" s="94">
        <v>535.77</v>
      </c>
      <c r="B491" s="94">
        <v>544.69050000000004</v>
      </c>
      <c r="C491" s="94">
        <v>534.82000000000005</v>
      </c>
      <c r="D491" s="94">
        <v>540.91</v>
      </c>
      <c r="E491" s="94">
        <v>6339491</v>
      </c>
      <c r="F491" s="94" t="s">
        <v>525</v>
      </c>
      <c r="G491" s="25">
        <f t="shared" si="18"/>
        <v>-9.5025050378065856E-3</v>
      </c>
      <c r="I491" s="94">
        <v>3.71</v>
      </c>
      <c r="J491" s="94">
        <v>3.88</v>
      </c>
      <c r="K491" s="94">
        <v>3.68</v>
      </c>
      <c r="L491" s="94">
        <v>3.78</v>
      </c>
      <c r="M491" s="94">
        <v>2734856</v>
      </c>
      <c r="N491" s="94" t="s">
        <v>525</v>
      </c>
      <c r="O491" s="25">
        <f t="shared" si="19"/>
        <v>-1.851851851851849E-2</v>
      </c>
    </row>
    <row r="492" spans="1:15">
      <c r="A492" s="94">
        <v>544.88</v>
      </c>
      <c r="B492" s="94">
        <v>546.05999999999995</v>
      </c>
      <c r="C492" s="94">
        <v>541.99</v>
      </c>
      <c r="D492" s="94">
        <v>545.22</v>
      </c>
      <c r="E492" s="94">
        <v>7158205</v>
      </c>
      <c r="F492" s="94" t="s">
        <v>526</v>
      </c>
      <c r="G492" s="25">
        <f t="shared" si="18"/>
        <v>-6.2360148197060372E-4</v>
      </c>
      <c r="I492" s="94">
        <v>3.86</v>
      </c>
      <c r="J492" s="94">
        <v>3.91</v>
      </c>
      <c r="K492" s="94">
        <v>3.74</v>
      </c>
      <c r="L492" s="94">
        <v>3.82</v>
      </c>
      <c r="M492" s="94">
        <v>2052582</v>
      </c>
      <c r="N492" s="94" t="s">
        <v>526</v>
      </c>
      <c r="O492" s="25">
        <f t="shared" si="19"/>
        <v>1.0471204188481575E-2</v>
      </c>
    </row>
    <row r="493" spans="1:15">
      <c r="A493" s="94">
        <v>546.82000000000005</v>
      </c>
      <c r="B493" s="94">
        <v>547.45000000000005</v>
      </c>
      <c r="C493" s="94">
        <v>540.58000000000004</v>
      </c>
      <c r="D493" s="94">
        <v>540.63</v>
      </c>
      <c r="E493" s="94">
        <v>7766058</v>
      </c>
      <c r="F493" s="94" t="s">
        <v>527</v>
      </c>
      <c r="G493" s="25">
        <f t="shared" si="18"/>
        <v>1.144960509035764E-2</v>
      </c>
      <c r="I493" s="94">
        <v>3.83</v>
      </c>
      <c r="J493" s="94">
        <v>3.8553999999999999</v>
      </c>
      <c r="K493" s="94">
        <v>3.77</v>
      </c>
      <c r="L493" s="94">
        <v>3.81</v>
      </c>
      <c r="M493" s="94">
        <v>2302623</v>
      </c>
      <c r="N493" s="94" t="s">
        <v>527</v>
      </c>
      <c r="O493" s="25">
        <f t="shared" si="19"/>
        <v>5.249343832020914E-3</v>
      </c>
    </row>
    <row r="494" spans="1:15">
      <c r="A494" s="94">
        <v>546.26</v>
      </c>
      <c r="B494" s="94">
        <v>546.47</v>
      </c>
      <c r="C494" s="94">
        <v>541.70000000000005</v>
      </c>
      <c r="D494" s="94">
        <v>543.47</v>
      </c>
      <c r="E494" s="94">
        <v>7255342</v>
      </c>
      <c r="F494" s="94" t="s">
        <v>528</v>
      </c>
      <c r="G494" s="25">
        <f t="shared" si="18"/>
        <v>5.1336780319060082E-3</v>
      </c>
      <c r="I494" s="94">
        <v>3.93</v>
      </c>
      <c r="J494" s="94">
        <v>3.96</v>
      </c>
      <c r="K494" s="94">
        <v>3.87</v>
      </c>
      <c r="L494" s="94">
        <v>3.88</v>
      </c>
      <c r="M494" s="94">
        <v>3203758</v>
      </c>
      <c r="N494" s="94" t="s">
        <v>528</v>
      </c>
      <c r="O494" s="25">
        <f t="shared" si="19"/>
        <v>1.2886597938144506E-2</v>
      </c>
    </row>
    <row r="495" spans="1:15">
      <c r="A495" s="94">
        <v>542.76</v>
      </c>
      <c r="B495" s="94">
        <v>543.24890000000005</v>
      </c>
      <c r="C495" s="94">
        <v>537.84</v>
      </c>
      <c r="D495" s="94">
        <v>538.26</v>
      </c>
      <c r="E495" s="94">
        <v>7362193</v>
      </c>
      <c r="F495" s="94" t="s">
        <v>529</v>
      </c>
      <c r="G495" s="25">
        <f t="shared" si="18"/>
        <v>8.360271987515322E-3</v>
      </c>
      <c r="I495" s="94">
        <v>3.89</v>
      </c>
      <c r="J495" s="94">
        <v>3.91</v>
      </c>
      <c r="K495" s="94">
        <v>3.72</v>
      </c>
      <c r="L495" s="94">
        <v>3.8250000000000002</v>
      </c>
      <c r="M495" s="94">
        <v>3093246</v>
      </c>
      <c r="N495" s="94" t="s">
        <v>529</v>
      </c>
      <c r="O495" s="25">
        <f t="shared" si="19"/>
        <v>1.6993464052287521E-2</v>
      </c>
    </row>
    <row r="496" spans="1:15">
      <c r="A496" s="94">
        <v>540.11</v>
      </c>
      <c r="B496" s="94">
        <v>541.41999999999996</v>
      </c>
      <c r="C496" s="94">
        <v>538.24</v>
      </c>
      <c r="D496" s="94">
        <v>540.37</v>
      </c>
      <c r="E496" s="94">
        <v>5031301</v>
      </c>
      <c r="F496" s="94" t="s">
        <v>530</v>
      </c>
      <c r="G496" s="25">
        <f t="shared" si="18"/>
        <v>-4.8115180339391994E-4</v>
      </c>
      <c r="I496" s="94">
        <v>3.89</v>
      </c>
      <c r="J496" s="94">
        <v>3.9485000000000001</v>
      </c>
      <c r="K496" s="94">
        <v>3.7450000000000001</v>
      </c>
      <c r="L496" s="94">
        <v>3.76</v>
      </c>
      <c r="M496" s="94">
        <v>4136090</v>
      </c>
      <c r="N496" s="94" t="s">
        <v>530</v>
      </c>
      <c r="O496" s="25">
        <f t="shared" si="19"/>
        <v>3.4574468085106558E-2</v>
      </c>
    </row>
    <row r="497" spans="1:15">
      <c r="A497" s="94">
        <v>539.44000000000005</v>
      </c>
      <c r="B497" s="94">
        <v>541.48</v>
      </c>
      <c r="C497" s="94">
        <v>535.78</v>
      </c>
      <c r="D497" s="94">
        <v>536.33000000000004</v>
      </c>
      <c r="E497" s="94">
        <v>7356804</v>
      </c>
      <c r="F497" s="94" t="s">
        <v>531</v>
      </c>
      <c r="G497" s="25">
        <f t="shared" si="18"/>
        <v>5.7986687300728423E-3</v>
      </c>
      <c r="I497" s="94">
        <v>3.78</v>
      </c>
      <c r="J497" s="94">
        <v>3.84</v>
      </c>
      <c r="K497" s="94">
        <v>3.75</v>
      </c>
      <c r="L497" s="94">
        <v>3.77</v>
      </c>
      <c r="M497" s="94">
        <v>3338483</v>
      </c>
      <c r="N497" s="94" t="s">
        <v>531</v>
      </c>
      <c r="O497" s="25">
        <f t="shared" si="19"/>
        <v>2.6525198938991412E-3</v>
      </c>
    </row>
    <row r="498" spans="1:15">
      <c r="A498" s="94">
        <v>535.91999999999996</v>
      </c>
      <c r="B498" s="94">
        <v>535.91999999999996</v>
      </c>
      <c r="C498" s="94">
        <v>530.39</v>
      </c>
      <c r="D498" s="94">
        <v>534.5</v>
      </c>
      <c r="E498" s="94">
        <v>7793576</v>
      </c>
      <c r="F498" s="94" t="s">
        <v>532</v>
      </c>
      <c r="G498" s="25">
        <f t="shared" si="18"/>
        <v>2.6566884939194235E-3</v>
      </c>
      <c r="I498" s="94">
        <v>3.74</v>
      </c>
      <c r="J498" s="94">
        <v>3.88</v>
      </c>
      <c r="K498" s="94">
        <v>3.69</v>
      </c>
      <c r="L498" s="94">
        <v>3.78</v>
      </c>
      <c r="M498" s="94">
        <v>3678537</v>
      </c>
      <c r="N498" s="94" t="s">
        <v>532</v>
      </c>
      <c r="O498" s="25">
        <f t="shared" si="19"/>
        <v>-1.058201058201047E-2</v>
      </c>
    </row>
    <row r="499" spans="1:15">
      <c r="A499" s="94">
        <v>518.65</v>
      </c>
      <c r="B499" s="94">
        <v>521.63059999999996</v>
      </c>
      <c r="C499" s="94">
        <v>517.36</v>
      </c>
      <c r="D499" s="94">
        <v>520.69000000000005</v>
      </c>
      <c r="E499" s="94">
        <v>4739506</v>
      </c>
      <c r="F499" s="94" t="s">
        <v>533</v>
      </c>
      <c r="G499" s="25">
        <f t="shared" si="18"/>
        <v>-3.9178782000808265E-3</v>
      </c>
      <c r="I499" s="94">
        <v>3.56</v>
      </c>
      <c r="J499" s="94">
        <v>3.66</v>
      </c>
      <c r="K499" s="94">
        <v>3.4849999999999999</v>
      </c>
      <c r="L499" s="94">
        <v>3.64</v>
      </c>
      <c r="M499" s="94">
        <v>3245275</v>
      </c>
      <c r="N499" s="94" t="s">
        <v>533</v>
      </c>
      <c r="O499" s="25">
        <f t="shared" si="19"/>
        <v>-2.1978021978022011E-2</v>
      </c>
    </row>
    <row r="500" spans="1:15">
      <c r="A500" s="94">
        <v>519.34</v>
      </c>
      <c r="B500" s="94">
        <v>524.23</v>
      </c>
      <c r="C500" s="94">
        <v>516.34500000000003</v>
      </c>
      <c r="D500" s="94">
        <v>519.54</v>
      </c>
      <c r="E500" s="94">
        <v>5088200</v>
      </c>
      <c r="F500" s="94" t="s">
        <v>534</v>
      </c>
      <c r="G500" s="25">
        <f t="shared" si="18"/>
        <v>-3.8495592254672584E-4</v>
      </c>
      <c r="I500" s="94">
        <v>3.61</v>
      </c>
      <c r="J500" s="94">
        <v>3.6349999999999998</v>
      </c>
      <c r="K500" s="94">
        <v>3.4933999999999998</v>
      </c>
      <c r="L500" s="94">
        <v>3.55</v>
      </c>
      <c r="M500" s="94">
        <v>3284228</v>
      </c>
      <c r="N500" s="94" t="s">
        <v>534</v>
      </c>
      <c r="O500" s="25">
        <f t="shared" si="19"/>
        <v>1.6901408450704203E-2</v>
      </c>
    </row>
    <row r="501" spans="1:15">
      <c r="A501" s="94">
        <v>515.9</v>
      </c>
      <c r="B501" s="94">
        <v>518.17999999999995</v>
      </c>
      <c r="C501" s="94">
        <v>511.1</v>
      </c>
      <c r="D501" s="94">
        <v>514.91999999999996</v>
      </c>
      <c r="E501" s="94">
        <v>5467344</v>
      </c>
      <c r="F501" s="94" t="s">
        <v>535</v>
      </c>
      <c r="G501" s="25">
        <f t="shared" si="18"/>
        <v>1.9032082653616111E-3</v>
      </c>
      <c r="I501" s="94">
        <v>3.46</v>
      </c>
      <c r="J501" s="94">
        <v>3.52</v>
      </c>
      <c r="K501" s="94">
        <v>3.4</v>
      </c>
      <c r="L501" s="94">
        <v>3.5</v>
      </c>
      <c r="M501" s="94">
        <v>2318503</v>
      </c>
      <c r="N501" s="94" t="s">
        <v>535</v>
      </c>
      <c r="O501" s="25">
        <f t="shared" si="19"/>
        <v>-1.1428571428571455E-2</v>
      </c>
    </row>
    <row r="502" spans="1:15">
      <c r="A502" s="94">
        <v>513.58000000000004</v>
      </c>
      <c r="B502" s="94">
        <v>517.82500000000005</v>
      </c>
      <c r="C502" s="94">
        <v>511.94</v>
      </c>
      <c r="D502" s="94">
        <v>512.89</v>
      </c>
      <c r="E502" s="94">
        <v>4694270</v>
      </c>
      <c r="F502" s="94" t="s">
        <v>536</v>
      </c>
      <c r="G502" s="25">
        <f t="shared" si="18"/>
        <v>1.3453177094504554E-3</v>
      </c>
      <c r="I502" s="94">
        <v>3.5</v>
      </c>
      <c r="J502" s="94">
        <v>3.51</v>
      </c>
      <c r="K502" s="94">
        <v>3.38</v>
      </c>
      <c r="L502" s="94">
        <v>3.41</v>
      </c>
      <c r="M502" s="94">
        <v>2050129</v>
      </c>
      <c r="N502" s="94" t="s">
        <v>536</v>
      </c>
      <c r="O502" s="25">
        <f t="shared" si="19"/>
        <v>2.6392961876832821E-2</v>
      </c>
    </row>
    <row r="503" spans="1:15">
      <c r="A503" s="94">
        <v>517.99</v>
      </c>
      <c r="B503" s="94">
        <v>520.85</v>
      </c>
      <c r="C503" s="94">
        <v>516.27</v>
      </c>
      <c r="D503" s="94">
        <v>517.08000000000004</v>
      </c>
      <c r="E503" s="94">
        <v>4793497</v>
      </c>
      <c r="F503" s="94" t="s">
        <v>537</v>
      </c>
      <c r="G503" s="25">
        <f t="shared" si="18"/>
        <v>1.7598824166473737E-3</v>
      </c>
      <c r="I503" s="94">
        <v>3.47</v>
      </c>
      <c r="J503" s="94">
        <v>3.51</v>
      </c>
      <c r="K503" s="94">
        <v>3.4</v>
      </c>
      <c r="L503" s="94">
        <v>3.43</v>
      </c>
      <c r="M503" s="94">
        <v>2152825</v>
      </c>
      <c r="N503" s="94" t="s">
        <v>537</v>
      </c>
      <c r="O503" s="25">
        <f t="shared" si="19"/>
        <v>1.1661807580174877E-2</v>
      </c>
    </row>
    <row r="504" spans="1:15">
      <c r="A504" s="94">
        <v>520.71</v>
      </c>
      <c r="B504" s="94">
        <v>522.41</v>
      </c>
      <c r="C504" s="94">
        <v>516.89</v>
      </c>
      <c r="D504" s="94">
        <v>519.12</v>
      </c>
      <c r="E504" s="94">
        <v>6285390</v>
      </c>
      <c r="F504" s="94" t="s">
        <v>538</v>
      </c>
      <c r="G504" s="25">
        <f t="shared" si="18"/>
        <v>3.0628756356911868E-3</v>
      </c>
      <c r="I504" s="94">
        <v>3.51</v>
      </c>
      <c r="J504" s="94">
        <v>3.59</v>
      </c>
      <c r="K504" s="94">
        <v>3.4249999999999998</v>
      </c>
      <c r="L504" s="94">
        <v>3.44</v>
      </c>
      <c r="M504" s="94">
        <v>3613288</v>
      </c>
      <c r="N504" s="94" t="s">
        <v>538</v>
      </c>
      <c r="O504" s="25">
        <f t="shared" si="19"/>
        <v>2.0348837209302362E-2</v>
      </c>
    </row>
    <row r="505" spans="1:15">
      <c r="A505" s="94">
        <v>513.35</v>
      </c>
      <c r="B505" s="94">
        <v>518.44000000000005</v>
      </c>
      <c r="C505" s="94">
        <v>512.77</v>
      </c>
      <c r="D505" s="94">
        <v>515.13</v>
      </c>
      <c r="E505" s="94">
        <v>5784483</v>
      </c>
      <c r="F505" s="94" t="s">
        <v>539</v>
      </c>
      <c r="G505" s="25">
        <f t="shared" si="18"/>
        <v>-3.4554384330168775E-3</v>
      </c>
      <c r="I505" s="94">
        <v>3.35</v>
      </c>
      <c r="J505" s="94">
        <v>3.42</v>
      </c>
      <c r="K505" s="94">
        <v>3.29</v>
      </c>
      <c r="L505" s="94">
        <v>3.38</v>
      </c>
      <c r="M505" s="94">
        <v>2715558</v>
      </c>
      <c r="N505" s="94" t="s">
        <v>539</v>
      </c>
      <c r="O505" s="25">
        <f t="shared" si="19"/>
        <v>-8.8757396449703485E-3</v>
      </c>
    </row>
    <row r="506" spans="1:15">
      <c r="A506" s="94">
        <v>509.74</v>
      </c>
      <c r="B506" s="94">
        <v>511.5</v>
      </c>
      <c r="C506" s="94">
        <v>497.76</v>
      </c>
      <c r="D506" s="94">
        <v>503.26</v>
      </c>
      <c r="E506" s="94">
        <v>7873686</v>
      </c>
      <c r="F506" s="94" t="s">
        <v>540</v>
      </c>
      <c r="G506" s="25">
        <f t="shared" si="18"/>
        <v>1.2876048165957998E-2</v>
      </c>
      <c r="I506" s="94">
        <v>3.29</v>
      </c>
      <c r="J506" s="94">
        <v>3.31</v>
      </c>
      <c r="K506" s="94">
        <v>3.17</v>
      </c>
      <c r="L506" s="94">
        <v>3.28</v>
      </c>
      <c r="M506" s="94">
        <v>2414547</v>
      </c>
      <c r="N506" s="94" t="s">
        <v>540</v>
      </c>
      <c r="O506" s="25">
        <f t="shared" si="19"/>
        <v>3.0487804878049918E-3</v>
      </c>
    </row>
    <row r="507" spans="1:15">
      <c r="A507" s="94">
        <v>509.49</v>
      </c>
      <c r="B507" s="94">
        <v>510.54969999999997</v>
      </c>
      <c r="C507" s="94">
        <v>504.26</v>
      </c>
      <c r="D507" s="94">
        <v>504.54</v>
      </c>
      <c r="E507" s="94">
        <v>6525457</v>
      </c>
      <c r="F507" s="94" t="s">
        <v>541</v>
      </c>
      <c r="G507" s="25">
        <f t="shared" si="18"/>
        <v>9.810916874777087E-3</v>
      </c>
      <c r="I507" s="94">
        <v>3.43</v>
      </c>
      <c r="J507" s="94">
        <v>3.48</v>
      </c>
      <c r="K507" s="94">
        <v>3.36</v>
      </c>
      <c r="L507" s="94">
        <v>3.45</v>
      </c>
      <c r="M507" s="94">
        <v>2233777</v>
      </c>
      <c r="N507" s="94" t="s">
        <v>541</v>
      </c>
      <c r="O507" s="25">
        <f t="shared" si="19"/>
        <v>-5.7971014492753659E-3</v>
      </c>
    </row>
    <row r="508" spans="1:15">
      <c r="A508" s="94">
        <v>506.42</v>
      </c>
      <c r="B508" s="94">
        <v>508.74</v>
      </c>
      <c r="C508" s="94">
        <v>500.96</v>
      </c>
      <c r="D508" s="94">
        <v>506.81</v>
      </c>
      <c r="E508" s="94">
        <v>4210016</v>
      </c>
      <c r="F508" s="94" t="s">
        <v>542</v>
      </c>
      <c r="G508" s="25">
        <f t="shared" si="18"/>
        <v>-7.6951914918799158E-4</v>
      </c>
      <c r="I508" s="94">
        <v>3.41</v>
      </c>
      <c r="J508" s="94">
        <v>3.52</v>
      </c>
      <c r="K508" s="94">
        <v>3.31</v>
      </c>
      <c r="L508" s="94">
        <v>3.41</v>
      </c>
      <c r="M508" s="94">
        <v>3381886</v>
      </c>
      <c r="N508" s="94" t="s">
        <v>542</v>
      </c>
      <c r="O508" s="25">
        <f t="shared" si="19"/>
        <v>0</v>
      </c>
    </row>
    <row r="509" spans="1:15">
      <c r="A509" s="94">
        <v>506.11</v>
      </c>
      <c r="B509" s="94">
        <v>506.52</v>
      </c>
      <c r="C509" s="94">
        <v>499.75</v>
      </c>
      <c r="D509" s="94">
        <v>502.44</v>
      </c>
      <c r="E509" s="94">
        <v>6933423</v>
      </c>
      <c r="F509" s="94" t="s">
        <v>543</v>
      </c>
      <c r="G509" s="25">
        <f t="shared" si="18"/>
        <v>7.3043547488258476E-3</v>
      </c>
      <c r="I509" s="94">
        <v>3.39</v>
      </c>
      <c r="J509" s="94">
        <v>3.44</v>
      </c>
      <c r="K509" s="94">
        <v>3.3050000000000002</v>
      </c>
      <c r="L509" s="94">
        <v>3.34</v>
      </c>
      <c r="M509" s="94">
        <v>2127299</v>
      </c>
      <c r="N509" s="94" t="s">
        <v>543</v>
      </c>
      <c r="O509" s="25">
        <f t="shared" si="19"/>
        <v>1.4970059880239583E-2</v>
      </c>
    </row>
    <row r="510" spans="1:15">
      <c r="A510" s="94">
        <v>502.41</v>
      </c>
      <c r="B510" s="94">
        <v>503</v>
      </c>
      <c r="C510" s="94">
        <v>492.22309999999999</v>
      </c>
      <c r="D510" s="94">
        <v>493.26</v>
      </c>
      <c r="E510" s="94">
        <v>6184333</v>
      </c>
      <c r="F510" s="94" t="s">
        <v>544</v>
      </c>
      <c r="G510" s="25">
        <f t="shared" si="18"/>
        <v>1.8550054737866528E-2</v>
      </c>
      <c r="I510" s="94">
        <v>3.35</v>
      </c>
      <c r="J510" s="94">
        <v>3.3650000000000002</v>
      </c>
      <c r="K510" s="94">
        <v>3.12</v>
      </c>
      <c r="L510" s="94">
        <v>3.14</v>
      </c>
      <c r="M510" s="94">
        <v>3798977</v>
      </c>
      <c r="N510" s="94" t="s">
        <v>544</v>
      </c>
      <c r="O510" s="25">
        <f t="shared" si="19"/>
        <v>6.6878980891719841E-2</v>
      </c>
    </row>
    <row r="511" spans="1:15">
      <c r="A511" s="94">
        <v>492.07</v>
      </c>
      <c r="B511" s="94">
        <v>501.18</v>
      </c>
      <c r="C511" s="94">
        <v>490.7</v>
      </c>
      <c r="D511" s="94">
        <v>496.69</v>
      </c>
      <c r="E511" s="94">
        <v>8047601</v>
      </c>
      <c r="F511" s="94" t="s">
        <v>545</v>
      </c>
      <c r="G511" s="25">
        <f t="shared" si="18"/>
        <v>-9.3015764360063757E-3</v>
      </c>
      <c r="I511" s="94">
        <v>3.11</v>
      </c>
      <c r="J511" s="94">
        <v>3.34</v>
      </c>
      <c r="K511" s="94">
        <v>3.1</v>
      </c>
      <c r="L511" s="94">
        <v>3.23</v>
      </c>
      <c r="M511" s="94">
        <v>3818736</v>
      </c>
      <c r="N511" s="94" t="s">
        <v>545</v>
      </c>
      <c r="O511" s="25">
        <f t="shared" si="19"/>
        <v>-3.7151702786377694E-2</v>
      </c>
    </row>
    <row r="512" spans="1:15">
      <c r="A512" s="94">
        <v>484.29</v>
      </c>
      <c r="B512" s="94">
        <v>486.48</v>
      </c>
      <c r="C512" s="94">
        <v>477.19</v>
      </c>
      <c r="D512" s="94">
        <v>478.07</v>
      </c>
      <c r="E512" s="94">
        <v>6236319</v>
      </c>
      <c r="F512" s="94" t="s">
        <v>546</v>
      </c>
      <c r="G512" s="25">
        <f t="shared" si="18"/>
        <v>1.301064697638421E-2</v>
      </c>
      <c r="I512" s="94">
        <v>3.04</v>
      </c>
      <c r="J512" s="94">
        <v>3.1070000000000002</v>
      </c>
      <c r="K512" s="94">
        <v>2.98</v>
      </c>
      <c r="L512" s="94">
        <v>3.03</v>
      </c>
      <c r="M512" s="94">
        <v>2756677</v>
      </c>
      <c r="N512" s="94" t="s">
        <v>546</v>
      </c>
      <c r="O512" s="25">
        <f t="shared" si="19"/>
        <v>3.3003300330034513E-3</v>
      </c>
    </row>
    <row r="513" spans="1:15">
      <c r="A513" s="94">
        <v>472.37</v>
      </c>
      <c r="B513" s="94">
        <v>479.49</v>
      </c>
      <c r="C513" s="94">
        <v>467.33</v>
      </c>
      <c r="D513" s="94">
        <v>479.02</v>
      </c>
      <c r="E513" s="94">
        <v>7762501</v>
      </c>
      <c r="F513" s="94" t="s">
        <v>547</v>
      </c>
      <c r="G513" s="25">
        <f t="shared" si="18"/>
        <v>-1.388251012483821E-2</v>
      </c>
      <c r="I513" s="94">
        <v>2.96</v>
      </c>
      <c r="J513" s="94">
        <v>3.19</v>
      </c>
      <c r="K513" s="94">
        <v>2.92</v>
      </c>
      <c r="L513" s="94">
        <v>3.15</v>
      </c>
      <c r="M513" s="94">
        <v>3153940</v>
      </c>
      <c r="N513" s="94" t="s">
        <v>547</v>
      </c>
      <c r="O513" s="25">
        <f t="shared" si="19"/>
        <v>-6.0317460317460325E-2</v>
      </c>
    </row>
    <row r="514" spans="1:15">
      <c r="A514" s="94">
        <v>483.9</v>
      </c>
      <c r="B514" s="94">
        <v>488.16</v>
      </c>
      <c r="C514" s="94">
        <v>481.5</v>
      </c>
      <c r="D514" s="94">
        <v>484.79</v>
      </c>
      <c r="E514" s="94">
        <v>5638939</v>
      </c>
      <c r="F514" s="94" t="s">
        <v>548</v>
      </c>
      <c r="G514" s="25">
        <f t="shared" si="18"/>
        <v>-1.8358464489780513E-3</v>
      </c>
      <c r="I514" s="94">
        <v>3.23</v>
      </c>
      <c r="J514" s="94">
        <v>3.2650000000000001</v>
      </c>
      <c r="K514" s="94">
        <v>3.14</v>
      </c>
      <c r="L514" s="94">
        <v>3.19</v>
      </c>
      <c r="M514" s="94">
        <v>2322965</v>
      </c>
      <c r="N514" s="94" t="s">
        <v>548</v>
      </c>
      <c r="O514" s="25">
        <f t="shared" si="19"/>
        <v>1.2539184952978122E-2</v>
      </c>
    </row>
    <row r="515" spans="1:15">
      <c r="A515" s="94">
        <v>483.23</v>
      </c>
      <c r="B515" s="94">
        <v>491.76499999999999</v>
      </c>
      <c r="C515" s="94">
        <v>478.23</v>
      </c>
      <c r="D515" s="94">
        <v>488.65</v>
      </c>
      <c r="E515" s="94">
        <v>6374869</v>
      </c>
      <c r="F515" s="94" t="s">
        <v>549</v>
      </c>
      <c r="G515" s="25">
        <f t="shared" si="18"/>
        <v>-1.1091783485111972E-2</v>
      </c>
      <c r="I515" s="94">
        <v>3.19</v>
      </c>
      <c r="J515" s="94">
        <v>3.27</v>
      </c>
      <c r="K515" s="94">
        <v>3.14</v>
      </c>
      <c r="L515" s="94">
        <v>3.19</v>
      </c>
      <c r="M515" s="94">
        <v>2565460</v>
      </c>
      <c r="N515" s="94" t="s">
        <v>549</v>
      </c>
      <c r="O515" s="25">
        <f t="shared" si="19"/>
        <v>0</v>
      </c>
    </row>
    <row r="516" spans="1:15">
      <c r="A516" s="94">
        <v>494.09</v>
      </c>
      <c r="B516" s="94">
        <v>499.27</v>
      </c>
      <c r="C516" s="94">
        <v>493.42</v>
      </c>
      <c r="D516" s="94">
        <v>496.03</v>
      </c>
      <c r="E516" s="94">
        <v>8200583</v>
      </c>
      <c r="F516" s="94" t="s">
        <v>550</v>
      </c>
      <c r="G516" s="25">
        <f t="shared" si="18"/>
        <v>-3.911053766909256E-3</v>
      </c>
      <c r="I516" s="94">
        <v>3.28</v>
      </c>
      <c r="J516" s="94">
        <v>3.3250000000000002</v>
      </c>
      <c r="K516" s="94">
        <v>3.1101000000000001</v>
      </c>
      <c r="L516" s="94">
        <v>3.13</v>
      </c>
      <c r="M516" s="94">
        <v>4183216</v>
      </c>
      <c r="N516" s="94" t="s">
        <v>550</v>
      </c>
      <c r="O516" s="25">
        <f t="shared" si="19"/>
        <v>4.7923322683706138E-2</v>
      </c>
    </row>
    <row r="517" spans="1:15">
      <c r="A517" s="94">
        <v>495.48</v>
      </c>
      <c r="B517" s="94">
        <v>500.26</v>
      </c>
      <c r="C517" s="94">
        <v>490.69</v>
      </c>
      <c r="D517" s="94">
        <v>500.05</v>
      </c>
      <c r="E517" s="94">
        <v>7701488</v>
      </c>
      <c r="F517" s="94" t="s">
        <v>551</v>
      </c>
      <c r="G517" s="25">
        <f t="shared" si="18"/>
        <v>-9.1390860913908023E-3</v>
      </c>
      <c r="I517" s="94">
        <v>3.14</v>
      </c>
      <c r="J517" s="94">
        <v>3.3224999999999998</v>
      </c>
      <c r="K517" s="94">
        <v>3.06</v>
      </c>
      <c r="L517" s="94">
        <v>3.22</v>
      </c>
      <c r="M517" s="94">
        <v>3722817</v>
      </c>
      <c r="N517" s="94" t="s">
        <v>551</v>
      </c>
      <c r="O517" s="25">
        <f t="shared" si="19"/>
        <v>-2.4844720496894457E-2</v>
      </c>
    </row>
    <row r="518" spans="1:15">
      <c r="A518" s="94">
        <v>490.55</v>
      </c>
      <c r="B518" s="94">
        <v>493</v>
      </c>
      <c r="C518" s="94">
        <v>478</v>
      </c>
      <c r="D518" s="94">
        <v>480.69</v>
      </c>
      <c r="E518" s="94">
        <v>11541195</v>
      </c>
      <c r="F518" s="94" t="s">
        <v>552</v>
      </c>
      <c r="G518" s="25">
        <f t="shared" si="18"/>
        <v>2.051218040733116E-2</v>
      </c>
      <c r="I518" s="94">
        <v>3.17</v>
      </c>
      <c r="J518" s="94">
        <v>3.24</v>
      </c>
      <c r="K518" s="94">
        <v>3.07</v>
      </c>
      <c r="L518" s="94">
        <v>3.24</v>
      </c>
      <c r="M518" s="94">
        <v>4178441</v>
      </c>
      <c r="N518" s="94" t="s">
        <v>552</v>
      </c>
      <c r="O518" s="25">
        <f t="shared" si="19"/>
        <v>-2.1604938271605034E-2</v>
      </c>
    </row>
    <row r="519" spans="1:15">
      <c r="A519" s="94">
        <v>482.06</v>
      </c>
      <c r="B519" s="94">
        <v>490.3</v>
      </c>
      <c r="C519" s="94">
        <v>468.33</v>
      </c>
      <c r="D519" s="94">
        <v>489.15</v>
      </c>
      <c r="E519" s="94">
        <v>16651303</v>
      </c>
      <c r="F519" s="94" t="s">
        <v>553</v>
      </c>
      <c r="G519" s="25">
        <f t="shared" si="18"/>
        <v>-1.4494531329857896E-2</v>
      </c>
      <c r="I519" s="94">
        <v>3.36</v>
      </c>
      <c r="J519" s="94">
        <v>3.4750000000000001</v>
      </c>
      <c r="K519" s="94">
        <v>3.25</v>
      </c>
      <c r="L519" s="94">
        <v>3.36</v>
      </c>
      <c r="M519" s="94">
        <v>4336646</v>
      </c>
      <c r="N519" s="94" t="s">
        <v>553</v>
      </c>
      <c r="O519" s="25">
        <f t="shared" si="19"/>
        <v>0</v>
      </c>
    </row>
    <row r="520" spans="1:15">
      <c r="A520" s="94">
        <v>499.1</v>
      </c>
      <c r="B520" s="94">
        <v>502.06119999999999</v>
      </c>
      <c r="C520" s="94">
        <v>453.16</v>
      </c>
      <c r="D520" s="94">
        <v>453.49</v>
      </c>
      <c r="E520" s="94">
        <v>29286594</v>
      </c>
      <c r="F520" s="94" t="s">
        <v>554</v>
      </c>
      <c r="G520" s="25">
        <f t="shared" si="18"/>
        <v>0.10057553639551031</v>
      </c>
      <c r="I520" s="94">
        <v>3.61</v>
      </c>
      <c r="J520" s="94">
        <v>3.72</v>
      </c>
      <c r="K520" s="94">
        <v>2.99</v>
      </c>
      <c r="L520" s="94">
        <v>3</v>
      </c>
      <c r="M520" s="94">
        <v>5670860</v>
      </c>
      <c r="N520" s="94" t="s">
        <v>554</v>
      </c>
      <c r="O520" s="25">
        <f t="shared" si="19"/>
        <v>0.20333333333333337</v>
      </c>
    </row>
    <row r="521" spans="1:15">
      <c r="A521" s="94">
        <v>456.74</v>
      </c>
      <c r="B521" s="94">
        <v>482.49</v>
      </c>
      <c r="C521" s="94">
        <v>449.6</v>
      </c>
      <c r="D521" s="94">
        <v>479.68</v>
      </c>
      <c r="E521" s="94">
        <v>19002684</v>
      </c>
      <c r="F521" s="94" t="s">
        <v>555</v>
      </c>
      <c r="G521" s="25">
        <f t="shared" si="18"/>
        <v>-4.7823549032688484E-2</v>
      </c>
      <c r="I521" s="94">
        <v>3.04</v>
      </c>
      <c r="J521" s="94">
        <v>3.51</v>
      </c>
      <c r="K521" s="94">
        <v>2.92</v>
      </c>
      <c r="L521" s="94">
        <v>3.51</v>
      </c>
      <c r="M521" s="94">
        <v>7110293</v>
      </c>
      <c r="N521" s="94" t="s">
        <v>555</v>
      </c>
      <c r="O521" s="25">
        <f t="shared" si="19"/>
        <v>-0.1339031339031338</v>
      </c>
    </row>
    <row r="522" spans="1:15">
      <c r="A522" s="94">
        <v>463.56</v>
      </c>
      <c r="B522" s="94">
        <v>480.76</v>
      </c>
      <c r="C522" s="94">
        <v>442.8</v>
      </c>
      <c r="D522" s="94">
        <v>449.54</v>
      </c>
      <c r="E522" s="94">
        <v>31285267</v>
      </c>
      <c r="F522" s="94" t="s">
        <v>556</v>
      </c>
      <c r="G522" s="25">
        <f t="shared" si="18"/>
        <v>3.1187436045735595E-2</v>
      </c>
      <c r="I522" s="94">
        <v>3.26</v>
      </c>
      <c r="J522" s="94">
        <v>3.5</v>
      </c>
      <c r="K522" s="94">
        <v>2.79</v>
      </c>
      <c r="L522" s="94">
        <v>2.8050000000000002</v>
      </c>
      <c r="M522" s="94">
        <v>7632114</v>
      </c>
      <c r="N522" s="94" t="s">
        <v>556</v>
      </c>
      <c r="O522" s="25">
        <f t="shared" si="19"/>
        <v>0.16221033868092682</v>
      </c>
    </row>
    <row r="523" spans="1:15">
      <c r="A523" s="94">
        <v>465.52</v>
      </c>
      <c r="B523" s="94">
        <v>483.3</v>
      </c>
      <c r="C523" s="94">
        <v>464.24</v>
      </c>
      <c r="D523" s="94">
        <v>481.28</v>
      </c>
      <c r="E523" s="94">
        <v>30966508</v>
      </c>
      <c r="F523" s="94" t="s">
        <v>557</v>
      </c>
      <c r="G523" s="25">
        <f t="shared" si="18"/>
        <v>-3.2746010638297851E-2</v>
      </c>
      <c r="I523" s="94">
        <v>3.17</v>
      </c>
      <c r="J523" s="94">
        <v>3.25</v>
      </c>
      <c r="K523" s="94">
        <v>2.92</v>
      </c>
      <c r="L523" s="94">
        <v>3.13</v>
      </c>
      <c r="M523" s="94">
        <v>5635268</v>
      </c>
      <c r="N523" s="94" t="s">
        <v>557</v>
      </c>
      <c r="O523" s="25">
        <f t="shared" si="19"/>
        <v>1.2779552715654896E-2</v>
      </c>
    </row>
    <row r="524" spans="1:15">
      <c r="A524" s="94">
        <v>494.16</v>
      </c>
      <c r="B524" s="94">
        <v>503.66</v>
      </c>
      <c r="C524" s="94">
        <v>493.5</v>
      </c>
      <c r="D524" s="94">
        <v>501</v>
      </c>
      <c r="E524" s="94">
        <v>16226023</v>
      </c>
      <c r="F524" s="94" t="s">
        <v>558</v>
      </c>
      <c r="G524" s="25">
        <f t="shared" si="18"/>
        <v>-1.3652694610778449E-2</v>
      </c>
      <c r="I524" s="94">
        <v>3.35</v>
      </c>
      <c r="J524" s="94">
        <v>3.415</v>
      </c>
      <c r="K524" s="94">
        <v>3.2</v>
      </c>
      <c r="L524" s="94">
        <v>3.25</v>
      </c>
      <c r="M524" s="94">
        <v>3664274</v>
      </c>
      <c r="N524" s="94" t="s">
        <v>558</v>
      </c>
      <c r="O524" s="25">
        <f t="shared" si="19"/>
        <v>3.0769230769230882E-2</v>
      </c>
    </row>
    <row r="525" spans="1:15">
      <c r="A525" s="94">
        <v>518.91</v>
      </c>
      <c r="B525" s="94">
        <v>521.49</v>
      </c>
      <c r="C525" s="94">
        <v>509.9298</v>
      </c>
      <c r="D525" s="94">
        <v>510.14</v>
      </c>
      <c r="E525" s="94">
        <v>6308643</v>
      </c>
      <c r="F525" s="94" t="s">
        <v>559</v>
      </c>
      <c r="G525" s="25">
        <f t="shared" si="18"/>
        <v>1.7191359234719927E-2</v>
      </c>
      <c r="I525" s="94">
        <v>3.58</v>
      </c>
      <c r="J525" s="94">
        <v>3.6349999999999998</v>
      </c>
      <c r="K525" s="94">
        <v>3.31</v>
      </c>
      <c r="L525" s="94">
        <v>3.31</v>
      </c>
      <c r="M525" s="94">
        <v>3651685</v>
      </c>
      <c r="N525" s="94" t="s">
        <v>559</v>
      </c>
      <c r="O525" s="25">
        <f t="shared" si="19"/>
        <v>8.1570996978852062E-2</v>
      </c>
    </row>
    <row r="526" spans="1:15">
      <c r="A526" s="94">
        <v>515.79999999999995</v>
      </c>
      <c r="B526" s="94">
        <v>517.35</v>
      </c>
      <c r="C526" s="94">
        <v>508.88</v>
      </c>
      <c r="D526" s="94">
        <v>512.36</v>
      </c>
      <c r="E526" s="94">
        <v>7697017</v>
      </c>
      <c r="F526" s="94" t="s">
        <v>560</v>
      </c>
      <c r="G526" s="25">
        <f t="shared" si="18"/>
        <v>6.7140291982199507E-3</v>
      </c>
      <c r="I526" s="94">
        <v>3.43</v>
      </c>
      <c r="J526" s="94">
        <v>3.46</v>
      </c>
      <c r="K526" s="94">
        <v>3.2711999999999999</v>
      </c>
      <c r="L526" s="94">
        <v>3.36</v>
      </c>
      <c r="M526" s="94">
        <v>2543961</v>
      </c>
      <c r="N526" s="94" t="s">
        <v>560</v>
      </c>
      <c r="O526" s="25">
        <f t="shared" si="19"/>
        <v>2.0833333333333481E-2</v>
      </c>
    </row>
    <row r="527" spans="1:15">
      <c r="A527" s="94">
        <v>513.91</v>
      </c>
      <c r="B527" s="94">
        <v>515.33000000000004</v>
      </c>
      <c r="C527" s="94">
        <v>502.64</v>
      </c>
      <c r="D527" s="94">
        <v>505.31</v>
      </c>
      <c r="E527" s="94">
        <v>8196668</v>
      </c>
      <c r="F527" s="94" t="s">
        <v>561</v>
      </c>
      <c r="G527" s="25">
        <f t="shared" si="18"/>
        <v>1.7019255506520725E-2</v>
      </c>
      <c r="I527" s="94">
        <v>3.38</v>
      </c>
      <c r="J527" s="94">
        <v>3.42</v>
      </c>
      <c r="K527" s="94">
        <v>3.22</v>
      </c>
      <c r="L527" s="94">
        <v>3.25</v>
      </c>
      <c r="M527" s="94">
        <v>3709098</v>
      </c>
      <c r="N527" s="94" t="s">
        <v>561</v>
      </c>
      <c r="O527" s="25">
        <f t="shared" si="19"/>
        <v>4.0000000000000036E-2</v>
      </c>
    </row>
    <row r="528" spans="1:15">
      <c r="A528" s="94">
        <v>510.8</v>
      </c>
      <c r="B528" s="94">
        <v>520.46</v>
      </c>
      <c r="C528" s="94">
        <v>510.16</v>
      </c>
      <c r="D528" s="94">
        <v>519.76</v>
      </c>
      <c r="E528" s="94">
        <v>5831793</v>
      </c>
      <c r="F528" s="94" t="s">
        <v>562</v>
      </c>
      <c r="G528" s="25">
        <f t="shared" si="18"/>
        <v>-1.7238725565645652E-2</v>
      </c>
      <c r="I528" s="94">
        <v>3.46</v>
      </c>
      <c r="J528" s="94">
        <v>3.7650000000000001</v>
      </c>
      <c r="K528" s="94">
        <v>3.43</v>
      </c>
      <c r="L528" s="94">
        <v>3.75</v>
      </c>
      <c r="M528" s="94">
        <v>3116656</v>
      </c>
      <c r="N528" s="94" t="s">
        <v>562</v>
      </c>
      <c r="O528" s="25">
        <f t="shared" si="19"/>
        <v>-7.7333333333333365E-2</v>
      </c>
    </row>
    <row r="529" spans="1:15">
      <c r="A529" s="94">
        <v>521.21</v>
      </c>
      <c r="B529" s="94">
        <v>524.678</v>
      </c>
      <c r="C529" s="94">
        <v>519.23</v>
      </c>
      <c r="D529" s="94">
        <v>521.29</v>
      </c>
      <c r="E529" s="94">
        <v>5534928</v>
      </c>
      <c r="F529" s="94" t="s">
        <v>563</v>
      </c>
      <c r="G529" s="25">
        <f t="shared" si="18"/>
        <v>-1.5346544150074415E-4</v>
      </c>
      <c r="I529" s="94">
        <v>3.72</v>
      </c>
      <c r="J529" s="94">
        <v>3.8</v>
      </c>
      <c r="K529" s="94">
        <v>3.6644000000000001</v>
      </c>
      <c r="L529" s="94">
        <v>3.8</v>
      </c>
      <c r="M529" s="94">
        <v>4519275</v>
      </c>
      <c r="N529" s="94" t="s">
        <v>563</v>
      </c>
      <c r="O529" s="25">
        <f t="shared" si="19"/>
        <v>-2.1052631578947323E-2</v>
      </c>
    </row>
    <row r="530" spans="1:15">
      <c r="A530" s="94">
        <v>522.64789999999982</v>
      </c>
      <c r="B530" s="94">
        <v>529.57388654806823</v>
      </c>
      <c r="C530" s="94">
        <v>521.2925990351979</v>
      </c>
      <c r="D530" s="94">
        <v>528.72682344506711</v>
      </c>
      <c r="E530" s="94">
        <v>4444984.1890879134</v>
      </c>
      <c r="F530" s="94" t="s">
        <v>564</v>
      </c>
      <c r="G530" s="25">
        <f t="shared" si="18"/>
        <v>-1.1497285886610364E-2</v>
      </c>
      <c r="I530" s="94">
        <v>3.83</v>
      </c>
      <c r="J530" s="94">
        <v>4.03</v>
      </c>
      <c r="K530" s="94">
        <v>3.77</v>
      </c>
      <c r="L530" s="94">
        <v>3.99</v>
      </c>
      <c r="M530" s="94">
        <v>3458147</v>
      </c>
      <c r="N530" s="94" t="s">
        <v>564</v>
      </c>
      <c r="O530" s="25">
        <f t="shared" si="19"/>
        <v>-4.0100250626566414E-2</v>
      </c>
    </row>
    <row r="531" spans="1:15">
      <c r="A531" s="94">
        <v>528.81651247950253</v>
      </c>
      <c r="B531" s="94">
        <v>529.76323006520977</v>
      </c>
      <c r="C531" s="94">
        <v>527.28183344582988</v>
      </c>
      <c r="D531" s="94">
        <v>528.75671978987896</v>
      </c>
      <c r="E531" s="94">
        <v>6281904.064935497</v>
      </c>
      <c r="F531" s="94" t="s">
        <v>565</v>
      </c>
      <c r="G531" s="25">
        <f t="shared" si="18"/>
        <v>1.1308166380818996E-4</v>
      </c>
      <c r="I531" s="94">
        <v>3.99</v>
      </c>
      <c r="J531" s="94">
        <v>4.0049999999999999</v>
      </c>
      <c r="K531" s="94">
        <v>3.85</v>
      </c>
      <c r="L531" s="94">
        <v>3.99</v>
      </c>
      <c r="M531" s="94">
        <v>4788592</v>
      </c>
      <c r="N531" s="94" t="s">
        <v>565</v>
      </c>
      <c r="O531" s="25">
        <f t="shared" si="19"/>
        <v>0</v>
      </c>
    </row>
    <row r="532" spans="1:15">
      <c r="A532" s="94">
        <v>527.56086599740661</v>
      </c>
      <c r="B532" s="94">
        <v>528.55741082446684</v>
      </c>
      <c r="C532" s="94">
        <v>524.06299365442533</v>
      </c>
      <c r="D532" s="94">
        <v>524.66092055066144</v>
      </c>
      <c r="E532" s="94">
        <v>22453848.931221198</v>
      </c>
      <c r="F532" s="94" t="s">
        <v>566</v>
      </c>
      <c r="G532" s="25">
        <f t="shared" si="18"/>
        <v>5.5272754900470566E-3</v>
      </c>
      <c r="I532" s="94">
        <v>4</v>
      </c>
      <c r="J532" s="94">
        <v>4.2300000000000004</v>
      </c>
      <c r="K532" s="94">
        <v>3.9</v>
      </c>
      <c r="L532" s="94">
        <v>3.91</v>
      </c>
      <c r="M532" s="94">
        <v>5325821</v>
      </c>
      <c r="N532" s="94" t="s">
        <v>566</v>
      </c>
      <c r="O532" s="25">
        <f t="shared" si="19"/>
        <v>2.3017902813299296E-2</v>
      </c>
    </row>
    <row r="533" spans="1:15">
      <c r="A533" s="94">
        <v>518.46241172634689</v>
      </c>
      <c r="B533" s="94">
        <v>519.15002765701854</v>
      </c>
      <c r="C533" s="94">
        <v>512.87677797067442</v>
      </c>
      <c r="D533" s="94">
        <v>514.00785634938768</v>
      </c>
      <c r="E533" s="94">
        <v>5076551.3628965141</v>
      </c>
      <c r="F533" s="94" t="s">
        <v>567</v>
      </c>
      <c r="G533" s="25">
        <f t="shared" si="18"/>
        <v>8.666317687431091E-3</v>
      </c>
      <c r="I533" s="94">
        <v>3.79</v>
      </c>
      <c r="J533" s="94">
        <v>3.835</v>
      </c>
      <c r="K533" s="94">
        <v>3.1501000000000001</v>
      </c>
      <c r="L533" s="94">
        <v>3.61</v>
      </c>
      <c r="M533" s="94">
        <v>17295908</v>
      </c>
      <c r="N533" s="94" t="s">
        <v>567</v>
      </c>
      <c r="O533" s="25">
        <f t="shared" si="19"/>
        <v>4.9861495844875314E-2</v>
      </c>
    </row>
    <row r="534" spans="1:15">
      <c r="A534" s="94">
        <v>518.33286089882904</v>
      </c>
      <c r="B534" s="94">
        <v>522.80236444819411</v>
      </c>
      <c r="C534" s="94">
        <v>515.53256993478999</v>
      </c>
      <c r="D534" s="94">
        <v>516.17035862410842</v>
      </c>
      <c r="E534" s="94">
        <v>6050643.0180241829</v>
      </c>
      <c r="F534" s="94" t="s">
        <v>568</v>
      </c>
      <c r="G534" s="25">
        <f t="shared" si="18"/>
        <v>4.1895127036835067E-3</v>
      </c>
      <c r="I534" s="94">
        <v>4.24</v>
      </c>
      <c r="J534" s="94">
        <v>4.33</v>
      </c>
      <c r="K534" s="94">
        <v>4.21</v>
      </c>
      <c r="L534" s="94">
        <v>4.21</v>
      </c>
      <c r="M534" s="94">
        <v>3539207</v>
      </c>
      <c r="N534" s="94" t="s">
        <v>568</v>
      </c>
      <c r="O534" s="25">
        <f t="shared" si="19"/>
        <v>7.1258907363420665E-3</v>
      </c>
    </row>
    <row r="535" spans="1:15">
      <c r="A535" s="94">
        <v>519.52871469130139</v>
      </c>
      <c r="B535" s="94">
        <v>523.14617241352994</v>
      </c>
      <c r="C535" s="94">
        <v>514.63478270009125</v>
      </c>
      <c r="D535" s="94">
        <v>515.75180979674315</v>
      </c>
      <c r="E535" s="94">
        <v>5392581.3009867659</v>
      </c>
      <c r="F535" s="94" t="s">
        <v>569</v>
      </c>
      <c r="G535" s="25">
        <f t="shared" si="18"/>
        <v>7.3231054604474544E-3</v>
      </c>
      <c r="I535" s="94">
        <v>4.32</v>
      </c>
      <c r="J535" s="94">
        <v>4.4000000000000004</v>
      </c>
      <c r="K535" s="94">
        <v>4.12</v>
      </c>
      <c r="L535" s="94">
        <v>4.1399999999999997</v>
      </c>
      <c r="M535" s="94">
        <v>2734565</v>
      </c>
      <c r="N535" s="94" t="s">
        <v>569</v>
      </c>
      <c r="O535" s="25">
        <f t="shared" si="19"/>
        <v>4.347826086956541E-2</v>
      </c>
    </row>
    <row r="536" spans="1:15">
      <c r="A536" s="94">
        <v>514.12744172863495</v>
      </c>
      <c r="B536" s="94">
        <v>517.72496855432234</v>
      </c>
      <c r="C536" s="94">
        <v>512.29459648270586</v>
      </c>
      <c r="D536" s="94">
        <v>517.52565958891034</v>
      </c>
      <c r="E536" s="94">
        <v>6031437.6601914996</v>
      </c>
      <c r="F536" s="94" t="s">
        <v>570</v>
      </c>
      <c r="G536" s="25">
        <f t="shared" si="18"/>
        <v>-6.5662789802050092E-3</v>
      </c>
      <c r="I536" s="94">
        <v>4.12</v>
      </c>
      <c r="J536" s="94">
        <v>4.21</v>
      </c>
      <c r="K536" s="94">
        <v>3.99</v>
      </c>
      <c r="L536" s="94">
        <v>4.0999999999999996</v>
      </c>
      <c r="M536" s="94">
        <v>3605537</v>
      </c>
      <c r="N536" s="94" t="s">
        <v>570</v>
      </c>
      <c r="O536" s="25">
        <f t="shared" si="19"/>
        <v>4.8780487804878092E-3</v>
      </c>
    </row>
    <row r="537" spans="1:15">
      <c r="A537" s="94">
        <v>519.60843827746612</v>
      </c>
      <c r="B537" s="94">
        <v>522.03004220722255</v>
      </c>
      <c r="C537" s="94">
        <v>515.29339917629545</v>
      </c>
      <c r="D537" s="94">
        <v>515.66212076230772</v>
      </c>
      <c r="E537" s="94">
        <v>6291581.5021547033</v>
      </c>
      <c r="F537" s="94" t="s">
        <v>571</v>
      </c>
      <c r="G537" s="25">
        <f t="shared" si="18"/>
        <v>7.6529133249587655E-3</v>
      </c>
      <c r="I537" s="94">
        <v>4.17</v>
      </c>
      <c r="J537" s="94">
        <v>4.24</v>
      </c>
      <c r="K537" s="94">
        <v>4.0750000000000002</v>
      </c>
      <c r="L537" s="94">
        <v>4.1500000000000004</v>
      </c>
      <c r="M537" s="94">
        <v>3287623</v>
      </c>
      <c r="N537" s="94" t="s">
        <v>571</v>
      </c>
      <c r="O537" s="25">
        <f t="shared" si="19"/>
        <v>4.8192771084336616E-3</v>
      </c>
    </row>
    <row r="538" spans="1:15">
      <c r="A538" s="94">
        <v>515.6720862105783</v>
      </c>
      <c r="B538" s="94">
        <v>516.62876924455611</v>
      </c>
      <c r="C538" s="94">
        <v>509.07495945543968</v>
      </c>
      <c r="D538" s="94">
        <v>509.51343917934616</v>
      </c>
      <c r="E538" s="94">
        <v>7437960.4396382375</v>
      </c>
      <c r="F538" s="94" t="s">
        <v>572</v>
      </c>
      <c r="G538" s="25">
        <f t="shared" si="18"/>
        <v>1.2087310280081365E-2</v>
      </c>
      <c r="I538" s="94">
        <v>4.16</v>
      </c>
      <c r="J538" s="94">
        <v>4.26</v>
      </c>
      <c r="K538" s="94">
        <v>4</v>
      </c>
      <c r="L538" s="94">
        <v>4.09</v>
      </c>
      <c r="M538" s="94">
        <v>3673240</v>
      </c>
      <c r="N538" s="94" t="s">
        <v>572</v>
      </c>
      <c r="O538" s="25">
        <f t="shared" si="19"/>
        <v>1.7114914425427896E-2</v>
      </c>
    </row>
    <row r="539" spans="1:15">
      <c r="A539" s="94">
        <v>505.2980545608815</v>
      </c>
      <c r="B539" s="94">
        <v>512.28383379857348</v>
      </c>
      <c r="C539" s="94">
        <v>503.67368649277336</v>
      </c>
      <c r="D539" s="94">
        <v>511.73573414369048</v>
      </c>
      <c r="E539" s="94">
        <v>21725060.842337649</v>
      </c>
      <c r="F539" s="94" t="s">
        <v>573</v>
      </c>
      <c r="G539" s="25">
        <f t="shared" si="18"/>
        <v>-1.2580086074273189E-2</v>
      </c>
      <c r="I539" s="94">
        <v>3.97</v>
      </c>
      <c r="J539" s="94">
        <v>4.0449999999999999</v>
      </c>
      <c r="K539" s="94">
        <v>3.84</v>
      </c>
      <c r="L539" s="94">
        <v>3.94</v>
      </c>
      <c r="M539" s="94">
        <v>2988850</v>
      </c>
      <c r="N539" s="94" t="s">
        <v>573</v>
      </c>
      <c r="O539" s="25">
        <f t="shared" si="19"/>
        <v>7.6142131979695105E-3</v>
      </c>
    </row>
    <row r="540" spans="1:15">
      <c r="A540" s="94">
        <v>511.98487035045554</v>
      </c>
      <c r="B540" s="94">
        <v>515.95111876215515</v>
      </c>
      <c r="C540" s="94">
        <v>507.34097145635496</v>
      </c>
      <c r="D540" s="94">
        <v>515.10405565915403</v>
      </c>
      <c r="E540" s="94">
        <v>8620339.7646867074</v>
      </c>
      <c r="F540" s="94" t="s">
        <v>574</v>
      </c>
      <c r="G540" s="25">
        <f t="shared" ref="G540:G603" si="20">A540/D540-1</f>
        <v>-6.0554470003288952E-3</v>
      </c>
      <c r="I540" s="94">
        <v>4</v>
      </c>
      <c r="J540" s="94">
        <v>4.13</v>
      </c>
      <c r="K540" s="94">
        <v>3.88</v>
      </c>
      <c r="L540" s="94">
        <v>4.04</v>
      </c>
      <c r="M540" s="94">
        <v>4353162</v>
      </c>
      <c r="N540" s="94" t="s">
        <v>574</v>
      </c>
      <c r="O540" s="25">
        <f t="shared" ref="O540:O603" si="21">I540/L540-1</f>
        <v>-9.9009900990099098E-3</v>
      </c>
    </row>
    <row r="541" spans="1:15">
      <c r="A541" s="94">
        <v>509.51343917934616</v>
      </c>
      <c r="B541" s="94">
        <v>515.74174469398986</v>
      </c>
      <c r="C541" s="94">
        <v>505.77639607787034</v>
      </c>
      <c r="D541" s="94">
        <v>512.55290090187987</v>
      </c>
      <c r="E541" s="94">
        <v>11247777.014774196</v>
      </c>
      <c r="F541" s="94" t="s">
        <v>575</v>
      </c>
      <c r="G541" s="25">
        <f t="shared" si="20"/>
        <v>-5.9300449127992483E-3</v>
      </c>
      <c r="I541" s="94">
        <v>3.83</v>
      </c>
      <c r="J541" s="94">
        <v>3.89</v>
      </c>
      <c r="K541" s="94">
        <v>3.59</v>
      </c>
      <c r="L541" s="94">
        <v>3.63</v>
      </c>
      <c r="M541" s="94">
        <v>4353208</v>
      </c>
      <c r="N541" s="94" t="s">
        <v>575</v>
      </c>
      <c r="O541" s="25">
        <f t="shared" si="21"/>
        <v>5.5096418732782482E-2</v>
      </c>
    </row>
    <row r="542" spans="1:15">
      <c r="A542" s="94">
        <v>513.72882379781095</v>
      </c>
      <c r="B542" s="94">
        <v>521.89052593143413</v>
      </c>
      <c r="C542" s="94">
        <v>509.0649940071691</v>
      </c>
      <c r="D542" s="94">
        <v>520.09674524272566</v>
      </c>
      <c r="E542" s="94">
        <v>11215642.986148039</v>
      </c>
      <c r="F542" s="94" t="s">
        <v>576</v>
      </c>
      <c r="G542" s="25">
        <f t="shared" si="20"/>
        <v>-1.2243724851504045E-2</v>
      </c>
      <c r="I542" s="94">
        <v>3.64</v>
      </c>
      <c r="J542" s="94">
        <v>3.8</v>
      </c>
      <c r="K542" s="94">
        <v>3.5</v>
      </c>
      <c r="L542" s="94">
        <v>3.79</v>
      </c>
      <c r="M542" s="94">
        <v>4878648</v>
      </c>
      <c r="N542" s="94" t="s">
        <v>576</v>
      </c>
      <c r="O542" s="25">
        <f t="shared" si="21"/>
        <v>-3.9577836411609502E-2</v>
      </c>
    </row>
    <row r="543" spans="1:15">
      <c r="A543" s="94">
        <v>527.68045137665388</v>
      </c>
      <c r="B543" s="94">
        <v>529.04571778972638</v>
      </c>
      <c r="C543" s="94">
        <v>518.33286089882904</v>
      </c>
      <c r="D543" s="94">
        <v>523.08637972390625</v>
      </c>
      <c r="E543" s="94">
        <v>7333618.9216487836</v>
      </c>
      <c r="F543" s="94" t="s">
        <v>577</v>
      </c>
      <c r="G543" s="25">
        <f t="shared" si="20"/>
        <v>8.782625261954724E-3</v>
      </c>
      <c r="I543" s="94">
        <v>3.98</v>
      </c>
      <c r="J543" s="94">
        <v>4.01</v>
      </c>
      <c r="K543" s="94">
        <v>3.68</v>
      </c>
      <c r="L543" s="94">
        <v>3.95</v>
      </c>
      <c r="M543" s="94">
        <v>4705276</v>
      </c>
      <c r="N543" s="94" t="s">
        <v>577</v>
      </c>
      <c r="O543" s="25">
        <f t="shared" si="21"/>
        <v>7.5949367088608E-3</v>
      </c>
    </row>
    <row r="544" spans="1:15">
      <c r="A544" s="94">
        <v>524.85026406780287</v>
      </c>
      <c r="B544" s="94">
        <v>531.58690709872985</v>
      </c>
      <c r="C544" s="94">
        <v>522.4087292415054</v>
      </c>
      <c r="D544" s="94">
        <v>527.36155703199472</v>
      </c>
      <c r="E544" s="94">
        <v>7253989.7892252151</v>
      </c>
      <c r="F544" s="94" t="s">
        <v>578</v>
      </c>
      <c r="G544" s="25">
        <f t="shared" si="20"/>
        <v>-4.7619947466885915E-3</v>
      </c>
      <c r="I544" s="94">
        <v>3.97</v>
      </c>
      <c r="J544" s="94">
        <v>4.3550000000000004</v>
      </c>
      <c r="K544" s="94">
        <v>3.94</v>
      </c>
      <c r="L544" s="94">
        <v>4.1900000000000004</v>
      </c>
      <c r="M544" s="94">
        <v>4471118</v>
      </c>
      <c r="N544" s="94" t="s">
        <v>578</v>
      </c>
      <c r="O544" s="25">
        <f t="shared" si="21"/>
        <v>-5.2505966587112263E-2</v>
      </c>
    </row>
    <row r="545" spans="1:15">
      <c r="A545" s="94">
        <v>534.54664523509871</v>
      </c>
      <c r="B545" s="94">
        <v>535.93194219919519</v>
      </c>
      <c r="C545" s="94">
        <v>525.10936572283845</v>
      </c>
      <c r="D545" s="94">
        <v>528.41789454867842</v>
      </c>
      <c r="E545" s="94">
        <v>6243316.7390512833</v>
      </c>
      <c r="F545" s="94" t="s">
        <v>579</v>
      </c>
      <c r="G545" s="25">
        <f t="shared" si="20"/>
        <v>1.1598302687411577E-2</v>
      </c>
      <c r="I545" s="94">
        <v>4.38</v>
      </c>
      <c r="J545" s="94">
        <v>4.3899999999999997</v>
      </c>
      <c r="K545" s="94">
        <v>4.0199999999999996</v>
      </c>
      <c r="L545" s="94">
        <v>4.1900000000000004</v>
      </c>
      <c r="M545" s="94">
        <v>3336815</v>
      </c>
      <c r="N545" s="94" t="s">
        <v>579</v>
      </c>
      <c r="O545" s="25">
        <f t="shared" si="21"/>
        <v>4.5346062052505909E-2</v>
      </c>
    </row>
    <row r="546" spans="1:15">
      <c r="A546" s="94">
        <v>528.61720351409053</v>
      </c>
      <c r="B546" s="94">
        <v>536.42004985548931</v>
      </c>
      <c r="C546" s="94">
        <v>524.34202620600217</v>
      </c>
      <c r="D546" s="94">
        <v>531.21818551271758</v>
      </c>
      <c r="E546" s="94">
        <v>10513761.865493005</v>
      </c>
      <c r="F546" s="94" t="s">
        <v>580</v>
      </c>
      <c r="G546" s="25">
        <f t="shared" si="20"/>
        <v>-4.8962593329079374E-3</v>
      </c>
      <c r="I546" s="94">
        <v>4.0999999999999996</v>
      </c>
      <c r="J546" s="94">
        <v>4.26</v>
      </c>
      <c r="K546" s="94">
        <v>3.83</v>
      </c>
      <c r="L546" s="94">
        <v>4.0599999999999996</v>
      </c>
      <c r="M546" s="94">
        <v>5365578</v>
      </c>
      <c r="N546" s="94" t="s">
        <v>580</v>
      </c>
      <c r="O546" s="25">
        <f t="shared" si="21"/>
        <v>9.8522167487684609E-3</v>
      </c>
    </row>
    <row r="547" spans="1:15">
      <c r="A547" s="94">
        <v>535.06484854517009</v>
      </c>
      <c r="B547" s="94">
        <v>547.39210805590494</v>
      </c>
      <c r="C547" s="94">
        <v>531.40852557468611</v>
      </c>
      <c r="D547" s="94">
        <v>546.3058741944094</v>
      </c>
      <c r="E547" s="94">
        <v>7315273.535165838</v>
      </c>
      <c r="F547" s="94" t="s">
        <v>581</v>
      </c>
      <c r="G547" s="25">
        <f t="shared" si="20"/>
        <v>-2.0576431959139163E-2</v>
      </c>
      <c r="I547" s="94">
        <v>4.25</v>
      </c>
      <c r="J547" s="94">
        <v>4.74</v>
      </c>
      <c r="K547" s="94">
        <v>4.1900000000000004</v>
      </c>
      <c r="L547" s="94">
        <v>4.7</v>
      </c>
      <c r="M547" s="94">
        <v>3593626</v>
      </c>
      <c r="N547" s="94" t="s">
        <v>581</v>
      </c>
      <c r="O547" s="25">
        <f t="shared" si="21"/>
        <v>-9.5744680851063912E-2</v>
      </c>
    </row>
    <row r="548" spans="1:15">
      <c r="A548" s="94">
        <v>544.44233536780678</v>
      </c>
      <c r="B548" s="94">
        <v>545.00040047096036</v>
      </c>
      <c r="C548" s="94">
        <v>533.72947847690943</v>
      </c>
      <c r="D548" s="94">
        <v>536.55966578576033</v>
      </c>
      <c r="E548" s="94">
        <v>7353458.470721879</v>
      </c>
      <c r="F548" s="94" t="s">
        <v>582</v>
      </c>
      <c r="G548" s="25">
        <f t="shared" si="20"/>
        <v>1.4691133315998917E-2</v>
      </c>
      <c r="I548" s="94">
        <v>4.62</v>
      </c>
      <c r="J548" s="94">
        <v>4.6399999999999997</v>
      </c>
      <c r="K548" s="94">
        <v>4.2699999999999996</v>
      </c>
      <c r="L548" s="94">
        <v>4.3499999999999996</v>
      </c>
      <c r="M548" s="94">
        <v>3888360</v>
      </c>
      <c r="N548" s="94" t="s">
        <v>582</v>
      </c>
      <c r="O548" s="25">
        <f t="shared" si="21"/>
        <v>6.2068965517241503E-2</v>
      </c>
    </row>
    <row r="549" spans="1:15">
      <c r="A549" s="94">
        <v>536.11122061358333</v>
      </c>
      <c r="B549" s="94">
        <v>547.98006950387048</v>
      </c>
      <c r="C549" s="94">
        <v>535.74249902757106</v>
      </c>
      <c r="D549" s="94">
        <v>546.93369743545725</v>
      </c>
      <c r="E549" s="94">
        <v>5540494.3662071563</v>
      </c>
      <c r="F549" s="94" t="s">
        <v>583</v>
      </c>
      <c r="G549" s="25">
        <f t="shared" si="20"/>
        <v>-1.9787548056775295E-2</v>
      </c>
      <c r="I549" s="94">
        <v>4.49</v>
      </c>
      <c r="J549" s="94">
        <v>4.8600000000000003</v>
      </c>
      <c r="K549" s="94">
        <v>4.4800000000000004</v>
      </c>
      <c r="L549" s="94">
        <v>4.7300000000000004</v>
      </c>
      <c r="M549" s="94">
        <v>3495303</v>
      </c>
      <c r="N549" s="94" t="s">
        <v>583</v>
      </c>
      <c r="O549" s="25">
        <f t="shared" si="21"/>
        <v>-5.0739957716701922E-2</v>
      </c>
    </row>
    <row r="550" spans="1:15">
      <c r="A550" s="94">
        <v>544.86088419517193</v>
      </c>
      <c r="B550" s="94">
        <v>549.4400076755137</v>
      </c>
      <c r="C550" s="94">
        <v>542.36952212752146</v>
      </c>
      <c r="D550" s="94">
        <v>546.11653067726786</v>
      </c>
      <c r="E550" s="94">
        <v>4195298.4817886017</v>
      </c>
      <c r="F550" s="94" t="s">
        <v>584</v>
      </c>
      <c r="G550" s="25">
        <f t="shared" si="20"/>
        <v>-2.2992281162753647E-3</v>
      </c>
      <c r="I550" s="94">
        <v>4.67</v>
      </c>
      <c r="J550" s="94">
        <v>4.8099999999999996</v>
      </c>
      <c r="K550" s="94">
        <v>4.5049999999999999</v>
      </c>
      <c r="L550" s="94">
        <v>4.51</v>
      </c>
      <c r="M550" s="94">
        <v>4046570</v>
      </c>
      <c r="N550" s="94" t="s">
        <v>584</v>
      </c>
      <c r="O550" s="25">
        <f t="shared" si="21"/>
        <v>3.5476718403547602E-2</v>
      </c>
    </row>
    <row r="551" spans="1:15">
      <c r="A551" s="94">
        <v>544.52205895397151</v>
      </c>
      <c r="B551" s="94">
        <v>547.87044957289379</v>
      </c>
      <c r="C551" s="94">
        <v>540.2951144155129</v>
      </c>
      <c r="D551" s="94">
        <v>547.28248812492825</v>
      </c>
      <c r="E551" s="94">
        <v>5510533.8474334273</v>
      </c>
      <c r="F551" s="94" t="s">
        <v>585</v>
      </c>
      <c r="G551" s="25">
        <f t="shared" si="20"/>
        <v>-5.0438836082886684E-3</v>
      </c>
      <c r="I551" s="94">
        <v>4.3899999999999997</v>
      </c>
      <c r="J551" s="94">
        <v>4.66</v>
      </c>
      <c r="K551" s="94">
        <v>4.29</v>
      </c>
      <c r="L551" s="94">
        <v>4.5949999999999998</v>
      </c>
      <c r="M551" s="94">
        <v>5099340</v>
      </c>
      <c r="N551" s="94" t="s">
        <v>585</v>
      </c>
      <c r="O551" s="25">
        <f t="shared" si="21"/>
        <v>-4.4613710554951003E-2</v>
      </c>
    </row>
    <row r="552" spans="1:15">
      <c r="A552" s="94">
        <v>547.24262633184594</v>
      </c>
      <c r="B552" s="94">
        <v>552.59407205315927</v>
      </c>
      <c r="C552" s="94">
        <v>546.61809168872719</v>
      </c>
      <c r="D552" s="94">
        <v>551.69718170880503</v>
      </c>
      <c r="E552" s="94">
        <v>4788801.1360994671</v>
      </c>
      <c r="F552" s="94" t="s">
        <v>586</v>
      </c>
      <c r="G552" s="25">
        <f t="shared" si="20"/>
        <v>-8.0742761149544817E-3</v>
      </c>
      <c r="I552" s="94">
        <v>4.67</v>
      </c>
      <c r="J552" s="94">
        <v>5.1100000000000003</v>
      </c>
      <c r="K552" s="94">
        <v>4.6500000000000004</v>
      </c>
      <c r="L552" s="94">
        <v>5.09</v>
      </c>
      <c r="M552" s="94">
        <v>4888832</v>
      </c>
      <c r="N552" s="94" t="s">
        <v>586</v>
      </c>
      <c r="O552" s="25">
        <f t="shared" si="21"/>
        <v>-8.2514734774066789E-2</v>
      </c>
    </row>
    <row r="553" spans="1:15">
      <c r="A553" s="94">
        <v>549.8436083304731</v>
      </c>
      <c r="B553" s="94">
        <v>559.2609569461921</v>
      </c>
      <c r="C553" s="94">
        <v>549.36028408934885</v>
      </c>
      <c r="D553" s="94">
        <v>559.16130246348609</v>
      </c>
      <c r="E553" s="94">
        <v>6170012.4600902461</v>
      </c>
      <c r="F553" s="94" t="s">
        <v>587</v>
      </c>
      <c r="G553" s="25">
        <f t="shared" si="20"/>
        <v>-1.6663696310817988E-2</v>
      </c>
      <c r="I553" s="94">
        <v>4.97</v>
      </c>
      <c r="J553" s="94">
        <v>5.56</v>
      </c>
      <c r="K553" s="94">
        <v>4.96</v>
      </c>
      <c r="L553" s="94">
        <v>5.51</v>
      </c>
      <c r="M553" s="94">
        <v>6165854</v>
      </c>
      <c r="N553" s="94" t="s">
        <v>587</v>
      </c>
      <c r="O553" s="25">
        <f t="shared" si="21"/>
        <v>-9.8003629764065292E-2</v>
      </c>
    </row>
    <row r="554" spans="1:15">
      <c r="A554" s="94">
        <v>559.3606114288981</v>
      </c>
      <c r="B554" s="94">
        <v>560.54101877655091</v>
      </c>
      <c r="C554" s="94">
        <v>556.29125336155266</v>
      </c>
      <c r="D554" s="94">
        <v>560.44684529039375</v>
      </c>
      <c r="E554" s="94">
        <v>4462199.6715570865</v>
      </c>
      <c r="F554" s="94" t="s">
        <v>588</v>
      </c>
      <c r="G554" s="25">
        <f t="shared" si="20"/>
        <v>-1.9381567951066714E-3</v>
      </c>
      <c r="I554" s="94">
        <v>5.45</v>
      </c>
      <c r="J554" s="94">
        <v>5.71</v>
      </c>
      <c r="K554" s="94">
        <v>5.2480000000000002</v>
      </c>
      <c r="L554" s="94">
        <v>5.56</v>
      </c>
      <c r="M554" s="94">
        <v>7131327</v>
      </c>
      <c r="N554" s="94" t="s">
        <v>588</v>
      </c>
      <c r="O554" s="25">
        <f t="shared" si="21"/>
        <v>-1.9784172661870381E-2</v>
      </c>
    </row>
    <row r="555" spans="1:15">
      <c r="A555" s="94">
        <v>561.72242266903072</v>
      </c>
      <c r="B555" s="94">
        <v>561.97155887579584</v>
      </c>
      <c r="C555" s="94">
        <v>558.5942684568887</v>
      </c>
      <c r="D555" s="94">
        <v>559.08157887732125</v>
      </c>
      <c r="E555" s="94">
        <v>3870935.7524635624</v>
      </c>
      <c r="F555" s="94" t="s">
        <v>589</v>
      </c>
      <c r="G555" s="25">
        <f t="shared" si="20"/>
        <v>4.7235392677620336E-3</v>
      </c>
      <c r="I555" s="94">
        <v>5.63</v>
      </c>
      <c r="J555" s="94">
        <v>6.18</v>
      </c>
      <c r="K555" s="94">
        <v>5.63</v>
      </c>
      <c r="L555" s="94">
        <v>6.11</v>
      </c>
      <c r="M555" s="94">
        <v>5902910</v>
      </c>
      <c r="N555" s="94" t="s">
        <v>589</v>
      </c>
      <c r="O555" s="25">
        <f t="shared" si="21"/>
        <v>-7.8559738134206247E-2</v>
      </c>
    </row>
    <row r="556" spans="1:15">
      <c r="A556" s="94">
        <v>560.36712170422891</v>
      </c>
      <c r="B556" s="94">
        <v>560.36712170422891</v>
      </c>
      <c r="C556" s="94">
        <v>557.55686529191917</v>
      </c>
      <c r="D556" s="94">
        <v>559.85888384242821</v>
      </c>
      <c r="E556" s="94">
        <v>3858235.8721808712</v>
      </c>
      <c r="F556" s="94" t="s">
        <v>590</v>
      </c>
      <c r="G556" s="25">
        <f t="shared" si="20"/>
        <v>9.077963688144397E-4</v>
      </c>
      <c r="I556" s="94">
        <v>6.19</v>
      </c>
      <c r="J556" s="94">
        <v>6.375</v>
      </c>
      <c r="K556" s="94">
        <v>6.09</v>
      </c>
      <c r="L556" s="94">
        <v>6.11</v>
      </c>
      <c r="M556" s="94">
        <v>6880635</v>
      </c>
      <c r="N556" s="94" t="s">
        <v>590</v>
      </c>
      <c r="O556" s="25">
        <f t="shared" si="21"/>
        <v>1.3093289689034338E-2</v>
      </c>
    </row>
    <row r="557" spans="1:15">
      <c r="A557" s="94">
        <v>558.7527190843914</v>
      </c>
      <c r="B557" s="94">
        <v>559.91867653205179</v>
      </c>
      <c r="C557" s="94">
        <v>558.13486129161413</v>
      </c>
      <c r="D557" s="94">
        <v>558.96199349807398</v>
      </c>
      <c r="E557" s="94">
        <v>3392290.9519008892</v>
      </c>
      <c r="F557" s="94" t="s">
        <v>591</v>
      </c>
      <c r="G557" s="25">
        <f t="shared" si="20"/>
        <v>-3.7439828846486112E-4</v>
      </c>
      <c r="I557" s="94">
        <v>6.06</v>
      </c>
      <c r="J557" s="94">
        <v>6.6</v>
      </c>
      <c r="K557" s="94">
        <v>5.85</v>
      </c>
      <c r="L557" s="94">
        <v>6.28</v>
      </c>
      <c r="M557" s="94">
        <v>5424517</v>
      </c>
      <c r="N557" s="94" t="s">
        <v>591</v>
      </c>
      <c r="O557" s="25">
        <f t="shared" si="21"/>
        <v>-3.5031847133758065E-2</v>
      </c>
    </row>
    <row r="558" spans="1:15">
      <c r="A558" s="94">
        <v>558.73278818785013</v>
      </c>
      <c r="B558" s="94">
        <v>558.94206260153283</v>
      </c>
      <c r="C558" s="94">
        <v>552.7784328461654</v>
      </c>
      <c r="D558" s="94">
        <v>553.94937301796119</v>
      </c>
      <c r="E558" s="94">
        <v>3400246.4394863169</v>
      </c>
      <c r="F558" s="94" t="s">
        <v>592</v>
      </c>
      <c r="G558" s="25">
        <f t="shared" si="20"/>
        <v>8.6351125263099959E-3</v>
      </c>
      <c r="I558" s="94">
        <v>6.24</v>
      </c>
      <c r="J558" s="94">
        <v>6.26</v>
      </c>
      <c r="K558" s="94">
        <v>6.05</v>
      </c>
      <c r="L558" s="94">
        <v>6.17</v>
      </c>
      <c r="M558" s="94">
        <v>3448493</v>
      </c>
      <c r="N558" s="94" t="s">
        <v>592</v>
      </c>
      <c r="O558" s="25">
        <f t="shared" si="21"/>
        <v>1.1345218800648427E-2</v>
      </c>
    </row>
    <row r="559" spans="1:15">
      <c r="A559" s="94">
        <v>552.89303550127727</v>
      </c>
      <c r="B559" s="94">
        <v>553.99421753517879</v>
      </c>
      <c r="C559" s="94">
        <v>548.48830736567118</v>
      </c>
      <c r="D559" s="94">
        <v>549.09619971017787</v>
      </c>
      <c r="E559" s="94">
        <v>3591893.6136163576</v>
      </c>
      <c r="F559" s="94" t="s">
        <v>593</v>
      </c>
      <c r="G559" s="25">
        <f t="shared" si="20"/>
        <v>6.9147005444645249E-3</v>
      </c>
      <c r="I559" s="94">
        <v>6.11</v>
      </c>
      <c r="J559" s="94">
        <v>6.3650000000000002</v>
      </c>
      <c r="K559" s="94">
        <v>6.07</v>
      </c>
      <c r="L559" s="94">
        <v>6.1</v>
      </c>
      <c r="M559" s="94">
        <v>4858127</v>
      </c>
      <c r="N559" s="94" t="s">
        <v>593</v>
      </c>
      <c r="O559" s="25">
        <f t="shared" si="21"/>
        <v>1.6393442622952836E-3</v>
      </c>
    </row>
    <row r="560" spans="1:15">
      <c r="A560" s="94">
        <v>554.72667798306804</v>
      </c>
      <c r="B560" s="94">
        <v>555.19007132765114</v>
      </c>
      <c r="C560" s="94">
        <v>552.07586874308799</v>
      </c>
      <c r="D560" s="94">
        <v>552.18548867406457</v>
      </c>
      <c r="E560" s="94">
        <v>2762467.8040034226</v>
      </c>
      <c r="F560" s="94" t="s">
        <v>594</v>
      </c>
      <c r="G560" s="25">
        <f t="shared" si="20"/>
        <v>4.6020573903626794E-3</v>
      </c>
      <c r="I560" s="94">
        <v>6.19</v>
      </c>
      <c r="J560" s="94">
        <v>6.42</v>
      </c>
      <c r="K560" s="94">
        <v>6.07</v>
      </c>
      <c r="L560" s="94">
        <v>6.3</v>
      </c>
      <c r="M560" s="94">
        <v>4888753</v>
      </c>
      <c r="N560" s="94" t="s">
        <v>594</v>
      </c>
      <c r="O560" s="25">
        <f t="shared" si="21"/>
        <v>-1.7460317460317398E-2</v>
      </c>
    </row>
    <row r="561" spans="1:15">
      <c r="A561" s="94">
        <v>554.22840556953793</v>
      </c>
      <c r="B561" s="94">
        <v>554.85174435886415</v>
      </c>
      <c r="C561" s="94">
        <v>552.325004949853</v>
      </c>
      <c r="D561" s="94">
        <v>553.52085874232534</v>
      </c>
      <c r="E561" s="94">
        <v>3529747.8893916928</v>
      </c>
      <c r="F561" s="94" t="s">
        <v>595</v>
      </c>
      <c r="G561" s="25">
        <f t="shared" si="20"/>
        <v>1.2782658793026869E-3</v>
      </c>
      <c r="I561" s="94">
        <v>6.49</v>
      </c>
      <c r="J561" s="94">
        <v>6.71</v>
      </c>
      <c r="K561" s="94">
        <v>5.9114000000000004</v>
      </c>
      <c r="L561" s="94">
        <v>6.01</v>
      </c>
      <c r="M561" s="94">
        <v>9620530</v>
      </c>
      <c r="N561" s="94" t="s">
        <v>595</v>
      </c>
      <c r="O561" s="25">
        <f t="shared" si="21"/>
        <v>7.9866888519134926E-2</v>
      </c>
    </row>
    <row r="562" spans="1:15">
      <c r="A562" s="94">
        <v>550.29205350265022</v>
      </c>
      <c r="B562" s="94">
        <v>557.26786729207174</v>
      </c>
      <c r="C562" s="94">
        <v>549.8884528476907</v>
      </c>
      <c r="D562" s="94">
        <v>556.17166798230539</v>
      </c>
      <c r="E562" s="94">
        <v>10196785.657877898</v>
      </c>
      <c r="F562" s="94" t="s">
        <v>596</v>
      </c>
      <c r="G562" s="25">
        <f t="shared" si="20"/>
        <v>-1.057158215373577E-2</v>
      </c>
      <c r="I562" s="94">
        <v>6</v>
      </c>
      <c r="J562" s="94">
        <v>6.27</v>
      </c>
      <c r="K562" s="94">
        <v>5.94</v>
      </c>
      <c r="L562" s="94">
        <v>6.16</v>
      </c>
      <c r="M562" s="94">
        <v>6072224</v>
      </c>
      <c r="N562" s="94" t="s">
        <v>596</v>
      </c>
      <c r="O562" s="25">
        <f t="shared" si="21"/>
        <v>-2.5974025974025983E-2</v>
      </c>
    </row>
    <row r="563" spans="1:15">
      <c r="A563" s="94">
        <v>555.69332646531655</v>
      </c>
      <c r="B563" s="94">
        <v>555.72322281012828</v>
      </c>
      <c r="C563" s="94">
        <v>552.2751777085</v>
      </c>
      <c r="D563" s="94">
        <v>555.36446667238658</v>
      </c>
      <c r="E563" s="94">
        <v>3618802.5887791775</v>
      </c>
      <c r="F563" s="94" t="s">
        <v>597</v>
      </c>
      <c r="G563" s="25">
        <f t="shared" si="20"/>
        <v>5.9215130363021728E-4</v>
      </c>
      <c r="I563" s="94">
        <v>6.18</v>
      </c>
      <c r="J563" s="94">
        <v>6.5399000000000003</v>
      </c>
      <c r="K563" s="94">
        <v>6.16</v>
      </c>
      <c r="L563" s="94">
        <v>6.37</v>
      </c>
      <c r="M563" s="94">
        <v>5336051</v>
      </c>
      <c r="N563" s="94" t="s">
        <v>597</v>
      </c>
      <c r="O563" s="25">
        <f t="shared" si="21"/>
        <v>-2.982731554160134E-2</v>
      </c>
    </row>
    <row r="564" spans="1:15">
      <c r="A564" s="94">
        <v>553.70023681119608</v>
      </c>
      <c r="B564" s="94">
        <v>553.80985674217277</v>
      </c>
      <c r="C564" s="94">
        <v>548.50823826221233</v>
      </c>
      <c r="D564" s="94">
        <v>550.43156977843864</v>
      </c>
      <c r="E564" s="94">
        <v>3436056.1682922682</v>
      </c>
      <c r="F564" s="94" t="s">
        <v>598</v>
      </c>
      <c r="G564" s="25">
        <f t="shared" si="20"/>
        <v>5.9383712930440868E-3</v>
      </c>
      <c r="I564" s="94">
        <v>6.37</v>
      </c>
      <c r="J564" s="94">
        <v>6.55</v>
      </c>
      <c r="K564" s="94">
        <v>6.22</v>
      </c>
      <c r="L564" s="94">
        <v>6.47</v>
      </c>
      <c r="M564" s="94">
        <v>6442115</v>
      </c>
      <c r="N564" s="94" t="s">
        <v>598</v>
      </c>
      <c r="O564" s="25">
        <f t="shared" si="21"/>
        <v>-1.5455950540958163E-2</v>
      </c>
    </row>
    <row r="565" spans="1:15">
      <c r="A565" s="94">
        <v>551.43808005376945</v>
      </c>
      <c r="B565" s="94">
        <v>551.9164215707583</v>
      </c>
      <c r="C565" s="94">
        <v>547.33231536628136</v>
      </c>
      <c r="D565" s="94">
        <v>547.80069143499964</v>
      </c>
      <c r="E565" s="94">
        <v>4195910.5967516582</v>
      </c>
      <c r="F565" s="94" t="s">
        <v>599</v>
      </c>
      <c r="G565" s="25">
        <f t="shared" si="20"/>
        <v>6.6399854466072661E-3</v>
      </c>
      <c r="I565" s="94">
        <v>6.45</v>
      </c>
      <c r="J565" s="94">
        <v>6.55</v>
      </c>
      <c r="K565" s="94">
        <v>6.07</v>
      </c>
      <c r="L565" s="94">
        <v>6.1</v>
      </c>
      <c r="M565" s="94">
        <v>9515228</v>
      </c>
      <c r="N565" s="94" t="s">
        <v>599</v>
      </c>
      <c r="O565" s="25">
        <f t="shared" si="21"/>
        <v>5.7377049180328044E-2</v>
      </c>
    </row>
    <row r="566" spans="1:15">
      <c r="A566" s="94">
        <v>547.80069143499964</v>
      </c>
      <c r="B566" s="94">
        <v>550.05278308967297</v>
      </c>
      <c r="C566" s="94">
        <v>541.10391019715496</v>
      </c>
      <c r="D566" s="94">
        <v>543.106965299546</v>
      </c>
      <c r="E566" s="94">
        <v>7851164.1298472667</v>
      </c>
      <c r="F566" s="94" t="s">
        <v>600</v>
      </c>
      <c r="G566" s="25">
        <f t="shared" si="20"/>
        <v>8.6423604102827678E-3</v>
      </c>
      <c r="I566" s="94">
        <v>6.12</v>
      </c>
      <c r="J566" s="94">
        <v>6.21</v>
      </c>
      <c r="K566" s="94">
        <v>5.71</v>
      </c>
      <c r="L566" s="94">
        <v>5.75</v>
      </c>
      <c r="M566" s="94">
        <v>7410381</v>
      </c>
      <c r="N566" s="94" t="s">
        <v>600</v>
      </c>
      <c r="O566" s="25">
        <f t="shared" si="21"/>
        <v>6.434782608695655E-2</v>
      </c>
    </row>
    <row r="567" spans="1:15">
      <c r="A567" s="94">
        <v>551.41814915722819</v>
      </c>
      <c r="B567" s="94">
        <v>558.9520280498034</v>
      </c>
      <c r="C567" s="94">
        <v>550.80029136445091</v>
      </c>
      <c r="D567" s="94">
        <v>556.68987129237678</v>
      </c>
      <c r="E567" s="94">
        <v>6264968.5498018861</v>
      </c>
      <c r="F567" s="94" t="s">
        <v>601</v>
      </c>
      <c r="G567" s="25">
        <f t="shared" si="20"/>
        <v>-9.4697647774875104E-3</v>
      </c>
      <c r="I567" s="94">
        <v>6.1</v>
      </c>
      <c r="J567" s="94">
        <v>6.3587999999999996</v>
      </c>
      <c r="K567" s="94">
        <v>5.78</v>
      </c>
      <c r="L567" s="94">
        <v>5.86</v>
      </c>
      <c r="M567" s="94">
        <v>11082736</v>
      </c>
      <c r="N567" s="94" t="s">
        <v>601</v>
      </c>
      <c r="O567" s="25">
        <f t="shared" si="21"/>
        <v>4.0955631399317349E-2</v>
      </c>
    </row>
    <row r="568" spans="1:15">
      <c r="A568" s="94">
        <v>554.37788729359704</v>
      </c>
      <c r="B568" s="94">
        <v>555.85277363764612</v>
      </c>
      <c r="C568" s="94">
        <v>550.47143157152095</v>
      </c>
      <c r="D568" s="94">
        <v>553.45110060443108</v>
      </c>
      <c r="E568" s="94">
        <v>4311434.7526891446</v>
      </c>
      <c r="F568" s="94" t="s">
        <v>602</v>
      </c>
      <c r="G568" s="25">
        <f t="shared" si="20"/>
        <v>1.6745593028071326E-3</v>
      </c>
      <c r="I568" s="94">
        <v>5.82</v>
      </c>
      <c r="J568" s="94">
        <v>6.25</v>
      </c>
      <c r="K568" s="94">
        <v>5.5</v>
      </c>
      <c r="L568" s="94">
        <v>5.73</v>
      </c>
      <c r="M568" s="94">
        <v>12573624</v>
      </c>
      <c r="N568" s="94" t="s">
        <v>602</v>
      </c>
      <c r="O568" s="25">
        <f t="shared" si="21"/>
        <v>1.5706806282722585E-2</v>
      </c>
    </row>
    <row r="569" spans="1:15">
      <c r="A569" s="94">
        <v>551.49787274339303</v>
      </c>
      <c r="B569" s="94">
        <v>553.58065143194881</v>
      </c>
      <c r="C569" s="94">
        <v>549.06640301984885</v>
      </c>
      <c r="D569" s="94">
        <v>553.25179163901896</v>
      </c>
      <c r="E569" s="94">
        <v>4188944.5277786455</v>
      </c>
      <c r="F569" s="94" t="s">
        <v>603</v>
      </c>
      <c r="G569" s="25">
        <f t="shared" si="20"/>
        <v>-3.1702001188824713E-3</v>
      </c>
      <c r="I569" s="94">
        <v>5.55</v>
      </c>
      <c r="J569" s="94">
        <v>6.25</v>
      </c>
      <c r="K569" s="94">
        <v>5.18</v>
      </c>
      <c r="L569" s="94">
        <v>6.25</v>
      </c>
      <c r="M569" s="94">
        <v>24549197</v>
      </c>
      <c r="N569" s="94" t="s">
        <v>603</v>
      </c>
      <c r="O569" s="25">
        <f t="shared" si="21"/>
        <v>-0.11199999999999999</v>
      </c>
    </row>
    <row r="570" spans="1:15">
      <c r="A570" s="94">
        <v>553.92944212141992</v>
      </c>
      <c r="B570" s="94">
        <v>554.72667798306804</v>
      </c>
      <c r="C570" s="94">
        <v>547.32234991801079</v>
      </c>
      <c r="D570" s="94">
        <v>550.39170798535611</v>
      </c>
      <c r="E570" s="94">
        <v>4179113.5600850987</v>
      </c>
      <c r="F570" s="94" t="s">
        <v>604</v>
      </c>
      <c r="G570" s="25">
        <f t="shared" si="20"/>
        <v>6.4276661234836663E-3</v>
      </c>
      <c r="I570" s="94">
        <v>5.46</v>
      </c>
      <c r="J570" s="94">
        <v>5.51</v>
      </c>
      <c r="K570" s="94">
        <v>5.01</v>
      </c>
      <c r="L570" s="94">
        <v>5.19</v>
      </c>
      <c r="M570" s="94">
        <v>7539719</v>
      </c>
      <c r="N570" s="94" t="s">
        <v>604</v>
      </c>
      <c r="O570" s="25">
        <f t="shared" si="21"/>
        <v>5.2023121387283044E-2</v>
      </c>
    </row>
    <row r="571" spans="1:15">
      <c r="A571" s="94">
        <v>549.32540502040172</v>
      </c>
      <c r="B571" s="94">
        <v>549.48485219273141</v>
      </c>
      <c r="C571" s="94">
        <v>544.94060778133689</v>
      </c>
      <c r="D571" s="94">
        <v>545.04026226404278</v>
      </c>
      <c r="E571" s="94">
        <v>7643795.6358382031</v>
      </c>
      <c r="F571" s="94" t="s">
        <v>605</v>
      </c>
      <c r="G571" s="25">
        <f t="shared" si="20"/>
        <v>7.8620664436033216E-3</v>
      </c>
      <c r="I571" s="94">
        <v>5.15</v>
      </c>
      <c r="J571" s="94">
        <v>5.28</v>
      </c>
      <c r="K571" s="94">
        <v>4.915</v>
      </c>
      <c r="L571" s="94">
        <v>5.16</v>
      </c>
      <c r="M571" s="94">
        <v>9033267</v>
      </c>
      <c r="N571" s="94" t="s">
        <v>605</v>
      </c>
      <c r="O571" s="25">
        <f t="shared" si="21"/>
        <v>-1.9379844961240345E-3</v>
      </c>
    </row>
    <row r="572" spans="1:15">
      <c r="A572" s="94">
        <v>557.0785237749302</v>
      </c>
      <c r="B572" s="94">
        <v>559.71936756663979</v>
      </c>
      <c r="C572" s="94">
        <v>556.09194439614055</v>
      </c>
      <c r="D572" s="94">
        <v>558.82247722228556</v>
      </c>
      <c r="E572" s="94">
        <v>3624664.8438843829</v>
      </c>
      <c r="F572" s="94" t="s">
        <v>606</v>
      </c>
      <c r="G572" s="25">
        <f t="shared" si="20"/>
        <v>-3.1207646765104569E-3</v>
      </c>
      <c r="I572" s="94">
        <v>5.44</v>
      </c>
      <c r="J572" s="94">
        <v>5.55</v>
      </c>
      <c r="K572" s="94">
        <v>4.8099999999999996</v>
      </c>
      <c r="L572" s="94">
        <v>4.8499999999999996</v>
      </c>
      <c r="M572" s="94">
        <v>14452873</v>
      </c>
      <c r="N572" s="94" t="s">
        <v>606</v>
      </c>
      <c r="O572" s="25">
        <f t="shared" si="21"/>
        <v>0.12164948453608271</v>
      </c>
    </row>
    <row r="573" spans="1:15">
      <c r="A573" s="94">
        <v>558.76268453266198</v>
      </c>
      <c r="B573" s="94">
        <v>558.76268453266198</v>
      </c>
      <c r="C573" s="94">
        <v>554.87615970712704</v>
      </c>
      <c r="D573" s="94">
        <v>555.11533046562158</v>
      </c>
      <c r="E573" s="94">
        <v>6239436.3315723669</v>
      </c>
      <c r="F573" s="94" t="s">
        <v>607</v>
      </c>
      <c r="G573" s="25">
        <f t="shared" si="20"/>
        <v>6.5704437742353239E-3</v>
      </c>
      <c r="I573" s="94">
        <v>4.74</v>
      </c>
      <c r="J573" s="94">
        <v>4.75</v>
      </c>
      <c r="K573" s="94">
        <v>4.1900000000000004</v>
      </c>
      <c r="L573" s="94">
        <v>4.4000000000000004</v>
      </c>
      <c r="M573" s="94">
        <v>6766227</v>
      </c>
      <c r="N573" s="94" t="s">
        <v>607</v>
      </c>
      <c r="O573" s="25">
        <f t="shared" si="21"/>
        <v>7.727272727272716E-2</v>
      </c>
    </row>
    <row r="574" spans="1:15">
      <c r="A574" s="94">
        <v>555.68336101704597</v>
      </c>
      <c r="B574" s="94">
        <v>556.99870053428265</v>
      </c>
      <c r="C574" s="94">
        <v>554.80640156923289</v>
      </c>
      <c r="D574" s="94">
        <v>555.2648121896807</v>
      </c>
      <c r="E574" s="94">
        <v>4796609.1140134707</v>
      </c>
      <c r="F574" s="94" t="s">
        <v>608</v>
      </c>
      <c r="G574" s="25">
        <f t="shared" si="20"/>
        <v>7.5378237226075839E-4</v>
      </c>
      <c r="I574" s="94">
        <v>4.4400000000000004</v>
      </c>
      <c r="J574" s="94">
        <v>4.67</v>
      </c>
      <c r="K574" s="94">
        <v>4.41</v>
      </c>
      <c r="L574" s="94">
        <v>4.6500000000000004</v>
      </c>
      <c r="M574" s="94">
        <v>4843036</v>
      </c>
      <c r="N574" s="94" t="s">
        <v>608</v>
      </c>
      <c r="O574" s="25">
        <f t="shared" si="21"/>
        <v>-4.5161290322580649E-2</v>
      </c>
    </row>
    <row r="575" spans="1:15">
      <c r="A575" s="94">
        <v>552.54424481180627</v>
      </c>
      <c r="B575" s="94">
        <v>552.54424481180627</v>
      </c>
      <c r="C575" s="94">
        <v>548.59792729664775</v>
      </c>
      <c r="D575" s="94">
        <v>550.41163888189737</v>
      </c>
      <c r="E575" s="94">
        <v>5320059.7264047191</v>
      </c>
      <c r="F575" s="94" t="s">
        <v>609</v>
      </c>
      <c r="G575" s="25">
        <f t="shared" si="20"/>
        <v>3.8745654692933229E-3</v>
      </c>
      <c r="I575" s="94">
        <v>4.67</v>
      </c>
      <c r="J575" s="94">
        <v>4.75</v>
      </c>
      <c r="K575" s="94">
        <v>4.1399999999999997</v>
      </c>
      <c r="L575" s="94">
        <v>4.17</v>
      </c>
      <c r="M575" s="94">
        <v>9623687</v>
      </c>
      <c r="N575" s="94" t="s">
        <v>609</v>
      </c>
      <c r="O575" s="25">
        <f t="shared" si="21"/>
        <v>0.11990407673860903</v>
      </c>
    </row>
    <row r="576" spans="1:15">
      <c r="A576" s="94">
        <v>547.56152067650521</v>
      </c>
      <c r="B576" s="94">
        <v>549.21578508942514</v>
      </c>
      <c r="C576" s="94">
        <v>545.7876708843379</v>
      </c>
      <c r="D576" s="94">
        <v>547.02338646989256</v>
      </c>
      <c r="E576" s="94">
        <v>6581390.843548785</v>
      </c>
      <c r="F576" s="94" t="s">
        <v>610</v>
      </c>
      <c r="G576" s="25">
        <f t="shared" si="20"/>
        <v>9.83749908912257E-4</v>
      </c>
      <c r="I576" s="94">
        <v>3.82</v>
      </c>
      <c r="J576" s="94">
        <v>4.0199999999999996</v>
      </c>
      <c r="K576" s="94">
        <v>3.81</v>
      </c>
      <c r="L576" s="94">
        <v>3.86</v>
      </c>
      <c r="M576" s="94">
        <v>2235886</v>
      </c>
      <c r="N576" s="94" t="s">
        <v>610</v>
      </c>
      <c r="O576" s="25">
        <f t="shared" si="21"/>
        <v>-1.0362694300518172E-2</v>
      </c>
    </row>
    <row r="577" spans="1:15">
      <c r="A577" s="94">
        <v>542.35955667925089</v>
      </c>
      <c r="B577" s="94">
        <v>544.62171343667751</v>
      </c>
      <c r="C577" s="94">
        <v>541.51249357624965</v>
      </c>
      <c r="D577" s="94">
        <v>544.46226626434793</v>
      </c>
      <c r="E577" s="94">
        <v>3645347.3053656211</v>
      </c>
      <c r="F577" s="94" t="s">
        <v>611</v>
      </c>
      <c r="G577" s="25">
        <f t="shared" si="20"/>
        <v>-3.8619932277843549E-3</v>
      </c>
      <c r="I577" s="94">
        <v>3.81</v>
      </c>
      <c r="J577" s="94">
        <v>3.9249999999999998</v>
      </c>
      <c r="K577" s="94">
        <v>3.76</v>
      </c>
      <c r="L577" s="94">
        <v>3.86</v>
      </c>
      <c r="M577" s="94">
        <v>2495244</v>
      </c>
      <c r="N577" s="94" t="s">
        <v>611</v>
      </c>
      <c r="O577" s="25">
        <f t="shared" si="21"/>
        <v>-1.2953367875647603E-2</v>
      </c>
    </row>
    <row r="578" spans="1:15">
      <c r="A578" s="94">
        <v>543.16675798916958</v>
      </c>
      <c r="B578" s="94">
        <v>544.24302640239466</v>
      </c>
      <c r="C578" s="94">
        <v>539.88812550814146</v>
      </c>
      <c r="D578" s="94">
        <v>540.96439392136654</v>
      </c>
      <c r="E578" s="94">
        <v>5325719.2811451089</v>
      </c>
      <c r="F578" s="94" t="s">
        <v>612</v>
      </c>
      <c r="G578" s="25">
        <f t="shared" si="20"/>
        <v>4.0711811951956722E-3</v>
      </c>
      <c r="I578" s="94">
        <v>3.83</v>
      </c>
      <c r="J578" s="94">
        <v>4.03</v>
      </c>
      <c r="K578" s="94">
        <v>3.82</v>
      </c>
      <c r="L578" s="94">
        <v>3.97</v>
      </c>
      <c r="M578" s="94">
        <v>2793865</v>
      </c>
      <c r="N578" s="94" t="s">
        <v>612</v>
      </c>
      <c r="O578" s="25">
        <f t="shared" si="21"/>
        <v>-3.5264483627204024E-2</v>
      </c>
    </row>
    <row r="579" spans="1:15">
      <c r="A579" s="94">
        <v>533.41058413225016</v>
      </c>
      <c r="B579" s="94">
        <v>536.04784036258229</v>
      </c>
      <c r="C579" s="94">
        <v>529.97738754854493</v>
      </c>
      <c r="D579" s="94">
        <v>535.46346647599421</v>
      </c>
      <c r="E579" s="94">
        <v>8850583.2959053349</v>
      </c>
      <c r="F579" s="94" t="s">
        <v>613</v>
      </c>
      <c r="G579" s="25">
        <f t="shared" si="20"/>
        <v>-3.8338420308196008E-3</v>
      </c>
      <c r="I579" s="94">
        <v>3.73</v>
      </c>
      <c r="J579" s="94">
        <v>3.8380000000000001</v>
      </c>
      <c r="K579" s="94">
        <v>3.65</v>
      </c>
      <c r="L579" s="94">
        <v>3.68</v>
      </c>
      <c r="M579" s="94">
        <v>2376845</v>
      </c>
      <c r="N579" s="94" t="s">
        <v>613</v>
      </c>
      <c r="O579" s="25">
        <f t="shared" si="21"/>
        <v>1.3586956521739024E-2</v>
      </c>
    </row>
    <row r="580" spans="1:15">
      <c r="A580" s="94">
        <v>532.7329336498492</v>
      </c>
      <c r="B580" s="94">
        <v>533.06179344277905</v>
      </c>
      <c r="C580" s="94">
        <v>527.19214441139434</v>
      </c>
      <c r="D580" s="94">
        <v>527.5708314456773</v>
      </c>
      <c r="E580" s="94">
        <v>5640499.9026304344</v>
      </c>
      <c r="F580" s="94" t="s">
        <v>614</v>
      </c>
      <c r="G580" s="25">
        <f t="shared" si="20"/>
        <v>9.7846618813750563E-3</v>
      </c>
      <c r="I580" s="94">
        <v>3.57</v>
      </c>
      <c r="J580" s="94">
        <v>3.72</v>
      </c>
      <c r="K580" s="94">
        <v>3.54</v>
      </c>
      <c r="L580" s="94">
        <v>3.6</v>
      </c>
      <c r="M580" s="94">
        <v>2630402</v>
      </c>
      <c r="N580" s="94" t="s">
        <v>614</v>
      </c>
      <c r="O580" s="25">
        <f t="shared" si="21"/>
        <v>-8.3333333333334147E-3</v>
      </c>
    </row>
    <row r="581" spans="1:15">
      <c r="A581" s="94">
        <v>532.04531771917766</v>
      </c>
      <c r="B581" s="94">
        <v>536.88852557869029</v>
      </c>
      <c r="C581" s="94">
        <v>530.16184799603388</v>
      </c>
      <c r="D581" s="94">
        <v>536.84866378560787</v>
      </c>
      <c r="E581" s="94">
        <v>7962714.5558606498</v>
      </c>
      <c r="F581" s="94" t="s">
        <v>615</v>
      </c>
      <c r="G581" s="25">
        <f t="shared" si="20"/>
        <v>-8.9473000315568596E-3</v>
      </c>
      <c r="I581" s="94">
        <v>3.71</v>
      </c>
      <c r="J581" s="94">
        <v>3.8</v>
      </c>
      <c r="K581" s="94">
        <v>3.66</v>
      </c>
      <c r="L581" s="94">
        <v>3.8</v>
      </c>
      <c r="M581" s="94">
        <v>2819442</v>
      </c>
      <c r="N581" s="94" t="s">
        <v>615</v>
      </c>
      <c r="O581" s="25">
        <f t="shared" si="21"/>
        <v>-2.3684210526315752E-2</v>
      </c>
    </row>
    <row r="582" spans="1:15">
      <c r="A582" s="94">
        <v>540.26681254242442</v>
      </c>
      <c r="B582" s="94">
        <v>541.12384109369623</v>
      </c>
      <c r="C582" s="94">
        <v>536.22084054456002</v>
      </c>
      <c r="D582" s="94">
        <v>539.44964578423503</v>
      </c>
      <c r="E582" s="94">
        <v>4331966.6940975003</v>
      </c>
      <c r="F582" s="94" t="s">
        <v>616</v>
      </c>
      <c r="G582" s="25">
        <f t="shared" si="20"/>
        <v>1.5148156358530951E-3</v>
      </c>
      <c r="I582" s="94">
        <v>3.88</v>
      </c>
      <c r="J582" s="94">
        <v>4.07</v>
      </c>
      <c r="K582" s="94">
        <v>3.82</v>
      </c>
      <c r="L582" s="94">
        <v>4.0199999999999996</v>
      </c>
      <c r="M582" s="94">
        <v>3245652</v>
      </c>
      <c r="N582" s="94" t="s">
        <v>616</v>
      </c>
      <c r="O582" s="25">
        <f t="shared" si="21"/>
        <v>-3.4825870646766122E-2</v>
      </c>
    </row>
    <row r="583" spans="1:15">
      <c r="A583" s="94">
        <v>539.53933481867045</v>
      </c>
      <c r="B583" s="94">
        <v>547.70103695229363</v>
      </c>
      <c r="C583" s="94">
        <v>537.69572688860899</v>
      </c>
      <c r="D583" s="94">
        <v>547.42200440071679</v>
      </c>
      <c r="E583" s="94">
        <v>5401899.496965358</v>
      </c>
      <c r="F583" s="94" t="s">
        <v>617</v>
      </c>
      <c r="G583" s="25">
        <f t="shared" si="20"/>
        <v>-1.439962135003281E-2</v>
      </c>
      <c r="I583" s="94">
        <v>4.1100000000000003</v>
      </c>
      <c r="J583" s="94">
        <v>4.4306000000000001</v>
      </c>
      <c r="K583" s="94">
        <v>4.08</v>
      </c>
      <c r="L583" s="94">
        <v>4.42</v>
      </c>
      <c r="M583" s="94">
        <v>3586017</v>
      </c>
      <c r="N583" s="94" t="s">
        <v>617</v>
      </c>
      <c r="O583" s="25">
        <f t="shared" si="21"/>
        <v>-7.0135746606334703E-2</v>
      </c>
    </row>
    <row r="584" spans="1:15">
      <c r="A584" s="94">
        <v>545.67805095336143</v>
      </c>
      <c r="B584" s="94">
        <v>549.52471398581372</v>
      </c>
      <c r="C584" s="94">
        <v>543.93409750600608</v>
      </c>
      <c r="D584" s="94">
        <v>546.38559778057413</v>
      </c>
      <c r="E584" s="94">
        <v>6004180.4819267448</v>
      </c>
      <c r="F584" s="94" t="s">
        <v>618</v>
      </c>
      <c r="G584" s="25">
        <f t="shared" si="20"/>
        <v>-1.2949587801851514E-3</v>
      </c>
      <c r="I584" s="94">
        <v>4.3600000000000003</v>
      </c>
      <c r="J584" s="94">
        <v>4.59</v>
      </c>
      <c r="K584" s="94">
        <v>4.2611999999999997</v>
      </c>
      <c r="L584" s="94">
        <v>4.37</v>
      </c>
      <c r="M584" s="94">
        <v>4595333</v>
      </c>
      <c r="N584" s="94" t="s">
        <v>618</v>
      </c>
      <c r="O584" s="25">
        <f t="shared" si="21"/>
        <v>-2.2883295194507935E-3</v>
      </c>
    </row>
    <row r="585" spans="1:15">
      <c r="A585" s="94">
        <v>542.51900385158046</v>
      </c>
      <c r="B585" s="94">
        <v>542.99734536856943</v>
      </c>
      <c r="C585" s="94">
        <v>537.33697075086741</v>
      </c>
      <c r="D585" s="94">
        <v>538.32355012965706</v>
      </c>
      <c r="E585" s="94">
        <v>6441920.9509499632</v>
      </c>
      <c r="F585" s="94" t="s">
        <v>619</v>
      </c>
      <c r="G585" s="25">
        <f t="shared" si="20"/>
        <v>7.7935541198466129E-3</v>
      </c>
      <c r="I585" s="94">
        <v>4.22</v>
      </c>
      <c r="J585" s="94">
        <v>4.24</v>
      </c>
      <c r="K585" s="94">
        <v>3.99</v>
      </c>
      <c r="L585" s="94">
        <v>4</v>
      </c>
      <c r="M585" s="94">
        <v>2723993</v>
      </c>
      <c r="N585" s="94" t="s">
        <v>619</v>
      </c>
      <c r="O585" s="25">
        <f t="shared" si="21"/>
        <v>5.4999999999999938E-2</v>
      </c>
    </row>
    <row r="586" spans="1:15">
      <c r="A586" s="94">
        <v>535.60298275178263</v>
      </c>
      <c r="B586" s="94">
        <v>541.66187564582594</v>
      </c>
      <c r="C586" s="94">
        <v>531.95064596060683</v>
      </c>
      <c r="D586" s="94">
        <v>540.14722716317715</v>
      </c>
      <c r="E586" s="94">
        <v>7167462.8235950079</v>
      </c>
      <c r="F586" s="94" t="s">
        <v>620</v>
      </c>
      <c r="G586" s="25">
        <f t="shared" si="20"/>
        <v>-8.4129736910075748E-3</v>
      </c>
      <c r="I586" s="94">
        <v>3.97</v>
      </c>
      <c r="J586" s="94">
        <v>4.1550000000000002</v>
      </c>
      <c r="K586" s="94">
        <v>3.91</v>
      </c>
      <c r="L586" s="94">
        <v>4.09</v>
      </c>
      <c r="M586" s="94">
        <v>3689391</v>
      </c>
      <c r="N586" s="94" t="s">
        <v>620</v>
      </c>
      <c r="O586" s="25">
        <f t="shared" si="21"/>
        <v>-2.9339853300733409E-2</v>
      </c>
    </row>
    <row r="587" spans="1:15">
      <c r="A587" s="94">
        <v>536.94831826831387</v>
      </c>
      <c r="B587" s="94">
        <v>541.1887161619378</v>
      </c>
      <c r="C587" s="94">
        <v>535.54328971664165</v>
      </c>
      <c r="D587" s="94">
        <v>540.57574143881311</v>
      </c>
      <c r="E587" s="94">
        <v>6061694.2017752314</v>
      </c>
      <c r="F587" s="94" t="s">
        <v>621</v>
      </c>
      <c r="G587" s="25">
        <f t="shared" si="20"/>
        <v>-6.7102958798046508E-3</v>
      </c>
      <c r="I587" s="94">
        <v>4.04</v>
      </c>
      <c r="J587" s="94">
        <v>4.28</v>
      </c>
      <c r="K587" s="94">
        <v>4.04</v>
      </c>
      <c r="L587" s="94">
        <v>4.28</v>
      </c>
      <c r="M587" s="94">
        <v>2902183</v>
      </c>
      <c r="N587" s="94" t="s">
        <v>621</v>
      </c>
      <c r="O587" s="25">
        <f t="shared" si="21"/>
        <v>-5.6074766355140193E-2</v>
      </c>
    </row>
    <row r="588" spans="1:15">
      <c r="A588" s="94">
        <v>539.12078599130518</v>
      </c>
      <c r="B588" s="94">
        <v>542.21007495519189</v>
      </c>
      <c r="C588" s="94">
        <v>535.54319006215894</v>
      </c>
      <c r="D588" s="94">
        <v>538.69227171566922</v>
      </c>
      <c r="E588" s="94">
        <v>6527643.1359238243</v>
      </c>
      <c r="F588" s="94" t="s">
        <v>622</v>
      </c>
      <c r="G588" s="25">
        <f t="shared" si="20"/>
        <v>7.9547136303115273E-4</v>
      </c>
      <c r="I588" s="94">
        <v>4.21</v>
      </c>
      <c r="J588" s="94">
        <v>4.29</v>
      </c>
      <c r="K588" s="94">
        <v>4.0199999999999996</v>
      </c>
      <c r="L588" s="94">
        <v>4.25</v>
      </c>
      <c r="M588" s="94">
        <v>5134924</v>
      </c>
      <c r="N588" s="94" t="s">
        <v>622</v>
      </c>
      <c r="O588" s="25">
        <f t="shared" si="21"/>
        <v>-9.4117647058823417E-3</v>
      </c>
    </row>
    <row r="589" spans="1:15">
      <c r="A589" s="94">
        <v>545.1897439881019</v>
      </c>
      <c r="B589" s="94">
        <v>547.72096784883479</v>
      </c>
      <c r="C589" s="94">
        <v>541.32324971359094</v>
      </c>
      <c r="D589" s="94">
        <v>547.47183164206979</v>
      </c>
      <c r="E589" s="94">
        <v>7101672.5066722762</v>
      </c>
      <c r="F589" s="94" t="s">
        <v>623</v>
      </c>
      <c r="G589" s="25">
        <f t="shared" si="20"/>
        <v>-4.1684110890656267E-3</v>
      </c>
      <c r="I589" s="94">
        <v>4.38</v>
      </c>
      <c r="J589" s="94">
        <v>4.5999999999999996</v>
      </c>
      <c r="K589" s="94">
        <v>4.2699999999999996</v>
      </c>
      <c r="L589" s="94">
        <v>4.55</v>
      </c>
      <c r="M589" s="94">
        <v>4530130</v>
      </c>
      <c r="N589" s="94" t="s">
        <v>623</v>
      </c>
      <c r="O589" s="25">
        <f t="shared" si="21"/>
        <v>-3.7362637362637341E-2</v>
      </c>
    </row>
    <row r="590" spans="1:15">
      <c r="A590" s="94">
        <v>550.8999458471568</v>
      </c>
      <c r="B590" s="94">
        <v>552.05593784654673</v>
      </c>
      <c r="C590" s="94">
        <v>548.02003095143561</v>
      </c>
      <c r="D590" s="94">
        <v>549.29550867558999</v>
      </c>
      <c r="E590" s="94">
        <v>4511857.2470682478</v>
      </c>
      <c r="F590" s="94" t="s">
        <v>624</v>
      </c>
      <c r="G590" s="25">
        <f t="shared" si="20"/>
        <v>2.9208998548619913E-3</v>
      </c>
      <c r="I590" s="94">
        <v>4.5199999999999996</v>
      </c>
      <c r="J590" s="94">
        <v>4.6749999999999998</v>
      </c>
      <c r="K590" s="94">
        <v>4.1349999999999998</v>
      </c>
      <c r="L590" s="94">
        <v>4.1399999999999997</v>
      </c>
      <c r="M590" s="94">
        <v>7944218</v>
      </c>
      <c r="N590" s="94" t="s">
        <v>624</v>
      </c>
      <c r="O590" s="25">
        <f t="shared" si="21"/>
        <v>9.1787439613526534E-2</v>
      </c>
    </row>
    <row r="591" spans="1:15">
      <c r="A591" s="94">
        <v>550.90991129542749</v>
      </c>
      <c r="B591" s="94">
        <v>550.98963488159222</v>
      </c>
      <c r="C591" s="94">
        <v>545.64815460854948</v>
      </c>
      <c r="D591" s="94">
        <v>546.16635791862086</v>
      </c>
      <c r="E591" s="94">
        <v>3451174.4044126086</v>
      </c>
      <c r="F591" s="94" t="s">
        <v>625</v>
      </c>
      <c r="G591" s="25">
        <f t="shared" si="20"/>
        <v>8.6851804546947964E-3</v>
      </c>
      <c r="I591" s="94">
        <v>4.1399999999999997</v>
      </c>
      <c r="J591" s="94">
        <v>4.1399999999999997</v>
      </c>
      <c r="K591" s="94">
        <v>3.95</v>
      </c>
      <c r="L591" s="94">
        <v>4.07</v>
      </c>
      <c r="M591" s="94">
        <v>2370726</v>
      </c>
      <c r="N591" s="94" t="s">
        <v>625</v>
      </c>
      <c r="O591" s="25">
        <f t="shared" si="21"/>
        <v>1.7199017199017064E-2</v>
      </c>
    </row>
    <row r="592" spans="1:15">
      <c r="A592" s="94">
        <v>545.29936391907859</v>
      </c>
      <c r="B592" s="94">
        <v>545.46877653967874</v>
      </c>
      <c r="C592" s="94">
        <v>538.45310095717491</v>
      </c>
      <c r="D592" s="94">
        <v>541.43276999008481</v>
      </c>
      <c r="E592" s="94">
        <v>7087844.7293101177</v>
      </c>
      <c r="F592" s="94" t="s">
        <v>626</v>
      </c>
      <c r="G592" s="25">
        <f t="shared" si="20"/>
        <v>7.1414109808398685E-3</v>
      </c>
      <c r="I592" s="94">
        <v>4.0199999999999996</v>
      </c>
      <c r="J592" s="94">
        <v>4.08</v>
      </c>
      <c r="K592" s="94">
        <v>3.88</v>
      </c>
      <c r="L592" s="94">
        <v>4.05</v>
      </c>
      <c r="M592" s="94">
        <v>3003012</v>
      </c>
      <c r="N592" s="94" t="s">
        <v>626</v>
      </c>
      <c r="O592" s="25">
        <f t="shared" si="21"/>
        <v>-7.4074074074074181E-3</v>
      </c>
    </row>
    <row r="593" spans="1:15">
      <c r="A593" s="94">
        <v>541.42429935905466</v>
      </c>
      <c r="B593" s="94">
        <v>545.89444714108117</v>
      </c>
      <c r="C593" s="94">
        <v>532.29526422198273</v>
      </c>
      <c r="D593" s="94">
        <v>533.05022251405831</v>
      </c>
      <c r="E593" s="94">
        <v>9452116.6995613053</v>
      </c>
      <c r="F593" s="94" t="s">
        <v>627</v>
      </c>
      <c r="G593" s="25">
        <f t="shared" si="20"/>
        <v>1.5709733325879105E-2</v>
      </c>
      <c r="I593" s="94">
        <v>4.04</v>
      </c>
      <c r="J593" s="94">
        <v>4.1999000000000004</v>
      </c>
      <c r="K593" s="94">
        <v>3.6703000000000001</v>
      </c>
      <c r="L593" s="94">
        <v>3.71</v>
      </c>
      <c r="M593" s="94">
        <v>15403467</v>
      </c>
      <c r="N593" s="94" t="s">
        <v>627</v>
      </c>
      <c r="O593" s="25">
        <f t="shared" si="21"/>
        <v>8.8948787061994716E-2</v>
      </c>
    </row>
    <row r="594" spans="1:15">
      <c r="A594" s="94">
        <v>535.36476569897434</v>
      </c>
      <c r="B594" s="94">
        <v>541.48390132948168</v>
      </c>
      <c r="C594" s="94">
        <v>535.07668950857703</v>
      </c>
      <c r="D594" s="94">
        <v>540.08325502444677</v>
      </c>
      <c r="E594" s="94">
        <v>16904264.956033021</v>
      </c>
      <c r="F594" s="94" t="s">
        <v>628</v>
      </c>
      <c r="G594" s="25">
        <f t="shared" si="20"/>
        <v>-8.7365962221117588E-3</v>
      </c>
      <c r="I594" s="94">
        <v>3.88</v>
      </c>
      <c r="J594" s="94">
        <v>3.99</v>
      </c>
      <c r="K594" s="94">
        <v>3.76</v>
      </c>
      <c r="L594" s="94">
        <v>3.96</v>
      </c>
      <c r="M594" s="94">
        <v>4619965</v>
      </c>
      <c r="N594" s="94" t="s">
        <v>628</v>
      </c>
      <c r="O594" s="25">
        <f t="shared" si="21"/>
        <v>-2.0202020202020221E-2</v>
      </c>
    </row>
    <row r="595" spans="1:15">
      <c r="A595" s="94">
        <v>535.56343893373094</v>
      </c>
      <c r="B595" s="94">
        <v>553.83144286961283</v>
      </c>
      <c r="C595" s="94">
        <v>534.95748556772298</v>
      </c>
      <c r="D595" s="94">
        <v>551.61623630207521</v>
      </c>
      <c r="E595" s="94">
        <v>24749111.303395186</v>
      </c>
      <c r="F595" s="94" t="s">
        <v>629</v>
      </c>
      <c r="G595" s="25">
        <f t="shared" si="20"/>
        <v>-2.9101386637853555E-2</v>
      </c>
      <c r="I595" s="94">
        <v>3.87</v>
      </c>
      <c r="J595" s="94">
        <v>4.3499999999999996</v>
      </c>
      <c r="K595" s="94">
        <v>3.82</v>
      </c>
      <c r="L595" s="94">
        <v>4.2300000000000004</v>
      </c>
      <c r="M595" s="94">
        <v>6601567</v>
      </c>
      <c r="N595" s="94" t="s">
        <v>629</v>
      </c>
      <c r="O595" s="25">
        <f t="shared" si="21"/>
        <v>-8.5106382978723416E-2</v>
      </c>
    </row>
    <row r="596" spans="1:15">
      <c r="A596" s="94">
        <v>551.76524122814283</v>
      </c>
      <c r="B596" s="94">
        <v>552.69403860063051</v>
      </c>
      <c r="C596" s="94">
        <v>550.61293646655361</v>
      </c>
      <c r="D596" s="94">
        <v>551.78510855161846</v>
      </c>
      <c r="E596" s="94">
        <v>6151689.2373373276</v>
      </c>
      <c r="F596" s="94" t="s">
        <v>630</v>
      </c>
      <c r="G596" s="25">
        <f t="shared" si="20"/>
        <v>-3.6005544853834337E-5</v>
      </c>
      <c r="I596" s="94">
        <v>4.2</v>
      </c>
      <c r="J596" s="94">
        <v>4.29</v>
      </c>
      <c r="K596" s="94">
        <v>4.0999999999999996</v>
      </c>
      <c r="L596" s="94">
        <v>4.2300000000000004</v>
      </c>
      <c r="M596" s="94">
        <v>4172980</v>
      </c>
      <c r="N596" s="94" t="s">
        <v>630</v>
      </c>
      <c r="O596" s="25">
        <f t="shared" si="21"/>
        <v>-7.0921985815602939E-3</v>
      </c>
    </row>
    <row r="597" spans="1:15">
      <c r="A597" s="94">
        <v>554.08971807479656</v>
      </c>
      <c r="B597" s="94">
        <v>555.09132918782268</v>
      </c>
      <c r="C597" s="94">
        <v>552.72383958584396</v>
      </c>
      <c r="D597" s="94">
        <v>553.43409640009929</v>
      </c>
      <c r="E597" s="94">
        <v>22999352.708959177</v>
      </c>
      <c r="F597" s="94" t="s">
        <v>631</v>
      </c>
      <c r="G597" s="25">
        <f t="shared" si="20"/>
        <v>1.1846427225243872E-3</v>
      </c>
      <c r="I597" s="94">
        <v>4.33</v>
      </c>
      <c r="J597" s="94">
        <v>4.4000000000000004</v>
      </c>
      <c r="K597" s="94">
        <v>3.92</v>
      </c>
      <c r="L597" s="94">
        <v>4.0199999999999996</v>
      </c>
      <c r="M597" s="94">
        <v>5921014</v>
      </c>
      <c r="N597" s="94" t="s">
        <v>631</v>
      </c>
      <c r="O597" s="25">
        <f t="shared" si="21"/>
        <v>7.7114427860696555E-2</v>
      </c>
    </row>
    <row r="598" spans="1:15">
      <c r="A598" s="94">
        <v>551.92417981594815</v>
      </c>
      <c r="B598" s="94">
        <v>554.45726355909653</v>
      </c>
      <c r="C598" s="94">
        <v>550.5279043220778</v>
      </c>
      <c r="D598" s="94">
        <v>553.81157554613708</v>
      </c>
      <c r="E598" s="94">
        <v>4698028.9073304981</v>
      </c>
      <c r="F598" s="94" t="s">
        <v>632</v>
      </c>
      <c r="G598" s="25">
        <f t="shared" si="20"/>
        <v>-3.4080106186434866E-3</v>
      </c>
      <c r="I598" s="94">
        <v>4.01</v>
      </c>
      <c r="J598" s="94">
        <v>4.0650000000000004</v>
      </c>
      <c r="K598" s="94">
        <v>3.88</v>
      </c>
      <c r="L598" s="94">
        <v>3.93</v>
      </c>
      <c r="M598" s="94">
        <v>3234047</v>
      </c>
      <c r="N598" s="94" t="s">
        <v>632</v>
      </c>
      <c r="O598" s="25">
        <f t="shared" si="21"/>
        <v>2.0356234096692072E-2</v>
      </c>
    </row>
    <row r="599" spans="1:15">
      <c r="A599" s="94">
        <v>551.96391446289942</v>
      </c>
      <c r="B599" s="94">
        <v>554.49699820604792</v>
      </c>
      <c r="C599" s="94">
        <v>551.93411347768597</v>
      </c>
      <c r="D599" s="94">
        <v>553.97051413394252</v>
      </c>
      <c r="E599" s="94">
        <v>4075639.0813863762</v>
      </c>
      <c r="F599" s="94" t="s">
        <v>633</v>
      </c>
      <c r="G599" s="25">
        <f t="shared" si="20"/>
        <v>-3.6222138540715765E-3</v>
      </c>
      <c r="I599" s="94">
        <v>3.89</v>
      </c>
      <c r="J599" s="94">
        <v>4.0999999999999996</v>
      </c>
      <c r="K599" s="94">
        <v>3.75</v>
      </c>
      <c r="L599" s="94">
        <v>3.81</v>
      </c>
      <c r="M599" s="94">
        <v>4017767</v>
      </c>
      <c r="N599" s="94" t="s">
        <v>633</v>
      </c>
      <c r="O599" s="25">
        <f t="shared" si="21"/>
        <v>2.09973753280841E-2</v>
      </c>
    </row>
    <row r="600" spans="1:15">
      <c r="A600" s="94">
        <v>554.8248090433965</v>
      </c>
      <c r="B600" s="94">
        <v>555.67910395285048</v>
      </c>
      <c r="C600" s="94">
        <v>552.96721429842103</v>
      </c>
      <c r="D600" s="94">
        <v>553.22548950360476</v>
      </c>
      <c r="E600" s="94">
        <v>3537886.7257114095</v>
      </c>
      <c r="F600" s="94" t="s">
        <v>634</v>
      </c>
      <c r="G600" s="25">
        <f t="shared" si="20"/>
        <v>2.8908999497234689E-3</v>
      </c>
      <c r="I600" s="94">
        <v>3.95</v>
      </c>
      <c r="J600" s="94">
        <v>3.9780000000000002</v>
      </c>
      <c r="K600" s="94">
        <v>3.5350000000000001</v>
      </c>
      <c r="L600" s="94">
        <v>3.91</v>
      </c>
      <c r="M600" s="94">
        <v>5627422</v>
      </c>
      <c r="N600" s="94" t="s">
        <v>634</v>
      </c>
      <c r="O600" s="25">
        <f t="shared" si="21"/>
        <v>1.0230179028132946E-2</v>
      </c>
    </row>
    <row r="601" spans="1:15">
      <c r="A601" s="94">
        <v>550.65267111350511</v>
      </c>
      <c r="B601" s="94">
        <v>553.18575485665338</v>
      </c>
      <c r="C601" s="94">
        <v>549.89771282142954</v>
      </c>
      <c r="D601" s="94">
        <v>552.88774500451837</v>
      </c>
      <c r="E601" s="94">
        <v>4137560.8597027324</v>
      </c>
      <c r="F601" s="94" t="s">
        <v>635</v>
      </c>
      <c r="G601" s="25">
        <f t="shared" si="20"/>
        <v>-4.0425455460131321E-3</v>
      </c>
      <c r="I601" s="94">
        <v>3.87</v>
      </c>
      <c r="J601" s="94">
        <v>3.9590000000000001</v>
      </c>
      <c r="K601" s="94">
        <v>3.47</v>
      </c>
      <c r="L601" s="94">
        <v>3.6425999999999998</v>
      </c>
      <c r="M601" s="94">
        <v>8127324</v>
      </c>
      <c r="N601" s="94" t="s">
        <v>635</v>
      </c>
      <c r="O601" s="25">
        <f t="shared" si="21"/>
        <v>6.2427936089606506E-2</v>
      </c>
    </row>
    <row r="602" spans="1:15">
      <c r="A602" s="94">
        <v>552.22218966808327</v>
      </c>
      <c r="B602" s="94">
        <v>555.15758671161404</v>
      </c>
      <c r="C602" s="94">
        <v>551.69570559597787</v>
      </c>
      <c r="D602" s="94">
        <v>555.00361495467757</v>
      </c>
      <c r="E602" s="94">
        <v>4441741.7428196585</v>
      </c>
      <c r="F602" s="94" t="s">
        <v>636</v>
      </c>
      <c r="G602" s="25">
        <f t="shared" si="20"/>
        <v>-5.0115444506094731E-3</v>
      </c>
      <c r="I602" s="94">
        <v>4.04</v>
      </c>
      <c r="J602" s="94">
        <v>4.5</v>
      </c>
      <c r="K602" s="94">
        <v>3.95</v>
      </c>
      <c r="L602" s="94">
        <v>4.4400000000000004</v>
      </c>
      <c r="M602" s="94">
        <v>10457951</v>
      </c>
      <c r="N602" s="94" t="s">
        <v>636</v>
      </c>
      <c r="O602" s="25">
        <f t="shared" si="21"/>
        <v>-9.0090090090090169E-2</v>
      </c>
    </row>
    <row r="603" spans="1:15">
      <c r="A603" s="94">
        <v>555.1128852337938</v>
      </c>
      <c r="B603" s="94">
        <v>556.24532267190716</v>
      </c>
      <c r="C603" s="94">
        <v>554.37779426519387</v>
      </c>
      <c r="D603" s="94">
        <v>554.76520707296947</v>
      </c>
      <c r="E603" s="94">
        <v>5169171.3846481517</v>
      </c>
      <c r="F603" s="94" t="s">
        <v>637</v>
      </c>
      <c r="G603" s="25">
        <f t="shared" si="20"/>
        <v>6.2671226744503983E-4</v>
      </c>
      <c r="I603" s="94">
        <v>4.16</v>
      </c>
      <c r="J603" s="94">
        <v>4.3</v>
      </c>
      <c r="K603" s="94">
        <v>4.0449999999999999</v>
      </c>
      <c r="L603" s="94">
        <v>4.1900000000000004</v>
      </c>
      <c r="M603" s="94">
        <v>4684007</v>
      </c>
      <c r="N603" s="94" t="s">
        <v>637</v>
      </c>
      <c r="O603" s="25">
        <f t="shared" si="21"/>
        <v>-7.1599045346062429E-3</v>
      </c>
    </row>
    <row r="604" spans="1:15">
      <c r="A604" s="94">
        <v>554.0102487808939</v>
      </c>
      <c r="B604" s="94">
        <v>555.69897127632612</v>
      </c>
      <c r="C604" s="94">
        <v>553.76190723744799</v>
      </c>
      <c r="D604" s="94">
        <v>554.9241456607748</v>
      </c>
      <c r="E604" s="94">
        <v>3041739.3703784416</v>
      </c>
      <c r="F604" s="94" t="s">
        <v>638</v>
      </c>
      <c r="G604" s="25">
        <f t="shared" ref="G604:G667" si="22">A604/D604-1</f>
        <v>-1.6468861321445871E-3</v>
      </c>
      <c r="I604" s="94">
        <v>4.09</v>
      </c>
      <c r="J604" s="94">
        <v>4.1500000000000004</v>
      </c>
      <c r="K604" s="94">
        <v>3.7549999999999999</v>
      </c>
      <c r="L604" s="94">
        <v>4.13</v>
      </c>
      <c r="M604" s="94">
        <v>8458427</v>
      </c>
      <c r="N604" s="94" t="s">
        <v>638</v>
      </c>
      <c r="O604" s="25">
        <f t="shared" ref="O604:O667" si="23">I604/L604-1</f>
        <v>-9.6852300242130651E-3</v>
      </c>
    </row>
    <row r="605" spans="1:15">
      <c r="A605" s="94">
        <v>554.93407932251262</v>
      </c>
      <c r="B605" s="94">
        <v>555.17248720422072</v>
      </c>
      <c r="C605" s="94">
        <v>552.48145823944083</v>
      </c>
      <c r="D605" s="94">
        <v>553.13608654796428</v>
      </c>
      <c r="E605" s="94">
        <v>5526986.0650556246</v>
      </c>
      <c r="F605" s="94" t="s">
        <v>639</v>
      </c>
      <c r="G605" s="25">
        <f t="shared" si="22"/>
        <v>3.2505432537757173E-3</v>
      </c>
      <c r="I605" s="94">
        <v>4.17</v>
      </c>
      <c r="J605" s="94">
        <v>4.53</v>
      </c>
      <c r="K605" s="94">
        <v>4.1100000000000003</v>
      </c>
      <c r="L605" s="94">
        <v>4.5199999999999996</v>
      </c>
      <c r="M605" s="94">
        <v>8299998</v>
      </c>
      <c r="N605" s="94" t="s">
        <v>639</v>
      </c>
      <c r="O605" s="25">
        <f t="shared" si="23"/>
        <v>-7.7433628318584025E-2</v>
      </c>
    </row>
    <row r="606" spans="1:15">
      <c r="A606" s="94">
        <v>551.45729771426977</v>
      </c>
      <c r="B606" s="94">
        <v>551.74547324128446</v>
      </c>
      <c r="C606" s="94">
        <v>550.11625337966177</v>
      </c>
      <c r="D606" s="94">
        <v>551.11955321518337</v>
      </c>
      <c r="E606" s="94">
        <v>4230973.5432115309</v>
      </c>
      <c r="F606" s="94" t="s">
        <v>640</v>
      </c>
      <c r="G606" s="25">
        <f t="shared" si="22"/>
        <v>6.1283345349671947E-4</v>
      </c>
      <c r="I606" s="94">
        <v>4.4000000000000004</v>
      </c>
      <c r="J606" s="94">
        <v>4.99</v>
      </c>
      <c r="K606" s="94">
        <v>4.2699999999999996</v>
      </c>
      <c r="L606" s="94">
        <v>4.6100000000000003</v>
      </c>
      <c r="M606" s="94">
        <v>15706719</v>
      </c>
      <c r="N606" s="94" t="s">
        <v>640</v>
      </c>
      <c r="O606" s="25">
        <f t="shared" si="23"/>
        <v>-4.5553145336225564E-2</v>
      </c>
    </row>
    <row r="607" spans="1:15">
      <c r="A607" s="94">
        <v>551.3281601116779</v>
      </c>
      <c r="B607" s="94">
        <v>551.88444516899688</v>
      </c>
      <c r="C607" s="94">
        <v>550.21558999704018</v>
      </c>
      <c r="D607" s="94">
        <v>550.68247209871856</v>
      </c>
      <c r="E607" s="94">
        <v>5477346.7665760098</v>
      </c>
      <c r="F607" s="94" t="s">
        <v>641</v>
      </c>
      <c r="G607" s="25">
        <f t="shared" si="22"/>
        <v>1.1725232700772192E-3</v>
      </c>
      <c r="I607" s="94">
        <v>4.51</v>
      </c>
      <c r="J607" s="94">
        <v>4.59</v>
      </c>
      <c r="K607" s="94">
        <v>4.07</v>
      </c>
      <c r="L607" s="94">
        <v>4.2</v>
      </c>
      <c r="M607" s="94">
        <v>13657211</v>
      </c>
      <c r="N607" s="94" t="s">
        <v>641</v>
      </c>
      <c r="O607" s="25">
        <f t="shared" si="23"/>
        <v>7.3809523809523769E-2</v>
      </c>
    </row>
    <row r="608" spans="1:15">
      <c r="A608" s="94">
        <v>549.77850888057549</v>
      </c>
      <c r="B608" s="94">
        <v>551.02021659780507</v>
      </c>
      <c r="C608" s="94">
        <v>547.41429738697036</v>
      </c>
      <c r="D608" s="94">
        <v>547.6328379452026</v>
      </c>
      <c r="E608" s="94">
        <v>4015364.2284870273</v>
      </c>
      <c r="F608" s="94" t="s">
        <v>642</v>
      </c>
      <c r="G608" s="25">
        <f t="shared" si="22"/>
        <v>3.9180830415936896E-3</v>
      </c>
      <c r="I608" s="94">
        <v>3.93</v>
      </c>
      <c r="J608" s="94">
        <v>4.0049999999999999</v>
      </c>
      <c r="K608" s="94">
        <v>3.81</v>
      </c>
      <c r="L608" s="94">
        <v>3.9</v>
      </c>
      <c r="M608" s="94">
        <v>2927629</v>
      </c>
      <c r="N608" s="94" t="s">
        <v>642</v>
      </c>
      <c r="O608" s="25">
        <f t="shared" si="23"/>
        <v>7.692307692307665E-3</v>
      </c>
    </row>
    <row r="609" spans="1:15">
      <c r="A609" s="94">
        <v>546.89774697660266</v>
      </c>
      <c r="B609" s="94">
        <v>548.71560707462686</v>
      </c>
      <c r="C609" s="94">
        <v>545.46729968635429</v>
      </c>
      <c r="D609" s="94">
        <v>548.37786257554035</v>
      </c>
      <c r="E609" s="94">
        <v>3334338.4216355425</v>
      </c>
      <c r="F609" s="94" t="s">
        <v>643</v>
      </c>
      <c r="G609" s="25">
        <f t="shared" si="22"/>
        <v>-2.6990797768278174E-3</v>
      </c>
      <c r="I609" s="94">
        <v>3.82</v>
      </c>
      <c r="J609" s="94">
        <v>3.85</v>
      </c>
      <c r="K609" s="94">
        <v>3.64</v>
      </c>
      <c r="L609" s="94">
        <v>3.71</v>
      </c>
      <c r="M609" s="94">
        <v>3135390</v>
      </c>
      <c r="N609" s="94" t="s">
        <v>643</v>
      </c>
      <c r="O609" s="25">
        <f t="shared" si="23"/>
        <v>2.9649595687331498E-2</v>
      </c>
    </row>
    <row r="610" spans="1:15">
      <c r="A610" s="94">
        <v>548.64607144246202</v>
      </c>
      <c r="B610" s="94">
        <v>549.15258885447429</v>
      </c>
      <c r="C610" s="94">
        <v>546.20239065495423</v>
      </c>
      <c r="D610" s="94">
        <v>546.84807866791357</v>
      </c>
      <c r="E610" s="94">
        <v>4468215.3642233675</v>
      </c>
      <c r="F610" s="94" t="s">
        <v>644</v>
      </c>
      <c r="G610" s="25">
        <f t="shared" si="22"/>
        <v>3.2879200726612101E-3</v>
      </c>
      <c r="I610" s="94">
        <v>3.68</v>
      </c>
      <c r="J610" s="94">
        <v>3.89</v>
      </c>
      <c r="K610" s="94">
        <v>3.65</v>
      </c>
      <c r="L610" s="94">
        <v>3.73</v>
      </c>
      <c r="M610" s="94">
        <v>4596117</v>
      </c>
      <c r="N610" s="94" t="s">
        <v>644</v>
      </c>
      <c r="O610" s="25">
        <f t="shared" si="23"/>
        <v>-1.3404825737265313E-2</v>
      </c>
    </row>
    <row r="611" spans="1:15">
      <c r="A611" s="94">
        <v>545.58650362720834</v>
      </c>
      <c r="B611" s="94">
        <v>548.71560707462686</v>
      </c>
      <c r="C611" s="94">
        <v>543.56987095781005</v>
      </c>
      <c r="D611" s="94">
        <v>547.54343498956223</v>
      </c>
      <c r="E611" s="94">
        <v>4333750.3466647081</v>
      </c>
      <c r="F611" s="94" t="s">
        <v>645</v>
      </c>
      <c r="G611" s="25">
        <f t="shared" si="22"/>
        <v>-3.5740203193034281E-3</v>
      </c>
      <c r="I611" s="94">
        <v>3.78</v>
      </c>
      <c r="J611" s="94">
        <v>3.84</v>
      </c>
      <c r="K611" s="94">
        <v>3.5122</v>
      </c>
      <c r="L611" s="94">
        <v>3.74</v>
      </c>
      <c r="M611" s="94">
        <v>6509878</v>
      </c>
      <c r="N611" s="94" t="s">
        <v>645</v>
      </c>
      <c r="O611" s="25">
        <f t="shared" si="23"/>
        <v>1.0695187165775222E-2</v>
      </c>
    </row>
    <row r="612" spans="1:15">
      <c r="A612" s="94">
        <v>543.8381791613491</v>
      </c>
      <c r="B612" s="94">
        <v>544.41393419567407</v>
      </c>
      <c r="C612" s="94">
        <v>541.75211019640335</v>
      </c>
      <c r="D612" s="94">
        <v>542.19912497460598</v>
      </c>
      <c r="E612" s="94">
        <v>5611815.81084718</v>
      </c>
      <c r="F612" s="94" t="s">
        <v>646</v>
      </c>
      <c r="G612" s="25">
        <f t="shared" si="22"/>
        <v>3.0229746070133956E-3</v>
      </c>
      <c r="I612" s="94">
        <v>3.51</v>
      </c>
      <c r="J612" s="94">
        <v>3.54</v>
      </c>
      <c r="K612" s="94">
        <v>3.3</v>
      </c>
      <c r="L612" s="94">
        <v>3.38</v>
      </c>
      <c r="M612" s="94">
        <v>5033868</v>
      </c>
      <c r="N612" s="94" t="s">
        <v>646</v>
      </c>
      <c r="O612" s="25">
        <f t="shared" si="23"/>
        <v>3.8461538461538325E-2</v>
      </c>
    </row>
    <row r="613" spans="1:15">
      <c r="A613" s="94">
        <v>542.02031906332491</v>
      </c>
      <c r="B613" s="94">
        <v>543.44083269183557</v>
      </c>
      <c r="C613" s="94">
        <v>536.45746849013631</v>
      </c>
      <c r="D613" s="94">
        <v>541.96071709289788</v>
      </c>
      <c r="E613" s="94">
        <v>4560875.0524926046</v>
      </c>
      <c r="F613" s="94" t="s">
        <v>647</v>
      </c>
      <c r="G613" s="25">
        <f t="shared" si="22"/>
        <v>1.0997470581775026E-4</v>
      </c>
      <c r="I613" s="94">
        <v>3.32</v>
      </c>
      <c r="J613" s="94">
        <v>3.41</v>
      </c>
      <c r="K613" s="94">
        <v>3.17</v>
      </c>
      <c r="L613" s="94">
        <v>3.22</v>
      </c>
      <c r="M613" s="94">
        <v>5005536</v>
      </c>
      <c r="N613" s="94" t="s">
        <v>647</v>
      </c>
      <c r="O613" s="25">
        <f t="shared" si="23"/>
        <v>3.105590062111796E-2</v>
      </c>
    </row>
    <row r="614" spans="1:15">
      <c r="A614" s="94">
        <v>539.29849574715763</v>
      </c>
      <c r="B614" s="94">
        <v>539.46736799670089</v>
      </c>
      <c r="C614" s="94">
        <v>533.87471643829883</v>
      </c>
      <c r="D614" s="94">
        <v>539.17929180630358</v>
      </c>
      <c r="E614" s="94">
        <v>3975432.327193358</v>
      </c>
      <c r="F614" s="94" t="s">
        <v>648</v>
      </c>
      <c r="G614" s="25">
        <f t="shared" si="22"/>
        <v>2.2108404878595778E-4</v>
      </c>
      <c r="I614" s="94">
        <v>3.14</v>
      </c>
      <c r="J614" s="94">
        <v>3.24</v>
      </c>
      <c r="K614" s="94">
        <v>3.0649999999999999</v>
      </c>
      <c r="L614" s="94">
        <v>3.2</v>
      </c>
      <c r="M614" s="94">
        <v>2643661</v>
      </c>
      <c r="N614" s="94" t="s">
        <v>648</v>
      </c>
      <c r="O614" s="25">
        <f t="shared" si="23"/>
        <v>-1.8750000000000044E-2</v>
      </c>
    </row>
    <row r="615" spans="1:15">
      <c r="A615" s="94">
        <v>539.09982251240092</v>
      </c>
      <c r="B615" s="94">
        <v>539.76537784883601</v>
      </c>
      <c r="C615" s="94">
        <v>533.3382987044555</v>
      </c>
      <c r="D615" s="94">
        <v>533.93431840872574</v>
      </c>
      <c r="E615" s="94">
        <v>7024975.4664181583</v>
      </c>
      <c r="F615" s="94" t="s">
        <v>649</v>
      </c>
      <c r="G615" s="25">
        <f t="shared" si="22"/>
        <v>9.674418604651347E-3</v>
      </c>
      <c r="I615" s="94">
        <v>3.18</v>
      </c>
      <c r="J615" s="94">
        <v>3.1899000000000002</v>
      </c>
      <c r="K615" s="94">
        <v>2.94</v>
      </c>
      <c r="L615" s="94">
        <v>2.97</v>
      </c>
      <c r="M615" s="94">
        <v>3006430</v>
      </c>
      <c r="N615" s="94" t="s">
        <v>649</v>
      </c>
      <c r="O615" s="25">
        <f t="shared" si="23"/>
        <v>7.0707070707070718E-2</v>
      </c>
    </row>
    <row r="616" spans="1:15">
      <c r="A616" s="94">
        <v>537.14289115004703</v>
      </c>
      <c r="B616" s="94">
        <v>538.33493055858742</v>
      </c>
      <c r="C616" s="94">
        <v>534.57503959081623</v>
      </c>
      <c r="D616" s="94">
        <v>535.34489837549859</v>
      </c>
      <c r="E616" s="94">
        <v>4534325.9302293137</v>
      </c>
      <c r="F616" s="94" t="s">
        <v>650</v>
      </c>
      <c r="G616" s="25">
        <f t="shared" si="22"/>
        <v>3.3585689898314453E-3</v>
      </c>
      <c r="I616" s="94">
        <v>3.05</v>
      </c>
      <c r="J616" s="94">
        <v>3.09</v>
      </c>
      <c r="K616" s="94">
        <v>2.93</v>
      </c>
      <c r="L616" s="94">
        <v>2.98</v>
      </c>
      <c r="M616" s="94">
        <v>2931850</v>
      </c>
      <c r="N616" s="94" t="s">
        <v>650</v>
      </c>
      <c r="O616" s="25">
        <f t="shared" si="23"/>
        <v>2.3489932885905951E-2</v>
      </c>
    </row>
    <row r="617" spans="1:15">
      <c r="A617" s="94">
        <v>534.92768458250941</v>
      </c>
      <c r="B617" s="94">
        <v>538.97068490980905</v>
      </c>
      <c r="C617" s="94">
        <v>533.18929377838799</v>
      </c>
      <c r="D617" s="94">
        <v>538.53360379334424</v>
      </c>
      <c r="E617" s="94">
        <v>7409265.7815855956</v>
      </c>
      <c r="F617" s="94" t="s">
        <v>651</v>
      </c>
      <c r="G617" s="25">
        <f t="shared" si="22"/>
        <v>-6.6958109678492139E-3</v>
      </c>
      <c r="I617" s="94">
        <v>2.93</v>
      </c>
      <c r="J617" s="94">
        <v>3.04</v>
      </c>
      <c r="K617" s="94">
        <v>2.72</v>
      </c>
      <c r="L617" s="94">
        <v>3.03</v>
      </c>
      <c r="M617" s="94">
        <v>4217840</v>
      </c>
      <c r="N617" s="94" t="s">
        <v>651</v>
      </c>
      <c r="O617" s="25">
        <f t="shared" si="23"/>
        <v>-3.3003300330032848E-2</v>
      </c>
    </row>
    <row r="618" spans="1:15">
      <c r="A618" s="94">
        <v>541.92098244594649</v>
      </c>
      <c r="B618" s="94">
        <v>545.92424812629474</v>
      </c>
      <c r="C618" s="94">
        <v>541.26536077124933</v>
      </c>
      <c r="D618" s="94">
        <v>545.45736602461648</v>
      </c>
      <c r="E618" s="94">
        <v>3966595.7065879218</v>
      </c>
      <c r="F618" s="94" t="s">
        <v>652</v>
      </c>
      <c r="G618" s="25">
        <f t="shared" si="22"/>
        <v>-6.4833363686033207E-3</v>
      </c>
      <c r="I618" s="94">
        <v>3</v>
      </c>
      <c r="J618" s="94">
        <v>3.3</v>
      </c>
      <c r="K618" s="94">
        <v>2.9649999999999999</v>
      </c>
      <c r="L618" s="94">
        <v>3.23</v>
      </c>
      <c r="M618" s="94">
        <v>5407232</v>
      </c>
      <c r="N618" s="94" t="s">
        <v>652</v>
      </c>
      <c r="O618" s="25">
        <f t="shared" si="23"/>
        <v>-7.1207430340557321E-2</v>
      </c>
    </row>
    <row r="619" spans="1:15">
      <c r="A619" s="94">
        <v>545.38783039245152</v>
      </c>
      <c r="B619" s="94">
        <v>547.22555781395135</v>
      </c>
      <c r="C619" s="94">
        <v>543.34149607445727</v>
      </c>
      <c r="D619" s="94">
        <v>545.51696799504339</v>
      </c>
      <c r="E619" s="94">
        <v>3726289.5573551976</v>
      </c>
      <c r="F619" s="94" t="s">
        <v>653</v>
      </c>
      <c r="G619" s="25">
        <f t="shared" si="22"/>
        <v>-2.3672518027528788E-4</v>
      </c>
      <c r="I619" s="94">
        <v>3</v>
      </c>
      <c r="J619" s="94">
        <v>3.19</v>
      </c>
      <c r="K619" s="94">
        <v>2.69</v>
      </c>
      <c r="L619" s="94">
        <v>2.7</v>
      </c>
      <c r="M619" s="94">
        <v>7939203</v>
      </c>
      <c r="N619" s="94" t="s">
        <v>653</v>
      </c>
      <c r="O619" s="25">
        <f t="shared" si="23"/>
        <v>0.11111111111111094</v>
      </c>
    </row>
    <row r="620" spans="1:15">
      <c r="A620" s="94">
        <v>545.10968786379215</v>
      </c>
      <c r="B620" s="94">
        <v>547.28515978437838</v>
      </c>
      <c r="C620" s="94">
        <v>542.80507834061393</v>
      </c>
      <c r="D620" s="94">
        <v>546.73880838879734</v>
      </c>
      <c r="E620" s="94">
        <v>4850792.3132173652</v>
      </c>
      <c r="F620" s="94" t="s">
        <v>654</v>
      </c>
      <c r="G620" s="25">
        <f t="shared" si="22"/>
        <v>-2.9797052998782325E-3</v>
      </c>
      <c r="I620" s="94">
        <v>2.63</v>
      </c>
      <c r="J620" s="94">
        <v>2.66</v>
      </c>
      <c r="K620" s="94">
        <v>2.54</v>
      </c>
      <c r="L620" s="94">
        <v>2.58</v>
      </c>
      <c r="M620" s="94">
        <v>1788943</v>
      </c>
      <c r="N620" s="94" t="s">
        <v>654</v>
      </c>
      <c r="O620" s="25">
        <f t="shared" si="23"/>
        <v>1.9379844961240345E-2</v>
      </c>
    </row>
    <row r="621" spans="1:15">
      <c r="A621" s="94">
        <v>546.74874205053516</v>
      </c>
      <c r="B621" s="94">
        <v>548.06991906166752</v>
      </c>
      <c r="C621" s="94">
        <v>545.20902448117056</v>
      </c>
      <c r="D621" s="94">
        <v>547.77190920953228</v>
      </c>
      <c r="E621" s="94">
        <v>4925805.9405851793</v>
      </c>
      <c r="F621" s="94" t="s">
        <v>655</v>
      </c>
      <c r="G621" s="25">
        <f t="shared" si="22"/>
        <v>-1.8678708086247164E-3</v>
      </c>
      <c r="I621" s="94">
        <v>2.61</v>
      </c>
      <c r="J621" s="94">
        <v>2.63</v>
      </c>
      <c r="K621" s="94">
        <v>2.46</v>
      </c>
      <c r="L621" s="94">
        <v>2.59</v>
      </c>
      <c r="M621" s="94">
        <v>2732628</v>
      </c>
      <c r="N621" s="94" t="s">
        <v>655</v>
      </c>
      <c r="O621" s="25">
        <f t="shared" si="23"/>
        <v>7.7220077220077066E-3</v>
      </c>
    </row>
    <row r="622" spans="1:15">
      <c r="A622" s="94">
        <v>546.30172727233264</v>
      </c>
      <c r="B622" s="94">
        <v>547.5831696365135</v>
      </c>
      <c r="C622" s="94">
        <v>544.4242652038813</v>
      </c>
      <c r="D622" s="94">
        <v>544.43419886561924</v>
      </c>
      <c r="E622" s="94">
        <v>6843373.7522054855</v>
      </c>
      <c r="F622" s="94" t="s">
        <v>656</v>
      </c>
      <c r="G622" s="25">
        <f t="shared" si="22"/>
        <v>3.4302187676757967E-3</v>
      </c>
      <c r="I622" s="94">
        <v>2.5099999999999998</v>
      </c>
      <c r="J622" s="94">
        <v>2.56</v>
      </c>
      <c r="K622" s="94">
        <v>2.4700000000000002</v>
      </c>
      <c r="L622" s="94">
        <v>2.52</v>
      </c>
      <c r="M622" s="94">
        <v>1505244</v>
      </c>
      <c r="N622" s="94" t="s">
        <v>656</v>
      </c>
      <c r="O622" s="25">
        <f t="shared" si="23"/>
        <v>-3.9682539682540652E-3</v>
      </c>
    </row>
    <row r="623" spans="1:15">
      <c r="A623" s="94">
        <v>543.89778113177601</v>
      </c>
      <c r="B623" s="94">
        <v>544.83651216600163</v>
      </c>
      <c r="C623" s="94">
        <v>541.53356963817089</v>
      </c>
      <c r="D623" s="94">
        <v>541.60310527033573</v>
      </c>
      <c r="E623" s="94">
        <v>6091687.1942106001</v>
      </c>
      <c r="F623" s="94" t="s">
        <v>657</v>
      </c>
      <c r="G623" s="25">
        <f t="shared" si="22"/>
        <v>4.23682183338836E-3</v>
      </c>
      <c r="I623" s="94">
        <v>2.5299999999999998</v>
      </c>
      <c r="J623" s="94">
        <v>2.57</v>
      </c>
      <c r="K623" s="94">
        <v>2.4</v>
      </c>
      <c r="L623" s="94">
        <v>2.4700000000000002</v>
      </c>
      <c r="M623" s="94">
        <v>1977187</v>
      </c>
      <c r="N623" s="94" t="s">
        <v>657</v>
      </c>
      <c r="O623" s="25">
        <f t="shared" si="23"/>
        <v>2.4291497975708287E-2</v>
      </c>
    </row>
    <row r="624" spans="1:15">
      <c r="A624" s="94">
        <v>539.69584221667105</v>
      </c>
      <c r="B624" s="94">
        <v>540.5302698026494</v>
      </c>
      <c r="C624" s="94">
        <v>534.59987374516083</v>
      </c>
      <c r="D624" s="94">
        <v>538.05678802992804</v>
      </c>
      <c r="E624" s="94">
        <v>7533311.6805219874</v>
      </c>
      <c r="F624" s="94" t="s">
        <v>658</v>
      </c>
      <c r="G624" s="25">
        <f t="shared" si="22"/>
        <v>3.0462475768484598E-3</v>
      </c>
      <c r="I624" s="94">
        <v>2.4700000000000002</v>
      </c>
      <c r="J624" s="94">
        <v>2.5</v>
      </c>
      <c r="K624" s="94">
        <v>2.33</v>
      </c>
      <c r="L624" s="94">
        <v>2.41</v>
      </c>
      <c r="M624" s="94">
        <v>2791342</v>
      </c>
      <c r="N624" s="94" t="s">
        <v>658</v>
      </c>
      <c r="O624" s="25">
        <f t="shared" si="23"/>
        <v>2.4896265560165887E-2</v>
      </c>
    </row>
    <row r="625" spans="1:15">
      <c r="A625" s="94">
        <v>526.58340872272663</v>
      </c>
      <c r="B625" s="94">
        <v>526.65294435489136</v>
      </c>
      <c r="C625" s="94">
        <v>521.00069082606228</v>
      </c>
      <c r="D625" s="94">
        <v>521.23909870777038</v>
      </c>
      <c r="E625" s="94">
        <v>3322318.6847901442</v>
      </c>
      <c r="F625" s="94" t="s">
        <v>659</v>
      </c>
      <c r="G625" s="25">
        <f t="shared" si="22"/>
        <v>1.0253087360878377E-2</v>
      </c>
      <c r="I625" s="94">
        <v>2.3199999999999998</v>
      </c>
      <c r="J625" s="94">
        <v>2.3199999999999998</v>
      </c>
      <c r="K625" s="94">
        <v>2.2008000000000001</v>
      </c>
      <c r="L625" s="94">
        <v>2.2200000000000002</v>
      </c>
      <c r="M625" s="94">
        <v>1417497</v>
      </c>
      <c r="N625" s="94" t="s">
        <v>659</v>
      </c>
      <c r="O625" s="25">
        <f t="shared" si="23"/>
        <v>4.5045045045044807E-2</v>
      </c>
    </row>
    <row r="626" spans="1:15">
      <c r="A626" s="94">
        <v>520.32520182788937</v>
      </c>
      <c r="B626" s="94">
        <v>522.78874993887291</v>
      </c>
      <c r="C626" s="94">
        <v>518.56704303690969</v>
      </c>
      <c r="D626" s="94">
        <v>521.57684320685678</v>
      </c>
      <c r="E626" s="94">
        <v>3706046.2668841663</v>
      </c>
      <c r="F626" s="94" t="s">
        <v>660</v>
      </c>
      <c r="G626" s="25">
        <f t="shared" si="22"/>
        <v>-2.3997257456290777E-3</v>
      </c>
      <c r="I626" s="94">
        <v>2.21</v>
      </c>
      <c r="J626" s="94">
        <v>2.3199999999999998</v>
      </c>
      <c r="K626" s="94">
        <v>2.1850000000000001</v>
      </c>
      <c r="L626" s="94">
        <v>2.27</v>
      </c>
      <c r="M626" s="94">
        <v>1640661</v>
      </c>
      <c r="N626" s="94" t="s">
        <v>660</v>
      </c>
      <c r="O626" s="25">
        <f t="shared" si="23"/>
        <v>-2.6431718061673992E-2</v>
      </c>
    </row>
    <row r="627" spans="1:15">
      <c r="A627" s="94">
        <v>521.45763926600284</v>
      </c>
      <c r="B627" s="94">
        <v>525.57017522546732</v>
      </c>
      <c r="C627" s="94">
        <v>521.0603921331068</v>
      </c>
      <c r="D627" s="94">
        <v>521.67617982423519</v>
      </c>
      <c r="E627" s="94">
        <v>6147724.938870227</v>
      </c>
      <c r="F627" s="94" t="s">
        <v>661</v>
      </c>
      <c r="G627" s="25">
        <f t="shared" si="22"/>
        <v>-4.1891994820619782E-4</v>
      </c>
      <c r="I627" s="94">
        <v>2.27</v>
      </c>
      <c r="J627" s="94">
        <v>2.2999999999999998</v>
      </c>
      <c r="K627" s="94">
        <v>2.23</v>
      </c>
      <c r="L627" s="94">
        <v>2.2599999999999998</v>
      </c>
      <c r="M627" s="94">
        <v>1417340</v>
      </c>
      <c r="N627" s="94" t="s">
        <v>661</v>
      </c>
      <c r="O627" s="25">
        <f t="shared" si="23"/>
        <v>4.4247787610620648E-3</v>
      </c>
    </row>
    <row r="628" spans="1:15">
      <c r="A628" s="94">
        <v>519.20269805151383</v>
      </c>
      <c r="B628" s="94">
        <v>525.71918015153483</v>
      </c>
      <c r="C628" s="94">
        <v>519.04375946370851</v>
      </c>
      <c r="D628" s="94">
        <v>525.58010888720514</v>
      </c>
      <c r="E628" s="94">
        <v>8026017.2033361597</v>
      </c>
      <c r="F628" s="94" t="s">
        <v>662</v>
      </c>
      <c r="G628" s="25">
        <f t="shared" si="22"/>
        <v>-1.213404146742536E-2</v>
      </c>
      <c r="I628" s="94">
        <v>2.21</v>
      </c>
      <c r="J628" s="94">
        <v>2.38</v>
      </c>
      <c r="K628" s="94">
        <v>2.1949999999999998</v>
      </c>
      <c r="L628" s="94">
        <v>2.33</v>
      </c>
      <c r="M628" s="94">
        <v>1588812</v>
      </c>
      <c r="N628" s="94" t="s">
        <v>662</v>
      </c>
      <c r="O628" s="25">
        <f t="shared" si="23"/>
        <v>-5.1502145922746823E-2</v>
      </c>
    </row>
    <row r="629" spans="1:15">
      <c r="A629" s="94">
        <v>529.62310921450455</v>
      </c>
      <c r="B629" s="94">
        <v>532.64294238280706</v>
      </c>
      <c r="C629" s="94">
        <v>529.05689049544799</v>
      </c>
      <c r="D629" s="94">
        <v>530.80521496130723</v>
      </c>
      <c r="E629" s="94">
        <v>3087496.9179974315</v>
      </c>
      <c r="F629" s="94" t="s">
        <v>663</v>
      </c>
      <c r="G629" s="25">
        <f t="shared" si="22"/>
        <v>-2.2270047721533182E-3</v>
      </c>
      <c r="I629" s="94">
        <v>2.35</v>
      </c>
      <c r="J629" s="94">
        <v>2.46</v>
      </c>
      <c r="K629" s="94">
        <v>2.35</v>
      </c>
      <c r="L629" s="94">
        <v>2.37</v>
      </c>
      <c r="M629" s="94">
        <v>1361335</v>
      </c>
      <c r="N629" s="94" t="s">
        <v>663</v>
      </c>
      <c r="O629" s="25">
        <f t="shared" si="23"/>
        <v>-8.4388185654008518E-3</v>
      </c>
    </row>
    <row r="630" spans="1:15">
      <c r="A630" s="94">
        <v>531.22242875429629</v>
      </c>
      <c r="B630" s="94">
        <v>532.26546323676928</v>
      </c>
      <c r="C630" s="94">
        <v>528.22246290946964</v>
      </c>
      <c r="D630" s="94">
        <v>529.58337456755328</v>
      </c>
      <c r="E630" s="94">
        <v>3047829.7730513616</v>
      </c>
      <c r="F630" s="94" t="s">
        <v>664</v>
      </c>
      <c r="G630" s="25">
        <f t="shared" si="22"/>
        <v>3.0949879951980286E-3</v>
      </c>
      <c r="I630" s="94">
        <v>2.38</v>
      </c>
      <c r="J630" s="94">
        <v>2.4</v>
      </c>
      <c r="K630" s="94">
        <v>2.3199999999999998</v>
      </c>
      <c r="L630" s="94">
        <v>2.35</v>
      </c>
      <c r="M630" s="94">
        <v>1192523</v>
      </c>
      <c r="N630" s="94" t="s">
        <v>664</v>
      </c>
      <c r="O630" s="25">
        <f t="shared" si="23"/>
        <v>1.2765957446808418E-2</v>
      </c>
    </row>
    <row r="631" spans="1:15">
      <c r="A631" s="94">
        <v>530.37806750658012</v>
      </c>
      <c r="B631" s="94">
        <v>532.01712169332336</v>
      </c>
      <c r="C631" s="94">
        <v>530.13052065607326</v>
      </c>
      <c r="D631" s="94">
        <v>531.97738704637186</v>
      </c>
      <c r="E631" s="94">
        <v>3430729.8657243685</v>
      </c>
      <c r="F631" s="94" t="s">
        <v>665</v>
      </c>
      <c r="G631" s="25">
        <f t="shared" si="22"/>
        <v>-3.0063675237614884E-3</v>
      </c>
      <c r="I631" s="94">
        <v>2.36</v>
      </c>
      <c r="J631" s="94">
        <v>2.38</v>
      </c>
      <c r="K631" s="94">
        <v>2.2999999999999998</v>
      </c>
      <c r="L631" s="94">
        <v>2.2999999999999998</v>
      </c>
      <c r="M631" s="94">
        <v>1715880</v>
      </c>
      <c r="N631" s="94" t="s">
        <v>665</v>
      </c>
      <c r="O631" s="25">
        <f t="shared" si="23"/>
        <v>2.6086956521739202E-2</v>
      </c>
    </row>
    <row r="632" spans="1:15">
      <c r="A632" s="94">
        <v>528.72907965809929</v>
      </c>
      <c r="B632" s="94">
        <v>533.69600986363503</v>
      </c>
      <c r="C632" s="94">
        <v>527.88869187507828</v>
      </c>
      <c r="D632" s="94">
        <v>531.10322481344224</v>
      </c>
      <c r="E632" s="94">
        <v>4356087.5276414705</v>
      </c>
      <c r="F632" s="94" t="s">
        <v>666</v>
      </c>
      <c r="G632" s="25">
        <f t="shared" si="22"/>
        <v>-4.4702141587954491E-3</v>
      </c>
      <c r="I632" s="94">
        <v>2.2999999999999998</v>
      </c>
      <c r="J632" s="94">
        <v>2.38</v>
      </c>
      <c r="K632" s="94">
        <v>2.2850000000000001</v>
      </c>
      <c r="L632" s="94">
        <v>2.34</v>
      </c>
      <c r="M632" s="94">
        <v>1139714</v>
      </c>
      <c r="N632" s="94" t="s">
        <v>666</v>
      </c>
      <c r="O632" s="25">
        <f t="shared" si="23"/>
        <v>-1.7094017094017144E-2</v>
      </c>
    </row>
    <row r="633" spans="1:15">
      <c r="A633" s="94">
        <v>528.93768655459394</v>
      </c>
      <c r="B633" s="94">
        <v>529.6429765379803</v>
      </c>
      <c r="C633" s="94">
        <v>526.52380675229949</v>
      </c>
      <c r="D633" s="94">
        <v>529.63304287624237</v>
      </c>
      <c r="E633" s="94">
        <v>4507665.0666938424</v>
      </c>
      <c r="F633" s="94" t="s">
        <v>667</v>
      </c>
      <c r="G633" s="25">
        <f t="shared" si="22"/>
        <v>-1.3129020762605581E-3</v>
      </c>
      <c r="I633" s="94">
        <v>2.31</v>
      </c>
      <c r="J633" s="94">
        <v>2.395</v>
      </c>
      <c r="K633" s="94">
        <v>2.2799999999999998</v>
      </c>
      <c r="L633" s="94">
        <v>2.2999999999999998</v>
      </c>
      <c r="M633" s="94">
        <v>1820613</v>
      </c>
      <c r="N633" s="94" t="s">
        <v>667</v>
      </c>
      <c r="O633" s="25">
        <f t="shared" si="23"/>
        <v>4.3478260869567187E-3</v>
      </c>
    </row>
    <row r="634" spans="1:15">
      <c r="A634" s="94">
        <v>527.74564714605344</v>
      </c>
      <c r="B634" s="94">
        <v>531.1727604456072</v>
      </c>
      <c r="C634" s="94">
        <v>524.51720708125652</v>
      </c>
      <c r="D634" s="94">
        <v>530.73567932914227</v>
      </c>
      <c r="E634" s="94">
        <v>5262665.6090852972</v>
      </c>
      <c r="F634" s="94" t="s">
        <v>668</v>
      </c>
      <c r="G634" s="25">
        <f t="shared" si="22"/>
        <v>-5.6337500935838003E-3</v>
      </c>
      <c r="I634" s="94">
        <v>2.2799999999999998</v>
      </c>
      <c r="J634" s="94">
        <v>2.319</v>
      </c>
      <c r="K634" s="94">
        <v>2.2509999999999999</v>
      </c>
      <c r="L634" s="94">
        <v>2.29</v>
      </c>
      <c r="M634" s="94">
        <v>882756</v>
      </c>
      <c r="N634" s="94" t="s">
        <v>668</v>
      </c>
      <c r="O634" s="25">
        <f t="shared" si="23"/>
        <v>-4.366812227074357E-3</v>
      </c>
    </row>
    <row r="635" spans="1:15">
      <c r="A635" s="94">
        <v>532.60320773585568</v>
      </c>
      <c r="B635" s="94">
        <v>533.7157778504934</v>
      </c>
      <c r="C635" s="94">
        <v>529.93105272837761</v>
      </c>
      <c r="D635" s="94">
        <v>530.56680707959913</v>
      </c>
      <c r="E635" s="94">
        <v>3389077.5515103652</v>
      </c>
      <c r="F635" s="94" t="s">
        <v>669</v>
      </c>
      <c r="G635" s="25">
        <f t="shared" si="22"/>
        <v>3.8381606785118372E-3</v>
      </c>
      <c r="I635" s="94">
        <v>2.31</v>
      </c>
      <c r="J635" s="94">
        <v>2.33</v>
      </c>
      <c r="K635" s="94">
        <v>2.27</v>
      </c>
      <c r="L635" s="94">
        <v>2.29</v>
      </c>
      <c r="M635" s="94">
        <v>1417353</v>
      </c>
      <c r="N635" s="94" t="s">
        <v>669</v>
      </c>
      <c r="O635" s="25">
        <f t="shared" si="23"/>
        <v>8.733624454148492E-3</v>
      </c>
    </row>
    <row r="636" spans="1:15">
      <c r="A636" s="94">
        <v>532.97075322015553</v>
      </c>
      <c r="B636" s="94">
        <v>534.04358868784198</v>
      </c>
      <c r="C636" s="94">
        <v>530.16946061008571</v>
      </c>
      <c r="D636" s="94">
        <v>533.15949279317454</v>
      </c>
      <c r="E636" s="94">
        <v>3695949.2852627807</v>
      </c>
      <c r="F636" s="94" t="s">
        <v>670</v>
      </c>
      <c r="G636" s="25">
        <f t="shared" si="22"/>
        <v>-3.5400208674929434E-4</v>
      </c>
      <c r="I636" s="94">
        <v>2.2799999999999998</v>
      </c>
      <c r="J636" s="94">
        <v>2.34</v>
      </c>
      <c r="K636" s="94">
        <v>2.2200000000000002</v>
      </c>
      <c r="L636" s="94">
        <v>2.3199999999999998</v>
      </c>
      <c r="M636" s="94">
        <v>1802888</v>
      </c>
      <c r="N636" s="94" t="s">
        <v>670</v>
      </c>
      <c r="O636" s="25">
        <f t="shared" si="23"/>
        <v>-1.7241379310344862E-2</v>
      </c>
    </row>
    <row r="637" spans="1:15">
      <c r="A637" s="94">
        <v>533.79524714439606</v>
      </c>
      <c r="B637" s="94">
        <v>534.53033811299599</v>
      </c>
      <c r="C637" s="94">
        <v>532.00718803158543</v>
      </c>
      <c r="D637" s="94">
        <v>533.3382987044555</v>
      </c>
      <c r="E637" s="94">
        <v>5104272.8591080224</v>
      </c>
      <c r="F637" s="94" t="s">
        <v>671</v>
      </c>
      <c r="G637" s="25">
        <f t="shared" si="22"/>
        <v>8.5677034829600984E-4</v>
      </c>
      <c r="I637" s="94">
        <v>2.3199999999999998</v>
      </c>
      <c r="J637" s="94">
        <v>2.35</v>
      </c>
      <c r="K637" s="94">
        <v>2.27</v>
      </c>
      <c r="L637" s="94">
        <v>2.3199999999999998</v>
      </c>
      <c r="M637" s="94">
        <v>1312937</v>
      </c>
      <c r="N637" s="94" t="s">
        <v>671</v>
      </c>
      <c r="O637" s="25">
        <f t="shared" si="23"/>
        <v>0</v>
      </c>
    </row>
    <row r="638" spans="1:15">
      <c r="A638" s="94">
        <v>531.74891282640169</v>
      </c>
      <c r="B638" s="94">
        <v>535.18595978769315</v>
      </c>
      <c r="C638" s="94">
        <v>531.59990790033407</v>
      </c>
      <c r="D638" s="94">
        <v>535.04688852336346</v>
      </c>
      <c r="E638" s="94">
        <v>3246835.945414796</v>
      </c>
      <c r="F638" s="94" t="s">
        <v>672</v>
      </c>
      <c r="G638" s="25">
        <f t="shared" si="22"/>
        <v>-6.1639003379004853E-3</v>
      </c>
      <c r="I638" s="94">
        <v>2.2999999999999998</v>
      </c>
      <c r="J638" s="94">
        <v>2.38</v>
      </c>
      <c r="K638" s="94">
        <v>2.2799999999999998</v>
      </c>
      <c r="L638" s="94">
        <v>2.37</v>
      </c>
      <c r="M638" s="94">
        <v>1302926</v>
      </c>
      <c r="N638" s="94" t="s">
        <v>672</v>
      </c>
      <c r="O638" s="25">
        <f t="shared" si="23"/>
        <v>-2.9535864978903037E-2</v>
      </c>
    </row>
    <row r="639" spans="1:15">
      <c r="A639" s="94">
        <v>531.66944353249903</v>
      </c>
      <c r="B639" s="94">
        <v>532.17606028112868</v>
      </c>
      <c r="C639" s="94">
        <v>528.68437818027905</v>
      </c>
      <c r="D639" s="94">
        <v>529.39463499453439</v>
      </c>
      <c r="E639" s="94">
        <v>3258834.5420195116</v>
      </c>
      <c r="F639" s="94" t="s">
        <v>673</v>
      </c>
      <c r="G639" s="25">
        <f t="shared" si="22"/>
        <v>4.2969996059520899E-3</v>
      </c>
      <c r="I639" s="94">
        <v>2.35</v>
      </c>
      <c r="J639" s="94">
        <v>2.36</v>
      </c>
      <c r="K639" s="94">
        <v>2.23</v>
      </c>
      <c r="L639" s="94">
        <v>2.27</v>
      </c>
      <c r="M639" s="94">
        <v>2468827</v>
      </c>
      <c r="N639" s="94" t="s">
        <v>673</v>
      </c>
      <c r="O639" s="25">
        <f t="shared" si="23"/>
        <v>3.524229074889873E-2</v>
      </c>
    </row>
    <row r="640" spans="1:15">
      <c r="A640" s="94">
        <v>529.44430330322359</v>
      </c>
      <c r="B640" s="94">
        <v>534.04358868784198</v>
      </c>
      <c r="C640" s="94">
        <v>528.2919985416346</v>
      </c>
      <c r="D640" s="94">
        <v>533.81511446787169</v>
      </c>
      <c r="E640" s="94">
        <v>4843460.6764129233</v>
      </c>
      <c r="F640" s="94" t="s">
        <v>674</v>
      </c>
      <c r="G640" s="25">
        <f t="shared" si="22"/>
        <v>-8.1878745022143651E-3</v>
      </c>
      <c r="I640" s="94">
        <v>2.25</v>
      </c>
      <c r="J640" s="94">
        <v>2.335</v>
      </c>
      <c r="K640" s="94">
        <v>2.2250000000000001</v>
      </c>
      <c r="L640" s="94">
        <v>2.27</v>
      </c>
      <c r="M640" s="94">
        <v>1757987</v>
      </c>
      <c r="N640" s="94" t="s">
        <v>674</v>
      </c>
      <c r="O640" s="25">
        <f t="shared" si="23"/>
        <v>-8.8105726872246271E-3</v>
      </c>
    </row>
    <row r="641" spans="1:15">
      <c r="A641" s="94">
        <v>533.50717095399887</v>
      </c>
      <c r="B641" s="94">
        <v>534.41113417214194</v>
      </c>
      <c r="C641" s="94">
        <v>530.42773581526944</v>
      </c>
      <c r="D641" s="94">
        <v>530.70587834392882</v>
      </c>
      <c r="E641" s="94">
        <v>2656552.1049991744</v>
      </c>
      <c r="F641" s="94" t="s">
        <v>675</v>
      </c>
      <c r="G641" s="25">
        <f t="shared" si="22"/>
        <v>5.2784277023867343E-3</v>
      </c>
      <c r="I641" s="94">
        <v>2.27</v>
      </c>
      <c r="J641" s="94">
        <v>2.36</v>
      </c>
      <c r="K641" s="94">
        <v>2.2549999999999999</v>
      </c>
      <c r="L641" s="94">
        <v>2.2999999999999998</v>
      </c>
      <c r="M641" s="94">
        <v>1410494</v>
      </c>
      <c r="N641" s="94" t="s">
        <v>675</v>
      </c>
      <c r="O641" s="25">
        <f t="shared" si="23"/>
        <v>-1.304347826086949E-2</v>
      </c>
    </row>
    <row r="642" spans="1:15">
      <c r="A642" s="94">
        <v>529.17609443630204</v>
      </c>
      <c r="B642" s="94">
        <v>529.89131808142622</v>
      </c>
      <c r="C642" s="94">
        <v>525.87811873934015</v>
      </c>
      <c r="D642" s="94">
        <v>525.98738901845638</v>
      </c>
      <c r="E642" s="94">
        <v>5465424.6775090043</v>
      </c>
      <c r="F642" s="94" t="s">
        <v>676</v>
      </c>
      <c r="G642" s="25">
        <f t="shared" si="22"/>
        <v>6.0623229461758132E-3</v>
      </c>
      <c r="I642" s="94">
        <v>2.2599999999999998</v>
      </c>
      <c r="J642" s="94">
        <v>2.2799999999999998</v>
      </c>
      <c r="K642" s="94">
        <v>2.0950000000000002</v>
      </c>
      <c r="L642" s="94">
        <v>2.1</v>
      </c>
      <c r="M642" s="94">
        <v>1474017</v>
      </c>
      <c r="N642" s="94" t="s">
        <v>676</v>
      </c>
      <c r="O642" s="25">
        <f t="shared" si="23"/>
        <v>7.6190476190476142E-2</v>
      </c>
    </row>
    <row r="643" spans="1:15">
      <c r="A643" s="94">
        <v>526.04699098888329</v>
      </c>
      <c r="B643" s="94">
        <v>527.37810166175348</v>
      </c>
      <c r="C643" s="94">
        <v>524.58674271342147</v>
      </c>
      <c r="D643" s="94">
        <v>525.7589147984861</v>
      </c>
      <c r="E643" s="94">
        <v>3661925.577900907</v>
      </c>
      <c r="F643" s="94" t="s">
        <v>677</v>
      </c>
      <c r="G643" s="25">
        <f t="shared" si="22"/>
        <v>5.4792449978258162E-4</v>
      </c>
      <c r="I643" s="94">
        <v>2.1</v>
      </c>
      <c r="J643" s="94">
        <v>2.12</v>
      </c>
      <c r="K643" s="94">
        <v>2.06</v>
      </c>
      <c r="L643" s="94">
        <v>2.09</v>
      </c>
      <c r="M643" s="94">
        <v>1567193</v>
      </c>
      <c r="N643" s="94" t="s">
        <v>677</v>
      </c>
      <c r="O643" s="25">
        <f t="shared" si="23"/>
        <v>4.784688995215447E-3</v>
      </c>
    </row>
    <row r="644" spans="1:15">
      <c r="A644" s="94">
        <v>526.93108688355096</v>
      </c>
      <c r="B644" s="94">
        <v>527.50723926434534</v>
      </c>
      <c r="C644" s="94">
        <v>522.81855092408637</v>
      </c>
      <c r="D644" s="94">
        <v>523.37483598140534</v>
      </c>
      <c r="E644" s="94">
        <v>2961430.6160586346</v>
      </c>
      <c r="F644" s="94" t="s">
        <v>678</v>
      </c>
      <c r="G644" s="25">
        <f t="shared" si="22"/>
        <v>6.7948450281853923E-3</v>
      </c>
      <c r="I644" s="94">
        <v>2.14</v>
      </c>
      <c r="J644" s="94">
        <v>2.1549999999999998</v>
      </c>
      <c r="K644" s="94">
        <v>2.08</v>
      </c>
      <c r="L644" s="94">
        <v>2.12</v>
      </c>
      <c r="M644" s="94">
        <v>1653338</v>
      </c>
      <c r="N644" s="94" t="s">
        <v>678</v>
      </c>
      <c r="O644" s="25">
        <f t="shared" si="23"/>
        <v>9.4339622641510523E-3</v>
      </c>
    </row>
    <row r="645" spans="1:15">
      <c r="A645" s="94">
        <v>523.3549686579297</v>
      </c>
      <c r="B645" s="94">
        <v>523.88145273003499</v>
      </c>
      <c r="C645" s="94">
        <v>520.02719197575436</v>
      </c>
      <c r="D645" s="94">
        <v>520.84175223825696</v>
      </c>
      <c r="E645" s="94">
        <v>2644208.2177966391</v>
      </c>
      <c r="F645" s="94" t="s">
        <v>679</v>
      </c>
      <c r="G645" s="25">
        <f t="shared" si="22"/>
        <v>4.8252975282270238E-3</v>
      </c>
      <c r="I645" s="94">
        <v>2.14</v>
      </c>
      <c r="J645" s="94">
        <v>2.2599999999999998</v>
      </c>
      <c r="K645" s="94">
        <v>2.14</v>
      </c>
      <c r="L645" s="94">
        <v>2.2599999999999998</v>
      </c>
      <c r="M645" s="94">
        <v>1839360</v>
      </c>
      <c r="N645" s="94" t="s">
        <v>679</v>
      </c>
      <c r="O645" s="25">
        <f t="shared" si="23"/>
        <v>-5.3097345132743223E-2</v>
      </c>
    </row>
    <row r="646" spans="1:15">
      <c r="A646" s="94">
        <v>518.44773975943826</v>
      </c>
      <c r="B646" s="94">
        <v>522.23256421817143</v>
      </c>
      <c r="C646" s="94">
        <v>517.35503696827618</v>
      </c>
      <c r="D646" s="94">
        <v>521.65631250075955</v>
      </c>
      <c r="E646" s="94">
        <v>3997020.5396430702</v>
      </c>
      <c r="F646" s="94" t="s">
        <v>680</v>
      </c>
      <c r="G646" s="25">
        <f t="shared" si="22"/>
        <v>-6.15074075484634E-3</v>
      </c>
      <c r="I646" s="94">
        <v>2.2599999999999998</v>
      </c>
      <c r="J646" s="94">
        <v>2.2599999999999998</v>
      </c>
      <c r="K646" s="94">
        <v>2.19</v>
      </c>
      <c r="L646" s="94">
        <v>2.25</v>
      </c>
      <c r="M646" s="94">
        <v>1472775</v>
      </c>
      <c r="N646" s="94" t="s">
        <v>680</v>
      </c>
      <c r="O646" s="25">
        <f t="shared" si="23"/>
        <v>4.444444444444251E-3</v>
      </c>
    </row>
    <row r="647" spans="1:15">
      <c r="A647" s="94">
        <v>523.15629542317288</v>
      </c>
      <c r="B647" s="94">
        <v>523.52384090747285</v>
      </c>
      <c r="C647" s="94">
        <v>518.83515256721387</v>
      </c>
      <c r="D647" s="94">
        <v>522.66954599801886</v>
      </c>
      <c r="E647" s="94">
        <v>5393957.5771852722</v>
      </c>
      <c r="F647" s="94" t="s">
        <v>681</v>
      </c>
      <c r="G647" s="25">
        <f t="shared" si="22"/>
        <v>9.312756575947656E-4</v>
      </c>
      <c r="I647" s="94">
        <v>2.2400000000000002</v>
      </c>
      <c r="J647" s="94">
        <v>2.29</v>
      </c>
      <c r="K647" s="94">
        <v>2.2200000000000002</v>
      </c>
      <c r="L647" s="94">
        <v>2.2200000000000002</v>
      </c>
      <c r="M647" s="94">
        <v>2368726</v>
      </c>
      <c r="N647" s="94" t="s">
        <v>681</v>
      </c>
      <c r="O647" s="25">
        <f t="shared" si="23"/>
        <v>9.009009009008917E-3</v>
      </c>
    </row>
    <row r="648" spans="1:15">
      <c r="A648" s="94">
        <v>518.37820412727342</v>
      </c>
      <c r="B648" s="94">
        <v>520.28050035006913</v>
      </c>
      <c r="C648" s="94">
        <v>516.37160445623044</v>
      </c>
      <c r="D648" s="94">
        <v>518.10006159861393</v>
      </c>
      <c r="E648" s="94">
        <v>4034717.615493123</v>
      </c>
      <c r="F648" s="94" t="s">
        <v>682</v>
      </c>
      <c r="G648" s="25">
        <f t="shared" si="22"/>
        <v>5.3685098550504406E-4</v>
      </c>
      <c r="I648" s="94">
        <v>2.21</v>
      </c>
      <c r="J648" s="94">
        <v>2.2650000000000001</v>
      </c>
      <c r="K648" s="94">
        <v>2.1800000000000002</v>
      </c>
      <c r="L648" s="94">
        <v>2.2000000000000002</v>
      </c>
      <c r="M648" s="94">
        <v>1121965</v>
      </c>
      <c r="N648" s="94" t="s">
        <v>682</v>
      </c>
      <c r="O648" s="25">
        <f t="shared" si="23"/>
        <v>4.5454545454544082E-3</v>
      </c>
    </row>
    <row r="649" spans="1:15">
      <c r="A649" s="94">
        <v>519.36163663931927</v>
      </c>
      <c r="B649" s="94">
        <v>520.37487013657858</v>
      </c>
      <c r="C649" s="94">
        <v>516.13329591113973</v>
      </c>
      <c r="D649" s="94">
        <v>518.38813778901124</v>
      </c>
      <c r="E649" s="94">
        <v>3292424.3711083229</v>
      </c>
      <c r="F649" s="94" t="s">
        <v>683</v>
      </c>
      <c r="G649" s="25">
        <f t="shared" si="22"/>
        <v>1.877934272300541E-3</v>
      </c>
      <c r="I649" s="94">
        <v>2.2400000000000002</v>
      </c>
      <c r="J649" s="94">
        <v>2.27</v>
      </c>
      <c r="K649" s="94">
        <v>2.16</v>
      </c>
      <c r="L649" s="94">
        <v>2.17</v>
      </c>
      <c r="M649" s="94">
        <v>1838065</v>
      </c>
      <c r="N649" s="94" t="s">
        <v>683</v>
      </c>
      <c r="O649" s="25">
        <f t="shared" si="23"/>
        <v>3.2258064516129226E-2</v>
      </c>
    </row>
    <row r="650" spans="1:15">
      <c r="A650" s="94">
        <v>519.27223368367868</v>
      </c>
      <c r="B650" s="94">
        <v>523.60331020137562</v>
      </c>
      <c r="C650" s="94">
        <v>516.77888458748168</v>
      </c>
      <c r="D650" s="94">
        <v>523.54370823094848</v>
      </c>
      <c r="E650" s="94">
        <v>9260086.8066232149</v>
      </c>
      <c r="F650" s="94" t="s">
        <v>684</v>
      </c>
      <c r="G650" s="25">
        <f t="shared" si="22"/>
        <v>-8.158773527625951E-3</v>
      </c>
      <c r="I650" s="94">
        <v>2.2000000000000002</v>
      </c>
      <c r="J650" s="94">
        <v>2.27</v>
      </c>
      <c r="K650" s="94">
        <v>2.1949999999999998</v>
      </c>
      <c r="L650" s="94">
        <v>2.23</v>
      </c>
      <c r="M650" s="94">
        <v>1953098</v>
      </c>
      <c r="N650" s="94" t="s">
        <v>684</v>
      </c>
      <c r="O650" s="25">
        <f t="shared" si="23"/>
        <v>-1.3452914798206206E-2</v>
      </c>
    </row>
    <row r="651" spans="1:15">
      <c r="A651" s="94">
        <v>524.16952892043219</v>
      </c>
      <c r="B651" s="94">
        <v>524.45263827996064</v>
      </c>
      <c r="C651" s="94">
        <v>518.72588228809775</v>
      </c>
      <c r="D651" s="94">
        <v>520.84175223825696</v>
      </c>
      <c r="E651" s="94">
        <v>8070889.8808808522</v>
      </c>
      <c r="F651" s="94" t="s">
        <v>685</v>
      </c>
      <c r="G651" s="25">
        <f t="shared" si="22"/>
        <v>6.3892279523953821E-3</v>
      </c>
      <c r="I651" s="94">
        <v>2.23</v>
      </c>
      <c r="J651" s="94">
        <v>2.2799999999999998</v>
      </c>
      <c r="K651" s="94">
        <v>2.2000000000000002</v>
      </c>
      <c r="L651" s="94">
        <v>2.25</v>
      </c>
      <c r="M651" s="94">
        <v>1918489</v>
      </c>
      <c r="N651" s="94" t="s">
        <v>685</v>
      </c>
      <c r="O651" s="25">
        <f t="shared" si="23"/>
        <v>-8.8888888888889461E-3</v>
      </c>
    </row>
    <row r="652" spans="1:15">
      <c r="A652" s="94">
        <v>521.89472038246765</v>
      </c>
      <c r="B652" s="94">
        <v>524.2688655378106</v>
      </c>
      <c r="C652" s="94">
        <v>520.84175223825696</v>
      </c>
      <c r="D652" s="94">
        <v>523.59337653963769</v>
      </c>
      <c r="E652" s="94">
        <v>5635982.1259820741</v>
      </c>
      <c r="F652" s="94" t="s">
        <v>686</v>
      </c>
      <c r="G652" s="25">
        <f t="shared" si="22"/>
        <v>-3.2442277409928666E-3</v>
      </c>
      <c r="I652" s="94">
        <v>2.2400000000000002</v>
      </c>
      <c r="J652" s="94">
        <v>2.34</v>
      </c>
      <c r="K652" s="94">
        <v>2.2200000000000002</v>
      </c>
      <c r="L652" s="94">
        <v>2.27</v>
      </c>
      <c r="M652" s="94">
        <v>2412125</v>
      </c>
      <c r="N652" s="94" t="s">
        <v>686</v>
      </c>
      <c r="O652" s="25">
        <f t="shared" si="23"/>
        <v>-1.3215859030836885E-2</v>
      </c>
    </row>
    <row r="653" spans="1:15">
      <c r="A653" s="94">
        <v>522.57160009328379</v>
      </c>
      <c r="B653" s="94">
        <v>524.77002524432999</v>
      </c>
      <c r="C653" s="94">
        <v>520.3830777582333</v>
      </c>
      <c r="D653" s="94">
        <v>524.52245484443733</v>
      </c>
      <c r="E653" s="94">
        <v>5325672.0131809711</v>
      </c>
      <c r="F653" s="94" t="s">
        <v>687</v>
      </c>
      <c r="G653" s="25">
        <f t="shared" si="22"/>
        <v>-3.7192969207240356E-3</v>
      </c>
      <c r="I653" s="94">
        <v>2.21</v>
      </c>
      <c r="J653" s="94">
        <v>2.2549999999999999</v>
      </c>
      <c r="K653" s="94">
        <v>2.1800000000000002</v>
      </c>
      <c r="L653" s="94">
        <v>2.25</v>
      </c>
      <c r="M653" s="94">
        <v>1873280</v>
      </c>
      <c r="N653" s="94" t="s">
        <v>687</v>
      </c>
      <c r="O653" s="25">
        <f t="shared" si="23"/>
        <v>-1.7777777777777781E-2</v>
      </c>
    </row>
    <row r="654" spans="1:15">
      <c r="A654" s="94">
        <v>520.50191155018172</v>
      </c>
      <c r="B654" s="94">
        <v>522.17548745345562</v>
      </c>
      <c r="C654" s="94">
        <v>519.55124121459414</v>
      </c>
      <c r="D654" s="94">
        <v>521.4921931497521</v>
      </c>
      <c r="E654" s="94">
        <v>35765633.750405967</v>
      </c>
      <c r="F654" s="94" t="s">
        <v>688</v>
      </c>
      <c r="G654" s="25">
        <f t="shared" si="22"/>
        <v>-1.8989384933821851E-3</v>
      </c>
      <c r="I654" s="94">
        <v>2.1800000000000002</v>
      </c>
      <c r="J654" s="94">
        <v>2.2200000000000002</v>
      </c>
      <c r="K654" s="94">
        <v>2.0699999999999998</v>
      </c>
      <c r="L654" s="94">
        <v>2.08</v>
      </c>
      <c r="M654" s="94">
        <v>2572519</v>
      </c>
      <c r="N654" s="94" t="s">
        <v>688</v>
      </c>
      <c r="O654" s="25">
        <f t="shared" si="23"/>
        <v>4.8076923076923128E-2</v>
      </c>
    </row>
    <row r="655" spans="1:15">
      <c r="A655" s="94">
        <v>521.56151286172189</v>
      </c>
      <c r="B655" s="94">
        <v>521.71995791765323</v>
      </c>
      <c r="C655" s="94">
        <v>518.29358358313982</v>
      </c>
      <c r="D655" s="94">
        <v>520.89802419000989</v>
      </c>
      <c r="E655" s="94">
        <v>4696248.0187632013</v>
      </c>
      <c r="F655" s="94" t="s">
        <v>689</v>
      </c>
      <c r="G655" s="25">
        <f t="shared" si="22"/>
        <v>1.2737400429647661E-3</v>
      </c>
      <c r="I655" s="94">
        <v>2.1</v>
      </c>
      <c r="J655" s="94">
        <v>2.105</v>
      </c>
      <c r="K655" s="94">
        <v>2.0499999999999998</v>
      </c>
      <c r="L655" s="94">
        <v>2.08</v>
      </c>
      <c r="M655" s="94">
        <v>1351271</v>
      </c>
      <c r="N655" s="94" t="s">
        <v>689</v>
      </c>
      <c r="O655" s="25">
        <f t="shared" si="23"/>
        <v>9.6153846153845812E-3</v>
      </c>
    </row>
    <row r="656" spans="1:15">
      <c r="A656" s="94">
        <v>520.06618764637074</v>
      </c>
      <c r="B656" s="94">
        <v>520.71977350208726</v>
      </c>
      <c r="C656" s="94">
        <v>518.7392103029465</v>
      </c>
      <c r="D656" s="94">
        <v>519.89783977444381</v>
      </c>
      <c r="E656" s="94">
        <v>29576592.1660132</v>
      </c>
      <c r="F656" s="94" t="s">
        <v>690</v>
      </c>
      <c r="G656" s="25">
        <f t="shared" si="22"/>
        <v>3.2380952380939299E-4</v>
      </c>
      <c r="I656" s="94">
        <v>2.0499999999999998</v>
      </c>
      <c r="J656" s="94">
        <v>2.11</v>
      </c>
      <c r="K656" s="94">
        <v>2.02</v>
      </c>
      <c r="L656" s="94">
        <v>2.06</v>
      </c>
      <c r="M656" s="94">
        <v>1741004</v>
      </c>
      <c r="N656" s="94" t="s">
        <v>690</v>
      </c>
      <c r="O656" s="25">
        <f t="shared" si="23"/>
        <v>-4.8543689320389438E-3</v>
      </c>
    </row>
    <row r="657" spans="1:15">
      <c r="A657" s="94">
        <v>518.78872438292501</v>
      </c>
      <c r="B657" s="94">
        <v>519.81861724647808</v>
      </c>
      <c r="C657" s="94">
        <v>516.05554716811071</v>
      </c>
      <c r="D657" s="94">
        <v>518.42232019108394</v>
      </c>
      <c r="E657" s="94">
        <v>5667759.5569129474</v>
      </c>
      <c r="F657" s="94" t="s">
        <v>691</v>
      </c>
      <c r="G657" s="25">
        <f t="shared" si="22"/>
        <v>7.0676777903000421E-4</v>
      </c>
      <c r="I657" s="94">
        <v>2.06</v>
      </c>
      <c r="J657" s="94">
        <v>2.11</v>
      </c>
      <c r="K657" s="94">
        <v>2.0299999999999998</v>
      </c>
      <c r="L657" s="94">
        <v>2.1</v>
      </c>
      <c r="M657" s="94">
        <v>7762693</v>
      </c>
      <c r="N657" s="94" t="s">
        <v>691</v>
      </c>
      <c r="O657" s="25">
        <f t="shared" si="23"/>
        <v>-1.9047619047619091E-2</v>
      </c>
    </row>
    <row r="658" spans="1:15">
      <c r="A658" s="94">
        <v>519.80871443048238</v>
      </c>
      <c r="B658" s="94">
        <v>521.4822903337564</v>
      </c>
      <c r="C658" s="94">
        <v>517.11514847965111</v>
      </c>
      <c r="D658" s="94">
        <v>519.77900598249528</v>
      </c>
      <c r="E658" s="94">
        <v>5612919.6002545981</v>
      </c>
      <c r="F658" s="94" t="s">
        <v>692</v>
      </c>
      <c r="G658" s="25">
        <f t="shared" si="22"/>
        <v>5.7155921353357897E-5</v>
      </c>
      <c r="I658" s="94">
        <v>2.12</v>
      </c>
      <c r="J658" s="94">
        <v>2.1800000000000002</v>
      </c>
      <c r="K658" s="94">
        <v>2.11</v>
      </c>
      <c r="L658" s="94">
        <v>2.14</v>
      </c>
      <c r="M658" s="94">
        <v>1786433</v>
      </c>
      <c r="N658" s="94" t="s">
        <v>692</v>
      </c>
      <c r="O658" s="25">
        <f t="shared" si="23"/>
        <v>-9.3457943925233655E-3</v>
      </c>
    </row>
    <row r="659" spans="1:15">
      <c r="A659" s="94">
        <v>510.89618003434907</v>
      </c>
      <c r="B659" s="94">
        <v>517.64990054341911</v>
      </c>
      <c r="C659" s="94">
        <v>510.4604561305382</v>
      </c>
      <c r="D659" s="94">
        <v>513.14411926537377</v>
      </c>
      <c r="E659" s="94">
        <v>6989201.8623821521</v>
      </c>
      <c r="F659" s="94" t="s">
        <v>693</v>
      </c>
      <c r="G659" s="25">
        <f t="shared" si="22"/>
        <v>-4.3807171253231747E-3</v>
      </c>
      <c r="I659" s="94">
        <v>2.0499999999999998</v>
      </c>
      <c r="J659" s="94">
        <v>2.19</v>
      </c>
      <c r="K659" s="94">
        <v>2.0499999999999998</v>
      </c>
      <c r="L659" s="94">
        <v>2.12</v>
      </c>
      <c r="M659" s="94">
        <v>2616959</v>
      </c>
      <c r="N659" s="94" t="s">
        <v>693</v>
      </c>
      <c r="O659" s="25">
        <f t="shared" si="23"/>
        <v>-3.3018867924528461E-2</v>
      </c>
    </row>
    <row r="660" spans="1:15">
      <c r="A660" s="94">
        <v>512.55985312162738</v>
      </c>
      <c r="B660" s="94">
        <v>515.6742887522762</v>
      </c>
      <c r="C660" s="94">
        <v>510.49016457852525</v>
      </c>
      <c r="D660" s="94">
        <v>514.39187408083262</v>
      </c>
      <c r="E660" s="94">
        <v>8229938.8411698611</v>
      </c>
      <c r="F660" s="94" t="s">
        <v>694</v>
      </c>
      <c r="G660" s="25">
        <f t="shared" si="22"/>
        <v>-3.5615277991684069E-3</v>
      </c>
      <c r="I660" s="94">
        <v>2.12</v>
      </c>
      <c r="J660" s="94">
        <v>2.19</v>
      </c>
      <c r="K660" s="94">
        <v>2.09</v>
      </c>
      <c r="L660" s="94">
        <v>2.15</v>
      </c>
      <c r="M660" s="94">
        <v>1721364</v>
      </c>
      <c r="N660" s="94" t="s">
        <v>694</v>
      </c>
      <c r="O660" s="25">
        <f t="shared" si="23"/>
        <v>-1.3953488372092981E-2</v>
      </c>
    </row>
    <row r="661" spans="1:15">
      <c r="A661" s="94">
        <v>512.32218553773043</v>
      </c>
      <c r="B661" s="94">
        <v>512.55985312162738</v>
      </c>
      <c r="C661" s="94">
        <v>509.64842521889045</v>
      </c>
      <c r="D661" s="94">
        <v>511.32200112216441</v>
      </c>
      <c r="E661" s="94">
        <v>4298022.9076724881</v>
      </c>
      <c r="F661" s="94" t="s">
        <v>695</v>
      </c>
      <c r="G661" s="25">
        <f t="shared" si="22"/>
        <v>1.9560754541581016E-3</v>
      </c>
      <c r="I661" s="94">
        <v>2.12</v>
      </c>
      <c r="J661" s="94">
        <v>2.1793</v>
      </c>
      <c r="K661" s="94">
        <v>2.08</v>
      </c>
      <c r="L661" s="94">
        <v>2.15</v>
      </c>
      <c r="M661" s="94">
        <v>2082831</v>
      </c>
      <c r="N661" s="94" t="s">
        <v>695</v>
      </c>
      <c r="O661" s="25">
        <f t="shared" si="23"/>
        <v>-1.3953488372092981E-2</v>
      </c>
    </row>
    <row r="662" spans="1:15">
      <c r="A662" s="94">
        <v>511.5497658900656</v>
      </c>
      <c r="B662" s="94">
        <v>512.50043622565306</v>
      </c>
      <c r="C662" s="94">
        <v>509.23250694707093</v>
      </c>
      <c r="D662" s="94">
        <v>509.4305632669849</v>
      </c>
      <c r="E662" s="94">
        <v>4459984.9193564206</v>
      </c>
      <c r="F662" s="94" t="s">
        <v>696</v>
      </c>
      <c r="G662" s="25">
        <f t="shared" si="22"/>
        <v>4.1599440157069623E-3</v>
      </c>
      <c r="I662" s="94">
        <v>2.15</v>
      </c>
      <c r="J662" s="94">
        <v>2.16</v>
      </c>
      <c r="K662" s="94">
        <v>2.0499999999999998</v>
      </c>
      <c r="L662" s="94">
        <v>2.09</v>
      </c>
      <c r="M662" s="94">
        <v>1911589</v>
      </c>
      <c r="N662" s="94" t="s">
        <v>696</v>
      </c>
      <c r="O662" s="25">
        <f t="shared" si="23"/>
        <v>2.8708133971291794E-2</v>
      </c>
    </row>
    <row r="663" spans="1:15">
      <c r="A663" s="94">
        <v>508.84629712323851</v>
      </c>
      <c r="B663" s="94">
        <v>509.14318354678971</v>
      </c>
      <c r="C663" s="94">
        <v>503.12246947772172</v>
      </c>
      <c r="D663" s="94">
        <v>505.13274112484953</v>
      </c>
      <c r="E663" s="94">
        <v>4139769.9419827382</v>
      </c>
      <c r="F663" s="94" t="s">
        <v>697</v>
      </c>
      <c r="G663" s="25">
        <f t="shared" si="22"/>
        <v>7.3516438275600393E-3</v>
      </c>
      <c r="I663" s="94">
        <v>2.0499999999999998</v>
      </c>
      <c r="J663" s="94">
        <v>2.09</v>
      </c>
      <c r="K663" s="94">
        <v>1.925</v>
      </c>
      <c r="L663" s="94">
        <v>1.95</v>
      </c>
      <c r="M663" s="94">
        <v>2131053</v>
      </c>
      <c r="N663" s="94" t="s">
        <v>697</v>
      </c>
      <c r="O663" s="25">
        <f t="shared" si="23"/>
        <v>5.1282051282051322E-2</v>
      </c>
    </row>
    <row r="664" spans="1:15">
      <c r="A664" s="94">
        <v>504.50886371712022</v>
      </c>
      <c r="B664" s="94">
        <v>505.4793396846992</v>
      </c>
      <c r="C664" s="94">
        <v>491.42724378679566</v>
      </c>
      <c r="D664" s="94">
        <v>499.40891347933285</v>
      </c>
      <c r="E664" s="94">
        <v>4994369.2805619482</v>
      </c>
      <c r="F664" s="94" t="s">
        <v>698</v>
      </c>
      <c r="G664" s="25">
        <f t="shared" si="22"/>
        <v>1.0211972794511137E-2</v>
      </c>
      <c r="I664" s="94">
        <v>1.94</v>
      </c>
      <c r="J664" s="94">
        <v>2.0150000000000001</v>
      </c>
      <c r="K664" s="94">
        <v>1.84</v>
      </c>
      <c r="L664" s="94">
        <v>1.88</v>
      </c>
      <c r="M664" s="94">
        <v>3465083</v>
      </c>
      <c r="N664" s="94" t="s">
        <v>698</v>
      </c>
      <c r="O664" s="25">
        <f t="shared" si="23"/>
        <v>3.1914893617021267E-2</v>
      </c>
    </row>
    <row r="665" spans="1:15">
      <c r="A665" s="94">
        <v>499.39901066333715</v>
      </c>
      <c r="B665" s="94">
        <v>499.80007471116312</v>
      </c>
      <c r="C665" s="94">
        <v>494.64536190091951</v>
      </c>
      <c r="D665" s="94">
        <v>499.05241210348748</v>
      </c>
      <c r="E665" s="94">
        <v>3004584.7578010764</v>
      </c>
      <c r="F665" s="94" t="s">
        <v>699</v>
      </c>
      <c r="G665" s="25">
        <f t="shared" si="22"/>
        <v>6.9451334457792946E-4</v>
      </c>
      <c r="I665" s="94">
        <v>1.9</v>
      </c>
      <c r="J665" s="94">
        <v>1.93</v>
      </c>
      <c r="K665" s="94">
        <v>1.79</v>
      </c>
      <c r="L665" s="94">
        <v>1.93</v>
      </c>
      <c r="M665" s="94">
        <v>2556527</v>
      </c>
      <c r="N665" s="94" t="s">
        <v>699</v>
      </c>
      <c r="O665" s="25">
        <f t="shared" si="23"/>
        <v>-1.5544041450777257E-2</v>
      </c>
    </row>
    <row r="666" spans="1:15">
      <c r="A666" s="94">
        <v>497.34912775222648</v>
      </c>
      <c r="B666" s="94">
        <v>498.47804877573668</v>
      </c>
      <c r="C666" s="94">
        <v>493.90294778572161</v>
      </c>
      <c r="D666" s="94">
        <v>495.73496874492679</v>
      </c>
      <c r="E666" s="94">
        <v>3692683.9815932065</v>
      </c>
      <c r="F666" s="94" t="s">
        <v>700</v>
      </c>
      <c r="G666" s="25">
        <f t="shared" si="22"/>
        <v>3.2560926887734709E-3</v>
      </c>
      <c r="I666" s="94">
        <v>1.92</v>
      </c>
      <c r="J666" s="94">
        <v>2.0099999999999998</v>
      </c>
      <c r="K666" s="94">
        <v>1.79</v>
      </c>
      <c r="L666" s="94">
        <v>1.87</v>
      </c>
      <c r="M666" s="94">
        <v>5691179</v>
      </c>
      <c r="N666" s="94" t="s">
        <v>700</v>
      </c>
      <c r="O666" s="25">
        <f t="shared" si="23"/>
        <v>2.6737967914438387E-2</v>
      </c>
    </row>
    <row r="667" spans="1:15">
      <c r="A667" s="94">
        <v>491.81345361062807</v>
      </c>
      <c r="B667" s="94">
        <v>502.01335408620292</v>
      </c>
      <c r="C667" s="94">
        <v>490.98161706698903</v>
      </c>
      <c r="D667" s="94">
        <v>500.42890352689028</v>
      </c>
      <c r="E667" s="94">
        <v>7484173.1919642175</v>
      </c>
      <c r="F667" s="94" t="s">
        <v>701</v>
      </c>
      <c r="G667" s="25">
        <f t="shared" si="22"/>
        <v>-1.7216131713301941E-2</v>
      </c>
      <c r="I667" s="94">
        <v>1.78</v>
      </c>
      <c r="J667" s="94">
        <v>2.3199999999999998</v>
      </c>
      <c r="K667" s="94">
        <v>1.76</v>
      </c>
      <c r="L667" s="94">
        <v>2.23</v>
      </c>
      <c r="M667" s="94">
        <v>11855121</v>
      </c>
      <c r="N667" s="94" t="s">
        <v>701</v>
      </c>
      <c r="O667" s="25">
        <f t="shared" si="23"/>
        <v>-0.2017937219730942</v>
      </c>
    </row>
    <row r="668" spans="1:15">
      <c r="A668" s="94">
        <v>500.14172186301494</v>
      </c>
      <c r="B668" s="94">
        <v>503.99391728534363</v>
      </c>
      <c r="C668" s="94">
        <v>497.95319952796439</v>
      </c>
      <c r="D668" s="94">
        <v>501.43899075845212</v>
      </c>
      <c r="E668" s="94">
        <v>3459186.762115113</v>
      </c>
      <c r="F668" s="94" t="s">
        <v>702</v>
      </c>
      <c r="G668" s="25">
        <f t="shared" ref="G668:G731" si="24">A668/D668-1</f>
        <v>-2.5870921873766273E-3</v>
      </c>
      <c r="I668" s="94">
        <v>2.48</v>
      </c>
      <c r="J668" s="94">
        <v>2.5263</v>
      </c>
      <c r="K668" s="94">
        <v>2.4300000000000002</v>
      </c>
      <c r="L668" s="94">
        <v>2.48</v>
      </c>
      <c r="M668" s="94">
        <v>1920922</v>
      </c>
      <c r="N668" s="94" t="s">
        <v>702</v>
      </c>
      <c r="O668" s="25">
        <f t="shared" ref="O668:O731" si="25">I668/L668-1</f>
        <v>0</v>
      </c>
    </row>
    <row r="669" spans="1:15">
      <c r="A669" s="94">
        <v>501.37957386247791</v>
      </c>
      <c r="B669" s="94">
        <v>504.57818342909013</v>
      </c>
      <c r="C669" s="94">
        <v>500.11201341502777</v>
      </c>
      <c r="D669" s="94">
        <v>500.76559927074425</v>
      </c>
      <c r="E669" s="94">
        <v>3636716.0629486055</v>
      </c>
      <c r="F669" s="94" t="s">
        <v>703</v>
      </c>
      <c r="G669" s="25">
        <f t="shared" si="24"/>
        <v>1.2260718240786339E-3</v>
      </c>
      <c r="I669" s="94">
        <v>2.48</v>
      </c>
      <c r="J669" s="94">
        <v>2.56</v>
      </c>
      <c r="K669" s="94">
        <v>2.39</v>
      </c>
      <c r="L669" s="94">
        <v>2.4500000000000002</v>
      </c>
      <c r="M669" s="94">
        <v>2310417</v>
      </c>
      <c r="N669" s="94" t="s">
        <v>703</v>
      </c>
      <c r="O669" s="25">
        <f t="shared" si="25"/>
        <v>1.2244897959183598E-2</v>
      </c>
    </row>
    <row r="670" spans="1:15">
      <c r="A670" s="94">
        <v>502.62732867793653</v>
      </c>
      <c r="B670" s="94">
        <v>510.42084486655529</v>
      </c>
      <c r="C670" s="94">
        <v>500.19123594299344</v>
      </c>
      <c r="D670" s="94">
        <v>510.11385757068854</v>
      </c>
      <c r="E670" s="94">
        <v>5924012.9298021281</v>
      </c>
      <c r="F670" s="94" t="s">
        <v>704</v>
      </c>
      <c r="G670" s="25">
        <f t="shared" si="24"/>
        <v>-1.4676191955272588E-2</v>
      </c>
      <c r="I670" s="94">
        <v>2.4500000000000002</v>
      </c>
      <c r="J670" s="94">
        <v>2.665</v>
      </c>
      <c r="K670" s="94">
        <v>2.4500000000000002</v>
      </c>
      <c r="L670" s="94">
        <v>2.65</v>
      </c>
      <c r="M670" s="94">
        <v>2088156</v>
      </c>
      <c r="N670" s="94" t="s">
        <v>704</v>
      </c>
      <c r="O670" s="25">
        <f t="shared" si="25"/>
        <v>-7.5471698113207419E-2</v>
      </c>
    </row>
    <row r="671" spans="1:15">
      <c r="A671" s="94">
        <v>513.00547984143395</v>
      </c>
      <c r="B671" s="94">
        <v>513.54023190520206</v>
      </c>
      <c r="C671" s="94">
        <v>507.14301277197745</v>
      </c>
      <c r="D671" s="94">
        <v>510.41094205055958</v>
      </c>
      <c r="E671" s="94">
        <v>5693052.3625258831</v>
      </c>
      <c r="F671" s="94" t="s">
        <v>705</v>
      </c>
      <c r="G671" s="25">
        <f t="shared" si="24"/>
        <v>5.0832330914594159E-3</v>
      </c>
      <c r="I671" s="94">
        <v>2.69</v>
      </c>
      <c r="J671" s="94">
        <v>2.81</v>
      </c>
      <c r="K671" s="94">
        <v>2.61</v>
      </c>
      <c r="L671" s="94">
        <v>2.76</v>
      </c>
      <c r="M671" s="94">
        <v>1872862</v>
      </c>
      <c r="N671" s="94" t="s">
        <v>705</v>
      </c>
      <c r="O671" s="25">
        <f t="shared" si="25"/>
        <v>-2.5362318840579601E-2</v>
      </c>
    </row>
    <row r="672" spans="1:15">
      <c r="A672" s="94">
        <v>508.22241971550915</v>
      </c>
      <c r="B672" s="94">
        <v>513.05499392141257</v>
      </c>
      <c r="C672" s="94">
        <v>507.1529155879731</v>
      </c>
      <c r="D672" s="94">
        <v>509.98512096274442</v>
      </c>
      <c r="E672" s="94">
        <v>3521367.0551011832</v>
      </c>
      <c r="F672" s="94" t="s">
        <v>706</v>
      </c>
      <c r="G672" s="25">
        <f t="shared" si="24"/>
        <v>-3.4563777937436369E-3</v>
      </c>
      <c r="I672" s="94">
        <v>2.75</v>
      </c>
      <c r="J672" s="94">
        <v>2.8050000000000002</v>
      </c>
      <c r="K672" s="94">
        <v>2.5501999999999998</v>
      </c>
      <c r="L672" s="94">
        <v>2.56</v>
      </c>
      <c r="M672" s="94">
        <v>2860032</v>
      </c>
      <c r="N672" s="94" t="s">
        <v>706</v>
      </c>
      <c r="O672" s="25">
        <f t="shared" si="25"/>
        <v>7.421875E-2</v>
      </c>
    </row>
    <row r="673" spans="1:15">
      <c r="A673" s="94">
        <v>508.14319718754348</v>
      </c>
      <c r="B673" s="94">
        <v>511.21307014621163</v>
      </c>
      <c r="C673" s="94">
        <v>505.2020608368195</v>
      </c>
      <c r="D673" s="94">
        <v>510.78724905839636</v>
      </c>
      <c r="E673" s="94">
        <v>3979098.4723027707</v>
      </c>
      <c r="F673" s="94" t="s">
        <v>707</v>
      </c>
      <c r="G673" s="25">
        <f t="shared" si="24"/>
        <v>-5.1764249709189691E-3</v>
      </c>
      <c r="I673" s="94">
        <v>2.5099999999999998</v>
      </c>
      <c r="J673" s="94">
        <v>2.64</v>
      </c>
      <c r="K673" s="94">
        <v>2.4950000000000001</v>
      </c>
      <c r="L673" s="94">
        <v>2.62</v>
      </c>
      <c r="M673" s="94">
        <v>1557460</v>
      </c>
      <c r="N673" s="94" t="s">
        <v>707</v>
      </c>
      <c r="O673" s="25">
        <f t="shared" si="25"/>
        <v>-4.1984732824427606E-2</v>
      </c>
    </row>
    <row r="674" spans="1:15">
      <c r="A674" s="94">
        <v>511.06452790627611</v>
      </c>
      <c r="B674" s="94">
        <v>511.569571522057</v>
      </c>
      <c r="C674" s="94">
        <v>508.17290563553058</v>
      </c>
      <c r="D674" s="94">
        <v>509.26221539505798</v>
      </c>
      <c r="E674" s="94">
        <v>3061531.1859932854</v>
      </c>
      <c r="F674" s="94" t="s">
        <v>708</v>
      </c>
      <c r="G674" s="25">
        <f t="shared" si="24"/>
        <v>3.5390658421812216E-3</v>
      </c>
      <c r="I674" s="94">
        <v>2.58</v>
      </c>
      <c r="J674" s="94">
        <v>2.74</v>
      </c>
      <c r="K674" s="94">
        <v>2.57</v>
      </c>
      <c r="L674" s="94">
        <v>2.69</v>
      </c>
      <c r="M674" s="94">
        <v>1790563</v>
      </c>
      <c r="N674" s="94" t="s">
        <v>708</v>
      </c>
      <c r="O674" s="25">
        <f t="shared" si="25"/>
        <v>-4.0892193308550095E-2</v>
      </c>
    </row>
    <row r="675" spans="1:15">
      <c r="A675" s="94">
        <v>510.38123360257254</v>
      </c>
      <c r="B675" s="94">
        <v>513.2530502413266</v>
      </c>
      <c r="C675" s="94">
        <v>508.88095697922341</v>
      </c>
      <c r="D675" s="94">
        <v>512.60936720160589</v>
      </c>
      <c r="E675" s="94">
        <v>3431993.4869783409</v>
      </c>
      <c r="F675" s="94" t="s">
        <v>709</v>
      </c>
      <c r="G675" s="25">
        <f t="shared" si="24"/>
        <v>-4.3466501815934144E-3</v>
      </c>
      <c r="I675" s="94">
        <v>2.75</v>
      </c>
      <c r="J675" s="94">
        <v>2.8</v>
      </c>
      <c r="K675" s="94">
        <v>2.7</v>
      </c>
      <c r="L675" s="94">
        <v>2.78</v>
      </c>
      <c r="M675" s="94">
        <v>1769963</v>
      </c>
      <c r="N675" s="94" t="s">
        <v>709</v>
      </c>
      <c r="O675" s="25">
        <f t="shared" si="25"/>
        <v>-1.0791366906474753E-2</v>
      </c>
    </row>
    <row r="676" spans="1:15">
      <c r="A676" s="94">
        <v>511.63889123402686</v>
      </c>
      <c r="B676" s="94">
        <v>512.52024185764446</v>
      </c>
      <c r="C676" s="94">
        <v>507.27382897128069</v>
      </c>
      <c r="D676" s="94">
        <v>509.331535107028</v>
      </c>
      <c r="E676" s="94">
        <v>5152868.6408127062</v>
      </c>
      <c r="F676" s="94" t="s">
        <v>710</v>
      </c>
      <c r="G676" s="25">
        <f t="shared" si="24"/>
        <v>4.5301654579743555E-3</v>
      </c>
      <c r="I676" s="94">
        <v>2.74</v>
      </c>
      <c r="J676" s="94">
        <v>2.76</v>
      </c>
      <c r="K676" s="94">
        <v>2.5499999999999998</v>
      </c>
      <c r="L676" s="94">
        <v>2.59</v>
      </c>
      <c r="M676" s="94">
        <v>2190212</v>
      </c>
      <c r="N676" s="94" t="s">
        <v>710</v>
      </c>
      <c r="O676" s="25">
        <f t="shared" si="25"/>
        <v>5.7915057915058021E-2</v>
      </c>
    </row>
    <row r="677" spans="1:15">
      <c r="A677" s="94">
        <v>506.16263398840277</v>
      </c>
      <c r="B677" s="94">
        <v>512.59946438561019</v>
      </c>
      <c r="C677" s="94">
        <v>505.14264394084529</v>
      </c>
      <c r="D677" s="94">
        <v>512.02510105785927</v>
      </c>
      <c r="E677" s="94">
        <v>3713173.1030802694</v>
      </c>
      <c r="F677" s="94" t="s">
        <v>711</v>
      </c>
      <c r="G677" s="25">
        <f t="shared" si="24"/>
        <v>-1.1449569674112592E-2</v>
      </c>
      <c r="I677" s="94">
        <v>2.56</v>
      </c>
      <c r="J677" s="94">
        <v>2.7698999999999998</v>
      </c>
      <c r="K677" s="94">
        <v>2.54</v>
      </c>
      <c r="L677" s="94">
        <v>2.76</v>
      </c>
      <c r="M677" s="94">
        <v>2300898</v>
      </c>
      <c r="N677" s="94" t="s">
        <v>711</v>
      </c>
      <c r="O677" s="25">
        <f t="shared" si="25"/>
        <v>-7.2463768115941907E-2</v>
      </c>
    </row>
    <row r="678" spans="1:15">
      <c r="A678" s="94">
        <v>510.29210825861117</v>
      </c>
      <c r="B678" s="94">
        <v>511.63879220586693</v>
      </c>
      <c r="C678" s="94">
        <v>507.86591833966384</v>
      </c>
      <c r="D678" s="94">
        <v>509.47017453096782</v>
      </c>
      <c r="E678" s="94">
        <v>3376867.7530217734</v>
      </c>
      <c r="F678" s="94" t="s">
        <v>712</v>
      </c>
      <c r="G678" s="25">
        <f t="shared" si="24"/>
        <v>1.6133107858571361E-3</v>
      </c>
      <c r="I678" s="94">
        <v>2.76</v>
      </c>
      <c r="J678" s="94">
        <v>2.8</v>
      </c>
      <c r="K678" s="94">
        <v>2.66</v>
      </c>
      <c r="L678" s="94">
        <v>2.78</v>
      </c>
      <c r="M678" s="94">
        <v>3985094</v>
      </c>
      <c r="N678" s="94" t="s">
        <v>712</v>
      </c>
      <c r="O678" s="25">
        <f t="shared" si="25"/>
        <v>-7.194244604316502E-3</v>
      </c>
    </row>
    <row r="679" spans="1:15">
      <c r="A679" s="94">
        <v>508.50960137938455</v>
      </c>
      <c r="B679" s="94">
        <v>510.47025991837393</v>
      </c>
      <c r="C679" s="94">
        <v>507.27174937992157</v>
      </c>
      <c r="D679" s="94">
        <v>508.92551965120407</v>
      </c>
      <c r="E679" s="94">
        <v>3186953.0862425533</v>
      </c>
      <c r="F679" s="94" t="s">
        <v>713</v>
      </c>
      <c r="G679" s="25">
        <f t="shared" si="24"/>
        <v>-8.1724782067238433E-4</v>
      </c>
      <c r="I679" s="94">
        <v>2.74</v>
      </c>
      <c r="J679" s="94">
        <v>2.89</v>
      </c>
      <c r="K679" s="94">
        <v>2.68</v>
      </c>
      <c r="L679" s="94">
        <v>2.83</v>
      </c>
      <c r="M679" s="94">
        <v>5500437</v>
      </c>
      <c r="N679" s="94" t="s">
        <v>713</v>
      </c>
      <c r="O679" s="25">
        <f t="shared" si="25"/>
        <v>-3.180212014134276E-2</v>
      </c>
    </row>
    <row r="680" spans="1:15">
      <c r="A680" s="94">
        <v>509.35134073901935</v>
      </c>
      <c r="B680" s="94">
        <v>509.35134073901935</v>
      </c>
      <c r="C680" s="94">
        <v>504.1127510772921</v>
      </c>
      <c r="D680" s="94">
        <v>504.9049763569484</v>
      </c>
      <c r="E680" s="94">
        <v>3841647.6703702165</v>
      </c>
      <c r="F680" s="94" t="s">
        <v>714</v>
      </c>
      <c r="G680" s="25">
        <f t="shared" si="24"/>
        <v>8.8063389950181481E-3</v>
      </c>
      <c r="I680" s="94">
        <v>2.84</v>
      </c>
      <c r="J680" s="94">
        <v>2.84</v>
      </c>
      <c r="K680" s="94">
        <v>2.46</v>
      </c>
      <c r="L680" s="94">
        <v>2.54</v>
      </c>
      <c r="M680" s="94">
        <v>7345671</v>
      </c>
      <c r="N680" s="94" t="s">
        <v>714</v>
      </c>
      <c r="O680" s="25">
        <f t="shared" si="25"/>
        <v>0.11811023622047245</v>
      </c>
    </row>
    <row r="681" spans="1:15">
      <c r="A681" s="94">
        <v>504.49896090112452</v>
      </c>
      <c r="B681" s="94">
        <v>505.15254675684099</v>
      </c>
      <c r="C681" s="94">
        <v>501.72617242232747</v>
      </c>
      <c r="D681" s="94">
        <v>501.91432592624585</v>
      </c>
      <c r="E681" s="94">
        <v>3483136.5154078021</v>
      </c>
      <c r="F681" s="94" t="s">
        <v>715</v>
      </c>
      <c r="G681" s="25">
        <f t="shared" si="24"/>
        <v>5.149554099913134E-3</v>
      </c>
      <c r="I681" s="94">
        <v>2.52</v>
      </c>
      <c r="J681" s="94">
        <v>2.58</v>
      </c>
      <c r="K681" s="94">
        <v>2.2120000000000002</v>
      </c>
      <c r="L681" s="94">
        <v>2.34</v>
      </c>
      <c r="M681" s="94">
        <v>9340749</v>
      </c>
      <c r="N681" s="94" t="s">
        <v>715</v>
      </c>
      <c r="O681" s="25">
        <f t="shared" si="25"/>
        <v>7.6923076923077094E-2</v>
      </c>
    </row>
    <row r="682" spans="1:15">
      <c r="A682" s="94">
        <v>503.43935958958423</v>
      </c>
      <c r="B682" s="94">
        <v>503.64731872549402</v>
      </c>
      <c r="C682" s="94">
        <v>499.58290595637737</v>
      </c>
      <c r="D682" s="94">
        <v>500.18133312699769</v>
      </c>
      <c r="E682" s="94">
        <v>4320945.680356387</v>
      </c>
      <c r="F682" s="94" t="s">
        <v>716</v>
      </c>
      <c r="G682" s="25">
        <f t="shared" si="24"/>
        <v>6.5136906293927765E-3</v>
      </c>
      <c r="I682" s="94">
        <v>2.17</v>
      </c>
      <c r="J682" s="94">
        <v>2.19</v>
      </c>
      <c r="K682" s="94">
        <v>2.12</v>
      </c>
      <c r="L682" s="94">
        <v>2.14</v>
      </c>
      <c r="M682" s="94">
        <v>2495507</v>
      </c>
      <c r="N682" s="94" t="s">
        <v>716</v>
      </c>
      <c r="O682" s="25">
        <f t="shared" si="25"/>
        <v>1.4018691588784993E-2</v>
      </c>
    </row>
    <row r="683" spans="1:15">
      <c r="A683" s="94">
        <v>494.9427434652705</v>
      </c>
      <c r="B683" s="94">
        <v>495.98253914481938</v>
      </c>
      <c r="C683" s="94">
        <v>491.65302799149771</v>
      </c>
      <c r="D683" s="94">
        <v>494.07129565764859</v>
      </c>
      <c r="E683" s="94">
        <v>3736818.9024267974</v>
      </c>
      <c r="F683" s="94" t="s">
        <v>717</v>
      </c>
      <c r="G683" s="25">
        <f t="shared" si="24"/>
        <v>1.7638098292311888E-3</v>
      </c>
      <c r="I683" s="94">
        <v>2.08</v>
      </c>
      <c r="J683" s="94">
        <v>2.15</v>
      </c>
      <c r="K683" s="94">
        <v>2.0649999999999999</v>
      </c>
      <c r="L683" s="94">
        <v>2.15</v>
      </c>
      <c r="M683" s="94">
        <v>708973</v>
      </c>
      <c r="N683" s="94" t="s">
        <v>717</v>
      </c>
      <c r="O683" s="25">
        <f t="shared" si="25"/>
        <v>-3.2558139534883623E-2</v>
      </c>
    </row>
    <row r="684" spans="1:15">
      <c r="A684" s="94">
        <v>493.36819572195355</v>
      </c>
      <c r="B684" s="94">
        <v>493.53654359388054</v>
      </c>
      <c r="C684" s="94">
        <v>488.12960606022637</v>
      </c>
      <c r="D684" s="94">
        <v>488.3474680121318</v>
      </c>
      <c r="E684" s="94">
        <v>3279761.0310128825</v>
      </c>
      <c r="F684" s="94" t="s">
        <v>718</v>
      </c>
      <c r="G684" s="25">
        <f t="shared" si="24"/>
        <v>1.0281056089548546E-2</v>
      </c>
      <c r="I684" s="94">
        <v>2.13</v>
      </c>
      <c r="J684" s="94">
        <v>2.15</v>
      </c>
      <c r="K684" s="94">
        <v>2.0499999999999998</v>
      </c>
      <c r="L684" s="94">
        <v>2.09</v>
      </c>
      <c r="M684" s="94">
        <v>1786846</v>
      </c>
      <c r="N684" s="94" t="s">
        <v>718</v>
      </c>
      <c r="O684" s="25">
        <f t="shared" si="25"/>
        <v>1.9138755980861344E-2</v>
      </c>
    </row>
    <row r="685" spans="1:15">
      <c r="A685" s="94">
        <v>485.3073035014508</v>
      </c>
      <c r="B685" s="94">
        <v>487.56514554847126</v>
      </c>
      <c r="C685" s="94">
        <v>483.23761495834873</v>
      </c>
      <c r="D685" s="94">
        <v>486.16884849307701</v>
      </c>
      <c r="E685" s="94">
        <v>3613249.0006401851</v>
      </c>
      <c r="F685" s="94" t="s">
        <v>719</v>
      </c>
      <c r="G685" s="25">
        <f t="shared" si="24"/>
        <v>-1.7721106448852497E-3</v>
      </c>
      <c r="I685" s="94">
        <v>2.0699999999999998</v>
      </c>
      <c r="J685" s="94">
        <v>2.16</v>
      </c>
      <c r="K685" s="94">
        <v>2.04</v>
      </c>
      <c r="L685" s="94">
        <v>2.12</v>
      </c>
      <c r="M685" s="94">
        <v>1512650</v>
      </c>
      <c r="N685" s="94" t="s">
        <v>719</v>
      </c>
      <c r="O685" s="25">
        <f t="shared" si="25"/>
        <v>-2.358490566037752E-2</v>
      </c>
    </row>
    <row r="686" spans="1:15">
      <c r="A686" s="94">
        <v>485.05973310155821</v>
      </c>
      <c r="B686" s="94">
        <v>486.43622452496101</v>
      </c>
      <c r="C686" s="94">
        <v>481.09860670327669</v>
      </c>
      <c r="D686" s="94">
        <v>482.19781927879984</v>
      </c>
      <c r="E686" s="94">
        <v>7736517.5757318391</v>
      </c>
      <c r="F686" s="94" t="s">
        <v>720</v>
      </c>
      <c r="G686" s="25">
        <f t="shared" si="24"/>
        <v>5.9351446819870812E-3</v>
      </c>
      <c r="I686" s="94">
        <v>2.13</v>
      </c>
      <c r="J686" s="94">
        <v>2.1800000000000002</v>
      </c>
      <c r="K686" s="94">
        <v>2.11</v>
      </c>
      <c r="L686" s="94">
        <v>2.15</v>
      </c>
      <c r="M686" s="94">
        <v>1050889</v>
      </c>
      <c r="N686" s="94" t="s">
        <v>720</v>
      </c>
      <c r="O686" s="25">
        <f t="shared" si="25"/>
        <v>-9.302325581395321E-3</v>
      </c>
    </row>
    <row r="687" spans="1:15">
      <c r="A687" s="94">
        <v>482.99004455845613</v>
      </c>
      <c r="B687" s="94">
        <v>483.52479662222407</v>
      </c>
      <c r="C687" s="94">
        <v>474.97866641793183</v>
      </c>
      <c r="D687" s="94">
        <v>476.81068737713701</v>
      </c>
      <c r="E687" s="94">
        <v>4218228.4330157014</v>
      </c>
      <c r="F687" s="94" t="s">
        <v>721</v>
      </c>
      <c r="G687" s="25">
        <f t="shared" si="24"/>
        <v>1.295977071174903E-2</v>
      </c>
      <c r="I687" s="94">
        <v>2.14</v>
      </c>
      <c r="J687" s="94">
        <v>2.16</v>
      </c>
      <c r="K687" s="94">
        <v>2.04</v>
      </c>
      <c r="L687" s="94">
        <v>2.06</v>
      </c>
      <c r="M687" s="94">
        <v>889383</v>
      </c>
      <c r="N687" s="94" t="s">
        <v>721</v>
      </c>
      <c r="O687" s="25">
        <f t="shared" si="25"/>
        <v>3.8834951456310662E-2</v>
      </c>
    </row>
    <row r="688" spans="1:15">
      <c r="A688" s="94">
        <v>471.97811317123364</v>
      </c>
      <c r="B688" s="94">
        <v>483.80207547010383</v>
      </c>
      <c r="C688" s="94">
        <v>471.48297237144845</v>
      </c>
      <c r="D688" s="94">
        <v>480.97977291132827</v>
      </c>
      <c r="E688" s="94">
        <v>6035001.5617707362</v>
      </c>
      <c r="F688" s="94" t="s">
        <v>722</v>
      </c>
      <c r="G688" s="25">
        <f t="shared" si="24"/>
        <v>-1.8715256331068519E-2</v>
      </c>
      <c r="I688" s="94">
        <v>2.0099999999999998</v>
      </c>
      <c r="J688" s="94">
        <v>2.1349999999999998</v>
      </c>
      <c r="K688" s="94">
        <v>2.0099999999999998</v>
      </c>
      <c r="L688" s="94">
        <v>2.13</v>
      </c>
      <c r="M688" s="94">
        <v>1159438</v>
      </c>
      <c r="N688" s="94" t="s">
        <v>722</v>
      </c>
      <c r="O688" s="25">
        <f t="shared" si="25"/>
        <v>-5.633802816901412E-2</v>
      </c>
    </row>
    <row r="689" spans="1:15">
      <c r="A689" s="94">
        <v>475.27575089780294</v>
      </c>
      <c r="B689" s="94">
        <v>482.12849956682993</v>
      </c>
      <c r="C689" s="94">
        <v>471.31462449952147</v>
      </c>
      <c r="D689" s="94">
        <v>472.75053281889848</v>
      </c>
      <c r="E689" s="94">
        <v>8336053.1020483728</v>
      </c>
      <c r="F689" s="94" t="s">
        <v>723</v>
      </c>
      <c r="G689" s="25">
        <f t="shared" si="24"/>
        <v>5.3415446490290286E-3</v>
      </c>
      <c r="I689" s="94">
        <v>2.04</v>
      </c>
      <c r="J689" s="94">
        <v>2.1150000000000002</v>
      </c>
      <c r="K689" s="94">
        <v>2.0099999999999998</v>
      </c>
      <c r="L689" s="94">
        <v>2.0699999999999998</v>
      </c>
      <c r="M689" s="94">
        <v>1349701</v>
      </c>
      <c r="N689" s="94" t="s">
        <v>723</v>
      </c>
      <c r="O689" s="25">
        <f t="shared" si="25"/>
        <v>-1.4492753623188359E-2</v>
      </c>
    </row>
    <row r="690" spans="1:15">
      <c r="A690" s="94">
        <v>470.58181611583939</v>
      </c>
      <c r="B690" s="94">
        <v>476.50370008127021</v>
      </c>
      <c r="C690" s="94">
        <v>464.33313922255036</v>
      </c>
      <c r="D690" s="94">
        <v>465.60069967000044</v>
      </c>
      <c r="E690" s="94">
        <v>15393879.888926227</v>
      </c>
      <c r="F690" s="94" t="s">
        <v>724</v>
      </c>
      <c r="G690" s="25">
        <f t="shared" si="24"/>
        <v>1.0698258076865752E-2</v>
      </c>
      <c r="I690" s="94">
        <v>2.0099999999999998</v>
      </c>
      <c r="J690" s="94">
        <v>2.06</v>
      </c>
      <c r="K690" s="94">
        <v>1.86</v>
      </c>
      <c r="L690" s="94">
        <v>1.9</v>
      </c>
      <c r="M690" s="94">
        <v>1546542</v>
      </c>
      <c r="N690" s="94" t="s">
        <v>724</v>
      </c>
      <c r="O690" s="25">
        <f t="shared" si="25"/>
        <v>5.7894736842105221E-2</v>
      </c>
    </row>
    <row r="691" spans="1:15">
      <c r="A691" s="94">
        <v>485.14885844551952</v>
      </c>
      <c r="B691" s="94">
        <v>488.72377501996851</v>
      </c>
      <c r="C691" s="94">
        <v>481.07880107128534</v>
      </c>
      <c r="D691" s="94">
        <v>487.62456244444547</v>
      </c>
      <c r="E691" s="94">
        <v>8645183.3536180388</v>
      </c>
      <c r="F691" s="94" t="s">
        <v>725</v>
      </c>
      <c r="G691" s="25">
        <f t="shared" si="24"/>
        <v>-5.0770699214069959E-3</v>
      </c>
      <c r="I691" s="94">
        <v>2.1</v>
      </c>
      <c r="J691" s="94">
        <v>2.2094</v>
      </c>
      <c r="K691" s="94">
        <v>2.09</v>
      </c>
      <c r="L691" s="94">
        <v>2.17</v>
      </c>
      <c r="M691" s="94">
        <v>1852546</v>
      </c>
      <c r="N691" s="94" t="s">
        <v>725</v>
      </c>
      <c r="O691" s="25">
        <f t="shared" si="25"/>
        <v>-3.2258064516129004E-2</v>
      </c>
    </row>
    <row r="692" spans="1:15">
      <c r="A692" s="94">
        <v>494.18022663360125</v>
      </c>
      <c r="B692" s="94">
        <v>504.9445876209312</v>
      </c>
      <c r="C692" s="94">
        <v>490.93210298701047</v>
      </c>
      <c r="D692" s="94">
        <v>502.90460752581623</v>
      </c>
      <c r="E692" s="94">
        <v>7007316.9116850803</v>
      </c>
      <c r="F692" s="94" t="s">
        <v>726</v>
      </c>
      <c r="G692" s="25">
        <f t="shared" si="24"/>
        <v>-1.7347983616887275E-2</v>
      </c>
      <c r="I692" s="94">
        <v>2.2999999999999998</v>
      </c>
      <c r="J692" s="94">
        <v>2.5299999999999998</v>
      </c>
      <c r="K692" s="94">
        <v>2.25</v>
      </c>
      <c r="L692" s="94">
        <v>2.52</v>
      </c>
      <c r="M692" s="94">
        <v>1752409</v>
      </c>
      <c r="N692" s="94" t="s">
        <v>726</v>
      </c>
      <c r="O692" s="25">
        <f t="shared" si="25"/>
        <v>-8.7301587301587324E-2</v>
      </c>
    </row>
    <row r="693" spans="1:15">
      <c r="A693" s="94">
        <v>501.01316967063684</v>
      </c>
      <c r="B693" s="94">
        <v>503.7099045225869</v>
      </c>
      <c r="C693" s="94">
        <v>498.41368047176462</v>
      </c>
      <c r="D693" s="94">
        <v>499.57726135125984</v>
      </c>
      <c r="E693" s="94">
        <v>5420263.289077281</v>
      </c>
      <c r="F693" s="94" t="s">
        <v>727</v>
      </c>
      <c r="G693" s="25">
        <f t="shared" si="24"/>
        <v>2.8742467491278401E-3</v>
      </c>
      <c r="I693" s="94">
        <v>2.54</v>
      </c>
      <c r="J693" s="94">
        <v>2.6299000000000001</v>
      </c>
      <c r="K693" s="94">
        <v>2.4700000000000002</v>
      </c>
      <c r="L693" s="94">
        <v>2.52</v>
      </c>
      <c r="M693" s="94">
        <v>2194524</v>
      </c>
      <c r="N693" s="94" t="s">
        <v>727</v>
      </c>
      <c r="O693" s="25">
        <f t="shared" si="25"/>
        <v>7.9365079365079083E-3</v>
      </c>
    </row>
    <row r="694" spans="1:15">
      <c r="A694" s="94">
        <v>493.23945911400943</v>
      </c>
      <c r="B694" s="94">
        <v>498.12154739989137</v>
      </c>
      <c r="C694" s="94">
        <v>490.10521785136922</v>
      </c>
      <c r="D694" s="94">
        <v>497.1708770643038</v>
      </c>
      <c r="E694" s="94">
        <v>3855267.0287485314</v>
      </c>
      <c r="F694" s="94" t="s">
        <v>728</v>
      </c>
      <c r="G694" s="25">
        <f t="shared" si="24"/>
        <v>-7.9075789264017038E-3</v>
      </c>
      <c r="I694" s="94">
        <v>2.5</v>
      </c>
      <c r="J694" s="94">
        <v>2.52</v>
      </c>
      <c r="K694" s="94">
        <v>2.42</v>
      </c>
      <c r="L694" s="94">
        <v>2.44</v>
      </c>
      <c r="M694" s="94">
        <v>1471530</v>
      </c>
      <c r="N694" s="94" t="s">
        <v>728</v>
      </c>
      <c r="O694" s="25">
        <f t="shared" si="25"/>
        <v>2.4590163934426146E-2</v>
      </c>
    </row>
    <row r="695" spans="1:15">
      <c r="A695" s="94">
        <v>495.8339969048838</v>
      </c>
      <c r="B695" s="94">
        <v>497.87892840799663</v>
      </c>
      <c r="C695" s="94">
        <v>493.92730871307106</v>
      </c>
      <c r="D695" s="94">
        <v>496.9431122964026</v>
      </c>
      <c r="E695" s="94">
        <v>3126563.1930788858</v>
      </c>
      <c r="F695" s="94" t="s">
        <v>729</v>
      </c>
      <c r="G695" s="25">
        <f t="shared" si="24"/>
        <v>-2.2318759714637926E-3</v>
      </c>
      <c r="I695" s="94">
        <v>2.44</v>
      </c>
      <c r="J695" s="94">
        <v>2.5</v>
      </c>
      <c r="K695" s="94">
        <v>2.39</v>
      </c>
      <c r="L695" s="94">
        <v>2.4900000000000002</v>
      </c>
      <c r="M695" s="94">
        <v>1498872</v>
      </c>
      <c r="N695" s="94" t="s">
        <v>729</v>
      </c>
      <c r="O695" s="25">
        <f t="shared" si="25"/>
        <v>-2.0080321285140701E-2</v>
      </c>
    </row>
    <row r="696" spans="1:15">
      <c r="A696" s="94">
        <v>495.46759271304273</v>
      </c>
      <c r="B696" s="94">
        <v>497.99776219994504</v>
      </c>
      <c r="C696" s="94">
        <v>492.83344365818562</v>
      </c>
      <c r="D696" s="94">
        <v>493.51673796188913</v>
      </c>
      <c r="E696" s="94">
        <v>3671666.7275020173</v>
      </c>
      <c r="F696" s="94" t="s">
        <v>730</v>
      </c>
      <c r="G696" s="25">
        <f t="shared" si="24"/>
        <v>3.9529657275865215E-3</v>
      </c>
      <c r="I696" s="94">
        <v>2.4700000000000002</v>
      </c>
      <c r="J696" s="94">
        <v>2.52</v>
      </c>
      <c r="K696" s="94">
        <v>2.4049999999999998</v>
      </c>
      <c r="L696" s="94">
        <v>2.4500000000000002</v>
      </c>
      <c r="M696" s="94">
        <v>2050008</v>
      </c>
      <c r="N696" s="94" t="s">
        <v>730</v>
      </c>
      <c r="O696" s="25">
        <f t="shared" si="25"/>
        <v>8.1632653061225469E-3</v>
      </c>
    </row>
    <row r="697" spans="1:15">
      <c r="A697" s="94">
        <v>489.97152983542719</v>
      </c>
      <c r="B697" s="94">
        <v>498.25028400783549</v>
      </c>
      <c r="C697" s="94">
        <v>489.11988765979675</v>
      </c>
      <c r="D697" s="94">
        <v>492.71460986623714</v>
      </c>
      <c r="E697" s="94">
        <v>5702015.4695894197</v>
      </c>
      <c r="F697" s="94" t="s">
        <v>731</v>
      </c>
      <c r="G697" s="25">
        <f t="shared" si="24"/>
        <v>-5.5672796703849503E-3</v>
      </c>
      <c r="I697" s="94">
        <v>2.39</v>
      </c>
      <c r="J697" s="94">
        <v>2.41</v>
      </c>
      <c r="K697" s="94">
        <v>2.25</v>
      </c>
      <c r="L697" s="94">
        <v>2.31</v>
      </c>
      <c r="M697" s="94">
        <v>1375409</v>
      </c>
      <c r="N697" s="94" t="s">
        <v>731</v>
      </c>
      <c r="O697" s="25">
        <f t="shared" si="25"/>
        <v>3.463203463203457E-2</v>
      </c>
    </row>
    <row r="698" spans="1:15">
      <c r="A698" s="94">
        <v>492.45713665034884</v>
      </c>
      <c r="B698" s="94">
        <v>499.79512330316527</v>
      </c>
      <c r="C698" s="94">
        <v>491.71937685866897</v>
      </c>
      <c r="D698" s="94">
        <v>499.52774727128127</v>
      </c>
      <c r="E698" s="94">
        <v>6217829.3554796651</v>
      </c>
      <c r="F698" s="94" t="s">
        <v>732</v>
      </c>
      <c r="G698" s="25">
        <f t="shared" si="24"/>
        <v>-1.4154590329679029E-2</v>
      </c>
      <c r="I698" s="94">
        <v>2.29</v>
      </c>
      <c r="J698" s="94">
        <v>2.41</v>
      </c>
      <c r="K698" s="94">
        <v>2.27</v>
      </c>
      <c r="L698" s="94">
        <v>2.33</v>
      </c>
      <c r="M698" s="94">
        <v>1409197</v>
      </c>
      <c r="N698" s="94" t="s">
        <v>732</v>
      </c>
      <c r="O698" s="25">
        <f t="shared" si="25"/>
        <v>-1.7167381974248941E-2</v>
      </c>
    </row>
    <row r="699" spans="1:15">
      <c r="A699" s="94">
        <v>503.99391728534363</v>
      </c>
      <c r="B699" s="94">
        <v>506.67758042017931</v>
      </c>
      <c r="C699" s="94">
        <v>503.548290565537</v>
      </c>
      <c r="D699" s="94">
        <v>504.70692003703437</v>
      </c>
      <c r="E699" s="94">
        <v>3146625.1633392838</v>
      </c>
      <c r="F699" s="94" t="s">
        <v>733</v>
      </c>
      <c r="G699" s="25">
        <f t="shared" si="24"/>
        <v>-1.4127065102226277E-3</v>
      </c>
      <c r="I699" s="94">
        <v>2.35</v>
      </c>
      <c r="J699" s="94">
        <v>2.41</v>
      </c>
      <c r="K699" s="94">
        <v>2.25</v>
      </c>
      <c r="L699" s="94">
        <v>2.29</v>
      </c>
      <c r="M699" s="94">
        <v>1652423</v>
      </c>
      <c r="N699" s="94" t="s">
        <v>733</v>
      </c>
      <c r="O699" s="25">
        <f t="shared" si="25"/>
        <v>2.6200873362445476E-2</v>
      </c>
    </row>
    <row r="700" spans="1:15">
      <c r="A700" s="94">
        <v>504.83565664497849</v>
      </c>
      <c r="B700" s="94">
        <v>505.36050589275072</v>
      </c>
      <c r="C700" s="94">
        <v>501.51821328641773</v>
      </c>
      <c r="D700" s="94">
        <v>503.33042861363151</v>
      </c>
      <c r="E700" s="94">
        <v>4385549.5264015486</v>
      </c>
      <c r="F700" s="94" t="s">
        <v>734</v>
      </c>
      <c r="G700" s="25">
        <f t="shared" si="24"/>
        <v>2.9905365258622307E-3</v>
      </c>
      <c r="I700" s="94">
        <v>2.3199999999999998</v>
      </c>
      <c r="J700" s="94">
        <v>2.3199999999999998</v>
      </c>
      <c r="K700" s="94">
        <v>2.21</v>
      </c>
      <c r="L700" s="94">
        <v>2.2799999999999998</v>
      </c>
      <c r="M700" s="94">
        <v>2096006</v>
      </c>
      <c r="N700" s="94" t="s">
        <v>734</v>
      </c>
      <c r="O700" s="25">
        <f t="shared" si="25"/>
        <v>1.7543859649122862E-2</v>
      </c>
    </row>
    <row r="701" spans="1:15">
      <c r="A701" s="94">
        <v>499.64658106322975</v>
      </c>
      <c r="B701" s="94">
        <v>504.25139050123192</v>
      </c>
      <c r="C701" s="94">
        <v>498.66620227965507</v>
      </c>
      <c r="D701" s="94">
        <v>502.70655120590214</v>
      </c>
      <c r="E701" s="94">
        <v>4079079.1243142341</v>
      </c>
      <c r="F701" s="94" t="s">
        <v>735</v>
      </c>
      <c r="G701" s="25">
        <f t="shared" si="24"/>
        <v>-6.0869907808682733E-3</v>
      </c>
      <c r="I701" s="94">
        <v>2.14</v>
      </c>
      <c r="J701" s="94">
        <v>2.2400000000000002</v>
      </c>
      <c r="K701" s="94">
        <v>2.11</v>
      </c>
      <c r="L701" s="94">
        <v>2.19</v>
      </c>
      <c r="M701" s="94">
        <v>1332040</v>
      </c>
      <c r="N701" s="94" t="s">
        <v>735</v>
      </c>
      <c r="O701" s="25">
        <f t="shared" si="25"/>
        <v>-2.2831050228310446E-2</v>
      </c>
    </row>
    <row r="702" spans="1:15">
      <c r="A702" s="94">
        <v>503.0036356857733</v>
      </c>
      <c r="B702" s="94">
        <v>509.19289568308812</v>
      </c>
      <c r="C702" s="94">
        <v>500.95474305626215</v>
      </c>
      <c r="D702" s="94">
        <v>508.26203097949195</v>
      </c>
      <c r="E702" s="94">
        <v>5105466.9724182151</v>
      </c>
      <c r="F702" s="94" t="s">
        <v>736</v>
      </c>
      <c r="G702" s="25">
        <f t="shared" si="24"/>
        <v>-1.0345835362883582E-2</v>
      </c>
      <c r="I702" s="94">
        <v>2.16</v>
      </c>
      <c r="J702" s="94">
        <v>2.39</v>
      </c>
      <c r="K702" s="94">
        <v>2.16</v>
      </c>
      <c r="L702" s="94">
        <v>2.36</v>
      </c>
      <c r="M702" s="94">
        <v>2662570</v>
      </c>
      <c r="N702" s="94" t="s">
        <v>736</v>
      </c>
      <c r="O702" s="25">
        <f t="shared" si="25"/>
        <v>-8.4745762711864292E-2</v>
      </c>
    </row>
    <row r="703" spans="1:15">
      <c r="A703" s="94">
        <v>506.81621984411925</v>
      </c>
      <c r="B703" s="94">
        <v>510.10395475469284</v>
      </c>
      <c r="C703" s="94">
        <v>506.588455076218</v>
      </c>
      <c r="D703" s="94">
        <v>508.5690182753587</v>
      </c>
      <c r="E703" s="94">
        <v>5033220.8557267217</v>
      </c>
      <c r="F703" s="94" t="s">
        <v>737</v>
      </c>
      <c r="G703" s="25">
        <f t="shared" si="24"/>
        <v>-3.4465301035904172E-3</v>
      </c>
      <c r="I703" s="94">
        <v>2.37</v>
      </c>
      <c r="J703" s="94">
        <v>2.39</v>
      </c>
      <c r="K703" s="94">
        <v>2.2000000000000002</v>
      </c>
      <c r="L703" s="94">
        <v>2.2000000000000002</v>
      </c>
      <c r="M703" s="94">
        <v>3342847</v>
      </c>
      <c r="N703" s="94" t="s">
        <v>737</v>
      </c>
      <c r="O703" s="25">
        <f t="shared" si="25"/>
        <v>7.727272727272716E-2</v>
      </c>
    </row>
    <row r="704" spans="1:15">
      <c r="A704" s="94">
        <v>513.99576144100433</v>
      </c>
      <c r="B704" s="94">
        <v>514.3522628168497</v>
      </c>
      <c r="C704" s="94">
        <v>511.57947433805271</v>
      </c>
      <c r="D704" s="94">
        <v>512.30237990573903</v>
      </c>
      <c r="E704" s="94">
        <v>4205167.5016547516</v>
      </c>
      <c r="F704" s="94" t="s">
        <v>738</v>
      </c>
      <c r="G704" s="25">
        <f t="shared" si="24"/>
        <v>3.3054336690312436E-3</v>
      </c>
      <c r="I704" s="94">
        <v>2.23</v>
      </c>
      <c r="J704" s="94">
        <v>2.23</v>
      </c>
      <c r="K704" s="94">
        <v>2.11</v>
      </c>
      <c r="L704" s="94">
        <v>2.13</v>
      </c>
      <c r="M704" s="94">
        <v>2716488</v>
      </c>
      <c r="N704" s="94" t="s">
        <v>738</v>
      </c>
      <c r="O704" s="25">
        <f t="shared" si="25"/>
        <v>4.6948356807511749E-2</v>
      </c>
    </row>
    <row r="705" spans="1:15">
      <c r="A705" s="94">
        <v>511.09423635426322</v>
      </c>
      <c r="B705" s="94">
        <v>514.07498396897006</v>
      </c>
      <c r="C705" s="94">
        <v>509.34143792302365</v>
      </c>
      <c r="D705" s="94">
        <v>511.5596687060613</v>
      </c>
      <c r="E705" s="94">
        <v>7847791.9849986648</v>
      </c>
      <c r="F705" s="94" t="s">
        <v>739</v>
      </c>
      <c r="G705" s="25">
        <f t="shared" si="24"/>
        <v>-9.0983003600608736E-4</v>
      </c>
      <c r="I705" s="94">
        <v>2.12</v>
      </c>
      <c r="J705" s="94">
        <v>2.17</v>
      </c>
      <c r="K705" s="94">
        <v>2.0299999999999998</v>
      </c>
      <c r="L705" s="94">
        <v>2.08</v>
      </c>
      <c r="M705" s="94">
        <v>3143485</v>
      </c>
      <c r="N705" s="94" t="s">
        <v>739</v>
      </c>
      <c r="O705" s="25">
        <f t="shared" si="25"/>
        <v>1.9230769230769162E-2</v>
      </c>
    </row>
    <row r="706" spans="1:15">
      <c r="A706" s="94">
        <v>509.54939705893338</v>
      </c>
      <c r="B706" s="94">
        <v>512.99557702543825</v>
      </c>
      <c r="C706" s="94">
        <v>507.1925268519559</v>
      </c>
      <c r="D706" s="94">
        <v>507.50941696381847</v>
      </c>
      <c r="E706" s="94">
        <v>5289576.2198071387</v>
      </c>
      <c r="F706" s="94" t="s">
        <v>740</v>
      </c>
      <c r="G706" s="25">
        <f t="shared" si="24"/>
        <v>4.0195906261584202E-3</v>
      </c>
      <c r="I706" s="94">
        <v>2.02</v>
      </c>
      <c r="J706" s="94">
        <v>2.06</v>
      </c>
      <c r="K706" s="94">
        <v>1.93</v>
      </c>
      <c r="L706" s="94">
        <v>1.97</v>
      </c>
      <c r="M706" s="94">
        <v>2162587</v>
      </c>
      <c r="N706" s="94" t="s">
        <v>740</v>
      </c>
      <c r="O706" s="25">
        <f t="shared" si="25"/>
        <v>2.5380710659898442E-2</v>
      </c>
    </row>
    <row r="707" spans="1:15">
      <c r="A707" s="94">
        <v>506.42010720429101</v>
      </c>
      <c r="B707" s="94">
        <v>511.76762784197103</v>
      </c>
      <c r="C707" s="94">
        <v>505.86059810053376</v>
      </c>
      <c r="D707" s="94">
        <v>510.98530537831044</v>
      </c>
      <c r="E707" s="94">
        <v>5600738.2166913431</v>
      </c>
      <c r="F707" s="94" t="s">
        <v>741</v>
      </c>
      <c r="G707" s="25">
        <f t="shared" si="24"/>
        <v>-8.9341085271318343E-3</v>
      </c>
      <c r="I707" s="94">
        <v>1.96</v>
      </c>
      <c r="J707" s="94">
        <v>1.97</v>
      </c>
      <c r="K707" s="94">
        <v>1.79</v>
      </c>
      <c r="L707" s="94">
        <v>1.8</v>
      </c>
      <c r="M707" s="94">
        <v>2177102</v>
      </c>
      <c r="N707" s="94" t="s">
        <v>741</v>
      </c>
      <c r="O707" s="25">
        <f t="shared" si="25"/>
        <v>8.8888888888888795E-2</v>
      </c>
    </row>
    <row r="708" spans="1:15">
      <c r="A708" s="94">
        <v>510.79715187439206</v>
      </c>
      <c r="B708" s="94">
        <v>511.16850747423092</v>
      </c>
      <c r="C708" s="94">
        <v>506.71719168416217</v>
      </c>
      <c r="D708" s="94">
        <v>507.00437334803757</v>
      </c>
      <c r="E708" s="94">
        <v>3480750.3254583725</v>
      </c>
      <c r="F708" s="94" t="s">
        <v>742</v>
      </c>
      <c r="G708" s="25">
        <f t="shared" si="24"/>
        <v>7.480760967225164E-3</v>
      </c>
      <c r="I708" s="94">
        <v>1.77</v>
      </c>
      <c r="J708" s="94">
        <v>1.78</v>
      </c>
      <c r="K708" s="94">
        <v>1.73</v>
      </c>
      <c r="L708" s="94">
        <v>1.75</v>
      </c>
      <c r="M708" s="94">
        <v>908905</v>
      </c>
      <c r="N708" s="94" t="s">
        <v>742</v>
      </c>
      <c r="O708" s="25">
        <f t="shared" si="25"/>
        <v>1.1428571428571344E-2</v>
      </c>
    </row>
    <row r="709" spans="1:15">
      <c r="A709" s="94">
        <v>505.92496640450588</v>
      </c>
      <c r="B709" s="94">
        <v>507.03408179602468</v>
      </c>
      <c r="C709" s="94">
        <v>505.57836784465627</v>
      </c>
      <c r="D709" s="94">
        <v>506.24185651636839</v>
      </c>
      <c r="E709" s="94">
        <v>3176695.3979199519</v>
      </c>
      <c r="F709" s="94" t="s">
        <v>743</v>
      </c>
      <c r="G709" s="25">
        <f t="shared" si="24"/>
        <v>-6.2596584573848535E-4</v>
      </c>
      <c r="I709" s="94">
        <v>1.77</v>
      </c>
      <c r="J709" s="94">
        <v>1.84</v>
      </c>
      <c r="K709" s="94">
        <v>1.77</v>
      </c>
      <c r="L709" s="94">
        <v>1.82</v>
      </c>
      <c r="M709" s="94">
        <v>943444</v>
      </c>
      <c r="N709" s="94" t="s">
        <v>743</v>
      </c>
      <c r="O709" s="25">
        <f t="shared" si="25"/>
        <v>-2.7472527472527486E-2</v>
      </c>
    </row>
    <row r="710" spans="1:15">
      <c r="A710" s="94">
        <v>505.37040870874642</v>
      </c>
      <c r="B710" s="94">
        <v>506.23690510837054</v>
      </c>
      <c r="C710" s="94">
        <v>504.3702242931804</v>
      </c>
      <c r="D710" s="94">
        <v>505.53875658067341</v>
      </c>
      <c r="E710" s="94">
        <v>3174227.4130547778</v>
      </c>
      <c r="F710" s="94" t="s">
        <v>744</v>
      </c>
      <c r="G710" s="25">
        <f t="shared" si="24"/>
        <v>-3.330068560235544E-4</v>
      </c>
      <c r="I710" s="94">
        <v>1.82</v>
      </c>
      <c r="J710" s="94">
        <v>1.87</v>
      </c>
      <c r="K710" s="94">
        <v>1.79</v>
      </c>
      <c r="L710" s="94">
        <v>1.87</v>
      </c>
      <c r="M710" s="94">
        <v>1233070</v>
      </c>
      <c r="N710" s="94" t="s">
        <v>744</v>
      </c>
      <c r="O710" s="25">
        <f t="shared" si="25"/>
        <v>-2.6737967914438499E-2</v>
      </c>
    </row>
    <row r="711" spans="1:15">
      <c r="A711" s="94">
        <v>504.88517072495694</v>
      </c>
      <c r="B711" s="94">
        <v>505.14264394084529</v>
      </c>
      <c r="C711" s="94">
        <v>501.56772736639624</v>
      </c>
      <c r="D711" s="94">
        <v>502.20150759012125</v>
      </c>
      <c r="E711" s="94">
        <v>3187903.3210044717</v>
      </c>
      <c r="F711" s="94" t="s">
        <v>745</v>
      </c>
      <c r="G711" s="25">
        <f t="shared" si="24"/>
        <v>5.3437974483860895E-3</v>
      </c>
      <c r="I711" s="94">
        <v>1.84</v>
      </c>
      <c r="J711" s="94">
        <v>1.84</v>
      </c>
      <c r="K711" s="94">
        <v>1.78</v>
      </c>
      <c r="L711" s="94">
        <v>1.82</v>
      </c>
      <c r="M711" s="94">
        <v>995482</v>
      </c>
      <c r="N711" s="94" t="s">
        <v>745</v>
      </c>
      <c r="O711" s="25">
        <f t="shared" si="25"/>
        <v>1.098901098901095E-2</v>
      </c>
    </row>
    <row r="712" spans="1:15">
      <c r="A712" s="94">
        <v>501.88461747825875</v>
      </c>
      <c r="B712" s="94">
        <v>502.21141040611695</v>
      </c>
      <c r="C712" s="94">
        <v>499.31978813537154</v>
      </c>
      <c r="D712" s="94">
        <v>499.31978813537154</v>
      </c>
      <c r="E712" s="94">
        <v>2151999.9977022349</v>
      </c>
      <c r="F712" s="94" t="s">
        <v>746</v>
      </c>
      <c r="G712" s="25">
        <f t="shared" si="24"/>
        <v>5.1366467018363338E-3</v>
      </c>
      <c r="I712" s="94">
        <v>1.81</v>
      </c>
      <c r="J712" s="94">
        <v>1.82</v>
      </c>
      <c r="K712" s="94">
        <v>1.75</v>
      </c>
      <c r="L712" s="94">
        <v>1.78</v>
      </c>
      <c r="M712" s="94">
        <v>823609</v>
      </c>
      <c r="N712" s="94" t="s">
        <v>746</v>
      </c>
      <c r="O712" s="25">
        <f t="shared" si="25"/>
        <v>1.6853932584269593E-2</v>
      </c>
    </row>
    <row r="713" spans="1:15">
      <c r="A713" s="94">
        <v>499.62677543123829</v>
      </c>
      <c r="B713" s="94">
        <v>499.70599795920396</v>
      </c>
      <c r="C713" s="94">
        <v>494.75458996135211</v>
      </c>
      <c r="D713" s="94">
        <v>494.83381248931772</v>
      </c>
      <c r="E713" s="94">
        <v>4251399.8056982309</v>
      </c>
      <c r="F713" s="94" t="s">
        <v>747</v>
      </c>
      <c r="G713" s="25">
        <f t="shared" si="24"/>
        <v>9.6860053233003285E-3</v>
      </c>
      <c r="I713" s="94">
        <v>1.78</v>
      </c>
      <c r="J713" s="94">
        <v>1.8049999999999999</v>
      </c>
      <c r="K713" s="94">
        <v>1.73</v>
      </c>
      <c r="L713" s="94">
        <v>1.78</v>
      </c>
      <c r="M713" s="94">
        <v>1116817</v>
      </c>
      <c r="N713" s="94" t="s">
        <v>747</v>
      </c>
      <c r="O713" s="25">
        <f t="shared" si="25"/>
        <v>0</v>
      </c>
    </row>
    <row r="714" spans="1:15">
      <c r="A714" s="94">
        <v>496.40836023263461</v>
      </c>
      <c r="B714" s="94">
        <v>496.8043738443028</v>
      </c>
      <c r="C714" s="94">
        <v>493.75440554578603</v>
      </c>
      <c r="D714" s="94">
        <v>496.6163193685444</v>
      </c>
      <c r="E714" s="94">
        <v>4411397.7295905249</v>
      </c>
      <c r="F714" s="94" t="s">
        <v>748</v>
      </c>
      <c r="G714" s="25">
        <f t="shared" si="24"/>
        <v>-4.1875211868636075E-4</v>
      </c>
      <c r="I714" s="94">
        <v>1.77</v>
      </c>
      <c r="J714" s="94">
        <v>1.88</v>
      </c>
      <c r="K714" s="94">
        <v>1.76</v>
      </c>
      <c r="L714" s="94">
        <v>1.86</v>
      </c>
      <c r="M714" s="94">
        <v>1480769</v>
      </c>
      <c r="N714" s="94" t="s">
        <v>748</v>
      </c>
      <c r="O714" s="25">
        <f t="shared" si="25"/>
        <v>-4.8387096774193616E-2</v>
      </c>
    </row>
    <row r="715" spans="1:15">
      <c r="A715" s="94">
        <v>495.2695363931287</v>
      </c>
      <c r="B715" s="94">
        <v>500.81511335072275</v>
      </c>
      <c r="C715" s="94">
        <v>494.16042100160985</v>
      </c>
      <c r="D715" s="94">
        <v>498.08193613590856</v>
      </c>
      <c r="E715" s="94">
        <v>5653514.1139943674</v>
      </c>
      <c r="F715" s="94" t="s">
        <v>749</v>
      </c>
      <c r="G715" s="25">
        <f t="shared" si="24"/>
        <v>-5.6464600274370724E-3</v>
      </c>
      <c r="I715" s="94">
        <v>1.86</v>
      </c>
      <c r="J715" s="94">
        <v>1.86</v>
      </c>
      <c r="K715" s="94">
        <v>1.8</v>
      </c>
      <c r="L715" s="94">
        <v>1.86</v>
      </c>
      <c r="M715" s="94">
        <v>7305734</v>
      </c>
      <c r="N715" s="94" t="s">
        <v>749</v>
      </c>
      <c r="O715" s="25">
        <f t="shared" si="25"/>
        <v>0</v>
      </c>
    </row>
    <row r="716" spans="1:15">
      <c r="A716" s="94">
        <v>497.18721671069676</v>
      </c>
      <c r="B716" s="94">
        <v>497.80888575213316</v>
      </c>
      <c r="C716" s="94">
        <v>495.67744903863684</v>
      </c>
      <c r="D716" s="94">
        <v>496.34845689288568</v>
      </c>
      <c r="E716" s="94">
        <v>3668161.832107625</v>
      </c>
      <c r="F716" s="94" t="s">
        <v>750</v>
      </c>
      <c r="G716" s="25">
        <f t="shared" si="24"/>
        <v>1.6898608349902311E-3</v>
      </c>
      <c r="I716" s="94">
        <v>1.84</v>
      </c>
      <c r="J716" s="94">
        <v>1.88</v>
      </c>
      <c r="K716" s="94">
        <v>1.79</v>
      </c>
      <c r="L716" s="94">
        <v>1.88</v>
      </c>
      <c r="M716" s="94">
        <v>1326261</v>
      </c>
      <c r="N716" s="94" t="s">
        <v>750</v>
      </c>
      <c r="O716" s="25">
        <f t="shared" si="25"/>
        <v>-2.1276595744680771E-2</v>
      </c>
    </row>
    <row r="717" spans="1:15">
      <c r="A717" s="94">
        <v>496.41753123082304</v>
      </c>
      <c r="B717" s="94">
        <v>497.10827461019687</v>
      </c>
      <c r="C717" s="94">
        <v>494.26635899220179</v>
      </c>
      <c r="D717" s="94">
        <v>494.83868922082587</v>
      </c>
      <c r="E717" s="94">
        <v>3245619.2371071526</v>
      </c>
      <c r="F717" s="94" t="s">
        <v>751</v>
      </c>
      <c r="G717" s="25">
        <f t="shared" si="24"/>
        <v>3.1906195784392466E-3</v>
      </c>
      <c r="I717" s="94">
        <v>1.86</v>
      </c>
      <c r="J717" s="94">
        <v>1.89</v>
      </c>
      <c r="K717" s="94">
        <v>1.83</v>
      </c>
      <c r="L717" s="94">
        <v>1.88</v>
      </c>
      <c r="M717" s="94">
        <v>1051444</v>
      </c>
      <c r="N717" s="94" t="s">
        <v>751</v>
      </c>
      <c r="O717" s="25">
        <f t="shared" si="25"/>
        <v>-1.0638297872340274E-2</v>
      </c>
    </row>
    <row r="718" spans="1:15">
      <c r="A718" s="94">
        <v>495.86493652732401</v>
      </c>
      <c r="B718" s="94">
        <v>496.18070492932344</v>
      </c>
      <c r="C718" s="94">
        <v>493.70389652614028</v>
      </c>
      <c r="D718" s="94">
        <v>495.07551552232536</v>
      </c>
      <c r="E718" s="94">
        <v>6421642.1502602752</v>
      </c>
      <c r="F718" s="94" t="s">
        <v>752</v>
      </c>
      <c r="G718" s="25">
        <f t="shared" si="24"/>
        <v>1.5945466504554417E-3</v>
      </c>
      <c r="I718" s="94">
        <v>1.86</v>
      </c>
      <c r="J718" s="94">
        <v>2</v>
      </c>
      <c r="K718" s="94">
        <v>1.85</v>
      </c>
      <c r="L718" s="94">
        <v>1.98</v>
      </c>
      <c r="M718" s="94">
        <v>2160869</v>
      </c>
      <c r="N718" s="94" t="s">
        <v>752</v>
      </c>
      <c r="O718" s="25">
        <f t="shared" si="25"/>
        <v>-6.0606060606060552E-2</v>
      </c>
    </row>
    <row r="719" spans="1:15">
      <c r="A719" s="94">
        <v>493.81244191432762</v>
      </c>
      <c r="B719" s="94">
        <v>497.76892131375513</v>
      </c>
      <c r="C719" s="94">
        <v>493.81244191432762</v>
      </c>
      <c r="D719" s="94">
        <v>495.39128392432485</v>
      </c>
      <c r="E719" s="94">
        <v>7116956.8131896658</v>
      </c>
      <c r="F719" s="94" t="s">
        <v>753</v>
      </c>
      <c r="G719" s="25">
        <f t="shared" si="24"/>
        <v>-3.1870605342310121E-3</v>
      </c>
      <c r="I719" s="94">
        <v>1.98</v>
      </c>
      <c r="J719" s="94">
        <v>2.0299999999999998</v>
      </c>
      <c r="K719" s="94">
        <v>1.97</v>
      </c>
      <c r="L719" s="94">
        <v>1.99</v>
      </c>
      <c r="M719" s="94">
        <v>1944614</v>
      </c>
      <c r="N719" s="94" t="s">
        <v>753</v>
      </c>
      <c r="O719" s="25">
        <f t="shared" si="25"/>
        <v>-5.0251256281407253E-3</v>
      </c>
    </row>
    <row r="720" spans="1:15">
      <c r="A720" s="94">
        <v>495.14458986026278</v>
      </c>
      <c r="B720" s="94">
        <v>496.56130453135847</v>
      </c>
      <c r="C720" s="94">
        <v>494.22688794195193</v>
      </c>
      <c r="D720" s="94">
        <v>495.46035826226228</v>
      </c>
      <c r="E720" s="94">
        <v>4406103.1793878563</v>
      </c>
      <c r="F720" s="94" t="s">
        <v>754</v>
      </c>
      <c r="G720" s="25">
        <f t="shared" si="24"/>
        <v>-6.3732324238208182E-4</v>
      </c>
      <c r="I720" s="94">
        <v>1.98</v>
      </c>
      <c r="J720" s="94">
        <v>2.02</v>
      </c>
      <c r="K720" s="94">
        <v>1.83</v>
      </c>
      <c r="L720" s="94">
        <v>1.85</v>
      </c>
      <c r="M720" s="94">
        <v>3407331</v>
      </c>
      <c r="N720" s="94" t="s">
        <v>754</v>
      </c>
      <c r="O720" s="25">
        <f t="shared" si="25"/>
        <v>7.0270270270270219E-2</v>
      </c>
    </row>
    <row r="721" spans="1:15">
      <c r="A721" s="94">
        <v>496.23004374213588</v>
      </c>
      <c r="B721" s="94">
        <v>499.05222383500598</v>
      </c>
      <c r="C721" s="94">
        <v>494.56239186907629</v>
      </c>
      <c r="D721" s="94">
        <v>498.46015808125702</v>
      </c>
      <c r="E721" s="94">
        <v>4875337.2099678321</v>
      </c>
      <c r="F721" s="94" t="s">
        <v>755</v>
      </c>
      <c r="G721" s="25">
        <f t="shared" si="24"/>
        <v>-4.4740072059231695E-3</v>
      </c>
      <c r="I721" s="94">
        <v>1.85</v>
      </c>
      <c r="J721" s="94">
        <v>1.885</v>
      </c>
      <c r="K721" s="94">
        <v>1.83</v>
      </c>
      <c r="L721" s="94">
        <v>1.86</v>
      </c>
      <c r="M721" s="94">
        <v>1793121</v>
      </c>
      <c r="N721" s="94" t="s">
        <v>755</v>
      </c>
      <c r="O721" s="25">
        <f t="shared" si="25"/>
        <v>-5.3763440860215006E-3</v>
      </c>
    </row>
    <row r="722" spans="1:15">
      <c r="A722" s="94">
        <v>497.61153050088348</v>
      </c>
      <c r="B722" s="94">
        <v>497.68573607535336</v>
      </c>
      <c r="C722" s="94">
        <v>495.98334967807381</v>
      </c>
      <c r="D722" s="94">
        <v>496.39779570569812</v>
      </c>
      <c r="E722" s="94">
        <v>3477652.5866635391</v>
      </c>
      <c r="F722" s="94" t="s">
        <v>756</v>
      </c>
      <c r="G722" s="25">
        <f t="shared" si="24"/>
        <v>2.4450849816122222E-3</v>
      </c>
      <c r="I722" s="94">
        <v>1.87</v>
      </c>
      <c r="J722" s="94">
        <v>1.92</v>
      </c>
      <c r="K722" s="94">
        <v>1.85</v>
      </c>
      <c r="L722" s="94">
        <v>1.85</v>
      </c>
      <c r="M722" s="94">
        <v>2066345</v>
      </c>
      <c r="N722" s="94" t="s">
        <v>756</v>
      </c>
      <c r="O722" s="25">
        <f t="shared" si="25"/>
        <v>1.0810810810810922E-2</v>
      </c>
    </row>
    <row r="723" spans="1:15">
      <c r="A723" s="94">
        <v>496.28925031751078</v>
      </c>
      <c r="B723" s="94">
        <v>497.51285287525866</v>
      </c>
      <c r="C723" s="94">
        <v>491.32576574858194</v>
      </c>
      <c r="D723" s="94">
        <v>491.88822821464345</v>
      </c>
      <c r="E723" s="94">
        <v>4671311.2225920837</v>
      </c>
      <c r="F723" s="94" t="s">
        <v>757</v>
      </c>
      <c r="G723" s="25">
        <f t="shared" si="24"/>
        <v>8.9471994864387394E-3</v>
      </c>
      <c r="I723" s="94">
        <v>1.87</v>
      </c>
      <c r="J723" s="94">
        <v>1.8898999999999999</v>
      </c>
      <c r="K723" s="94">
        <v>1.82</v>
      </c>
      <c r="L723" s="94">
        <v>1.86</v>
      </c>
      <c r="M723" s="94">
        <v>685264</v>
      </c>
      <c r="N723" s="94" t="s">
        <v>757</v>
      </c>
      <c r="O723" s="25">
        <f t="shared" si="25"/>
        <v>5.3763440860215006E-3</v>
      </c>
    </row>
    <row r="724" spans="1:15">
      <c r="A724" s="94">
        <v>492.38161634276764</v>
      </c>
      <c r="B724" s="94">
        <v>492.44082291814249</v>
      </c>
      <c r="C724" s="94">
        <v>489.72718821345973</v>
      </c>
      <c r="D724" s="94">
        <v>490.68436118202055</v>
      </c>
      <c r="E724" s="94">
        <v>5889932.9642338268</v>
      </c>
      <c r="F724" s="94" t="s">
        <v>758</v>
      </c>
      <c r="G724" s="25">
        <f t="shared" si="24"/>
        <v>3.4589550738044483E-3</v>
      </c>
      <c r="I724" s="94">
        <v>1.85</v>
      </c>
      <c r="J724" s="94">
        <v>1.9</v>
      </c>
      <c r="K724" s="94">
        <v>1.835</v>
      </c>
      <c r="L724" s="94">
        <v>1.89</v>
      </c>
      <c r="M724" s="94">
        <v>902222</v>
      </c>
      <c r="N724" s="94" t="s">
        <v>758</v>
      </c>
      <c r="O724" s="25">
        <f t="shared" si="25"/>
        <v>-2.1164021164021052E-2</v>
      </c>
    </row>
    <row r="725" spans="1:15">
      <c r="A725" s="94">
        <v>491.98690584026826</v>
      </c>
      <c r="B725" s="94">
        <v>492.84540118320427</v>
      </c>
      <c r="C725" s="94">
        <v>489.50022967452264</v>
      </c>
      <c r="D725" s="94">
        <v>492.69738474476708</v>
      </c>
      <c r="E725" s="94">
        <v>8926926.3870325722</v>
      </c>
      <c r="F725" s="94" t="s">
        <v>759</v>
      </c>
      <c r="G725" s="25">
        <f t="shared" si="24"/>
        <v>-1.4420188263569722E-3</v>
      </c>
      <c r="I725" s="94">
        <v>1.9</v>
      </c>
      <c r="J725" s="94">
        <v>2.0499999999999998</v>
      </c>
      <c r="K725" s="94">
        <v>1.9</v>
      </c>
      <c r="L725" s="94">
        <v>2.04</v>
      </c>
      <c r="M725" s="94">
        <v>1524181</v>
      </c>
      <c r="N725" s="94" t="s">
        <v>759</v>
      </c>
      <c r="O725" s="25">
        <f t="shared" si="25"/>
        <v>-6.8627450980392246E-2</v>
      </c>
    </row>
    <row r="726" spans="1:15">
      <c r="A726" s="94">
        <v>491.05933615939489</v>
      </c>
      <c r="B726" s="94">
        <v>493.53614456257804</v>
      </c>
      <c r="C726" s="94">
        <v>490.14163424108398</v>
      </c>
      <c r="D726" s="94">
        <v>491.34550127370693</v>
      </c>
      <c r="E726" s="94">
        <v>3748354.2764423308</v>
      </c>
      <c r="F726" s="94" t="s">
        <v>760</v>
      </c>
      <c r="G726" s="25">
        <f t="shared" si="24"/>
        <v>-5.8241118229473976E-4</v>
      </c>
      <c r="I726" s="94">
        <v>2.04</v>
      </c>
      <c r="J726" s="94">
        <v>2.1150000000000002</v>
      </c>
      <c r="K726" s="94">
        <v>1.99</v>
      </c>
      <c r="L726" s="94">
        <v>2.0699999999999998</v>
      </c>
      <c r="M726" s="94">
        <v>1624995</v>
      </c>
      <c r="N726" s="94" t="s">
        <v>760</v>
      </c>
      <c r="O726" s="25">
        <f t="shared" si="25"/>
        <v>-1.4492753623188359E-2</v>
      </c>
    </row>
    <row r="727" spans="1:15">
      <c r="A727" s="94">
        <v>487.00368574621444</v>
      </c>
      <c r="B727" s="94">
        <v>487.13196665952677</v>
      </c>
      <c r="C727" s="94">
        <v>482.64114791734079</v>
      </c>
      <c r="D727" s="94">
        <v>484.49727405534384</v>
      </c>
      <c r="E727" s="94">
        <v>4082407.7134932731</v>
      </c>
      <c r="F727" s="94" t="s">
        <v>761</v>
      </c>
      <c r="G727" s="25">
        <f t="shared" si="24"/>
        <v>5.1732214505386676E-3</v>
      </c>
      <c r="I727" s="94">
        <v>2.0099999999999998</v>
      </c>
      <c r="J727" s="94">
        <v>2.06</v>
      </c>
      <c r="K727" s="94">
        <v>1.96</v>
      </c>
      <c r="L727" s="94">
        <v>2.0299999999999998</v>
      </c>
      <c r="M727" s="94">
        <v>1333757</v>
      </c>
      <c r="N727" s="94" t="s">
        <v>761</v>
      </c>
      <c r="O727" s="25">
        <f t="shared" si="25"/>
        <v>-9.8522167487684609E-3</v>
      </c>
    </row>
    <row r="728" spans="1:15">
      <c r="A728" s="94">
        <v>485.89849633921642</v>
      </c>
      <c r="B728" s="94">
        <v>486.17479369096588</v>
      </c>
      <c r="C728" s="94">
        <v>483.08618400890879</v>
      </c>
      <c r="D728" s="94">
        <v>483.68811752522026</v>
      </c>
      <c r="E728" s="94">
        <v>3511659.2824950577</v>
      </c>
      <c r="F728" s="94" t="s">
        <v>762</v>
      </c>
      <c r="G728" s="25">
        <f t="shared" si="24"/>
        <v>4.5698431156537822E-3</v>
      </c>
      <c r="I728" s="94">
        <v>2.0699999999999998</v>
      </c>
      <c r="J728" s="94">
        <v>2.19</v>
      </c>
      <c r="K728" s="94">
        <v>2</v>
      </c>
      <c r="L728" s="94">
        <v>2.0299999999999998</v>
      </c>
      <c r="M728" s="94">
        <v>3502669</v>
      </c>
      <c r="N728" s="94" t="s">
        <v>762</v>
      </c>
      <c r="O728" s="25">
        <f t="shared" si="25"/>
        <v>1.9704433497536922E-2</v>
      </c>
    </row>
    <row r="729" spans="1:15">
      <c r="A729" s="94">
        <v>484.30978656665667</v>
      </c>
      <c r="B729" s="94">
        <v>487.00368574621444</v>
      </c>
      <c r="C729" s="94">
        <v>483.06644848378386</v>
      </c>
      <c r="D729" s="94">
        <v>484.0630925025946</v>
      </c>
      <c r="E729" s="94">
        <v>3104641.9901181473</v>
      </c>
      <c r="F729" s="94" t="s">
        <v>763</v>
      </c>
      <c r="G729" s="25">
        <f t="shared" si="24"/>
        <v>5.0963204566301101E-4</v>
      </c>
      <c r="I729" s="94">
        <v>2.02</v>
      </c>
      <c r="J729" s="94">
        <v>2.04</v>
      </c>
      <c r="K729" s="94">
        <v>1.78</v>
      </c>
      <c r="L729" s="94">
        <v>1.81</v>
      </c>
      <c r="M729" s="94">
        <v>3184234</v>
      </c>
      <c r="N729" s="94" t="s">
        <v>763</v>
      </c>
      <c r="O729" s="25">
        <f t="shared" si="25"/>
        <v>0.11602209944751385</v>
      </c>
    </row>
    <row r="730" spans="1:15">
      <c r="A730" s="94">
        <v>484.94132337065554</v>
      </c>
      <c r="B730" s="94">
        <v>485.67153780027928</v>
      </c>
      <c r="C730" s="94">
        <v>483.16522478703428</v>
      </c>
      <c r="D730" s="94">
        <v>485.33603387315486</v>
      </c>
      <c r="E730" s="94">
        <v>21629993.491280023</v>
      </c>
      <c r="F730" s="94" t="s">
        <v>764</v>
      </c>
      <c r="G730" s="25">
        <f t="shared" si="24"/>
        <v>-8.1327260897856579E-4</v>
      </c>
      <c r="I730" s="94">
        <v>1.82</v>
      </c>
      <c r="J730" s="94">
        <v>1.85</v>
      </c>
      <c r="K730" s="94">
        <v>1.78</v>
      </c>
      <c r="L730" s="94">
        <v>1.81</v>
      </c>
      <c r="M730" s="94">
        <v>1246490</v>
      </c>
      <c r="N730" s="94" t="s">
        <v>764</v>
      </c>
      <c r="O730" s="25">
        <f t="shared" si="25"/>
        <v>5.5248618784531356E-3</v>
      </c>
    </row>
    <row r="731" spans="1:15">
      <c r="A731" s="94">
        <v>485.04986875884288</v>
      </c>
      <c r="B731" s="94">
        <v>485.04986875884288</v>
      </c>
      <c r="C731" s="94">
        <v>479.63246711203982</v>
      </c>
      <c r="D731" s="94">
        <v>481.4185321358492</v>
      </c>
      <c r="E731" s="94">
        <v>3066699.244979193</v>
      </c>
      <c r="F731" s="94" t="s">
        <v>765</v>
      </c>
      <c r="G731" s="25">
        <f t="shared" si="24"/>
        <v>7.5429930104331522E-3</v>
      </c>
      <c r="I731" s="94">
        <v>1.84</v>
      </c>
      <c r="J731" s="94">
        <v>1.85</v>
      </c>
      <c r="K731" s="94">
        <v>1.79</v>
      </c>
      <c r="L731" s="94">
        <v>1.8</v>
      </c>
      <c r="M731" s="94">
        <v>1006325</v>
      </c>
      <c r="N731" s="94" t="s">
        <v>765</v>
      </c>
      <c r="O731" s="25">
        <f t="shared" si="25"/>
        <v>2.2222222222222143E-2</v>
      </c>
    </row>
    <row r="732" spans="1:15">
      <c r="A732" s="94">
        <v>479.31669871004038</v>
      </c>
      <c r="B732" s="94">
        <v>479.9778388017267</v>
      </c>
      <c r="C732" s="94">
        <v>476.17875021517079</v>
      </c>
      <c r="D732" s="94">
        <v>477.59970802416836</v>
      </c>
      <c r="E732" s="94">
        <v>2594579.0484806858</v>
      </c>
      <c r="F732" s="94" t="s">
        <v>766</v>
      </c>
      <c r="G732" s="25">
        <f t="shared" ref="G732:G795" si="26">A732/D732-1</f>
        <v>3.5950413223140298E-3</v>
      </c>
      <c r="I732" s="94">
        <v>1.78</v>
      </c>
      <c r="J732" s="94">
        <v>1.93</v>
      </c>
      <c r="K732" s="94">
        <v>1.78</v>
      </c>
      <c r="L732" s="94">
        <v>1.93</v>
      </c>
      <c r="M732" s="94">
        <v>1219311</v>
      </c>
      <c r="N732" s="94" t="s">
        <v>766</v>
      </c>
      <c r="O732" s="25">
        <f t="shared" ref="O732:O795" si="27">I732/L732-1</f>
        <v>-7.7720207253885953E-2</v>
      </c>
    </row>
    <row r="733" spans="1:15">
      <c r="A733" s="94">
        <v>478.73450071885384</v>
      </c>
      <c r="B733" s="94">
        <v>479.9778388017267</v>
      </c>
      <c r="C733" s="94">
        <v>474.04731350167452</v>
      </c>
      <c r="D733" s="94">
        <v>479.86929341353942</v>
      </c>
      <c r="E733" s="94">
        <v>4267690.8502147933</v>
      </c>
      <c r="F733" s="94" t="s">
        <v>767</v>
      </c>
      <c r="G733" s="25">
        <f t="shared" si="26"/>
        <v>-2.3647953937899757E-3</v>
      </c>
      <c r="I733" s="94">
        <v>1.91</v>
      </c>
      <c r="J733" s="94">
        <v>1.91</v>
      </c>
      <c r="K733" s="94">
        <v>1.84</v>
      </c>
      <c r="L733" s="94">
        <v>1.88</v>
      </c>
      <c r="M733" s="94">
        <v>1132039</v>
      </c>
      <c r="N733" s="94" t="s">
        <v>767</v>
      </c>
      <c r="O733" s="25">
        <f t="shared" si="27"/>
        <v>1.5957446808510634E-2</v>
      </c>
    </row>
    <row r="734" spans="1:15">
      <c r="A734" s="94">
        <v>478.21150930304231</v>
      </c>
      <c r="B734" s="94">
        <v>478.49767441735429</v>
      </c>
      <c r="C734" s="94">
        <v>470.17421669590004</v>
      </c>
      <c r="D734" s="94">
        <v>474.87620555692308</v>
      </c>
      <c r="E734" s="94">
        <v>5405451.3028918337</v>
      </c>
      <c r="F734" s="94" t="s">
        <v>768</v>
      </c>
      <c r="G734" s="25">
        <f t="shared" si="26"/>
        <v>7.0235225667028001E-3</v>
      </c>
      <c r="I734" s="94">
        <v>1.86</v>
      </c>
      <c r="J734" s="94">
        <v>1.97</v>
      </c>
      <c r="K734" s="94">
        <v>1.84</v>
      </c>
      <c r="L734" s="94">
        <v>1.95</v>
      </c>
      <c r="M734" s="94">
        <v>1249709</v>
      </c>
      <c r="N734" s="94" t="s">
        <v>768</v>
      </c>
      <c r="O734" s="25">
        <f t="shared" si="27"/>
        <v>-4.6153846153846101E-2</v>
      </c>
    </row>
    <row r="735" spans="1:15">
      <c r="A735" s="94">
        <v>474.08678455192444</v>
      </c>
      <c r="B735" s="94">
        <v>476.36663241436048</v>
      </c>
      <c r="C735" s="94">
        <v>472.86318199417656</v>
      </c>
      <c r="D735" s="94">
        <v>475.74456866242156</v>
      </c>
      <c r="E735" s="94">
        <v>3439066.3319184515</v>
      </c>
      <c r="F735" s="94" t="s">
        <v>769</v>
      </c>
      <c r="G735" s="25">
        <f t="shared" si="26"/>
        <v>-3.4846096407533667E-3</v>
      </c>
      <c r="I735" s="94">
        <v>1.93</v>
      </c>
      <c r="J735" s="94">
        <v>1.94</v>
      </c>
      <c r="K735" s="94">
        <v>1.86</v>
      </c>
      <c r="L735" s="94">
        <v>1.86</v>
      </c>
      <c r="M735" s="94">
        <v>850850</v>
      </c>
      <c r="N735" s="94" t="s">
        <v>769</v>
      </c>
      <c r="O735" s="25">
        <f t="shared" si="27"/>
        <v>3.7634408602150504E-2</v>
      </c>
    </row>
    <row r="736" spans="1:15">
      <c r="A736" s="94">
        <v>477.29380738473139</v>
      </c>
      <c r="B736" s="94">
        <v>478.27071587841715</v>
      </c>
      <c r="C736" s="94">
        <v>476.57346071767012</v>
      </c>
      <c r="D736" s="94">
        <v>476.80041925660726</v>
      </c>
      <c r="E736" s="94">
        <v>5680072.8275627885</v>
      </c>
      <c r="F736" s="94" t="s">
        <v>770</v>
      </c>
      <c r="G736" s="25">
        <f t="shared" si="26"/>
        <v>1.0347896272686619E-3</v>
      </c>
      <c r="I736" s="94">
        <v>1.83</v>
      </c>
      <c r="J736" s="94">
        <v>1.86</v>
      </c>
      <c r="K736" s="94">
        <v>1.81</v>
      </c>
      <c r="L736" s="94">
        <v>1.83</v>
      </c>
      <c r="M736" s="94">
        <v>604938</v>
      </c>
      <c r="N736" s="94" t="s">
        <v>770</v>
      </c>
      <c r="O736" s="25">
        <f t="shared" si="27"/>
        <v>0</v>
      </c>
    </row>
    <row r="737" spans="1:15">
      <c r="A737" s="94">
        <v>480.678449943663</v>
      </c>
      <c r="B737" s="94">
        <v>481.19650747819333</v>
      </c>
      <c r="C737" s="94">
        <v>478.11776555869864</v>
      </c>
      <c r="D737" s="94">
        <v>480.95474729541246</v>
      </c>
      <c r="E737" s="94">
        <v>4088785.0457001971</v>
      </c>
      <c r="F737" s="94" t="s">
        <v>771</v>
      </c>
      <c r="G737" s="25">
        <f t="shared" si="26"/>
        <v>-5.7447681575695242E-4</v>
      </c>
      <c r="I737" s="94">
        <v>1.84</v>
      </c>
      <c r="J737" s="94">
        <v>1.9275</v>
      </c>
      <c r="K737" s="94">
        <v>1.84</v>
      </c>
      <c r="L737" s="94">
        <v>1.9</v>
      </c>
      <c r="M737" s="94">
        <v>718961</v>
      </c>
      <c r="N737" s="94" t="s">
        <v>771</v>
      </c>
      <c r="O737" s="25">
        <f t="shared" si="27"/>
        <v>-3.1578947368420929E-2</v>
      </c>
    </row>
    <row r="738" spans="1:15">
      <c r="A738" s="94">
        <v>480.29360720372614</v>
      </c>
      <c r="B738" s="94">
        <v>480.95474729541246</v>
      </c>
      <c r="C738" s="94">
        <v>477.92534418873026</v>
      </c>
      <c r="D738" s="94">
        <v>478.76410400654134</v>
      </c>
      <c r="E738" s="94">
        <v>2589483.6684812554</v>
      </c>
      <c r="F738" s="94" t="s">
        <v>772</v>
      </c>
      <c r="G738" s="25">
        <f t="shared" si="26"/>
        <v>3.1946906302815492E-3</v>
      </c>
      <c r="I738" s="94">
        <v>1.9</v>
      </c>
      <c r="J738" s="94">
        <v>1.91</v>
      </c>
      <c r="K738" s="94">
        <v>1.85</v>
      </c>
      <c r="L738" s="94">
        <v>1.86</v>
      </c>
      <c r="M738" s="94">
        <v>668045</v>
      </c>
      <c r="N738" s="94" t="s">
        <v>772</v>
      </c>
      <c r="O738" s="25">
        <f t="shared" si="27"/>
        <v>2.1505376344086002E-2</v>
      </c>
    </row>
    <row r="739" spans="1:15">
      <c r="A739" s="94">
        <v>477.04711332066933</v>
      </c>
      <c r="B739" s="94">
        <v>483.51049779909556</v>
      </c>
      <c r="C739" s="94">
        <v>475.9123206259838</v>
      </c>
      <c r="D739" s="94">
        <v>483.43155569859573</v>
      </c>
      <c r="E739" s="94">
        <v>3862382.1518472382</v>
      </c>
      <c r="F739" s="94" t="s">
        <v>773</v>
      </c>
      <c r="G739" s="25">
        <f t="shared" si="26"/>
        <v>-1.320650731767059E-2</v>
      </c>
      <c r="I739" s="94">
        <v>1.86</v>
      </c>
      <c r="J739" s="94">
        <v>1.92</v>
      </c>
      <c r="K739" s="94">
        <v>1.83</v>
      </c>
      <c r="L739" s="94">
        <v>1.92</v>
      </c>
      <c r="M739" s="94">
        <v>691813</v>
      </c>
      <c r="N739" s="94" t="s">
        <v>773</v>
      </c>
      <c r="O739" s="25">
        <f t="shared" si="27"/>
        <v>-3.1249999999999889E-2</v>
      </c>
    </row>
    <row r="740" spans="1:15">
      <c r="A740" s="94">
        <v>480.6192433682881</v>
      </c>
      <c r="B740" s="94">
        <v>481.97112683934824</v>
      </c>
      <c r="C740" s="94">
        <v>478.52727770504174</v>
      </c>
      <c r="D740" s="94">
        <v>481.33959003534937</v>
      </c>
      <c r="E740" s="94">
        <v>3294141.8882115106</v>
      </c>
      <c r="F740" s="94" t="s">
        <v>774</v>
      </c>
      <c r="G740" s="25">
        <f t="shared" si="26"/>
        <v>-1.4965456446421888E-3</v>
      </c>
      <c r="I740" s="94">
        <v>1.91</v>
      </c>
      <c r="J740" s="94">
        <v>1.99</v>
      </c>
      <c r="K740" s="94">
        <v>1.89</v>
      </c>
      <c r="L740" s="94">
        <v>1.93</v>
      </c>
      <c r="M740" s="94">
        <v>926909</v>
      </c>
      <c r="N740" s="94" t="s">
        <v>774</v>
      </c>
      <c r="O740" s="25">
        <f t="shared" si="27"/>
        <v>-1.0362694300518172E-2</v>
      </c>
    </row>
    <row r="741" spans="1:15">
      <c r="A741" s="94">
        <v>482.02046565216068</v>
      </c>
      <c r="B741" s="94">
        <v>482.11914327778544</v>
      </c>
      <c r="C741" s="94">
        <v>479.9186322263518</v>
      </c>
      <c r="D741" s="94">
        <v>480.09625195247645</v>
      </c>
      <c r="E741" s="94">
        <v>2486456.2604378862</v>
      </c>
      <c r="F741" s="94" t="s">
        <v>775</v>
      </c>
      <c r="G741" s="25">
        <f t="shared" si="26"/>
        <v>4.0079748422503503E-3</v>
      </c>
      <c r="I741" s="94">
        <v>1.92</v>
      </c>
      <c r="J741" s="94">
        <v>2</v>
      </c>
      <c r="K741" s="94">
        <v>1.9</v>
      </c>
      <c r="L741" s="94">
        <v>1.95</v>
      </c>
      <c r="M741" s="94">
        <v>1121002</v>
      </c>
      <c r="N741" s="94" t="s">
        <v>775</v>
      </c>
      <c r="O741" s="25">
        <f t="shared" si="27"/>
        <v>-1.5384615384615441E-2</v>
      </c>
    </row>
    <row r="742" spans="1:15">
      <c r="A742" s="94">
        <v>480.72778875647543</v>
      </c>
      <c r="B742" s="94">
        <v>482.14864788784729</v>
      </c>
      <c r="C742" s="94">
        <v>480.01730985197662</v>
      </c>
      <c r="D742" s="94">
        <v>480.34294601653852</v>
      </c>
      <c r="E742" s="94">
        <v>2634421.9204094037</v>
      </c>
      <c r="F742" s="94" t="s">
        <v>776</v>
      </c>
      <c r="G742" s="25">
        <f t="shared" si="26"/>
        <v>8.0118328608413947E-4</v>
      </c>
      <c r="I742" s="94">
        <v>1.94</v>
      </c>
      <c r="J742" s="94">
        <v>2.02</v>
      </c>
      <c r="K742" s="94">
        <v>1.94</v>
      </c>
      <c r="L742" s="94">
        <v>1.98</v>
      </c>
      <c r="M742" s="94">
        <v>1345921</v>
      </c>
      <c r="N742" s="94" t="s">
        <v>776</v>
      </c>
      <c r="O742" s="25">
        <f t="shared" si="27"/>
        <v>-2.0202020202020221E-2</v>
      </c>
    </row>
    <row r="743" spans="1:15">
      <c r="A743" s="94">
        <v>480.25413615347622</v>
      </c>
      <c r="B743" s="94">
        <v>480.29360720372614</v>
      </c>
      <c r="C743" s="94">
        <v>478.29045140354214</v>
      </c>
      <c r="D743" s="94">
        <v>479.66207039972721</v>
      </c>
      <c r="E743" s="94">
        <v>3317910.1941993055</v>
      </c>
      <c r="F743" s="94" t="s">
        <v>777</v>
      </c>
      <c r="G743" s="25">
        <f t="shared" si="26"/>
        <v>1.2343393198790409E-3</v>
      </c>
      <c r="I743" s="94">
        <v>1.96</v>
      </c>
      <c r="J743" s="94">
        <v>2.0350000000000001</v>
      </c>
      <c r="K743" s="94">
        <v>1.96</v>
      </c>
      <c r="L743" s="94">
        <v>2.0299999999999998</v>
      </c>
      <c r="M743" s="94">
        <v>872241</v>
      </c>
      <c r="N743" s="94" t="s">
        <v>777</v>
      </c>
      <c r="O743" s="25">
        <f t="shared" si="27"/>
        <v>-3.4482758620689613E-2</v>
      </c>
    </row>
    <row r="744" spans="1:15">
      <c r="A744" s="94">
        <v>479.54365724897747</v>
      </c>
      <c r="B744" s="94">
        <v>482.10927551522298</v>
      </c>
      <c r="C744" s="94">
        <v>479.40550857310268</v>
      </c>
      <c r="D744" s="94">
        <v>480.60937560572563</v>
      </c>
      <c r="E744" s="94">
        <v>3392239.1006110399</v>
      </c>
      <c r="F744" s="94" t="s">
        <v>778</v>
      </c>
      <c r="G744" s="25">
        <f t="shared" si="26"/>
        <v>-2.2174314752079205E-3</v>
      </c>
      <c r="I744" s="94">
        <v>2.0299999999999998</v>
      </c>
      <c r="J744" s="94">
        <v>2.1</v>
      </c>
      <c r="K744" s="94">
        <v>2.02</v>
      </c>
      <c r="L744" s="94">
        <v>2.09</v>
      </c>
      <c r="M744" s="94">
        <v>731369</v>
      </c>
      <c r="N744" s="94" t="s">
        <v>778</v>
      </c>
      <c r="O744" s="25">
        <f t="shared" si="27"/>
        <v>-2.8708133971291905E-2</v>
      </c>
    </row>
    <row r="745" spans="1:15">
      <c r="A745" s="94">
        <v>480.46135916728832</v>
      </c>
      <c r="B745" s="94">
        <v>480.78699533185028</v>
      </c>
      <c r="C745" s="94">
        <v>476.35143606001429</v>
      </c>
      <c r="D745" s="94">
        <v>476.94843569504445</v>
      </c>
      <c r="E745" s="94">
        <v>4458442.2984870141</v>
      </c>
      <c r="F745" s="94" t="s">
        <v>779</v>
      </c>
      <c r="G745" s="25">
        <f t="shared" si="26"/>
        <v>7.3654156494393774E-3</v>
      </c>
      <c r="I745" s="94">
        <v>2.08</v>
      </c>
      <c r="J745" s="94">
        <v>2.11</v>
      </c>
      <c r="K745" s="94">
        <v>2.02</v>
      </c>
      <c r="L745" s="94">
        <v>2.09</v>
      </c>
      <c r="M745" s="94">
        <v>1194416</v>
      </c>
      <c r="N745" s="94" t="s">
        <v>779</v>
      </c>
      <c r="O745" s="25">
        <f t="shared" si="27"/>
        <v>-4.7846889952152249E-3</v>
      </c>
    </row>
    <row r="746" spans="1:15">
      <c r="A746" s="94">
        <v>474.67885030567345</v>
      </c>
      <c r="B746" s="94">
        <v>475.10316409586022</v>
      </c>
      <c r="C746" s="94">
        <v>472.15270308967786</v>
      </c>
      <c r="D746" s="94">
        <v>472.646091217802</v>
      </c>
      <c r="E746" s="94">
        <v>3301380.6112297941</v>
      </c>
      <c r="F746" s="94" t="s">
        <v>780</v>
      </c>
      <c r="G746" s="25">
        <f t="shared" si="26"/>
        <v>4.3008058791598192E-3</v>
      </c>
      <c r="I746" s="94">
        <v>2.06</v>
      </c>
      <c r="J746" s="94">
        <v>2.0649999999999999</v>
      </c>
      <c r="K746" s="94">
        <v>2.0099999999999998</v>
      </c>
      <c r="L746" s="94">
        <v>2.02</v>
      </c>
      <c r="M746" s="94">
        <v>870837</v>
      </c>
      <c r="N746" s="94" t="s">
        <v>780</v>
      </c>
      <c r="O746" s="25">
        <f t="shared" si="27"/>
        <v>1.980198019801982E-2</v>
      </c>
    </row>
    <row r="747" spans="1:15">
      <c r="A747" s="94">
        <v>472.43886820398978</v>
      </c>
      <c r="B747" s="94">
        <v>474.06704902679951</v>
      </c>
      <c r="C747" s="94">
        <v>471.41262089749165</v>
      </c>
      <c r="D747" s="94">
        <v>473.99797468886214</v>
      </c>
      <c r="E747" s="94">
        <v>3150098.0899340655</v>
      </c>
      <c r="F747" s="94" t="s">
        <v>781</v>
      </c>
      <c r="G747" s="25">
        <f t="shared" si="26"/>
        <v>-3.2892682419071173E-3</v>
      </c>
      <c r="I747" s="94">
        <v>1.97</v>
      </c>
      <c r="J747" s="94">
        <v>2.0499999999999998</v>
      </c>
      <c r="K747" s="94">
        <v>1.96</v>
      </c>
      <c r="L747" s="94">
        <v>1.98</v>
      </c>
      <c r="M747" s="94">
        <v>791439</v>
      </c>
      <c r="N747" s="94" t="s">
        <v>781</v>
      </c>
      <c r="O747" s="25">
        <f t="shared" si="27"/>
        <v>-5.050505050505083E-3</v>
      </c>
    </row>
    <row r="748" spans="1:15">
      <c r="A748" s="94">
        <v>472.40926491630239</v>
      </c>
      <c r="B748" s="94">
        <v>474.037445739112</v>
      </c>
      <c r="C748" s="94">
        <v>471.2744722216168</v>
      </c>
      <c r="D748" s="94">
        <v>473.34670235973823</v>
      </c>
      <c r="E748" s="94">
        <v>3392014.1255991319</v>
      </c>
      <c r="F748" s="94" t="s">
        <v>782</v>
      </c>
      <c r="G748" s="25">
        <f t="shared" si="26"/>
        <v>-1.9804457045174972E-3</v>
      </c>
      <c r="I748" s="94">
        <v>1.94</v>
      </c>
      <c r="J748" s="94">
        <v>2.1</v>
      </c>
      <c r="K748" s="94">
        <v>1.93</v>
      </c>
      <c r="L748" s="94">
        <v>2.09</v>
      </c>
      <c r="M748" s="94">
        <v>758055</v>
      </c>
      <c r="N748" s="94" t="s">
        <v>782</v>
      </c>
      <c r="O748" s="25">
        <f t="shared" si="27"/>
        <v>-7.1770334928229595E-2</v>
      </c>
    </row>
    <row r="749" spans="1:15">
      <c r="A749" s="94">
        <v>471.82706692511584</v>
      </c>
      <c r="B749" s="94">
        <v>471.82706692511584</v>
      </c>
      <c r="C749" s="94">
        <v>468.65951514255892</v>
      </c>
      <c r="D749" s="94">
        <v>469.30091970912025</v>
      </c>
      <c r="E749" s="94">
        <v>3532765.3841752745</v>
      </c>
      <c r="F749" s="94" t="s">
        <v>783</v>
      </c>
      <c r="G749" s="25">
        <f t="shared" si="26"/>
        <v>5.382787695283664E-3</v>
      </c>
      <c r="I749" s="94">
        <v>2.09</v>
      </c>
      <c r="J749" s="94">
        <v>2.11</v>
      </c>
      <c r="K749" s="94">
        <v>2.0099999999999998</v>
      </c>
      <c r="L749" s="94">
        <v>2.04</v>
      </c>
      <c r="M749" s="94">
        <v>1323867</v>
      </c>
      <c r="N749" s="94" t="s">
        <v>783</v>
      </c>
      <c r="O749" s="25">
        <f t="shared" si="27"/>
        <v>2.450980392156854E-2</v>
      </c>
    </row>
    <row r="750" spans="1:15">
      <c r="A750" s="94">
        <v>469.13316774555813</v>
      </c>
      <c r="B750" s="94">
        <v>469.56734929830736</v>
      </c>
      <c r="C750" s="94">
        <v>467.2385573335614</v>
      </c>
      <c r="D750" s="94">
        <v>467.3273671966237</v>
      </c>
      <c r="E750" s="94">
        <v>3257960.4339315477</v>
      </c>
      <c r="F750" s="94" t="s">
        <v>784</v>
      </c>
      <c r="G750" s="25">
        <f t="shared" si="26"/>
        <v>3.8641018602589838E-3</v>
      </c>
      <c r="I750" s="94">
        <v>2.0499999999999998</v>
      </c>
      <c r="J750" s="94">
        <v>2.0790000000000002</v>
      </c>
      <c r="K750" s="94">
        <v>1.96</v>
      </c>
      <c r="L750" s="94">
        <v>1.98</v>
      </c>
      <c r="M750" s="94">
        <v>1536616</v>
      </c>
      <c r="N750" s="94" t="s">
        <v>784</v>
      </c>
      <c r="O750" s="25">
        <f t="shared" si="27"/>
        <v>3.5353535353535248E-2</v>
      </c>
    </row>
    <row r="751" spans="1:15">
      <c r="A751" s="94">
        <v>469.11343222043308</v>
      </c>
      <c r="B751" s="94">
        <v>470.33703477818096</v>
      </c>
      <c r="C751" s="94">
        <v>468.43255660362178</v>
      </c>
      <c r="D751" s="94">
        <v>469.40946509730759</v>
      </c>
      <c r="E751" s="94">
        <v>3497552.7412078525</v>
      </c>
      <c r="F751" s="94" t="s">
        <v>785</v>
      </c>
      <c r="G751" s="25">
        <f t="shared" si="26"/>
        <v>-6.3064956905611869E-4</v>
      </c>
      <c r="I751" s="94">
        <v>2</v>
      </c>
      <c r="J751" s="94">
        <v>2.04</v>
      </c>
      <c r="K751" s="94">
        <v>1.9</v>
      </c>
      <c r="L751" s="94">
        <v>1.91</v>
      </c>
      <c r="M751" s="94">
        <v>1664596</v>
      </c>
      <c r="N751" s="94" t="s">
        <v>785</v>
      </c>
      <c r="O751" s="25">
        <f t="shared" si="27"/>
        <v>4.7120418848167533E-2</v>
      </c>
    </row>
    <row r="752" spans="1:15">
      <c r="A752" s="94">
        <v>468.4424243661843</v>
      </c>
      <c r="B752" s="94">
        <v>468.53123422924665</v>
      </c>
      <c r="C752" s="94">
        <v>465.58077322306428</v>
      </c>
      <c r="D752" s="94">
        <v>465.97548372556361</v>
      </c>
      <c r="E752" s="94">
        <v>4846632.6279304698</v>
      </c>
      <c r="F752" s="94" t="s">
        <v>786</v>
      </c>
      <c r="G752" s="25">
        <f t="shared" si="26"/>
        <v>5.2941425606709558E-3</v>
      </c>
      <c r="I752" s="94">
        <v>1.89</v>
      </c>
      <c r="J752" s="94">
        <v>1.93</v>
      </c>
      <c r="K752" s="94">
        <v>1.81</v>
      </c>
      <c r="L752" s="94">
        <v>1.81</v>
      </c>
      <c r="M752" s="94">
        <v>1162890</v>
      </c>
      <c r="N752" s="94" t="s">
        <v>786</v>
      </c>
      <c r="O752" s="25">
        <f t="shared" si="27"/>
        <v>4.4198895027624197E-2</v>
      </c>
    </row>
    <row r="753" spans="1:15">
      <c r="A753" s="94">
        <v>463.76510491156745</v>
      </c>
      <c r="B753" s="94">
        <v>464.77161669294065</v>
      </c>
      <c r="C753" s="94">
        <v>461.25879189832239</v>
      </c>
      <c r="D753" s="94">
        <v>463.54801413519277</v>
      </c>
      <c r="E753" s="94">
        <v>4648327.2889431035</v>
      </c>
      <c r="F753" s="94" t="s">
        <v>787</v>
      </c>
      <c r="G753" s="25">
        <f t="shared" si="26"/>
        <v>4.6832425068132899E-4</v>
      </c>
      <c r="I753" s="94">
        <v>1.81</v>
      </c>
      <c r="J753" s="94">
        <v>1.9</v>
      </c>
      <c r="K753" s="94">
        <v>1.7849999999999999</v>
      </c>
      <c r="L753" s="94">
        <v>1.85</v>
      </c>
      <c r="M753" s="94">
        <v>990189</v>
      </c>
      <c r="N753" s="94" t="s">
        <v>787</v>
      </c>
      <c r="O753" s="25">
        <f t="shared" si="27"/>
        <v>-2.1621621621621623E-2</v>
      </c>
    </row>
    <row r="754" spans="1:15">
      <c r="A754" s="94">
        <v>458.08127367557734</v>
      </c>
      <c r="B754" s="94">
        <v>458.80162034263856</v>
      </c>
      <c r="C754" s="94">
        <v>453.08818581896105</v>
      </c>
      <c r="D754" s="94">
        <v>457.23264609520379</v>
      </c>
      <c r="E754" s="94">
        <v>4025658.2734399545</v>
      </c>
      <c r="F754" s="94" t="s">
        <v>788</v>
      </c>
      <c r="G754" s="25">
        <f t="shared" si="26"/>
        <v>1.8560082872929318E-3</v>
      </c>
      <c r="I754" s="94">
        <v>1.82</v>
      </c>
      <c r="J754" s="94">
        <v>1.83</v>
      </c>
      <c r="K754" s="94">
        <v>1.76</v>
      </c>
      <c r="L754" s="94">
        <v>1.79</v>
      </c>
      <c r="M754" s="94">
        <v>834720</v>
      </c>
      <c r="N754" s="94" t="s">
        <v>788</v>
      </c>
      <c r="O754" s="25">
        <f t="shared" si="27"/>
        <v>1.6759776536312776E-2</v>
      </c>
    </row>
    <row r="755" spans="1:15">
      <c r="A755" s="94">
        <v>453.84800353627219</v>
      </c>
      <c r="B755" s="94">
        <v>460.89358600588491</v>
      </c>
      <c r="C755" s="94">
        <v>453.36448317071051</v>
      </c>
      <c r="D755" s="94">
        <v>454.67689559152075</v>
      </c>
      <c r="E755" s="94">
        <v>6197328.889175579</v>
      </c>
      <c r="F755" s="94" t="s">
        <v>789</v>
      </c>
      <c r="G755" s="25">
        <f t="shared" si="26"/>
        <v>-1.8230353538641886E-3</v>
      </c>
      <c r="I755" s="94">
        <v>1.76</v>
      </c>
      <c r="J755" s="94">
        <v>1.7849999999999999</v>
      </c>
      <c r="K755" s="94">
        <v>1.6906000000000001</v>
      </c>
      <c r="L755" s="94">
        <v>1.7</v>
      </c>
      <c r="M755" s="94">
        <v>2038710</v>
      </c>
      <c r="N755" s="94" t="s">
        <v>789</v>
      </c>
      <c r="O755" s="25">
        <f t="shared" si="27"/>
        <v>3.529411764705892E-2</v>
      </c>
    </row>
    <row r="756" spans="1:15">
      <c r="A756" s="94">
        <v>455.3281679206446</v>
      </c>
      <c r="B756" s="94">
        <v>462.14679185132024</v>
      </c>
      <c r="C756" s="94">
        <v>455.25909358270724</v>
      </c>
      <c r="D756" s="94">
        <v>461.23895769557186</v>
      </c>
      <c r="E756" s="94">
        <v>4423328.9688131372</v>
      </c>
      <c r="F756" s="94" t="s">
        <v>790</v>
      </c>
      <c r="G756" s="25">
        <f t="shared" si="26"/>
        <v>-1.2815027170424931E-2</v>
      </c>
      <c r="I756" s="94">
        <v>1.69</v>
      </c>
      <c r="J756" s="94">
        <v>1.78</v>
      </c>
      <c r="K756" s="94">
        <v>1.67</v>
      </c>
      <c r="L756" s="94">
        <v>1.78</v>
      </c>
      <c r="M756" s="94">
        <v>975408</v>
      </c>
      <c r="N756" s="94" t="s">
        <v>790</v>
      </c>
      <c r="O756" s="25">
        <f t="shared" si="27"/>
        <v>-5.0561797752809001E-2</v>
      </c>
    </row>
    <row r="757" spans="1:15">
      <c r="A757" s="94">
        <v>462.64017997944438</v>
      </c>
      <c r="B757" s="94">
        <v>463.21251020806841</v>
      </c>
      <c r="C757" s="94">
        <v>460.04495842551137</v>
      </c>
      <c r="D757" s="94">
        <v>462.64017997944438</v>
      </c>
      <c r="E757" s="94">
        <v>3296801.0523162251</v>
      </c>
      <c r="F757" s="94" t="s">
        <v>791</v>
      </c>
      <c r="G757" s="25">
        <f t="shared" si="26"/>
        <v>0</v>
      </c>
      <c r="I757" s="94">
        <v>1.74</v>
      </c>
      <c r="J757" s="94">
        <v>1.82</v>
      </c>
      <c r="K757" s="94">
        <v>1.71</v>
      </c>
      <c r="L757" s="94">
        <v>1.79</v>
      </c>
      <c r="M757" s="94">
        <v>981642</v>
      </c>
      <c r="N757" s="94" t="s">
        <v>791</v>
      </c>
      <c r="O757" s="25">
        <f t="shared" si="27"/>
        <v>-2.7932960893854775E-2</v>
      </c>
    </row>
    <row r="758" spans="1:15">
      <c r="A758" s="94">
        <v>461.03173468175964</v>
      </c>
      <c r="B758" s="94">
        <v>462.43295696563223</v>
      </c>
      <c r="C758" s="94">
        <v>458.66347166676383</v>
      </c>
      <c r="D758" s="94">
        <v>459.17659532001289</v>
      </c>
      <c r="E758" s="94">
        <v>4972872.9982385458</v>
      </c>
      <c r="F758" s="94" t="s">
        <v>792</v>
      </c>
      <c r="G758" s="25">
        <f t="shared" si="26"/>
        <v>4.0401435540369235E-3</v>
      </c>
      <c r="I758" s="94">
        <v>1.77</v>
      </c>
      <c r="J758" s="94">
        <v>1.7949999999999999</v>
      </c>
      <c r="K758" s="94">
        <v>1.75</v>
      </c>
      <c r="L758" s="94">
        <v>1.76</v>
      </c>
      <c r="M758" s="94">
        <v>585688</v>
      </c>
      <c r="N758" s="94" t="s">
        <v>792</v>
      </c>
      <c r="O758" s="25">
        <f t="shared" si="27"/>
        <v>5.6818181818181213E-3</v>
      </c>
    </row>
    <row r="759" spans="1:15">
      <c r="A759" s="94">
        <v>456.46296061533013</v>
      </c>
      <c r="B759" s="94">
        <v>457.33132372082861</v>
      </c>
      <c r="C759" s="94">
        <v>451.21331093208926</v>
      </c>
      <c r="D759" s="94">
        <v>452.70334307902419</v>
      </c>
      <c r="E759" s="94">
        <v>4941574.1097575594</v>
      </c>
      <c r="F759" s="94" t="s">
        <v>793</v>
      </c>
      <c r="G759" s="25">
        <f t="shared" si="26"/>
        <v>8.3048150489350991E-3</v>
      </c>
      <c r="I759" s="94">
        <v>1.76</v>
      </c>
      <c r="J759" s="94">
        <v>1.87</v>
      </c>
      <c r="K759" s="94">
        <v>1.74</v>
      </c>
      <c r="L759" s="94">
        <v>1.8</v>
      </c>
      <c r="M759" s="94">
        <v>848093</v>
      </c>
      <c r="N759" s="94" t="s">
        <v>793</v>
      </c>
      <c r="O759" s="25">
        <f t="shared" si="27"/>
        <v>-2.2222222222222254E-2</v>
      </c>
    </row>
    <row r="760" spans="1:15">
      <c r="A760" s="94">
        <v>458.35757102732686</v>
      </c>
      <c r="B760" s="94">
        <v>460.14363605113624</v>
      </c>
      <c r="C760" s="94">
        <v>456.3248119394554</v>
      </c>
      <c r="D760" s="94">
        <v>459.4134216215125</v>
      </c>
      <c r="E760" s="94">
        <v>7790861.3541524773</v>
      </c>
      <c r="F760" s="94" t="s">
        <v>794</v>
      </c>
      <c r="G760" s="25">
        <f t="shared" si="26"/>
        <v>-2.298258049272861E-3</v>
      </c>
      <c r="I760" s="94">
        <v>1.82</v>
      </c>
      <c r="J760" s="94">
        <v>1.83</v>
      </c>
      <c r="K760" s="94">
        <v>1.74</v>
      </c>
      <c r="L760" s="94">
        <v>1.77</v>
      </c>
      <c r="M760" s="94">
        <v>1178371</v>
      </c>
      <c r="N760" s="94" t="s">
        <v>794</v>
      </c>
      <c r="O760" s="25">
        <f t="shared" si="27"/>
        <v>2.8248587570621542E-2</v>
      </c>
    </row>
    <row r="761" spans="1:15">
      <c r="A761" s="94">
        <v>458.69307495445122</v>
      </c>
      <c r="B761" s="94">
        <v>458.97924006876326</v>
      </c>
      <c r="C761" s="94">
        <v>454.57821796589593</v>
      </c>
      <c r="D761" s="94">
        <v>455.08147385658253</v>
      </c>
      <c r="E761" s="94">
        <v>4314453.2238611141</v>
      </c>
      <c r="F761" s="94" t="s">
        <v>795</v>
      </c>
      <c r="G761" s="25">
        <f t="shared" si="26"/>
        <v>7.9361637538488683E-3</v>
      </c>
      <c r="I761" s="94">
        <v>1.77</v>
      </c>
      <c r="J761" s="94">
        <v>1.8399000000000001</v>
      </c>
      <c r="K761" s="94">
        <v>1.73</v>
      </c>
      <c r="L761" s="94">
        <v>1.73</v>
      </c>
      <c r="M761" s="94">
        <v>1116323</v>
      </c>
      <c r="N761" s="94" t="s">
        <v>795</v>
      </c>
      <c r="O761" s="25">
        <f t="shared" si="27"/>
        <v>2.3121387283236983E-2</v>
      </c>
    </row>
    <row r="762" spans="1:15">
      <c r="A762" s="94">
        <v>452.97964043077371</v>
      </c>
      <c r="B762" s="94">
        <v>455.62410211989345</v>
      </c>
      <c r="C762" s="94">
        <v>449.32856828265511</v>
      </c>
      <c r="D762" s="94">
        <v>451.4994760464013</v>
      </c>
      <c r="E762" s="94">
        <v>5896055.932801161</v>
      </c>
      <c r="F762" s="94" t="s">
        <v>796</v>
      </c>
      <c r="G762" s="25">
        <f t="shared" si="26"/>
        <v>3.2783302371326428E-3</v>
      </c>
      <c r="I762" s="94">
        <v>1.74</v>
      </c>
      <c r="J762" s="94">
        <v>1.78</v>
      </c>
      <c r="K762" s="94">
        <v>1.71</v>
      </c>
      <c r="L762" s="94">
        <v>1.78</v>
      </c>
      <c r="M762" s="94">
        <v>963153</v>
      </c>
      <c r="N762" s="94" t="s">
        <v>796</v>
      </c>
      <c r="O762" s="25">
        <f t="shared" si="27"/>
        <v>-2.2471910112359605E-2</v>
      </c>
    </row>
    <row r="763" spans="1:15">
      <c r="A763" s="94">
        <v>449.08187421859304</v>
      </c>
      <c r="B763" s="94">
        <v>453.85787129883465</v>
      </c>
      <c r="C763" s="94">
        <v>447.89774271109502</v>
      </c>
      <c r="D763" s="94">
        <v>452.92043385539881</v>
      </c>
      <c r="E763" s="94">
        <v>9918615.2261221297</v>
      </c>
      <c r="F763" s="94" t="s">
        <v>797</v>
      </c>
      <c r="G763" s="25">
        <f t="shared" si="26"/>
        <v>-8.4751301771279763E-3</v>
      </c>
      <c r="I763" s="94">
        <v>1.75</v>
      </c>
      <c r="J763" s="94">
        <v>1.78</v>
      </c>
      <c r="K763" s="94">
        <v>1.68</v>
      </c>
      <c r="L763" s="94">
        <v>1.68</v>
      </c>
      <c r="M763" s="94">
        <v>1645170</v>
      </c>
      <c r="N763" s="94" t="s">
        <v>797</v>
      </c>
      <c r="O763" s="25">
        <f t="shared" si="27"/>
        <v>4.1666666666666741E-2</v>
      </c>
    </row>
    <row r="764" spans="1:15">
      <c r="A764" s="94">
        <v>452.87109504258638</v>
      </c>
      <c r="B764" s="94">
        <v>457.17343951982895</v>
      </c>
      <c r="C764" s="94">
        <v>452.15074837552515</v>
      </c>
      <c r="D764" s="94">
        <v>455.25909358270724</v>
      </c>
      <c r="E764" s="94">
        <v>5712831.0134183131</v>
      </c>
      <c r="F764" s="94" t="s">
        <v>798</v>
      </c>
      <c r="G764" s="25">
        <f t="shared" si="26"/>
        <v>-5.245361539795379E-3</v>
      </c>
      <c r="I764" s="94">
        <v>1.76</v>
      </c>
      <c r="J764" s="94">
        <v>1.84</v>
      </c>
      <c r="K764" s="94">
        <v>1.74</v>
      </c>
      <c r="L764" s="94">
        <v>1.8</v>
      </c>
      <c r="M764" s="94">
        <v>1357968</v>
      </c>
      <c r="N764" s="94" t="s">
        <v>798</v>
      </c>
      <c r="O764" s="25">
        <f t="shared" si="27"/>
        <v>-2.2222222222222254E-2</v>
      </c>
    </row>
    <row r="765" spans="1:15">
      <c r="A765" s="94">
        <v>453.90721011164709</v>
      </c>
      <c r="B765" s="94">
        <v>459.0877854569506</v>
      </c>
      <c r="C765" s="94">
        <v>452.66387202877428</v>
      </c>
      <c r="D765" s="94">
        <v>458.95950454363833</v>
      </c>
      <c r="E765" s="94">
        <v>7252129.2995110629</v>
      </c>
      <c r="F765" s="94" t="s">
        <v>799</v>
      </c>
      <c r="G765" s="25">
        <f t="shared" si="26"/>
        <v>-1.1008148610006319E-2</v>
      </c>
      <c r="I765" s="94">
        <v>1.75</v>
      </c>
      <c r="J765" s="94">
        <v>1.79</v>
      </c>
      <c r="K765" s="94">
        <v>1.73</v>
      </c>
      <c r="L765" s="94">
        <v>1.74</v>
      </c>
      <c r="M765" s="94">
        <v>1998444</v>
      </c>
      <c r="N765" s="94" t="s">
        <v>799</v>
      </c>
      <c r="O765" s="25">
        <f t="shared" si="27"/>
        <v>5.7471264367816577E-3</v>
      </c>
    </row>
    <row r="766" spans="1:15">
      <c r="A766" s="94">
        <v>456.66031586657977</v>
      </c>
      <c r="B766" s="94">
        <v>459.3542150461376</v>
      </c>
      <c r="C766" s="94">
        <v>455.48605212164432</v>
      </c>
      <c r="D766" s="94">
        <v>457.91352171201515</v>
      </c>
      <c r="E766" s="94">
        <v>6852028.4686488919</v>
      </c>
      <c r="F766" s="94" t="s">
        <v>800</v>
      </c>
      <c r="G766" s="25">
        <f t="shared" si="26"/>
        <v>-2.736774054520108E-3</v>
      </c>
      <c r="I766" s="94">
        <v>1.73</v>
      </c>
      <c r="J766" s="94">
        <v>1.82</v>
      </c>
      <c r="K766" s="94">
        <v>1.71</v>
      </c>
      <c r="L766" s="94">
        <v>1.8</v>
      </c>
      <c r="M766" s="94">
        <v>2479780</v>
      </c>
      <c r="N766" s="94" t="s">
        <v>800</v>
      </c>
      <c r="O766" s="25">
        <f t="shared" si="27"/>
        <v>-3.8888888888888973E-2</v>
      </c>
    </row>
    <row r="767" spans="1:15">
      <c r="A767" s="94">
        <v>457.47934015926592</v>
      </c>
      <c r="B767" s="94">
        <v>467.3273671966237</v>
      </c>
      <c r="C767" s="94">
        <v>456.72939020451719</v>
      </c>
      <c r="D767" s="94">
        <v>467.20895404587395</v>
      </c>
      <c r="E767" s="94">
        <v>9657755.6864138376</v>
      </c>
      <c r="F767" s="94" t="s">
        <v>801</v>
      </c>
      <c r="G767" s="25">
        <f t="shared" si="26"/>
        <v>-2.0824973071155495E-2</v>
      </c>
      <c r="I767" s="94">
        <v>1.81</v>
      </c>
      <c r="J767" s="94">
        <v>2.0101</v>
      </c>
      <c r="K767" s="94">
        <v>1.8</v>
      </c>
      <c r="L767" s="94">
        <v>2.0099999999999998</v>
      </c>
      <c r="M767" s="94">
        <v>3420786</v>
      </c>
      <c r="N767" s="94" t="s">
        <v>801</v>
      </c>
      <c r="O767" s="25">
        <f t="shared" si="27"/>
        <v>-9.9502487562188935E-2</v>
      </c>
    </row>
    <row r="768" spans="1:15">
      <c r="A768" s="94">
        <v>463.3605266465056</v>
      </c>
      <c r="B768" s="94">
        <v>467.78128427449792</v>
      </c>
      <c r="C768" s="94">
        <v>461.72247806113353</v>
      </c>
      <c r="D768" s="94">
        <v>466.51821066650012</v>
      </c>
      <c r="E768" s="94">
        <v>7052989.9315381097</v>
      </c>
      <c r="F768" s="94" t="s">
        <v>802</v>
      </c>
      <c r="G768" s="25">
        <f t="shared" si="26"/>
        <v>-6.7686189902066429E-3</v>
      </c>
      <c r="I768" s="94">
        <v>2.0099999999999998</v>
      </c>
      <c r="J768" s="94">
        <v>2.0699999999999998</v>
      </c>
      <c r="K768" s="94">
        <v>2</v>
      </c>
      <c r="L768" s="94">
        <v>2.0499999999999998</v>
      </c>
      <c r="M768" s="94">
        <v>1403280</v>
      </c>
      <c r="N768" s="94" t="s">
        <v>802</v>
      </c>
      <c r="O768" s="25">
        <f t="shared" si="27"/>
        <v>-1.9512195121951237E-2</v>
      </c>
    </row>
    <row r="769" spans="1:15">
      <c r="A769" s="94">
        <v>469.764704549557</v>
      </c>
      <c r="B769" s="94">
        <v>471.11658802061714</v>
      </c>
      <c r="C769" s="94">
        <v>464.44598052837875</v>
      </c>
      <c r="D769" s="94">
        <v>467.71220993656055</v>
      </c>
      <c r="E769" s="94">
        <v>5178378.5510079227</v>
      </c>
      <c r="F769" s="94" t="s">
        <v>803</v>
      </c>
      <c r="G769" s="25">
        <f t="shared" si="26"/>
        <v>4.3883708173340086E-3</v>
      </c>
      <c r="I769" s="94">
        <v>2.0699999999999998</v>
      </c>
      <c r="J769" s="94">
        <v>2.08</v>
      </c>
      <c r="K769" s="94">
        <v>2.02</v>
      </c>
      <c r="L769" s="94">
        <v>2.06</v>
      </c>
      <c r="M769" s="94">
        <v>1154968</v>
      </c>
      <c r="N769" s="94" t="s">
        <v>803</v>
      </c>
      <c r="O769" s="25">
        <f t="shared" si="27"/>
        <v>4.8543689320388328E-3</v>
      </c>
    </row>
    <row r="770" spans="1:15">
      <c r="A770" s="94">
        <v>466.39979751575032</v>
      </c>
      <c r="B770" s="94">
        <v>468.11678820162234</v>
      </c>
      <c r="C770" s="94">
        <v>464.44598052837875</v>
      </c>
      <c r="D770" s="94">
        <v>465.66958308612664</v>
      </c>
      <c r="E770" s="94">
        <v>7026302.0174002824</v>
      </c>
      <c r="F770" s="94" t="s">
        <v>804</v>
      </c>
      <c r="G770" s="25">
        <f t="shared" si="26"/>
        <v>1.5680956114512146E-3</v>
      </c>
      <c r="I770" s="94">
        <v>2.04</v>
      </c>
      <c r="J770" s="94">
        <v>2.1</v>
      </c>
      <c r="K770" s="94">
        <v>2.02</v>
      </c>
      <c r="L770" s="94">
        <v>2.09</v>
      </c>
      <c r="M770" s="94">
        <v>1370501</v>
      </c>
      <c r="N770" s="94" t="s">
        <v>804</v>
      </c>
      <c r="O770" s="25">
        <f t="shared" si="27"/>
        <v>-2.3923444976076458E-2</v>
      </c>
    </row>
    <row r="771" spans="1:15">
      <c r="A771" s="94">
        <v>470.95870381961737</v>
      </c>
      <c r="B771" s="94">
        <v>472.27111624042766</v>
      </c>
      <c r="C771" s="94">
        <v>466.48860737881267</v>
      </c>
      <c r="D771" s="94">
        <v>472.05402546405298</v>
      </c>
      <c r="E771" s="94">
        <v>5324602.174738585</v>
      </c>
      <c r="F771" s="94" t="s">
        <v>805</v>
      </c>
      <c r="G771" s="25">
        <f t="shared" si="26"/>
        <v>-2.3203311175217234E-3</v>
      </c>
      <c r="I771" s="94">
        <v>2.15</v>
      </c>
      <c r="J771" s="94">
        <v>2.16</v>
      </c>
      <c r="K771" s="94">
        <v>2.0699999999999998</v>
      </c>
      <c r="L771" s="94">
        <v>2.11</v>
      </c>
      <c r="M771" s="94">
        <v>1319546</v>
      </c>
      <c r="N771" s="94" t="s">
        <v>805</v>
      </c>
      <c r="O771" s="25">
        <f t="shared" si="27"/>
        <v>1.8957345971563955E-2</v>
      </c>
    </row>
    <row r="772" spans="1:15">
      <c r="A772" s="94">
        <v>470.37650582843094</v>
      </c>
      <c r="B772" s="94">
        <v>471.74812482461601</v>
      </c>
      <c r="C772" s="94">
        <v>469.67589468649464</v>
      </c>
      <c r="D772" s="94">
        <v>470.84029066886757</v>
      </c>
      <c r="E772" s="94">
        <v>4800255.3466468742</v>
      </c>
      <c r="F772" s="94" t="s">
        <v>806</v>
      </c>
      <c r="G772" s="25">
        <f t="shared" si="26"/>
        <v>-9.8501519438320972E-4</v>
      </c>
      <c r="I772" s="94">
        <v>2.1</v>
      </c>
      <c r="J772" s="94">
        <v>2.1193</v>
      </c>
      <c r="K772" s="94">
        <v>2.06</v>
      </c>
      <c r="L772" s="94">
        <v>2.1</v>
      </c>
      <c r="M772" s="94">
        <v>1500365</v>
      </c>
      <c r="N772" s="94" t="s">
        <v>806</v>
      </c>
      <c r="O772" s="25">
        <f t="shared" si="27"/>
        <v>0</v>
      </c>
    </row>
    <row r="773" spans="1:15">
      <c r="A773" s="94">
        <v>470.18901833974377</v>
      </c>
      <c r="B773" s="94">
        <v>472.00468665124055</v>
      </c>
      <c r="C773" s="94">
        <v>466.17283897681324</v>
      </c>
      <c r="D773" s="94">
        <v>466.59715276700001</v>
      </c>
      <c r="E773" s="94">
        <v>5663046.6781255519</v>
      </c>
      <c r="F773" s="94" t="s">
        <v>807</v>
      </c>
      <c r="G773" s="25">
        <f t="shared" si="26"/>
        <v>7.6980014803849084E-3</v>
      </c>
      <c r="I773" s="94">
        <v>2.1</v>
      </c>
      <c r="J773" s="94">
        <v>2.1</v>
      </c>
      <c r="K773" s="94">
        <v>2.04</v>
      </c>
      <c r="L773" s="94">
        <v>2.06</v>
      </c>
      <c r="M773" s="94">
        <v>1233728</v>
      </c>
      <c r="N773" s="94" t="s">
        <v>807</v>
      </c>
      <c r="O773" s="25">
        <f t="shared" si="27"/>
        <v>1.9417475728155331E-2</v>
      </c>
    </row>
    <row r="774" spans="1:15">
      <c r="A774" s="94">
        <v>465.24526929593986</v>
      </c>
      <c r="B774" s="94">
        <v>475.11303185842269</v>
      </c>
      <c r="C774" s="94">
        <v>465.03804628212771</v>
      </c>
      <c r="D774" s="94">
        <v>474.83673450667311</v>
      </c>
      <c r="E774" s="94">
        <v>6963270.5048297672</v>
      </c>
      <c r="F774" s="94" t="s">
        <v>808</v>
      </c>
      <c r="G774" s="25">
        <f t="shared" si="26"/>
        <v>-2.0199501246882634E-2</v>
      </c>
      <c r="I774" s="94">
        <v>2.08</v>
      </c>
      <c r="J774" s="94">
        <v>2.1749999999999998</v>
      </c>
      <c r="K774" s="94">
        <v>2.0550000000000002</v>
      </c>
      <c r="L774" s="94">
        <v>2.16</v>
      </c>
      <c r="M774" s="94">
        <v>1468817</v>
      </c>
      <c r="N774" s="94" t="s">
        <v>808</v>
      </c>
      <c r="O774" s="25">
        <f t="shared" si="27"/>
        <v>-3.703703703703709E-2</v>
      </c>
    </row>
    <row r="775" spans="1:15">
      <c r="A775" s="94">
        <v>471.04751368267978</v>
      </c>
      <c r="B775" s="94">
        <v>472.47044504418977</v>
      </c>
      <c r="C775" s="94">
        <v>469.49827496036994</v>
      </c>
      <c r="D775" s="94">
        <v>469.54761377318232</v>
      </c>
      <c r="E775" s="94">
        <v>6308230.4226357285</v>
      </c>
      <c r="F775" s="94" t="s">
        <v>809</v>
      </c>
      <c r="G775" s="25">
        <f t="shared" si="26"/>
        <v>3.194351042367316E-3</v>
      </c>
      <c r="I775" s="94">
        <v>2.14</v>
      </c>
      <c r="J775" s="94">
        <v>2.21</v>
      </c>
      <c r="K775" s="94">
        <v>2.12</v>
      </c>
      <c r="L775" s="94">
        <v>2.15</v>
      </c>
      <c r="M775" s="94">
        <v>1219946</v>
      </c>
      <c r="N775" s="94" t="s">
        <v>809</v>
      </c>
      <c r="O775" s="25">
        <f t="shared" si="27"/>
        <v>-4.6511627906975495E-3</v>
      </c>
    </row>
    <row r="776" spans="1:15">
      <c r="A776" s="94">
        <v>470.62319989249301</v>
      </c>
      <c r="B776" s="94">
        <v>470.68240646786791</v>
      </c>
      <c r="C776" s="94">
        <v>468.43255660362178</v>
      </c>
      <c r="D776" s="94">
        <v>470.03113413874399</v>
      </c>
      <c r="E776" s="94">
        <v>4882385.4136066614</v>
      </c>
      <c r="F776" s="94" t="s">
        <v>810</v>
      </c>
      <c r="G776" s="25">
        <f t="shared" si="26"/>
        <v>1.259630928138078E-3</v>
      </c>
      <c r="I776" s="94">
        <v>2.16</v>
      </c>
      <c r="J776" s="94">
        <v>2.25</v>
      </c>
      <c r="K776" s="94">
        <v>2.125</v>
      </c>
      <c r="L776" s="94">
        <v>2.2200000000000002</v>
      </c>
      <c r="M776" s="94">
        <v>1931081</v>
      </c>
      <c r="N776" s="94" t="s">
        <v>810</v>
      </c>
      <c r="O776" s="25">
        <f t="shared" si="27"/>
        <v>-2.7027027027027084E-2</v>
      </c>
    </row>
    <row r="777" spans="1:15">
      <c r="A777" s="94">
        <v>473.72167733711257</v>
      </c>
      <c r="B777" s="94">
        <v>475.58668446142184</v>
      </c>
      <c r="C777" s="94">
        <v>472.49807477936469</v>
      </c>
      <c r="D777" s="94">
        <v>475.07356080817272</v>
      </c>
      <c r="E777" s="94">
        <v>5810800.5372975701</v>
      </c>
      <c r="F777" s="94" t="s">
        <v>811</v>
      </c>
      <c r="G777" s="25">
        <f t="shared" si="26"/>
        <v>-2.8456297773347128E-3</v>
      </c>
      <c r="I777" s="94">
        <v>2.25</v>
      </c>
      <c r="J777" s="94">
        <v>2.57</v>
      </c>
      <c r="K777" s="94">
        <v>2.2200000000000002</v>
      </c>
      <c r="L777" s="94">
        <v>2.5499999999999998</v>
      </c>
      <c r="M777" s="94">
        <v>3337572</v>
      </c>
      <c r="N777" s="94" t="s">
        <v>811</v>
      </c>
      <c r="O777" s="25">
        <f t="shared" si="27"/>
        <v>-0.11764705882352933</v>
      </c>
    </row>
    <row r="778" spans="1:15">
      <c r="A778" s="94">
        <v>474.34334637854897</v>
      </c>
      <c r="B778" s="94">
        <v>475.78384235742027</v>
      </c>
      <c r="C778" s="94">
        <v>474.14934616657058</v>
      </c>
      <c r="D778" s="94">
        <v>474.51109834211121</v>
      </c>
      <c r="E778" s="94">
        <v>4119493.1214246862</v>
      </c>
      <c r="F778" s="94" t="s">
        <v>812</v>
      </c>
      <c r="G778" s="25">
        <f t="shared" si="26"/>
        <v>-3.5352590097126324E-4</v>
      </c>
      <c r="I778" s="94">
        <v>2.5499999999999998</v>
      </c>
      <c r="J778" s="94">
        <v>2.67</v>
      </c>
      <c r="K778" s="94">
        <v>2.5249999999999999</v>
      </c>
      <c r="L778" s="94">
        <v>2.57</v>
      </c>
      <c r="M778" s="94">
        <v>2518136</v>
      </c>
      <c r="N778" s="94" t="s">
        <v>812</v>
      </c>
      <c r="O778" s="25">
        <f t="shared" si="27"/>
        <v>-7.7821011673151474E-3</v>
      </c>
    </row>
    <row r="779" spans="1:15">
      <c r="A779" s="94">
        <v>474.40255295392387</v>
      </c>
      <c r="B779" s="94">
        <v>474.51109834211121</v>
      </c>
      <c r="C779" s="94">
        <v>471.13632354574207</v>
      </c>
      <c r="D779" s="94">
        <v>473.16908263361353</v>
      </c>
      <c r="E779" s="94">
        <v>5017782.8749399669</v>
      </c>
      <c r="F779" s="94" t="s">
        <v>813</v>
      </c>
      <c r="G779" s="25">
        <f t="shared" si="26"/>
        <v>2.6068278033826164E-3</v>
      </c>
      <c r="I779" s="94">
        <v>2.5499999999999998</v>
      </c>
      <c r="J779" s="94">
        <v>2.56</v>
      </c>
      <c r="K779" s="94">
        <v>2.4700000000000002</v>
      </c>
      <c r="L779" s="94">
        <v>2.5299999999999998</v>
      </c>
      <c r="M779" s="94">
        <v>1130265</v>
      </c>
      <c r="N779" s="94" t="s">
        <v>813</v>
      </c>
      <c r="O779" s="25">
        <f t="shared" si="27"/>
        <v>7.905138339920903E-3</v>
      </c>
    </row>
    <row r="780" spans="1:15">
      <c r="A780" s="94">
        <v>470.29756372793105</v>
      </c>
      <c r="B780" s="94">
        <v>473.0309339577388</v>
      </c>
      <c r="C780" s="94">
        <v>470.12981176436887</v>
      </c>
      <c r="D780" s="94">
        <v>472.72503331830183</v>
      </c>
      <c r="E780" s="94">
        <v>8181694.6332853744</v>
      </c>
      <c r="F780" s="94" t="s">
        <v>814</v>
      </c>
      <c r="G780" s="25">
        <f t="shared" si="26"/>
        <v>-5.1350561516302351E-3</v>
      </c>
      <c r="I780" s="94">
        <v>2.5099999999999998</v>
      </c>
      <c r="J780" s="94">
        <v>2.6</v>
      </c>
      <c r="K780" s="94">
        <v>2.5</v>
      </c>
      <c r="L780" s="94">
        <v>2.5299999999999998</v>
      </c>
      <c r="M780" s="94">
        <v>1838521</v>
      </c>
      <c r="N780" s="94" t="s">
        <v>814</v>
      </c>
      <c r="O780" s="25">
        <f t="shared" si="27"/>
        <v>-7.905138339920903E-3</v>
      </c>
    </row>
    <row r="781" spans="1:15">
      <c r="A781" s="94">
        <v>471.61984391130375</v>
      </c>
      <c r="B781" s="94">
        <v>472.45860372911483</v>
      </c>
      <c r="C781" s="94">
        <v>471.23500117136695</v>
      </c>
      <c r="D781" s="94">
        <v>471.41262089749165</v>
      </c>
      <c r="E781" s="94">
        <v>6162771.9166257447</v>
      </c>
      <c r="F781" s="94" t="s">
        <v>815</v>
      </c>
      <c r="G781" s="25">
        <f t="shared" si="26"/>
        <v>4.3957884160494842E-4</v>
      </c>
      <c r="I781" s="94">
        <v>2.4900000000000002</v>
      </c>
      <c r="J781" s="94">
        <v>2.54</v>
      </c>
      <c r="K781" s="94">
        <v>2.42</v>
      </c>
      <c r="L781" s="94">
        <v>2.42</v>
      </c>
      <c r="M781" s="94">
        <v>1924609</v>
      </c>
      <c r="N781" s="94" t="s">
        <v>815</v>
      </c>
      <c r="O781" s="25">
        <f t="shared" si="27"/>
        <v>2.8925619834710758E-2</v>
      </c>
    </row>
    <row r="782" spans="1:15">
      <c r="A782" s="94">
        <v>472.84344646905163</v>
      </c>
      <c r="B782" s="94">
        <v>473.96837140117464</v>
      </c>
      <c r="C782" s="94">
        <v>472.48820701680222</v>
      </c>
      <c r="D782" s="94">
        <v>473.52432208586293</v>
      </c>
      <c r="E782" s="94">
        <v>5960320.7543333527</v>
      </c>
      <c r="F782" s="94" t="s">
        <v>816</v>
      </c>
      <c r="G782" s="25">
        <f t="shared" si="26"/>
        <v>-1.4378894283868515E-3</v>
      </c>
      <c r="I782" s="94">
        <v>2.39</v>
      </c>
      <c r="J782" s="94">
        <v>2.4750000000000001</v>
      </c>
      <c r="K782" s="94">
        <v>2.39</v>
      </c>
      <c r="L782" s="94">
        <v>2.4700000000000002</v>
      </c>
      <c r="M782" s="94">
        <v>846898</v>
      </c>
      <c r="N782" s="94" t="s">
        <v>816</v>
      </c>
      <c r="O782" s="25">
        <f t="shared" si="27"/>
        <v>-3.2388663967611309E-2</v>
      </c>
    </row>
    <row r="783" spans="1:15">
      <c r="A783" s="94">
        <v>473.46225385934514</v>
      </c>
      <c r="B783" s="94">
        <v>475.31636489814201</v>
      </c>
      <c r="C783" s="94">
        <v>473.32454799969969</v>
      </c>
      <c r="D783" s="94">
        <v>474.71144272898545</v>
      </c>
      <c r="E783" s="94">
        <v>5128722.9303001203</v>
      </c>
      <c r="F783" s="94" t="s">
        <v>817</v>
      </c>
      <c r="G783" s="25">
        <f t="shared" si="26"/>
        <v>-2.6314698934979397E-3</v>
      </c>
      <c r="I783" s="94">
        <v>2.4700000000000002</v>
      </c>
      <c r="J783" s="94">
        <v>2.48</v>
      </c>
      <c r="K783" s="94">
        <v>2.3849999999999998</v>
      </c>
      <c r="L783" s="94">
        <v>2.4500000000000002</v>
      </c>
      <c r="M783" s="94">
        <v>1765524</v>
      </c>
      <c r="N783" s="94" t="s">
        <v>817</v>
      </c>
      <c r="O783" s="25">
        <f t="shared" si="27"/>
        <v>8.1632653061225469E-3</v>
      </c>
    </row>
    <row r="784" spans="1:15">
      <c r="A784" s="94">
        <v>471.88847260625494</v>
      </c>
      <c r="B784" s="94">
        <v>472.1540481927139</v>
      </c>
      <c r="C784" s="94">
        <v>467.14745658132085</v>
      </c>
      <c r="D784" s="94">
        <v>467.74746068406148</v>
      </c>
      <c r="E784" s="94">
        <v>6282302.3089051498</v>
      </c>
      <c r="F784" s="94" t="s">
        <v>818</v>
      </c>
      <c r="G784" s="25">
        <f t="shared" si="26"/>
        <v>8.8530933254824529E-3</v>
      </c>
      <c r="I784" s="94">
        <v>2.42</v>
      </c>
      <c r="J784" s="94">
        <v>2.4500000000000002</v>
      </c>
      <c r="K784" s="94">
        <v>2.31</v>
      </c>
      <c r="L784" s="94">
        <v>2.34</v>
      </c>
      <c r="M784" s="94">
        <v>1795715</v>
      </c>
      <c r="N784" s="94" t="s">
        <v>818</v>
      </c>
      <c r="O784" s="25">
        <f t="shared" si="27"/>
        <v>3.4188034188034289E-2</v>
      </c>
    </row>
    <row r="785" spans="1:15">
      <c r="A785" s="94">
        <v>467.80647748105235</v>
      </c>
      <c r="B785" s="94">
        <v>467.94418334069775</v>
      </c>
      <c r="C785" s="94">
        <v>463.56710423054074</v>
      </c>
      <c r="D785" s="94">
        <v>464.46219231823574</v>
      </c>
      <c r="E785" s="94">
        <v>4626053.8341683242</v>
      </c>
      <c r="F785" s="94" t="s">
        <v>819</v>
      </c>
      <c r="G785" s="25">
        <f t="shared" si="26"/>
        <v>7.2003388394747958E-3</v>
      </c>
      <c r="I785" s="94">
        <v>2.36</v>
      </c>
      <c r="J785" s="94">
        <v>2.4</v>
      </c>
      <c r="K785" s="94">
        <v>2.19</v>
      </c>
      <c r="L785" s="94">
        <v>2.19</v>
      </c>
      <c r="M785" s="94">
        <v>1862307</v>
      </c>
      <c r="N785" s="94" t="s">
        <v>819</v>
      </c>
      <c r="O785" s="25">
        <f t="shared" si="27"/>
        <v>7.7625570776255648E-2</v>
      </c>
    </row>
    <row r="786" spans="1:15">
      <c r="A786" s="94">
        <v>465.1999022806217</v>
      </c>
      <c r="B786" s="94">
        <v>467.49073761715113</v>
      </c>
      <c r="C786" s="94">
        <v>464.75727630319011</v>
      </c>
      <c r="D786" s="94">
        <v>466.1835155638031</v>
      </c>
      <c r="E786" s="94">
        <v>4004729.366056887</v>
      </c>
      <c r="F786" s="94" t="s">
        <v>820</v>
      </c>
      <c r="G786" s="25">
        <f t="shared" si="26"/>
        <v>-2.1099272075114639E-3</v>
      </c>
      <c r="I786" s="94">
        <v>2.21</v>
      </c>
      <c r="J786" s="94">
        <v>2.2400000000000002</v>
      </c>
      <c r="K786" s="94">
        <v>2.17</v>
      </c>
      <c r="L786" s="94">
        <v>2.21</v>
      </c>
      <c r="M786" s="94">
        <v>899110</v>
      </c>
      <c r="N786" s="94" t="s">
        <v>820</v>
      </c>
      <c r="O786" s="25">
        <f t="shared" si="27"/>
        <v>0</v>
      </c>
    </row>
    <row r="787" spans="1:15">
      <c r="A787" s="94">
        <v>462.30807922806855</v>
      </c>
      <c r="B787" s="94">
        <v>464.05045179789602</v>
      </c>
      <c r="C787" s="94">
        <v>461.03931645409295</v>
      </c>
      <c r="D787" s="94">
        <v>462.70152454134114</v>
      </c>
      <c r="E787" s="94">
        <v>6920491.128366488</v>
      </c>
      <c r="F787" s="94" t="s">
        <v>821</v>
      </c>
      <c r="G787" s="25">
        <f t="shared" si="26"/>
        <v>-8.5032205948010198E-4</v>
      </c>
      <c r="I787" s="94">
        <v>2.21</v>
      </c>
      <c r="J787" s="94">
        <v>2.23</v>
      </c>
      <c r="K787" s="94">
        <v>2.145</v>
      </c>
      <c r="L787" s="94">
        <v>2.17</v>
      </c>
      <c r="M787" s="94">
        <v>2297928</v>
      </c>
      <c r="N787" s="94" t="s">
        <v>821</v>
      </c>
      <c r="O787" s="25">
        <f t="shared" si="27"/>
        <v>1.8433179723502224E-2</v>
      </c>
    </row>
    <row r="788" spans="1:15">
      <c r="A788" s="94">
        <v>465.51465853123977</v>
      </c>
      <c r="B788" s="94">
        <v>467.53598382817745</v>
      </c>
      <c r="C788" s="94">
        <v>462.74086907266832</v>
      </c>
      <c r="D788" s="94">
        <v>467.37368763645253</v>
      </c>
      <c r="E788" s="94">
        <v>5238827.1774181742</v>
      </c>
      <c r="F788" s="94" t="s">
        <v>822</v>
      </c>
      <c r="G788" s="25">
        <f t="shared" si="26"/>
        <v>-3.9776075427224722E-3</v>
      </c>
      <c r="I788" s="94">
        <v>2.16</v>
      </c>
      <c r="J788" s="94">
        <v>2.19</v>
      </c>
      <c r="K788" s="94">
        <v>2.13</v>
      </c>
      <c r="L788" s="94">
        <v>2.19</v>
      </c>
      <c r="M788" s="94">
        <v>1123529</v>
      </c>
      <c r="N788" s="94" t="s">
        <v>822</v>
      </c>
      <c r="O788" s="25">
        <f t="shared" si="27"/>
        <v>-1.3698630136986245E-2</v>
      </c>
    </row>
    <row r="789" spans="1:15">
      <c r="A789" s="94">
        <v>466.5376163457484</v>
      </c>
      <c r="B789" s="94">
        <v>467.67860775423878</v>
      </c>
      <c r="C789" s="94">
        <v>465.15072161646265</v>
      </c>
      <c r="D789" s="94">
        <v>467.52122962892975</v>
      </c>
      <c r="E789" s="94">
        <v>3603576.792431822</v>
      </c>
      <c r="F789" s="94" t="s">
        <v>823</v>
      </c>
      <c r="G789" s="25">
        <f t="shared" si="26"/>
        <v>-2.1038900927815574E-3</v>
      </c>
      <c r="I789" s="94">
        <v>2.17</v>
      </c>
      <c r="J789" s="94">
        <v>2.23</v>
      </c>
      <c r="K789" s="94">
        <v>2.13</v>
      </c>
      <c r="L789" s="94">
        <v>2.14</v>
      </c>
      <c r="M789" s="94">
        <v>827923</v>
      </c>
      <c r="N789" s="94" t="s">
        <v>823</v>
      </c>
      <c r="O789" s="25">
        <f t="shared" si="27"/>
        <v>1.4018691588784993E-2</v>
      </c>
    </row>
    <row r="790" spans="1:15">
      <c r="A790" s="94">
        <v>467.2458179096389</v>
      </c>
      <c r="B790" s="94">
        <v>467.75729681689324</v>
      </c>
      <c r="C790" s="94">
        <v>461.87528938346873</v>
      </c>
      <c r="D790" s="94">
        <v>464.18678059894495</v>
      </c>
      <c r="E790" s="94">
        <v>4891186.4878841415</v>
      </c>
      <c r="F790" s="94" t="s">
        <v>824</v>
      </c>
      <c r="G790" s="25">
        <f t="shared" si="26"/>
        <v>6.5901000169519275E-3</v>
      </c>
      <c r="I790" s="94">
        <v>2.15</v>
      </c>
      <c r="J790" s="94">
        <v>2.2000000000000002</v>
      </c>
      <c r="K790" s="94">
        <v>2.14</v>
      </c>
      <c r="L790" s="94">
        <v>2.2000000000000002</v>
      </c>
      <c r="M790" s="94">
        <v>997972</v>
      </c>
      <c r="N790" s="94" t="s">
        <v>824</v>
      </c>
      <c r="O790" s="25">
        <f t="shared" si="27"/>
        <v>-2.2727272727272818E-2</v>
      </c>
    </row>
    <row r="791" spans="1:15">
      <c r="A791" s="94">
        <v>462.29824309523673</v>
      </c>
      <c r="B791" s="94">
        <v>462.74578713908426</v>
      </c>
      <c r="C791" s="94">
        <v>459.73101242613342</v>
      </c>
      <c r="D791" s="94">
        <v>461.51135246869165</v>
      </c>
      <c r="E791" s="94">
        <v>5412560.0894497139</v>
      </c>
      <c r="F791" s="94" t="s">
        <v>825</v>
      </c>
      <c r="G791" s="25">
        <f t="shared" si="26"/>
        <v>1.7050298380221207E-3</v>
      </c>
      <c r="I791" s="94">
        <v>2.2000000000000002</v>
      </c>
      <c r="J791" s="94">
        <v>2.2999999999999998</v>
      </c>
      <c r="K791" s="94">
        <v>2.1949999999999998</v>
      </c>
      <c r="L791" s="94">
        <v>2.2400000000000002</v>
      </c>
      <c r="M791" s="94">
        <v>941612</v>
      </c>
      <c r="N791" s="94" t="s">
        <v>825</v>
      </c>
      <c r="O791" s="25">
        <f t="shared" si="27"/>
        <v>-1.7857142857142905E-2</v>
      </c>
    </row>
    <row r="792" spans="1:15">
      <c r="A792" s="94">
        <v>462.68185227567744</v>
      </c>
      <c r="B792" s="94">
        <v>468.49441661130936</v>
      </c>
      <c r="C792" s="94">
        <v>462.1211927042641</v>
      </c>
      <c r="D792" s="94">
        <v>466.00646517283042</v>
      </c>
      <c r="E792" s="94">
        <v>6390341.7201423468</v>
      </c>
      <c r="F792" s="94" t="s">
        <v>826</v>
      </c>
      <c r="G792" s="25">
        <f t="shared" si="26"/>
        <v>-7.1342634611731848E-3</v>
      </c>
      <c r="I792" s="94">
        <v>2.2400000000000002</v>
      </c>
      <c r="J792" s="94">
        <v>2.36</v>
      </c>
      <c r="K792" s="94">
        <v>2.2400000000000002</v>
      </c>
      <c r="L792" s="94">
        <v>2.27</v>
      </c>
      <c r="M792" s="94">
        <v>1129210</v>
      </c>
      <c r="N792" s="94" t="s">
        <v>826</v>
      </c>
      <c r="O792" s="25">
        <f t="shared" si="27"/>
        <v>-1.3215859030836885E-2</v>
      </c>
    </row>
    <row r="793" spans="1:15">
      <c r="A793" s="94">
        <v>465.50482239840795</v>
      </c>
      <c r="B793" s="94">
        <v>466.4195827517666</v>
      </c>
      <c r="C793" s="94">
        <v>463.06546145611816</v>
      </c>
      <c r="D793" s="94">
        <v>463.90153274682234</v>
      </c>
      <c r="E793" s="94">
        <v>7268915.6625406686</v>
      </c>
      <c r="F793" s="94" t="s">
        <v>827</v>
      </c>
      <c r="G793" s="25">
        <f t="shared" si="26"/>
        <v>3.4560990607044317E-3</v>
      </c>
      <c r="I793" s="94">
        <v>2.2200000000000002</v>
      </c>
      <c r="J793" s="94">
        <v>2.2400000000000002</v>
      </c>
      <c r="K793" s="94">
        <v>2.1600999999999999</v>
      </c>
      <c r="L793" s="94">
        <v>2.2000000000000002</v>
      </c>
      <c r="M793" s="94">
        <v>626135</v>
      </c>
      <c r="N793" s="94" t="s">
        <v>827</v>
      </c>
      <c r="O793" s="25">
        <f t="shared" si="27"/>
        <v>9.0909090909090384E-3</v>
      </c>
    </row>
    <row r="794" spans="1:15">
      <c r="A794" s="94">
        <v>460.94085676444649</v>
      </c>
      <c r="B794" s="94">
        <v>462.94742786213646</v>
      </c>
      <c r="C794" s="94">
        <v>459.66206113498242</v>
      </c>
      <c r="D794" s="94">
        <v>461.56053313285071</v>
      </c>
      <c r="E794" s="94">
        <v>5413763.8145520939</v>
      </c>
      <c r="F794" s="94" t="s">
        <v>828</v>
      </c>
      <c r="G794" s="25">
        <f t="shared" si="26"/>
        <v>-1.3425679275438362E-3</v>
      </c>
      <c r="I794" s="94">
        <v>2.17</v>
      </c>
      <c r="J794" s="94">
        <v>2.23</v>
      </c>
      <c r="K794" s="94">
        <v>2.145</v>
      </c>
      <c r="L794" s="94">
        <v>2.2000000000000002</v>
      </c>
      <c r="M794" s="94">
        <v>729304</v>
      </c>
      <c r="N794" s="94" t="s">
        <v>828</v>
      </c>
      <c r="O794" s="25">
        <f t="shared" si="27"/>
        <v>-1.363636363636378E-2</v>
      </c>
    </row>
    <row r="795" spans="1:15">
      <c r="A795" s="94">
        <v>458.51133195498852</v>
      </c>
      <c r="B795" s="94">
        <v>461.68840285966428</v>
      </c>
      <c r="C795" s="94">
        <v>456.4555801931395</v>
      </c>
      <c r="D795" s="94">
        <v>461.26544914789633</v>
      </c>
      <c r="E795" s="94">
        <v>4693412.6235755878</v>
      </c>
      <c r="F795" s="94" t="s">
        <v>829</v>
      </c>
      <c r="G795" s="25">
        <f t="shared" si="26"/>
        <v>-5.9707857980595413E-3</v>
      </c>
      <c r="I795" s="94">
        <v>2.17</v>
      </c>
      <c r="J795" s="94">
        <v>2.23</v>
      </c>
      <c r="K795" s="94">
        <v>2.13</v>
      </c>
      <c r="L795" s="94">
        <v>2.13</v>
      </c>
      <c r="M795" s="94">
        <v>2089023</v>
      </c>
      <c r="N795" s="94" t="s">
        <v>829</v>
      </c>
      <c r="O795" s="25">
        <f t="shared" si="27"/>
        <v>1.8779342723004744E-2</v>
      </c>
    </row>
    <row r="796" spans="1:15">
      <c r="A796" s="94">
        <v>463.1539866516045</v>
      </c>
      <c r="B796" s="94">
        <v>464.85563763150827</v>
      </c>
      <c r="C796" s="94">
        <v>462.88841106514559</v>
      </c>
      <c r="D796" s="94">
        <v>462.89824719797735</v>
      </c>
      <c r="E796" s="94">
        <v>4036385.0995981134</v>
      </c>
      <c r="F796" s="94" t="s">
        <v>830</v>
      </c>
      <c r="G796" s="25">
        <f t="shared" ref="G796:G859" si="28">A796/D796-1</f>
        <v>5.5247444805672785E-4</v>
      </c>
      <c r="I796" s="94">
        <v>2.15</v>
      </c>
      <c r="J796" s="94">
        <v>2.2799999999999998</v>
      </c>
      <c r="K796" s="94">
        <v>2.15</v>
      </c>
      <c r="L796" s="94">
        <v>2.2599999999999998</v>
      </c>
      <c r="M796" s="94">
        <v>882687</v>
      </c>
      <c r="N796" s="94" t="s">
        <v>830</v>
      </c>
      <c r="O796" s="25">
        <f t="shared" ref="O796:O859" si="29">I796/L796-1</f>
        <v>-4.8672566371681381E-2</v>
      </c>
    </row>
    <row r="797" spans="1:15">
      <c r="A797" s="94">
        <v>463.70481009018607</v>
      </c>
      <c r="B797" s="94">
        <v>464.03923860646773</v>
      </c>
      <c r="C797" s="94">
        <v>459.77035695746065</v>
      </c>
      <c r="D797" s="94">
        <v>460.16380227073319</v>
      </c>
      <c r="E797" s="94">
        <v>4920044.3738901056</v>
      </c>
      <c r="F797" s="94" t="s">
        <v>831</v>
      </c>
      <c r="G797" s="25">
        <f t="shared" si="28"/>
        <v>7.6951029220015954E-3</v>
      </c>
      <c r="I797" s="94">
        <v>2.25</v>
      </c>
      <c r="J797" s="94">
        <v>2.2599999999999998</v>
      </c>
      <c r="K797" s="94">
        <v>2.14</v>
      </c>
      <c r="L797" s="94">
        <v>2.1800000000000002</v>
      </c>
      <c r="M797" s="94">
        <v>1376922</v>
      </c>
      <c r="N797" s="94" t="s">
        <v>831</v>
      </c>
      <c r="O797" s="25">
        <f t="shared" si="29"/>
        <v>3.2110091743119185E-2</v>
      </c>
    </row>
    <row r="798" spans="1:15">
      <c r="A798" s="94">
        <v>459.27855031587001</v>
      </c>
      <c r="B798" s="94">
        <v>460.81298703763292</v>
      </c>
      <c r="C798" s="94">
        <v>456.85886163924386</v>
      </c>
      <c r="D798" s="94">
        <v>459.31789484719724</v>
      </c>
      <c r="E798" s="94">
        <v>7455085.3728639456</v>
      </c>
      <c r="F798" s="94" t="s">
        <v>832</v>
      </c>
      <c r="G798" s="25">
        <f t="shared" si="28"/>
        <v>-8.5658607619332194E-5</v>
      </c>
      <c r="I798" s="94">
        <v>2.19</v>
      </c>
      <c r="J798" s="94">
        <v>2.2400000000000002</v>
      </c>
      <c r="K798" s="94">
        <v>2.15</v>
      </c>
      <c r="L798" s="94">
        <v>2.1800000000000002</v>
      </c>
      <c r="M798" s="94">
        <v>871025</v>
      </c>
      <c r="N798" s="94" t="s">
        <v>832</v>
      </c>
      <c r="O798" s="25">
        <f t="shared" si="29"/>
        <v>4.5871559633026138E-3</v>
      </c>
    </row>
    <row r="799" spans="1:15">
      <c r="A799" s="94">
        <v>457.58673546879805</v>
      </c>
      <c r="B799" s="94">
        <v>458.1965757043705</v>
      </c>
      <c r="C799" s="94">
        <v>456.50476085729855</v>
      </c>
      <c r="D799" s="94">
        <v>456.8785339049075</v>
      </c>
      <c r="E799" s="94">
        <v>2847259.2307231338</v>
      </c>
      <c r="F799" s="94" t="s">
        <v>833</v>
      </c>
      <c r="G799" s="25">
        <f t="shared" si="28"/>
        <v>1.55008719240457E-3</v>
      </c>
      <c r="I799" s="94">
        <v>2.13</v>
      </c>
      <c r="J799" s="94">
        <v>2.21</v>
      </c>
      <c r="K799" s="94">
        <v>2.13</v>
      </c>
      <c r="L799" s="94">
        <v>2.2000000000000002</v>
      </c>
      <c r="M799" s="94">
        <v>786673</v>
      </c>
      <c r="N799" s="94" t="s">
        <v>833</v>
      </c>
      <c r="O799" s="25">
        <f t="shared" si="29"/>
        <v>-3.1818181818181968E-2</v>
      </c>
    </row>
    <row r="800" spans="1:15">
      <c r="A800" s="94">
        <v>458.29493703268861</v>
      </c>
      <c r="B800" s="94">
        <v>458.48182355649311</v>
      </c>
      <c r="C800" s="94">
        <v>456.30803820066234</v>
      </c>
      <c r="D800" s="94">
        <v>458.0785421103887</v>
      </c>
      <c r="E800" s="94">
        <v>3646700.4475565357</v>
      </c>
      <c r="F800" s="94" t="s">
        <v>834</v>
      </c>
      <c r="G800" s="25">
        <f t="shared" si="28"/>
        <v>4.7239698524825791E-4</v>
      </c>
      <c r="I800" s="94">
        <v>2.23</v>
      </c>
      <c r="J800" s="94">
        <v>2.27</v>
      </c>
      <c r="K800" s="94">
        <v>2.1899000000000002</v>
      </c>
      <c r="L800" s="94">
        <v>2.2400000000000002</v>
      </c>
      <c r="M800" s="94">
        <v>715992</v>
      </c>
      <c r="N800" s="94" t="s">
        <v>834</v>
      </c>
      <c r="O800" s="25">
        <f t="shared" si="29"/>
        <v>-4.4642857142858094E-3</v>
      </c>
    </row>
    <row r="801" spans="1:15">
      <c r="A801" s="94">
        <v>457.44902960915266</v>
      </c>
      <c r="B801" s="94">
        <v>459.92773508276963</v>
      </c>
      <c r="C801" s="94">
        <v>457.32115988233909</v>
      </c>
      <c r="D801" s="94">
        <v>459.53428976949715</v>
      </c>
      <c r="E801" s="94">
        <v>3508293.4106368246</v>
      </c>
      <c r="F801" s="94" t="s">
        <v>835</v>
      </c>
      <c r="G801" s="25">
        <f t="shared" si="28"/>
        <v>-4.5377683597680463E-3</v>
      </c>
      <c r="I801" s="94">
        <v>2.21</v>
      </c>
      <c r="J801" s="94">
        <v>2.2200000000000002</v>
      </c>
      <c r="K801" s="94">
        <v>2.15</v>
      </c>
      <c r="L801" s="94">
        <v>2.15</v>
      </c>
      <c r="M801" s="94">
        <v>1043098</v>
      </c>
      <c r="N801" s="94" t="s">
        <v>835</v>
      </c>
      <c r="O801" s="25">
        <f t="shared" si="29"/>
        <v>2.7906976744185963E-2</v>
      </c>
    </row>
    <row r="802" spans="1:15">
      <c r="A802" s="94">
        <v>459.13100832339273</v>
      </c>
      <c r="B802" s="94">
        <v>461.18676008524181</v>
      </c>
      <c r="C802" s="94">
        <v>458.4530036872959</v>
      </c>
      <c r="D802" s="94">
        <v>460.41954172436033</v>
      </c>
      <c r="E802" s="94">
        <v>4118103.1908178921</v>
      </c>
      <c r="F802" s="94" t="s">
        <v>836</v>
      </c>
      <c r="G802" s="25">
        <f t="shared" si="28"/>
        <v>-2.7986071054711958E-3</v>
      </c>
      <c r="I802" s="94">
        <v>2.16</v>
      </c>
      <c r="J802" s="94">
        <v>2.2000000000000002</v>
      </c>
      <c r="K802" s="94">
        <v>2.13</v>
      </c>
      <c r="L802" s="94">
        <v>2.16</v>
      </c>
      <c r="M802" s="94">
        <v>1806983</v>
      </c>
      <c r="N802" s="94" t="s">
        <v>836</v>
      </c>
      <c r="O802" s="25">
        <f t="shared" si="29"/>
        <v>0</v>
      </c>
    </row>
    <row r="803" spans="1:15">
      <c r="A803" s="94">
        <v>458.9244495339247</v>
      </c>
      <c r="B803" s="94">
        <v>459.67199562914249</v>
      </c>
      <c r="C803" s="94">
        <v>454.73917501398802</v>
      </c>
      <c r="D803" s="94">
        <v>455.62934503526719</v>
      </c>
      <c r="E803" s="94">
        <v>4400648.1754699135</v>
      </c>
      <c r="F803" s="94" t="s">
        <v>837</v>
      </c>
      <c r="G803" s="25">
        <f t="shared" si="28"/>
        <v>7.2319848020379052E-3</v>
      </c>
      <c r="I803" s="94">
        <v>2.16</v>
      </c>
      <c r="J803" s="94">
        <v>2.19</v>
      </c>
      <c r="K803" s="94">
        <v>2.14</v>
      </c>
      <c r="L803" s="94">
        <v>2.15</v>
      </c>
      <c r="M803" s="94">
        <v>1106826</v>
      </c>
      <c r="N803" s="94" t="s">
        <v>837</v>
      </c>
      <c r="O803" s="25">
        <f t="shared" si="29"/>
        <v>4.6511627906977715E-3</v>
      </c>
    </row>
    <row r="804" spans="1:15">
      <c r="A804" s="94">
        <v>449.48176201538371</v>
      </c>
      <c r="B804" s="94">
        <v>449.62930400786092</v>
      </c>
      <c r="C804" s="94">
        <v>446.16698525106256</v>
      </c>
      <c r="D804" s="94">
        <v>447.85880009813445</v>
      </c>
      <c r="E804" s="94">
        <v>4293433.275261458</v>
      </c>
      <c r="F804" s="94" t="s">
        <v>838</v>
      </c>
      <c r="G804" s="25">
        <f t="shared" si="28"/>
        <v>3.6238250021962681E-3</v>
      </c>
      <c r="I804" s="94">
        <v>2.16</v>
      </c>
      <c r="J804" s="94">
        <v>2.2000000000000002</v>
      </c>
      <c r="K804" s="94">
        <v>2.14</v>
      </c>
      <c r="L804" s="94">
        <v>2.2000000000000002</v>
      </c>
      <c r="M804" s="94">
        <v>934295</v>
      </c>
      <c r="N804" s="94" t="s">
        <v>838</v>
      </c>
      <c r="O804" s="25">
        <f t="shared" si="29"/>
        <v>-1.8181818181818188E-2</v>
      </c>
    </row>
    <row r="805" spans="1:15">
      <c r="A805" s="94">
        <v>449.02929990512024</v>
      </c>
      <c r="B805" s="94">
        <v>450.55390049405139</v>
      </c>
      <c r="C805" s="94">
        <v>446.98338427610304</v>
      </c>
      <c r="D805" s="94">
        <v>449.94406025847894</v>
      </c>
      <c r="E805" s="94">
        <v>5395193.508200678</v>
      </c>
      <c r="F805" s="94" t="s">
        <v>839</v>
      </c>
      <c r="G805" s="25">
        <f t="shared" si="28"/>
        <v>-2.0330535152152107E-3</v>
      </c>
      <c r="I805" s="94">
        <v>2.2200000000000002</v>
      </c>
      <c r="J805" s="94">
        <v>2.27</v>
      </c>
      <c r="K805" s="94">
        <v>2.19</v>
      </c>
      <c r="L805" s="94">
        <v>2.25</v>
      </c>
      <c r="M805" s="94">
        <v>764175</v>
      </c>
      <c r="N805" s="94" t="s">
        <v>839</v>
      </c>
      <c r="O805" s="25">
        <f t="shared" si="29"/>
        <v>-1.3333333333333197E-2</v>
      </c>
    </row>
    <row r="806" spans="1:15">
      <c r="A806" s="94">
        <v>451.50800537873727</v>
      </c>
      <c r="B806" s="94">
        <v>454.5768788222631</v>
      </c>
      <c r="C806" s="94">
        <v>450.888329010333</v>
      </c>
      <c r="D806" s="94">
        <v>453.52441260925906</v>
      </c>
      <c r="E806" s="94">
        <v>5619986.1210910352</v>
      </c>
      <c r="F806" s="94" t="s">
        <v>840</v>
      </c>
      <c r="G806" s="25">
        <f t="shared" si="28"/>
        <v>-4.4460831092218989E-3</v>
      </c>
      <c r="I806" s="94">
        <v>2.2599999999999998</v>
      </c>
      <c r="J806" s="94">
        <v>2.2799999999999998</v>
      </c>
      <c r="K806" s="94">
        <v>2.2149999999999999</v>
      </c>
      <c r="L806" s="94">
        <v>2.27</v>
      </c>
      <c r="M806" s="94">
        <v>949421</v>
      </c>
      <c r="N806" s="94" t="s">
        <v>840</v>
      </c>
      <c r="O806" s="25">
        <f t="shared" si="29"/>
        <v>-4.4052863436124801E-3</v>
      </c>
    </row>
    <row r="807" spans="1:15">
      <c r="A807" s="94">
        <v>453.82933272704526</v>
      </c>
      <c r="B807" s="94">
        <v>453.97687471952253</v>
      </c>
      <c r="C807" s="94">
        <v>450.91783740882846</v>
      </c>
      <c r="D807" s="94">
        <v>451.38013565192369</v>
      </c>
      <c r="E807" s="94">
        <v>5790599.9211174203</v>
      </c>
      <c r="F807" s="94" t="s">
        <v>841</v>
      </c>
      <c r="G807" s="25">
        <f t="shared" si="28"/>
        <v>5.4260187404662208E-3</v>
      </c>
      <c r="I807" s="94">
        <v>2.29</v>
      </c>
      <c r="J807" s="94">
        <v>2.34</v>
      </c>
      <c r="K807" s="94">
        <v>2.25</v>
      </c>
      <c r="L807" s="94">
        <v>2.29</v>
      </c>
      <c r="M807" s="94">
        <v>1070323</v>
      </c>
      <c r="N807" s="94" t="s">
        <v>841</v>
      </c>
      <c r="O807" s="25">
        <f t="shared" si="29"/>
        <v>0</v>
      </c>
    </row>
    <row r="808" spans="1:15">
      <c r="A808" s="94">
        <v>450.78013154918312</v>
      </c>
      <c r="B808" s="94">
        <v>451.15390459679202</v>
      </c>
      <c r="C808" s="94">
        <v>446.95387587760757</v>
      </c>
      <c r="D808" s="94">
        <v>449.09323476852705</v>
      </c>
      <c r="E808" s="94">
        <v>5717703.3862433787</v>
      </c>
      <c r="F808" s="94" t="s">
        <v>842</v>
      </c>
      <c r="G808" s="25">
        <f t="shared" si="28"/>
        <v>3.7562284400154411E-3</v>
      </c>
      <c r="I808" s="94">
        <v>2.2599999999999998</v>
      </c>
      <c r="J808" s="94">
        <v>2.2599999999999998</v>
      </c>
      <c r="K808" s="94">
        <v>2.1800000000000002</v>
      </c>
      <c r="L808" s="94">
        <v>2.2200000000000002</v>
      </c>
      <c r="M808" s="94">
        <v>710765</v>
      </c>
      <c r="N808" s="94" t="s">
        <v>842</v>
      </c>
      <c r="O808" s="25">
        <f t="shared" si="29"/>
        <v>1.8018018018017834E-2</v>
      </c>
    </row>
    <row r="809" spans="1:15">
      <c r="A809" s="94">
        <v>446.53092216583963</v>
      </c>
      <c r="B809" s="94">
        <v>448.23257314574334</v>
      </c>
      <c r="C809" s="94">
        <v>443.60467264837507</v>
      </c>
      <c r="D809" s="94">
        <v>447.03256494026215</v>
      </c>
      <c r="E809" s="94">
        <v>8288056.0270930398</v>
      </c>
      <c r="F809" s="94" t="s">
        <v>843</v>
      </c>
      <c r="G809" s="25">
        <f t="shared" si="28"/>
        <v>-1.1221615912692107E-3</v>
      </c>
      <c r="I809" s="94">
        <v>2.17</v>
      </c>
      <c r="J809" s="94">
        <v>2.29</v>
      </c>
      <c r="K809" s="94">
        <v>2.1549999999999998</v>
      </c>
      <c r="L809" s="94">
        <v>2.2799999999999998</v>
      </c>
      <c r="M809" s="94">
        <v>1197311</v>
      </c>
      <c r="N809" s="94" t="s">
        <v>843</v>
      </c>
      <c r="O809" s="25">
        <f t="shared" si="29"/>
        <v>-4.8245614035087647E-2</v>
      </c>
    </row>
    <row r="810" spans="1:15">
      <c r="A810" s="94">
        <v>452.91457237368661</v>
      </c>
      <c r="B810" s="94">
        <v>455.15721065934014</v>
      </c>
      <c r="C810" s="94">
        <v>452.21620694262788</v>
      </c>
      <c r="D810" s="94">
        <v>453.06211436616383</v>
      </c>
      <c r="E810" s="94">
        <v>4640271.8202804755</v>
      </c>
      <c r="F810" s="94" t="s">
        <v>844</v>
      </c>
      <c r="G810" s="25">
        <f t="shared" si="28"/>
        <v>-3.2565510952864418E-4</v>
      </c>
      <c r="I810" s="94">
        <v>2.4</v>
      </c>
      <c r="J810" s="94">
        <v>2.42</v>
      </c>
      <c r="K810" s="94">
        <v>2.2799999999999998</v>
      </c>
      <c r="L810" s="94">
        <v>2.33</v>
      </c>
      <c r="M810" s="94">
        <v>1299643</v>
      </c>
      <c r="N810" s="94" t="s">
        <v>844</v>
      </c>
      <c r="O810" s="25">
        <f t="shared" si="29"/>
        <v>3.0042918454935563E-2</v>
      </c>
    </row>
    <row r="811" spans="1:15">
      <c r="A811" s="94">
        <v>453.1211311631547</v>
      </c>
      <c r="B811" s="94">
        <v>453.47523194509995</v>
      </c>
      <c r="C811" s="94">
        <v>450.66209795520132</v>
      </c>
      <c r="D811" s="94">
        <v>451.02603486997845</v>
      </c>
      <c r="E811" s="94">
        <v>4069276.0746928803</v>
      </c>
      <c r="F811" s="94" t="s">
        <v>845</v>
      </c>
      <c r="G811" s="25">
        <f t="shared" si="28"/>
        <v>4.6451781742049558E-3</v>
      </c>
      <c r="I811" s="94">
        <v>2.3199999999999998</v>
      </c>
      <c r="J811" s="94">
        <v>2.3250000000000002</v>
      </c>
      <c r="K811" s="94">
        <v>2.2000000000000002</v>
      </c>
      <c r="L811" s="94">
        <v>2.23</v>
      </c>
      <c r="M811" s="94">
        <v>1126300</v>
      </c>
      <c r="N811" s="94" t="s">
        <v>845</v>
      </c>
      <c r="O811" s="25">
        <f t="shared" si="29"/>
        <v>4.0358744394618729E-2</v>
      </c>
    </row>
    <row r="812" spans="1:15">
      <c r="A812" s="94">
        <v>450.56373662688316</v>
      </c>
      <c r="B812" s="94">
        <v>450.8194760805103</v>
      </c>
      <c r="C812" s="94">
        <v>449.54077881237453</v>
      </c>
      <c r="D812" s="94">
        <v>450.30799717325601</v>
      </c>
      <c r="E812" s="94">
        <v>4254306.1094758129</v>
      </c>
      <c r="F812" s="94" t="s">
        <v>846</v>
      </c>
      <c r="G812" s="25">
        <f t="shared" si="28"/>
        <v>5.6792119001336516E-4</v>
      </c>
      <c r="I812" s="94">
        <v>2.21</v>
      </c>
      <c r="J812" s="94">
        <v>2.2400000000000002</v>
      </c>
      <c r="K812" s="94">
        <v>2.15</v>
      </c>
      <c r="L812" s="94">
        <v>2.17</v>
      </c>
      <c r="M812" s="94">
        <v>686743</v>
      </c>
      <c r="N812" s="94" t="s">
        <v>846</v>
      </c>
      <c r="O812" s="25">
        <f t="shared" si="29"/>
        <v>1.8433179723502224E-2</v>
      </c>
    </row>
    <row r="813" spans="1:15">
      <c r="A813" s="94">
        <v>450.25881650909696</v>
      </c>
      <c r="B813" s="94">
        <v>450.67193408803314</v>
      </c>
      <c r="C813" s="94">
        <v>447.80961943397534</v>
      </c>
      <c r="D813" s="94">
        <v>448.67519912317493</v>
      </c>
      <c r="E813" s="94">
        <v>6876091.5652996404</v>
      </c>
      <c r="F813" s="94" t="s">
        <v>847</v>
      </c>
      <c r="G813" s="25">
        <f t="shared" si="28"/>
        <v>3.5295407212541097E-3</v>
      </c>
      <c r="I813" s="94">
        <v>2.17</v>
      </c>
      <c r="J813" s="94">
        <v>2.2200000000000002</v>
      </c>
      <c r="K813" s="94">
        <v>2.14</v>
      </c>
      <c r="L813" s="94">
        <v>2.19</v>
      </c>
      <c r="M813" s="94">
        <v>616160</v>
      </c>
      <c r="N813" s="94" t="s">
        <v>847</v>
      </c>
      <c r="O813" s="25">
        <f t="shared" si="29"/>
        <v>-9.1324200913242004E-3</v>
      </c>
    </row>
    <row r="814" spans="1:15">
      <c r="A814" s="94">
        <v>446.5899389628305</v>
      </c>
      <c r="B814" s="94">
        <v>446.8456784164577</v>
      </c>
      <c r="C814" s="94">
        <v>444.79976278744044</v>
      </c>
      <c r="D814" s="94">
        <v>446.14731298539886</v>
      </c>
      <c r="E814" s="94">
        <v>4456630.5426680259</v>
      </c>
      <c r="F814" s="94" t="s">
        <v>848</v>
      </c>
      <c r="G814" s="25">
        <f t="shared" si="28"/>
        <v>9.9210723576881321E-4</v>
      </c>
      <c r="I814" s="94">
        <v>2.19</v>
      </c>
      <c r="J814" s="94">
        <v>2.2000000000000002</v>
      </c>
      <c r="K814" s="94">
        <v>2.1</v>
      </c>
      <c r="L814" s="94">
        <v>2.11</v>
      </c>
      <c r="M814" s="94">
        <v>1071526</v>
      </c>
      <c r="N814" s="94" t="s">
        <v>848</v>
      </c>
      <c r="O814" s="25">
        <f t="shared" si="29"/>
        <v>3.7914691943127909E-2</v>
      </c>
    </row>
    <row r="815" spans="1:15">
      <c r="A815" s="94">
        <v>445.2030442335448</v>
      </c>
      <c r="B815" s="94">
        <v>446.70797255681225</v>
      </c>
      <c r="C815" s="94">
        <v>443.1571286045276</v>
      </c>
      <c r="D815" s="94">
        <v>446.29485497787613</v>
      </c>
      <c r="E815" s="94">
        <v>7220171.9125122745</v>
      </c>
      <c r="F815" s="94" t="s">
        <v>849</v>
      </c>
      <c r="G815" s="25">
        <f t="shared" si="28"/>
        <v>-2.4463888215459084E-3</v>
      </c>
      <c r="I815" s="94">
        <v>2.15</v>
      </c>
      <c r="J815" s="94">
        <v>2.21</v>
      </c>
      <c r="K815" s="94">
        <v>2.13</v>
      </c>
      <c r="L815" s="94">
        <v>2.2000000000000002</v>
      </c>
      <c r="M815" s="94">
        <v>1430725</v>
      </c>
      <c r="N815" s="94" t="s">
        <v>849</v>
      </c>
      <c r="O815" s="25">
        <f t="shared" si="29"/>
        <v>-2.2727272727272818E-2</v>
      </c>
    </row>
    <row r="816" spans="1:15">
      <c r="A816" s="94">
        <v>446.83584228362582</v>
      </c>
      <c r="B816" s="94">
        <v>448.40962353671603</v>
      </c>
      <c r="C816" s="94">
        <v>442.32105731382342</v>
      </c>
      <c r="D816" s="94">
        <v>442.63581356444143</v>
      </c>
      <c r="E816" s="94">
        <v>6357663.2269279826</v>
      </c>
      <c r="F816" s="94" t="s">
        <v>850</v>
      </c>
      <c r="G816" s="25">
        <f t="shared" si="28"/>
        <v>9.488678029377029E-3</v>
      </c>
      <c r="I816" s="94">
        <v>2.25</v>
      </c>
      <c r="J816" s="94">
        <v>2.2799999999999998</v>
      </c>
      <c r="K816" s="94">
        <v>2.2200000000000002</v>
      </c>
      <c r="L816" s="94">
        <v>2.27</v>
      </c>
      <c r="M816" s="94">
        <v>753562</v>
      </c>
      <c r="N816" s="94" t="s">
        <v>850</v>
      </c>
      <c r="O816" s="25">
        <f t="shared" si="29"/>
        <v>-8.8105726872246271E-3</v>
      </c>
    </row>
    <row r="817" spans="1:15">
      <c r="A817" s="94">
        <v>442.29154891532801</v>
      </c>
      <c r="B817" s="94">
        <v>442.29154891532801</v>
      </c>
      <c r="C817" s="94">
        <v>437.36384308924602</v>
      </c>
      <c r="D817" s="94">
        <v>438.05217566481639</v>
      </c>
      <c r="E817" s="94">
        <v>6240623.3272352358</v>
      </c>
      <c r="F817" s="94" t="s">
        <v>851</v>
      </c>
      <c r="G817" s="25">
        <f t="shared" si="28"/>
        <v>9.6777815201527506E-3</v>
      </c>
      <c r="I817" s="94">
        <v>2.31</v>
      </c>
      <c r="J817" s="94">
        <v>2.36</v>
      </c>
      <c r="K817" s="94">
        <v>2.17</v>
      </c>
      <c r="L817" s="94">
        <v>2.31</v>
      </c>
      <c r="M817" s="94">
        <v>2330954</v>
      </c>
      <c r="N817" s="94" t="s">
        <v>851</v>
      </c>
      <c r="O817" s="25">
        <f t="shared" si="29"/>
        <v>0</v>
      </c>
    </row>
    <row r="818" spans="1:15">
      <c r="A818" s="94">
        <v>436.54724734154888</v>
      </c>
      <c r="B818" s="94">
        <v>442.09974432510762</v>
      </c>
      <c r="C818" s="94">
        <v>436.47839441172619</v>
      </c>
      <c r="D818" s="94">
        <v>441.68170867975556</v>
      </c>
      <c r="E818" s="94">
        <v>7226460.9695083257</v>
      </c>
      <c r="F818" s="94" t="s">
        <v>852</v>
      </c>
      <c r="G818" s="25">
        <f t="shared" si="28"/>
        <v>-1.1624799572421129E-2</v>
      </c>
      <c r="I818" s="94">
        <v>2.2599999999999998</v>
      </c>
      <c r="J818" s="94">
        <v>2.4</v>
      </c>
      <c r="K818" s="94">
        <v>2.2599999999999998</v>
      </c>
      <c r="L818" s="94">
        <v>2.34</v>
      </c>
      <c r="M818" s="94">
        <v>1062201</v>
      </c>
      <c r="N818" s="94" t="s">
        <v>852</v>
      </c>
      <c r="O818" s="25">
        <f t="shared" si="29"/>
        <v>-3.4188034188034178E-2</v>
      </c>
    </row>
    <row r="819" spans="1:15">
      <c r="A819" s="94">
        <v>443.77680497293187</v>
      </c>
      <c r="B819" s="94">
        <v>444.40631747416791</v>
      </c>
      <c r="C819" s="94">
        <v>443.05876727620944</v>
      </c>
      <c r="D819" s="94">
        <v>443.45221258948197</v>
      </c>
      <c r="E819" s="94">
        <v>3466761.8446255634</v>
      </c>
      <c r="F819" s="94" t="s">
        <v>853</v>
      </c>
      <c r="G819" s="25">
        <f t="shared" si="28"/>
        <v>7.3196699494282313E-4</v>
      </c>
      <c r="I819" s="94">
        <v>2.37</v>
      </c>
      <c r="J819" s="94">
        <v>2.4281000000000001</v>
      </c>
      <c r="K819" s="94">
        <v>2.33</v>
      </c>
      <c r="L819" s="94">
        <v>2.41</v>
      </c>
      <c r="M819" s="94">
        <v>787605</v>
      </c>
      <c r="N819" s="94" t="s">
        <v>853</v>
      </c>
      <c r="O819" s="25">
        <f t="shared" si="29"/>
        <v>-1.6597510373444035E-2</v>
      </c>
    </row>
    <row r="820" spans="1:15">
      <c r="A820" s="94">
        <v>444.09156122354989</v>
      </c>
      <c r="B820" s="94">
        <v>444.20939809487498</v>
      </c>
      <c r="C820" s="94">
        <v>440.37468334906418</v>
      </c>
      <c r="D820" s="94">
        <v>440.88498192037866</v>
      </c>
      <c r="E820" s="94">
        <v>4618941.2828032468</v>
      </c>
      <c r="F820" s="94" t="s">
        <v>854</v>
      </c>
      <c r="G820" s="25">
        <f t="shared" si="28"/>
        <v>7.2730517814514339E-3</v>
      </c>
      <c r="I820" s="94">
        <v>2.4500000000000002</v>
      </c>
      <c r="J820" s="94">
        <v>2.4598</v>
      </c>
      <c r="K820" s="94">
        <v>2.27</v>
      </c>
      <c r="L820" s="94">
        <v>2.2799999999999998</v>
      </c>
      <c r="M820" s="94">
        <v>1380247</v>
      </c>
      <c r="N820" s="94" t="s">
        <v>854</v>
      </c>
      <c r="O820" s="25">
        <f t="shared" si="29"/>
        <v>7.4561403508772051E-2</v>
      </c>
    </row>
    <row r="821" spans="1:15">
      <c r="A821" s="94">
        <v>440.88498192037866</v>
      </c>
      <c r="B821" s="94">
        <v>442.14400692285079</v>
      </c>
      <c r="C821" s="94">
        <v>439.83251570737463</v>
      </c>
      <c r="D821" s="94">
        <v>440.75711219356509</v>
      </c>
      <c r="E821" s="94">
        <v>6510712.1970609371</v>
      </c>
      <c r="F821" s="94" t="s">
        <v>855</v>
      </c>
      <c r="G821" s="25">
        <f t="shared" si="28"/>
        <v>2.9011381388088786E-4</v>
      </c>
      <c r="I821" s="94">
        <v>2.29</v>
      </c>
      <c r="J821" s="94">
        <v>2.34</v>
      </c>
      <c r="K821" s="94">
        <v>2.27</v>
      </c>
      <c r="L821" s="94">
        <v>2.3199999999999998</v>
      </c>
      <c r="M821" s="94">
        <v>680896</v>
      </c>
      <c r="N821" s="94" t="s">
        <v>855</v>
      </c>
      <c r="O821" s="25">
        <f t="shared" si="29"/>
        <v>-1.2931034482758563E-2</v>
      </c>
    </row>
    <row r="822" spans="1:15">
      <c r="A822" s="94">
        <v>441.15055750683763</v>
      </c>
      <c r="B822" s="94">
        <v>441.40629696046477</v>
      </c>
      <c r="C822" s="94">
        <v>438.79972176003417</v>
      </c>
      <c r="D822" s="94">
        <v>440.79645672489232</v>
      </c>
      <c r="E822" s="94">
        <v>4236476.9480565209</v>
      </c>
      <c r="F822" s="94" t="s">
        <v>856</v>
      </c>
      <c r="G822" s="25">
        <f t="shared" si="28"/>
        <v>8.033203909492137E-4</v>
      </c>
      <c r="I822" s="94">
        <v>2.2999999999999998</v>
      </c>
      <c r="J822" s="94">
        <v>2.3380000000000001</v>
      </c>
      <c r="K822" s="94">
        <v>2.25</v>
      </c>
      <c r="L822" s="94">
        <v>2.3199999999999998</v>
      </c>
      <c r="M822" s="94">
        <v>766048</v>
      </c>
      <c r="N822" s="94" t="s">
        <v>856</v>
      </c>
      <c r="O822" s="25">
        <f t="shared" si="29"/>
        <v>-8.6206896551723755E-3</v>
      </c>
    </row>
    <row r="823" spans="1:15">
      <c r="A823" s="94">
        <v>438.68168816605242</v>
      </c>
      <c r="B823" s="94">
        <v>441.82885722691947</v>
      </c>
      <c r="C823" s="94">
        <v>438.44562097808887</v>
      </c>
      <c r="D823" s="94">
        <v>440.97350711586495</v>
      </c>
      <c r="E823" s="94">
        <v>4644308.9760081377</v>
      </c>
      <c r="F823" s="94" t="s">
        <v>857</v>
      </c>
      <c r="G823" s="25">
        <f t="shared" si="28"/>
        <v>-5.1971805852961683E-3</v>
      </c>
      <c r="I823" s="94">
        <v>2.29</v>
      </c>
      <c r="J823" s="94">
        <v>2.4300000000000002</v>
      </c>
      <c r="K823" s="94">
        <v>2.27</v>
      </c>
      <c r="L823" s="94">
        <v>2.33</v>
      </c>
      <c r="M823" s="94">
        <v>1611661</v>
      </c>
      <c r="N823" s="94" t="s">
        <v>857</v>
      </c>
      <c r="O823" s="25">
        <f t="shared" si="29"/>
        <v>-1.7167381974248941E-2</v>
      </c>
    </row>
    <row r="824" spans="1:15">
      <c r="A824" s="94">
        <v>438.3177512512753</v>
      </c>
      <c r="B824" s="94">
        <v>438.51447390791157</v>
      </c>
      <c r="C824" s="94">
        <v>436.50790281022159</v>
      </c>
      <c r="D824" s="94">
        <v>437.54069675756205</v>
      </c>
      <c r="E824" s="94">
        <v>3305756.4955642079</v>
      </c>
      <c r="F824" s="94" t="s">
        <v>858</v>
      </c>
      <c r="G824" s="25">
        <f t="shared" si="28"/>
        <v>1.7759593552593156E-3</v>
      </c>
      <c r="I824" s="94">
        <v>2.2799999999999998</v>
      </c>
      <c r="J824" s="94">
        <v>2.33</v>
      </c>
      <c r="K824" s="94">
        <v>2.2599999999999998</v>
      </c>
      <c r="L824" s="94">
        <v>2.2999999999999998</v>
      </c>
      <c r="M824" s="94">
        <v>1294944</v>
      </c>
      <c r="N824" s="94" t="s">
        <v>858</v>
      </c>
      <c r="O824" s="25">
        <f t="shared" si="29"/>
        <v>-8.6956521739131043E-3</v>
      </c>
    </row>
    <row r="825" spans="1:15">
      <c r="A825" s="94">
        <v>437.01938171747594</v>
      </c>
      <c r="B825" s="94">
        <v>438.61283523622973</v>
      </c>
      <c r="C825" s="94">
        <v>436.40954148190349</v>
      </c>
      <c r="D825" s="94">
        <v>437.48167996057117</v>
      </c>
      <c r="E825" s="94">
        <v>5968211.3899611058</v>
      </c>
      <c r="F825" s="94" t="s">
        <v>859</v>
      </c>
      <c r="G825" s="25">
        <f t="shared" si="28"/>
        <v>-1.0567259482429092E-3</v>
      </c>
      <c r="I825" s="94">
        <v>2.2799999999999998</v>
      </c>
      <c r="J825" s="94">
        <v>2.29</v>
      </c>
      <c r="K825" s="94">
        <v>2.11</v>
      </c>
      <c r="L825" s="94">
        <v>2.11</v>
      </c>
      <c r="M825" s="94">
        <v>1782801</v>
      </c>
      <c r="N825" s="94" t="s">
        <v>859</v>
      </c>
      <c r="O825" s="25">
        <f t="shared" si="29"/>
        <v>8.0568720379146974E-2</v>
      </c>
    </row>
    <row r="826" spans="1:15">
      <c r="A826" s="94">
        <v>436.02593230146277</v>
      </c>
      <c r="B826" s="94">
        <v>436.34068855208079</v>
      </c>
      <c r="C826" s="94">
        <v>431.1275381512196</v>
      </c>
      <c r="D826" s="94">
        <v>431.80623131661474</v>
      </c>
      <c r="E826" s="94">
        <v>4917381.7420969186</v>
      </c>
      <c r="F826" s="94" t="s">
        <v>860</v>
      </c>
      <c r="G826" s="25">
        <f t="shared" si="28"/>
        <v>9.7722095671981535E-3</v>
      </c>
      <c r="I826" s="94">
        <v>2.11</v>
      </c>
      <c r="J826" s="94">
        <v>2.1150000000000002</v>
      </c>
      <c r="K826" s="94">
        <v>1.99</v>
      </c>
      <c r="L826" s="94">
        <v>2.1</v>
      </c>
      <c r="M826" s="94">
        <v>1662488</v>
      </c>
      <c r="N826" s="94" t="s">
        <v>860</v>
      </c>
      <c r="O826" s="25">
        <f t="shared" si="29"/>
        <v>4.761904761904745E-3</v>
      </c>
    </row>
    <row r="827" spans="1:15">
      <c r="A827" s="94">
        <v>430.7537651036107</v>
      </c>
      <c r="B827" s="94">
        <v>431.20622721387412</v>
      </c>
      <c r="C827" s="94">
        <v>427.04554302601701</v>
      </c>
      <c r="D827" s="94">
        <v>428.44227388813448</v>
      </c>
      <c r="E827" s="94">
        <v>4403442.9730260307</v>
      </c>
      <c r="F827" s="94" t="s">
        <v>861</v>
      </c>
      <c r="G827" s="25">
        <f t="shared" si="28"/>
        <v>5.395105376739151E-3</v>
      </c>
      <c r="I827" s="94">
        <v>2.0699999999999998</v>
      </c>
      <c r="J827" s="94">
        <v>2.11</v>
      </c>
      <c r="K827" s="94">
        <v>2.02</v>
      </c>
      <c r="L827" s="94">
        <v>2.09</v>
      </c>
      <c r="M827" s="94">
        <v>1137934</v>
      </c>
      <c r="N827" s="94" t="s">
        <v>861</v>
      </c>
      <c r="O827" s="25">
        <f t="shared" si="29"/>
        <v>-9.5693779904306719E-3</v>
      </c>
    </row>
    <row r="828" spans="1:15">
      <c r="A828" s="94">
        <v>426.95701783053067</v>
      </c>
      <c r="B828" s="94">
        <v>427.36029927663503</v>
      </c>
      <c r="C828" s="94">
        <v>424.73405181054079</v>
      </c>
      <c r="D828" s="94">
        <v>426.49471958743544</v>
      </c>
      <c r="E828" s="94">
        <v>6145312.4956279369</v>
      </c>
      <c r="F828" s="94" t="s">
        <v>862</v>
      </c>
      <c r="G828" s="25">
        <f t="shared" si="28"/>
        <v>1.0839483394833316E-3</v>
      </c>
      <c r="I828" s="94">
        <v>2.0699999999999998</v>
      </c>
      <c r="J828" s="94">
        <v>2.08</v>
      </c>
      <c r="K828" s="94">
        <v>2.0299999999999998</v>
      </c>
      <c r="L828" s="94">
        <v>2.0699999999999998</v>
      </c>
      <c r="M828" s="94">
        <v>1124875</v>
      </c>
      <c r="N828" s="94" t="s">
        <v>862</v>
      </c>
      <c r="O828" s="25">
        <f t="shared" si="29"/>
        <v>0</v>
      </c>
    </row>
    <row r="829" spans="1:15">
      <c r="A829" s="94">
        <v>429.34719810866136</v>
      </c>
      <c r="B829" s="94">
        <v>430.80294576776976</v>
      </c>
      <c r="C829" s="94">
        <v>427.61603873026218</v>
      </c>
      <c r="D829" s="94">
        <v>429.63244596078397</v>
      </c>
      <c r="E829" s="94">
        <v>5826313.1435806062</v>
      </c>
      <c r="F829" s="94" t="s">
        <v>863</v>
      </c>
      <c r="G829" s="25">
        <f t="shared" si="28"/>
        <v>-6.6393461388769559E-4</v>
      </c>
      <c r="I829" s="94">
        <v>2.1</v>
      </c>
      <c r="J829" s="94">
        <v>2.21</v>
      </c>
      <c r="K829" s="94">
        <v>2.1</v>
      </c>
      <c r="L829" s="94">
        <v>2.21</v>
      </c>
      <c r="M829" s="94">
        <v>1030963</v>
      </c>
      <c r="N829" s="94" t="s">
        <v>863</v>
      </c>
      <c r="O829" s="25">
        <f t="shared" si="29"/>
        <v>-4.9773755656108531E-2</v>
      </c>
    </row>
    <row r="830" spans="1:15">
      <c r="A830" s="94">
        <v>430.81278190060158</v>
      </c>
      <c r="B830" s="94">
        <v>432.59312194315982</v>
      </c>
      <c r="C830" s="94">
        <v>429.57342916379309</v>
      </c>
      <c r="D830" s="94">
        <v>431.91442877776473</v>
      </c>
      <c r="E830" s="94">
        <v>5269010.787692301</v>
      </c>
      <c r="F830" s="94" t="s">
        <v>864</v>
      </c>
      <c r="G830" s="25">
        <f t="shared" si="28"/>
        <v>-2.5506137414316177E-3</v>
      </c>
      <c r="I830" s="94">
        <v>2.2000000000000002</v>
      </c>
      <c r="J830" s="94">
        <v>2.2599999999999998</v>
      </c>
      <c r="K830" s="94">
        <v>2.1800000000000002</v>
      </c>
      <c r="L830" s="94">
        <v>2.21</v>
      </c>
      <c r="M830" s="94">
        <v>1120171</v>
      </c>
      <c r="N830" s="94" t="s">
        <v>864</v>
      </c>
      <c r="O830" s="25">
        <f t="shared" si="29"/>
        <v>-4.5248868778279272E-3</v>
      </c>
    </row>
    <row r="831" spans="1:15">
      <c r="A831" s="94">
        <v>430.61605924396531</v>
      </c>
      <c r="B831" s="94">
        <v>432.15541403214417</v>
      </c>
      <c r="C831" s="94">
        <v>426.88816490070798</v>
      </c>
      <c r="D831" s="94">
        <v>431.74721451962387</v>
      </c>
      <c r="E831" s="94">
        <v>4876496.7716643009</v>
      </c>
      <c r="F831" s="94" t="s">
        <v>865</v>
      </c>
      <c r="G831" s="25">
        <f t="shared" si="28"/>
        <v>-2.6199480566819755E-3</v>
      </c>
      <c r="I831" s="94">
        <v>2.1800000000000002</v>
      </c>
      <c r="J831" s="94">
        <v>2.27</v>
      </c>
      <c r="K831" s="94">
        <v>2.15</v>
      </c>
      <c r="L831" s="94">
        <v>2.27</v>
      </c>
      <c r="M831" s="94">
        <v>1446830</v>
      </c>
      <c r="N831" s="94" t="s">
        <v>865</v>
      </c>
      <c r="O831" s="25">
        <f t="shared" si="29"/>
        <v>-3.9647577092510988E-2</v>
      </c>
    </row>
    <row r="832" spans="1:15">
      <c r="A832" s="94">
        <v>430.76360123644253</v>
      </c>
      <c r="B832" s="94">
        <v>431.54557379657172</v>
      </c>
      <c r="C832" s="94">
        <v>428.34391255981637</v>
      </c>
      <c r="D832" s="94">
        <v>428.62916041193893</v>
      </c>
      <c r="E832" s="94">
        <v>4350125.2709405348</v>
      </c>
      <c r="F832" s="94" t="s">
        <v>866</v>
      </c>
      <c r="G832" s="25">
        <f t="shared" si="28"/>
        <v>4.9796911214632367E-3</v>
      </c>
      <c r="I832" s="94">
        <v>2.2400000000000002</v>
      </c>
      <c r="J832" s="94">
        <v>2.33</v>
      </c>
      <c r="K832" s="94">
        <v>2.21</v>
      </c>
      <c r="L832" s="94">
        <v>2.25</v>
      </c>
      <c r="M832" s="94">
        <v>1576121</v>
      </c>
      <c r="N832" s="94" t="s">
        <v>866</v>
      </c>
      <c r="O832" s="25">
        <f t="shared" si="29"/>
        <v>-4.444444444444362E-3</v>
      </c>
    </row>
    <row r="833" spans="1:15">
      <c r="A833" s="94">
        <v>427.94063111371202</v>
      </c>
      <c r="B833" s="94">
        <v>429.27834517883866</v>
      </c>
      <c r="C833" s="94">
        <v>426.06517566667014</v>
      </c>
      <c r="D833" s="94">
        <v>426.51439185309908</v>
      </c>
      <c r="E833" s="94">
        <v>8071837.922237711</v>
      </c>
      <c r="F833" s="94" t="s">
        <v>867</v>
      </c>
      <c r="G833" s="25">
        <f t="shared" si="28"/>
        <v>3.3439417001059901E-3</v>
      </c>
      <c r="I833" s="94">
        <v>2.25</v>
      </c>
      <c r="J833" s="94">
        <v>2.2999999999999998</v>
      </c>
      <c r="K833" s="94">
        <v>2.2400000000000002</v>
      </c>
      <c r="L833" s="94">
        <v>2.2999999999999998</v>
      </c>
      <c r="M833" s="94">
        <v>938435</v>
      </c>
      <c r="N833" s="94" t="s">
        <v>867</v>
      </c>
      <c r="O833" s="25">
        <f t="shared" si="29"/>
        <v>-2.1739130434782483E-2</v>
      </c>
    </row>
    <row r="834" spans="1:15">
      <c r="A834" s="94">
        <v>428.98326119388423</v>
      </c>
      <c r="B834" s="94">
        <v>429.12096705352963</v>
      </c>
      <c r="C834" s="94">
        <v>423.31764868275968</v>
      </c>
      <c r="D834" s="94">
        <v>423.39633774541414</v>
      </c>
      <c r="E834" s="94">
        <v>7342684.4914500499</v>
      </c>
      <c r="F834" s="94" t="s">
        <v>868</v>
      </c>
      <c r="G834" s="25">
        <f t="shared" si="28"/>
        <v>1.3195493088628218E-2</v>
      </c>
      <c r="I834" s="94">
        <v>2.33</v>
      </c>
      <c r="J834" s="94">
        <v>2.36</v>
      </c>
      <c r="K834" s="94">
        <v>2.2400000000000002</v>
      </c>
      <c r="L834" s="94">
        <v>2.25</v>
      </c>
      <c r="M834" s="94">
        <v>1054851</v>
      </c>
      <c r="N834" s="94" t="s">
        <v>868</v>
      </c>
      <c r="O834" s="25">
        <f t="shared" si="29"/>
        <v>3.5555555555555562E-2</v>
      </c>
    </row>
    <row r="835" spans="1:15">
      <c r="A835" s="94">
        <v>422.93403950231897</v>
      </c>
      <c r="B835" s="94">
        <v>425.21602231929967</v>
      </c>
      <c r="C835" s="94">
        <v>421.61599770285591</v>
      </c>
      <c r="D835" s="94">
        <v>422.5504303218782</v>
      </c>
      <c r="E835" s="94">
        <v>5819978.3368973872</v>
      </c>
      <c r="F835" s="94" t="s">
        <v>869</v>
      </c>
      <c r="G835" s="25">
        <f t="shared" si="28"/>
        <v>9.0784236132135376E-4</v>
      </c>
      <c r="I835" s="94">
        <v>2.2599999999999998</v>
      </c>
      <c r="J835" s="94">
        <v>2.35</v>
      </c>
      <c r="K835" s="94">
        <v>2.25</v>
      </c>
      <c r="L835" s="94">
        <v>2.2999999999999998</v>
      </c>
      <c r="M835" s="94">
        <v>1357886</v>
      </c>
      <c r="N835" s="94" t="s">
        <v>869</v>
      </c>
      <c r="O835" s="25">
        <f t="shared" si="29"/>
        <v>-1.7391304347826098E-2</v>
      </c>
    </row>
    <row r="836" spans="1:15">
      <c r="A836" s="94">
        <v>422.39305219656916</v>
      </c>
      <c r="B836" s="94">
        <v>425.68815669522667</v>
      </c>
      <c r="C836" s="94">
        <v>422.17665727426925</v>
      </c>
      <c r="D836" s="94">
        <v>423.27830415143239</v>
      </c>
      <c r="E836" s="94">
        <v>4010985.8899420621</v>
      </c>
      <c r="F836" s="94" t="s">
        <v>870</v>
      </c>
      <c r="G836" s="25">
        <f t="shared" si="28"/>
        <v>-2.0914182139288862E-3</v>
      </c>
      <c r="I836" s="94">
        <v>2.3199999999999998</v>
      </c>
      <c r="J836" s="94">
        <v>2.3650000000000002</v>
      </c>
      <c r="K836" s="94">
        <v>2.29</v>
      </c>
      <c r="L836" s="94">
        <v>2.34</v>
      </c>
      <c r="M836" s="94">
        <v>951112</v>
      </c>
      <c r="N836" s="94" t="s">
        <v>870</v>
      </c>
      <c r="O836" s="25">
        <f t="shared" si="29"/>
        <v>-8.5470085470085166E-3</v>
      </c>
    </row>
    <row r="837" spans="1:15">
      <c r="A837" s="94">
        <v>423.73076626169586</v>
      </c>
      <c r="B837" s="94">
        <v>425.90455161752664</v>
      </c>
      <c r="C837" s="94">
        <v>423.19961508877788</v>
      </c>
      <c r="D837" s="94">
        <v>425.23569458496331</v>
      </c>
      <c r="E837" s="94">
        <v>4885099.7461713459</v>
      </c>
      <c r="F837" s="94" t="s">
        <v>871</v>
      </c>
      <c r="G837" s="25">
        <f t="shared" si="28"/>
        <v>-3.5390451517394172E-3</v>
      </c>
      <c r="I837" s="94">
        <v>2.34</v>
      </c>
      <c r="J837" s="94">
        <v>2.4</v>
      </c>
      <c r="K837" s="94">
        <v>2.2999999999999998</v>
      </c>
      <c r="L837" s="94">
        <v>2.39</v>
      </c>
      <c r="M837" s="94">
        <v>1324163</v>
      </c>
      <c r="N837" s="94" t="s">
        <v>871</v>
      </c>
      <c r="O837" s="25">
        <f t="shared" si="29"/>
        <v>-2.0920502092050319E-2</v>
      </c>
    </row>
    <row r="838" spans="1:15">
      <c r="A838" s="94">
        <v>426.8980010335398</v>
      </c>
      <c r="B838" s="94">
        <v>428.13735377034828</v>
      </c>
      <c r="C838" s="94">
        <v>425.27503911629054</v>
      </c>
      <c r="D838" s="94">
        <v>426.79963970522169</v>
      </c>
      <c r="E838" s="94">
        <v>9227245.2550100368</v>
      </c>
      <c r="F838" s="94" t="s">
        <v>872</v>
      </c>
      <c r="G838" s="25">
        <f t="shared" si="28"/>
        <v>2.3046253831426888E-4</v>
      </c>
      <c r="I838" s="94">
        <v>2.38</v>
      </c>
      <c r="J838" s="94">
        <v>2.52</v>
      </c>
      <c r="K838" s="94">
        <v>2.38</v>
      </c>
      <c r="L838" s="94">
        <v>2.46</v>
      </c>
      <c r="M838" s="94">
        <v>1402498</v>
      </c>
      <c r="N838" s="94" t="s">
        <v>872</v>
      </c>
      <c r="O838" s="25">
        <f t="shared" si="29"/>
        <v>-3.2520325203252098E-2</v>
      </c>
    </row>
    <row r="839" spans="1:15">
      <c r="A839" s="94">
        <v>429.64228209361579</v>
      </c>
      <c r="B839" s="94">
        <v>431.15704654971501</v>
      </c>
      <c r="C839" s="94">
        <v>427.81276138689844</v>
      </c>
      <c r="D839" s="94">
        <v>430.69474830661983</v>
      </c>
      <c r="E839" s="94">
        <v>4449802.6560231056</v>
      </c>
      <c r="F839" s="94" t="s">
        <v>873</v>
      </c>
      <c r="G839" s="25">
        <f t="shared" si="28"/>
        <v>-2.4436476579806632E-3</v>
      </c>
      <c r="I839" s="94">
        <v>2.4700000000000002</v>
      </c>
      <c r="J839" s="94">
        <v>2.57</v>
      </c>
      <c r="K839" s="94">
        <v>2.4500000000000002</v>
      </c>
      <c r="L839" s="94">
        <v>2.54</v>
      </c>
      <c r="M839" s="94">
        <v>1479489</v>
      </c>
      <c r="N839" s="94" t="s">
        <v>873</v>
      </c>
      <c r="O839" s="25">
        <f t="shared" si="29"/>
        <v>-2.7559055118110187E-2</v>
      </c>
    </row>
    <row r="840" spans="1:15">
      <c r="A840" s="94">
        <v>430.79310963493799</v>
      </c>
      <c r="B840" s="94">
        <v>431.6488531913057</v>
      </c>
      <c r="C840" s="94">
        <v>430.48818951715174</v>
      </c>
      <c r="D840" s="94">
        <v>431.06852135422872</v>
      </c>
      <c r="E840" s="94">
        <v>4782016.5510440329</v>
      </c>
      <c r="F840" s="94" t="s">
        <v>874</v>
      </c>
      <c r="G840" s="25">
        <f t="shared" si="28"/>
        <v>-6.3890473474037535E-4</v>
      </c>
      <c r="I840" s="94">
        <v>2.56</v>
      </c>
      <c r="J840" s="94">
        <v>2.57</v>
      </c>
      <c r="K840" s="94">
        <v>2.37</v>
      </c>
      <c r="L840" s="94">
        <v>2.38</v>
      </c>
      <c r="M840" s="94">
        <v>2270580</v>
      </c>
      <c r="N840" s="94" t="s">
        <v>874</v>
      </c>
      <c r="O840" s="25">
        <f t="shared" si="29"/>
        <v>7.5630252100840512E-2</v>
      </c>
    </row>
    <row r="841" spans="1:15">
      <c r="A841" s="94">
        <v>430.72425670511524</v>
      </c>
      <c r="B841" s="94">
        <v>430.84229029909699</v>
      </c>
      <c r="C841" s="94">
        <v>429.26850904600684</v>
      </c>
      <c r="D841" s="94">
        <v>429.73572535551796</v>
      </c>
      <c r="E841" s="94">
        <v>4342162.7920538438</v>
      </c>
      <c r="F841" s="94" t="s">
        <v>875</v>
      </c>
      <c r="G841" s="25">
        <f t="shared" si="28"/>
        <v>2.3003238764462974E-3</v>
      </c>
      <c r="I841" s="94">
        <v>2.39</v>
      </c>
      <c r="J841" s="94">
        <v>2.48</v>
      </c>
      <c r="K841" s="94">
        <v>2.375</v>
      </c>
      <c r="L841" s="94">
        <v>2.4500000000000002</v>
      </c>
      <c r="M841" s="94">
        <v>2007389</v>
      </c>
      <c r="N841" s="94" t="s">
        <v>875</v>
      </c>
      <c r="O841" s="25">
        <f t="shared" si="29"/>
        <v>-2.4489795918367419E-2</v>
      </c>
    </row>
    <row r="842" spans="1:15">
      <c r="A842" s="94">
        <v>429.93736607857016</v>
      </c>
      <c r="B842" s="94">
        <v>430.74392897077888</v>
      </c>
      <c r="C842" s="94">
        <v>428.44227388813448</v>
      </c>
      <c r="D842" s="94">
        <v>428.52647118517484</v>
      </c>
      <c r="E842" s="94">
        <v>3899740.9506239491</v>
      </c>
      <c r="F842" s="94" t="s">
        <v>876</v>
      </c>
      <c r="G842" s="25">
        <f t="shared" si="28"/>
        <v>3.2924334627291163E-3</v>
      </c>
      <c r="I842" s="94">
        <v>2.4500000000000002</v>
      </c>
      <c r="J842" s="94">
        <v>2.46</v>
      </c>
      <c r="K842" s="94">
        <v>2.3199999999999998</v>
      </c>
      <c r="L842" s="94">
        <v>2.37</v>
      </c>
      <c r="M842" s="94">
        <v>2312534</v>
      </c>
      <c r="N842" s="94" t="s">
        <v>876</v>
      </c>
      <c r="O842" s="25">
        <f t="shared" si="29"/>
        <v>3.3755274261603407E-2</v>
      </c>
    </row>
    <row r="843" spans="1:15">
      <c r="A843" s="94">
        <v>428.15702603601193</v>
      </c>
      <c r="B843" s="94">
        <v>429.67965939837666</v>
      </c>
      <c r="C843" s="94">
        <v>426.37668599345369</v>
      </c>
      <c r="D843" s="94">
        <v>428.32424029415273</v>
      </c>
      <c r="E843" s="94">
        <v>4105098.0797455548</v>
      </c>
      <c r="F843" s="94" t="s">
        <v>877</v>
      </c>
      <c r="G843" s="25">
        <f t="shared" si="28"/>
        <v>-3.9039176962285538E-4</v>
      </c>
      <c r="I843" s="94">
        <v>2.35</v>
      </c>
      <c r="J843" s="94">
        <v>2.48</v>
      </c>
      <c r="K843" s="94">
        <v>2.33</v>
      </c>
      <c r="L843" s="94">
        <v>2.37</v>
      </c>
      <c r="M843" s="94">
        <v>3506232</v>
      </c>
      <c r="N843" s="94" t="s">
        <v>877</v>
      </c>
      <c r="O843" s="25">
        <f t="shared" si="29"/>
        <v>-8.4388185654008518E-3</v>
      </c>
    </row>
    <row r="844" spans="1:15">
      <c r="A844" s="94">
        <v>427.16357661999871</v>
      </c>
      <c r="B844" s="94">
        <v>427.51767740194401</v>
      </c>
      <c r="C844" s="94">
        <v>423.79489784775927</v>
      </c>
      <c r="D844" s="94">
        <v>426.03242134434021</v>
      </c>
      <c r="E844" s="94">
        <v>4698600.6381004583</v>
      </c>
      <c r="F844" s="94" t="s">
        <v>878</v>
      </c>
      <c r="G844" s="25">
        <f t="shared" si="28"/>
        <v>2.6550920047097026E-3</v>
      </c>
      <c r="I844" s="94">
        <v>2.37</v>
      </c>
      <c r="J844" s="94">
        <v>2.41</v>
      </c>
      <c r="K844" s="94">
        <v>2.335</v>
      </c>
      <c r="L844" s="94">
        <v>2.36</v>
      </c>
      <c r="M844" s="94">
        <v>2092086</v>
      </c>
      <c r="N844" s="94" t="s">
        <v>878</v>
      </c>
      <c r="O844" s="25">
        <f t="shared" si="29"/>
        <v>4.237288135593209E-3</v>
      </c>
    </row>
    <row r="845" spans="1:15">
      <c r="A845" s="94">
        <v>423.04223696346884</v>
      </c>
      <c r="B845" s="94">
        <v>430.13900680162237</v>
      </c>
      <c r="C845" s="94">
        <v>422.85535043966439</v>
      </c>
      <c r="D845" s="94">
        <v>428.37342095831178</v>
      </c>
      <c r="E845" s="94">
        <v>5879581.0293400744</v>
      </c>
      <c r="F845" s="94" t="s">
        <v>879</v>
      </c>
      <c r="G845" s="25">
        <f t="shared" si="28"/>
        <v>-1.2445179215173074E-2</v>
      </c>
      <c r="I845" s="94">
        <v>2.35</v>
      </c>
      <c r="J845" s="94">
        <v>2.46</v>
      </c>
      <c r="K845" s="94">
        <v>2.34</v>
      </c>
      <c r="L845" s="94">
        <v>2.46</v>
      </c>
      <c r="M845" s="94">
        <v>1657432</v>
      </c>
      <c r="N845" s="94" t="s">
        <v>879</v>
      </c>
      <c r="O845" s="25">
        <f t="shared" si="29"/>
        <v>-4.471544715447151E-2</v>
      </c>
    </row>
    <row r="846" spans="1:15">
      <c r="A846" s="94">
        <v>429.23791867290009</v>
      </c>
      <c r="B846" s="94">
        <v>429.2673057825105</v>
      </c>
      <c r="C846" s="94">
        <v>427.04368115532253</v>
      </c>
      <c r="D846" s="94">
        <v>427.13184248415382</v>
      </c>
      <c r="E846" s="94">
        <v>4146213.8201173837</v>
      </c>
      <c r="F846" s="94" t="s">
        <v>880</v>
      </c>
      <c r="G846" s="25">
        <f t="shared" si="28"/>
        <v>4.9307402990550475E-3</v>
      </c>
      <c r="I846" s="94">
        <v>2.48</v>
      </c>
      <c r="J846" s="94">
        <v>2.5</v>
      </c>
      <c r="K846" s="94">
        <v>2.4293999999999998</v>
      </c>
      <c r="L846" s="94">
        <v>2.4300000000000002</v>
      </c>
      <c r="M846" s="94">
        <v>1889633</v>
      </c>
      <c r="N846" s="94" t="s">
        <v>880</v>
      </c>
      <c r="O846" s="25">
        <f t="shared" si="29"/>
        <v>2.0576131687242816E-2</v>
      </c>
    </row>
    <row r="847" spans="1:15">
      <c r="A847" s="94">
        <v>426.64205732398028</v>
      </c>
      <c r="B847" s="94">
        <v>427.48448779947876</v>
      </c>
      <c r="C847" s="94">
        <v>425.57432567480186</v>
      </c>
      <c r="D847" s="94">
        <v>425.76044403566783</v>
      </c>
      <c r="E847" s="94">
        <v>4369747.5424563875</v>
      </c>
      <c r="F847" s="94" t="s">
        <v>881</v>
      </c>
      <c r="G847" s="25">
        <f t="shared" si="28"/>
        <v>2.0706791827720394E-3</v>
      </c>
      <c r="I847" s="94">
        <v>2.4300000000000002</v>
      </c>
      <c r="J847" s="94">
        <v>2.56</v>
      </c>
      <c r="K847" s="94">
        <v>2.415</v>
      </c>
      <c r="L847" s="94">
        <v>2.4500000000000002</v>
      </c>
      <c r="M847" s="94">
        <v>1474184</v>
      </c>
      <c r="N847" s="94" t="s">
        <v>881</v>
      </c>
      <c r="O847" s="25">
        <f t="shared" si="29"/>
        <v>-8.1632653061224358E-3</v>
      </c>
    </row>
    <row r="848" spans="1:15">
      <c r="A848" s="94">
        <v>424.24211003912978</v>
      </c>
      <c r="B848" s="94">
        <v>425.37841161073248</v>
      </c>
      <c r="C848" s="94">
        <v>423.40947526683476</v>
      </c>
      <c r="D848" s="94">
        <v>424.34006707116453</v>
      </c>
      <c r="E848" s="94">
        <v>5437119.6119056791</v>
      </c>
      <c r="F848" s="94" t="s">
        <v>882</v>
      </c>
      <c r="G848" s="25">
        <f t="shared" si="28"/>
        <v>-2.3084558738661887E-4</v>
      </c>
      <c r="I848" s="94">
        <v>2.4500000000000002</v>
      </c>
      <c r="J848" s="94">
        <v>2.57</v>
      </c>
      <c r="K848" s="94">
        <v>2.38</v>
      </c>
      <c r="L848" s="94">
        <v>2.5499999999999998</v>
      </c>
      <c r="M848" s="94">
        <v>3952165</v>
      </c>
      <c r="N848" s="94" t="s">
        <v>882</v>
      </c>
      <c r="O848" s="25">
        <f t="shared" si="29"/>
        <v>-3.9215686274509665E-2</v>
      </c>
    </row>
    <row r="849" spans="1:15">
      <c r="A849" s="94">
        <v>424.88862645055889</v>
      </c>
      <c r="B849" s="94">
        <v>426.46984886166319</v>
      </c>
      <c r="C849" s="94">
        <v>422.42990494648768</v>
      </c>
      <c r="D849" s="94">
        <v>425.34902450112207</v>
      </c>
      <c r="E849" s="94">
        <v>8523270.6897872202</v>
      </c>
      <c r="F849" s="94" t="s">
        <v>883</v>
      </c>
      <c r="G849" s="25">
        <f t="shared" si="28"/>
        <v>-1.082400626410629E-3</v>
      </c>
      <c r="I849" s="94">
        <v>2.52</v>
      </c>
      <c r="J849" s="94">
        <v>2.605</v>
      </c>
      <c r="K849" s="94">
        <v>2.4500000000000002</v>
      </c>
      <c r="L849" s="94">
        <v>2.5</v>
      </c>
      <c r="M849" s="94">
        <v>2297852</v>
      </c>
      <c r="N849" s="94" t="s">
        <v>883</v>
      </c>
      <c r="O849" s="25">
        <f t="shared" si="29"/>
        <v>8.0000000000000071E-3</v>
      </c>
    </row>
    <row r="850" spans="1:15">
      <c r="A850" s="94">
        <v>423.64457214371811</v>
      </c>
      <c r="B850" s="94">
        <v>423.7719162853632</v>
      </c>
      <c r="C850" s="94">
        <v>417.79653733124582</v>
      </c>
      <c r="D850" s="94">
        <v>418.15897834977426</v>
      </c>
      <c r="E850" s="94">
        <v>8839708.4110629745</v>
      </c>
      <c r="F850" s="94" t="s">
        <v>884</v>
      </c>
      <c r="G850" s="25">
        <f t="shared" si="28"/>
        <v>1.311844077961033E-2</v>
      </c>
      <c r="I850" s="94">
        <v>2.4500000000000002</v>
      </c>
      <c r="J850" s="94">
        <v>2.4500000000000002</v>
      </c>
      <c r="K850" s="94">
        <v>2.2250000000000001</v>
      </c>
      <c r="L850" s="94">
        <v>2.29</v>
      </c>
      <c r="M850" s="94">
        <v>2468305</v>
      </c>
      <c r="N850" s="94" t="s">
        <v>884</v>
      </c>
      <c r="O850" s="25">
        <f t="shared" si="29"/>
        <v>6.9868995633187936E-2</v>
      </c>
    </row>
    <row r="851" spans="1:15">
      <c r="A851" s="94">
        <v>417.95326858250138</v>
      </c>
      <c r="B851" s="94">
        <v>417.95326858250138</v>
      </c>
      <c r="C851" s="94">
        <v>414.62654981757061</v>
      </c>
      <c r="D851" s="94">
        <v>415.553321297651</v>
      </c>
      <c r="E851" s="94">
        <v>6107327.7494566049</v>
      </c>
      <c r="F851" s="94" t="s">
        <v>885</v>
      </c>
      <c r="G851" s="25">
        <f t="shared" si="28"/>
        <v>5.7753052661353443E-3</v>
      </c>
      <c r="I851" s="94">
        <v>2.27</v>
      </c>
      <c r="J851" s="94">
        <v>2.38</v>
      </c>
      <c r="K851" s="94">
        <v>2.2599999999999998</v>
      </c>
      <c r="L851" s="94">
        <v>2.38</v>
      </c>
      <c r="M851" s="94">
        <v>1497338</v>
      </c>
      <c r="N851" s="94" t="s">
        <v>885</v>
      </c>
      <c r="O851" s="25">
        <f t="shared" si="29"/>
        <v>-4.621848739495793E-2</v>
      </c>
    </row>
    <row r="852" spans="1:15">
      <c r="A852" s="94">
        <v>415.88637520656897</v>
      </c>
      <c r="B852" s="94">
        <v>416.03331075462103</v>
      </c>
      <c r="C852" s="94">
        <v>413.59418065695678</v>
      </c>
      <c r="D852" s="94">
        <v>413.7802990178227</v>
      </c>
      <c r="E852" s="94">
        <v>5356517.9456853075</v>
      </c>
      <c r="F852" s="94" t="s">
        <v>886</v>
      </c>
      <c r="G852" s="25">
        <f t="shared" si="28"/>
        <v>5.0898416230675814E-3</v>
      </c>
      <c r="I852" s="94">
        <v>2.38</v>
      </c>
      <c r="J852" s="94">
        <v>2.46</v>
      </c>
      <c r="K852" s="94">
        <v>2.31</v>
      </c>
      <c r="L852" s="94">
        <v>2.4</v>
      </c>
      <c r="M852" s="94">
        <v>1907333</v>
      </c>
      <c r="N852" s="94" t="s">
        <v>886</v>
      </c>
      <c r="O852" s="25">
        <f t="shared" si="29"/>
        <v>-8.3333333333333037E-3</v>
      </c>
    </row>
    <row r="853" spans="1:15">
      <c r="A853" s="94">
        <v>414.27987988119975</v>
      </c>
      <c r="B853" s="94">
        <v>414.72068652535592</v>
      </c>
      <c r="C853" s="94">
        <v>411.56647009383818</v>
      </c>
      <c r="D853" s="94">
        <v>411.78197556431456</v>
      </c>
      <c r="E853" s="94">
        <v>5232169.5477501424</v>
      </c>
      <c r="F853" s="94" t="s">
        <v>887</v>
      </c>
      <c r="G853" s="25">
        <f t="shared" si="28"/>
        <v>6.0660846397222468E-3</v>
      </c>
      <c r="I853" s="94">
        <v>2.4300000000000002</v>
      </c>
      <c r="J853" s="94">
        <v>2.56</v>
      </c>
      <c r="K853" s="94">
        <v>2.34</v>
      </c>
      <c r="L853" s="94">
        <v>2.4900000000000002</v>
      </c>
      <c r="M853" s="94">
        <v>3319619</v>
      </c>
      <c r="N853" s="94" t="s">
        <v>887</v>
      </c>
      <c r="O853" s="25">
        <f t="shared" si="29"/>
        <v>-2.4096385542168641E-2</v>
      </c>
    </row>
    <row r="854" spans="1:15">
      <c r="A854" s="94">
        <v>412.52644900777841</v>
      </c>
      <c r="B854" s="94">
        <v>413.05541698076587</v>
      </c>
      <c r="C854" s="94">
        <v>410.71424391513619</v>
      </c>
      <c r="D854" s="94">
        <v>411.2334161849202</v>
      </c>
      <c r="E854" s="94">
        <v>3315995.7305045594</v>
      </c>
      <c r="F854" s="94" t="s">
        <v>888</v>
      </c>
      <c r="G854" s="25">
        <f t="shared" si="28"/>
        <v>3.1442795550369329E-3</v>
      </c>
      <c r="I854" s="94">
        <v>2.57</v>
      </c>
      <c r="J854" s="94">
        <v>2.59</v>
      </c>
      <c r="K854" s="94">
        <v>2.5249999999999999</v>
      </c>
      <c r="L854" s="94">
        <v>2.58</v>
      </c>
      <c r="M854" s="94">
        <v>2178877</v>
      </c>
      <c r="N854" s="94" t="s">
        <v>888</v>
      </c>
      <c r="O854" s="25">
        <f t="shared" si="29"/>
        <v>-3.8759689922481799E-3</v>
      </c>
    </row>
    <row r="855" spans="1:15">
      <c r="A855" s="94">
        <v>409.32325406024336</v>
      </c>
      <c r="B855" s="94">
        <v>413.05541698076587</v>
      </c>
      <c r="C855" s="94">
        <v>408.9314259321045</v>
      </c>
      <c r="D855" s="94">
        <v>412.99664276154499</v>
      </c>
      <c r="E855" s="94">
        <v>4289432.7367034713</v>
      </c>
      <c r="F855" s="94" t="s">
        <v>889</v>
      </c>
      <c r="G855" s="25">
        <f t="shared" si="28"/>
        <v>-8.8944759374777194E-3</v>
      </c>
      <c r="I855" s="94">
        <v>2.59</v>
      </c>
      <c r="J855" s="94">
        <v>2.66</v>
      </c>
      <c r="K855" s="94">
        <v>2.5649999999999999</v>
      </c>
      <c r="L855" s="94">
        <v>2.6</v>
      </c>
      <c r="M855" s="94">
        <v>1507811</v>
      </c>
      <c r="N855" s="94" t="s">
        <v>889</v>
      </c>
      <c r="O855" s="25">
        <f t="shared" si="29"/>
        <v>-3.8461538461539435E-3</v>
      </c>
    </row>
    <row r="856" spans="1:15">
      <c r="A856" s="94">
        <v>411.03750212085077</v>
      </c>
      <c r="B856" s="94">
        <v>411.87993259634931</v>
      </c>
      <c r="C856" s="94">
        <v>409.46039390509196</v>
      </c>
      <c r="D856" s="94">
        <v>409.79344781400994</v>
      </c>
      <c r="E856" s="94">
        <v>3490594.7321764301</v>
      </c>
      <c r="F856" s="94" t="s">
        <v>890</v>
      </c>
      <c r="G856" s="25">
        <f t="shared" si="28"/>
        <v>3.0358081942918336E-3</v>
      </c>
      <c r="I856" s="94">
        <v>2.56</v>
      </c>
      <c r="J856" s="94">
        <v>2.5979999999999999</v>
      </c>
      <c r="K856" s="94">
        <v>2.5249999999999999</v>
      </c>
      <c r="L856" s="94">
        <v>2.5499999999999998</v>
      </c>
      <c r="M856" s="94">
        <v>1340517</v>
      </c>
      <c r="N856" s="94" t="s">
        <v>890</v>
      </c>
      <c r="O856" s="25">
        <f t="shared" si="29"/>
        <v>3.9215686274509665E-3</v>
      </c>
    </row>
    <row r="857" spans="1:15">
      <c r="A857" s="94">
        <v>411.16484626249593</v>
      </c>
      <c r="B857" s="94">
        <v>411.29219040414102</v>
      </c>
      <c r="C857" s="94">
        <v>408.97060874491837</v>
      </c>
      <c r="D857" s="94">
        <v>410.09711461331756</v>
      </c>
      <c r="E857" s="94">
        <v>5927169.1673371857</v>
      </c>
      <c r="F857" s="94" t="s">
        <v>891</v>
      </c>
      <c r="G857" s="25">
        <f t="shared" si="28"/>
        <v>2.6036068314820859E-3</v>
      </c>
      <c r="I857" s="94">
        <v>2.57</v>
      </c>
      <c r="J857" s="94">
        <v>2.57</v>
      </c>
      <c r="K857" s="94">
        <v>2.4900000000000002</v>
      </c>
      <c r="L857" s="94">
        <v>2.5</v>
      </c>
      <c r="M857" s="94">
        <v>875001</v>
      </c>
      <c r="N857" s="94" t="s">
        <v>891</v>
      </c>
      <c r="O857" s="25">
        <f t="shared" si="29"/>
        <v>2.8000000000000025E-2</v>
      </c>
    </row>
    <row r="858" spans="1:15">
      <c r="A858" s="94">
        <v>413.24153534163179</v>
      </c>
      <c r="B858" s="94">
        <v>413.74111620500884</v>
      </c>
      <c r="C858" s="94">
        <v>409.7052864851787</v>
      </c>
      <c r="D858" s="94">
        <v>410.27343727098003</v>
      </c>
      <c r="E858" s="94">
        <v>5077353.7097751191</v>
      </c>
      <c r="F858" s="94" t="s">
        <v>892</v>
      </c>
      <c r="G858" s="25">
        <f t="shared" si="28"/>
        <v>7.2344387937828269E-3</v>
      </c>
      <c r="I858" s="94">
        <v>2.5299999999999998</v>
      </c>
      <c r="J858" s="94">
        <v>2.54</v>
      </c>
      <c r="K858" s="94">
        <v>2.3809999999999998</v>
      </c>
      <c r="L858" s="94">
        <v>2.41</v>
      </c>
      <c r="M858" s="94">
        <v>1069394</v>
      </c>
      <c r="N858" s="94" t="s">
        <v>892</v>
      </c>
      <c r="O858" s="25">
        <f t="shared" si="29"/>
        <v>4.9792531120331773E-2</v>
      </c>
    </row>
    <row r="859" spans="1:15">
      <c r="A859" s="94">
        <v>410.83179235357784</v>
      </c>
      <c r="B859" s="94">
        <v>411.12566344968201</v>
      </c>
      <c r="C859" s="94">
        <v>408.05960834699556</v>
      </c>
      <c r="D859" s="94">
        <v>409.98936187807942</v>
      </c>
      <c r="E859" s="94">
        <v>4497573.9959524777</v>
      </c>
      <c r="F859" s="94" t="s">
        <v>893</v>
      </c>
      <c r="G859" s="25">
        <f t="shared" si="28"/>
        <v>2.0547617909874027E-3</v>
      </c>
      <c r="I859" s="94">
        <v>2.4300000000000002</v>
      </c>
      <c r="J859" s="94">
        <v>2.4900000000000002</v>
      </c>
      <c r="K859" s="94">
        <v>2.42</v>
      </c>
      <c r="L859" s="94">
        <v>2.46</v>
      </c>
      <c r="M859" s="94">
        <v>859349</v>
      </c>
      <c r="N859" s="94" t="s">
        <v>893</v>
      </c>
      <c r="O859" s="25">
        <f t="shared" si="29"/>
        <v>-1.2195121951219412E-2</v>
      </c>
    </row>
    <row r="860" spans="1:15">
      <c r="A860" s="94">
        <v>409.24488843461552</v>
      </c>
      <c r="B860" s="94">
        <v>412.5166533045749</v>
      </c>
      <c r="C860" s="94">
        <v>408.83836675167151</v>
      </c>
      <c r="D860" s="94">
        <v>411.47772102281476</v>
      </c>
      <c r="E860" s="94">
        <v>4177972.6426886683</v>
      </c>
      <c r="F860" s="94" t="s">
        <v>894</v>
      </c>
      <c r="G860" s="25">
        <f t="shared" ref="G860:G923" si="30">A860/D860-1</f>
        <v>-5.4263754126203656E-3</v>
      </c>
      <c r="I860" s="94">
        <v>2.4700000000000002</v>
      </c>
      <c r="J860" s="94">
        <v>2.56</v>
      </c>
      <c r="K860" s="94">
        <v>2.44</v>
      </c>
      <c r="L860" s="94">
        <v>2.5</v>
      </c>
      <c r="M860" s="94">
        <v>1001643</v>
      </c>
      <c r="N860" s="94" t="s">
        <v>894</v>
      </c>
      <c r="O860" s="25">
        <f t="shared" ref="O860:O923" si="31">I860/L860-1</f>
        <v>-1.19999999999999E-2</v>
      </c>
    </row>
    <row r="861" spans="1:15">
      <c r="A861" s="94">
        <v>409.50937242110928</v>
      </c>
      <c r="B861" s="94">
        <v>410.68485680552584</v>
      </c>
      <c r="C861" s="94">
        <v>408.19674819184416</v>
      </c>
      <c r="D861" s="94">
        <v>408.72571616483162</v>
      </c>
      <c r="E861" s="94">
        <v>3452985.3852671185</v>
      </c>
      <c r="F861" s="94" t="s">
        <v>895</v>
      </c>
      <c r="G861" s="25">
        <f t="shared" si="30"/>
        <v>1.9173157579388533E-3</v>
      </c>
      <c r="I861" s="94">
        <v>2.46</v>
      </c>
      <c r="J861" s="94">
        <v>2.48</v>
      </c>
      <c r="K861" s="94">
        <v>2.375</v>
      </c>
      <c r="L861" s="94">
        <v>2.42</v>
      </c>
      <c r="M861" s="94">
        <v>578786</v>
      </c>
      <c r="N861" s="94" t="s">
        <v>895</v>
      </c>
      <c r="O861" s="25">
        <f t="shared" si="31"/>
        <v>1.6528925619834656E-2</v>
      </c>
    </row>
    <row r="862" spans="1:15">
      <c r="A862" s="94">
        <v>409.10774858976697</v>
      </c>
      <c r="B862" s="94">
        <v>409.97692133501101</v>
      </c>
      <c r="C862" s="94">
        <v>408.70612475842466</v>
      </c>
      <c r="D862" s="94">
        <v>409.25468413781908</v>
      </c>
      <c r="E862" s="94">
        <v>3708311.6184173571</v>
      </c>
      <c r="F862" s="94" t="s">
        <v>896</v>
      </c>
      <c r="G862" s="25">
        <f t="shared" si="30"/>
        <v>-3.5903204959442103E-4</v>
      </c>
      <c r="I862" s="94">
        <v>2.4300000000000002</v>
      </c>
      <c r="J862" s="94">
        <v>2.5099999999999998</v>
      </c>
      <c r="K862" s="94">
        <v>2.415</v>
      </c>
      <c r="L862" s="94">
        <v>2.46</v>
      </c>
      <c r="M862" s="94">
        <v>819177</v>
      </c>
      <c r="N862" s="94" t="s">
        <v>896</v>
      </c>
      <c r="O862" s="25">
        <f t="shared" si="31"/>
        <v>-1.2195121951219412E-2</v>
      </c>
    </row>
    <row r="863" spans="1:15">
      <c r="A863" s="94">
        <v>409.82283492362035</v>
      </c>
      <c r="B863" s="94">
        <v>409.94038336206205</v>
      </c>
      <c r="C863" s="94">
        <v>409.3036626538364</v>
      </c>
      <c r="D863" s="94">
        <v>409.64651226595788</v>
      </c>
      <c r="E863" s="94">
        <v>1379453.7992139023</v>
      </c>
      <c r="F863" s="94" t="s">
        <v>897</v>
      </c>
      <c r="G863" s="25">
        <f t="shared" si="30"/>
        <v>4.304263612233683E-4</v>
      </c>
      <c r="I863" s="94">
        <v>2.4700000000000002</v>
      </c>
      <c r="J863" s="94">
        <v>2.4700000000000002</v>
      </c>
      <c r="K863" s="94">
        <v>2.36</v>
      </c>
      <c r="L863" s="94">
        <v>2.41</v>
      </c>
      <c r="M863" s="94">
        <v>363875</v>
      </c>
      <c r="N863" s="94" t="s">
        <v>897</v>
      </c>
      <c r="O863" s="25">
        <f t="shared" si="31"/>
        <v>2.4896265560165887E-2</v>
      </c>
    </row>
    <row r="864" spans="1:15">
      <c r="A864" s="94">
        <v>409.59753374994051</v>
      </c>
      <c r="B864" s="94">
        <v>410.74363102474666</v>
      </c>
      <c r="C864" s="94">
        <v>408.53959780396565</v>
      </c>
      <c r="D864" s="94">
        <v>409.52896382751624</v>
      </c>
      <c r="E864" s="94">
        <v>3771106.4976846292</v>
      </c>
      <c r="F864" s="94" t="s">
        <v>898</v>
      </c>
      <c r="G864" s="25">
        <f t="shared" si="30"/>
        <v>1.6743607529834392E-4</v>
      </c>
      <c r="I864" s="94">
        <v>2.4</v>
      </c>
      <c r="J864" s="94">
        <v>2.4300000000000002</v>
      </c>
      <c r="K864" s="94">
        <v>2.36</v>
      </c>
      <c r="L864" s="94">
        <v>2.4</v>
      </c>
      <c r="M864" s="94">
        <v>701781</v>
      </c>
      <c r="N864" s="94" t="s">
        <v>898</v>
      </c>
      <c r="O864" s="25">
        <f t="shared" si="31"/>
        <v>0</v>
      </c>
    </row>
    <row r="865" spans="1:15">
      <c r="A865" s="94">
        <v>407.83430717331572</v>
      </c>
      <c r="B865" s="94">
        <v>408.32409233348926</v>
      </c>
      <c r="C865" s="94">
        <v>406.81555404015472</v>
      </c>
      <c r="D865" s="94">
        <v>407.89308139253654</v>
      </c>
      <c r="E865" s="94">
        <v>5357641.9078727392</v>
      </c>
      <c r="F865" s="94" t="s">
        <v>899</v>
      </c>
      <c r="G865" s="25">
        <f t="shared" si="30"/>
        <v>-1.4409221902011993E-4</v>
      </c>
      <c r="I865" s="94">
        <v>2.36</v>
      </c>
      <c r="J865" s="94">
        <v>2.4500000000000002</v>
      </c>
      <c r="K865" s="94">
        <v>2.3450000000000002</v>
      </c>
      <c r="L865" s="94">
        <v>2.4300000000000002</v>
      </c>
      <c r="M865" s="94">
        <v>706519</v>
      </c>
      <c r="N865" s="94" t="s">
        <v>899</v>
      </c>
      <c r="O865" s="25">
        <f t="shared" si="31"/>
        <v>-2.8806584362140009E-2</v>
      </c>
    </row>
    <row r="866" spans="1:15">
      <c r="A866" s="94">
        <v>408.90203882249409</v>
      </c>
      <c r="B866" s="94">
        <v>409.65630796916133</v>
      </c>
      <c r="C866" s="94">
        <v>405.52242326026453</v>
      </c>
      <c r="D866" s="94">
        <v>405.53231692050002</v>
      </c>
      <c r="E866" s="94">
        <v>3597916.2769561326</v>
      </c>
      <c r="F866" s="94" t="s">
        <v>900</v>
      </c>
      <c r="G866" s="25">
        <f t="shared" si="30"/>
        <v>8.3093794536099885E-3</v>
      </c>
      <c r="I866" s="94">
        <v>2.4300000000000002</v>
      </c>
      <c r="J866" s="94">
        <v>2.4449999999999998</v>
      </c>
      <c r="K866" s="94">
        <v>2.3250000000000002</v>
      </c>
      <c r="L866" s="94">
        <v>2.34</v>
      </c>
      <c r="M866" s="94">
        <v>1009070</v>
      </c>
      <c r="N866" s="94" t="s">
        <v>900</v>
      </c>
      <c r="O866" s="25">
        <f t="shared" si="31"/>
        <v>3.8461538461538547E-2</v>
      </c>
    </row>
    <row r="867" spans="1:15">
      <c r="A867" s="94">
        <v>405.84577942301109</v>
      </c>
      <c r="B867" s="94">
        <v>406.31597317677773</v>
      </c>
      <c r="C867" s="94">
        <v>404.43519816171124</v>
      </c>
      <c r="D867" s="94">
        <v>405.48333840448265</v>
      </c>
      <c r="E867" s="94">
        <v>4798163.9524710281</v>
      </c>
      <c r="F867" s="94" t="s">
        <v>901</v>
      </c>
      <c r="G867" s="25">
        <f t="shared" si="30"/>
        <v>8.9384935014735767E-4</v>
      </c>
      <c r="I867" s="94">
        <v>2.35</v>
      </c>
      <c r="J867" s="94">
        <v>2.4</v>
      </c>
      <c r="K867" s="94">
        <v>2.2599999999999998</v>
      </c>
      <c r="L867" s="94">
        <v>2.3199999999999998</v>
      </c>
      <c r="M867" s="94">
        <v>1446416</v>
      </c>
      <c r="N867" s="94" t="s">
        <v>901</v>
      </c>
      <c r="O867" s="25">
        <f t="shared" si="31"/>
        <v>1.2931034482758674E-2</v>
      </c>
    </row>
    <row r="868" spans="1:15">
      <c r="A868" s="94">
        <v>405.24824152759936</v>
      </c>
      <c r="B868" s="94">
        <v>405.4931341076861</v>
      </c>
      <c r="C868" s="94">
        <v>403.33807940292252</v>
      </c>
      <c r="D868" s="94">
        <v>404.30785402006615</v>
      </c>
      <c r="E868" s="94">
        <v>3878117.7023144872</v>
      </c>
      <c r="F868" s="94" t="s">
        <v>902</v>
      </c>
      <c r="G868" s="25">
        <f t="shared" si="30"/>
        <v>2.3259194650384618E-3</v>
      </c>
      <c r="I868" s="94">
        <v>2.31</v>
      </c>
      <c r="J868" s="94">
        <v>2.3679999999999999</v>
      </c>
      <c r="K868" s="94">
        <v>2.27</v>
      </c>
      <c r="L868" s="94">
        <v>2.36</v>
      </c>
      <c r="M868" s="94">
        <v>931936</v>
      </c>
      <c r="N868" s="94" t="s">
        <v>902</v>
      </c>
      <c r="O868" s="25">
        <f t="shared" si="31"/>
        <v>-2.1186440677966045E-2</v>
      </c>
    </row>
    <row r="869" spans="1:15">
      <c r="A869" s="94">
        <v>404.68009074179804</v>
      </c>
      <c r="B869" s="94">
        <v>406.24740325435346</v>
      </c>
      <c r="C869" s="94">
        <v>403.9454130015377</v>
      </c>
      <c r="D869" s="94">
        <v>405.09151027634385</v>
      </c>
      <c r="E869" s="94">
        <v>4506881.1378805526</v>
      </c>
      <c r="F869" s="94" t="s">
        <v>903</v>
      </c>
      <c r="G869" s="25">
        <f t="shared" si="30"/>
        <v>-1.0156212216473337E-3</v>
      </c>
      <c r="I869" s="94">
        <v>2.38</v>
      </c>
      <c r="J869" s="94">
        <v>2.5499999999999998</v>
      </c>
      <c r="K869" s="94">
        <v>2.36</v>
      </c>
      <c r="L869" s="94">
        <v>2.42</v>
      </c>
      <c r="M869" s="94">
        <v>1666023</v>
      </c>
      <c r="N869" s="94" t="s">
        <v>903</v>
      </c>
      <c r="O869" s="25">
        <f t="shared" si="31"/>
        <v>-1.6528925619834767E-2</v>
      </c>
    </row>
    <row r="870" spans="1:15">
      <c r="A870" s="94">
        <v>403.79847745348565</v>
      </c>
      <c r="B870" s="94">
        <v>405.06212316673339</v>
      </c>
      <c r="C870" s="94">
        <v>401.51176849766733</v>
      </c>
      <c r="D870" s="94">
        <v>401.66301415512896</v>
      </c>
      <c r="E870" s="94">
        <v>7118544.5854760921</v>
      </c>
      <c r="F870" s="94" t="s">
        <v>904</v>
      </c>
      <c r="G870" s="25">
        <f t="shared" si="30"/>
        <v>5.3165544824895772E-3</v>
      </c>
      <c r="I870" s="94">
        <v>2.42</v>
      </c>
      <c r="J870" s="94">
        <v>2.44</v>
      </c>
      <c r="K870" s="94">
        <v>2.3199999999999998</v>
      </c>
      <c r="L870" s="94">
        <v>2.3199999999999998</v>
      </c>
      <c r="M870" s="94">
        <v>1590367</v>
      </c>
      <c r="N870" s="94" t="s">
        <v>904</v>
      </c>
      <c r="O870" s="25">
        <f t="shared" si="31"/>
        <v>4.31034482758621E-2</v>
      </c>
    </row>
    <row r="871" spans="1:15">
      <c r="A871" s="94">
        <v>396.18721606438856</v>
      </c>
      <c r="B871" s="94">
        <v>397.20596919754962</v>
      </c>
      <c r="C871" s="94">
        <v>394.59051644222279</v>
      </c>
      <c r="D871" s="94">
        <v>395.34478558889003</v>
      </c>
      <c r="E871" s="94">
        <v>2932858.3566945717</v>
      </c>
      <c r="F871" s="94" t="s">
        <v>905</v>
      </c>
      <c r="G871" s="25">
        <f t="shared" si="30"/>
        <v>2.1308753933446667E-3</v>
      </c>
      <c r="I871" s="94">
        <v>2.2400000000000002</v>
      </c>
      <c r="J871" s="94">
        <v>2.2599999999999998</v>
      </c>
      <c r="K871" s="94">
        <v>2.16</v>
      </c>
      <c r="L871" s="94">
        <v>2.17</v>
      </c>
      <c r="M871" s="94">
        <v>953562</v>
      </c>
      <c r="N871" s="94" t="s">
        <v>905</v>
      </c>
      <c r="O871" s="25">
        <f t="shared" si="31"/>
        <v>3.2258064516129226E-2</v>
      </c>
    </row>
    <row r="872" spans="1:15">
      <c r="A872" s="94">
        <v>396.58883989573093</v>
      </c>
      <c r="B872" s="94">
        <v>396.83275290549733</v>
      </c>
      <c r="C872" s="94">
        <v>390.98569766334543</v>
      </c>
      <c r="D872" s="94">
        <v>392.40607462784874</v>
      </c>
      <c r="E872" s="94">
        <v>4077746.0454136403</v>
      </c>
      <c r="F872" s="94" t="s">
        <v>906</v>
      </c>
      <c r="G872" s="25">
        <f t="shared" si="30"/>
        <v>1.065927756559093E-2</v>
      </c>
      <c r="I872" s="94">
        <v>2.17</v>
      </c>
      <c r="J872" s="94">
        <v>2.19</v>
      </c>
      <c r="K872" s="94">
        <v>2.085</v>
      </c>
      <c r="L872" s="94">
        <v>2.13</v>
      </c>
      <c r="M872" s="94">
        <v>1012497</v>
      </c>
      <c r="N872" s="94" t="s">
        <v>906</v>
      </c>
      <c r="O872" s="25">
        <f t="shared" si="31"/>
        <v>1.8779342723004744E-2</v>
      </c>
    </row>
    <row r="873" spans="1:15">
      <c r="A873" s="94">
        <v>390.49591250317189</v>
      </c>
      <c r="B873" s="94">
        <v>394.64929066144362</v>
      </c>
      <c r="C873" s="94">
        <v>390.07469726542263</v>
      </c>
      <c r="D873" s="94">
        <v>394.58072073901934</v>
      </c>
      <c r="E873" s="94">
        <v>4232074.935193019</v>
      </c>
      <c r="F873" s="94" t="s">
        <v>907</v>
      </c>
      <c r="G873" s="25">
        <f t="shared" si="30"/>
        <v>-1.0352275266254596E-2</v>
      </c>
      <c r="I873" s="94">
        <v>2.1</v>
      </c>
      <c r="J873" s="94">
        <v>2.23</v>
      </c>
      <c r="K873" s="94">
        <v>2.08</v>
      </c>
      <c r="L873" s="94">
        <v>2.23</v>
      </c>
      <c r="M873" s="94">
        <v>1174596</v>
      </c>
      <c r="N873" s="94" t="s">
        <v>907</v>
      </c>
      <c r="O873" s="25">
        <f t="shared" si="31"/>
        <v>-5.8295964125560484E-2</v>
      </c>
    </row>
    <row r="874" spans="1:15">
      <c r="A874" s="94">
        <v>393.46401057382366</v>
      </c>
      <c r="B874" s="94">
        <v>394.27960082254458</v>
      </c>
      <c r="C874" s="94">
        <v>391.39711719789125</v>
      </c>
      <c r="D874" s="94">
        <v>393.77747307633473</v>
      </c>
      <c r="E874" s="94">
        <v>3809688.7201294741</v>
      </c>
      <c r="F874" s="94" t="s">
        <v>908</v>
      </c>
      <c r="G874" s="25">
        <f t="shared" si="30"/>
        <v>-7.9603970248010025E-4</v>
      </c>
      <c r="I874" s="94">
        <v>2.1800000000000002</v>
      </c>
      <c r="J874" s="94">
        <v>2.33</v>
      </c>
      <c r="K874" s="94">
        <v>2.16</v>
      </c>
      <c r="L874" s="94">
        <v>2.33</v>
      </c>
      <c r="M874" s="94">
        <v>873696</v>
      </c>
      <c r="N874" s="94" t="s">
        <v>908</v>
      </c>
      <c r="O874" s="25">
        <f t="shared" si="31"/>
        <v>-6.4377682403433445E-2</v>
      </c>
    </row>
    <row r="875" spans="1:15">
      <c r="A875" s="94">
        <v>393.14075236810908</v>
      </c>
      <c r="B875" s="94">
        <v>393.8264515923521</v>
      </c>
      <c r="C875" s="94">
        <v>391.07385899217672</v>
      </c>
      <c r="D875" s="94">
        <v>392.08281642213421</v>
      </c>
      <c r="E875" s="94">
        <v>3428623.6835043048</v>
      </c>
      <c r="F875" s="94" t="s">
        <v>909</v>
      </c>
      <c r="G875" s="25">
        <f t="shared" si="30"/>
        <v>2.6982461400089086E-3</v>
      </c>
      <c r="I875" s="94">
        <v>2.29</v>
      </c>
      <c r="J875" s="94">
        <v>2.36</v>
      </c>
      <c r="K875" s="94">
        <v>2.25</v>
      </c>
      <c r="L875" s="94">
        <v>2.2599999999999998</v>
      </c>
      <c r="M875" s="94">
        <v>1359117</v>
      </c>
      <c r="N875" s="94" t="s">
        <v>909</v>
      </c>
      <c r="O875" s="25">
        <f t="shared" si="31"/>
        <v>1.3274336283185972E-2</v>
      </c>
    </row>
    <row r="876" spans="1:15">
      <c r="A876" s="94">
        <v>392.03383790611684</v>
      </c>
      <c r="B876" s="94">
        <v>392.54615318365842</v>
      </c>
      <c r="C876" s="94">
        <v>390.31958984550937</v>
      </c>
      <c r="D876" s="94">
        <v>391.94567657728561</v>
      </c>
      <c r="E876" s="94">
        <v>4090676.2044200012</v>
      </c>
      <c r="F876" s="94" t="s">
        <v>910</v>
      </c>
      <c r="G876" s="25">
        <f t="shared" si="30"/>
        <v>2.2493252024391452E-4</v>
      </c>
      <c r="I876" s="94">
        <v>2.2599999999999998</v>
      </c>
      <c r="J876" s="94">
        <v>2.2999999999999998</v>
      </c>
      <c r="K876" s="94">
        <v>2.23</v>
      </c>
      <c r="L876" s="94">
        <v>2.2599999999999998</v>
      </c>
      <c r="M876" s="94">
        <v>961302</v>
      </c>
      <c r="N876" s="94" t="s">
        <v>910</v>
      </c>
      <c r="O876" s="25">
        <f t="shared" si="31"/>
        <v>0</v>
      </c>
    </row>
    <row r="877" spans="1:15">
      <c r="A877" s="94">
        <v>391.27956875944955</v>
      </c>
      <c r="B877" s="94">
        <v>392.66076291113905</v>
      </c>
      <c r="C877" s="94">
        <v>389.71225624689419</v>
      </c>
      <c r="D877" s="94">
        <v>389.79062187252197</v>
      </c>
      <c r="E877" s="94">
        <v>6106182.3492982965</v>
      </c>
      <c r="F877" s="94" t="s">
        <v>911</v>
      </c>
      <c r="G877" s="25">
        <f t="shared" si="30"/>
        <v>3.8198632891033313E-3</v>
      </c>
      <c r="I877" s="94">
        <v>2.2799999999999998</v>
      </c>
      <c r="J877" s="94">
        <v>2.36</v>
      </c>
      <c r="K877" s="94">
        <v>2.2400000000000002</v>
      </c>
      <c r="L877" s="94">
        <v>2.35</v>
      </c>
      <c r="M877" s="94">
        <v>1460832</v>
      </c>
      <c r="N877" s="94" t="s">
        <v>911</v>
      </c>
      <c r="O877" s="25">
        <f t="shared" si="31"/>
        <v>-2.9787234042553346E-2</v>
      </c>
    </row>
    <row r="878" spans="1:15">
      <c r="A878" s="94">
        <v>387.69434138697915</v>
      </c>
      <c r="B878" s="94">
        <v>387.82129370049614</v>
      </c>
      <c r="C878" s="94">
        <v>383.91319995043932</v>
      </c>
      <c r="D878" s="94">
        <v>383.92299565364277</v>
      </c>
      <c r="E878" s="94">
        <v>4851273.9731804803</v>
      </c>
      <c r="F878" s="94" t="s">
        <v>912</v>
      </c>
      <c r="G878" s="25">
        <f t="shared" si="30"/>
        <v>9.8231827111985304E-3</v>
      </c>
      <c r="I878" s="94">
        <v>2.2599999999999998</v>
      </c>
      <c r="J878" s="94">
        <v>2.27</v>
      </c>
      <c r="K878" s="94">
        <v>2.12</v>
      </c>
      <c r="L878" s="94">
        <v>2.12</v>
      </c>
      <c r="M878" s="94">
        <v>1415568</v>
      </c>
      <c r="N878" s="94" t="s">
        <v>912</v>
      </c>
      <c r="O878" s="25">
        <f t="shared" si="31"/>
        <v>6.6037735849056478E-2</v>
      </c>
    </row>
    <row r="879" spans="1:15">
      <c r="A879" s="94">
        <v>380.46511242281747</v>
      </c>
      <c r="B879" s="94">
        <v>381.13122024065348</v>
      </c>
      <c r="C879" s="94">
        <v>376.76233661190543</v>
      </c>
      <c r="D879" s="94">
        <v>377.2227346624685</v>
      </c>
      <c r="E879" s="94">
        <v>5664890.9064881224</v>
      </c>
      <c r="F879" s="94" t="s">
        <v>913</v>
      </c>
      <c r="G879" s="25">
        <f t="shared" si="30"/>
        <v>8.5953932846867254E-3</v>
      </c>
      <c r="I879" s="94">
        <v>2.06</v>
      </c>
      <c r="J879" s="94">
        <v>2.2000000000000002</v>
      </c>
      <c r="K879" s="94">
        <v>2.04</v>
      </c>
      <c r="L879" s="94">
        <v>2.14</v>
      </c>
      <c r="M879" s="94">
        <v>1342707</v>
      </c>
      <c r="N879" s="94" t="s">
        <v>913</v>
      </c>
      <c r="O879" s="25">
        <f t="shared" si="31"/>
        <v>-3.7383177570093462E-2</v>
      </c>
    </row>
    <row r="880" spans="1:15">
      <c r="A880" s="94">
        <v>376.3215299677492</v>
      </c>
      <c r="B880" s="94">
        <v>376.62519676705682</v>
      </c>
      <c r="C880" s="94">
        <v>372.78528111129611</v>
      </c>
      <c r="D880" s="94">
        <v>374.53871198471751</v>
      </c>
      <c r="E880" s="94">
        <v>4617493.921617819</v>
      </c>
      <c r="F880" s="94" t="s">
        <v>914</v>
      </c>
      <c r="G880" s="25">
        <f t="shared" si="30"/>
        <v>4.7600366156661522E-3</v>
      </c>
      <c r="I880" s="94">
        <v>2.16</v>
      </c>
      <c r="J880" s="94">
        <v>2.2200000000000002</v>
      </c>
      <c r="K880" s="94">
        <v>2.12</v>
      </c>
      <c r="L880" s="94">
        <v>2.12</v>
      </c>
      <c r="M880" s="94">
        <v>1835435</v>
      </c>
      <c r="N880" s="94" t="s">
        <v>914</v>
      </c>
      <c r="O880" s="25">
        <f t="shared" si="31"/>
        <v>1.8867924528301883E-2</v>
      </c>
    </row>
    <row r="881" spans="1:15">
      <c r="A881" s="94">
        <v>374.05872252774742</v>
      </c>
      <c r="B881" s="94">
        <v>374.97951862887368</v>
      </c>
      <c r="C881" s="94">
        <v>370.97307601865396</v>
      </c>
      <c r="D881" s="94">
        <v>372.14856040307052</v>
      </c>
      <c r="E881" s="94">
        <v>5916635.9776460733</v>
      </c>
      <c r="F881" s="94" t="s">
        <v>915</v>
      </c>
      <c r="G881" s="25">
        <f t="shared" si="30"/>
        <v>5.1327946092496468E-3</v>
      </c>
      <c r="I881" s="94">
        <v>2.11</v>
      </c>
      <c r="J881" s="94">
        <v>2.17</v>
      </c>
      <c r="K881" s="94">
        <v>2.0699999999999998</v>
      </c>
      <c r="L881" s="94">
        <v>2.08</v>
      </c>
      <c r="M881" s="94">
        <v>1131907</v>
      </c>
      <c r="N881" s="94" t="s">
        <v>915</v>
      </c>
      <c r="O881" s="25">
        <f t="shared" si="31"/>
        <v>1.4423076923076872E-2</v>
      </c>
    </row>
    <row r="882" spans="1:15">
      <c r="A882" s="94">
        <v>369.61147327337147</v>
      </c>
      <c r="B882" s="94">
        <v>373.1085393170107</v>
      </c>
      <c r="C882" s="94">
        <v>368.2645640828942</v>
      </c>
      <c r="D882" s="94">
        <v>372.7558940016857</v>
      </c>
      <c r="E882" s="94">
        <v>5756352.4362415485</v>
      </c>
      <c r="F882" s="94" t="s">
        <v>916</v>
      </c>
      <c r="G882" s="25">
        <f t="shared" si="30"/>
        <v>-8.4356029747982841E-3</v>
      </c>
      <c r="I882" s="94">
        <v>2.0699999999999998</v>
      </c>
      <c r="J882" s="94">
        <v>2.1499000000000001</v>
      </c>
      <c r="K882" s="94">
        <v>2.0699999999999998</v>
      </c>
      <c r="L882" s="94">
        <v>2.12</v>
      </c>
      <c r="M882" s="94">
        <v>1105148</v>
      </c>
      <c r="N882" s="94" t="s">
        <v>916</v>
      </c>
      <c r="O882" s="25">
        <f t="shared" si="31"/>
        <v>-2.358490566037752E-2</v>
      </c>
    </row>
    <row r="883" spans="1:15">
      <c r="A883" s="94">
        <v>371.25715141155467</v>
      </c>
      <c r="B883" s="94">
        <v>375.56442006715292</v>
      </c>
      <c r="C883" s="94">
        <v>370.42451663925959</v>
      </c>
      <c r="D883" s="94">
        <v>374.81299167441466</v>
      </c>
      <c r="E883" s="94">
        <v>7104544.5696373712</v>
      </c>
      <c r="F883" s="94" t="s">
        <v>917</v>
      </c>
      <c r="G883" s="25">
        <f t="shared" si="30"/>
        <v>-9.4869717481639304E-3</v>
      </c>
      <c r="I883" s="94">
        <v>2.11</v>
      </c>
      <c r="J883" s="94">
        <v>2.16</v>
      </c>
      <c r="K883" s="94">
        <v>2.0499999999999998</v>
      </c>
      <c r="L883" s="94">
        <v>2.09</v>
      </c>
      <c r="M883" s="94">
        <v>1363441</v>
      </c>
      <c r="N883" s="94" t="s">
        <v>917</v>
      </c>
      <c r="O883" s="25">
        <f t="shared" si="31"/>
        <v>9.5693779904306719E-3</v>
      </c>
    </row>
    <row r="884" spans="1:15">
      <c r="A884" s="94">
        <v>375.87092762038952</v>
      </c>
      <c r="B884" s="94">
        <v>379.75982179216754</v>
      </c>
      <c r="C884" s="94">
        <v>375.29298113138475</v>
      </c>
      <c r="D884" s="94">
        <v>379.68145616653982</v>
      </c>
      <c r="E884" s="94">
        <v>5585320.3045813804</v>
      </c>
      <c r="F884" s="94" t="s">
        <v>918</v>
      </c>
      <c r="G884" s="25">
        <f t="shared" si="30"/>
        <v>-1.0036119711042457E-2</v>
      </c>
      <c r="I884" s="94">
        <v>2.09</v>
      </c>
      <c r="J884" s="94">
        <v>2.1800000000000002</v>
      </c>
      <c r="K884" s="94">
        <v>2.09</v>
      </c>
      <c r="L884" s="94">
        <v>2.1800000000000002</v>
      </c>
      <c r="M884" s="94">
        <v>1189867</v>
      </c>
      <c r="N884" s="94" t="s">
        <v>918</v>
      </c>
      <c r="O884" s="25">
        <f t="shared" si="31"/>
        <v>-4.1284403669724856E-2</v>
      </c>
    </row>
    <row r="885" spans="1:15">
      <c r="A885" s="94">
        <v>381.24876867909518</v>
      </c>
      <c r="B885" s="94">
        <v>382.28711321866308</v>
      </c>
      <c r="C885" s="94">
        <v>378.65290733017537</v>
      </c>
      <c r="D885" s="94">
        <v>380.34756398437582</v>
      </c>
      <c r="E885" s="94">
        <v>4544352.6692627948</v>
      </c>
      <c r="F885" s="94" t="s">
        <v>919</v>
      </c>
      <c r="G885" s="25">
        <f t="shared" si="30"/>
        <v>2.3694241269187621E-3</v>
      </c>
      <c r="I885" s="94">
        <v>2.17</v>
      </c>
      <c r="J885" s="94">
        <v>2.2000000000000002</v>
      </c>
      <c r="K885" s="94">
        <v>2.1</v>
      </c>
      <c r="L885" s="94">
        <v>2.1</v>
      </c>
      <c r="M885" s="94">
        <v>1182392</v>
      </c>
      <c r="N885" s="94" t="s">
        <v>919</v>
      </c>
      <c r="O885" s="25">
        <f t="shared" si="31"/>
        <v>3.3333333333333215E-2</v>
      </c>
    </row>
    <row r="886" spans="1:15">
      <c r="A886" s="94">
        <v>378.41781045329202</v>
      </c>
      <c r="B886" s="94">
        <v>381.97365071615201</v>
      </c>
      <c r="C886" s="94">
        <v>376.00806746523813</v>
      </c>
      <c r="D886" s="94">
        <v>377.60476708740396</v>
      </c>
      <c r="E886" s="94">
        <v>5652612.0534541337</v>
      </c>
      <c r="F886" s="94" t="s">
        <v>920</v>
      </c>
      <c r="G886" s="25">
        <f t="shared" si="30"/>
        <v>2.1531596970010281E-3</v>
      </c>
      <c r="I886" s="94">
        <v>2.11</v>
      </c>
      <c r="J886" s="94">
        <v>2.165</v>
      </c>
      <c r="K886" s="94">
        <v>2.0699999999999998</v>
      </c>
      <c r="L886" s="94">
        <v>2.11</v>
      </c>
      <c r="M886" s="94">
        <v>1795311</v>
      </c>
      <c r="N886" s="94" t="s">
        <v>920</v>
      </c>
      <c r="O886" s="25">
        <f t="shared" si="31"/>
        <v>0</v>
      </c>
    </row>
    <row r="887" spans="1:15">
      <c r="A887" s="94">
        <v>379.08391827112808</v>
      </c>
      <c r="B887" s="94">
        <v>383.81524291840458</v>
      </c>
      <c r="C887" s="94">
        <v>378.93698272307597</v>
      </c>
      <c r="D887" s="94">
        <v>383.38423197745186</v>
      </c>
      <c r="E887" s="94">
        <v>7707066.9079937013</v>
      </c>
      <c r="F887" s="94" t="s">
        <v>921</v>
      </c>
      <c r="G887" s="25">
        <f t="shared" si="30"/>
        <v>-1.1216720322959728E-2</v>
      </c>
      <c r="I887" s="94">
        <v>2.14</v>
      </c>
      <c r="J887" s="94">
        <v>2.2050000000000001</v>
      </c>
      <c r="K887" s="94">
        <v>2.12</v>
      </c>
      <c r="L887" s="94">
        <v>2.19</v>
      </c>
      <c r="M887" s="94">
        <v>1530267</v>
      </c>
      <c r="N887" s="94" t="s">
        <v>921</v>
      </c>
      <c r="O887" s="25">
        <f t="shared" si="31"/>
        <v>-2.2831050228310446E-2</v>
      </c>
    </row>
    <row r="888" spans="1:15">
      <c r="A888" s="94">
        <v>383.86422143442195</v>
      </c>
      <c r="B888" s="94">
        <v>389.4771593700109</v>
      </c>
      <c r="C888" s="94">
        <v>383.14423724896682</v>
      </c>
      <c r="D888" s="94">
        <v>387.88045974784512</v>
      </c>
      <c r="E888" s="94">
        <v>6848822.2444537785</v>
      </c>
      <c r="F888" s="94" t="s">
        <v>922</v>
      </c>
      <c r="G888" s="25">
        <f t="shared" si="30"/>
        <v>-1.0354319771699982E-2</v>
      </c>
      <c r="I888" s="94">
        <v>2.19</v>
      </c>
      <c r="J888" s="94">
        <v>2.2749999999999999</v>
      </c>
      <c r="K888" s="94">
        <v>2.1800000000000002</v>
      </c>
      <c r="L888" s="94">
        <v>2.2599999999999998</v>
      </c>
      <c r="M888" s="94">
        <v>1352005</v>
      </c>
      <c r="N888" s="94" t="s">
        <v>922</v>
      </c>
      <c r="O888" s="25">
        <f t="shared" si="31"/>
        <v>-3.0973451327433565E-2</v>
      </c>
    </row>
    <row r="889" spans="1:15">
      <c r="A889" s="94">
        <v>387.14578200758478</v>
      </c>
      <c r="B889" s="94">
        <v>391.64200977797799</v>
      </c>
      <c r="C889" s="94">
        <v>386.16621168723771</v>
      </c>
      <c r="D889" s="94">
        <v>390.74080508325864</v>
      </c>
      <c r="E889" s="94">
        <v>7482118.2795767868</v>
      </c>
      <c r="F889" s="94" t="s">
        <v>923</v>
      </c>
      <c r="G889" s="25">
        <f t="shared" si="30"/>
        <v>-9.2005314748425659E-3</v>
      </c>
      <c r="I889" s="94">
        <v>2.2599999999999998</v>
      </c>
      <c r="J889" s="94">
        <v>2.4</v>
      </c>
      <c r="K889" s="94">
        <v>2.2400000000000002</v>
      </c>
      <c r="L889" s="94">
        <v>2.38</v>
      </c>
      <c r="M889" s="94">
        <v>966433</v>
      </c>
      <c r="N889" s="94" t="s">
        <v>923</v>
      </c>
      <c r="O889" s="25">
        <f t="shared" si="31"/>
        <v>-5.0420168067226934E-2</v>
      </c>
    </row>
    <row r="890" spans="1:15">
      <c r="A890" s="94">
        <v>392.39627892464529</v>
      </c>
      <c r="B890" s="94">
        <v>394.27705393971172</v>
      </c>
      <c r="C890" s="94">
        <v>389.19063505130936</v>
      </c>
      <c r="D890" s="94">
        <v>389.50654647962131</v>
      </c>
      <c r="E890" s="94">
        <v>4302507.8572271941</v>
      </c>
      <c r="F890" s="94" t="s">
        <v>924</v>
      </c>
      <c r="G890" s="25">
        <f t="shared" si="30"/>
        <v>7.4189573221337124E-3</v>
      </c>
      <c r="I890" s="94">
        <v>2.42</v>
      </c>
      <c r="J890" s="94">
        <v>2.4300000000000002</v>
      </c>
      <c r="K890" s="94">
        <v>2.23</v>
      </c>
      <c r="L890" s="94">
        <v>2.2599999999999998</v>
      </c>
      <c r="M890" s="94">
        <v>1743223</v>
      </c>
      <c r="N890" s="94" t="s">
        <v>924</v>
      </c>
      <c r="O890" s="25">
        <f t="shared" si="31"/>
        <v>7.079646017699126E-2</v>
      </c>
    </row>
    <row r="891" spans="1:15">
      <c r="A891" s="94">
        <v>392.38648322144178</v>
      </c>
      <c r="B891" s="94">
        <v>393.39544065139933</v>
      </c>
      <c r="C891" s="94">
        <v>390.20204140706772</v>
      </c>
      <c r="D891" s="94">
        <v>390.42734258074756</v>
      </c>
      <c r="E891" s="94">
        <v>5258367.7690181229</v>
      </c>
      <c r="F891" s="94" t="s">
        <v>925</v>
      </c>
      <c r="G891" s="25">
        <f t="shared" si="30"/>
        <v>5.0179391323983413E-3</v>
      </c>
      <c r="I891" s="94">
        <v>2.29</v>
      </c>
      <c r="J891" s="94">
        <v>2.29</v>
      </c>
      <c r="K891" s="94">
        <v>2.15</v>
      </c>
      <c r="L891" s="94">
        <v>2.19</v>
      </c>
      <c r="M891" s="94">
        <v>2092382</v>
      </c>
      <c r="N891" s="94" t="s">
        <v>925</v>
      </c>
      <c r="O891" s="25">
        <f t="shared" si="31"/>
        <v>4.5662100456621113E-2</v>
      </c>
    </row>
    <row r="892" spans="1:15">
      <c r="A892" s="94">
        <v>388.32126639200129</v>
      </c>
      <c r="B892" s="94">
        <v>392.76851564637718</v>
      </c>
      <c r="C892" s="94">
        <v>386.89109372429448</v>
      </c>
      <c r="D892" s="94">
        <v>391.64200977797799</v>
      </c>
      <c r="E892" s="94">
        <v>3850891.479300146</v>
      </c>
      <c r="F892" s="94" t="s">
        <v>926</v>
      </c>
      <c r="G892" s="25">
        <f t="shared" si="30"/>
        <v>-8.4790275380806079E-3</v>
      </c>
      <c r="I892" s="94">
        <v>2.1800000000000002</v>
      </c>
      <c r="J892" s="94">
        <v>2.31</v>
      </c>
      <c r="K892" s="94">
        <v>2.17</v>
      </c>
      <c r="L892" s="94">
        <v>2.31</v>
      </c>
      <c r="M892" s="94">
        <v>2250029</v>
      </c>
      <c r="N892" s="94" t="s">
        <v>926</v>
      </c>
      <c r="O892" s="25">
        <f t="shared" si="31"/>
        <v>-5.6277056277056259E-2</v>
      </c>
    </row>
    <row r="893" spans="1:15">
      <c r="A893" s="94">
        <v>390.37836406473019</v>
      </c>
      <c r="B893" s="94">
        <v>393.59135471546875</v>
      </c>
      <c r="C893" s="94">
        <v>388.1057609215249</v>
      </c>
      <c r="D893" s="94">
        <v>393.27789221295768</v>
      </c>
      <c r="E893" s="94">
        <v>3953701.8624937828</v>
      </c>
      <c r="F893" s="94" t="s">
        <v>927</v>
      </c>
      <c r="G893" s="25">
        <f t="shared" si="30"/>
        <v>-7.3727209325497034E-3</v>
      </c>
      <c r="I893" s="94">
        <v>2.2999999999999998</v>
      </c>
      <c r="J893" s="94">
        <v>2.4649999999999999</v>
      </c>
      <c r="K893" s="94">
        <v>2.2610000000000001</v>
      </c>
      <c r="L893" s="94">
        <v>2.4500000000000002</v>
      </c>
      <c r="M893" s="94">
        <v>2748087</v>
      </c>
      <c r="N893" s="94" t="s">
        <v>927</v>
      </c>
      <c r="O893" s="25">
        <f t="shared" si="31"/>
        <v>-6.1224489795918546E-2</v>
      </c>
    </row>
    <row r="894" spans="1:15">
      <c r="A894" s="94">
        <v>392.73912853676677</v>
      </c>
      <c r="B894" s="94">
        <v>392.89585978802228</v>
      </c>
      <c r="C894" s="94">
        <v>389.8591917949463</v>
      </c>
      <c r="D894" s="94">
        <v>392.09261212533767</v>
      </c>
      <c r="E894" s="94">
        <v>4268998.2670342531</v>
      </c>
      <c r="F894" s="94" t="s">
        <v>928</v>
      </c>
      <c r="G894" s="25">
        <f t="shared" si="30"/>
        <v>1.6488870012740797E-3</v>
      </c>
      <c r="I894" s="94">
        <v>2.46</v>
      </c>
      <c r="J894" s="94">
        <v>2.65</v>
      </c>
      <c r="K894" s="94">
        <v>2.4500000000000002</v>
      </c>
      <c r="L894" s="94">
        <v>2.62</v>
      </c>
      <c r="M894" s="94">
        <v>1562837</v>
      </c>
      <c r="N894" s="94" t="s">
        <v>928</v>
      </c>
      <c r="O894" s="25">
        <f t="shared" si="31"/>
        <v>-6.1068702290076438E-2</v>
      </c>
    </row>
    <row r="895" spans="1:15">
      <c r="A895" s="94">
        <v>391.08365469538018</v>
      </c>
      <c r="B895" s="94">
        <v>393.47380627702711</v>
      </c>
      <c r="C895" s="94">
        <v>389.26900067693714</v>
      </c>
      <c r="D895" s="94">
        <v>389.64368632446991</v>
      </c>
      <c r="E895" s="94">
        <v>3358247.9293924696</v>
      </c>
      <c r="F895" s="94" t="s">
        <v>929</v>
      </c>
      <c r="G895" s="25">
        <f t="shared" si="30"/>
        <v>3.6956029866506146E-3</v>
      </c>
      <c r="I895" s="94">
        <v>2.6</v>
      </c>
      <c r="J895" s="94">
        <v>2.69</v>
      </c>
      <c r="K895" s="94">
        <v>2.6</v>
      </c>
      <c r="L895" s="94">
        <v>2.6</v>
      </c>
      <c r="M895" s="94">
        <v>1679688</v>
      </c>
      <c r="N895" s="94" t="s">
        <v>929</v>
      </c>
      <c r="O895" s="25">
        <f t="shared" si="31"/>
        <v>0</v>
      </c>
    </row>
    <row r="896" spans="1:15">
      <c r="A896" s="94">
        <v>389.07553553866859</v>
      </c>
      <c r="B896" s="94">
        <v>389.56532069884213</v>
      </c>
      <c r="C896" s="94">
        <v>384.29523237537467</v>
      </c>
      <c r="D896" s="94">
        <v>384.77522183234476</v>
      </c>
      <c r="E896" s="94">
        <v>3021224.6517955987</v>
      </c>
      <c r="F896" s="94" t="s">
        <v>930</v>
      </c>
      <c r="G896" s="25">
        <f t="shared" si="30"/>
        <v>1.1176171079429809E-2</v>
      </c>
      <c r="I896" s="94">
        <v>2.59</v>
      </c>
      <c r="J896" s="94">
        <v>2.61</v>
      </c>
      <c r="K896" s="94">
        <v>2.5299999999999998</v>
      </c>
      <c r="L896" s="94">
        <v>2.5499999999999998</v>
      </c>
      <c r="M896" s="94">
        <v>1152041</v>
      </c>
      <c r="N896" s="94" t="s">
        <v>930</v>
      </c>
      <c r="O896" s="25">
        <f t="shared" si="31"/>
        <v>1.5686274509803866E-2</v>
      </c>
    </row>
    <row r="897" spans="1:15">
      <c r="A897" s="94">
        <v>386.49926559615568</v>
      </c>
      <c r="B897" s="94">
        <v>387.99311033468501</v>
      </c>
      <c r="C897" s="94">
        <v>378.51615931345486</v>
      </c>
      <c r="D897" s="94">
        <v>379.76961749537105</v>
      </c>
      <c r="E897" s="94">
        <v>4999354.2048769658</v>
      </c>
      <c r="F897" s="94" t="s">
        <v>931</v>
      </c>
      <c r="G897" s="25">
        <f t="shared" si="30"/>
        <v>1.7720343573473629E-2</v>
      </c>
      <c r="I897" s="94">
        <v>2.61</v>
      </c>
      <c r="J897" s="94">
        <v>2.63</v>
      </c>
      <c r="K897" s="94">
        <v>2.5299999999999998</v>
      </c>
      <c r="L897" s="94">
        <v>2.5499999999999998</v>
      </c>
      <c r="M897" s="94">
        <v>927976</v>
      </c>
      <c r="N897" s="94" t="s">
        <v>931</v>
      </c>
      <c r="O897" s="25">
        <f t="shared" si="31"/>
        <v>2.3529411764705799E-2</v>
      </c>
    </row>
    <row r="898" spans="1:15">
      <c r="A898" s="94">
        <v>381.94426360654165</v>
      </c>
      <c r="B898" s="94">
        <v>382.80520796109471</v>
      </c>
      <c r="C898" s="94">
        <v>379.04473545831416</v>
      </c>
      <c r="D898" s="94">
        <v>381.92467220013464</v>
      </c>
      <c r="E898" s="94">
        <v>3398521.7098251195</v>
      </c>
      <c r="F898" s="94" t="s">
        <v>932</v>
      </c>
      <c r="G898" s="25">
        <f t="shared" si="30"/>
        <v>5.1296519531396356E-5</v>
      </c>
      <c r="I898" s="94">
        <v>2.59</v>
      </c>
      <c r="J898" s="94">
        <v>2.62</v>
      </c>
      <c r="K898" s="94">
        <v>2.5049999999999999</v>
      </c>
      <c r="L898" s="94">
        <v>2.58</v>
      </c>
      <c r="M898" s="94">
        <v>1158162</v>
      </c>
      <c r="N898" s="94" t="s">
        <v>932</v>
      </c>
      <c r="O898" s="25">
        <f t="shared" si="31"/>
        <v>3.8759689922480689E-3</v>
      </c>
    </row>
    <row r="899" spans="1:15">
      <c r="A899" s="94">
        <v>382.26752181225618</v>
      </c>
      <c r="B899" s="94">
        <v>382.86505970766791</v>
      </c>
      <c r="C899" s="94">
        <v>378.50597178212325</v>
      </c>
      <c r="D899" s="94">
        <v>379.80880030818491</v>
      </c>
      <c r="E899" s="94">
        <v>4424123.4243033649</v>
      </c>
      <c r="F899" s="94" t="s">
        <v>933</v>
      </c>
      <c r="G899" s="25">
        <f t="shared" si="30"/>
        <v>6.4735769736672388E-3</v>
      </c>
      <c r="I899" s="94">
        <v>2.58</v>
      </c>
      <c r="J899" s="94">
        <v>2.61</v>
      </c>
      <c r="K899" s="94">
        <v>2.5</v>
      </c>
      <c r="L899" s="94">
        <v>2.54</v>
      </c>
      <c r="M899" s="94">
        <v>1136617</v>
      </c>
      <c r="N899" s="94" t="s">
        <v>933</v>
      </c>
      <c r="O899" s="25">
        <f t="shared" si="31"/>
        <v>1.5748031496062964E-2</v>
      </c>
    </row>
    <row r="900" spans="1:15">
      <c r="A900" s="94">
        <v>379.47574639926688</v>
      </c>
      <c r="B900" s="94">
        <v>383.92299565364277</v>
      </c>
      <c r="C900" s="94">
        <v>378.14353076359481</v>
      </c>
      <c r="D900" s="94">
        <v>382.60057572117415</v>
      </c>
      <c r="E900" s="94">
        <v>7030289.5636524763</v>
      </c>
      <c r="F900" s="94" t="s">
        <v>934</v>
      </c>
      <c r="G900" s="25">
        <f t="shared" si="30"/>
        <v>-8.167340877669127E-3</v>
      </c>
      <c r="I900" s="94">
        <v>2.5299999999999998</v>
      </c>
      <c r="J900" s="94">
        <v>2.57</v>
      </c>
      <c r="K900" s="94">
        <v>2.5</v>
      </c>
      <c r="L900" s="94">
        <v>2.54</v>
      </c>
      <c r="M900" s="94">
        <v>876253</v>
      </c>
      <c r="N900" s="94" t="s">
        <v>934</v>
      </c>
      <c r="O900" s="25">
        <f t="shared" si="31"/>
        <v>-3.9370078740158521E-3</v>
      </c>
    </row>
    <row r="901" spans="1:15">
      <c r="A901" s="94">
        <v>384.64787769069966</v>
      </c>
      <c r="B901" s="94">
        <v>385.71551138284599</v>
      </c>
      <c r="C901" s="94">
        <v>382.00303782576248</v>
      </c>
      <c r="D901" s="94">
        <v>383.89360854403236</v>
      </c>
      <c r="E901" s="94">
        <v>6008913.1711485982</v>
      </c>
      <c r="F901" s="94" t="s">
        <v>935</v>
      </c>
      <c r="G901" s="25">
        <f t="shared" si="30"/>
        <v>1.964786935442886E-3</v>
      </c>
      <c r="I901" s="94">
        <v>2.57</v>
      </c>
      <c r="J901" s="94">
        <v>2.66</v>
      </c>
      <c r="K901" s="94">
        <v>2.56</v>
      </c>
      <c r="L901" s="94">
        <v>2.6</v>
      </c>
      <c r="M901" s="94">
        <v>1225529</v>
      </c>
      <c r="N901" s="94" t="s">
        <v>935</v>
      </c>
      <c r="O901" s="25">
        <f t="shared" si="31"/>
        <v>-1.1538461538461608E-2</v>
      </c>
    </row>
    <row r="902" spans="1:15">
      <c r="A902" s="94">
        <v>384.67726480031007</v>
      </c>
      <c r="B902" s="94">
        <v>388.63472889451236</v>
      </c>
      <c r="C902" s="94">
        <v>383.30586635182414</v>
      </c>
      <c r="D902" s="94">
        <v>388.51718045607072</v>
      </c>
      <c r="E902" s="94">
        <v>5886851.490107025</v>
      </c>
      <c r="F902" s="94" t="s">
        <v>936</v>
      </c>
      <c r="G902" s="25">
        <f t="shared" si="30"/>
        <v>-9.8835157077302727E-3</v>
      </c>
      <c r="I902" s="94">
        <v>2.6</v>
      </c>
      <c r="J902" s="94">
        <v>2.68</v>
      </c>
      <c r="K902" s="94">
        <v>2.59</v>
      </c>
      <c r="L902" s="94">
        <v>2.63</v>
      </c>
      <c r="M902" s="94">
        <v>1350801</v>
      </c>
      <c r="N902" s="94" t="s">
        <v>936</v>
      </c>
      <c r="O902" s="25">
        <f t="shared" si="31"/>
        <v>-1.1406844106463754E-2</v>
      </c>
    </row>
    <row r="903" spans="1:15">
      <c r="A903" s="94">
        <v>385.59806090143633</v>
      </c>
      <c r="B903" s="94">
        <v>387.1947605236021</v>
      </c>
      <c r="C903" s="94">
        <v>382.35568314108741</v>
      </c>
      <c r="D903" s="94">
        <v>382.88465111407487</v>
      </c>
      <c r="E903" s="94">
        <v>4150569.8116285275</v>
      </c>
      <c r="F903" s="94" t="s">
        <v>937</v>
      </c>
      <c r="G903" s="25">
        <f t="shared" si="30"/>
        <v>7.0867551871465206E-3</v>
      </c>
      <c r="I903" s="94">
        <v>2.59</v>
      </c>
      <c r="J903" s="94">
        <v>2.605</v>
      </c>
      <c r="K903" s="94">
        <v>2.4641000000000002</v>
      </c>
      <c r="L903" s="94">
        <v>2.5099999999999998</v>
      </c>
      <c r="M903" s="94">
        <v>2685950</v>
      </c>
      <c r="N903" s="94" t="s">
        <v>937</v>
      </c>
      <c r="O903" s="25">
        <f t="shared" si="31"/>
        <v>3.1872509960159334E-2</v>
      </c>
    </row>
    <row r="904" spans="1:15">
      <c r="A904" s="94">
        <v>383.36219164524408</v>
      </c>
      <c r="B904" s="94">
        <v>384.86499876025914</v>
      </c>
      <c r="C904" s="94">
        <v>380.04430580689905</v>
      </c>
      <c r="D904" s="94">
        <v>384.32828193346802</v>
      </c>
      <c r="E904" s="94">
        <v>4957425.903540004</v>
      </c>
      <c r="F904" s="94" t="s">
        <v>938</v>
      </c>
      <c r="G904" s="25">
        <f t="shared" si="30"/>
        <v>-2.5137111517365973E-3</v>
      </c>
      <c r="I904" s="94">
        <v>2.5</v>
      </c>
      <c r="J904" s="94">
        <v>2.5299999999999998</v>
      </c>
      <c r="K904" s="94">
        <v>2.46</v>
      </c>
      <c r="L904" s="94">
        <v>2.4900000000000002</v>
      </c>
      <c r="M904" s="94">
        <v>1219578</v>
      </c>
      <c r="N904" s="94" t="s">
        <v>938</v>
      </c>
      <c r="O904" s="25">
        <f t="shared" si="31"/>
        <v>4.0160642570279403E-3</v>
      </c>
    </row>
    <row r="905" spans="1:15">
      <c r="A905" s="94">
        <v>383.27436525540548</v>
      </c>
      <c r="B905" s="94">
        <v>386.78742084894725</v>
      </c>
      <c r="C905" s="94">
        <v>382.49368623461845</v>
      </c>
      <c r="D905" s="94">
        <v>386.16287763231765</v>
      </c>
      <c r="E905" s="94">
        <v>5876662.5947943795</v>
      </c>
      <c r="F905" s="94" t="s">
        <v>939</v>
      </c>
      <c r="G905" s="25">
        <f t="shared" si="30"/>
        <v>-7.4800363893663402E-3</v>
      </c>
      <c r="I905" s="94">
        <v>2.48</v>
      </c>
      <c r="J905" s="94">
        <v>2.57</v>
      </c>
      <c r="K905" s="94">
        <v>2.46</v>
      </c>
      <c r="L905" s="94">
        <v>2.5299999999999998</v>
      </c>
      <c r="M905" s="94">
        <v>1325139</v>
      </c>
      <c r="N905" s="94" t="s">
        <v>939</v>
      </c>
      <c r="O905" s="25">
        <f t="shared" si="31"/>
        <v>-1.9762845849802257E-2</v>
      </c>
    </row>
    <row r="906" spans="1:15">
      <c r="A906" s="94">
        <v>388.98308059491086</v>
      </c>
      <c r="B906" s="94">
        <v>389.01157537916959</v>
      </c>
      <c r="C906" s="94">
        <v>385.82133056072325</v>
      </c>
      <c r="D906" s="94">
        <v>386.20191158335695</v>
      </c>
      <c r="E906" s="94">
        <v>3307787.1074293554</v>
      </c>
      <c r="F906" s="94" t="s">
        <v>940</v>
      </c>
      <c r="G906" s="25">
        <f t="shared" si="30"/>
        <v>7.2013341419041588E-3</v>
      </c>
      <c r="I906" s="94">
        <v>2.54</v>
      </c>
      <c r="J906" s="94">
        <v>2.61</v>
      </c>
      <c r="K906" s="94">
        <v>2.48</v>
      </c>
      <c r="L906" s="94">
        <v>2.5499999999999998</v>
      </c>
      <c r="M906" s="94">
        <v>1473688</v>
      </c>
      <c r="N906" s="94" t="s">
        <v>940</v>
      </c>
      <c r="O906" s="25">
        <f t="shared" si="31"/>
        <v>-3.9215686274508554E-3</v>
      </c>
    </row>
    <row r="907" spans="1:15">
      <c r="A907" s="94">
        <v>387.37293011453755</v>
      </c>
      <c r="B907" s="94">
        <v>390.65763709449914</v>
      </c>
      <c r="C907" s="94">
        <v>386.9777113602641</v>
      </c>
      <c r="D907" s="94">
        <v>389.16361261846788</v>
      </c>
      <c r="E907" s="94">
        <v>7384881.9380181106</v>
      </c>
      <c r="F907" s="94" t="s">
        <v>941</v>
      </c>
      <c r="G907" s="25">
        <f t="shared" si="30"/>
        <v>-4.6013616018255599E-3</v>
      </c>
      <c r="I907" s="94">
        <v>2.58</v>
      </c>
      <c r="J907" s="94">
        <v>2.7149999999999999</v>
      </c>
      <c r="K907" s="94">
        <v>2.57</v>
      </c>
      <c r="L907" s="94">
        <v>2.69</v>
      </c>
      <c r="M907" s="94">
        <v>1374752</v>
      </c>
      <c r="N907" s="94" t="s">
        <v>941</v>
      </c>
      <c r="O907" s="25">
        <f t="shared" si="31"/>
        <v>-4.0892193308550095E-2</v>
      </c>
    </row>
    <row r="908" spans="1:15">
      <c r="A908" s="94">
        <v>388.30974493948202</v>
      </c>
      <c r="B908" s="94">
        <v>392.34000038429519</v>
      </c>
      <c r="C908" s="94">
        <v>388.08529972100575</v>
      </c>
      <c r="D908" s="94">
        <v>392.09603819029928</v>
      </c>
      <c r="E908" s="94">
        <v>4747804.284868842</v>
      </c>
      <c r="F908" s="94" t="s">
        <v>942</v>
      </c>
      <c r="G908" s="25">
        <f t="shared" si="30"/>
        <v>-9.656545545047357E-3</v>
      </c>
      <c r="I908" s="94">
        <v>2.68</v>
      </c>
      <c r="J908" s="94">
        <v>2.73</v>
      </c>
      <c r="K908" s="94">
        <v>2.6232000000000002</v>
      </c>
      <c r="L908" s="94">
        <v>2.64</v>
      </c>
      <c r="M908" s="94">
        <v>1405416</v>
      </c>
      <c r="N908" s="94" t="s">
        <v>942</v>
      </c>
      <c r="O908" s="25">
        <f t="shared" si="31"/>
        <v>1.5151515151515138E-2</v>
      </c>
    </row>
    <row r="909" spans="1:15">
      <c r="A909" s="94">
        <v>394.77962232425477</v>
      </c>
      <c r="B909" s="94">
        <v>399.94186234920915</v>
      </c>
      <c r="C909" s="94">
        <v>394.56493559353828</v>
      </c>
      <c r="D909" s="94">
        <v>399.57103981433528</v>
      </c>
      <c r="E909" s="94">
        <v>4108643.7762427176</v>
      </c>
      <c r="F909" s="94" t="s">
        <v>943</v>
      </c>
      <c r="G909" s="25">
        <f t="shared" si="30"/>
        <v>-1.1991403311678694E-2</v>
      </c>
      <c r="I909" s="94">
        <v>2.7</v>
      </c>
      <c r="J909" s="94">
        <v>2.84</v>
      </c>
      <c r="K909" s="94">
        <v>2.69</v>
      </c>
      <c r="L909" s="94">
        <v>2.83</v>
      </c>
      <c r="M909" s="94">
        <v>2187837</v>
      </c>
      <c r="N909" s="94" t="s">
        <v>943</v>
      </c>
      <c r="O909" s="25">
        <f t="shared" si="31"/>
        <v>-4.5936395759717308E-2</v>
      </c>
    </row>
    <row r="910" spans="1:15">
      <c r="A910" s="94">
        <v>398.50736464851298</v>
      </c>
      <c r="B910" s="94">
        <v>398.93185886606591</v>
      </c>
      <c r="C910" s="94">
        <v>395.91160690439597</v>
      </c>
      <c r="D910" s="94">
        <v>398.36098733211543</v>
      </c>
      <c r="E910" s="94">
        <v>3719606.0386923924</v>
      </c>
      <c r="F910" s="94" t="s">
        <v>944</v>
      </c>
      <c r="G910" s="25">
        <f t="shared" si="30"/>
        <v>3.6744892459950051E-4</v>
      </c>
      <c r="I910" s="94">
        <v>2.7</v>
      </c>
      <c r="J910" s="94">
        <v>2.72</v>
      </c>
      <c r="K910" s="94">
        <v>2.6402999999999999</v>
      </c>
      <c r="L910" s="94">
        <v>2.66</v>
      </c>
      <c r="M910" s="94">
        <v>1283120</v>
      </c>
      <c r="N910" s="94" t="s">
        <v>944</v>
      </c>
      <c r="O910" s="25">
        <f t="shared" si="31"/>
        <v>1.5037593984962516E-2</v>
      </c>
    </row>
    <row r="911" spans="1:15">
      <c r="A911" s="94">
        <v>399.30756064481966</v>
      </c>
      <c r="B911" s="94">
        <v>400.42978673720103</v>
      </c>
      <c r="C911" s="94">
        <v>398.30243640555636</v>
      </c>
      <c r="D911" s="94">
        <v>398.71229289146953</v>
      </c>
      <c r="E911" s="94">
        <v>3089178.4405435175</v>
      </c>
      <c r="F911" s="94" t="s">
        <v>945</v>
      </c>
      <c r="G911" s="25">
        <f t="shared" si="30"/>
        <v>1.4929756718391474E-3</v>
      </c>
      <c r="I911" s="94">
        <v>2.69</v>
      </c>
      <c r="J911" s="94">
        <v>2.8</v>
      </c>
      <c r="K911" s="94">
        <v>2.68</v>
      </c>
      <c r="L911" s="94">
        <v>2.79</v>
      </c>
      <c r="M911" s="94">
        <v>1137328</v>
      </c>
      <c r="N911" s="94" t="s">
        <v>945</v>
      </c>
      <c r="O911" s="25">
        <f t="shared" si="31"/>
        <v>-3.5842293906810041E-2</v>
      </c>
    </row>
    <row r="912" spans="1:15">
      <c r="A912" s="94">
        <v>398.86842869562696</v>
      </c>
      <c r="B912" s="94">
        <v>402.70351438524341</v>
      </c>
      <c r="C912" s="94">
        <v>398.61470801387117</v>
      </c>
      <c r="D912" s="94">
        <v>402.38148428916867</v>
      </c>
      <c r="E912" s="94">
        <v>4103125.5031941393</v>
      </c>
      <c r="F912" s="94" t="s">
        <v>946</v>
      </c>
      <c r="G912" s="25">
        <f t="shared" si="30"/>
        <v>-8.7306591647667853E-3</v>
      </c>
      <c r="I912" s="94">
        <v>2.8</v>
      </c>
      <c r="J912" s="94">
        <v>2.83</v>
      </c>
      <c r="K912" s="94">
        <v>2.74</v>
      </c>
      <c r="L912" s="94">
        <v>2.83</v>
      </c>
      <c r="M912" s="94">
        <v>4713939</v>
      </c>
      <c r="N912" s="94" t="s">
        <v>946</v>
      </c>
      <c r="O912" s="25">
        <f t="shared" si="31"/>
        <v>-1.0600706713780994E-2</v>
      </c>
    </row>
    <row r="913" spans="1:15">
      <c r="A913" s="94">
        <v>403.90380837970343</v>
      </c>
      <c r="B913" s="94">
        <v>404.49907613305362</v>
      </c>
      <c r="C913" s="94">
        <v>401.48370341526362</v>
      </c>
      <c r="D913" s="94">
        <v>402.70351438524341</v>
      </c>
      <c r="E913" s="94">
        <v>3751504.4237353187</v>
      </c>
      <c r="F913" s="94" t="s">
        <v>947</v>
      </c>
      <c r="G913" s="25">
        <f t="shared" si="30"/>
        <v>2.9805898175294665E-3</v>
      </c>
      <c r="I913" s="94">
        <v>2.82</v>
      </c>
      <c r="J913" s="94">
        <v>2.83</v>
      </c>
      <c r="K913" s="94">
        <v>2.71</v>
      </c>
      <c r="L913" s="94">
        <v>2.76</v>
      </c>
      <c r="M913" s="94">
        <v>1348516</v>
      </c>
      <c r="N913" s="94" t="s">
        <v>947</v>
      </c>
      <c r="O913" s="25">
        <f t="shared" si="31"/>
        <v>2.1739130434782705E-2</v>
      </c>
    </row>
    <row r="914" spans="1:15">
      <c r="A914" s="94">
        <v>400.43954522496091</v>
      </c>
      <c r="B914" s="94">
        <v>401.46418643974391</v>
      </c>
      <c r="C914" s="94">
        <v>399.11239088962293</v>
      </c>
      <c r="D914" s="94">
        <v>400.12727361664605</v>
      </c>
      <c r="E914" s="94">
        <v>2592356.5846046028</v>
      </c>
      <c r="F914" s="94" t="s">
        <v>948</v>
      </c>
      <c r="G914" s="25">
        <f t="shared" si="30"/>
        <v>7.8043070019284677E-4</v>
      </c>
      <c r="I914" s="94">
        <v>2.73</v>
      </c>
      <c r="J914" s="94">
        <v>2.93</v>
      </c>
      <c r="K914" s="94">
        <v>2.73</v>
      </c>
      <c r="L914" s="94">
        <v>2.88</v>
      </c>
      <c r="M914" s="94">
        <v>1735778</v>
      </c>
      <c r="N914" s="94" t="s">
        <v>948</v>
      </c>
      <c r="O914" s="25">
        <f t="shared" si="31"/>
        <v>-5.2083333333333259E-2</v>
      </c>
    </row>
    <row r="915" spans="1:15">
      <c r="A915" s="94">
        <v>399.97113781248868</v>
      </c>
      <c r="B915" s="94">
        <v>402.19607302173176</v>
      </c>
      <c r="C915" s="94">
        <v>399.40514552241808</v>
      </c>
      <c r="D915" s="94">
        <v>400.78109229655524</v>
      </c>
      <c r="E915" s="94">
        <v>7783271.5344061935</v>
      </c>
      <c r="F915" s="94" t="s">
        <v>949</v>
      </c>
      <c r="G915" s="25">
        <f t="shared" si="30"/>
        <v>-2.020939858777715E-3</v>
      </c>
      <c r="I915" s="94">
        <v>2.91</v>
      </c>
      <c r="J915" s="94">
        <v>2.9350000000000001</v>
      </c>
      <c r="K915" s="94">
        <v>2.8</v>
      </c>
      <c r="L915" s="94">
        <v>2.81</v>
      </c>
      <c r="M915" s="94">
        <v>1799882</v>
      </c>
      <c r="N915" s="94" t="s">
        <v>949</v>
      </c>
      <c r="O915" s="25">
        <f t="shared" si="31"/>
        <v>3.5587188612099752E-2</v>
      </c>
    </row>
    <row r="916" spans="1:15">
      <c r="A916" s="94">
        <v>402.12776360741293</v>
      </c>
      <c r="B916" s="94">
        <v>402.42051824020808</v>
      </c>
      <c r="C916" s="94">
        <v>400.3809942984019</v>
      </c>
      <c r="D916" s="94">
        <v>401.93259385221614</v>
      </c>
      <c r="E916" s="94">
        <v>3429386.8910437454</v>
      </c>
      <c r="F916" s="94" t="s">
        <v>950</v>
      </c>
      <c r="G916" s="25">
        <f t="shared" si="30"/>
        <v>4.8557832378359755E-4</v>
      </c>
      <c r="I916" s="94">
        <v>2.84</v>
      </c>
      <c r="J916" s="94">
        <v>2.86</v>
      </c>
      <c r="K916" s="94">
        <v>2.69</v>
      </c>
      <c r="L916" s="94">
        <v>2.78</v>
      </c>
      <c r="M916" s="94">
        <v>2193097</v>
      </c>
      <c r="N916" s="94" t="s">
        <v>950</v>
      </c>
      <c r="O916" s="25">
        <f t="shared" si="31"/>
        <v>2.1582733812949728E-2</v>
      </c>
    </row>
    <row r="917" spans="1:15">
      <c r="A917" s="94">
        <v>399.50273040001645</v>
      </c>
      <c r="B917" s="94">
        <v>400.91771112519297</v>
      </c>
      <c r="C917" s="94">
        <v>398.62446650163099</v>
      </c>
      <c r="D917" s="94">
        <v>398.94649659770567</v>
      </c>
      <c r="E917" s="94">
        <v>4227317.901629867</v>
      </c>
      <c r="F917" s="94" t="s">
        <v>951</v>
      </c>
      <c r="G917" s="25">
        <f t="shared" si="30"/>
        <v>1.3942566410645174E-3</v>
      </c>
      <c r="I917" s="94">
        <v>2.74</v>
      </c>
      <c r="J917" s="94">
        <v>2.9</v>
      </c>
      <c r="K917" s="94">
        <v>2.5099999999999998</v>
      </c>
      <c r="L917" s="94">
        <v>2.88</v>
      </c>
      <c r="M917" s="94">
        <v>8325956</v>
      </c>
      <c r="N917" s="94" t="s">
        <v>951</v>
      </c>
      <c r="O917" s="25">
        <f t="shared" si="31"/>
        <v>-4.8611111111111049E-2</v>
      </c>
    </row>
    <row r="918" spans="1:15">
      <c r="A918" s="94">
        <v>398.9562550854655</v>
      </c>
      <c r="B918" s="94">
        <v>399.5417643510558</v>
      </c>
      <c r="C918" s="94">
        <v>397.02895375289745</v>
      </c>
      <c r="D918" s="94">
        <v>397.33634611733237</v>
      </c>
      <c r="E918" s="94">
        <v>2301339.1575307297</v>
      </c>
      <c r="F918" s="94" t="s">
        <v>952</v>
      </c>
      <c r="G918" s="25">
        <f t="shared" si="30"/>
        <v>4.0769211877103029E-3</v>
      </c>
      <c r="I918" s="94">
        <v>3.08</v>
      </c>
      <c r="J918" s="94">
        <v>3.15</v>
      </c>
      <c r="K918" s="94">
        <v>3.05</v>
      </c>
      <c r="L918" s="94">
        <v>3.15</v>
      </c>
      <c r="M918" s="94">
        <v>1656629</v>
      </c>
      <c r="N918" s="94" t="s">
        <v>952</v>
      </c>
      <c r="O918" s="25">
        <f t="shared" si="31"/>
        <v>-2.2222222222222143E-2</v>
      </c>
    </row>
    <row r="919" spans="1:15">
      <c r="A919" s="94">
        <v>400.14679059216576</v>
      </c>
      <c r="B919" s="94">
        <v>402.17655604621211</v>
      </c>
      <c r="C919" s="94">
        <v>397.98040630948168</v>
      </c>
      <c r="D919" s="94">
        <v>402.14728058293264</v>
      </c>
      <c r="E919" s="94">
        <v>3836729.7189314449</v>
      </c>
      <c r="F919" s="94" t="s">
        <v>953</v>
      </c>
      <c r="G919" s="25">
        <f t="shared" si="30"/>
        <v>-4.9745207473915753E-3</v>
      </c>
      <c r="I919" s="94">
        <v>3.16</v>
      </c>
      <c r="J919" s="94">
        <v>3.32</v>
      </c>
      <c r="K919" s="94">
        <v>3.16</v>
      </c>
      <c r="L919" s="94">
        <v>3.3</v>
      </c>
      <c r="M919" s="94">
        <v>1223189</v>
      </c>
      <c r="N919" s="94" t="s">
        <v>953</v>
      </c>
      <c r="O919" s="25">
        <f t="shared" si="31"/>
        <v>-4.2424242424242364E-2</v>
      </c>
    </row>
    <row r="920" spans="1:15">
      <c r="A920" s="94">
        <v>402.92795960371961</v>
      </c>
      <c r="B920" s="94">
        <v>404.46004218201426</v>
      </c>
      <c r="C920" s="94">
        <v>402.80109926284172</v>
      </c>
      <c r="D920" s="94">
        <v>404.19656301249859</v>
      </c>
      <c r="E920" s="94">
        <v>4536242.8164519137</v>
      </c>
      <c r="F920" s="94" t="s">
        <v>954</v>
      </c>
      <c r="G920" s="25">
        <f t="shared" si="30"/>
        <v>-3.1385803959439462E-3</v>
      </c>
      <c r="I920" s="94">
        <v>3.3</v>
      </c>
      <c r="J920" s="94">
        <v>3.35</v>
      </c>
      <c r="K920" s="94">
        <v>3.26</v>
      </c>
      <c r="L920" s="94">
        <v>3.27</v>
      </c>
      <c r="M920" s="94">
        <v>948396</v>
      </c>
      <c r="N920" s="94" t="s">
        <v>954</v>
      </c>
      <c r="O920" s="25">
        <f t="shared" si="31"/>
        <v>9.1743119266054496E-3</v>
      </c>
    </row>
    <row r="921" spans="1:15">
      <c r="A921" s="94">
        <v>404.69424588825035</v>
      </c>
      <c r="B921" s="94">
        <v>406.81183773213525</v>
      </c>
      <c r="C921" s="94">
        <v>403.23047272427465</v>
      </c>
      <c r="D921" s="94">
        <v>406.40198124622202</v>
      </c>
      <c r="E921" s="94">
        <v>3676769.4834506679</v>
      </c>
      <c r="F921" s="94" t="s">
        <v>955</v>
      </c>
      <c r="G921" s="25">
        <f t="shared" si="30"/>
        <v>-4.2020842337798792E-3</v>
      </c>
      <c r="I921" s="94">
        <v>3.33</v>
      </c>
      <c r="J921" s="94">
        <v>3.34</v>
      </c>
      <c r="K921" s="94">
        <v>3.27</v>
      </c>
      <c r="L921" s="94">
        <v>3.28</v>
      </c>
      <c r="M921" s="94">
        <v>757077</v>
      </c>
      <c r="N921" s="94" t="s">
        <v>955</v>
      </c>
      <c r="O921" s="25">
        <f t="shared" si="31"/>
        <v>1.5243902439024515E-2</v>
      </c>
    </row>
    <row r="922" spans="1:15">
      <c r="A922" s="94">
        <v>403.8354989653846</v>
      </c>
      <c r="B922" s="94">
        <v>406.07019266238757</v>
      </c>
      <c r="C922" s="94">
        <v>403.6696046734674</v>
      </c>
      <c r="D922" s="94">
        <v>404.95967675531801</v>
      </c>
      <c r="E922" s="94">
        <v>4868716.4619436599</v>
      </c>
      <c r="F922" s="94" t="s">
        <v>956</v>
      </c>
      <c r="G922" s="25">
        <f t="shared" si="30"/>
        <v>-2.7760240203190678E-3</v>
      </c>
      <c r="I922" s="94">
        <v>3.25</v>
      </c>
      <c r="J922" s="94">
        <v>3.37</v>
      </c>
      <c r="K922" s="94">
        <v>3.24</v>
      </c>
      <c r="L922" s="94">
        <v>3.33</v>
      </c>
      <c r="M922" s="94">
        <v>825350</v>
      </c>
      <c r="N922" s="94" t="s">
        <v>956</v>
      </c>
      <c r="O922" s="25">
        <f t="shared" si="31"/>
        <v>-2.4024024024024038E-2</v>
      </c>
    </row>
    <row r="923" spans="1:15">
      <c r="A923" s="94">
        <v>404.35269881665607</v>
      </c>
      <c r="B923" s="94">
        <v>405.0057368175444</v>
      </c>
      <c r="C923" s="94">
        <v>402.44003521572773</v>
      </c>
      <c r="D923" s="94">
        <v>403.05481994459751</v>
      </c>
      <c r="E923" s="94">
        <v>3078874.5899393465</v>
      </c>
      <c r="F923" s="94" t="s">
        <v>957</v>
      </c>
      <c r="G923" s="25">
        <f t="shared" si="30"/>
        <v>3.2201050771132333E-3</v>
      </c>
      <c r="I923" s="94">
        <v>3.32</v>
      </c>
      <c r="J923" s="94">
        <v>3.33</v>
      </c>
      <c r="K923" s="94">
        <v>3.21</v>
      </c>
      <c r="L923" s="94">
        <v>3.26</v>
      </c>
      <c r="M923" s="94">
        <v>754582</v>
      </c>
      <c r="N923" s="94" t="s">
        <v>957</v>
      </c>
      <c r="O923" s="25">
        <f t="shared" si="31"/>
        <v>1.8404907975460238E-2</v>
      </c>
    </row>
    <row r="924" spans="1:15">
      <c r="A924" s="94">
        <v>402.67423892196388</v>
      </c>
      <c r="B924" s="94">
        <v>403.00602750579839</v>
      </c>
      <c r="C924" s="94">
        <v>396.75083685174206</v>
      </c>
      <c r="D924" s="94">
        <v>396.95576509469862</v>
      </c>
      <c r="E924" s="94">
        <v>3568856.2466954826</v>
      </c>
      <c r="F924" s="94" t="s">
        <v>958</v>
      </c>
      <c r="G924" s="25">
        <f t="shared" ref="G924:G987" si="32">A924/D924-1</f>
        <v>1.4405821328482338E-2</v>
      </c>
      <c r="I924" s="94">
        <v>3.28</v>
      </c>
      <c r="J924" s="94">
        <v>3.32</v>
      </c>
      <c r="K924" s="94">
        <v>3.105</v>
      </c>
      <c r="L924" s="94">
        <v>3.14</v>
      </c>
      <c r="M924" s="94">
        <v>943132</v>
      </c>
      <c r="N924" s="94" t="s">
        <v>958</v>
      </c>
      <c r="O924" s="25">
        <f t="shared" ref="O924:O987" si="33">I924/L924-1</f>
        <v>4.4585987261146487E-2</v>
      </c>
    </row>
    <row r="925" spans="1:15">
      <c r="A925" s="94">
        <v>397.03383299677739</v>
      </c>
      <c r="B925" s="94">
        <v>397.59982528684799</v>
      </c>
      <c r="C925" s="94">
        <v>395.3163391510459</v>
      </c>
      <c r="D925" s="94">
        <v>396.54590860878545</v>
      </c>
      <c r="E925" s="94">
        <v>3316816.1703506233</v>
      </c>
      <c r="F925" s="94" t="s">
        <v>959</v>
      </c>
      <c r="G925" s="25">
        <f t="shared" si="32"/>
        <v>1.2304360665420511E-3</v>
      </c>
      <c r="I925" s="94">
        <v>3.14</v>
      </c>
      <c r="J925" s="94">
        <v>3.18</v>
      </c>
      <c r="K925" s="94">
        <v>3.1</v>
      </c>
      <c r="L925" s="94">
        <v>3.13</v>
      </c>
      <c r="M925" s="94">
        <v>1094896</v>
      </c>
      <c r="N925" s="94" t="s">
        <v>959</v>
      </c>
      <c r="O925" s="25">
        <f t="shared" si="33"/>
        <v>3.1948881789138905E-3</v>
      </c>
    </row>
    <row r="926" spans="1:15">
      <c r="A926" s="94">
        <v>394.43807525266038</v>
      </c>
      <c r="B926" s="94">
        <v>395.99943329423456</v>
      </c>
      <c r="C926" s="94">
        <v>390.05651424849304</v>
      </c>
      <c r="D926" s="94">
        <v>393.34512462355855</v>
      </c>
      <c r="E926" s="94">
        <v>4527171.7388240546</v>
      </c>
      <c r="F926" s="94" t="s">
        <v>960</v>
      </c>
      <c r="G926" s="25">
        <f t="shared" si="32"/>
        <v>2.7786047434750216E-3</v>
      </c>
      <c r="I926" s="94">
        <v>3.12</v>
      </c>
      <c r="J926" s="94">
        <v>3.18</v>
      </c>
      <c r="K926" s="94">
        <v>3.07</v>
      </c>
      <c r="L926" s="94">
        <v>3.13</v>
      </c>
      <c r="M926" s="94">
        <v>839333</v>
      </c>
      <c r="N926" s="94" t="s">
        <v>960</v>
      </c>
      <c r="O926" s="25">
        <f t="shared" si="33"/>
        <v>-3.1948881789136685E-3</v>
      </c>
    </row>
    <row r="927" spans="1:15">
      <c r="A927" s="94">
        <v>391.84231750854349</v>
      </c>
      <c r="B927" s="94">
        <v>399.1992414306855</v>
      </c>
      <c r="C927" s="94">
        <v>391.70569867990571</v>
      </c>
      <c r="D927" s="94">
        <v>398.73180986698924</v>
      </c>
      <c r="E927" s="94">
        <v>3544392.4152212543</v>
      </c>
      <c r="F927" s="94" t="s">
        <v>961</v>
      </c>
      <c r="G927" s="25">
        <f t="shared" si="32"/>
        <v>-1.7278511992168344E-2</v>
      </c>
      <c r="I927" s="94">
        <v>3.11</v>
      </c>
      <c r="J927" s="94">
        <v>3.3</v>
      </c>
      <c r="K927" s="94">
        <v>3.1</v>
      </c>
      <c r="L927" s="94">
        <v>3.3</v>
      </c>
      <c r="M927" s="94">
        <v>1093400</v>
      </c>
      <c r="N927" s="94" t="s">
        <v>961</v>
      </c>
      <c r="O927" s="25">
        <f t="shared" si="33"/>
        <v>-5.7575757575757613E-2</v>
      </c>
    </row>
    <row r="928" spans="1:15">
      <c r="A928" s="94">
        <v>397.12165938661593</v>
      </c>
      <c r="B928" s="94">
        <v>397.82427050532431</v>
      </c>
      <c r="C928" s="94">
        <v>393.72570564619224</v>
      </c>
      <c r="D928" s="94">
        <v>393.81353203603078</v>
      </c>
      <c r="E928" s="94">
        <v>3330397.1680688797</v>
      </c>
      <c r="F928" s="94" t="s">
        <v>962</v>
      </c>
      <c r="G928" s="25">
        <f t="shared" si="32"/>
        <v>8.4002378828427204E-3</v>
      </c>
      <c r="I928" s="94">
        <v>3.29</v>
      </c>
      <c r="J928" s="94">
        <v>3.3</v>
      </c>
      <c r="K928" s="94">
        <v>3.18</v>
      </c>
      <c r="L928" s="94">
        <v>3.2</v>
      </c>
      <c r="M928" s="94">
        <v>904809</v>
      </c>
      <c r="N928" s="94" t="s">
        <v>962</v>
      </c>
      <c r="O928" s="25">
        <f t="shared" si="33"/>
        <v>2.8124999999999956E-2</v>
      </c>
    </row>
    <row r="929" spans="1:15">
      <c r="A929" s="94">
        <v>392.88647569884614</v>
      </c>
      <c r="B929" s="94">
        <v>395.60909378384099</v>
      </c>
      <c r="C929" s="94">
        <v>392.34975887205502</v>
      </c>
      <c r="D929" s="94">
        <v>395.56030134504181</v>
      </c>
      <c r="E929" s="94">
        <v>2713587.4586001462</v>
      </c>
      <c r="F929" s="94" t="s">
        <v>963</v>
      </c>
      <c r="G929" s="25">
        <f t="shared" si="32"/>
        <v>-6.7595904773651849E-3</v>
      </c>
      <c r="I929" s="94">
        <v>3.21</v>
      </c>
      <c r="J929" s="94">
        <v>3.24</v>
      </c>
      <c r="K929" s="94">
        <v>3.16</v>
      </c>
      <c r="L929" s="94">
        <v>3.2</v>
      </c>
      <c r="M929" s="94">
        <v>611319</v>
      </c>
      <c r="N929" s="94" t="s">
        <v>963</v>
      </c>
      <c r="O929" s="25">
        <f t="shared" si="33"/>
        <v>3.1249999999998224E-3</v>
      </c>
    </row>
    <row r="930" spans="1:15">
      <c r="A930" s="94">
        <v>393.98918481570786</v>
      </c>
      <c r="B930" s="94">
        <v>394.62348652009734</v>
      </c>
      <c r="C930" s="94">
        <v>390.32975190576855</v>
      </c>
      <c r="D930" s="94">
        <v>392.42782677413373</v>
      </c>
      <c r="E930" s="94">
        <v>3373918.2556033526</v>
      </c>
      <c r="F930" s="94" t="s">
        <v>964</v>
      </c>
      <c r="G930" s="25">
        <f t="shared" si="32"/>
        <v>3.9787138807381162E-3</v>
      </c>
      <c r="I930" s="94">
        <v>3.2</v>
      </c>
      <c r="J930" s="94">
        <v>3.28</v>
      </c>
      <c r="K930" s="94">
        <v>3.14</v>
      </c>
      <c r="L930" s="94">
        <v>3.28</v>
      </c>
      <c r="M930" s="94">
        <v>1421284</v>
      </c>
      <c r="N930" s="94" t="s">
        <v>964</v>
      </c>
      <c r="O930" s="25">
        <f t="shared" si="33"/>
        <v>-2.4390243902438935E-2</v>
      </c>
    </row>
    <row r="931" spans="1:15">
      <c r="A931" s="94">
        <v>391.40318555935073</v>
      </c>
      <c r="B931" s="94">
        <v>392.31072492101566</v>
      </c>
      <c r="C931" s="94">
        <v>388.24143552516318</v>
      </c>
      <c r="D931" s="94">
        <v>388.55370713347799</v>
      </c>
      <c r="E931" s="94">
        <v>4260564.8562794654</v>
      </c>
      <c r="F931" s="94" t="s">
        <v>965</v>
      </c>
      <c r="G931" s="25">
        <f t="shared" si="32"/>
        <v>7.3335509958056821E-3</v>
      </c>
      <c r="I931" s="94">
        <v>3.27</v>
      </c>
      <c r="J931" s="94">
        <v>3.32</v>
      </c>
      <c r="K931" s="94">
        <v>3.1549999999999998</v>
      </c>
      <c r="L931" s="94">
        <v>3.16</v>
      </c>
      <c r="M931" s="94">
        <v>1108690</v>
      </c>
      <c r="N931" s="94" t="s">
        <v>965</v>
      </c>
      <c r="O931" s="25">
        <f t="shared" si="33"/>
        <v>3.4810126582278444E-2</v>
      </c>
    </row>
    <row r="932" spans="1:15">
      <c r="A932" s="94">
        <v>391.04212151223675</v>
      </c>
      <c r="B932" s="94">
        <v>395.78474656351807</v>
      </c>
      <c r="C932" s="94">
        <v>390.70057444064236</v>
      </c>
      <c r="D932" s="94">
        <v>395.5407843695221</v>
      </c>
      <c r="E932" s="94">
        <v>7278283.4541545361</v>
      </c>
      <c r="F932" s="94" t="s">
        <v>966</v>
      </c>
      <c r="G932" s="25">
        <f t="shared" si="32"/>
        <v>-1.137344879480906E-2</v>
      </c>
      <c r="I932" s="94">
        <v>3.24</v>
      </c>
      <c r="J932" s="94">
        <v>3.39</v>
      </c>
      <c r="K932" s="94">
        <v>3.2349999999999999</v>
      </c>
      <c r="L932" s="94">
        <v>3.33</v>
      </c>
      <c r="M932" s="94">
        <v>1159606</v>
      </c>
      <c r="N932" s="94" t="s">
        <v>966</v>
      </c>
      <c r="O932" s="25">
        <f t="shared" si="33"/>
        <v>-2.7027027027026973E-2</v>
      </c>
    </row>
    <row r="933" spans="1:15">
      <c r="A933" s="94">
        <v>394.23314700970383</v>
      </c>
      <c r="B933" s="94">
        <v>398.25364396675718</v>
      </c>
      <c r="C933" s="94">
        <v>394.11604515658576</v>
      </c>
      <c r="D933" s="94">
        <v>396.77035382726172</v>
      </c>
      <c r="E933" s="94">
        <v>3436652.3610371388</v>
      </c>
      <c r="F933" s="94" t="s">
        <v>967</v>
      </c>
      <c r="G933" s="25">
        <f t="shared" si="32"/>
        <v>-6.3946481713764713E-3</v>
      </c>
      <c r="I933" s="94">
        <v>3.31</v>
      </c>
      <c r="J933" s="94">
        <v>3.39</v>
      </c>
      <c r="K933" s="94">
        <v>3.28</v>
      </c>
      <c r="L933" s="94">
        <v>3.39</v>
      </c>
      <c r="M933" s="94">
        <v>1311814</v>
      </c>
      <c r="N933" s="94" t="s">
        <v>967</v>
      </c>
      <c r="O933" s="25">
        <f t="shared" si="33"/>
        <v>-2.359882005899705E-2</v>
      </c>
    </row>
    <row r="934" spans="1:15">
      <c r="A934" s="94">
        <v>397.17045182541511</v>
      </c>
      <c r="B934" s="94">
        <v>401.76913918223886</v>
      </c>
      <c r="C934" s="94">
        <v>396.59470104758469</v>
      </c>
      <c r="D934" s="94">
        <v>400.18582454320511</v>
      </c>
      <c r="E934" s="94">
        <v>4802095.4837757498</v>
      </c>
      <c r="F934" s="94" t="s">
        <v>968</v>
      </c>
      <c r="G934" s="25">
        <f t="shared" si="32"/>
        <v>-7.5349313565314935E-3</v>
      </c>
      <c r="I934" s="94">
        <v>3.39</v>
      </c>
      <c r="J934" s="94">
        <v>3.5</v>
      </c>
      <c r="K934" s="94">
        <v>3.38</v>
      </c>
      <c r="L934" s="94">
        <v>3.46</v>
      </c>
      <c r="M934" s="94">
        <v>942550</v>
      </c>
      <c r="N934" s="94" t="s">
        <v>968</v>
      </c>
      <c r="O934" s="25">
        <f t="shared" si="33"/>
        <v>-2.0231213872832332E-2</v>
      </c>
    </row>
    <row r="935" spans="1:15">
      <c r="A935" s="94">
        <v>401.77645804805877</v>
      </c>
      <c r="B935" s="94">
        <v>401.79597502357842</v>
      </c>
      <c r="C935" s="94">
        <v>398.44881372195391</v>
      </c>
      <c r="D935" s="94">
        <v>398.69277591594988</v>
      </c>
      <c r="E935" s="94">
        <v>2841538.6361523434</v>
      </c>
      <c r="F935" s="94" t="s">
        <v>969</v>
      </c>
      <c r="G935" s="25">
        <f t="shared" si="32"/>
        <v>7.7344820834148731E-3</v>
      </c>
      <c r="I935" s="94">
        <v>3.51</v>
      </c>
      <c r="J935" s="94">
        <v>3.52</v>
      </c>
      <c r="K935" s="94">
        <v>3.4</v>
      </c>
      <c r="L935" s="94">
        <v>3.48</v>
      </c>
      <c r="M935" s="94">
        <v>1521327</v>
      </c>
      <c r="N935" s="94" t="s">
        <v>969</v>
      </c>
      <c r="O935" s="25">
        <f t="shared" si="33"/>
        <v>8.6206896551723755E-3</v>
      </c>
    </row>
    <row r="936" spans="1:15">
      <c r="A936" s="94">
        <v>399.52224737553615</v>
      </c>
      <c r="B936" s="94">
        <v>400.49809615151997</v>
      </c>
      <c r="C936" s="94">
        <v>397.50224040924957</v>
      </c>
      <c r="D936" s="94">
        <v>398.09750816259975</v>
      </c>
      <c r="E936" s="94">
        <v>2991100.7441263557</v>
      </c>
      <c r="F936" s="94" t="s">
        <v>970</v>
      </c>
      <c r="G936" s="25">
        <f t="shared" si="32"/>
        <v>3.5788699595540319E-3</v>
      </c>
      <c r="I936" s="94">
        <v>3.5</v>
      </c>
      <c r="J936" s="94">
        <v>3.52</v>
      </c>
      <c r="K936" s="94">
        <v>3.37</v>
      </c>
      <c r="L936" s="94">
        <v>3.4</v>
      </c>
      <c r="M936" s="94">
        <v>1260639</v>
      </c>
      <c r="N936" s="94" t="s">
        <v>970</v>
      </c>
      <c r="O936" s="25">
        <f t="shared" si="33"/>
        <v>2.941176470588247E-2</v>
      </c>
    </row>
    <row r="937" spans="1:15">
      <c r="A937" s="94">
        <v>399.89306991041002</v>
      </c>
      <c r="B937" s="94">
        <v>405.02603447208486</v>
      </c>
      <c r="C937" s="94">
        <v>398.75132684250889</v>
      </c>
      <c r="D937" s="94">
        <v>401.85452595013749</v>
      </c>
      <c r="E937" s="94">
        <v>4701882.2105650436</v>
      </c>
      <c r="F937" s="94" t="s">
        <v>971</v>
      </c>
      <c r="G937" s="25">
        <f t="shared" si="32"/>
        <v>-4.8810101991257904E-3</v>
      </c>
      <c r="I937" s="94">
        <v>3.42</v>
      </c>
      <c r="J937" s="94">
        <v>3.54</v>
      </c>
      <c r="K937" s="94">
        <v>3.4</v>
      </c>
      <c r="L937" s="94">
        <v>3.4</v>
      </c>
      <c r="M937" s="94">
        <v>1161127</v>
      </c>
      <c r="N937" s="94" t="s">
        <v>971</v>
      </c>
      <c r="O937" s="25">
        <f t="shared" si="33"/>
        <v>5.8823529411764497E-3</v>
      </c>
    </row>
    <row r="938" spans="1:15">
      <c r="A938" s="94">
        <v>399.65886620417388</v>
      </c>
      <c r="B938" s="94">
        <v>402.76206531180242</v>
      </c>
      <c r="C938" s="94">
        <v>398.97577206098521</v>
      </c>
      <c r="D938" s="94">
        <v>402.69375589748358</v>
      </c>
      <c r="E938" s="94">
        <v>3223792.5357116582</v>
      </c>
      <c r="F938" s="94" t="s">
        <v>972</v>
      </c>
      <c r="G938" s="25">
        <f t="shared" si="32"/>
        <v>-7.5364707022731459E-3</v>
      </c>
      <c r="I938" s="94">
        <v>3.41</v>
      </c>
      <c r="J938" s="94">
        <v>3.46</v>
      </c>
      <c r="K938" s="94">
        <v>3.37</v>
      </c>
      <c r="L938" s="94">
        <v>3.44</v>
      </c>
      <c r="M938" s="94">
        <v>939338</v>
      </c>
      <c r="N938" s="94" t="s">
        <v>972</v>
      </c>
      <c r="O938" s="25">
        <f t="shared" si="33"/>
        <v>-8.720930232558044E-3</v>
      </c>
    </row>
    <row r="939" spans="1:15">
      <c r="A939" s="94">
        <v>402.33269185036954</v>
      </c>
      <c r="B939" s="94">
        <v>402.77182379956224</v>
      </c>
      <c r="C939" s="94">
        <v>399.24413047438071</v>
      </c>
      <c r="D939" s="94">
        <v>401.81549199909807</v>
      </c>
      <c r="E939" s="94">
        <v>3873639.1262970357</v>
      </c>
      <c r="F939" s="94" t="s">
        <v>973</v>
      </c>
      <c r="G939" s="25">
        <f t="shared" si="32"/>
        <v>1.2871575675150737E-3</v>
      </c>
      <c r="I939" s="94">
        <v>3.45</v>
      </c>
      <c r="J939" s="94">
        <v>3.47</v>
      </c>
      <c r="K939" s="94">
        <v>3.32</v>
      </c>
      <c r="L939" s="94">
        <v>3.34</v>
      </c>
      <c r="M939" s="94">
        <v>1278302</v>
      </c>
      <c r="N939" s="94" t="s">
        <v>973</v>
      </c>
      <c r="O939" s="25">
        <f t="shared" si="33"/>
        <v>3.2934131736527039E-2</v>
      </c>
    </row>
    <row r="940" spans="1:15">
      <c r="A940" s="94">
        <v>404.07946115938057</v>
      </c>
      <c r="B940" s="94">
        <v>404.235596963538</v>
      </c>
      <c r="C940" s="94">
        <v>401.69839014598006</v>
      </c>
      <c r="D940" s="94">
        <v>402.33269185036954</v>
      </c>
      <c r="E940" s="94">
        <v>2662274.1801164825</v>
      </c>
      <c r="F940" s="94" t="s">
        <v>974</v>
      </c>
      <c r="G940" s="25">
        <f t="shared" si="32"/>
        <v>4.341604210628347E-3</v>
      </c>
      <c r="I940" s="94">
        <v>3.38</v>
      </c>
      <c r="J940" s="94">
        <v>3.41</v>
      </c>
      <c r="K940" s="94">
        <v>3.335</v>
      </c>
      <c r="L940" s="94">
        <v>3.41</v>
      </c>
      <c r="M940" s="94">
        <v>1090953</v>
      </c>
      <c r="N940" s="94" t="s">
        <v>974</v>
      </c>
      <c r="O940" s="25">
        <f t="shared" si="33"/>
        <v>-8.7976539589443847E-3</v>
      </c>
    </row>
    <row r="941" spans="1:15">
      <c r="A941" s="94">
        <v>400.46882068824044</v>
      </c>
      <c r="B941" s="94">
        <v>406.07848737698339</v>
      </c>
      <c r="C941" s="94">
        <v>400.12727361664605</v>
      </c>
      <c r="D941" s="94">
        <v>404.1477705736994</v>
      </c>
      <c r="E941" s="94">
        <v>5858762.280288795</v>
      </c>
      <c r="F941" s="94" t="s">
        <v>975</v>
      </c>
      <c r="G941" s="25">
        <f t="shared" si="32"/>
        <v>-9.1029820113484039E-3</v>
      </c>
      <c r="I941" s="94">
        <v>3.41</v>
      </c>
      <c r="J941" s="94">
        <v>3.51</v>
      </c>
      <c r="K941" s="94">
        <v>3.33</v>
      </c>
      <c r="L941" s="94">
        <v>3.5</v>
      </c>
      <c r="M941" s="94">
        <v>1369178</v>
      </c>
      <c r="N941" s="94" t="s">
        <v>975</v>
      </c>
      <c r="O941" s="25">
        <f t="shared" si="33"/>
        <v>-2.571428571428569E-2</v>
      </c>
    </row>
    <row r="942" spans="1:15">
      <c r="A942" s="94">
        <v>402.44003521572773</v>
      </c>
      <c r="B942" s="94">
        <v>404.18680452473876</v>
      </c>
      <c r="C942" s="94">
        <v>401.16167331918894</v>
      </c>
      <c r="D942" s="94">
        <v>401.73742409701941</v>
      </c>
      <c r="E942" s="94">
        <v>3103143.719114739</v>
      </c>
      <c r="F942" s="94" t="s">
        <v>976</v>
      </c>
      <c r="G942" s="25">
        <f t="shared" si="32"/>
        <v>1.748931208705784E-3</v>
      </c>
      <c r="I942" s="94">
        <v>3.44</v>
      </c>
      <c r="J942" s="94">
        <v>3.47</v>
      </c>
      <c r="K942" s="94">
        <v>3.33</v>
      </c>
      <c r="L942" s="94">
        <v>3.41</v>
      </c>
      <c r="M942" s="94">
        <v>1125673</v>
      </c>
      <c r="N942" s="94" t="s">
        <v>976</v>
      </c>
      <c r="O942" s="25">
        <f t="shared" si="33"/>
        <v>8.7976539589442737E-3</v>
      </c>
    </row>
    <row r="943" spans="1:15">
      <c r="A943" s="94">
        <v>403.58177828362881</v>
      </c>
      <c r="B943" s="94">
        <v>406.63618495245817</v>
      </c>
      <c r="C943" s="94">
        <v>402.90844262819996</v>
      </c>
      <c r="D943" s="94">
        <v>406.40198124622202</v>
      </c>
      <c r="E943" s="94">
        <v>5102294.661363136</v>
      </c>
      <c r="F943" s="94" t="s">
        <v>977</v>
      </c>
      <c r="G943" s="25">
        <f t="shared" si="32"/>
        <v>-6.9394419632137216E-3</v>
      </c>
      <c r="I943" s="94">
        <v>3.4</v>
      </c>
      <c r="J943" s="94">
        <v>3.67</v>
      </c>
      <c r="K943" s="94">
        <v>3.39</v>
      </c>
      <c r="L943" s="94">
        <v>3.67</v>
      </c>
      <c r="M943" s="94">
        <v>2021478</v>
      </c>
      <c r="N943" s="94" t="s">
        <v>977</v>
      </c>
      <c r="O943" s="25">
        <f t="shared" si="33"/>
        <v>-7.3569482288828314E-2</v>
      </c>
    </row>
    <row r="944" spans="1:15">
      <c r="A944" s="94">
        <v>409.25145967209482</v>
      </c>
      <c r="B944" s="94">
        <v>409.93455381528349</v>
      </c>
      <c r="C944" s="94">
        <v>408.44150518802826</v>
      </c>
      <c r="D944" s="94">
        <v>409.13435781897675</v>
      </c>
      <c r="E944" s="94">
        <v>3214919.2346294592</v>
      </c>
      <c r="F944" s="94" t="s">
        <v>978</v>
      </c>
      <c r="G944" s="25">
        <f t="shared" si="32"/>
        <v>2.8621857558563946E-4</v>
      </c>
      <c r="I944" s="94">
        <v>3.77</v>
      </c>
      <c r="J944" s="94">
        <v>3.77</v>
      </c>
      <c r="K944" s="94">
        <v>3.63</v>
      </c>
      <c r="L944" s="94">
        <v>3.75</v>
      </c>
      <c r="M944" s="94">
        <v>2013892</v>
      </c>
      <c r="N944" s="94" t="s">
        <v>978</v>
      </c>
      <c r="O944" s="25">
        <f t="shared" si="33"/>
        <v>5.3333333333334121E-3</v>
      </c>
    </row>
    <row r="945" spans="1:15">
      <c r="A945" s="94">
        <v>410.5200630808738</v>
      </c>
      <c r="B945" s="94">
        <v>410.80305922590912</v>
      </c>
      <c r="C945" s="94">
        <v>408.92942957602014</v>
      </c>
      <c r="D945" s="94">
        <v>410.16875752151958</v>
      </c>
      <c r="E945" s="94">
        <v>3540033.1332252184</v>
      </c>
      <c r="F945" s="94" t="s">
        <v>979</v>
      </c>
      <c r="G945" s="25">
        <f t="shared" si="32"/>
        <v>8.5649029311007929E-4</v>
      </c>
      <c r="I945" s="94">
        <v>3.72</v>
      </c>
      <c r="J945" s="94">
        <v>3.75</v>
      </c>
      <c r="K945" s="94">
        <v>3.43</v>
      </c>
      <c r="L945" s="94">
        <v>3.46</v>
      </c>
      <c r="M945" s="94">
        <v>3824762</v>
      </c>
      <c r="N945" s="94" t="s">
        <v>979</v>
      </c>
      <c r="O945" s="25">
        <f t="shared" si="33"/>
        <v>7.5144508670520249E-2</v>
      </c>
    </row>
    <row r="946" spans="1:15">
      <c r="A946" s="94">
        <v>409.72962557232688</v>
      </c>
      <c r="B946" s="94">
        <v>410.46151215431473</v>
      </c>
      <c r="C946" s="94">
        <v>408.06092416539457</v>
      </c>
      <c r="D946" s="94">
        <v>408.81232772290213</v>
      </c>
      <c r="E946" s="94">
        <v>2769618.6812092797</v>
      </c>
      <c r="F946" s="94" t="s">
        <v>980</v>
      </c>
      <c r="G946" s="25">
        <f t="shared" si="32"/>
        <v>2.2438116153056242E-3</v>
      </c>
      <c r="I946" s="94">
        <v>3.45</v>
      </c>
      <c r="J946" s="94">
        <v>3.48</v>
      </c>
      <c r="K946" s="94">
        <v>3.33</v>
      </c>
      <c r="L946" s="94">
        <v>3.33</v>
      </c>
      <c r="M946" s="94">
        <v>1914863</v>
      </c>
      <c r="N946" s="94" t="s">
        <v>980</v>
      </c>
      <c r="O946" s="25">
        <f t="shared" si="33"/>
        <v>3.6036036036036112E-2</v>
      </c>
    </row>
    <row r="947" spans="1:15">
      <c r="A947" s="94">
        <v>405.77743802959242</v>
      </c>
      <c r="B947" s="94">
        <v>411.95456078156997</v>
      </c>
      <c r="C947" s="94">
        <v>404.89917413120696</v>
      </c>
      <c r="D947" s="94">
        <v>411.60325522221586</v>
      </c>
      <c r="E947" s="94">
        <v>4252137.3209867058</v>
      </c>
      <c r="F947" s="94" t="s">
        <v>981</v>
      </c>
      <c r="G947" s="25">
        <f t="shared" si="32"/>
        <v>-1.4153962872519577E-2</v>
      </c>
      <c r="I947" s="94">
        <v>3.29</v>
      </c>
      <c r="J947" s="94">
        <v>3.48</v>
      </c>
      <c r="K947" s="94">
        <v>3.27</v>
      </c>
      <c r="L947" s="94">
        <v>3.45</v>
      </c>
      <c r="M947" s="94">
        <v>1655483</v>
      </c>
      <c r="N947" s="94" t="s">
        <v>981</v>
      </c>
      <c r="O947" s="25">
        <f t="shared" si="33"/>
        <v>-4.6376811594202927E-2</v>
      </c>
    </row>
    <row r="948" spans="1:15">
      <c r="A948" s="94">
        <v>408.54884855338651</v>
      </c>
      <c r="B948" s="94">
        <v>409.74914254784653</v>
      </c>
      <c r="C948" s="94">
        <v>406.51908309934009</v>
      </c>
      <c r="D948" s="94">
        <v>407.53396582636327</v>
      </c>
      <c r="E948" s="94">
        <v>6290766.7161963824</v>
      </c>
      <c r="F948" s="94" t="s">
        <v>982</v>
      </c>
      <c r="G948" s="25">
        <f t="shared" si="32"/>
        <v>2.4903021885926968E-3</v>
      </c>
      <c r="I948" s="94">
        <v>3.42</v>
      </c>
      <c r="J948" s="94">
        <v>3.42</v>
      </c>
      <c r="K948" s="94">
        <v>3.3109999999999999</v>
      </c>
      <c r="L948" s="94">
        <v>3.33</v>
      </c>
      <c r="M948" s="94">
        <v>1381834</v>
      </c>
      <c r="N948" s="94" t="s">
        <v>982</v>
      </c>
      <c r="O948" s="25">
        <f t="shared" si="33"/>
        <v>2.7027027027026973E-2</v>
      </c>
    </row>
    <row r="949" spans="1:15">
      <c r="A949" s="94">
        <v>408.45126367578808</v>
      </c>
      <c r="B949" s="94">
        <v>409.51493884161044</v>
      </c>
      <c r="C949" s="94">
        <v>406.99471179275463</v>
      </c>
      <c r="D949" s="94">
        <v>407.00700748733203</v>
      </c>
      <c r="E949" s="94">
        <v>4047049.1916315909</v>
      </c>
      <c r="F949" s="94" t="s">
        <v>983</v>
      </c>
      <c r="G949" s="25">
        <f t="shared" si="32"/>
        <v>3.548479907931279E-3</v>
      </c>
      <c r="I949" s="94">
        <v>3.35</v>
      </c>
      <c r="J949" s="94">
        <v>3.38</v>
      </c>
      <c r="K949" s="94">
        <v>3.32</v>
      </c>
      <c r="L949" s="94">
        <v>3.35</v>
      </c>
      <c r="M949" s="94">
        <v>1032535</v>
      </c>
      <c r="N949" s="94" t="s">
        <v>983</v>
      </c>
      <c r="O949" s="25">
        <f t="shared" si="33"/>
        <v>0</v>
      </c>
    </row>
    <row r="950" spans="1:15">
      <c r="A950" s="94">
        <v>407.25096968132794</v>
      </c>
      <c r="B950" s="94">
        <v>408.00237323883556</v>
      </c>
      <c r="C950" s="94">
        <v>405.96772854090926</v>
      </c>
      <c r="D950" s="94">
        <v>406.51908309934009</v>
      </c>
      <c r="E950" s="94">
        <v>3557032.6934114527</v>
      </c>
      <c r="F950" s="94" t="s">
        <v>984</v>
      </c>
      <c r="G950" s="25">
        <f t="shared" si="32"/>
        <v>1.8003744778913866E-3</v>
      </c>
      <c r="I950" s="94">
        <v>3.34</v>
      </c>
      <c r="J950" s="94">
        <v>3.38</v>
      </c>
      <c r="K950" s="94">
        <v>3.29</v>
      </c>
      <c r="L950" s="94">
        <v>3.35</v>
      </c>
      <c r="M950" s="94">
        <v>995964</v>
      </c>
      <c r="N950" s="94" t="s">
        <v>984</v>
      </c>
      <c r="O950" s="25">
        <f t="shared" si="33"/>
        <v>-2.9850746268657025E-3</v>
      </c>
    </row>
    <row r="951" spans="1:15">
      <c r="A951" s="94">
        <v>405.53347583559645</v>
      </c>
      <c r="B951" s="94">
        <v>407.22169421804847</v>
      </c>
      <c r="C951" s="94">
        <v>405.44564944575791</v>
      </c>
      <c r="D951" s="94">
        <v>407.03628295061156</v>
      </c>
      <c r="E951" s="94">
        <v>3255333.2833740916</v>
      </c>
      <c r="F951" s="94" t="s">
        <v>985</v>
      </c>
      <c r="G951" s="25">
        <f t="shared" si="32"/>
        <v>-3.6920716357795591E-3</v>
      </c>
      <c r="I951" s="94">
        <v>3.34</v>
      </c>
      <c r="J951" s="94">
        <v>3.4</v>
      </c>
      <c r="K951" s="94">
        <v>3.2749999999999999</v>
      </c>
      <c r="L951" s="94">
        <v>3.36</v>
      </c>
      <c r="M951" s="94">
        <v>1386759</v>
      </c>
      <c r="N951" s="94" t="s">
        <v>985</v>
      </c>
      <c r="O951" s="25">
        <f t="shared" si="33"/>
        <v>-5.9523809523809312E-3</v>
      </c>
    </row>
    <row r="952" spans="1:15">
      <c r="A952" s="94">
        <v>405.48468339679727</v>
      </c>
      <c r="B952" s="94">
        <v>408.06092416539457</v>
      </c>
      <c r="C952" s="94">
        <v>404.8015892536086</v>
      </c>
      <c r="D952" s="94">
        <v>407.22169421804847</v>
      </c>
      <c r="E952" s="94">
        <v>4186096.3507195371</v>
      </c>
      <c r="F952" s="94" t="s">
        <v>986</v>
      </c>
      <c r="G952" s="25">
        <f t="shared" si="32"/>
        <v>-4.2655164150491309E-3</v>
      </c>
      <c r="I952" s="94">
        <v>3.34</v>
      </c>
      <c r="J952" s="94">
        <v>3.46</v>
      </c>
      <c r="K952" s="94">
        <v>3.32</v>
      </c>
      <c r="L952" s="94">
        <v>3.44</v>
      </c>
      <c r="M952" s="94">
        <v>1409764</v>
      </c>
      <c r="N952" s="94" t="s">
        <v>986</v>
      </c>
      <c r="O952" s="25">
        <f t="shared" si="33"/>
        <v>-2.9069767441860517E-2</v>
      </c>
    </row>
    <row r="953" spans="1:15">
      <c r="A953" s="94">
        <v>408.14875055523311</v>
      </c>
      <c r="B953" s="94">
        <v>409.241701184335</v>
      </c>
      <c r="C953" s="94">
        <v>407.40710548548543</v>
      </c>
      <c r="D953" s="94">
        <v>407.97309777555603</v>
      </c>
      <c r="E953" s="94">
        <v>3581411.4707235582</v>
      </c>
      <c r="F953" s="94" t="s">
        <v>987</v>
      </c>
      <c r="G953" s="25">
        <f t="shared" si="32"/>
        <v>4.3054990791024927E-4</v>
      </c>
      <c r="I953" s="94">
        <v>3.47</v>
      </c>
      <c r="J953" s="94">
        <v>3.6</v>
      </c>
      <c r="K953" s="94">
        <v>3.43</v>
      </c>
      <c r="L953" s="94">
        <v>3.55</v>
      </c>
      <c r="M953" s="94">
        <v>1942506</v>
      </c>
      <c r="N953" s="94" t="s">
        <v>987</v>
      </c>
      <c r="O953" s="25">
        <f t="shared" si="33"/>
        <v>-2.2535211267605493E-2</v>
      </c>
    </row>
    <row r="954" spans="1:15">
      <c r="A954" s="94">
        <v>407.27048665684771</v>
      </c>
      <c r="B954" s="94">
        <v>407.83647894691831</v>
      </c>
      <c r="C954" s="94">
        <v>403.55250282034933</v>
      </c>
      <c r="D954" s="94">
        <v>403.91356686746332</v>
      </c>
      <c r="E954" s="94">
        <v>3686312.9703404387</v>
      </c>
      <c r="F954" s="94" t="s">
        <v>988</v>
      </c>
      <c r="G954" s="25">
        <f t="shared" si="32"/>
        <v>8.3109854799354732E-3</v>
      </c>
      <c r="I954" s="94">
        <v>3.54</v>
      </c>
      <c r="J954" s="94">
        <v>3.5649999999999999</v>
      </c>
      <c r="K954" s="94">
        <v>3.39</v>
      </c>
      <c r="L954" s="94">
        <v>3.41</v>
      </c>
      <c r="M954" s="94">
        <v>2107567</v>
      </c>
      <c r="N954" s="94" t="s">
        <v>988</v>
      </c>
      <c r="O954" s="25">
        <f t="shared" si="33"/>
        <v>3.8123167155425186E-2</v>
      </c>
    </row>
    <row r="955" spans="1:15">
      <c r="A955" s="94">
        <v>404.20632150025847</v>
      </c>
      <c r="B955" s="94">
        <v>405.22071630289366</v>
      </c>
      <c r="C955" s="94">
        <v>402.66448043420399</v>
      </c>
      <c r="D955" s="94">
        <v>402.6839974097237</v>
      </c>
      <c r="E955" s="94">
        <v>3041728.4655683292</v>
      </c>
      <c r="F955" s="94" t="s">
        <v>989</v>
      </c>
      <c r="G955" s="25">
        <f t="shared" si="32"/>
        <v>3.7804434750998706E-3</v>
      </c>
      <c r="I955" s="94">
        <v>3.43</v>
      </c>
      <c r="J955" s="94">
        <v>3.45</v>
      </c>
      <c r="K955" s="94">
        <v>3.26</v>
      </c>
      <c r="L955" s="94">
        <v>3.3</v>
      </c>
      <c r="M955" s="94">
        <v>1698183</v>
      </c>
      <c r="N955" s="94" t="s">
        <v>989</v>
      </c>
      <c r="O955" s="25">
        <f t="shared" si="33"/>
        <v>3.9393939393939537E-2</v>
      </c>
    </row>
    <row r="956" spans="1:15">
      <c r="A956" s="94">
        <v>402.80109926284172</v>
      </c>
      <c r="B956" s="94">
        <v>404.69424588825035</v>
      </c>
      <c r="C956" s="94">
        <v>402.12776360741293</v>
      </c>
      <c r="D956" s="94">
        <v>403.94284233074285</v>
      </c>
      <c r="E956" s="94">
        <v>3772044.4915135377</v>
      </c>
      <c r="F956" s="94" t="s">
        <v>990</v>
      </c>
      <c r="G956" s="25">
        <f t="shared" si="32"/>
        <v>-2.8264965937093711E-3</v>
      </c>
      <c r="I956" s="94">
        <v>3.28</v>
      </c>
      <c r="J956" s="94">
        <v>3.58</v>
      </c>
      <c r="K956" s="94">
        <v>3.27</v>
      </c>
      <c r="L956" s="94">
        <v>3.49</v>
      </c>
      <c r="M956" s="94">
        <v>2228945</v>
      </c>
      <c r="N956" s="94" t="s">
        <v>990</v>
      </c>
      <c r="O956" s="25">
        <f t="shared" si="33"/>
        <v>-6.0171919770773741E-2</v>
      </c>
    </row>
    <row r="957" spans="1:15">
      <c r="A957" s="94">
        <v>403.12312935891646</v>
      </c>
      <c r="B957" s="94">
        <v>403.81598198986495</v>
      </c>
      <c r="C957" s="94">
        <v>401.20070727022829</v>
      </c>
      <c r="D957" s="94">
        <v>401.60080526838169</v>
      </c>
      <c r="E957" s="94">
        <v>3354440.8524771994</v>
      </c>
      <c r="F957" s="94" t="s">
        <v>991</v>
      </c>
      <c r="G957" s="25">
        <f t="shared" si="32"/>
        <v>3.7906400349905223E-3</v>
      </c>
      <c r="I957" s="94">
        <v>3.48</v>
      </c>
      <c r="J957" s="94">
        <v>3.54</v>
      </c>
      <c r="K957" s="94">
        <v>3.4</v>
      </c>
      <c r="L957" s="94">
        <v>3.41</v>
      </c>
      <c r="M957" s="94">
        <v>2604000</v>
      </c>
      <c r="N957" s="94" t="s">
        <v>991</v>
      </c>
      <c r="O957" s="25">
        <f t="shared" si="33"/>
        <v>2.0527859237536639E-2</v>
      </c>
    </row>
    <row r="958" spans="1:15">
      <c r="A958" s="94">
        <v>399.86379444713043</v>
      </c>
      <c r="B958" s="94">
        <v>401.20070727022829</v>
      </c>
      <c r="C958" s="94">
        <v>398.9172211344262</v>
      </c>
      <c r="D958" s="94">
        <v>400.28340942080348</v>
      </c>
      <c r="E958" s="94">
        <v>4351451.8893759446</v>
      </c>
      <c r="F958" s="94" t="s">
        <v>992</v>
      </c>
      <c r="G958" s="25">
        <f t="shared" si="32"/>
        <v>-1.0482946927033998E-3</v>
      </c>
      <c r="I958" s="94">
        <v>3.41</v>
      </c>
      <c r="J958" s="94">
        <v>3.5</v>
      </c>
      <c r="K958" s="94">
        <v>3.34</v>
      </c>
      <c r="L958" s="94">
        <v>3.49</v>
      </c>
      <c r="M958" s="94">
        <v>2056944</v>
      </c>
      <c r="N958" s="94" t="s">
        <v>992</v>
      </c>
      <c r="O958" s="25">
        <f t="shared" si="33"/>
        <v>-2.2922636103151928E-2</v>
      </c>
    </row>
    <row r="959" spans="1:15">
      <c r="A959" s="94">
        <v>396.74107836398224</v>
      </c>
      <c r="B959" s="94">
        <v>397.17045182541511</v>
      </c>
      <c r="C959" s="94">
        <v>394.01846027898733</v>
      </c>
      <c r="D959" s="94">
        <v>394.99430905497115</v>
      </c>
      <c r="E959" s="94">
        <v>3260618.9384130086</v>
      </c>
      <c r="F959" s="94" t="s">
        <v>993</v>
      </c>
      <c r="G959" s="25">
        <f t="shared" si="32"/>
        <v>4.4222644958866741E-3</v>
      </c>
      <c r="I959" s="94">
        <v>3.43</v>
      </c>
      <c r="J959" s="94">
        <v>3.44</v>
      </c>
      <c r="K959" s="94">
        <v>3.3149999999999999</v>
      </c>
      <c r="L959" s="94">
        <v>3.38</v>
      </c>
      <c r="M959" s="94">
        <v>2381234</v>
      </c>
      <c r="N959" s="94" t="s">
        <v>993</v>
      </c>
      <c r="O959" s="25">
        <f t="shared" si="33"/>
        <v>1.479289940828421E-2</v>
      </c>
    </row>
    <row r="960" spans="1:15">
      <c r="A960" s="94">
        <v>394.21363003418418</v>
      </c>
      <c r="B960" s="94">
        <v>394.3502488628219</v>
      </c>
      <c r="C960" s="94">
        <v>392.34975887205502</v>
      </c>
      <c r="D960" s="94">
        <v>392.90599267436579</v>
      </c>
      <c r="E960" s="94">
        <v>3445489.7959063947</v>
      </c>
      <c r="F960" s="94" t="s">
        <v>994</v>
      </c>
      <c r="G960" s="25">
        <f t="shared" si="32"/>
        <v>3.3281176266053425E-3</v>
      </c>
      <c r="I960" s="94">
        <v>3.33</v>
      </c>
      <c r="J960" s="94">
        <v>3.35</v>
      </c>
      <c r="K960" s="94">
        <v>3.2149999999999999</v>
      </c>
      <c r="L960" s="94">
        <v>3.24</v>
      </c>
      <c r="M960" s="94">
        <v>1838729</v>
      </c>
      <c r="N960" s="94" t="s">
        <v>994</v>
      </c>
      <c r="O960" s="25">
        <f t="shared" si="33"/>
        <v>2.7777777777777679E-2</v>
      </c>
    </row>
    <row r="961" spans="1:15">
      <c r="A961" s="94">
        <v>393.15971335612159</v>
      </c>
      <c r="B961" s="94">
        <v>396.85720436832429</v>
      </c>
      <c r="C961" s="94">
        <v>392.98406057644451</v>
      </c>
      <c r="D961" s="94">
        <v>393.29633218475931</v>
      </c>
      <c r="E961" s="94">
        <v>3764158.0236617527</v>
      </c>
      <c r="F961" s="94" t="s">
        <v>995</v>
      </c>
      <c r="G961" s="25">
        <f t="shared" si="32"/>
        <v>-3.4736868223206319E-4</v>
      </c>
      <c r="I961" s="94">
        <v>3.24</v>
      </c>
      <c r="J961" s="94">
        <v>3.27</v>
      </c>
      <c r="K961" s="94">
        <v>3.12</v>
      </c>
      <c r="L961" s="94">
        <v>3.15</v>
      </c>
      <c r="M961" s="94">
        <v>1449665</v>
      </c>
      <c r="N961" s="94" t="s">
        <v>995</v>
      </c>
      <c r="O961" s="25">
        <f t="shared" si="33"/>
        <v>2.8571428571428692E-2</v>
      </c>
    </row>
    <row r="962" spans="1:15">
      <c r="A962" s="94">
        <v>394.0770112055464</v>
      </c>
      <c r="B962" s="94">
        <v>394.58445256905799</v>
      </c>
      <c r="C962" s="94">
        <v>391.86183448406314</v>
      </c>
      <c r="D962" s="94">
        <v>394.02821876674716</v>
      </c>
      <c r="E962" s="94">
        <v>6189761.3120540967</v>
      </c>
      <c r="F962" s="94" t="s">
        <v>996</v>
      </c>
      <c r="G962" s="25">
        <f t="shared" si="32"/>
        <v>1.2382980831149304E-4</v>
      </c>
      <c r="I962" s="94">
        <v>3.18</v>
      </c>
      <c r="J962" s="94">
        <v>3.3</v>
      </c>
      <c r="K962" s="94">
        <v>3.13</v>
      </c>
      <c r="L962" s="94">
        <v>3.25</v>
      </c>
      <c r="M962" s="94">
        <v>2199433</v>
      </c>
      <c r="N962" s="94" t="s">
        <v>996</v>
      </c>
      <c r="O962" s="25">
        <f t="shared" si="33"/>
        <v>-2.1538461538461506E-2</v>
      </c>
    </row>
    <row r="963" spans="1:15">
      <c r="A963" s="94">
        <v>397.31682914181266</v>
      </c>
      <c r="B963" s="94">
        <v>397.9901647972415</v>
      </c>
      <c r="C963" s="94">
        <v>396.20436153719112</v>
      </c>
      <c r="D963" s="94">
        <v>396.20436153719112</v>
      </c>
      <c r="E963" s="94">
        <v>4338914.0860798694</v>
      </c>
      <c r="F963" s="94" t="s">
        <v>997</v>
      </c>
      <c r="G963" s="25">
        <f t="shared" si="32"/>
        <v>2.8078126154527094E-3</v>
      </c>
      <c r="I963" s="94">
        <v>3.26</v>
      </c>
      <c r="J963" s="94">
        <v>3.26</v>
      </c>
      <c r="K963" s="94">
        <v>3.18</v>
      </c>
      <c r="L963" s="94">
        <v>3.2</v>
      </c>
      <c r="M963" s="94">
        <v>1928412</v>
      </c>
      <c r="N963" s="94" t="s">
        <v>997</v>
      </c>
      <c r="O963" s="25">
        <f t="shared" si="33"/>
        <v>1.8749999999999822E-2</v>
      </c>
    </row>
    <row r="964" spans="1:15">
      <c r="A964" s="94">
        <v>398.20485152795794</v>
      </c>
      <c r="B964" s="94">
        <v>398.20485152795794</v>
      </c>
      <c r="C964" s="94">
        <v>396.85818021710031</v>
      </c>
      <c r="D964" s="94">
        <v>397.0923839233364</v>
      </c>
      <c r="E964" s="94">
        <v>2430723.9588517216</v>
      </c>
      <c r="F964" s="94" t="s">
        <v>998</v>
      </c>
      <c r="G964" s="25">
        <f t="shared" si="32"/>
        <v>2.8015334709525774E-3</v>
      </c>
      <c r="I964" s="94">
        <v>3.24</v>
      </c>
      <c r="J964" s="94">
        <v>3.3</v>
      </c>
      <c r="K964" s="94">
        <v>3.2</v>
      </c>
      <c r="L964" s="94">
        <v>3.25</v>
      </c>
      <c r="M964" s="94">
        <v>1176351</v>
      </c>
      <c r="N964" s="94" t="s">
        <v>998</v>
      </c>
      <c r="O964" s="25">
        <f t="shared" si="33"/>
        <v>-3.0769230769229772E-3</v>
      </c>
    </row>
    <row r="965" spans="1:15">
      <c r="A965" s="94">
        <v>397.44368948269056</v>
      </c>
      <c r="B965" s="94">
        <v>398.36098733211543</v>
      </c>
      <c r="C965" s="94">
        <v>395.5017504184828</v>
      </c>
      <c r="D965" s="94">
        <v>395.60909378384099</v>
      </c>
      <c r="E965" s="94">
        <v>5301735.3993030749</v>
      </c>
      <c r="F965" s="94" t="s">
        <v>999</v>
      </c>
      <c r="G965" s="25">
        <f t="shared" si="32"/>
        <v>4.6373951652687317E-3</v>
      </c>
      <c r="I965" s="94">
        <v>3.22</v>
      </c>
      <c r="J965" s="94">
        <v>3.2789999999999999</v>
      </c>
      <c r="K965" s="94">
        <v>3.11</v>
      </c>
      <c r="L965" s="94">
        <v>3.12</v>
      </c>
      <c r="M965" s="94">
        <v>2610877</v>
      </c>
      <c r="N965" s="94" t="s">
        <v>999</v>
      </c>
      <c r="O965" s="25">
        <f t="shared" si="33"/>
        <v>3.2051282051282159E-2</v>
      </c>
    </row>
    <row r="966" spans="1:15">
      <c r="A966" s="94">
        <v>392.78889082124778</v>
      </c>
      <c r="B966" s="94">
        <v>392.94502662540521</v>
      </c>
      <c r="C966" s="94">
        <v>390.52492166096528</v>
      </c>
      <c r="D966" s="94">
        <v>390.92501965911868</v>
      </c>
      <c r="E966" s="94">
        <v>4011737.3678653939</v>
      </c>
      <c r="F966" s="94" t="s">
        <v>1000</v>
      </c>
      <c r="G966" s="25">
        <f t="shared" si="32"/>
        <v>4.7678482276585221E-3</v>
      </c>
      <c r="I966" s="94">
        <v>3.08</v>
      </c>
      <c r="J966" s="94">
        <v>3.18</v>
      </c>
      <c r="K966" s="94">
        <v>3.04</v>
      </c>
      <c r="L966" s="94">
        <v>3.05</v>
      </c>
      <c r="M966" s="94">
        <v>1918418</v>
      </c>
      <c r="N966" s="94" t="s">
        <v>1000</v>
      </c>
      <c r="O966" s="25">
        <f t="shared" si="33"/>
        <v>9.8360655737705915E-3</v>
      </c>
    </row>
    <row r="967" spans="1:15">
      <c r="A967" s="94">
        <v>391.28979193158125</v>
      </c>
      <c r="B967" s="94">
        <v>392.1986379270005</v>
      </c>
      <c r="C967" s="94">
        <v>389.50126077482031</v>
      </c>
      <c r="D967" s="94">
        <v>390.12335856847631</v>
      </c>
      <c r="E967" s="94">
        <v>4445008.6597304381</v>
      </c>
      <c r="F967" s="94" t="s">
        <v>1001</v>
      </c>
      <c r="G967" s="25">
        <f t="shared" si="32"/>
        <v>2.9899090569327491E-3</v>
      </c>
      <c r="I967" s="94">
        <v>3.03</v>
      </c>
      <c r="J967" s="94">
        <v>3.14</v>
      </c>
      <c r="K967" s="94">
        <v>3</v>
      </c>
      <c r="L967" s="94">
        <v>3.04</v>
      </c>
      <c r="M967" s="94">
        <v>3105191</v>
      </c>
      <c r="N967" s="94" t="s">
        <v>1001</v>
      </c>
      <c r="O967" s="25">
        <f t="shared" si="33"/>
        <v>-3.2894736842106198E-3</v>
      </c>
    </row>
    <row r="968" spans="1:15">
      <c r="A968" s="94">
        <v>391.11482692711547</v>
      </c>
      <c r="B968" s="94">
        <v>391.65916249656448</v>
      </c>
      <c r="C968" s="94">
        <v>387.24615627281742</v>
      </c>
      <c r="D968" s="94">
        <v>387.64468767187827</v>
      </c>
      <c r="E968" s="94">
        <v>4426170.7211948764</v>
      </c>
      <c r="F968" s="94" t="s">
        <v>1002</v>
      </c>
      <c r="G968" s="25">
        <f t="shared" si="32"/>
        <v>8.9518555667000843E-3</v>
      </c>
      <c r="I968" s="94">
        <v>3.02</v>
      </c>
      <c r="J968" s="94">
        <v>3.085</v>
      </c>
      <c r="K968" s="94">
        <v>3.01</v>
      </c>
      <c r="L968" s="94">
        <v>3.07</v>
      </c>
      <c r="M968" s="94">
        <v>2080335</v>
      </c>
      <c r="N968" s="94" t="s">
        <v>1002</v>
      </c>
      <c r="O968" s="25">
        <f t="shared" si="33"/>
        <v>-1.6286644951139961E-2</v>
      </c>
    </row>
    <row r="969" spans="1:15">
      <c r="A969" s="94">
        <v>386.82818431770477</v>
      </c>
      <c r="B969" s="94">
        <v>389.64706494520846</v>
      </c>
      <c r="C969" s="94">
        <v>386.60461792310969</v>
      </c>
      <c r="D969" s="94">
        <v>387.87797434449925</v>
      </c>
      <c r="E969" s="94">
        <v>3344245.9066982488</v>
      </c>
      <c r="F969" s="94" t="s">
        <v>1003</v>
      </c>
      <c r="G969" s="25">
        <f t="shared" si="32"/>
        <v>-2.7064955894147147E-3</v>
      </c>
      <c r="I969" s="94">
        <v>3.04</v>
      </c>
      <c r="J969" s="94">
        <v>3.14</v>
      </c>
      <c r="K969" s="94">
        <v>3.02</v>
      </c>
      <c r="L969" s="94">
        <v>3.07</v>
      </c>
      <c r="M969" s="94">
        <v>1771438</v>
      </c>
      <c r="N969" s="94" t="s">
        <v>1003</v>
      </c>
      <c r="O969" s="25">
        <f t="shared" si="33"/>
        <v>-9.7719869706839324E-3</v>
      </c>
    </row>
    <row r="970" spans="1:15">
      <c r="A970" s="94">
        <v>388.43203019197409</v>
      </c>
      <c r="B970" s="94">
        <v>390.05531662229515</v>
      </c>
      <c r="C970" s="94">
        <v>387.77105128621463</v>
      </c>
      <c r="D970" s="94">
        <v>388.15986240724959</v>
      </c>
      <c r="E970" s="94">
        <v>4336611.5545040993</v>
      </c>
      <c r="F970" s="94" t="s">
        <v>1004</v>
      </c>
      <c r="G970" s="25">
        <f t="shared" si="32"/>
        <v>7.0117446723272359E-4</v>
      </c>
      <c r="I970" s="94">
        <v>3.07</v>
      </c>
      <c r="J970" s="94">
        <v>3.15</v>
      </c>
      <c r="K970" s="94">
        <v>3.05</v>
      </c>
      <c r="L970" s="94">
        <v>3.11</v>
      </c>
      <c r="M970" s="94">
        <v>2733857</v>
      </c>
      <c r="N970" s="94" t="s">
        <v>1004</v>
      </c>
      <c r="O970" s="25">
        <f t="shared" si="33"/>
        <v>-1.2861736334405127E-2</v>
      </c>
    </row>
    <row r="971" spans="1:15">
      <c r="A971" s="94">
        <v>391.36755415578824</v>
      </c>
      <c r="B971" s="94">
        <v>391.45503665802113</v>
      </c>
      <c r="C971" s="94">
        <v>388.76251964485385</v>
      </c>
      <c r="D971" s="94">
        <v>389.08328881970766</v>
      </c>
      <c r="E971" s="94">
        <v>3231410.6568133757</v>
      </c>
      <c r="F971" s="94" t="s">
        <v>1005</v>
      </c>
      <c r="G971" s="25">
        <f t="shared" si="32"/>
        <v>5.8708903767363818E-3</v>
      </c>
      <c r="I971" s="94">
        <v>3.16</v>
      </c>
      <c r="J971" s="94">
        <v>3.21</v>
      </c>
      <c r="K971" s="94">
        <v>3.06</v>
      </c>
      <c r="L971" s="94">
        <v>3.15</v>
      </c>
      <c r="M971" s="94">
        <v>1611207</v>
      </c>
      <c r="N971" s="94" t="s">
        <v>1005</v>
      </c>
      <c r="O971" s="25">
        <f t="shared" si="33"/>
        <v>3.1746031746031633E-3</v>
      </c>
    </row>
    <row r="972" spans="1:15">
      <c r="A972" s="94">
        <v>389.94839356401053</v>
      </c>
      <c r="B972" s="94">
        <v>391.78552611090083</v>
      </c>
      <c r="C972" s="94">
        <v>389.46237966271684</v>
      </c>
      <c r="D972" s="94">
        <v>391.05650525896021</v>
      </c>
      <c r="E972" s="94">
        <v>3522062.8369752495</v>
      </c>
      <c r="F972" s="94" t="s">
        <v>1006</v>
      </c>
      <c r="G972" s="25">
        <f t="shared" si="32"/>
        <v>-2.8336357535233558E-3</v>
      </c>
      <c r="I972" s="94">
        <v>3.17</v>
      </c>
      <c r="J972" s="94">
        <v>3.22</v>
      </c>
      <c r="K972" s="94">
        <v>3.01</v>
      </c>
      <c r="L972" s="94">
        <v>3.16</v>
      </c>
      <c r="M972" s="94">
        <v>3287591</v>
      </c>
      <c r="N972" s="94" t="s">
        <v>1006</v>
      </c>
      <c r="O972" s="25">
        <f t="shared" si="33"/>
        <v>3.1645569620253333E-3</v>
      </c>
    </row>
    <row r="973" spans="1:15">
      <c r="A973" s="94">
        <v>392.0965750077288</v>
      </c>
      <c r="B973" s="94">
        <v>393.01028114216103</v>
      </c>
      <c r="C973" s="94">
        <v>390.03587606624342</v>
      </c>
      <c r="D973" s="94">
        <v>392.20349806601342</v>
      </c>
      <c r="E973" s="94">
        <v>4369094.1644829009</v>
      </c>
      <c r="F973" s="94" t="s">
        <v>1007</v>
      </c>
      <c r="G973" s="25">
        <f t="shared" si="32"/>
        <v>-2.7262137847283707E-4</v>
      </c>
      <c r="I973" s="94">
        <v>3.15</v>
      </c>
      <c r="J973" s="94">
        <v>3.38</v>
      </c>
      <c r="K973" s="94">
        <v>3.14</v>
      </c>
      <c r="L973" s="94">
        <v>3.37</v>
      </c>
      <c r="M973" s="94">
        <v>4913148</v>
      </c>
      <c r="N973" s="94" t="s">
        <v>1007</v>
      </c>
      <c r="O973" s="25">
        <f t="shared" si="33"/>
        <v>-6.5281899109792318E-2</v>
      </c>
    </row>
    <row r="974" spans="1:15">
      <c r="A974" s="94">
        <v>393.91426699856737</v>
      </c>
      <c r="B974" s="94">
        <v>397.32608458564931</v>
      </c>
      <c r="C974" s="94">
        <v>393.56433698963588</v>
      </c>
      <c r="D974" s="94">
        <v>397.25804263946821</v>
      </c>
      <c r="E974" s="94">
        <v>5289853.8357778713</v>
      </c>
      <c r="F974" s="94" t="s">
        <v>1008</v>
      </c>
      <c r="G974" s="25">
        <f t="shared" si="32"/>
        <v>-8.4171376838190204E-3</v>
      </c>
      <c r="I974" s="94">
        <v>3.36</v>
      </c>
      <c r="J974" s="94">
        <v>3.585</v>
      </c>
      <c r="K974" s="94">
        <v>3.33</v>
      </c>
      <c r="L974" s="94">
        <v>3.55</v>
      </c>
      <c r="M974" s="94">
        <v>4832308</v>
      </c>
      <c r="N974" s="94" t="s">
        <v>1008</v>
      </c>
      <c r="O974" s="25">
        <f t="shared" si="33"/>
        <v>-5.352112676056342E-2</v>
      </c>
    </row>
    <row r="975" spans="1:15">
      <c r="A975" s="94">
        <v>395.37230870244855</v>
      </c>
      <c r="B975" s="94">
        <v>396.51930150950176</v>
      </c>
      <c r="C975" s="94">
        <v>389.67622577928603</v>
      </c>
      <c r="D975" s="94">
        <v>389.78314883757065</v>
      </c>
      <c r="E975" s="94">
        <v>5437070.8182747522</v>
      </c>
      <c r="F975" s="94" t="s">
        <v>1009</v>
      </c>
      <c r="G975" s="25">
        <f t="shared" si="32"/>
        <v>1.4339152119700715E-2</v>
      </c>
      <c r="I975" s="94">
        <v>3.45</v>
      </c>
      <c r="J975" s="94">
        <v>3.5150000000000001</v>
      </c>
      <c r="K975" s="94">
        <v>3.4</v>
      </c>
      <c r="L975" s="94">
        <v>3.48</v>
      </c>
      <c r="M975" s="94">
        <v>2822631</v>
      </c>
      <c r="N975" s="94" t="s">
        <v>1009</v>
      </c>
      <c r="O975" s="25">
        <f t="shared" si="33"/>
        <v>-8.6206896551723755E-3</v>
      </c>
    </row>
    <row r="976" spans="1:15">
      <c r="A976" s="94">
        <v>390.36636551912318</v>
      </c>
      <c r="B976" s="94">
        <v>392.1510085646737</v>
      </c>
      <c r="C976" s="94">
        <v>387.31419821899851</v>
      </c>
      <c r="D976" s="94">
        <v>390.37608579714902</v>
      </c>
      <c r="E976" s="94">
        <v>5309804.9111981187</v>
      </c>
      <c r="F976" s="94" t="s">
        <v>1010</v>
      </c>
      <c r="G976" s="25">
        <f t="shared" si="32"/>
        <v>-2.4899778391929139E-5</v>
      </c>
      <c r="I976" s="94">
        <v>3.49</v>
      </c>
      <c r="J976" s="94">
        <v>3.5950000000000002</v>
      </c>
      <c r="K976" s="94">
        <v>3.42</v>
      </c>
      <c r="L976" s="94">
        <v>3.59</v>
      </c>
      <c r="M976" s="94">
        <v>3083268</v>
      </c>
      <c r="N976" s="94" t="s">
        <v>1010</v>
      </c>
      <c r="O976" s="25">
        <f t="shared" si="33"/>
        <v>-2.7855153203342531E-2</v>
      </c>
    </row>
    <row r="977" spans="1:15">
      <c r="A977" s="94">
        <v>390.06503690032105</v>
      </c>
      <c r="B977" s="94">
        <v>390.60937246977005</v>
      </c>
      <c r="C977" s="94">
        <v>388.22790435343069</v>
      </c>
      <c r="D977" s="94">
        <v>388.82958956323239</v>
      </c>
      <c r="E977" s="94">
        <v>4025692.4643345485</v>
      </c>
      <c r="F977" s="94" t="s">
        <v>1011</v>
      </c>
      <c r="G977" s="25">
        <f t="shared" si="32"/>
        <v>3.1773490759188228E-3</v>
      </c>
      <c r="I977" s="94">
        <v>3.53</v>
      </c>
      <c r="J977" s="94">
        <v>3.67</v>
      </c>
      <c r="K977" s="94">
        <v>3.43</v>
      </c>
      <c r="L977" s="94">
        <v>3.48</v>
      </c>
      <c r="M977" s="94">
        <v>5390865</v>
      </c>
      <c r="N977" s="94" t="s">
        <v>1011</v>
      </c>
      <c r="O977" s="25">
        <f t="shared" si="33"/>
        <v>1.4367816091954033E-2</v>
      </c>
    </row>
    <row r="978" spans="1:15">
      <c r="A978" s="94">
        <v>387.50860377951602</v>
      </c>
      <c r="B978" s="94">
        <v>387.53290447458073</v>
      </c>
      <c r="C978" s="94">
        <v>384.24259036282217</v>
      </c>
      <c r="D978" s="94">
        <v>384.90356926858163</v>
      </c>
      <c r="E978" s="94">
        <v>3906518.9183807769</v>
      </c>
      <c r="F978" s="94" t="s">
        <v>1012</v>
      </c>
      <c r="G978" s="25">
        <f t="shared" si="32"/>
        <v>6.7680185867973197E-3</v>
      </c>
      <c r="I978" s="94">
        <v>3.49</v>
      </c>
      <c r="J978" s="94">
        <v>3.6888000000000001</v>
      </c>
      <c r="K978" s="94">
        <v>3.35</v>
      </c>
      <c r="L978" s="94">
        <v>3.51</v>
      </c>
      <c r="M978" s="94">
        <v>8077972</v>
      </c>
      <c r="N978" s="94" t="s">
        <v>1012</v>
      </c>
      <c r="O978" s="25">
        <f t="shared" si="33"/>
        <v>-5.6980056980056037E-3</v>
      </c>
    </row>
    <row r="979" spans="1:15">
      <c r="A979" s="94">
        <v>383.98014285612351</v>
      </c>
      <c r="B979" s="94">
        <v>385.8269956810397</v>
      </c>
      <c r="C979" s="94">
        <v>383.05671644366544</v>
      </c>
      <c r="D979" s="94">
        <v>383.9995834121753</v>
      </c>
      <c r="E979" s="94">
        <v>3151008.635603732</v>
      </c>
      <c r="F979" s="94" t="s">
        <v>1013</v>
      </c>
      <c r="G979" s="25">
        <f t="shared" si="32"/>
        <v>-5.0626502974382426E-5</v>
      </c>
      <c r="I979" s="94">
        <v>3.41</v>
      </c>
      <c r="J979" s="94">
        <v>4.05</v>
      </c>
      <c r="K979" s="94">
        <v>3.33</v>
      </c>
      <c r="L979" s="94">
        <v>3.95</v>
      </c>
      <c r="M979" s="94">
        <v>18960626</v>
      </c>
      <c r="N979" s="94" t="s">
        <v>1013</v>
      </c>
      <c r="O979" s="25">
        <f t="shared" si="33"/>
        <v>-0.13670886075949362</v>
      </c>
    </row>
    <row r="980" spans="1:15">
      <c r="A980" s="94">
        <v>383.33860450641583</v>
      </c>
      <c r="B980" s="94">
        <v>383.68853451534733</v>
      </c>
      <c r="C980" s="94">
        <v>380.34475887444648</v>
      </c>
      <c r="D980" s="94">
        <v>380.99601750218005</v>
      </c>
      <c r="E980" s="94">
        <v>3559930.066597715</v>
      </c>
      <c r="F980" s="94" t="s">
        <v>1014</v>
      </c>
      <c r="G980" s="25">
        <f t="shared" si="32"/>
        <v>6.1485865904684633E-3</v>
      </c>
      <c r="I980" s="94">
        <v>4.9000000000000004</v>
      </c>
      <c r="J980" s="94">
        <v>4.9800000000000004</v>
      </c>
      <c r="K980" s="94">
        <v>4.74</v>
      </c>
      <c r="L980" s="94">
        <v>4.87</v>
      </c>
      <c r="M980" s="94">
        <v>3249379</v>
      </c>
      <c r="N980" s="94" t="s">
        <v>1014</v>
      </c>
      <c r="O980" s="25">
        <f t="shared" si="33"/>
        <v>6.1601642710473747E-3</v>
      </c>
    </row>
    <row r="981" spans="1:15">
      <c r="A981" s="94">
        <v>381.05433917033525</v>
      </c>
      <c r="B981" s="94">
        <v>383.7176953494249</v>
      </c>
      <c r="C981" s="94">
        <v>380.58776582509336</v>
      </c>
      <c r="D981" s="94">
        <v>382.65818504460464</v>
      </c>
      <c r="E981" s="94">
        <v>4056358.2538527637</v>
      </c>
      <c r="F981" s="94" t="s">
        <v>1015</v>
      </c>
      <c r="G981" s="25">
        <f t="shared" si="32"/>
        <v>-4.1913277618311762E-3</v>
      </c>
      <c r="I981" s="94">
        <v>4.87</v>
      </c>
      <c r="J981" s="94">
        <v>5</v>
      </c>
      <c r="K981" s="94">
        <v>4.79</v>
      </c>
      <c r="L981" s="94">
        <v>4.88</v>
      </c>
      <c r="M981" s="94">
        <v>1978558</v>
      </c>
      <c r="N981" s="94" t="s">
        <v>1015</v>
      </c>
      <c r="O981" s="25">
        <f t="shared" si="33"/>
        <v>-2.049180327868827E-3</v>
      </c>
    </row>
    <row r="982" spans="1:15">
      <c r="A982" s="94">
        <v>382.30825503567314</v>
      </c>
      <c r="B982" s="94">
        <v>382.7748283809151</v>
      </c>
      <c r="C982" s="94">
        <v>380.46140221075694</v>
      </c>
      <c r="D982" s="94">
        <v>381.08350000441294</v>
      </c>
      <c r="E982" s="94">
        <v>2977963.1737843766</v>
      </c>
      <c r="F982" s="94" t="s">
        <v>1016</v>
      </c>
      <c r="G982" s="25">
        <f t="shared" si="32"/>
        <v>3.2138757811503993E-3</v>
      </c>
      <c r="I982" s="94">
        <v>4.8600000000000003</v>
      </c>
      <c r="J982" s="94">
        <v>4.8600000000000003</v>
      </c>
      <c r="K982" s="94">
        <v>4.6500000000000004</v>
      </c>
      <c r="L982" s="94">
        <v>4.67</v>
      </c>
      <c r="M982" s="94">
        <v>1381255</v>
      </c>
      <c r="N982" s="94" t="s">
        <v>1016</v>
      </c>
      <c r="O982" s="25">
        <f t="shared" si="33"/>
        <v>4.0685224839400513E-2</v>
      </c>
    </row>
    <row r="983" spans="1:15">
      <c r="A983" s="94">
        <v>381.52091251557727</v>
      </c>
      <c r="B983" s="94">
        <v>383.7274156274508</v>
      </c>
      <c r="C983" s="94">
        <v>380.83077277574017</v>
      </c>
      <c r="D983" s="94">
        <v>382.53182143026822</v>
      </c>
      <c r="E983" s="94">
        <v>4127225.568364379</v>
      </c>
      <c r="F983" s="94" t="s">
        <v>1017</v>
      </c>
      <c r="G983" s="25">
        <f t="shared" si="32"/>
        <v>-2.642679270213999E-3</v>
      </c>
      <c r="I983" s="94">
        <v>4.68</v>
      </c>
      <c r="J983" s="94">
        <v>4.78</v>
      </c>
      <c r="K983" s="94">
        <v>4.62</v>
      </c>
      <c r="L983" s="94">
        <v>4.6399999999999997</v>
      </c>
      <c r="M983" s="94">
        <v>979310</v>
      </c>
      <c r="N983" s="94" t="s">
        <v>1017</v>
      </c>
      <c r="O983" s="25">
        <f t="shared" si="33"/>
        <v>8.6206896551723755E-3</v>
      </c>
    </row>
    <row r="984" spans="1:15">
      <c r="A984" s="94">
        <v>382.25965364554372</v>
      </c>
      <c r="B984" s="94">
        <v>382.94007310735492</v>
      </c>
      <c r="C984" s="94">
        <v>378.64371021991843</v>
      </c>
      <c r="D984" s="94">
        <v>379.16860523331559</v>
      </c>
      <c r="E984" s="94">
        <v>7580958.055299025</v>
      </c>
      <c r="F984" s="94" t="s">
        <v>1018</v>
      </c>
      <c r="G984" s="25">
        <f t="shared" si="32"/>
        <v>8.152173913043459E-3</v>
      </c>
      <c r="I984" s="94">
        <v>4.68</v>
      </c>
      <c r="J984" s="94">
        <v>4.7477999999999998</v>
      </c>
      <c r="K984" s="94">
        <v>4.58</v>
      </c>
      <c r="L984" s="94">
        <v>4.6500000000000004</v>
      </c>
      <c r="M984" s="94">
        <v>1258182</v>
      </c>
      <c r="N984" s="94" t="s">
        <v>1018</v>
      </c>
      <c r="O984" s="25">
        <f t="shared" si="33"/>
        <v>6.4516129032257119E-3</v>
      </c>
    </row>
    <row r="985" spans="1:15">
      <c r="A985" s="94">
        <v>376.72881544882108</v>
      </c>
      <c r="B985" s="94">
        <v>377.70084325140857</v>
      </c>
      <c r="C985" s="94">
        <v>372.25748755691882</v>
      </c>
      <c r="D985" s="94">
        <v>373.45308175410133</v>
      </c>
      <c r="E985" s="94">
        <v>3666103.9843861563</v>
      </c>
      <c r="F985" s="94" t="s">
        <v>1019</v>
      </c>
      <c r="G985" s="25">
        <f t="shared" si="32"/>
        <v>8.7714731910464305E-3</v>
      </c>
      <c r="I985" s="94">
        <v>4.59</v>
      </c>
      <c r="J985" s="94">
        <v>4.6550000000000002</v>
      </c>
      <c r="K985" s="94">
        <v>4.4850000000000003</v>
      </c>
      <c r="L985" s="94">
        <v>4.5999999999999996</v>
      </c>
      <c r="M985" s="94">
        <v>1042965</v>
      </c>
      <c r="N985" s="94" t="s">
        <v>1019</v>
      </c>
      <c r="O985" s="25">
        <f t="shared" si="33"/>
        <v>-2.1739130434782483E-3</v>
      </c>
    </row>
    <row r="986" spans="1:15">
      <c r="A986" s="94">
        <v>373.15175313529926</v>
      </c>
      <c r="B986" s="94">
        <v>374.38622844458536</v>
      </c>
      <c r="C986" s="94">
        <v>371.72287226549571</v>
      </c>
      <c r="D986" s="94">
        <v>373.56000481238601</v>
      </c>
      <c r="E986" s="94">
        <v>4326365.9627900664</v>
      </c>
      <c r="F986" s="94" t="s">
        <v>1020</v>
      </c>
      <c r="G986" s="25">
        <f t="shared" si="32"/>
        <v>-1.0928677369832496E-3</v>
      </c>
      <c r="I986" s="94">
        <v>4.59</v>
      </c>
      <c r="J986" s="94">
        <v>4.5999999999999996</v>
      </c>
      <c r="K986" s="94">
        <v>4.38</v>
      </c>
      <c r="L986" s="94">
        <v>4.4000000000000004</v>
      </c>
      <c r="M986" s="94">
        <v>1925742</v>
      </c>
      <c r="N986" s="94" t="s">
        <v>1020</v>
      </c>
      <c r="O986" s="25">
        <f t="shared" si="33"/>
        <v>4.3181818181817988E-2</v>
      </c>
    </row>
    <row r="987" spans="1:15">
      <c r="A987" s="94">
        <v>375.19301152073291</v>
      </c>
      <c r="B987" s="94">
        <v>377.39951463260644</v>
      </c>
      <c r="C987" s="94">
        <v>373.99741732355034</v>
      </c>
      <c r="D987" s="94">
        <v>376.91350073131269</v>
      </c>
      <c r="E987" s="94">
        <v>4082651.7404505406</v>
      </c>
      <c r="F987" s="94" t="s">
        <v>1021</v>
      </c>
      <c r="G987" s="25">
        <f t="shared" si="32"/>
        <v>-4.5646791829997424E-3</v>
      </c>
      <c r="I987" s="94">
        <v>4.41</v>
      </c>
      <c r="J987" s="94">
        <v>4.45</v>
      </c>
      <c r="K987" s="94">
        <v>4.28</v>
      </c>
      <c r="L987" s="94">
        <v>4.3600000000000003</v>
      </c>
      <c r="M987" s="94">
        <v>1390446</v>
      </c>
      <c r="N987" s="94" t="s">
        <v>1021</v>
      </c>
      <c r="O987" s="25">
        <f t="shared" si="33"/>
        <v>1.1467889908256756E-2</v>
      </c>
    </row>
    <row r="988" spans="1:15">
      <c r="A988" s="94">
        <v>375.07636818442245</v>
      </c>
      <c r="B988" s="94">
        <v>375.75678764623365</v>
      </c>
      <c r="C988" s="94">
        <v>370.86262766020582</v>
      </c>
      <c r="D988" s="94">
        <v>370.96469057947746</v>
      </c>
      <c r="E988" s="94">
        <v>3130354.9053847413</v>
      </c>
      <c r="F988" s="94" t="s">
        <v>1022</v>
      </c>
      <c r="G988" s="25">
        <f t="shared" ref="G988:G1051" si="34">A988/D988-1</f>
        <v>1.1083743842364546E-2</v>
      </c>
      <c r="I988" s="94">
        <v>4.32</v>
      </c>
      <c r="J988" s="94">
        <v>4.3600000000000003</v>
      </c>
      <c r="K988" s="94">
        <v>4.21</v>
      </c>
      <c r="L988" s="94">
        <v>4.25</v>
      </c>
      <c r="M988" s="94">
        <v>1069852</v>
      </c>
      <c r="N988" s="94" t="s">
        <v>1022</v>
      </c>
      <c r="O988" s="25">
        <f t="shared" ref="O988:O1051" si="35">I988/L988-1</f>
        <v>1.6470588235294237E-2</v>
      </c>
    </row>
    <row r="989" spans="1:15">
      <c r="A989" s="94">
        <v>370.26483056161453</v>
      </c>
      <c r="B989" s="94">
        <v>371.5867883731334</v>
      </c>
      <c r="C989" s="94">
        <v>368.32077495643961</v>
      </c>
      <c r="D989" s="94">
        <v>370.33287250779563</v>
      </c>
      <c r="E989" s="94">
        <v>3411293.3716231384</v>
      </c>
      <c r="F989" s="94" t="s">
        <v>1023</v>
      </c>
      <c r="G989" s="25">
        <f t="shared" si="34"/>
        <v>-1.8373185647913015E-4</v>
      </c>
      <c r="I989" s="94">
        <v>4.24</v>
      </c>
      <c r="J989" s="94">
        <v>4.5</v>
      </c>
      <c r="K989" s="94">
        <v>4.22</v>
      </c>
      <c r="L989" s="94">
        <v>4.43</v>
      </c>
      <c r="M989" s="94">
        <v>942160</v>
      </c>
      <c r="N989" s="94" t="s">
        <v>1023</v>
      </c>
      <c r="O989" s="25">
        <f t="shared" si="35"/>
        <v>-4.2889390519187276E-2</v>
      </c>
    </row>
    <row r="990" spans="1:15">
      <c r="A990" s="94">
        <v>367.06685909110178</v>
      </c>
      <c r="B990" s="94">
        <v>368.64154413129347</v>
      </c>
      <c r="C990" s="94">
        <v>366.03650962035908</v>
      </c>
      <c r="D990" s="94">
        <v>368.31105467841377</v>
      </c>
      <c r="E990" s="94">
        <v>3715523.3527129977</v>
      </c>
      <c r="F990" s="94" t="s">
        <v>1024</v>
      </c>
      <c r="G990" s="25">
        <f t="shared" si="34"/>
        <v>-3.378110897046871E-3</v>
      </c>
      <c r="I990" s="94">
        <v>4.3499999999999996</v>
      </c>
      <c r="J990" s="94">
        <v>4.37</v>
      </c>
      <c r="K990" s="94">
        <v>4.2350000000000003</v>
      </c>
      <c r="L990" s="94">
        <v>4.3</v>
      </c>
      <c r="M990" s="94">
        <v>961942</v>
      </c>
      <c r="N990" s="94" t="s">
        <v>1024</v>
      </c>
      <c r="O990" s="25">
        <f t="shared" si="35"/>
        <v>1.1627906976744207E-2</v>
      </c>
    </row>
    <row r="991" spans="1:15">
      <c r="A991" s="94">
        <v>369.83713832847604</v>
      </c>
      <c r="B991" s="94">
        <v>373.3655992518685</v>
      </c>
      <c r="C991" s="94">
        <v>369.44832720744103</v>
      </c>
      <c r="D991" s="94">
        <v>372.47133367348806</v>
      </c>
      <c r="E991" s="94">
        <v>2970351.2515941835</v>
      </c>
      <c r="F991" s="94" t="s">
        <v>1025</v>
      </c>
      <c r="G991" s="25">
        <f t="shared" si="34"/>
        <v>-7.0722096088102759E-3</v>
      </c>
      <c r="I991" s="94">
        <v>4.34</v>
      </c>
      <c r="J991" s="94">
        <v>4.51</v>
      </c>
      <c r="K991" s="94">
        <v>4.32</v>
      </c>
      <c r="L991" s="94">
        <v>4.37</v>
      </c>
      <c r="M991" s="94">
        <v>1220827</v>
      </c>
      <c r="N991" s="94" t="s">
        <v>1025</v>
      </c>
      <c r="O991" s="25">
        <f t="shared" si="35"/>
        <v>-6.8649885583524917E-3</v>
      </c>
    </row>
    <row r="992" spans="1:15">
      <c r="A992" s="94">
        <v>374.01685787960207</v>
      </c>
      <c r="B992" s="94">
        <v>375.42629819335394</v>
      </c>
      <c r="C992" s="94">
        <v>372.74350145821256</v>
      </c>
      <c r="D992" s="94">
        <v>373.90021454329161</v>
      </c>
      <c r="E992" s="94">
        <v>2864127.9525021706</v>
      </c>
      <c r="F992" s="94" t="s">
        <v>1026</v>
      </c>
      <c r="G992" s="25">
        <f t="shared" si="34"/>
        <v>3.1196381219777969E-4</v>
      </c>
      <c r="I992" s="94">
        <v>4.3499999999999996</v>
      </c>
      <c r="J992" s="94">
        <v>4.3600000000000003</v>
      </c>
      <c r="K992" s="94">
        <v>4.18</v>
      </c>
      <c r="L992" s="94">
        <v>4.1900000000000004</v>
      </c>
      <c r="M992" s="94">
        <v>1518939</v>
      </c>
      <c r="N992" s="94" t="s">
        <v>1026</v>
      </c>
      <c r="O992" s="25">
        <f t="shared" si="35"/>
        <v>3.8186157517899666E-2</v>
      </c>
    </row>
    <row r="993" spans="1:15">
      <c r="A993" s="94">
        <v>373.81273204105872</v>
      </c>
      <c r="B993" s="94">
        <v>375.72762681215602</v>
      </c>
      <c r="C993" s="94">
        <v>372.71434062413488</v>
      </c>
      <c r="D993" s="94">
        <v>375.22217235481054</v>
      </c>
      <c r="E993" s="94">
        <v>3754052.0860478966</v>
      </c>
      <c r="F993" s="94" t="s">
        <v>1027</v>
      </c>
      <c r="G993" s="25">
        <f t="shared" si="34"/>
        <v>-3.7562820579244427E-3</v>
      </c>
      <c r="I993" s="94">
        <v>4.1900000000000004</v>
      </c>
      <c r="J993" s="94">
        <v>4.32</v>
      </c>
      <c r="K993" s="94">
        <v>4.1900000000000004</v>
      </c>
      <c r="L993" s="94">
        <v>4.29</v>
      </c>
      <c r="M993" s="94">
        <v>939517</v>
      </c>
      <c r="N993" s="94" t="s">
        <v>1027</v>
      </c>
      <c r="O993" s="25">
        <f t="shared" si="35"/>
        <v>-2.3310023310023187E-2</v>
      </c>
    </row>
    <row r="994" spans="1:15">
      <c r="A994" s="94">
        <v>374.40566900063709</v>
      </c>
      <c r="B994" s="94">
        <v>374.78475984364616</v>
      </c>
      <c r="C994" s="94">
        <v>370.34259278582152</v>
      </c>
      <c r="D994" s="94">
        <v>370.59532001449423</v>
      </c>
      <c r="E994" s="94">
        <v>3436753.5487231379</v>
      </c>
      <c r="F994" s="94" t="s">
        <v>1028</v>
      </c>
      <c r="G994" s="25">
        <f t="shared" si="34"/>
        <v>1.0281697529245237E-2</v>
      </c>
      <c r="I994" s="94">
        <v>4.25</v>
      </c>
      <c r="J994" s="94">
        <v>4.2699999999999996</v>
      </c>
      <c r="K994" s="94">
        <v>4.0999999999999996</v>
      </c>
      <c r="L994" s="94">
        <v>4.13</v>
      </c>
      <c r="M994" s="94">
        <v>878047</v>
      </c>
      <c r="N994" s="94" t="s">
        <v>1028</v>
      </c>
      <c r="O994" s="25">
        <f t="shared" si="35"/>
        <v>2.9055690072639306E-2</v>
      </c>
    </row>
    <row r="995" spans="1:15">
      <c r="A995" s="94">
        <v>370.78000529698585</v>
      </c>
      <c r="B995" s="94">
        <v>371.40210309064179</v>
      </c>
      <c r="C995" s="94">
        <v>366.72664936019612</v>
      </c>
      <c r="D995" s="94">
        <v>368.25273301025851</v>
      </c>
      <c r="E995" s="94">
        <v>3315383.5635375697</v>
      </c>
      <c r="F995" s="94" t="s">
        <v>1029</v>
      </c>
      <c r="G995" s="25">
        <f t="shared" si="34"/>
        <v>6.8628744885836923E-3</v>
      </c>
      <c r="I995" s="94">
        <v>4.1500000000000004</v>
      </c>
      <c r="J995" s="94">
        <v>4.1900000000000004</v>
      </c>
      <c r="K995" s="94">
        <v>4.01</v>
      </c>
      <c r="L995" s="94">
        <v>4.08</v>
      </c>
      <c r="M995" s="94">
        <v>1055471</v>
      </c>
      <c r="N995" s="94" t="s">
        <v>1029</v>
      </c>
      <c r="O995" s="25">
        <f t="shared" si="35"/>
        <v>1.71568627450982E-2</v>
      </c>
    </row>
    <row r="996" spans="1:15">
      <c r="A996" s="94">
        <v>366.40588018534231</v>
      </c>
      <c r="B996" s="94">
        <v>368.67070496537104</v>
      </c>
      <c r="C996" s="94">
        <v>366.36699907323884</v>
      </c>
      <c r="D996" s="94">
        <v>367.80560022106823</v>
      </c>
      <c r="E996" s="94">
        <v>2343159.3149261507</v>
      </c>
      <c r="F996" s="94" t="s">
        <v>1030</v>
      </c>
      <c r="G996" s="25">
        <f t="shared" si="34"/>
        <v>-3.8055973995083647E-3</v>
      </c>
      <c r="I996" s="94">
        <v>4.04</v>
      </c>
      <c r="J996" s="94">
        <v>4.1849999999999996</v>
      </c>
      <c r="K996" s="94">
        <v>4.0199999999999996</v>
      </c>
      <c r="L996" s="94">
        <v>4.16</v>
      </c>
      <c r="M996" s="94">
        <v>907139</v>
      </c>
      <c r="N996" s="94" t="s">
        <v>1030</v>
      </c>
      <c r="O996" s="25">
        <f t="shared" si="35"/>
        <v>-2.8846153846153855E-2</v>
      </c>
    </row>
    <row r="997" spans="1:15">
      <c r="A997" s="94">
        <v>368.84566996983682</v>
      </c>
      <c r="B997" s="94">
        <v>369.21504053482005</v>
      </c>
      <c r="C997" s="94">
        <v>366.36699907323884</v>
      </c>
      <c r="D997" s="94">
        <v>368.14580995197389</v>
      </c>
      <c r="E997" s="94">
        <v>3994290.0703713847</v>
      </c>
      <c r="F997" s="94" t="s">
        <v>1031</v>
      </c>
      <c r="G997" s="25">
        <f t="shared" si="34"/>
        <v>1.9010402914927393E-3</v>
      </c>
      <c r="I997" s="94">
        <v>4.16</v>
      </c>
      <c r="J997" s="94">
        <v>4.2300000000000004</v>
      </c>
      <c r="K997" s="94">
        <v>4.1050000000000004</v>
      </c>
      <c r="L997" s="94">
        <v>4.2</v>
      </c>
      <c r="M997" s="94">
        <v>1080957</v>
      </c>
      <c r="N997" s="94" t="s">
        <v>1031</v>
      </c>
      <c r="O997" s="25">
        <f t="shared" si="35"/>
        <v>-9.52380952380949E-3</v>
      </c>
    </row>
    <row r="998" spans="1:15">
      <c r="A998" s="94">
        <v>367.57231354844726</v>
      </c>
      <c r="B998" s="94">
        <v>369.38028526125993</v>
      </c>
      <c r="C998" s="94">
        <v>365.32206918545728</v>
      </c>
      <c r="D998" s="94">
        <v>369.22476081284594</v>
      </c>
      <c r="E998" s="94">
        <v>2603850.4179228684</v>
      </c>
      <c r="F998" s="94" t="s">
        <v>1032</v>
      </c>
      <c r="G998" s="25">
        <f t="shared" si="34"/>
        <v>-4.4754508358563205E-3</v>
      </c>
      <c r="I998" s="94">
        <v>4.1500000000000004</v>
      </c>
      <c r="J998" s="94">
        <v>4.2</v>
      </c>
      <c r="K998" s="94">
        <v>4.08</v>
      </c>
      <c r="L998" s="94">
        <v>4.1100000000000003</v>
      </c>
      <c r="M998" s="94">
        <v>1374287</v>
      </c>
      <c r="N998" s="94" t="s">
        <v>1032</v>
      </c>
      <c r="O998" s="25">
        <f t="shared" si="35"/>
        <v>9.7323600973235891E-3</v>
      </c>
    </row>
    <row r="999" spans="1:15">
      <c r="A999" s="94">
        <v>368.0680477277669</v>
      </c>
      <c r="B999" s="94">
        <v>368.28189384433608</v>
      </c>
      <c r="C999" s="94">
        <v>366.13371240061781</v>
      </c>
      <c r="D999" s="94">
        <v>367.88336244527528</v>
      </c>
      <c r="E999" s="94">
        <v>2753647.5735313874</v>
      </c>
      <c r="F999" s="94" t="s">
        <v>1033</v>
      </c>
      <c r="G999" s="25">
        <f t="shared" si="34"/>
        <v>5.0202129627185954E-4</v>
      </c>
      <c r="I999" s="94">
        <v>4.0599999999999996</v>
      </c>
      <c r="J999" s="94">
        <v>4.2050000000000001</v>
      </c>
      <c r="K999" s="94">
        <v>3.94</v>
      </c>
      <c r="L999" s="94">
        <v>3.97</v>
      </c>
      <c r="M999" s="94">
        <v>1162231</v>
      </c>
      <c r="N999" s="94" t="s">
        <v>1033</v>
      </c>
      <c r="O999" s="25">
        <f t="shared" si="35"/>
        <v>2.2670025188916698E-2</v>
      </c>
    </row>
    <row r="1000" spans="1:15">
      <c r="A1000" s="94">
        <v>368.58322246313821</v>
      </c>
      <c r="B1000" s="94">
        <v>370.17734805938164</v>
      </c>
      <c r="C1000" s="94">
        <v>365.13252376395269</v>
      </c>
      <c r="D1000" s="94">
        <v>369.64273276795853</v>
      </c>
      <c r="E1000" s="94">
        <v>3614039.6299867393</v>
      </c>
      <c r="F1000" s="94" t="s">
        <v>1034</v>
      </c>
      <c r="G1000" s="25">
        <f t="shared" si="34"/>
        <v>-2.8663090354474896E-3</v>
      </c>
      <c r="I1000" s="94">
        <v>4.13</v>
      </c>
      <c r="J1000" s="94">
        <v>4.1500000000000004</v>
      </c>
      <c r="K1000" s="94">
        <v>3.93</v>
      </c>
      <c r="L1000" s="94">
        <v>3.93</v>
      </c>
      <c r="M1000" s="94">
        <v>990628</v>
      </c>
      <c r="N1000" s="94" t="s">
        <v>1034</v>
      </c>
      <c r="O1000" s="25">
        <f t="shared" si="35"/>
        <v>5.0890585241730291E-2</v>
      </c>
    </row>
    <row r="1001" spans="1:15">
      <c r="A1001" s="94">
        <v>366.97937658886894</v>
      </c>
      <c r="B1001" s="94">
        <v>367.99028550355985</v>
      </c>
      <c r="C1001" s="94">
        <v>366.77525075032554</v>
      </c>
      <c r="D1001" s="94">
        <v>367.14462131530877</v>
      </c>
      <c r="E1001" s="94">
        <v>2336403.3353312062</v>
      </c>
      <c r="F1001" s="94" t="s">
        <v>1035</v>
      </c>
      <c r="G1001" s="25">
        <f t="shared" si="34"/>
        <v>-4.500807497814785E-4</v>
      </c>
      <c r="I1001" s="94">
        <v>3.91</v>
      </c>
      <c r="J1001" s="94">
        <v>3.9649999999999999</v>
      </c>
      <c r="K1001" s="94">
        <v>3.895</v>
      </c>
      <c r="L1001" s="94">
        <v>3.93</v>
      </c>
      <c r="M1001" s="94">
        <v>584747</v>
      </c>
      <c r="N1001" s="94" t="s">
        <v>1035</v>
      </c>
      <c r="O1001" s="25">
        <f t="shared" si="35"/>
        <v>-5.0890585241730735E-3</v>
      </c>
    </row>
    <row r="1002" spans="1:15">
      <c r="A1002" s="94">
        <v>368.57350218511232</v>
      </c>
      <c r="B1002" s="94">
        <v>369.0011944182508</v>
      </c>
      <c r="C1002" s="94">
        <v>367.30986604174865</v>
      </c>
      <c r="D1002" s="94">
        <v>368.79706857970746</v>
      </c>
      <c r="E1002" s="94">
        <v>3042729.8397505339</v>
      </c>
      <c r="F1002" s="94" t="s">
        <v>1036</v>
      </c>
      <c r="G1002" s="25">
        <f t="shared" si="34"/>
        <v>-6.0620436994285321E-4</v>
      </c>
      <c r="I1002" s="94">
        <v>3.95</v>
      </c>
      <c r="J1002" s="94">
        <v>3.96</v>
      </c>
      <c r="K1002" s="94">
        <v>3.82</v>
      </c>
      <c r="L1002" s="94">
        <v>3.94</v>
      </c>
      <c r="M1002" s="94">
        <v>874111</v>
      </c>
      <c r="N1002" s="94" t="s">
        <v>1036</v>
      </c>
      <c r="O1002" s="25">
        <f t="shared" si="35"/>
        <v>2.5380710659899108E-3</v>
      </c>
    </row>
    <row r="1003" spans="1:15">
      <c r="A1003" s="94">
        <v>368.36937634656897</v>
      </c>
      <c r="B1003" s="94">
        <v>369.45804748546692</v>
      </c>
      <c r="C1003" s="94">
        <v>364.9283979254094</v>
      </c>
      <c r="D1003" s="94">
        <v>365.22972654421147</v>
      </c>
      <c r="E1003" s="94">
        <v>3229736.8363777162</v>
      </c>
      <c r="F1003" s="94" t="s">
        <v>1037</v>
      </c>
      <c r="G1003" s="25">
        <f t="shared" si="34"/>
        <v>8.5963698302018443E-3</v>
      </c>
      <c r="I1003" s="94">
        <v>3.9</v>
      </c>
      <c r="J1003" s="94">
        <v>3.95</v>
      </c>
      <c r="K1003" s="94">
        <v>3.875</v>
      </c>
      <c r="L1003" s="94">
        <v>3.9</v>
      </c>
      <c r="M1003" s="94">
        <v>848972</v>
      </c>
      <c r="N1003" s="94" t="s">
        <v>1037</v>
      </c>
      <c r="O1003" s="25">
        <f t="shared" si="35"/>
        <v>0</v>
      </c>
    </row>
    <row r="1004" spans="1:15">
      <c r="A1004" s="94">
        <v>361.73042645489659</v>
      </c>
      <c r="B1004" s="94">
        <v>363.64532122599394</v>
      </c>
      <c r="C1004" s="94">
        <v>360.54455253573997</v>
      </c>
      <c r="D1004" s="94">
        <v>363.38287371929528</v>
      </c>
      <c r="E1004" s="94">
        <v>4548721.7425575415</v>
      </c>
      <c r="F1004" s="94" t="s">
        <v>1038</v>
      </c>
      <c r="G1004" s="25">
        <f t="shared" si="34"/>
        <v>-4.5473999572009927E-3</v>
      </c>
      <c r="I1004" s="94">
        <v>3.83</v>
      </c>
      <c r="J1004" s="94">
        <v>3.92</v>
      </c>
      <c r="K1004" s="94">
        <v>3.8</v>
      </c>
      <c r="L1004" s="94">
        <v>3.89</v>
      </c>
      <c r="M1004" s="94">
        <v>823595</v>
      </c>
      <c r="N1004" s="94" t="s">
        <v>1038</v>
      </c>
      <c r="O1004" s="25">
        <f t="shared" si="35"/>
        <v>-1.5424164524421635E-2</v>
      </c>
    </row>
    <row r="1005" spans="1:15">
      <c r="A1005" s="94">
        <v>364.39378263398623</v>
      </c>
      <c r="B1005" s="94">
        <v>369.56497054375154</v>
      </c>
      <c r="C1005" s="94">
        <v>364.12161484926179</v>
      </c>
      <c r="D1005" s="94">
        <v>367.33902687582628</v>
      </c>
      <c r="E1005" s="94">
        <v>5671688.5929854512</v>
      </c>
      <c r="F1005" s="94" t="s">
        <v>1039</v>
      </c>
      <c r="G1005" s="25">
        <f t="shared" si="34"/>
        <v>-8.0177820115902021E-3</v>
      </c>
      <c r="I1005" s="94">
        <v>3.93</v>
      </c>
      <c r="J1005" s="94">
        <v>4.0199999999999996</v>
      </c>
      <c r="K1005" s="94">
        <v>3.9</v>
      </c>
      <c r="L1005" s="94">
        <v>3.92</v>
      </c>
      <c r="M1005" s="94">
        <v>1030286</v>
      </c>
      <c r="N1005" s="94" t="s">
        <v>1039</v>
      </c>
      <c r="O1005" s="25">
        <f t="shared" si="35"/>
        <v>2.5510204081633514E-3</v>
      </c>
    </row>
    <row r="1006" spans="1:15">
      <c r="A1006" s="94">
        <v>366.95021575479126</v>
      </c>
      <c r="B1006" s="94">
        <v>370.44951584410614</v>
      </c>
      <c r="C1006" s="94">
        <v>364.18965679544289</v>
      </c>
      <c r="D1006" s="94">
        <v>370.40091445397678</v>
      </c>
      <c r="E1006" s="94">
        <v>4435665.3055837518</v>
      </c>
      <c r="F1006" s="94" t="s">
        <v>1040</v>
      </c>
      <c r="G1006" s="25">
        <f t="shared" si="34"/>
        <v>-9.3161181966096018E-3</v>
      </c>
      <c r="I1006" s="94">
        <v>3.92</v>
      </c>
      <c r="J1006" s="94">
        <v>4.08</v>
      </c>
      <c r="K1006" s="94">
        <v>3.8824999999999998</v>
      </c>
      <c r="L1006" s="94">
        <v>4.03</v>
      </c>
      <c r="M1006" s="94">
        <v>1009750</v>
      </c>
      <c r="N1006" s="94" t="s">
        <v>1040</v>
      </c>
      <c r="O1006" s="25">
        <f t="shared" si="35"/>
        <v>-2.7295285359801524E-2</v>
      </c>
    </row>
    <row r="1007" spans="1:15">
      <c r="A1007" s="94">
        <v>371.11049474986561</v>
      </c>
      <c r="B1007" s="94">
        <v>372.90874618465239</v>
      </c>
      <c r="C1007" s="94">
        <v>370.84804724316695</v>
      </c>
      <c r="D1007" s="94">
        <v>371.05217308171035</v>
      </c>
      <c r="E1007" s="94">
        <v>3157622.6439509075</v>
      </c>
      <c r="F1007" s="94" t="s">
        <v>1041</v>
      </c>
      <c r="G1007" s="25">
        <f t="shared" si="34"/>
        <v>1.5717915804369653E-4</v>
      </c>
      <c r="I1007" s="94">
        <v>4.01</v>
      </c>
      <c r="J1007" s="94">
        <v>4.1100000000000003</v>
      </c>
      <c r="K1007" s="94">
        <v>3.9550000000000001</v>
      </c>
      <c r="L1007" s="94">
        <v>4.0999999999999996</v>
      </c>
      <c r="M1007" s="94">
        <v>940758</v>
      </c>
      <c r="N1007" s="94" t="s">
        <v>1041</v>
      </c>
      <c r="O1007" s="25">
        <f t="shared" si="35"/>
        <v>-2.1951219512195141E-2</v>
      </c>
    </row>
    <row r="1008" spans="1:15">
      <c r="A1008" s="94">
        <v>371.36322197853838</v>
      </c>
      <c r="B1008" s="94">
        <v>371.43126392471947</v>
      </c>
      <c r="C1008" s="94">
        <v>367.42650937805911</v>
      </c>
      <c r="D1008" s="94">
        <v>367.46539049016263</v>
      </c>
      <c r="E1008" s="94">
        <v>3484372.5570239169</v>
      </c>
      <c r="F1008" s="94" t="s">
        <v>1042</v>
      </c>
      <c r="G1008" s="25">
        <f t="shared" si="34"/>
        <v>1.0607343138292258E-2</v>
      </c>
      <c r="I1008" s="94">
        <v>4.08</v>
      </c>
      <c r="J1008" s="94">
        <v>4.0999999999999996</v>
      </c>
      <c r="K1008" s="94">
        <v>3.9020000000000001</v>
      </c>
      <c r="L1008" s="94">
        <v>3.96</v>
      </c>
      <c r="M1008" s="94">
        <v>1662135</v>
      </c>
      <c r="N1008" s="94" t="s">
        <v>1042</v>
      </c>
      <c r="O1008" s="25">
        <f t="shared" si="35"/>
        <v>3.0303030303030276E-2</v>
      </c>
    </row>
    <row r="1009" spans="1:15">
      <c r="A1009" s="94">
        <v>368.21385189815499</v>
      </c>
      <c r="B1009" s="94">
        <v>368.52490079498295</v>
      </c>
      <c r="C1009" s="94">
        <v>363.21762899285545</v>
      </c>
      <c r="D1009" s="94">
        <v>363.43147510942464</v>
      </c>
      <c r="E1009" s="94">
        <v>4426187.1816294007</v>
      </c>
      <c r="F1009" s="94" t="s">
        <v>1043</v>
      </c>
      <c r="G1009" s="25">
        <f t="shared" si="34"/>
        <v>1.315895049346083E-2</v>
      </c>
      <c r="I1009" s="94">
        <v>3.97</v>
      </c>
      <c r="J1009" s="94">
        <v>4</v>
      </c>
      <c r="K1009" s="94">
        <v>3.84</v>
      </c>
      <c r="L1009" s="94">
        <v>3.94</v>
      </c>
      <c r="M1009" s="94">
        <v>1134734</v>
      </c>
      <c r="N1009" s="94" t="s">
        <v>1043</v>
      </c>
      <c r="O1009" s="25">
        <f t="shared" si="35"/>
        <v>7.6142131979695105E-3</v>
      </c>
    </row>
    <row r="1010" spans="1:15">
      <c r="A1010" s="94">
        <v>361.05000699308539</v>
      </c>
      <c r="B1010" s="94">
        <v>364.19937707346878</v>
      </c>
      <c r="C1010" s="94">
        <v>360.60287420389517</v>
      </c>
      <c r="D1010" s="94">
        <v>363.20790871482961</v>
      </c>
      <c r="E1010" s="94">
        <v>3875296.5604202193</v>
      </c>
      <c r="F1010" s="94" t="s">
        <v>1044</v>
      </c>
      <c r="G1010" s="25">
        <f t="shared" si="34"/>
        <v>-5.9412299951829839E-3</v>
      </c>
      <c r="I1010" s="94">
        <v>3.92</v>
      </c>
      <c r="J1010" s="94">
        <v>4.04</v>
      </c>
      <c r="K1010" s="94">
        <v>3.86</v>
      </c>
      <c r="L1010" s="94">
        <v>3.99</v>
      </c>
      <c r="M1010" s="94">
        <v>1377497</v>
      </c>
      <c r="N1010" s="94" t="s">
        <v>1044</v>
      </c>
      <c r="O1010" s="25">
        <f t="shared" si="35"/>
        <v>-1.7543859649122862E-2</v>
      </c>
    </row>
    <row r="1011" spans="1:15">
      <c r="A1011" s="94">
        <v>362.66357314538061</v>
      </c>
      <c r="B1011" s="94">
        <v>367.13490103728287</v>
      </c>
      <c r="C1011" s="94">
        <v>362.58581092117356</v>
      </c>
      <c r="D1011" s="94">
        <v>366.62944657993745</v>
      </c>
      <c r="E1011" s="94">
        <v>3904649.6302851452</v>
      </c>
      <c r="F1011" s="94" t="s">
        <v>1045</v>
      </c>
      <c r="G1011" s="25">
        <f t="shared" si="34"/>
        <v>-1.081711649610273E-2</v>
      </c>
      <c r="I1011" s="94">
        <v>4</v>
      </c>
      <c r="J1011" s="94">
        <v>4.0449999999999999</v>
      </c>
      <c r="K1011" s="94">
        <v>3.97</v>
      </c>
      <c r="L1011" s="94">
        <v>4</v>
      </c>
      <c r="M1011" s="94">
        <v>1430926</v>
      </c>
      <c r="N1011" s="94" t="s">
        <v>1045</v>
      </c>
      <c r="O1011" s="25">
        <f t="shared" si="35"/>
        <v>0</v>
      </c>
    </row>
    <row r="1012" spans="1:15">
      <c r="A1012" s="94">
        <v>368.48601968287943</v>
      </c>
      <c r="B1012" s="94">
        <v>368.85539024786272</v>
      </c>
      <c r="C1012" s="94">
        <v>366.67804797006681</v>
      </c>
      <c r="D1012" s="94">
        <v>367.89308272330112</v>
      </c>
      <c r="E1012" s="94">
        <v>2376858.9682825711</v>
      </c>
      <c r="F1012" s="94" t="s">
        <v>1046</v>
      </c>
      <c r="G1012" s="25">
        <f t="shared" si="34"/>
        <v>1.6117099978860683E-3</v>
      </c>
      <c r="I1012" s="94">
        <v>4.0599999999999996</v>
      </c>
      <c r="J1012" s="94">
        <v>4.125</v>
      </c>
      <c r="K1012" s="94">
        <v>3.9950000000000001</v>
      </c>
      <c r="L1012" s="94">
        <v>4.08</v>
      </c>
      <c r="M1012" s="94">
        <v>1123180</v>
      </c>
      <c r="N1012" s="94" t="s">
        <v>1046</v>
      </c>
      <c r="O1012" s="25">
        <f t="shared" si="35"/>
        <v>-4.9019607843138191E-3</v>
      </c>
    </row>
    <row r="1013" spans="1:15">
      <c r="A1013" s="94">
        <v>368.00000578158568</v>
      </c>
      <c r="B1013" s="94">
        <v>368.49573996090538</v>
      </c>
      <c r="C1013" s="94">
        <v>366.2795165710059</v>
      </c>
      <c r="D1013" s="94">
        <v>368.08748828381863</v>
      </c>
      <c r="E1013" s="94">
        <v>2841797.3155160467</v>
      </c>
      <c r="F1013" s="94" t="s">
        <v>1047</v>
      </c>
      <c r="G1013" s="25">
        <f t="shared" si="34"/>
        <v>-2.376676877576811E-4</v>
      </c>
      <c r="I1013" s="94">
        <v>4.0999999999999996</v>
      </c>
      <c r="J1013" s="94">
        <v>4.2</v>
      </c>
      <c r="K1013" s="94">
        <v>4.04</v>
      </c>
      <c r="L1013" s="94">
        <v>4.2</v>
      </c>
      <c r="M1013" s="94">
        <v>1490955</v>
      </c>
      <c r="N1013" s="94" t="s">
        <v>1047</v>
      </c>
      <c r="O1013" s="25">
        <f t="shared" si="35"/>
        <v>-2.3809523809523947E-2</v>
      </c>
    </row>
    <row r="1014" spans="1:15">
      <c r="A1014" s="94">
        <v>367.7861596650165</v>
      </c>
      <c r="B1014" s="94">
        <v>369.43860692941519</v>
      </c>
      <c r="C1014" s="94">
        <v>366.39615990731642</v>
      </c>
      <c r="D1014" s="94">
        <v>367.21266326148987</v>
      </c>
      <c r="E1014" s="94">
        <v>3038156.9252843349</v>
      </c>
      <c r="F1014" s="94" t="s">
        <v>1048</v>
      </c>
      <c r="G1014" s="25">
        <f t="shared" si="34"/>
        <v>1.5617555190852173E-3</v>
      </c>
      <c r="I1014" s="94">
        <v>4.1900000000000004</v>
      </c>
      <c r="J1014" s="94">
        <v>4.29</v>
      </c>
      <c r="K1014" s="94">
        <v>4.13</v>
      </c>
      <c r="L1014" s="94">
        <v>4.2</v>
      </c>
      <c r="M1014" s="94">
        <v>1114526</v>
      </c>
      <c r="N1014" s="94" t="s">
        <v>1048</v>
      </c>
      <c r="O1014" s="25">
        <f t="shared" si="35"/>
        <v>-2.3809523809523725E-3</v>
      </c>
    </row>
    <row r="1015" spans="1:15">
      <c r="A1015" s="94">
        <v>369.87601944057951</v>
      </c>
      <c r="B1015" s="94">
        <v>370.66336196067533</v>
      </c>
      <c r="C1015" s="94">
        <v>368.07776800579273</v>
      </c>
      <c r="D1015" s="94">
        <v>368.13608967394799</v>
      </c>
      <c r="E1015" s="94">
        <v>2748183.7380465763</v>
      </c>
      <c r="F1015" s="94" t="s">
        <v>1049</v>
      </c>
      <c r="G1015" s="25">
        <f t="shared" si="34"/>
        <v>4.7263221820292856E-3</v>
      </c>
      <c r="I1015" s="94">
        <v>4.25</v>
      </c>
      <c r="J1015" s="94">
        <v>4.3099999999999996</v>
      </c>
      <c r="K1015" s="94">
        <v>4.165</v>
      </c>
      <c r="L1015" s="94">
        <v>4.3</v>
      </c>
      <c r="M1015" s="94">
        <v>1902915</v>
      </c>
      <c r="N1015" s="94" t="s">
        <v>1049</v>
      </c>
      <c r="O1015" s="25">
        <f t="shared" si="35"/>
        <v>-1.1627906976744096E-2</v>
      </c>
    </row>
    <row r="1016" spans="1:15">
      <c r="A1016" s="94">
        <v>369.8954599966313</v>
      </c>
      <c r="B1016" s="94">
        <v>371.23199822518905</v>
      </c>
      <c r="C1016" s="94">
        <v>368.63182385326758</v>
      </c>
      <c r="D1016" s="94">
        <v>371.15909613999497</v>
      </c>
      <c r="E1016" s="94">
        <v>3106153.9515258279</v>
      </c>
      <c r="F1016" s="94" t="s">
        <v>1050</v>
      </c>
      <c r="G1016" s="25">
        <f t="shared" si="34"/>
        <v>-3.4045673580556102E-3</v>
      </c>
      <c r="I1016" s="94">
        <v>4.32</v>
      </c>
      <c r="J1016" s="94">
        <v>4.5</v>
      </c>
      <c r="K1016" s="94">
        <v>4.29</v>
      </c>
      <c r="L1016" s="94">
        <v>4.49</v>
      </c>
      <c r="M1016" s="94">
        <v>1181763</v>
      </c>
      <c r="N1016" s="94" t="s">
        <v>1050</v>
      </c>
      <c r="O1016" s="25">
        <f t="shared" si="35"/>
        <v>-3.786191536748329E-2</v>
      </c>
    </row>
    <row r="1017" spans="1:15">
      <c r="A1017" s="94">
        <v>369.64273276795853</v>
      </c>
      <c r="B1017" s="94">
        <v>369.681613880062</v>
      </c>
      <c r="C1017" s="94">
        <v>367.11546048123114</v>
      </c>
      <c r="D1017" s="94">
        <v>368.24301273223256</v>
      </c>
      <c r="E1017" s="94">
        <v>2799306.7613466522</v>
      </c>
      <c r="F1017" s="94" t="s">
        <v>1051</v>
      </c>
      <c r="G1017" s="25">
        <f t="shared" si="34"/>
        <v>3.8010769718088699E-3</v>
      </c>
      <c r="I1017" s="94">
        <v>4.3600000000000003</v>
      </c>
      <c r="J1017" s="94">
        <v>4.49</v>
      </c>
      <c r="K1017" s="94">
        <v>4.3</v>
      </c>
      <c r="L1017" s="94">
        <v>4.32</v>
      </c>
      <c r="M1017" s="94">
        <v>1548458</v>
      </c>
      <c r="N1017" s="94" t="s">
        <v>1051</v>
      </c>
      <c r="O1017" s="25">
        <f t="shared" si="35"/>
        <v>9.2592592592593004E-3</v>
      </c>
    </row>
    <row r="1018" spans="1:15">
      <c r="A1018" s="94">
        <v>368.3888169026207</v>
      </c>
      <c r="B1018" s="94">
        <v>370.66336196067533</v>
      </c>
      <c r="C1018" s="94">
        <v>366.18231379074723</v>
      </c>
      <c r="D1018" s="94">
        <v>368.66098468734521</v>
      </c>
      <c r="E1018" s="94">
        <v>3067456.4987370577</v>
      </c>
      <c r="F1018" s="94" t="s">
        <v>1052</v>
      </c>
      <c r="G1018" s="25">
        <f t="shared" si="34"/>
        <v>-7.3826034223645198E-4</v>
      </c>
      <c r="I1018" s="94">
        <v>4.26</v>
      </c>
      <c r="J1018" s="94">
        <v>4.3499999999999996</v>
      </c>
      <c r="K1018" s="94">
        <v>4.1749999999999998</v>
      </c>
      <c r="L1018" s="94">
        <v>4.32</v>
      </c>
      <c r="M1018" s="94">
        <v>1313041</v>
      </c>
      <c r="N1018" s="94" t="s">
        <v>1052</v>
      </c>
      <c r="O1018" s="25">
        <f t="shared" si="35"/>
        <v>-1.3888888888888951E-2</v>
      </c>
    </row>
    <row r="1019" spans="1:15">
      <c r="A1019" s="94">
        <v>369.14699858863889</v>
      </c>
      <c r="B1019" s="94">
        <v>369.53580970967391</v>
      </c>
      <c r="C1019" s="94">
        <v>364.94278393688762</v>
      </c>
      <c r="D1019" s="94">
        <v>365.39497127065135</v>
      </c>
      <c r="E1019" s="94">
        <v>2758017.8188975095</v>
      </c>
      <c r="F1019" s="94" t="s">
        <v>1053</v>
      </c>
      <c r="G1019" s="25">
        <f t="shared" si="34"/>
        <v>1.0268415312175705E-2</v>
      </c>
      <c r="I1019" s="94">
        <v>4.33</v>
      </c>
      <c r="J1019" s="94">
        <v>4.41</v>
      </c>
      <c r="K1019" s="94">
        <v>4.1100000000000003</v>
      </c>
      <c r="L1019" s="94">
        <v>4.12</v>
      </c>
      <c r="M1019" s="94">
        <v>2264443</v>
      </c>
      <c r="N1019" s="94" t="s">
        <v>1053</v>
      </c>
      <c r="O1019" s="25">
        <f t="shared" si="35"/>
        <v>5.0970873786407855E-2</v>
      </c>
    </row>
    <row r="1020" spans="1:15">
      <c r="A1020" s="94">
        <v>364.42294346806392</v>
      </c>
      <c r="B1020" s="94">
        <v>368.02916661566337</v>
      </c>
      <c r="C1020" s="94">
        <v>363.84944706453729</v>
      </c>
      <c r="D1020" s="94">
        <v>367.81532049909407</v>
      </c>
      <c r="E1020" s="94">
        <v>3728466.3981346516</v>
      </c>
      <c r="F1020" s="94" t="s">
        <v>1054</v>
      </c>
      <c r="G1020" s="25">
        <f t="shared" si="34"/>
        <v>-9.2230443974627985E-3</v>
      </c>
      <c r="I1020" s="94">
        <v>4.09</v>
      </c>
      <c r="J1020" s="94">
        <v>4.2750000000000004</v>
      </c>
      <c r="K1020" s="94">
        <v>4.0549999999999997</v>
      </c>
      <c r="L1020" s="94">
        <v>4.13</v>
      </c>
      <c r="M1020" s="94">
        <v>2749354</v>
      </c>
      <c r="N1020" s="94" t="s">
        <v>1054</v>
      </c>
      <c r="O1020" s="25">
        <f t="shared" si="35"/>
        <v>-9.6852300242130651E-3</v>
      </c>
    </row>
    <row r="1021" spans="1:15">
      <c r="A1021" s="94">
        <v>365.8809851719451</v>
      </c>
      <c r="B1021" s="94">
        <v>367.19322270543813</v>
      </c>
      <c r="C1021" s="94">
        <v>365.18112515408211</v>
      </c>
      <c r="D1021" s="94">
        <v>366.35727879521289</v>
      </c>
      <c r="E1021" s="94">
        <v>3157318.1259122137</v>
      </c>
      <c r="F1021" s="94" t="s">
        <v>1055</v>
      </c>
      <c r="G1021" s="25">
        <f t="shared" si="34"/>
        <v>-1.3000795967098577E-3</v>
      </c>
      <c r="I1021" s="94">
        <v>4.09</v>
      </c>
      <c r="J1021" s="94">
        <v>4.3</v>
      </c>
      <c r="K1021" s="94">
        <v>4.09</v>
      </c>
      <c r="L1021" s="94">
        <v>4.1500000000000004</v>
      </c>
      <c r="M1021" s="94">
        <v>1385980</v>
      </c>
      <c r="N1021" s="94" t="s">
        <v>1055</v>
      </c>
      <c r="O1021" s="25">
        <f t="shared" si="35"/>
        <v>-1.4457831325301318E-2</v>
      </c>
    </row>
    <row r="1022" spans="1:15">
      <c r="A1022" s="94">
        <v>365.83238378181574</v>
      </c>
      <c r="B1022" s="94">
        <v>365.86154461589331</v>
      </c>
      <c r="C1022" s="94">
        <v>362.5274892530183</v>
      </c>
      <c r="D1022" s="94">
        <v>363.10098565654494</v>
      </c>
      <c r="E1022" s="94">
        <v>2747984.155277973</v>
      </c>
      <c r="F1022" s="94" t="s">
        <v>1056</v>
      </c>
      <c r="G1022" s="25">
        <f t="shared" si="34"/>
        <v>7.5224200240933126E-3</v>
      </c>
      <c r="I1022" s="94">
        <v>4.1399999999999997</v>
      </c>
      <c r="J1022" s="94">
        <v>4.18</v>
      </c>
      <c r="K1022" s="94">
        <v>3.95</v>
      </c>
      <c r="L1022" s="94">
        <v>4.0599999999999996</v>
      </c>
      <c r="M1022" s="94">
        <v>2114850</v>
      </c>
      <c r="N1022" s="94" t="s">
        <v>1056</v>
      </c>
      <c r="O1022" s="25">
        <f t="shared" si="35"/>
        <v>1.9704433497536922E-2</v>
      </c>
    </row>
    <row r="1023" spans="1:15">
      <c r="A1023" s="94">
        <v>365.43385238275482</v>
      </c>
      <c r="B1023" s="94">
        <v>365.66227891636288</v>
      </c>
      <c r="C1023" s="94">
        <v>362.29420258039738</v>
      </c>
      <c r="D1023" s="94">
        <v>363.21762899285545</v>
      </c>
      <c r="E1023" s="94">
        <v>3164747.9545454849</v>
      </c>
      <c r="F1023" s="94" t="s">
        <v>1057</v>
      </c>
      <c r="G1023" s="25">
        <f t="shared" si="34"/>
        <v>6.1016404849196793E-3</v>
      </c>
      <c r="I1023" s="94">
        <v>4.1500000000000004</v>
      </c>
      <c r="J1023" s="94">
        <v>4.18</v>
      </c>
      <c r="K1023" s="94">
        <v>3.84</v>
      </c>
      <c r="L1023" s="94">
        <v>3.84</v>
      </c>
      <c r="M1023" s="94">
        <v>3799447</v>
      </c>
      <c r="N1023" s="94" t="s">
        <v>1057</v>
      </c>
      <c r="O1023" s="25">
        <f t="shared" si="35"/>
        <v>8.0729166666666741E-2</v>
      </c>
    </row>
    <row r="1024" spans="1:15">
      <c r="A1024" s="94">
        <v>364.04385262505474</v>
      </c>
      <c r="B1024" s="94">
        <v>364.9186776473835</v>
      </c>
      <c r="C1024" s="94">
        <v>362.45944730683721</v>
      </c>
      <c r="D1024" s="94">
        <v>364.22853790754635</v>
      </c>
      <c r="E1024" s="94">
        <v>3320620.0392705179</v>
      </c>
      <c r="F1024" s="94" t="s">
        <v>1058</v>
      </c>
      <c r="G1024" s="25">
        <f t="shared" si="34"/>
        <v>-5.0705879213253091E-4</v>
      </c>
      <c r="I1024" s="94">
        <v>3.66</v>
      </c>
      <c r="J1024" s="94">
        <v>3.7</v>
      </c>
      <c r="K1024" s="94">
        <v>3.5950000000000002</v>
      </c>
      <c r="L1024" s="94">
        <v>3.7</v>
      </c>
      <c r="M1024" s="94">
        <v>1608573</v>
      </c>
      <c r="N1024" s="94" t="s">
        <v>1058</v>
      </c>
      <c r="O1024" s="25">
        <f t="shared" si="35"/>
        <v>-1.0810810810810811E-2</v>
      </c>
    </row>
    <row r="1025" spans="1:15">
      <c r="A1025" s="94">
        <v>364.9283979254094</v>
      </c>
      <c r="B1025" s="94">
        <v>367.81532049909407</v>
      </c>
      <c r="C1025" s="94">
        <v>363.66476178204567</v>
      </c>
      <c r="D1025" s="94">
        <v>367.61119466055072</v>
      </c>
      <c r="E1025" s="94">
        <v>2791358.4290258749</v>
      </c>
      <c r="F1025" s="94" t="s">
        <v>1059</v>
      </c>
      <c r="G1025" s="25">
        <f t="shared" si="34"/>
        <v>-7.2979190354053314E-3</v>
      </c>
      <c r="I1025" s="94">
        <v>3.72</v>
      </c>
      <c r="J1025" s="94">
        <v>3.74</v>
      </c>
      <c r="K1025" s="94">
        <v>3.605</v>
      </c>
      <c r="L1025" s="94">
        <v>3.71</v>
      </c>
      <c r="M1025" s="94">
        <v>1590635</v>
      </c>
      <c r="N1025" s="94" t="s">
        <v>1059</v>
      </c>
      <c r="O1025" s="25">
        <f t="shared" si="35"/>
        <v>2.6954177897575704E-3</v>
      </c>
    </row>
    <row r="1026" spans="1:15">
      <c r="A1026" s="94">
        <v>366.99881714492068</v>
      </c>
      <c r="B1026" s="94">
        <v>367.33902687582628</v>
      </c>
      <c r="C1026" s="94">
        <v>364.72427208686605</v>
      </c>
      <c r="D1026" s="94">
        <v>365.09364265184928</v>
      </c>
      <c r="E1026" s="94">
        <v>3626743.9991077953</v>
      </c>
      <c r="F1026" s="94" t="s">
        <v>1060</v>
      </c>
      <c r="G1026" s="25">
        <f t="shared" si="34"/>
        <v>5.2183173588924436E-3</v>
      </c>
      <c r="I1026" s="94">
        <v>3.64</v>
      </c>
      <c r="J1026" s="94">
        <v>3.91</v>
      </c>
      <c r="K1026" s="94">
        <v>3.6</v>
      </c>
      <c r="L1026" s="94">
        <v>3.91</v>
      </c>
      <c r="M1026" s="94">
        <v>2402123</v>
      </c>
      <c r="N1026" s="94" t="s">
        <v>1060</v>
      </c>
      <c r="O1026" s="25">
        <f t="shared" si="35"/>
        <v>-6.9053708439897665E-2</v>
      </c>
    </row>
    <row r="1027" spans="1:15">
      <c r="A1027" s="94">
        <v>365.55049571906534</v>
      </c>
      <c r="B1027" s="94">
        <v>365.81294322576395</v>
      </c>
      <c r="C1027" s="94">
        <v>361.25413283162874</v>
      </c>
      <c r="D1027" s="94">
        <v>361.38049644596509</v>
      </c>
      <c r="E1027" s="94">
        <v>4279552.4870038051</v>
      </c>
      <c r="F1027" s="94" t="s">
        <v>1061</v>
      </c>
      <c r="G1027" s="25">
        <f t="shared" si="34"/>
        <v>1.1539082252945532E-2</v>
      </c>
      <c r="I1027" s="94">
        <v>3.93</v>
      </c>
      <c r="J1027" s="94">
        <v>4</v>
      </c>
      <c r="K1027" s="94">
        <v>3.6</v>
      </c>
      <c r="L1027" s="94">
        <v>3.61</v>
      </c>
      <c r="M1027" s="94">
        <v>4418086</v>
      </c>
      <c r="N1027" s="94" t="s">
        <v>1061</v>
      </c>
      <c r="O1027" s="25">
        <f t="shared" si="35"/>
        <v>8.8642659279778435E-2</v>
      </c>
    </row>
    <row r="1028" spans="1:15">
      <c r="A1028" s="94">
        <v>360.51539170166228</v>
      </c>
      <c r="B1028" s="94">
        <v>361.08888810518891</v>
      </c>
      <c r="C1028" s="94">
        <v>358.77740599063588</v>
      </c>
      <c r="D1028" s="94">
        <v>360.84588115454204</v>
      </c>
      <c r="E1028" s="94">
        <v>3412188.4077503812</v>
      </c>
      <c r="F1028" s="94" t="s">
        <v>1062</v>
      </c>
      <c r="G1028" s="25">
        <f t="shared" si="34"/>
        <v>-9.1587425585226701E-4</v>
      </c>
      <c r="I1028" s="94">
        <v>3.57</v>
      </c>
      <c r="J1028" s="94">
        <v>4.0606999999999998</v>
      </c>
      <c r="K1028" s="94">
        <v>3.55</v>
      </c>
      <c r="L1028" s="94">
        <v>3.69</v>
      </c>
      <c r="M1028" s="94">
        <v>5820066</v>
      </c>
      <c r="N1028" s="94" t="s">
        <v>1062</v>
      </c>
      <c r="O1028" s="25">
        <f t="shared" si="35"/>
        <v>-3.2520325203252098E-2</v>
      </c>
    </row>
    <row r="1029" spans="1:15">
      <c r="A1029" s="94">
        <v>358.3769305359699</v>
      </c>
      <c r="B1029" s="94">
        <v>358.61993748661678</v>
      </c>
      <c r="C1029" s="94">
        <v>356.04406380976002</v>
      </c>
      <c r="D1029" s="94">
        <v>357.12301467063207</v>
      </c>
      <c r="E1029" s="94">
        <v>3740704.7312032469</v>
      </c>
      <c r="F1029" s="94" t="s">
        <v>1063</v>
      </c>
      <c r="G1029" s="25">
        <f t="shared" si="34"/>
        <v>3.5111594991834583E-3</v>
      </c>
      <c r="I1029" s="94">
        <v>3.54</v>
      </c>
      <c r="J1029" s="94">
        <v>3.5649999999999999</v>
      </c>
      <c r="K1029" s="94">
        <v>3.4049999999999998</v>
      </c>
      <c r="L1029" s="94">
        <v>3.48</v>
      </c>
      <c r="M1029" s="94">
        <v>2412915</v>
      </c>
      <c r="N1029" s="94" t="s">
        <v>1063</v>
      </c>
      <c r="O1029" s="25">
        <f t="shared" si="35"/>
        <v>1.7241379310344751E-2</v>
      </c>
    </row>
    <row r="1030" spans="1:15">
      <c r="A1030" s="94">
        <v>353.35154679659274</v>
      </c>
      <c r="B1030" s="94">
        <v>354.01252570235221</v>
      </c>
      <c r="C1030" s="94">
        <v>351.56495969543698</v>
      </c>
      <c r="D1030" s="94">
        <v>353.37098735264453</v>
      </c>
      <c r="E1030" s="94">
        <v>2483111.0731350011</v>
      </c>
      <c r="F1030" s="94" t="s">
        <v>1064</v>
      </c>
      <c r="G1030" s="25">
        <f t="shared" si="34"/>
        <v>-5.5014578863477048E-5</v>
      </c>
      <c r="I1030" s="94">
        <v>3.41</v>
      </c>
      <c r="J1030" s="94">
        <v>3.4249999999999998</v>
      </c>
      <c r="K1030" s="94">
        <v>3.3</v>
      </c>
      <c r="L1030" s="94">
        <v>3.37</v>
      </c>
      <c r="M1030" s="94">
        <v>2102662</v>
      </c>
      <c r="N1030" s="94" t="s">
        <v>1064</v>
      </c>
      <c r="O1030" s="25">
        <f t="shared" si="35"/>
        <v>1.1869436201780381E-2</v>
      </c>
    </row>
    <row r="1031" spans="1:15">
      <c r="A1031" s="94">
        <v>353.97364459024874</v>
      </c>
      <c r="B1031" s="94">
        <v>356.18014770212227</v>
      </c>
      <c r="C1031" s="94">
        <v>353.23490346028223</v>
      </c>
      <c r="D1031" s="94">
        <v>355.4948681012981</v>
      </c>
      <c r="E1031" s="94">
        <v>4264070.4195568245</v>
      </c>
      <c r="F1031" s="94" t="s">
        <v>1065</v>
      </c>
      <c r="G1031" s="25">
        <f t="shared" si="34"/>
        <v>-4.279171508647206E-3</v>
      </c>
      <c r="I1031" s="94">
        <v>3.4</v>
      </c>
      <c r="J1031" s="94">
        <v>3.51</v>
      </c>
      <c r="K1031" s="94">
        <v>3.3149999999999999</v>
      </c>
      <c r="L1031" s="94">
        <v>3.51</v>
      </c>
      <c r="M1031" s="94">
        <v>1933398</v>
      </c>
      <c r="N1031" s="94" t="s">
        <v>1065</v>
      </c>
      <c r="O1031" s="25">
        <f t="shared" si="35"/>
        <v>-3.1339031339031265E-2</v>
      </c>
    </row>
    <row r="1032" spans="1:15">
      <c r="A1032" s="94">
        <v>353.39042790869627</v>
      </c>
      <c r="B1032" s="94">
        <v>353.45846985487736</v>
      </c>
      <c r="C1032" s="94">
        <v>347.71378554158554</v>
      </c>
      <c r="D1032" s="94">
        <v>349.91056837543317</v>
      </c>
      <c r="E1032" s="94">
        <v>3848594.6492908155</v>
      </c>
      <c r="F1032" s="94" t="s">
        <v>1066</v>
      </c>
      <c r="G1032" s="25">
        <f t="shared" si="34"/>
        <v>9.9449969442746422E-3</v>
      </c>
      <c r="I1032" s="94">
        <v>3.52</v>
      </c>
      <c r="J1032" s="94">
        <v>3.56</v>
      </c>
      <c r="K1032" s="94">
        <v>3.32</v>
      </c>
      <c r="L1032" s="94">
        <v>3.46</v>
      </c>
      <c r="M1032" s="94">
        <v>3653272</v>
      </c>
      <c r="N1032" s="94" t="s">
        <v>1066</v>
      </c>
      <c r="O1032" s="25">
        <f t="shared" si="35"/>
        <v>1.7341040462427681E-2</v>
      </c>
    </row>
    <row r="1033" spans="1:15">
      <c r="A1033" s="94">
        <v>351.0503681767471</v>
      </c>
      <c r="B1033" s="94">
        <v>356.51592735037912</v>
      </c>
      <c r="C1033" s="94">
        <v>348.61090499616745</v>
      </c>
      <c r="D1033" s="94">
        <v>352.83156351494813</v>
      </c>
      <c r="E1033" s="94">
        <v>4945238.139291577</v>
      </c>
      <c r="F1033" s="94" t="s">
        <v>1067</v>
      </c>
      <c r="G1033" s="25">
        <f t="shared" si="34"/>
        <v>-5.0482879719052631E-3</v>
      </c>
      <c r="I1033" s="94">
        <v>3.5</v>
      </c>
      <c r="J1033" s="94">
        <v>3.55</v>
      </c>
      <c r="K1033" s="94">
        <v>3.31</v>
      </c>
      <c r="L1033" s="94">
        <v>3.31</v>
      </c>
      <c r="M1033" s="94">
        <v>3611354</v>
      </c>
      <c r="N1033" s="94" t="s">
        <v>1067</v>
      </c>
      <c r="O1033" s="25">
        <f t="shared" si="35"/>
        <v>5.7401812688821829E-2</v>
      </c>
    </row>
    <row r="1034" spans="1:15">
      <c r="A1034" s="94">
        <v>350.21785296432705</v>
      </c>
      <c r="B1034" s="94">
        <v>359.3551914411093</v>
      </c>
      <c r="C1034" s="94">
        <v>350.10168805096617</v>
      </c>
      <c r="D1034" s="94">
        <v>356.02609863237382</v>
      </c>
      <c r="E1034" s="94">
        <v>4230027.6889393684</v>
      </c>
      <c r="F1034" s="94" t="s">
        <v>1068</v>
      </c>
      <c r="G1034" s="25">
        <f t="shared" si="34"/>
        <v>-1.631410082114304E-2</v>
      </c>
      <c r="I1034" s="94">
        <v>3.3</v>
      </c>
      <c r="J1034" s="94">
        <v>3.48</v>
      </c>
      <c r="K1034" s="94">
        <v>3.29</v>
      </c>
      <c r="L1034" s="94">
        <v>3.46</v>
      </c>
      <c r="M1034" s="94">
        <v>3033802</v>
      </c>
      <c r="N1034" s="94" t="s">
        <v>1068</v>
      </c>
      <c r="O1034" s="25">
        <f t="shared" si="35"/>
        <v>-4.6242774566474076E-2</v>
      </c>
    </row>
    <row r="1035" spans="1:15">
      <c r="A1035" s="94">
        <v>356.12290272684129</v>
      </c>
      <c r="B1035" s="94">
        <v>356.63596442751879</v>
      </c>
      <c r="C1035" s="94">
        <v>353.21877989281791</v>
      </c>
      <c r="D1035" s="94">
        <v>354.70956294761658</v>
      </c>
      <c r="E1035" s="94">
        <v>4253569.048553722</v>
      </c>
      <c r="F1035" s="94" t="s">
        <v>1069</v>
      </c>
      <c r="G1035" s="25">
        <f t="shared" si="34"/>
        <v>3.9844986627366463E-3</v>
      </c>
      <c r="I1035" s="94">
        <v>3.49</v>
      </c>
      <c r="J1035" s="94">
        <v>3.54</v>
      </c>
      <c r="K1035" s="94">
        <v>3.375</v>
      </c>
      <c r="L1035" s="94">
        <v>3.54</v>
      </c>
      <c r="M1035" s="94">
        <v>3893622</v>
      </c>
      <c r="N1035" s="94" t="s">
        <v>1069</v>
      </c>
      <c r="O1035" s="25">
        <f t="shared" si="35"/>
        <v>-1.412429378531066E-2</v>
      </c>
    </row>
    <row r="1036" spans="1:15">
      <c r="A1036" s="94">
        <v>351.52470823963756</v>
      </c>
      <c r="B1036" s="94">
        <v>351.9603266647411</v>
      </c>
      <c r="C1036" s="94">
        <v>348.32049271276509</v>
      </c>
      <c r="D1036" s="94">
        <v>348.94971932680352</v>
      </c>
      <c r="E1036" s="94">
        <v>3202088.7309083808</v>
      </c>
      <c r="F1036" s="94" t="s">
        <v>1070</v>
      </c>
      <c r="G1036" s="25">
        <f t="shared" si="34"/>
        <v>7.3792548617082065E-3</v>
      </c>
      <c r="I1036" s="94">
        <v>3.46</v>
      </c>
      <c r="J1036" s="94">
        <v>3.91</v>
      </c>
      <c r="K1036" s="94">
        <v>3.46</v>
      </c>
      <c r="L1036" s="94">
        <v>3.89</v>
      </c>
      <c r="M1036" s="94">
        <v>5061136</v>
      </c>
      <c r="N1036" s="94" t="s">
        <v>1070</v>
      </c>
      <c r="O1036" s="25">
        <f t="shared" si="35"/>
        <v>-0.11053984575835485</v>
      </c>
    </row>
    <row r="1037" spans="1:15">
      <c r="A1037" s="94">
        <v>348.37857516944558</v>
      </c>
      <c r="B1037" s="94">
        <v>352.16361526312278</v>
      </c>
      <c r="C1037" s="94">
        <v>346.96533219431535</v>
      </c>
      <c r="D1037" s="94">
        <v>351.16653309010803</v>
      </c>
      <c r="E1037" s="94">
        <v>5361247.4023454525</v>
      </c>
      <c r="F1037" s="94" t="s">
        <v>1071</v>
      </c>
      <c r="G1037" s="25">
        <f t="shared" si="34"/>
        <v>-7.9391333112801554E-3</v>
      </c>
      <c r="I1037" s="94">
        <v>3.87</v>
      </c>
      <c r="J1037" s="94">
        <v>3.98</v>
      </c>
      <c r="K1037" s="94">
        <v>3.86</v>
      </c>
      <c r="L1037" s="94">
        <v>3.98</v>
      </c>
      <c r="M1037" s="94">
        <v>6158587</v>
      </c>
      <c r="N1037" s="94" t="s">
        <v>1071</v>
      </c>
      <c r="O1037" s="25">
        <f t="shared" si="35"/>
        <v>-2.7638190954773822E-2</v>
      </c>
    </row>
    <row r="1038" spans="1:15">
      <c r="A1038" s="94">
        <v>352.23137812924995</v>
      </c>
      <c r="B1038" s="94">
        <v>352.61859450711972</v>
      </c>
      <c r="C1038" s="94">
        <v>343.64485494998746</v>
      </c>
      <c r="D1038" s="94">
        <v>344.17727746955842</v>
      </c>
      <c r="E1038" s="94">
        <v>5216558.2745037554</v>
      </c>
      <c r="F1038" s="94" t="s">
        <v>1072</v>
      </c>
      <c r="G1038" s="25">
        <f t="shared" si="34"/>
        <v>2.3401023794791032E-2</v>
      </c>
      <c r="I1038" s="94">
        <v>3.99</v>
      </c>
      <c r="J1038" s="94">
        <v>4.0449999999999999</v>
      </c>
      <c r="K1038" s="94">
        <v>3.91</v>
      </c>
      <c r="L1038" s="94">
        <v>3.98</v>
      </c>
      <c r="M1038" s="94">
        <v>1261708</v>
      </c>
      <c r="N1038" s="94" t="s">
        <v>1072</v>
      </c>
      <c r="O1038" s="25">
        <f t="shared" si="35"/>
        <v>2.5125628140703071E-3</v>
      </c>
    </row>
    <row r="1039" spans="1:15">
      <c r="A1039" s="94">
        <v>346.30696754784225</v>
      </c>
      <c r="B1039" s="94">
        <v>346.44249328009664</v>
      </c>
      <c r="C1039" s="94">
        <v>341.29735565915189</v>
      </c>
      <c r="D1039" s="94">
        <v>343.13179324930996</v>
      </c>
      <c r="E1039" s="94">
        <v>6828629.549572384</v>
      </c>
      <c r="F1039" s="94" t="s">
        <v>1073</v>
      </c>
      <c r="G1039" s="25">
        <f t="shared" si="34"/>
        <v>9.2535123850365775E-3</v>
      </c>
      <c r="I1039" s="94">
        <v>4.01</v>
      </c>
      <c r="J1039" s="94">
        <v>4.03</v>
      </c>
      <c r="K1039" s="94">
        <v>3.93</v>
      </c>
      <c r="L1039" s="94">
        <v>3.99</v>
      </c>
      <c r="M1039" s="94">
        <v>1352438</v>
      </c>
      <c r="N1039" s="94" t="s">
        <v>1073</v>
      </c>
      <c r="O1039" s="25">
        <f t="shared" si="35"/>
        <v>5.0125313283206907E-3</v>
      </c>
    </row>
    <row r="1040" spans="1:15">
      <c r="A1040" s="94">
        <v>348.45601844501954</v>
      </c>
      <c r="B1040" s="94">
        <v>349.95648190926494</v>
      </c>
      <c r="C1040" s="94">
        <v>344.2644011545791</v>
      </c>
      <c r="D1040" s="94">
        <v>347.41053422477114</v>
      </c>
      <c r="E1040" s="94">
        <v>4957239.6977627501</v>
      </c>
      <c r="F1040" s="94" t="s">
        <v>1074</v>
      </c>
      <c r="G1040" s="25">
        <f t="shared" si="34"/>
        <v>3.0093624609897063E-3</v>
      </c>
      <c r="I1040" s="94">
        <v>4.07</v>
      </c>
      <c r="J1040" s="94">
        <v>4.1900000000000004</v>
      </c>
      <c r="K1040" s="94">
        <v>4.0199999999999996</v>
      </c>
      <c r="L1040" s="94">
        <v>4.1399999999999997</v>
      </c>
      <c r="M1040" s="94">
        <v>1207550</v>
      </c>
      <c r="N1040" s="94" t="s">
        <v>1074</v>
      </c>
      <c r="O1040" s="25">
        <f t="shared" si="35"/>
        <v>-1.6908212560386326E-2</v>
      </c>
    </row>
    <row r="1041" spans="1:15">
      <c r="A1041" s="94">
        <v>342.76393769033371</v>
      </c>
      <c r="B1041" s="94">
        <v>347.20724562638952</v>
      </c>
      <c r="C1041" s="94">
        <v>338.58200080934</v>
      </c>
      <c r="D1041" s="94">
        <v>339.5500417540145</v>
      </c>
      <c r="E1041" s="94">
        <v>6692581.585150498</v>
      </c>
      <c r="F1041" s="94" t="s">
        <v>1075</v>
      </c>
      <c r="G1041" s="25">
        <f t="shared" si="34"/>
        <v>9.4651613638954135E-3</v>
      </c>
      <c r="I1041" s="94">
        <v>4.04</v>
      </c>
      <c r="J1041" s="94">
        <v>4.1849999999999996</v>
      </c>
      <c r="K1041" s="94">
        <v>3.92</v>
      </c>
      <c r="L1041" s="94">
        <v>4</v>
      </c>
      <c r="M1041" s="94">
        <v>1529448</v>
      </c>
      <c r="N1041" s="94" t="s">
        <v>1075</v>
      </c>
      <c r="O1041" s="25">
        <f t="shared" si="35"/>
        <v>1.0000000000000009E-2</v>
      </c>
    </row>
    <row r="1042" spans="1:15">
      <c r="A1042" s="94">
        <v>343.34476225713837</v>
      </c>
      <c r="B1042" s="94">
        <v>349.69511085420288</v>
      </c>
      <c r="C1042" s="94">
        <v>341.8539792023397</v>
      </c>
      <c r="D1042" s="94">
        <v>347.84615264987463</v>
      </c>
      <c r="E1042" s="94">
        <v>8636413.6207187772</v>
      </c>
      <c r="F1042" s="94" t="s">
        <v>1076</v>
      </c>
      <c r="G1042" s="25">
        <f t="shared" si="34"/>
        <v>-1.2940750841844539E-2</v>
      </c>
      <c r="I1042" s="94">
        <v>4.08</v>
      </c>
      <c r="J1042" s="94">
        <v>4.22</v>
      </c>
      <c r="K1042" s="94">
        <v>3.9750000000000001</v>
      </c>
      <c r="L1042" s="94">
        <v>4.17</v>
      </c>
      <c r="M1042" s="94">
        <v>2141171</v>
      </c>
      <c r="N1042" s="94" t="s">
        <v>1076</v>
      </c>
      <c r="O1042" s="25">
        <f t="shared" si="35"/>
        <v>-2.1582733812949617E-2</v>
      </c>
    </row>
    <row r="1043" spans="1:15">
      <c r="A1043" s="94">
        <v>348.3398535316586</v>
      </c>
      <c r="B1043" s="94">
        <v>357.09094367151573</v>
      </c>
      <c r="C1043" s="94">
        <v>347.38149299643089</v>
      </c>
      <c r="D1043" s="94">
        <v>355.60984102616385</v>
      </c>
      <c r="E1043" s="94">
        <v>4555209.1822757469</v>
      </c>
      <c r="F1043" s="94" t="s">
        <v>1077</v>
      </c>
      <c r="G1043" s="25">
        <f t="shared" si="34"/>
        <v>-2.0443718524567944E-2</v>
      </c>
      <c r="I1043" s="94">
        <v>4.21</v>
      </c>
      <c r="J1043" s="94">
        <v>4.55</v>
      </c>
      <c r="K1043" s="94">
        <v>4.21</v>
      </c>
      <c r="L1043" s="94">
        <v>4.55</v>
      </c>
      <c r="M1043" s="94">
        <v>1621125</v>
      </c>
      <c r="N1043" s="94" t="s">
        <v>1077</v>
      </c>
      <c r="O1043" s="25">
        <f t="shared" si="35"/>
        <v>-7.4725274725274682E-2</v>
      </c>
    </row>
    <row r="1044" spans="1:15">
      <c r="A1044" s="94">
        <v>354.83540827042424</v>
      </c>
      <c r="B1044" s="94">
        <v>355.56018052570204</v>
      </c>
      <c r="C1044" s="94">
        <v>352.79284187716115</v>
      </c>
      <c r="D1044" s="94">
        <v>354.40947025476748</v>
      </c>
      <c r="E1044" s="94">
        <v>3002205.6566804931</v>
      </c>
      <c r="F1044" s="94" t="s">
        <v>1078</v>
      </c>
      <c r="G1044" s="25">
        <f t="shared" si="34"/>
        <v>1.201824588238587E-3</v>
      </c>
      <c r="I1044" s="94">
        <v>4.54</v>
      </c>
      <c r="J1044" s="94">
        <v>4.58</v>
      </c>
      <c r="K1044" s="94">
        <v>4.47</v>
      </c>
      <c r="L1044" s="94">
        <v>4.53</v>
      </c>
      <c r="M1044" s="94">
        <v>907363</v>
      </c>
      <c r="N1044" s="94" t="s">
        <v>1078</v>
      </c>
      <c r="O1044" s="25">
        <f t="shared" si="35"/>
        <v>2.2075055187638082E-3</v>
      </c>
    </row>
    <row r="1045" spans="1:15">
      <c r="A1045" s="94">
        <v>354.28362493195982</v>
      </c>
      <c r="B1045" s="94">
        <v>360.00474691498584</v>
      </c>
      <c r="C1045" s="94">
        <v>353.70764056987849</v>
      </c>
      <c r="D1045" s="94">
        <v>359.75305626937052</v>
      </c>
      <c r="E1045" s="94">
        <v>3663213.85423683</v>
      </c>
      <c r="F1045" s="94" t="s">
        <v>1079</v>
      </c>
      <c r="G1045" s="25">
        <f t="shared" si="34"/>
        <v>-1.5203293598471501E-2</v>
      </c>
      <c r="I1045" s="94">
        <v>4.51</v>
      </c>
      <c r="J1045" s="94">
        <v>4.5999999999999996</v>
      </c>
      <c r="K1045" s="94">
        <v>4.4749999999999996</v>
      </c>
      <c r="L1045" s="94">
        <v>4.58</v>
      </c>
      <c r="M1045" s="94">
        <v>1076121</v>
      </c>
      <c r="N1045" s="94" t="s">
        <v>1079</v>
      </c>
      <c r="O1045" s="25">
        <f t="shared" si="35"/>
        <v>-1.5283842794759916E-2</v>
      </c>
    </row>
    <row r="1046" spans="1:15">
      <c r="A1046" s="94">
        <v>359.84986036383799</v>
      </c>
      <c r="B1046" s="94">
        <v>362.47325132390574</v>
      </c>
      <c r="C1046" s="94">
        <v>359.43360275762797</v>
      </c>
      <c r="D1046" s="94">
        <v>360.36292206451543</v>
      </c>
      <c r="E1046" s="94">
        <v>2725427.0746649345</v>
      </c>
      <c r="F1046" s="94" t="s">
        <v>1080</v>
      </c>
      <c r="G1046" s="25">
        <f t="shared" si="34"/>
        <v>-1.4237360984257208E-3</v>
      </c>
      <c r="I1046" s="94">
        <v>4.59</v>
      </c>
      <c r="J1046" s="94">
        <v>4.67</v>
      </c>
      <c r="K1046" s="94">
        <v>4.5650000000000004</v>
      </c>
      <c r="L1046" s="94">
        <v>4.63</v>
      </c>
      <c r="M1046" s="94">
        <v>986118</v>
      </c>
      <c r="N1046" s="94" t="s">
        <v>1080</v>
      </c>
      <c r="O1046" s="25">
        <f t="shared" si="35"/>
        <v>-8.6393088552916275E-3</v>
      </c>
    </row>
    <row r="1047" spans="1:15">
      <c r="A1047" s="94">
        <v>359.41424193873445</v>
      </c>
      <c r="B1047" s="94">
        <v>359.7917779071575</v>
      </c>
      <c r="C1047" s="94">
        <v>354.98061441212542</v>
      </c>
      <c r="D1047" s="94">
        <v>355.55175856948335</v>
      </c>
      <c r="E1047" s="94">
        <v>5075817.3267685166</v>
      </c>
      <c r="F1047" s="94" t="s">
        <v>1081</v>
      </c>
      <c r="G1047" s="25">
        <f t="shared" si="34"/>
        <v>1.0863350485992074E-2</v>
      </c>
      <c r="I1047" s="94">
        <v>4.63</v>
      </c>
      <c r="J1047" s="94">
        <v>4.6500000000000004</v>
      </c>
      <c r="K1047" s="94">
        <v>4.4400000000000004</v>
      </c>
      <c r="L1047" s="94">
        <v>4.53</v>
      </c>
      <c r="M1047" s="94">
        <v>1397430</v>
      </c>
      <c r="N1047" s="94" t="s">
        <v>1081</v>
      </c>
      <c r="O1047" s="25">
        <f t="shared" si="35"/>
        <v>2.207505518763786E-2</v>
      </c>
    </row>
    <row r="1048" spans="1:15">
      <c r="A1048" s="94">
        <v>353.8092848690693</v>
      </c>
      <c r="B1048" s="94">
        <v>354.65148049093614</v>
      </c>
      <c r="C1048" s="94">
        <v>349.00780178348396</v>
      </c>
      <c r="D1048" s="94">
        <v>349.27885324799286</v>
      </c>
      <c r="E1048" s="94">
        <v>2820969.5209930725</v>
      </c>
      <c r="F1048" s="94" t="s">
        <v>1082</v>
      </c>
      <c r="G1048" s="25">
        <f t="shared" si="34"/>
        <v>1.297081566475411E-2</v>
      </c>
      <c r="I1048" s="94">
        <v>4.5</v>
      </c>
      <c r="J1048" s="94">
        <v>4.51</v>
      </c>
      <c r="K1048" s="94">
        <v>4.3899999999999997</v>
      </c>
      <c r="L1048" s="94">
        <v>4.43</v>
      </c>
      <c r="M1048" s="94">
        <v>1209244</v>
      </c>
      <c r="N1048" s="94" t="s">
        <v>1082</v>
      </c>
      <c r="O1048" s="25">
        <f t="shared" si="35"/>
        <v>1.5801354401805856E-2</v>
      </c>
    </row>
    <row r="1049" spans="1:15">
      <c r="A1049" s="94">
        <v>351.18589390900149</v>
      </c>
      <c r="B1049" s="94">
        <v>352.86060474328832</v>
      </c>
      <c r="C1049" s="94">
        <v>349.8983994525845</v>
      </c>
      <c r="D1049" s="94">
        <v>351.72799683801918</v>
      </c>
      <c r="E1049" s="94">
        <v>3889013.1876250538</v>
      </c>
      <c r="F1049" s="94" t="s">
        <v>1083</v>
      </c>
      <c r="G1049" s="25">
        <f t="shared" si="34"/>
        <v>-1.5412561237407862E-3</v>
      </c>
      <c r="I1049" s="94">
        <v>4.4800000000000004</v>
      </c>
      <c r="J1049" s="94">
        <v>4.6500000000000004</v>
      </c>
      <c r="K1049" s="94">
        <v>4.46</v>
      </c>
      <c r="L1049" s="94">
        <v>4.5999999999999996</v>
      </c>
      <c r="M1049" s="94">
        <v>1272373</v>
      </c>
      <c r="N1049" s="94" t="s">
        <v>1083</v>
      </c>
      <c r="O1049" s="25">
        <f t="shared" si="35"/>
        <v>-2.608695652173898E-2</v>
      </c>
    </row>
    <row r="1050" spans="1:15">
      <c r="A1050" s="94">
        <v>352.4733883654186</v>
      </c>
      <c r="B1050" s="94">
        <v>355.13550096327333</v>
      </c>
      <c r="C1050" s="94">
        <v>352.41530590873811</v>
      </c>
      <c r="D1050" s="94">
        <v>353.34462521562557</v>
      </c>
      <c r="E1050" s="94">
        <v>3121975.3840229558</v>
      </c>
      <c r="F1050" s="94" t="s">
        <v>1084</v>
      </c>
      <c r="G1050" s="25">
        <f t="shared" si="34"/>
        <v>-2.4656858716197716E-3</v>
      </c>
      <c r="I1050" s="94">
        <v>4.6100000000000003</v>
      </c>
      <c r="J1050" s="94">
        <v>4.66</v>
      </c>
      <c r="K1050" s="94">
        <v>4.5250000000000004</v>
      </c>
      <c r="L1050" s="94">
        <v>4.63</v>
      </c>
      <c r="M1050" s="94">
        <v>1361109</v>
      </c>
      <c r="N1050" s="94" t="s">
        <v>1084</v>
      </c>
      <c r="O1050" s="25">
        <f t="shared" si="35"/>
        <v>-4.3196544276457027E-3</v>
      </c>
    </row>
    <row r="1051" spans="1:15">
      <c r="A1051" s="94">
        <v>353.8092848690693</v>
      </c>
      <c r="B1051" s="94">
        <v>356.98445916760153</v>
      </c>
      <c r="C1051" s="94">
        <v>352.94153296626314</v>
      </c>
      <c r="D1051" s="94">
        <v>355.74536675841824</v>
      </c>
      <c r="E1051" s="94">
        <v>3409099.602816686</v>
      </c>
      <c r="F1051" s="94" t="s">
        <v>1085</v>
      </c>
      <c r="G1051" s="25">
        <f t="shared" si="34"/>
        <v>-5.4423249612234326E-3</v>
      </c>
      <c r="I1051" s="94">
        <v>4.62</v>
      </c>
      <c r="J1051" s="94">
        <v>4.79</v>
      </c>
      <c r="K1051" s="94">
        <v>4.5999999999999996</v>
      </c>
      <c r="L1051" s="94">
        <v>4.71</v>
      </c>
      <c r="M1051" s="94">
        <v>992884</v>
      </c>
      <c r="N1051" s="94" t="s">
        <v>1085</v>
      </c>
      <c r="O1051" s="25">
        <f t="shared" si="35"/>
        <v>-1.9108280254777066E-2</v>
      </c>
    </row>
    <row r="1052" spans="1:15">
      <c r="A1052" s="94">
        <v>352.58955327877953</v>
      </c>
      <c r="B1052" s="94">
        <v>353.36398603451903</v>
      </c>
      <c r="C1052" s="94">
        <v>350.16945091709334</v>
      </c>
      <c r="D1052" s="94">
        <v>351.69895560967899</v>
      </c>
      <c r="E1052" s="94">
        <v>4188879.6360402266</v>
      </c>
      <c r="F1052" s="94" t="s">
        <v>1086</v>
      </c>
      <c r="G1052" s="25">
        <f t="shared" ref="G1052:G1115" si="36">A1052/D1052-1</f>
        <v>2.5322727147616408E-3</v>
      </c>
      <c r="I1052" s="94">
        <v>4.6399999999999997</v>
      </c>
      <c r="J1052" s="94">
        <v>4.68</v>
      </c>
      <c r="K1052" s="94">
        <v>4.57</v>
      </c>
      <c r="L1052" s="94">
        <v>4.66</v>
      </c>
      <c r="M1052" s="94">
        <v>1360741</v>
      </c>
      <c r="N1052" s="94" t="s">
        <v>1086</v>
      </c>
      <c r="O1052" s="25">
        <f t="shared" ref="O1052:O1115" si="37">I1052/L1052-1</f>
        <v>-4.2918454935623185E-3</v>
      </c>
    </row>
    <row r="1053" spans="1:15">
      <c r="A1053" s="94">
        <v>356.40363460079692</v>
      </c>
      <c r="B1053" s="94">
        <v>357.75889192334114</v>
      </c>
      <c r="C1053" s="94">
        <v>352.49274918431206</v>
      </c>
      <c r="D1053" s="94">
        <v>357.27487145100389</v>
      </c>
      <c r="E1053" s="94">
        <v>2961850.9586536069</v>
      </c>
      <c r="F1053" s="94" t="s">
        <v>1087</v>
      </c>
      <c r="G1053" s="25">
        <f t="shared" si="36"/>
        <v>-2.4385617904461032E-3</v>
      </c>
      <c r="I1053" s="94">
        <v>4.7300000000000004</v>
      </c>
      <c r="J1053" s="94">
        <v>4.83</v>
      </c>
      <c r="K1053" s="94">
        <v>4.6200999999999999</v>
      </c>
      <c r="L1053" s="94">
        <v>4.79</v>
      </c>
      <c r="M1053" s="94">
        <v>1198467</v>
      </c>
      <c r="N1053" s="94" t="s">
        <v>1087</v>
      </c>
      <c r="O1053" s="25">
        <f t="shared" si="37"/>
        <v>-1.2526096033402823E-2</v>
      </c>
    </row>
    <row r="1054" spans="1:15">
      <c r="A1054" s="94">
        <v>354.62243926259583</v>
      </c>
      <c r="B1054" s="94">
        <v>356.81989220700694</v>
      </c>
      <c r="C1054" s="94">
        <v>353.18005825503087</v>
      </c>
      <c r="D1054" s="94">
        <v>355.44527406556915</v>
      </c>
      <c r="E1054" s="94">
        <v>3999834.9463432003</v>
      </c>
      <c r="F1054" s="94" t="s">
        <v>1088</v>
      </c>
      <c r="G1054" s="25">
        <f t="shared" si="36"/>
        <v>-2.3149409009205479E-3</v>
      </c>
      <c r="I1054" s="94">
        <v>4.68</v>
      </c>
      <c r="J1054" s="94">
        <v>4.75</v>
      </c>
      <c r="K1054" s="94">
        <v>4.63</v>
      </c>
      <c r="L1054" s="94">
        <v>4.7</v>
      </c>
      <c r="M1054" s="94">
        <v>1186663</v>
      </c>
      <c r="N1054" s="94" t="s">
        <v>1088</v>
      </c>
      <c r="O1054" s="25">
        <f t="shared" si="37"/>
        <v>-4.2553191489362874E-3</v>
      </c>
    </row>
    <row r="1055" spans="1:15">
      <c r="A1055" s="94">
        <v>355.06773809714616</v>
      </c>
      <c r="B1055" s="94">
        <v>359.46748419069155</v>
      </c>
      <c r="C1055" s="94">
        <v>354.76764540429707</v>
      </c>
      <c r="D1055" s="94">
        <v>358.56236590742088</v>
      </c>
      <c r="E1055" s="94">
        <v>3211822.8233058555</v>
      </c>
      <c r="F1055" s="94" t="s">
        <v>1089</v>
      </c>
      <c r="G1055" s="25">
        <f t="shared" si="36"/>
        <v>-9.7462203023755967E-3</v>
      </c>
      <c r="I1055" s="94">
        <v>4.72</v>
      </c>
      <c r="J1055" s="94">
        <v>4.82</v>
      </c>
      <c r="K1055" s="94">
        <v>4.63</v>
      </c>
      <c r="L1055" s="94">
        <v>4.6399999999999997</v>
      </c>
      <c r="M1055" s="94">
        <v>1920250</v>
      </c>
      <c r="N1055" s="94" t="s">
        <v>1089</v>
      </c>
      <c r="O1055" s="25">
        <f t="shared" si="37"/>
        <v>1.7241379310344751E-2</v>
      </c>
    </row>
    <row r="1056" spans="1:15">
      <c r="A1056" s="94">
        <v>362.26028231607739</v>
      </c>
      <c r="B1056" s="94">
        <v>362.48293173335247</v>
      </c>
      <c r="C1056" s="94">
        <v>359.45296357652143</v>
      </c>
      <c r="D1056" s="94">
        <v>361.25255169267126</v>
      </c>
      <c r="E1056" s="94">
        <v>3393789.3000019803</v>
      </c>
      <c r="F1056" s="94" t="s">
        <v>1090</v>
      </c>
      <c r="G1056" s="25">
        <f t="shared" si="36"/>
        <v>2.7895460355487067E-3</v>
      </c>
      <c r="I1056" s="94">
        <v>4.7</v>
      </c>
      <c r="J1056" s="94">
        <v>4.74</v>
      </c>
      <c r="K1056" s="94">
        <v>4.6100000000000003</v>
      </c>
      <c r="L1056" s="94">
        <v>4.74</v>
      </c>
      <c r="M1056" s="94">
        <v>890465</v>
      </c>
      <c r="N1056" s="94" t="s">
        <v>1090</v>
      </c>
      <c r="O1056" s="25">
        <f t="shared" si="37"/>
        <v>-8.4388185654008518E-3</v>
      </c>
    </row>
    <row r="1057" spans="1:15">
      <c r="A1057" s="94">
        <v>363.19928203241159</v>
      </c>
      <c r="B1057" s="94">
        <v>367.30377563783134</v>
      </c>
      <c r="C1057" s="94">
        <v>363.10247793794412</v>
      </c>
      <c r="D1057" s="94">
        <v>363.65426127640865</v>
      </c>
      <c r="E1057" s="94">
        <v>3179102.099896112</v>
      </c>
      <c r="F1057" s="94" t="s">
        <v>1091</v>
      </c>
      <c r="G1057" s="25">
        <f t="shared" si="36"/>
        <v>-1.2511313421712522E-3</v>
      </c>
      <c r="I1057" s="94">
        <v>4.74</v>
      </c>
      <c r="J1057" s="94">
        <v>4.8099999999999996</v>
      </c>
      <c r="K1057" s="94">
        <v>4.68</v>
      </c>
      <c r="L1057" s="94">
        <v>4.75</v>
      </c>
      <c r="M1057" s="94">
        <v>987824</v>
      </c>
      <c r="N1057" s="94" t="s">
        <v>1091</v>
      </c>
      <c r="O1057" s="25">
        <f t="shared" si="37"/>
        <v>-2.1052631578947212E-3</v>
      </c>
    </row>
    <row r="1058" spans="1:15">
      <c r="A1058" s="94">
        <v>368.32021862973954</v>
      </c>
      <c r="B1058" s="94">
        <v>368.36862067697319</v>
      </c>
      <c r="C1058" s="94">
        <v>364.30284870934048</v>
      </c>
      <c r="D1058" s="94">
        <v>365.09664228397355</v>
      </c>
      <c r="E1058" s="94">
        <v>2925104.579075662</v>
      </c>
      <c r="F1058" s="94" t="s">
        <v>1092</v>
      </c>
      <c r="G1058" s="25">
        <f t="shared" si="36"/>
        <v>8.8293782314730063E-3</v>
      </c>
      <c r="I1058" s="94">
        <v>4.84</v>
      </c>
      <c r="J1058" s="94">
        <v>4.88</v>
      </c>
      <c r="K1058" s="94">
        <v>4.62</v>
      </c>
      <c r="L1058" s="94">
        <v>4.6399999999999997</v>
      </c>
      <c r="M1058" s="94">
        <v>1425004</v>
      </c>
      <c r="N1058" s="94" t="s">
        <v>1092</v>
      </c>
      <c r="O1058" s="25">
        <f t="shared" si="37"/>
        <v>4.31034482758621E-2</v>
      </c>
    </row>
    <row r="1059" spans="1:15">
      <c r="A1059" s="94">
        <v>367.09080663000293</v>
      </c>
      <c r="B1059" s="94">
        <v>369.23017711773355</v>
      </c>
      <c r="C1059" s="94">
        <v>363.45097267802697</v>
      </c>
      <c r="D1059" s="94">
        <v>365.88075544915984</v>
      </c>
      <c r="E1059" s="94">
        <v>4873799.0122789731</v>
      </c>
      <c r="F1059" s="94" t="s">
        <v>1093</v>
      </c>
      <c r="G1059" s="25">
        <f t="shared" si="36"/>
        <v>3.3072282781247964E-3</v>
      </c>
      <c r="I1059" s="94">
        <v>4.5999999999999996</v>
      </c>
      <c r="J1059" s="94">
        <v>4.6399999999999997</v>
      </c>
      <c r="K1059" s="94">
        <v>4.45</v>
      </c>
      <c r="L1059" s="94">
        <v>4.5199999999999996</v>
      </c>
      <c r="M1059" s="94">
        <v>1238757</v>
      </c>
      <c r="N1059" s="94" t="s">
        <v>1093</v>
      </c>
      <c r="O1059" s="25">
        <f t="shared" si="37"/>
        <v>1.7699115044247815E-2</v>
      </c>
    </row>
    <row r="1060" spans="1:15">
      <c r="A1060" s="94">
        <v>367.22633236225738</v>
      </c>
      <c r="B1060" s="94">
        <v>367.31345604727807</v>
      </c>
      <c r="C1060" s="94">
        <v>363.20896244185832</v>
      </c>
      <c r="D1060" s="94">
        <v>363.6436128260172</v>
      </c>
      <c r="E1060" s="94">
        <v>3079001.995109133</v>
      </c>
      <c r="F1060" s="94" t="s">
        <v>1094</v>
      </c>
      <c r="G1060" s="25">
        <f t="shared" si="36"/>
        <v>9.852282316737071E-3</v>
      </c>
      <c r="I1060" s="94">
        <v>4.5599999999999996</v>
      </c>
      <c r="J1060" s="94">
        <v>4.5999999999999996</v>
      </c>
      <c r="K1060" s="94">
        <v>4.4400000000000004</v>
      </c>
      <c r="L1060" s="94">
        <v>4.58</v>
      </c>
      <c r="M1060" s="94">
        <v>1154393</v>
      </c>
      <c r="N1060" s="94" t="s">
        <v>1094</v>
      </c>
      <c r="O1060" s="25">
        <f t="shared" si="37"/>
        <v>-4.366812227074357E-3</v>
      </c>
    </row>
    <row r="1061" spans="1:15">
      <c r="A1061" s="94">
        <v>363.03471507181695</v>
      </c>
      <c r="B1061" s="94">
        <v>363.39289022134648</v>
      </c>
      <c r="C1061" s="94">
        <v>360.30483960783494</v>
      </c>
      <c r="D1061" s="94">
        <v>361.07927236357455</v>
      </c>
      <c r="E1061" s="94">
        <v>3364222.3688122826</v>
      </c>
      <c r="F1061" s="94" t="s">
        <v>1095</v>
      </c>
      <c r="G1061" s="25">
        <f t="shared" si="36"/>
        <v>5.4155495978551738E-3</v>
      </c>
      <c r="I1061" s="94">
        <v>4.58</v>
      </c>
      <c r="J1061" s="94">
        <v>4.58</v>
      </c>
      <c r="K1061" s="94">
        <v>4.4400000000000004</v>
      </c>
      <c r="L1061" s="94">
        <v>4.5</v>
      </c>
      <c r="M1061" s="94">
        <v>1436804</v>
      </c>
      <c r="N1061" s="94" t="s">
        <v>1095</v>
      </c>
      <c r="O1061" s="25">
        <f t="shared" si="37"/>
        <v>1.7777777777777892E-2</v>
      </c>
    </row>
    <row r="1062" spans="1:15">
      <c r="A1062" s="94">
        <v>362.15379781216319</v>
      </c>
      <c r="B1062" s="94">
        <v>368.82359992097025</v>
      </c>
      <c r="C1062" s="94">
        <v>361.02951505901825</v>
      </c>
      <c r="D1062" s="94">
        <v>368.79455869263001</v>
      </c>
      <c r="E1062" s="94">
        <v>3437576.7040711897</v>
      </c>
      <c r="F1062" s="94" t="s">
        <v>1096</v>
      </c>
      <c r="G1062" s="25">
        <f t="shared" si="36"/>
        <v>-1.8006667191642345E-2</v>
      </c>
      <c r="I1062" s="94">
        <v>4.51</v>
      </c>
      <c r="J1062" s="94">
        <v>4.76</v>
      </c>
      <c r="K1062" s="94">
        <v>4.5</v>
      </c>
      <c r="L1062" s="94">
        <v>4.7</v>
      </c>
      <c r="M1062" s="94">
        <v>1425400</v>
      </c>
      <c r="N1062" s="94" t="s">
        <v>1096</v>
      </c>
      <c r="O1062" s="25">
        <f t="shared" si="37"/>
        <v>-4.0425531914893731E-2</v>
      </c>
    </row>
    <row r="1063" spans="1:15">
      <c r="A1063" s="94">
        <v>365.28057006346165</v>
      </c>
      <c r="B1063" s="94">
        <v>368.75583705484303</v>
      </c>
      <c r="C1063" s="94">
        <v>364.69006508721031</v>
      </c>
      <c r="D1063" s="94">
        <v>367.55546628344666</v>
      </c>
      <c r="E1063" s="94">
        <v>3017953.9574975902</v>
      </c>
      <c r="F1063" s="94" t="s">
        <v>1097</v>
      </c>
      <c r="G1063" s="25">
        <f t="shared" si="36"/>
        <v>-6.1892596591957005E-3</v>
      </c>
      <c r="I1063" s="94">
        <v>4.7</v>
      </c>
      <c r="J1063" s="94">
        <v>4.79</v>
      </c>
      <c r="K1063" s="94">
        <v>4.68</v>
      </c>
      <c r="L1063" s="94">
        <v>4.7</v>
      </c>
      <c r="M1063" s="94">
        <v>891148</v>
      </c>
      <c r="N1063" s="94" t="s">
        <v>1097</v>
      </c>
      <c r="O1063" s="25">
        <f t="shared" si="37"/>
        <v>0</v>
      </c>
    </row>
    <row r="1064" spans="1:15">
      <c r="A1064" s="94">
        <v>369.32698121220096</v>
      </c>
      <c r="B1064" s="94">
        <v>370.51457384312761</v>
      </c>
      <c r="C1064" s="94">
        <v>362.64749869394717</v>
      </c>
      <c r="D1064" s="94">
        <v>363.78010659921631</v>
      </c>
      <c r="E1064" s="94">
        <v>4653349.6592076896</v>
      </c>
      <c r="F1064" s="94" t="s">
        <v>1098</v>
      </c>
      <c r="G1064" s="25">
        <f t="shared" si="36"/>
        <v>1.5247877804092758E-2</v>
      </c>
      <c r="I1064" s="94">
        <v>4.75</v>
      </c>
      <c r="J1064" s="94">
        <v>4.8</v>
      </c>
      <c r="K1064" s="94">
        <v>4.6500000000000004</v>
      </c>
      <c r="L1064" s="94">
        <v>4.78</v>
      </c>
      <c r="M1064" s="94">
        <v>1390643</v>
      </c>
      <c r="N1064" s="94" t="s">
        <v>1098</v>
      </c>
      <c r="O1064" s="25">
        <f t="shared" si="37"/>
        <v>-6.2761506276151069E-3</v>
      </c>
    </row>
    <row r="1065" spans="1:15">
      <c r="A1065" s="94">
        <v>364.62230222108309</v>
      </c>
      <c r="B1065" s="94">
        <v>365.85171422081964</v>
      </c>
      <c r="C1065" s="94">
        <v>363.03471507181695</v>
      </c>
      <c r="D1065" s="94">
        <v>364.54001874078574</v>
      </c>
      <c r="E1065" s="94">
        <v>2975182.0063443012</v>
      </c>
      <c r="F1065" s="94" t="s">
        <v>1099</v>
      </c>
      <c r="G1065" s="25">
        <f t="shared" si="36"/>
        <v>2.2571864834364241E-4</v>
      </c>
      <c r="I1065" s="94">
        <v>4.79</v>
      </c>
      <c r="J1065" s="94">
        <v>4.96</v>
      </c>
      <c r="K1065" s="94">
        <v>4.74</v>
      </c>
      <c r="L1065" s="94">
        <v>4.91</v>
      </c>
      <c r="M1065" s="94">
        <v>1438608</v>
      </c>
      <c r="N1065" s="94" t="s">
        <v>1099</v>
      </c>
      <c r="O1065" s="25">
        <f t="shared" si="37"/>
        <v>-2.4439918533604943E-2</v>
      </c>
    </row>
    <row r="1066" spans="1:15">
      <c r="A1066" s="94">
        <v>366.74231188992019</v>
      </c>
      <c r="B1066" s="94">
        <v>370.95328999925403</v>
      </c>
      <c r="C1066" s="94">
        <v>365.71618848856525</v>
      </c>
      <c r="D1066" s="94">
        <v>366.14212650422201</v>
      </c>
      <c r="E1066" s="94">
        <v>6686193.425606193</v>
      </c>
      <c r="F1066" s="94" t="s">
        <v>1100</v>
      </c>
      <c r="G1066" s="25">
        <f t="shared" si="36"/>
        <v>1.6392142347250171E-3</v>
      </c>
      <c r="I1066" s="94">
        <v>4.96</v>
      </c>
      <c r="J1066" s="94">
        <v>5.0999999999999996</v>
      </c>
      <c r="K1066" s="94">
        <v>4.9000000000000004</v>
      </c>
      <c r="L1066" s="94">
        <v>5.01</v>
      </c>
      <c r="M1066" s="94">
        <v>1173137</v>
      </c>
      <c r="N1066" s="94" t="s">
        <v>1100</v>
      </c>
      <c r="O1066" s="25">
        <f t="shared" si="37"/>
        <v>-9.9800399201596113E-3</v>
      </c>
    </row>
    <row r="1067" spans="1:15">
      <c r="A1067" s="94">
        <v>370.7015993536387</v>
      </c>
      <c r="B1067" s="94">
        <v>372.1246195423102</v>
      </c>
      <c r="C1067" s="94">
        <v>367.27473440949109</v>
      </c>
      <c r="D1067" s="94">
        <v>369.06561015713885</v>
      </c>
      <c r="E1067" s="94">
        <v>5379861.2844329085</v>
      </c>
      <c r="F1067" s="94" t="s">
        <v>1101</v>
      </c>
      <c r="G1067" s="25">
        <f t="shared" si="36"/>
        <v>4.432786885245843E-3</v>
      </c>
      <c r="I1067" s="94">
        <v>5.04</v>
      </c>
      <c r="J1067" s="94">
        <v>5.18</v>
      </c>
      <c r="K1067" s="94">
        <v>4.9400000000000004</v>
      </c>
      <c r="L1067" s="94">
        <v>4.99</v>
      </c>
      <c r="M1067" s="94">
        <v>2403249</v>
      </c>
      <c r="N1067" s="94" t="s">
        <v>1101</v>
      </c>
      <c r="O1067" s="25">
        <f t="shared" si="37"/>
        <v>1.002004008016022E-2</v>
      </c>
    </row>
    <row r="1068" spans="1:15">
      <c r="A1068" s="94">
        <v>365.46449784294981</v>
      </c>
      <c r="B1068" s="94">
        <v>368.01044552744372</v>
      </c>
      <c r="C1068" s="94">
        <v>357.94281970282924</v>
      </c>
      <c r="D1068" s="94">
        <v>360.53716943455686</v>
      </c>
      <c r="E1068" s="94">
        <v>5104837.7934693824</v>
      </c>
      <c r="F1068" s="94" t="s">
        <v>1102</v>
      </c>
      <c r="G1068" s="25">
        <f t="shared" si="36"/>
        <v>1.36666308667166E-2</v>
      </c>
      <c r="I1068" s="94">
        <v>4.91</v>
      </c>
      <c r="J1068" s="94">
        <v>4.9699</v>
      </c>
      <c r="K1068" s="94">
        <v>4.76</v>
      </c>
      <c r="L1068" s="94">
        <v>4.92</v>
      </c>
      <c r="M1068" s="94">
        <v>1105622</v>
      </c>
      <c r="N1068" s="94" t="s">
        <v>1102</v>
      </c>
      <c r="O1068" s="25">
        <f t="shared" si="37"/>
        <v>-2.0325203252031798E-3</v>
      </c>
    </row>
    <row r="1069" spans="1:15">
      <c r="A1069" s="94">
        <v>361.5052103792313</v>
      </c>
      <c r="B1069" s="94">
        <v>361.60201447369877</v>
      </c>
      <c r="C1069" s="94">
        <v>356.55852115194477</v>
      </c>
      <c r="D1069" s="94">
        <v>356.82957261645367</v>
      </c>
      <c r="E1069" s="94">
        <v>4319740.8363819132</v>
      </c>
      <c r="F1069" s="94" t="s">
        <v>1103</v>
      </c>
      <c r="G1069" s="25">
        <f t="shared" si="36"/>
        <v>1.3103279889313812E-2</v>
      </c>
      <c r="I1069" s="94">
        <v>4.95</v>
      </c>
      <c r="J1069" s="94">
        <v>4.9749999999999996</v>
      </c>
      <c r="K1069" s="94">
        <v>4.8</v>
      </c>
      <c r="L1069" s="94">
        <v>4.8</v>
      </c>
      <c r="M1069" s="94">
        <v>1076798</v>
      </c>
      <c r="N1069" s="94" t="s">
        <v>1103</v>
      </c>
      <c r="O1069" s="25">
        <f t="shared" si="37"/>
        <v>3.125E-2</v>
      </c>
    </row>
    <row r="1070" spans="1:15">
      <c r="A1070" s="94">
        <v>356.44235623858384</v>
      </c>
      <c r="B1070" s="94">
        <v>360.39196329285568</v>
      </c>
      <c r="C1070" s="94">
        <v>356.10354190794783</v>
      </c>
      <c r="D1070" s="94">
        <v>358.32035567125229</v>
      </c>
      <c r="E1070" s="94">
        <v>3388900.0439988766</v>
      </c>
      <c r="F1070" s="94" t="s">
        <v>1104</v>
      </c>
      <c r="G1070" s="25">
        <f t="shared" si="36"/>
        <v>-5.2411184654869158E-3</v>
      </c>
      <c r="I1070" s="94">
        <v>4.7699999999999996</v>
      </c>
      <c r="J1070" s="94">
        <v>4.8600000000000003</v>
      </c>
      <c r="K1070" s="94">
        <v>4.7</v>
      </c>
      <c r="L1070" s="94">
        <v>4.7699999999999996</v>
      </c>
      <c r="M1070" s="94">
        <v>1006257</v>
      </c>
      <c r="N1070" s="94" t="s">
        <v>1104</v>
      </c>
      <c r="O1070" s="25">
        <f t="shared" si="37"/>
        <v>0</v>
      </c>
    </row>
    <row r="1071" spans="1:15">
      <c r="A1071" s="94">
        <v>360.95342704076688</v>
      </c>
      <c r="B1071" s="94">
        <v>363.09279752849739</v>
      </c>
      <c r="C1071" s="94">
        <v>358.91086064750374</v>
      </c>
      <c r="D1071" s="94">
        <v>359.0367059703114</v>
      </c>
      <c r="E1071" s="94">
        <v>5732734.7882647878</v>
      </c>
      <c r="F1071" s="94" t="s">
        <v>1105</v>
      </c>
      <c r="G1071" s="25">
        <f t="shared" si="36"/>
        <v>5.3385100703713384E-3</v>
      </c>
      <c r="I1071" s="94">
        <v>4.83</v>
      </c>
      <c r="J1071" s="94">
        <v>4.915</v>
      </c>
      <c r="K1071" s="94">
        <v>4.79</v>
      </c>
      <c r="L1071" s="94">
        <v>4.87</v>
      </c>
      <c r="M1071" s="94">
        <v>992746</v>
      </c>
      <c r="N1071" s="94" t="s">
        <v>1105</v>
      </c>
      <c r="O1071" s="25">
        <f t="shared" si="37"/>
        <v>-8.2135523613963146E-3</v>
      </c>
    </row>
    <row r="1072" spans="1:15">
      <c r="A1072" s="94">
        <v>359.92730363941195</v>
      </c>
      <c r="B1072" s="94">
        <v>360.16931387558054</v>
      </c>
      <c r="C1072" s="94">
        <v>355.86153167177918</v>
      </c>
      <c r="D1072" s="94">
        <v>358.62044836410138</v>
      </c>
      <c r="E1072" s="94">
        <v>3575193.8169969241</v>
      </c>
      <c r="F1072" s="94" t="s">
        <v>1106</v>
      </c>
      <c r="G1072" s="25">
        <f t="shared" si="36"/>
        <v>3.6441181234143638E-3</v>
      </c>
      <c r="I1072" s="94">
        <v>4.8600000000000003</v>
      </c>
      <c r="J1072" s="94">
        <v>4.97</v>
      </c>
      <c r="K1072" s="94">
        <v>4.8</v>
      </c>
      <c r="L1072" s="94">
        <v>4.8899999999999997</v>
      </c>
      <c r="M1072" s="94">
        <v>1244997</v>
      </c>
      <c r="N1072" s="94" t="s">
        <v>1106</v>
      </c>
      <c r="O1072" s="25">
        <f t="shared" si="37"/>
        <v>-6.1349693251532278E-3</v>
      </c>
    </row>
    <row r="1073" spans="1:15">
      <c r="A1073" s="94">
        <v>356.12290272684129</v>
      </c>
      <c r="B1073" s="94">
        <v>356.39395419135013</v>
      </c>
      <c r="C1073" s="94">
        <v>350.10168805096617</v>
      </c>
      <c r="D1073" s="94">
        <v>352.15393485367593</v>
      </c>
      <c r="E1073" s="94">
        <v>3162761.8819672936</v>
      </c>
      <c r="F1073" s="94" t="s">
        <v>1107</v>
      </c>
      <c r="G1073" s="25">
        <f t="shared" si="36"/>
        <v>1.1270548133487379E-2</v>
      </c>
      <c r="I1073" s="94">
        <v>4.84</v>
      </c>
      <c r="J1073" s="94">
        <v>4.8449999999999998</v>
      </c>
      <c r="K1073" s="94">
        <v>4.6100000000000003</v>
      </c>
      <c r="L1073" s="94">
        <v>4.68</v>
      </c>
      <c r="M1073" s="94">
        <v>923387</v>
      </c>
      <c r="N1073" s="94" t="s">
        <v>1107</v>
      </c>
      <c r="O1073" s="25">
        <f t="shared" si="37"/>
        <v>3.4188034188034289E-2</v>
      </c>
    </row>
    <row r="1074" spans="1:15">
      <c r="A1074" s="94">
        <v>355.99705740403363</v>
      </c>
      <c r="B1074" s="94">
        <v>356.82957261645367</v>
      </c>
      <c r="C1074" s="94">
        <v>353.74152200294213</v>
      </c>
      <c r="D1074" s="94">
        <v>354.85476908931776</v>
      </c>
      <c r="E1074" s="94">
        <v>2791596.796464812</v>
      </c>
      <c r="F1074" s="94" t="s">
        <v>1108</v>
      </c>
      <c r="G1074" s="25">
        <f t="shared" si="36"/>
        <v>3.2190304716697149E-3</v>
      </c>
      <c r="I1074" s="94">
        <v>4.76</v>
      </c>
      <c r="J1074" s="94">
        <v>4.82</v>
      </c>
      <c r="K1074" s="94">
        <v>4.6900000000000004</v>
      </c>
      <c r="L1074" s="94">
        <v>4.82</v>
      </c>
      <c r="M1074" s="94">
        <v>1037635</v>
      </c>
      <c r="N1074" s="94" t="s">
        <v>1108</v>
      </c>
      <c r="O1074" s="25">
        <f t="shared" si="37"/>
        <v>-1.2448132780083054E-2</v>
      </c>
    </row>
    <row r="1075" spans="1:15">
      <c r="A1075" s="94">
        <v>356.37459337245662</v>
      </c>
      <c r="B1075" s="94">
        <v>358.17514952955116</v>
      </c>
      <c r="C1075" s="94">
        <v>352.02808953086827</v>
      </c>
      <c r="D1075" s="94">
        <v>352.86060474328832</v>
      </c>
      <c r="E1075" s="94">
        <v>3350357.2528026351</v>
      </c>
      <c r="F1075" s="94" t="s">
        <v>1109</v>
      </c>
      <c r="G1075" s="25">
        <f t="shared" si="36"/>
        <v>9.9585745247043889E-3</v>
      </c>
      <c r="I1075" s="94">
        <v>4.87</v>
      </c>
      <c r="J1075" s="94">
        <v>4.9800000000000004</v>
      </c>
      <c r="K1075" s="94">
        <v>4.8</v>
      </c>
      <c r="L1075" s="94">
        <v>4.9400000000000004</v>
      </c>
      <c r="M1075" s="94">
        <v>1605080</v>
      </c>
      <c r="N1075" s="94" t="s">
        <v>1109</v>
      </c>
      <c r="O1075" s="25">
        <f t="shared" si="37"/>
        <v>-1.4170040485830038E-2</v>
      </c>
    </row>
    <row r="1076" spans="1:15">
      <c r="A1076" s="94">
        <v>352.08617198754877</v>
      </c>
      <c r="B1076" s="94">
        <v>352.27978017648371</v>
      </c>
      <c r="C1076" s="94">
        <v>345.4744523354222</v>
      </c>
      <c r="D1076" s="94">
        <v>346.99427661856112</v>
      </c>
      <c r="E1076" s="94">
        <v>3372855.2681188406</v>
      </c>
      <c r="F1076" s="94" t="s">
        <v>1110</v>
      </c>
      <c r="G1076" s="25">
        <f t="shared" si="36"/>
        <v>1.4674292090947061E-2</v>
      </c>
      <c r="I1076" s="94">
        <v>4.93</v>
      </c>
      <c r="J1076" s="94">
        <v>4.9349999999999996</v>
      </c>
      <c r="K1076" s="94">
        <v>4.7</v>
      </c>
      <c r="L1076" s="94">
        <v>4.82</v>
      </c>
      <c r="M1076" s="94">
        <v>984459</v>
      </c>
      <c r="N1076" s="94" t="s">
        <v>1110</v>
      </c>
      <c r="O1076" s="25">
        <f t="shared" si="37"/>
        <v>2.2821576763485396E-2</v>
      </c>
    </row>
    <row r="1077" spans="1:15">
      <c r="A1077" s="94">
        <v>345.72614298103753</v>
      </c>
      <c r="B1077" s="94">
        <v>347.87035367349154</v>
      </c>
      <c r="C1077" s="94">
        <v>344.47737016240751</v>
      </c>
      <c r="D1077" s="94">
        <v>346.32632836673571</v>
      </c>
      <c r="E1077" s="94">
        <v>3630917.699645442</v>
      </c>
      <c r="F1077" s="94" t="s">
        <v>1111</v>
      </c>
      <c r="G1077" s="25">
        <f t="shared" si="36"/>
        <v>-1.7330053667263812E-3</v>
      </c>
      <c r="I1077" s="94">
        <v>4.78</v>
      </c>
      <c r="J1077" s="94">
        <v>4.95</v>
      </c>
      <c r="K1077" s="94">
        <v>4.7699999999999996</v>
      </c>
      <c r="L1077" s="94">
        <v>4.9000000000000004</v>
      </c>
      <c r="M1077" s="94">
        <v>844494</v>
      </c>
      <c r="N1077" s="94" t="s">
        <v>1111</v>
      </c>
      <c r="O1077" s="25">
        <f t="shared" si="37"/>
        <v>-2.4489795918367419E-2</v>
      </c>
    </row>
    <row r="1078" spans="1:15">
      <c r="A1078" s="94">
        <v>348.23336902774446</v>
      </c>
      <c r="B1078" s="94">
        <v>355.90993371901294</v>
      </c>
      <c r="C1078" s="94">
        <v>348.08816288604322</v>
      </c>
      <c r="D1078" s="94">
        <v>354.95157318378523</v>
      </c>
      <c r="E1078" s="94">
        <v>4061608.1598926638</v>
      </c>
      <c r="F1078" s="94" t="s">
        <v>1112</v>
      </c>
      <c r="G1078" s="25">
        <f t="shared" si="36"/>
        <v>-1.8927100662721297E-2</v>
      </c>
      <c r="I1078" s="94">
        <v>4.96</v>
      </c>
      <c r="J1078" s="94">
        <v>5.15</v>
      </c>
      <c r="K1078" s="94">
        <v>4.95</v>
      </c>
      <c r="L1078" s="94">
        <v>5.08</v>
      </c>
      <c r="M1078" s="94">
        <v>1586290</v>
      </c>
      <c r="N1078" s="94" t="s">
        <v>1112</v>
      </c>
      <c r="O1078" s="25">
        <f t="shared" si="37"/>
        <v>-2.3622047244094557E-2</v>
      </c>
    </row>
    <row r="1079" spans="1:15">
      <c r="A1079" s="94">
        <v>353.98353223911073</v>
      </c>
      <c r="B1079" s="94">
        <v>355.96801617569338</v>
      </c>
      <c r="C1079" s="94">
        <v>353.20909948337118</v>
      </c>
      <c r="D1079" s="94">
        <v>354.48691353034144</v>
      </c>
      <c r="E1079" s="94">
        <v>5105159.0608720798</v>
      </c>
      <c r="F1079" s="94" t="s">
        <v>1113</v>
      </c>
      <c r="G1079" s="25">
        <f t="shared" si="36"/>
        <v>-1.4200278543925471E-3</v>
      </c>
      <c r="I1079" s="94">
        <v>5.04</v>
      </c>
      <c r="J1079" s="94">
        <v>5.16</v>
      </c>
      <c r="K1079" s="94">
        <v>5.01</v>
      </c>
      <c r="L1079" s="94">
        <v>5.12</v>
      </c>
      <c r="M1079" s="94">
        <v>1181771</v>
      </c>
      <c r="N1079" s="94" t="s">
        <v>1113</v>
      </c>
      <c r="O1079" s="25">
        <f t="shared" si="37"/>
        <v>-1.5625E-2</v>
      </c>
    </row>
    <row r="1080" spans="1:15">
      <c r="A1080" s="94">
        <v>354.52563516812842</v>
      </c>
      <c r="B1080" s="94">
        <v>355.00936522818222</v>
      </c>
      <c r="C1080" s="94">
        <v>349.91776027147802</v>
      </c>
      <c r="D1080" s="94">
        <v>350.1217264985209</v>
      </c>
      <c r="E1080" s="94">
        <v>3114702.9643606166</v>
      </c>
      <c r="F1080" s="94" t="s">
        <v>1114</v>
      </c>
      <c r="G1080" s="25">
        <f t="shared" si="36"/>
        <v>1.257822161923472E-2</v>
      </c>
      <c r="I1080" s="94">
        <v>5.1100000000000003</v>
      </c>
      <c r="J1080" s="94">
        <v>5.17</v>
      </c>
      <c r="K1080" s="94">
        <v>4.9801000000000002</v>
      </c>
      <c r="L1080" s="94">
        <v>4.99</v>
      </c>
      <c r="M1080" s="94">
        <v>1299973</v>
      </c>
      <c r="N1080" s="94" t="s">
        <v>1114</v>
      </c>
      <c r="O1080" s="25">
        <f t="shared" si="37"/>
        <v>2.4048096192384794E-2</v>
      </c>
    </row>
    <row r="1081" spans="1:15">
      <c r="A1081" s="94">
        <v>353.15101702669068</v>
      </c>
      <c r="B1081" s="94">
        <v>354.44819189255446</v>
      </c>
      <c r="C1081" s="94">
        <v>349.07556464961124</v>
      </c>
      <c r="D1081" s="94">
        <v>352.83156351494813</v>
      </c>
      <c r="E1081" s="94">
        <v>4900061.3311817646</v>
      </c>
      <c r="F1081" s="94" t="s">
        <v>1115</v>
      </c>
      <c r="G1081" s="25">
        <f t="shared" si="36"/>
        <v>9.0539947322199055E-4</v>
      </c>
      <c r="I1081" s="94">
        <v>5.07</v>
      </c>
      <c r="J1081" s="94">
        <v>5.0949999999999998</v>
      </c>
      <c r="K1081" s="94">
        <v>4.915</v>
      </c>
      <c r="L1081" s="94">
        <v>5.08</v>
      </c>
      <c r="M1081" s="94">
        <v>1670361</v>
      </c>
      <c r="N1081" s="94" t="s">
        <v>1115</v>
      </c>
      <c r="O1081" s="25">
        <f t="shared" si="37"/>
        <v>-1.9685039370078705E-3</v>
      </c>
    </row>
    <row r="1082" spans="1:15">
      <c r="A1082" s="94">
        <v>351.83448134193338</v>
      </c>
      <c r="B1082" s="94">
        <v>351.89256379861388</v>
      </c>
      <c r="C1082" s="94">
        <v>348.16560616161723</v>
      </c>
      <c r="D1082" s="94">
        <v>348.89163687012308</v>
      </c>
      <c r="E1082" s="94">
        <v>5899060.3976160996</v>
      </c>
      <c r="F1082" s="94" t="s">
        <v>1116</v>
      </c>
      <c r="G1082" s="25">
        <f t="shared" si="36"/>
        <v>8.4348381010515006E-3</v>
      </c>
      <c r="I1082" s="94">
        <v>5.04</v>
      </c>
      <c r="J1082" s="94">
        <v>5.0999999999999996</v>
      </c>
      <c r="K1082" s="94">
        <v>5</v>
      </c>
      <c r="L1082" s="94">
        <v>5.08</v>
      </c>
      <c r="M1082" s="94">
        <v>1150337</v>
      </c>
      <c r="N1082" s="94" t="s">
        <v>1116</v>
      </c>
      <c r="O1082" s="25">
        <f t="shared" si="37"/>
        <v>-7.8740157480314821E-3</v>
      </c>
    </row>
    <row r="1083" spans="1:15">
      <c r="A1083" s="94">
        <v>347.40085381532435</v>
      </c>
      <c r="B1083" s="94">
        <v>347.47829709089831</v>
      </c>
      <c r="C1083" s="94">
        <v>343.61581372164721</v>
      </c>
      <c r="D1083" s="94">
        <v>344.46768975296072</v>
      </c>
      <c r="E1083" s="94">
        <v>3611127.2144336384</v>
      </c>
      <c r="F1083" s="94" t="s">
        <v>1117</v>
      </c>
      <c r="G1083" s="25">
        <f t="shared" si="36"/>
        <v>8.5150629496402175E-3</v>
      </c>
      <c r="I1083" s="94">
        <v>5.0199999999999996</v>
      </c>
      <c r="J1083" s="94">
        <v>5.0250000000000004</v>
      </c>
      <c r="K1083" s="94">
        <v>4.8600000000000003</v>
      </c>
      <c r="L1083" s="94">
        <v>4.8600000000000003</v>
      </c>
      <c r="M1083" s="94">
        <v>943206</v>
      </c>
      <c r="N1083" s="94" t="s">
        <v>1117</v>
      </c>
      <c r="O1083" s="25">
        <f t="shared" si="37"/>
        <v>3.2921810699588328E-2</v>
      </c>
    </row>
    <row r="1084" spans="1:15">
      <c r="A1084" s="94">
        <v>344.94202981585124</v>
      </c>
      <c r="B1084" s="94">
        <v>350.16945091709334</v>
      </c>
      <c r="C1084" s="94">
        <v>344.83690056925963</v>
      </c>
      <c r="D1084" s="94">
        <v>347.26532808306996</v>
      </c>
      <c r="E1084" s="94">
        <v>3899961.0716565126</v>
      </c>
      <c r="F1084" s="94" t="s">
        <v>1118</v>
      </c>
      <c r="G1084" s="25">
        <f t="shared" si="36"/>
        <v>-6.6902684470214746E-3</v>
      </c>
      <c r="I1084" s="94">
        <v>4.8899999999999997</v>
      </c>
      <c r="J1084" s="94">
        <v>4.9649999999999999</v>
      </c>
      <c r="K1084" s="94">
        <v>4.875</v>
      </c>
      <c r="L1084" s="94">
        <v>4.9000000000000004</v>
      </c>
      <c r="M1084" s="94">
        <v>873397</v>
      </c>
      <c r="N1084" s="94" t="s">
        <v>1118</v>
      </c>
      <c r="O1084" s="25">
        <f t="shared" si="37"/>
        <v>-2.0408163265307477E-3</v>
      </c>
    </row>
    <row r="1085" spans="1:15">
      <c r="A1085" s="94">
        <v>345.19372046146657</v>
      </c>
      <c r="B1085" s="94">
        <v>346.23920468171502</v>
      </c>
      <c r="C1085" s="94">
        <v>337.59450224167756</v>
      </c>
      <c r="D1085" s="94">
        <v>340.35351573809425</v>
      </c>
      <c r="E1085" s="94">
        <v>3579163.6904006698</v>
      </c>
      <c r="F1085" s="94" t="s">
        <v>1119</v>
      </c>
      <c r="G1085" s="25">
        <f t="shared" si="36"/>
        <v>1.4221109815410138E-2</v>
      </c>
      <c r="I1085" s="94">
        <v>4.83</v>
      </c>
      <c r="J1085" s="94">
        <v>4.9328000000000003</v>
      </c>
      <c r="K1085" s="94">
        <v>4.7554999999999996</v>
      </c>
      <c r="L1085" s="94">
        <v>4.82</v>
      </c>
      <c r="M1085" s="94">
        <v>1514716</v>
      </c>
      <c r="N1085" s="94" t="s">
        <v>1119</v>
      </c>
      <c r="O1085" s="25">
        <f t="shared" si="37"/>
        <v>2.0746887966804906E-3</v>
      </c>
    </row>
    <row r="1086" spans="1:15">
      <c r="A1086" s="94">
        <v>337.51715577019814</v>
      </c>
      <c r="B1086" s="94">
        <v>339.58876339180148</v>
      </c>
      <c r="C1086" s="94">
        <v>336.93633120339342</v>
      </c>
      <c r="D1086" s="94">
        <v>339.52100052567425</v>
      </c>
      <c r="E1086" s="94">
        <v>3322729.2891848423</v>
      </c>
      <c r="F1086" s="94" t="s">
        <v>1120</v>
      </c>
      <c r="G1086" s="25">
        <f t="shared" si="36"/>
        <v>-5.9019758788810828E-3</v>
      </c>
      <c r="I1086" s="94">
        <v>4.78</v>
      </c>
      <c r="J1086" s="94">
        <v>4.7949999999999999</v>
      </c>
      <c r="K1086" s="94">
        <v>4.46</v>
      </c>
      <c r="L1086" s="94">
        <v>4.5</v>
      </c>
      <c r="M1086" s="94">
        <v>1534991</v>
      </c>
      <c r="N1086" s="94" t="s">
        <v>1120</v>
      </c>
      <c r="O1086" s="25">
        <f t="shared" si="37"/>
        <v>6.2222222222222179E-2</v>
      </c>
    </row>
    <row r="1087" spans="1:15">
      <c r="A1087" s="94">
        <v>341.24411340719479</v>
      </c>
      <c r="B1087" s="94">
        <v>343.23198548708376</v>
      </c>
      <c r="C1087" s="94">
        <v>338.03989788032231</v>
      </c>
      <c r="D1087" s="94">
        <v>340.84721661987828</v>
      </c>
      <c r="E1087" s="94">
        <v>3222061.0266117426</v>
      </c>
      <c r="F1087" s="94" t="s">
        <v>1121</v>
      </c>
      <c r="G1087" s="25">
        <f t="shared" si="36"/>
        <v>1.1644419199090539E-3</v>
      </c>
      <c r="I1087" s="94">
        <v>4.54</v>
      </c>
      <c r="J1087" s="94">
        <v>4.57</v>
      </c>
      <c r="K1087" s="94">
        <v>4.3300999999999998</v>
      </c>
      <c r="L1087" s="94">
        <v>4.5199999999999996</v>
      </c>
      <c r="M1087" s="94">
        <v>1611573</v>
      </c>
      <c r="N1087" s="94" t="s">
        <v>1121</v>
      </c>
      <c r="O1087" s="25">
        <f t="shared" si="37"/>
        <v>4.4247787610620648E-3</v>
      </c>
    </row>
    <row r="1088" spans="1:15">
      <c r="A1088" s="94">
        <v>338.80465022661514</v>
      </c>
      <c r="B1088" s="94">
        <v>343.69548349139393</v>
      </c>
      <c r="C1088" s="94">
        <v>336.09413558152664</v>
      </c>
      <c r="D1088" s="94">
        <v>341.89366888107133</v>
      </c>
      <c r="E1088" s="94">
        <v>5120996.2009066427</v>
      </c>
      <c r="F1088" s="94" t="s">
        <v>1122</v>
      </c>
      <c r="G1088" s="25">
        <f t="shared" si="36"/>
        <v>-9.0350273655717128E-3</v>
      </c>
      <c r="I1088" s="94">
        <v>4.5</v>
      </c>
      <c r="J1088" s="94">
        <v>4.72</v>
      </c>
      <c r="K1088" s="94">
        <v>4.3499999999999996</v>
      </c>
      <c r="L1088" s="94">
        <v>4.46</v>
      </c>
      <c r="M1088" s="94">
        <v>2099296</v>
      </c>
      <c r="N1088" s="94" t="s">
        <v>1122</v>
      </c>
      <c r="O1088" s="25">
        <f t="shared" si="37"/>
        <v>8.9686098654708779E-3</v>
      </c>
    </row>
    <row r="1089" spans="1:15">
      <c r="A1089" s="94">
        <v>340.11150550192565</v>
      </c>
      <c r="B1089" s="94">
        <v>340.25671164362683</v>
      </c>
      <c r="C1089" s="94">
        <v>336.6493070632975</v>
      </c>
      <c r="D1089" s="94">
        <v>338.61104203768025</v>
      </c>
      <c r="E1089" s="94">
        <v>5501262.1411286136</v>
      </c>
      <c r="F1089" s="94" t="s">
        <v>1123</v>
      </c>
      <c r="G1089" s="25">
        <f t="shared" si="36"/>
        <v>4.4312301666713516E-3</v>
      </c>
      <c r="I1089" s="94">
        <v>4.3499999999999996</v>
      </c>
      <c r="J1089" s="94">
        <v>4.41</v>
      </c>
      <c r="K1089" s="94">
        <v>4.2750000000000004</v>
      </c>
      <c r="L1089" s="94">
        <v>4.34</v>
      </c>
      <c r="M1089" s="94">
        <v>2158290</v>
      </c>
      <c r="N1089" s="94" t="s">
        <v>1123</v>
      </c>
      <c r="O1089" s="25">
        <f t="shared" si="37"/>
        <v>2.3041474654377225E-3</v>
      </c>
    </row>
    <row r="1090" spans="1:15">
      <c r="A1090" s="94">
        <v>341.0505052182599</v>
      </c>
      <c r="B1090" s="94">
        <v>341.83945858816958</v>
      </c>
      <c r="C1090" s="94">
        <v>337.33322799070999</v>
      </c>
      <c r="D1090" s="94">
        <v>337.75916600636674</v>
      </c>
      <c r="E1090" s="94">
        <v>4221489.8269352159</v>
      </c>
      <c r="F1090" s="94" t="s">
        <v>1124</v>
      </c>
      <c r="G1090" s="25">
        <f t="shared" si="36"/>
        <v>9.7446332865207541E-3</v>
      </c>
      <c r="I1090" s="94">
        <v>4.38</v>
      </c>
      <c r="J1090" s="94">
        <v>4.4400000000000004</v>
      </c>
      <c r="K1090" s="94">
        <v>4.2850000000000001</v>
      </c>
      <c r="L1090" s="94">
        <v>4.32</v>
      </c>
      <c r="M1090" s="94">
        <v>2487059</v>
      </c>
      <c r="N1090" s="94" t="s">
        <v>1124</v>
      </c>
      <c r="O1090" s="25">
        <f t="shared" si="37"/>
        <v>1.388888888888884E-2</v>
      </c>
    </row>
    <row r="1091" spans="1:15">
      <c r="A1091" s="94">
        <v>335.10673381795874</v>
      </c>
      <c r="B1091" s="94">
        <v>340.9440207143457</v>
      </c>
      <c r="C1091" s="94">
        <v>334.84536276289657</v>
      </c>
      <c r="D1091" s="94">
        <v>339.22090783282516</v>
      </c>
      <c r="E1091" s="94">
        <v>4612040.4561001211</v>
      </c>
      <c r="F1091" s="94" t="s">
        <v>1125</v>
      </c>
      <c r="G1091" s="25">
        <f t="shared" si="36"/>
        <v>-1.2128303179042121E-2</v>
      </c>
      <c r="I1091" s="94">
        <v>4.29</v>
      </c>
      <c r="J1091" s="94">
        <v>4.37</v>
      </c>
      <c r="K1091" s="94">
        <v>4.1500000000000004</v>
      </c>
      <c r="L1091" s="94">
        <v>4.2</v>
      </c>
      <c r="M1091" s="94">
        <v>1890617</v>
      </c>
      <c r="N1091" s="94" t="s">
        <v>1125</v>
      </c>
      <c r="O1091" s="25">
        <f t="shared" si="37"/>
        <v>2.1428571428571352E-2</v>
      </c>
    </row>
    <row r="1092" spans="1:15">
      <c r="A1092" s="94">
        <v>339.26930988005893</v>
      </c>
      <c r="B1092" s="94">
        <v>340.78913416319784</v>
      </c>
      <c r="C1092" s="94">
        <v>337.7010835496863</v>
      </c>
      <c r="D1092" s="94">
        <v>340.51808269868894</v>
      </c>
      <c r="E1092" s="94">
        <v>4445282.0138172004</v>
      </c>
      <c r="F1092" s="94" t="s">
        <v>1126</v>
      </c>
      <c r="G1092" s="25">
        <f t="shared" si="36"/>
        <v>-3.6672731407776382E-3</v>
      </c>
      <c r="I1092" s="94">
        <v>4.1900000000000004</v>
      </c>
      <c r="J1092" s="94">
        <v>4.5</v>
      </c>
      <c r="K1092" s="94">
        <v>4.1749999999999998</v>
      </c>
      <c r="L1092" s="94">
        <v>4.5</v>
      </c>
      <c r="M1092" s="94">
        <v>1762151</v>
      </c>
      <c r="N1092" s="94" t="s">
        <v>1126</v>
      </c>
      <c r="O1092" s="25">
        <f t="shared" si="37"/>
        <v>-6.8888888888888777E-2</v>
      </c>
    </row>
    <row r="1093" spans="1:15">
      <c r="A1093" s="94">
        <v>340.62456720260315</v>
      </c>
      <c r="B1093" s="94">
        <v>340.69997759219331</v>
      </c>
      <c r="C1093" s="94">
        <v>336.24902213267461</v>
      </c>
      <c r="D1093" s="94">
        <v>337.7785268252602</v>
      </c>
      <c r="E1093" s="94">
        <v>4722921.0966251921</v>
      </c>
      <c r="F1093" s="94" t="s">
        <v>1127</v>
      </c>
      <c r="G1093" s="25">
        <f t="shared" si="36"/>
        <v>8.4257587481730845E-3</v>
      </c>
      <c r="I1093" s="94">
        <v>4.51</v>
      </c>
      <c r="J1093" s="94">
        <v>4.5350000000000001</v>
      </c>
      <c r="K1093" s="94">
        <v>4.3499999999999996</v>
      </c>
      <c r="L1093" s="94">
        <v>4.47</v>
      </c>
      <c r="M1093" s="94">
        <v>1595478</v>
      </c>
      <c r="N1093" s="94" t="s">
        <v>1127</v>
      </c>
      <c r="O1093" s="25">
        <f t="shared" si="37"/>
        <v>8.9485458612974522E-3</v>
      </c>
    </row>
    <row r="1094" spans="1:15">
      <c r="A1094" s="94">
        <v>338.72720695104124</v>
      </c>
      <c r="B1094" s="94">
        <v>340.99242276157946</v>
      </c>
      <c r="C1094" s="94">
        <v>333.33521888920438</v>
      </c>
      <c r="D1094" s="94">
        <v>340.73105170651735</v>
      </c>
      <c r="E1094" s="94">
        <v>6675578.1721331533</v>
      </c>
      <c r="F1094" s="94" t="s">
        <v>1128</v>
      </c>
      <c r="G1094" s="25">
        <f t="shared" si="36"/>
        <v>-5.8810159668162276E-3</v>
      </c>
      <c r="I1094" s="94">
        <v>4.53</v>
      </c>
      <c r="J1094" s="94">
        <v>4.7649999999999997</v>
      </c>
      <c r="K1094" s="94">
        <v>4.49</v>
      </c>
      <c r="L1094" s="94">
        <v>4.75</v>
      </c>
      <c r="M1094" s="94">
        <v>2932314</v>
      </c>
      <c r="N1094" s="94" t="s">
        <v>1128</v>
      </c>
      <c r="O1094" s="25">
        <f t="shared" si="37"/>
        <v>-4.6315789473684199E-2</v>
      </c>
    </row>
    <row r="1095" spans="1:15">
      <c r="A1095" s="94">
        <v>343.55773126496672</v>
      </c>
      <c r="B1095" s="94">
        <v>344.57572312238642</v>
      </c>
      <c r="C1095" s="94">
        <v>340.46000024200845</v>
      </c>
      <c r="D1095" s="94">
        <v>340.9440207143457</v>
      </c>
      <c r="E1095" s="94">
        <v>3958973.0383654321</v>
      </c>
      <c r="F1095" s="94" t="s">
        <v>1129</v>
      </c>
      <c r="G1095" s="25">
        <f t="shared" si="36"/>
        <v>7.6660988074956915E-3</v>
      </c>
      <c r="I1095" s="94">
        <v>4.83</v>
      </c>
      <c r="J1095" s="94">
        <v>4.8849999999999998</v>
      </c>
      <c r="K1095" s="94">
        <v>4.76</v>
      </c>
      <c r="L1095" s="94">
        <v>4.8099999999999996</v>
      </c>
      <c r="M1095" s="94">
        <v>1325022</v>
      </c>
      <c r="N1095" s="94" t="s">
        <v>1129</v>
      </c>
      <c r="O1095" s="25">
        <f t="shared" si="37"/>
        <v>4.1580041580042693E-3</v>
      </c>
    </row>
    <row r="1096" spans="1:15">
      <c r="A1096" s="94">
        <v>338.49487712431932</v>
      </c>
      <c r="B1096" s="94">
        <v>339.94209833660767</v>
      </c>
      <c r="C1096" s="94">
        <v>336.11156031853085</v>
      </c>
      <c r="D1096" s="94">
        <v>337.31386717181647</v>
      </c>
      <c r="E1096" s="94">
        <v>5235532.6785318591</v>
      </c>
      <c r="F1096" s="94" t="s">
        <v>1130</v>
      </c>
      <c r="G1096" s="25">
        <f t="shared" si="36"/>
        <v>3.5012196871861967E-3</v>
      </c>
      <c r="I1096" s="94">
        <v>4.78</v>
      </c>
      <c r="J1096" s="94">
        <v>5.0298999999999996</v>
      </c>
      <c r="K1096" s="94">
        <v>4.7699999999999996</v>
      </c>
      <c r="L1096" s="94">
        <v>4.83</v>
      </c>
      <c r="M1096" s="94">
        <v>1667367</v>
      </c>
      <c r="N1096" s="94" t="s">
        <v>1130</v>
      </c>
      <c r="O1096" s="25">
        <f t="shared" si="37"/>
        <v>-1.0351966873705987E-2</v>
      </c>
    </row>
    <row r="1097" spans="1:15">
      <c r="A1097" s="94">
        <v>337.98016975403596</v>
      </c>
      <c r="B1097" s="94">
        <v>341.38107052434395</v>
      </c>
      <c r="C1097" s="94">
        <v>336.47722210483471</v>
      </c>
      <c r="D1097" s="94">
        <v>341.17875064848994</v>
      </c>
      <c r="E1097" s="94">
        <v>5748731.7303378517</v>
      </c>
      <c r="F1097" s="94" t="s">
        <v>1131</v>
      </c>
      <c r="G1097" s="25">
        <f t="shared" si="36"/>
        <v>-9.3750882444300077E-3</v>
      </c>
      <c r="I1097" s="94">
        <v>4.88</v>
      </c>
      <c r="J1097" s="94">
        <v>5.15</v>
      </c>
      <c r="K1097" s="94">
        <v>4.84</v>
      </c>
      <c r="L1097" s="94">
        <v>5.12</v>
      </c>
      <c r="M1097" s="94">
        <v>2248676</v>
      </c>
      <c r="N1097" s="94" t="s">
        <v>1131</v>
      </c>
      <c r="O1097" s="25">
        <f t="shared" si="37"/>
        <v>-4.6875E-2</v>
      </c>
    </row>
    <row r="1098" spans="1:15">
      <c r="A1098" s="94">
        <v>340.91862509382048</v>
      </c>
      <c r="B1098" s="94">
        <v>343.7800061951844</v>
      </c>
      <c r="C1098" s="94">
        <v>338.92432917468807</v>
      </c>
      <c r="D1098" s="94">
        <v>342.64219775050066</v>
      </c>
      <c r="E1098" s="94">
        <v>4705150.8705297643</v>
      </c>
      <c r="F1098" s="94" t="s">
        <v>1132</v>
      </c>
      <c r="G1098" s="25">
        <f t="shared" si="36"/>
        <v>-5.0302404899212894E-3</v>
      </c>
      <c r="I1098" s="94">
        <v>5.12</v>
      </c>
      <c r="J1098" s="94">
        <v>5.51</v>
      </c>
      <c r="K1098" s="94">
        <v>5.09</v>
      </c>
      <c r="L1098" s="94">
        <v>5.5</v>
      </c>
      <c r="M1098" s="94">
        <v>6204902</v>
      </c>
      <c r="N1098" s="94" t="s">
        <v>1132</v>
      </c>
      <c r="O1098" s="25">
        <f t="shared" si="37"/>
        <v>-6.9090909090909092E-2</v>
      </c>
    </row>
    <row r="1099" spans="1:15">
      <c r="A1099" s="94">
        <v>345.03246256951883</v>
      </c>
      <c r="B1099" s="94">
        <v>349.95557954863324</v>
      </c>
      <c r="C1099" s="94">
        <v>343.42353784248922</v>
      </c>
      <c r="D1099" s="94">
        <v>349.2137400038352</v>
      </c>
      <c r="E1099" s="94">
        <v>5321365.0683377795</v>
      </c>
      <c r="F1099" s="94" t="s">
        <v>1133</v>
      </c>
      <c r="G1099" s="25">
        <f t="shared" si="36"/>
        <v>-1.1973404695561074E-2</v>
      </c>
      <c r="I1099" s="94">
        <v>4.93</v>
      </c>
      <c r="J1099" s="94">
        <v>5.65</v>
      </c>
      <c r="K1099" s="94">
        <v>4.8099999999999996</v>
      </c>
      <c r="L1099" s="94">
        <v>5.64</v>
      </c>
      <c r="M1099" s="94">
        <v>3735080</v>
      </c>
      <c r="N1099" s="94" t="s">
        <v>1133</v>
      </c>
      <c r="O1099" s="25">
        <f t="shared" si="37"/>
        <v>-0.12588652482269502</v>
      </c>
    </row>
    <row r="1100" spans="1:15">
      <c r="A1100" s="94">
        <v>353.73221723124158</v>
      </c>
      <c r="B1100" s="94">
        <v>359.16595103989226</v>
      </c>
      <c r="C1100" s="94">
        <v>350.92864180869304</v>
      </c>
      <c r="D1100" s="94">
        <v>355.60126751294058</v>
      </c>
      <c r="E1100" s="94">
        <v>4885798.5199301215</v>
      </c>
      <c r="F1100" s="94" t="s">
        <v>1134</v>
      </c>
      <c r="G1100" s="25">
        <f t="shared" si="36"/>
        <v>-5.2560281766458328E-3</v>
      </c>
      <c r="I1100" s="94">
        <v>5.21</v>
      </c>
      <c r="J1100" s="94">
        <v>5.3399000000000001</v>
      </c>
      <c r="K1100" s="94">
        <v>5.1100000000000003</v>
      </c>
      <c r="L1100" s="94">
        <v>5.24</v>
      </c>
      <c r="M1100" s="94">
        <v>2119590</v>
      </c>
      <c r="N1100" s="94" t="s">
        <v>1134</v>
      </c>
      <c r="O1100" s="25">
        <f t="shared" si="37"/>
        <v>-5.7251908396946938E-3</v>
      </c>
    </row>
    <row r="1101" spans="1:15">
      <c r="A1101" s="94">
        <v>355.88066162721515</v>
      </c>
      <c r="B1101" s="94">
        <v>363.39539987322149</v>
      </c>
      <c r="C1101" s="94">
        <v>353.38634658632918</v>
      </c>
      <c r="D1101" s="94">
        <v>363.31832563480089</v>
      </c>
      <c r="E1101" s="94">
        <v>6395729.7548643742</v>
      </c>
      <c r="F1101" s="94" t="s">
        <v>1135</v>
      </c>
      <c r="G1101" s="25">
        <f t="shared" si="36"/>
        <v>-2.0471480469889336E-2</v>
      </c>
      <c r="I1101" s="94">
        <v>5.25</v>
      </c>
      <c r="J1101" s="94">
        <v>5.6</v>
      </c>
      <c r="K1101" s="94">
        <v>5.22</v>
      </c>
      <c r="L1101" s="94">
        <v>5.49</v>
      </c>
      <c r="M1101" s="94">
        <v>1614205</v>
      </c>
      <c r="N1101" s="94" t="s">
        <v>1135</v>
      </c>
      <c r="O1101" s="25">
        <f t="shared" si="37"/>
        <v>-4.3715846994535568E-2</v>
      </c>
    </row>
    <row r="1102" spans="1:15">
      <c r="A1102" s="94">
        <v>353.2697718007181</v>
      </c>
      <c r="B1102" s="94">
        <v>353.2697718007181</v>
      </c>
      <c r="C1102" s="94">
        <v>348.35628910140622</v>
      </c>
      <c r="D1102" s="94">
        <v>349.03068868758629</v>
      </c>
      <c r="E1102" s="94">
        <v>3058055.2572423751</v>
      </c>
      <c r="F1102" s="94" t="s">
        <v>1136</v>
      </c>
      <c r="G1102" s="25">
        <f t="shared" si="36"/>
        <v>1.2145301976371981E-2</v>
      </c>
      <c r="I1102" s="94">
        <v>5.35</v>
      </c>
      <c r="J1102" s="94">
        <v>5.37</v>
      </c>
      <c r="K1102" s="94">
        <v>5.15</v>
      </c>
      <c r="L1102" s="94">
        <v>5.3</v>
      </c>
      <c r="M1102" s="94">
        <v>1448948</v>
      </c>
      <c r="N1102" s="94" t="s">
        <v>1136</v>
      </c>
      <c r="O1102" s="25">
        <f t="shared" si="37"/>
        <v>9.4339622641508303E-3</v>
      </c>
    </row>
    <row r="1103" spans="1:15">
      <c r="A1103" s="94">
        <v>348.29848342259078</v>
      </c>
      <c r="B1103" s="94">
        <v>352.07531379079518</v>
      </c>
      <c r="C1103" s="94">
        <v>348.1253554145386</v>
      </c>
      <c r="D1103" s="94">
        <v>349.72435683337147</v>
      </c>
      <c r="E1103" s="94">
        <v>4433496.9375288524</v>
      </c>
      <c r="F1103" s="94" t="s">
        <v>1137</v>
      </c>
      <c r="G1103" s="25">
        <f t="shared" si="36"/>
        <v>-4.077134986225972E-3</v>
      </c>
      <c r="I1103" s="94">
        <v>5.27</v>
      </c>
      <c r="J1103" s="94">
        <v>5.375</v>
      </c>
      <c r="K1103" s="94">
        <v>5.23</v>
      </c>
      <c r="L1103" s="94">
        <v>5.3</v>
      </c>
      <c r="M1103" s="94">
        <v>1218845</v>
      </c>
      <c r="N1103" s="94" t="s">
        <v>1137</v>
      </c>
      <c r="O1103" s="25">
        <f t="shared" si="37"/>
        <v>-5.6603773584905648E-3</v>
      </c>
    </row>
    <row r="1104" spans="1:15">
      <c r="A1104" s="94">
        <v>350.86120185007502</v>
      </c>
      <c r="B1104" s="94">
        <v>351.79572699092449</v>
      </c>
      <c r="C1104" s="94">
        <v>348.37555766101138</v>
      </c>
      <c r="D1104" s="94">
        <v>349.84960247080494</v>
      </c>
      <c r="E1104" s="94">
        <v>3741344.5258644498</v>
      </c>
      <c r="F1104" s="94" t="s">
        <v>1138</v>
      </c>
      <c r="G1104" s="25">
        <f t="shared" si="36"/>
        <v>2.8915264505824378E-3</v>
      </c>
      <c r="I1104" s="94">
        <v>5.35</v>
      </c>
      <c r="J1104" s="94">
        <v>5.4450000000000003</v>
      </c>
      <c r="K1104" s="94">
        <v>5.2278000000000002</v>
      </c>
      <c r="L1104" s="94">
        <v>5.29</v>
      </c>
      <c r="M1104" s="94">
        <v>1011589</v>
      </c>
      <c r="N1104" s="94" t="s">
        <v>1138</v>
      </c>
      <c r="O1104" s="25">
        <f t="shared" si="37"/>
        <v>1.1342155009451682E-2</v>
      </c>
    </row>
    <row r="1105" spans="1:15">
      <c r="A1105" s="94">
        <v>348.11543210634193</v>
      </c>
      <c r="B1105" s="94">
        <v>350.31204790132841</v>
      </c>
      <c r="C1105" s="94">
        <v>347.1327355664796</v>
      </c>
      <c r="D1105" s="94">
        <v>347.84567227186994</v>
      </c>
      <c r="E1105" s="94">
        <v>3464687.6241946043</v>
      </c>
      <c r="F1105" s="94" t="s">
        <v>1139</v>
      </c>
      <c r="G1105" s="25">
        <f t="shared" si="36"/>
        <v>7.7551585652946287E-4</v>
      </c>
      <c r="I1105" s="94">
        <v>5.32</v>
      </c>
      <c r="J1105" s="94">
        <v>5.39</v>
      </c>
      <c r="K1105" s="94">
        <v>5.1100000000000003</v>
      </c>
      <c r="L1105" s="94">
        <v>5.19</v>
      </c>
      <c r="M1105" s="94">
        <v>1016276</v>
      </c>
      <c r="N1105" s="94" t="s">
        <v>1139</v>
      </c>
      <c r="O1105" s="25">
        <f t="shared" si="37"/>
        <v>2.5048169556840083E-2</v>
      </c>
    </row>
    <row r="1106" spans="1:15">
      <c r="A1106" s="94">
        <v>348.78983169252194</v>
      </c>
      <c r="B1106" s="94">
        <v>354.1657598223573</v>
      </c>
      <c r="C1106" s="94">
        <v>346.76759636196209</v>
      </c>
      <c r="D1106" s="94">
        <v>353.6647772726235</v>
      </c>
      <c r="E1106" s="94">
        <v>4059504.2703200369</v>
      </c>
      <c r="F1106" s="94" t="s">
        <v>1140</v>
      </c>
      <c r="G1106" s="25">
        <f t="shared" si="36"/>
        <v>-1.3784085646571742E-2</v>
      </c>
      <c r="I1106" s="94">
        <v>5.24</v>
      </c>
      <c r="J1106" s="94">
        <v>5.3150000000000004</v>
      </c>
      <c r="K1106" s="94">
        <v>5.15</v>
      </c>
      <c r="L1106" s="94">
        <v>5.3</v>
      </c>
      <c r="M1106" s="94">
        <v>1646556</v>
      </c>
      <c r="N1106" s="94" t="s">
        <v>1140</v>
      </c>
      <c r="O1106" s="25">
        <f t="shared" si="37"/>
        <v>-1.1320754716981019E-2</v>
      </c>
    </row>
    <row r="1107" spans="1:15">
      <c r="A1107" s="94">
        <v>353.90563426768784</v>
      </c>
      <c r="B1107" s="94">
        <v>358.57825997193538</v>
      </c>
      <c r="C1107" s="94">
        <v>352.60500649434061</v>
      </c>
      <c r="D1107" s="94">
        <v>357.70154050990129</v>
      </c>
      <c r="E1107" s="94">
        <v>3847711.5840151175</v>
      </c>
      <c r="F1107" s="94" t="s">
        <v>1141</v>
      </c>
      <c r="G1107" s="25">
        <f t="shared" si="36"/>
        <v>-1.061193708252528E-2</v>
      </c>
      <c r="I1107" s="94">
        <v>5.31</v>
      </c>
      <c r="J1107" s="94">
        <v>5.8049999999999997</v>
      </c>
      <c r="K1107" s="94">
        <v>5.27</v>
      </c>
      <c r="L1107" s="94">
        <v>5.7</v>
      </c>
      <c r="M1107" s="94">
        <v>1793887</v>
      </c>
      <c r="N1107" s="94" t="s">
        <v>1141</v>
      </c>
      <c r="O1107" s="25">
        <f t="shared" si="37"/>
        <v>-6.8421052631579049E-2</v>
      </c>
    </row>
    <row r="1108" spans="1:15">
      <c r="A1108" s="94">
        <v>360.32206461620092</v>
      </c>
      <c r="B1108" s="94">
        <v>361.16988123882732</v>
      </c>
      <c r="C1108" s="94">
        <v>356.1407871818846</v>
      </c>
      <c r="D1108" s="94">
        <v>356.1407871818846</v>
      </c>
      <c r="E1108" s="94">
        <v>3732488.6485442561</v>
      </c>
      <c r="F1108" s="94" t="s">
        <v>1142</v>
      </c>
      <c r="G1108" s="25">
        <f t="shared" si="36"/>
        <v>1.1740518314126369E-2</v>
      </c>
      <c r="I1108" s="94">
        <v>5.79</v>
      </c>
      <c r="J1108" s="94">
        <v>5.81</v>
      </c>
      <c r="K1108" s="94">
        <v>5.585</v>
      </c>
      <c r="L1108" s="94">
        <v>5.63</v>
      </c>
      <c r="M1108" s="94">
        <v>1045364</v>
      </c>
      <c r="N1108" s="94" t="s">
        <v>1142</v>
      </c>
      <c r="O1108" s="25">
        <f t="shared" si="37"/>
        <v>2.8419182948490329E-2</v>
      </c>
    </row>
    <row r="1109" spans="1:15">
      <c r="A1109" s="94">
        <v>360.84231572553983</v>
      </c>
      <c r="B1109" s="94">
        <v>363.21234855697259</v>
      </c>
      <c r="C1109" s="94">
        <v>358.44338005469939</v>
      </c>
      <c r="D1109" s="94">
        <v>362.12367493928195</v>
      </c>
      <c r="E1109" s="94">
        <v>4783572.9233954372</v>
      </c>
      <c r="F1109" s="94" t="s">
        <v>1143</v>
      </c>
      <c r="G1109" s="25">
        <f t="shared" si="36"/>
        <v>-3.5384574453933837E-3</v>
      </c>
      <c r="I1109" s="94">
        <v>5.72</v>
      </c>
      <c r="J1109" s="94">
        <v>5.77</v>
      </c>
      <c r="K1109" s="94">
        <v>5.45</v>
      </c>
      <c r="L1109" s="94">
        <v>5.45</v>
      </c>
      <c r="M1109" s="94">
        <v>1648158</v>
      </c>
      <c r="N1109" s="94" t="s">
        <v>1143</v>
      </c>
      <c r="O1109" s="25">
        <f t="shared" si="37"/>
        <v>4.9541284403669561E-2</v>
      </c>
    </row>
    <row r="1110" spans="1:15">
      <c r="A1110" s="94">
        <v>360.79414432652698</v>
      </c>
      <c r="B1110" s="94">
        <v>360.89048712455269</v>
      </c>
      <c r="C1110" s="94">
        <v>348.42372906002424</v>
      </c>
      <c r="D1110" s="94">
        <v>350.15789942448725</v>
      </c>
      <c r="E1110" s="94">
        <v>4929099.109963703</v>
      </c>
      <c r="F1110" s="94" t="s">
        <v>1144</v>
      </c>
      <c r="G1110" s="25">
        <f t="shared" si="36"/>
        <v>3.0375567478332588E-2</v>
      </c>
      <c r="I1110" s="94">
        <v>5.41</v>
      </c>
      <c r="J1110" s="94">
        <v>5.41</v>
      </c>
      <c r="K1110" s="94">
        <v>5.165</v>
      </c>
      <c r="L1110" s="94">
        <v>5.21</v>
      </c>
      <c r="M1110" s="94">
        <v>1185760</v>
      </c>
      <c r="N1110" s="94" t="s">
        <v>1144</v>
      </c>
      <c r="O1110" s="25">
        <f t="shared" si="37"/>
        <v>3.8387715930902067E-2</v>
      </c>
    </row>
    <row r="1111" spans="1:15">
      <c r="A1111" s="94">
        <v>350.02301950725126</v>
      </c>
      <c r="B1111" s="94">
        <v>351.82462983033224</v>
      </c>
      <c r="C1111" s="94">
        <v>348.25994630338056</v>
      </c>
      <c r="D1111" s="94">
        <v>350.62034485501073</v>
      </c>
      <c r="E1111" s="94">
        <v>2602965.7134625264</v>
      </c>
      <c r="F1111" s="94" t="s">
        <v>1145</v>
      </c>
      <c r="G1111" s="25">
        <f t="shared" si="36"/>
        <v>-1.7036243233587989E-3</v>
      </c>
      <c r="I1111" s="94">
        <v>5.19</v>
      </c>
      <c r="J1111" s="94">
        <v>5.2750000000000004</v>
      </c>
      <c r="K1111" s="94">
        <v>5.18</v>
      </c>
      <c r="L1111" s="94">
        <v>5.23</v>
      </c>
      <c r="M1111" s="94">
        <v>915869</v>
      </c>
      <c r="N1111" s="94" t="s">
        <v>1145</v>
      </c>
      <c r="O1111" s="25">
        <f t="shared" si="37"/>
        <v>-7.6481835564053968E-3</v>
      </c>
    </row>
    <row r="1112" spans="1:15">
      <c r="A1112" s="94">
        <v>350.63961341461584</v>
      </c>
      <c r="B1112" s="94">
        <v>354.90759936715534</v>
      </c>
      <c r="C1112" s="94">
        <v>349.86887103041005</v>
      </c>
      <c r="D1112" s="94">
        <v>353.44318883716437</v>
      </c>
      <c r="E1112" s="94">
        <v>3692025.8419838818</v>
      </c>
      <c r="F1112" s="94" t="s">
        <v>1146</v>
      </c>
      <c r="G1112" s="25">
        <f t="shared" si="36"/>
        <v>-7.932181213542E-3</v>
      </c>
      <c r="I1112" s="94">
        <v>5.19</v>
      </c>
      <c r="J1112" s="94">
        <v>5.4050000000000002</v>
      </c>
      <c r="K1112" s="94">
        <v>5.18</v>
      </c>
      <c r="L1112" s="94">
        <v>5.27</v>
      </c>
      <c r="M1112" s="94">
        <v>1093962</v>
      </c>
      <c r="N1112" s="94" t="s">
        <v>1146</v>
      </c>
      <c r="O1112" s="25">
        <f t="shared" si="37"/>
        <v>-1.5180265654648806E-2</v>
      </c>
    </row>
    <row r="1113" spans="1:15">
      <c r="A1113" s="94">
        <v>356.2756670991206</v>
      </c>
      <c r="B1113" s="94">
        <v>356.79591820845945</v>
      </c>
      <c r="C1113" s="94">
        <v>355.56273039373025</v>
      </c>
      <c r="D1113" s="94">
        <v>355.88066162721515</v>
      </c>
      <c r="E1113" s="94">
        <v>1477478.3680456949</v>
      </c>
      <c r="F1113" s="94" t="s">
        <v>1147</v>
      </c>
      <c r="G1113" s="25">
        <f t="shared" si="36"/>
        <v>1.109938005901645E-3</v>
      </c>
      <c r="I1113" s="94">
        <v>5.33</v>
      </c>
      <c r="J1113" s="94">
        <v>5.45</v>
      </c>
      <c r="K1113" s="94">
        <v>5.27</v>
      </c>
      <c r="L1113" s="94">
        <v>5.41</v>
      </c>
      <c r="M1113" s="94">
        <v>383267</v>
      </c>
      <c r="N1113" s="94" t="s">
        <v>1147</v>
      </c>
      <c r="O1113" s="25">
        <f t="shared" si="37"/>
        <v>-1.4787430683918634E-2</v>
      </c>
    </row>
    <row r="1114" spans="1:15">
      <c r="A1114" s="94">
        <v>356.31420421833087</v>
      </c>
      <c r="B1114" s="94">
        <v>356.81509042526659</v>
      </c>
      <c r="C1114" s="94">
        <v>353.59974588395613</v>
      </c>
      <c r="D1114" s="94">
        <v>353.78038863025438</v>
      </c>
      <c r="E1114" s="94">
        <v>2689208.7972245491</v>
      </c>
      <c r="F1114" s="94" t="s">
        <v>1148</v>
      </c>
      <c r="G1114" s="25">
        <f t="shared" si="36"/>
        <v>7.1621143215054861E-3</v>
      </c>
      <c r="I1114" s="94">
        <v>5.36</v>
      </c>
      <c r="J1114" s="94">
        <v>5.44</v>
      </c>
      <c r="K1114" s="94">
        <v>5.16</v>
      </c>
      <c r="L1114" s="94">
        <v>5.17</v>
      </c>
      <c r="M1114" s="94">
        <v>1180286</v>
      </c>
      <c r="N1114" s="94" t="s">
        <v>1148</v>
      </c>
      <c r="O1114" s="25">
        <f t="shared" si="37"/>
        <v>3.675048355899424E-2</v>
      </c>
    </row>
    <row r="1115" spans="1:15">
      <c r="A1115" s="94">
        <v>354.09831986373928</v>
      </c>
      <c r="B1115" s="94">
        <v>354.23319978097533</v>
      </c>
      <c r="C1115" s="94">
        <v>349.92667670922549</v>
      </c>
      <c r="D1115" s="94">
        <v>351.17913308355992</v>
      </c>
      <c r="E1115" s="94">
        <v>2403878.6992481472</v>
      </c>
      <c r="F1115" s="94" t="s">
        <v>1149</v>
      </c>
      <c r="G1115" s="25">
        <f t="shared" si="36"/>
        <v>8.3125291487200492E-3</v>
      </c>
      <c r="I1115" s="94">
        <v>5.17</v>
      </c>
      <c r="J1115" s="94">
        <v>5.25</v>
      </c>
      <c r="K1115" s="94">
        <v>4.99</v>
      </c>
      <c r="L1115" s="94">
        <v>5.0599999999999996</v>
      </c>
      <c r="M1115" s="94">
        <v>1299586</v>
      </c>
      <c r="N1115" s="94" t="s">
        <v>1149</v>
      </c>
      <c r="O1115" s="25">
        <f t="shared" si="37"/>
        <v>2.1739130434782705E-2</v>
      </c>
    </row>
    <row r="1116" spans="1:15">
      <c r="A1116" s="94">
        <v>349.44496271909691</v>
      </c>
      <c r="B1116" s="94">
        <v>350.4359447395895</v>
      </c>
      <c r="C1116" s="94">
        <v>347.67225523542362</v>
      </c>
      <c r="D1116" s="94">
        <v>349.50276839791235</v>
      </c>
      <c r="E1116" s="94">
        <v>2488899.0657711653</v>
      </c>
      <c r="F1116" s="94" t="s">
        <v>1150</v>
      </c>
      <c r="G1116" s="25">
        <f t="shared" ref="G1116:G1179" si="38">A1116/D1116-1</f>
        <v>-1.6539405132731666E-4</v>
      </c>
      <c r="I1116" s="94">
        <v>5.03</v>
      </c>
      <c r="J1116" s="94">
        <v>5.12</v>
      </c>
      <c r="K1116" s="94">
        <v>4.95</v>
      </c>
      <c r="L1116" s="94">
        <v>5.05</v>
      </c>
      <c r="M1116" s="94">
        <v>1132124</v>
      </c>
      <c r="N1116" s="94" t="s">
        <v>1150</v>
      </c>
      <c r="O1116" s="25">
        <f t="shared" ref="O1116:O1179" si="39">I1116/L1116-1</f>
        <v>-3.9603960396038529E-3</v>
      </c>
    </row>
    <row r="1117" spans="1:15">
      <c r="A1117" s="94">
        <v>350.67815053382617</v>
      </c>
      <c r="B1117" s="94">
        <v>352.21963530223769</v>
      </c>
      <c r="C1117" s="94">
        <v>348.01908930831621</v>
      </c>
      <c r="D1117" s="94">
        <v>352.09438966480423</v>
      </c>
      <c r="E1117" s="94">
        <v>2672093.8697593976</v>
      </c>
      <c r="F1117" s="94" t="s">
        <v>1151</v>
      </c>
      <c r="G1117" s="25">
        <f t="shared" si="38"/>
        <v>-4.0223280249547244E-3</v>
      </c>
      <c r="I1117" s="94">
        <v>5.0999999999999996</v>
      </c>
      <c r="J1117" s="94">
        <v>5.23</v>
      </c>
      <c r="K1117" s="94">
        <v>5</v>
      </c>
      <c r="L1117" s="94">
        <v>5.22</v>
      </c>
      <c r="M1117" s="94">
        <v>1312464</v>
      </c>
      <c r="N1117" s="94" t="s">
        <v>1151</v>
      </c>
      <c r="O1117" s="25">
        <f t="shared" si="39"/>
        <v>-2.2988505747126409E-2</v>
      </c>
    </row>
    <row r="1118" spans="1:15">
      <c r="A1118" s="94">
        <v>349.13666576541459</v>
      </c>
      <c r="B1118" s="94">
        <v>349.71472255356895</v>
      </c>
      <c r="C1118" s="94">
        <v>345.45155374093071</v>
      </c>
      <c r="D1118" s="94">
        <v>345.67795931629115</v>
      </c>
      <c r="E1118" s="94">
        <v>3409101.7359939087</v>
      </c>
      <c r="F1118" s="94" t="s">
        <v>1152</v>
      </c>
      <c r="G1118" s="25">
        <f t="shared" si="38"/>
        <v>1.0005574136008999E-2</v>
      </c>
      <c r="I1118" s="94">
        <v>5.1100000000000003</v>
      </c>
      <c r="J1118" s="94">
        <v>5.51</v>
      </c>
      <c r="K1118" s="94">
        <v>5.0999999999999996</v>
      </c>
      <c r="L1118" s="94">
        <v>5.5</v>
      </c>
      <c r="M1118" s="94">
        <v>1967002</v>
      </c>
      <c r="N1118" s="94" t="s">
        <v>1152</v>
      </c>
      <c r="O1118" s="25">
        <f t="shared" si="39"/>
        <v>-7.0909090909090811E-2</v>
      </c>
    </row>
    <row r="1119" spans="1:15">
      <c r="A1119" s="94">
        <v>350.14826514468467</v>
      </c>
      <c r="B1119" s="94">
        <v>352.15219534361967</v>
      </c>
      <c r="C1119" s="94">
        <v>349.57984263633296</v>
      </c>
      <c r="D1119" s="94">
        <v>351.36218439980877</v>
      </c>
      <c r="E1119" s="94">
        <v>2859708.3087252881</v>
      </c>
      <c r="F1119" s="94" t="s">
        <v>1153</v>
      </c>
      <c r="G1119" s="25">
        <f t="shared" si="38"/>
        <v>-3.4548944337812193E-3</v>
      </c>
      <c r="I1119" s="94">
        <v>5.6</v>
      </c>
      <c r="J1119" s="94">
        <v>5.64</v>
      </c>
      <c r="K1119" s="94">
        <v>5.46</v>
      </c>
      <c r="L1119" s="94">
        <v>5.6</v>
      </c>
      <c r="M1119" s="94">
        <v>1856760</v>
      </c>
      <c r="N1119" s="94" t="s">
        <v>1153</v>
      </c>
      <c r="O1119" s="25">
        <f t="shared" si="39"/>
        <v>0</v>
      </c>
    </row>
    <row r="1120" spans="1:15">
      <c r="A1120" s="94">
        <v>352.8265949297998</v>
      </c>
      <c r="B1120" s="94">
        <v>356.21978827626572</v>
      </c>
      <c r="C1120" s="94">
        <v>349.32935136146602</v>
      </c>
      <c r="D1120" s="94">
        <v>355.1677249218248</v>
      </c>
      <c r="E1120" s="94">
        <v>4772333.8892155197</v>
      </c>
      <c r="F1120" s="94" t="s">
        <v>1154</v>
      </c>
      <c r="G1120" s="25">
        <f t="shared" si="38"/>
        <v>-6.5916180659160162E-3</v>
      </c>
      <c r="I1120" s="94">
        <v>5.6</v>
      </c>
      <c r="J1120" s="94">
        <v>5.69</v>
      </c>
      <c r="K1120" s="94">
        <v>5.42</v>
      </c>
      <c r="L1120" s="94">
        <v>5.42</v>
      </c>
      <c r="M1120" s="94">
        <v>2509070</v>
      </c>
      <c r="N1120" s="94" t="s">
        <v>1154</v>
      </c>
      <c r="O1120" s="25">
        <f t="shared" si="39"/>
        <v>3.3210332103321027E-2</v>
      </c>
    </row>
    <row r="1121" spans="1:15">
      <c r="A1121" s="94">
        <v>349.93631098902813</v>
      </c>
      <c r="B1121" s="94">
        <v>354.33917685880363</v>
      </c>
      <c r="C1121" s="94">
        <v>349.61837975554317</v>
      </c>
      <c r="D1121" s="94">
        <v>351.2369387623753</v>
      </c>
      <c r="E1121" s="94">
        <v>5474526.4909078442</v>
      </c>
      <c r="F1121" s="94" t="s">
        <v>1155</v>
      </c>
      <c r="G1121" s="25">
        <f t="shared" si="38"/>
        <v>-3.7029925665851282E-3</v>
      </c>
      <c r="I1121" s="94">
        <v>5.35</v>
      </c>
      <c r="J1121" s="94">
        <v>5.46</v>
      </c>
      <c r="K1121" s="94">
        <v>5.23</v>
      </c>
      <c r="L1121" s="94">
        <v>5.43</v>
      </c>
      <c r="M1121" s="94">
        <v>2342991</v>
      </c>
      <c r="N1121" s="94" t="s">
        <v>1155</v>
      </c>
      <c r="O1121" s="25">
        <f t="shared" si="39"/>
        <v>-1.4732965009208066E-2</v>
      </c>
    </row>
    <row r="1122" spans="1:15">
      <c r="A1122" s="94">
        <v>352.76878925098436</v>
      </c>
      <c r="B1122" s="94">
        <v>353.59733731400553</v>
      </c>
      <c r="C1122" s="94">
        <v>348.51043757824743</v>
      </c>
      <c r="D1122" s="94">
        <v>350.38912213974896</v>
      </c>
      <c r="E1122" s="94">
        <v>5062532.0210212357</v>
      </c>
      <c r="F1122" s="94" t="s">
        <v>1156</v>
      </c>
      <c r="G1122" s="25">
        <f t="shared" si="38"/>
        <v>6.7914982540075997E-3</v>
      </c>
      <c r="I1122" s="94">
        <v>5.47</v>
      </c>
      <c r="J1122" s="94">
        <v>5.665</v>
      </c>
      <c r="K1122" s="94">
        <v>5.34</v>
      </c>
      <c r="L1122" s="94">
        <v>5.34</v>
      </c>
      <c r="M1122" s="94">
        <v>2392431</v>
      </c>
      <c r="N1122" s="94" t="s">
        <v>1156</v>
      </c>
      <c r="O1122" s="25">
        <f t="shared" si="39"/>
        <v>2.4344569288389462E-2</v>
      </c>
    </row>
    <row r="1123" spans="1:15">
      <c r="A1123" s="94">
        <v>349.42569415949174</v>
      </c>
      <c r="B1123" s="94">
        <v>349.73399111317406</v>
      </c>
      <c r="C1123" s="94">
        <v>341.44851048296198</v>
      </c>
      <c r="D1123" s="94">
        <v>343.48134352130467</v>
      </c>
      <c r="E1123" s="94">
        <v>4778387.2737128669</v>
      </c>
      <c r="F1123" s="94" t="s">
        <v>1157</v>
      </c>
      <c r="G1123" s="25">
        <f t="shared" si="38"/>
        <v>1.7306181981375568E-2</v>
      </c>
      <c r="I1123" s="94">
        <v>5.38</v>
      </c>
      <c r="J1123" s="94">
        <v>5.53</v>
      </c>
      <c r="K1123" s="94">
        <v>5.29</v>
      </c>
      <c r="L1123" s="94">
        <v>5.49</v>
      </c>
      <c r="M1123" s="94">
        <v>2259689</v>
      </c>
      <c r="N1123" s="94" t="s">
        <v>1157</v>
      </c>
      <c r="O1123" s="25">
        <f t="shared" si="39"/>
        <v>-2.0036429872495543E-2</v>
      </c>
    </row>
    <row r="1124" spans="1:15">
      <c r="A1124" s="94">
        <v>331.29397957105084</v>
      </c>
      <c r="B1124" s="94">
        <v>337.41174724568424</v>
      </c>
      <c r="C1124" s="94">
        <v>330.80080078795714</v>
      </c>
      <c r="D1124" s="94">
        <v>336.31343934819097</v>
      </c>
      <c r="E1124" s="94">
        <v>3706341.390507102</v>
      </c>
      <c r="F1124" s="94" t="s">
        <v>1158</v>
      </c>
      <c r="G1124" s="25">
        <f t="shared" si="38"/>
        <v>-1.492494557121582E-2</v>
      </c>
      <c r="I1124" s="94">
        <v>5.23</v>
      </c>
      <c r="J1124" s="94">
        <v>5.42</v>
      </c>
      <c r="K1124" s="94">
        <v>5.2</v>
      </c>
      <c r="L1124" s="94">
        <v>5.35</v>
      </c>
      <c r="M1124" s="94">
        <v>1587446</v>
      </c>
      <c r="N1124" s="94" t="s">
        <v>1158</v>
      </c>
      <c r="O1124" s="25">
        <f t="shared" si="39"/>
        <v>-2.24299065420559E-2</v>
      </c>
    </row>
    <row r="1125" spans="1:15">
      <c r="A1125" s="94">
        <v>338.20175818949514</v>
      </c>
      <c r="B1125" s="94">
        <v>340.92825937362306</v>
      </c>
      <c r="C1125" s="94">
        <v>334.38658338767652</v>
      </c>
      <c r="D1125" s="94">
        <v>337.4021129658816</v>
      </c>
      <c r="E1125" s="94">
        <v>3360080.9467208064</v>
      </c>
      <c r="F1125" s="94" t="s">
        <v>1159</v>
      </c>
      <c r="G1125" s="25">
        <f t="shared" si="38"/>
        <v>2.3700065674883142E-3</v>
      </c>
      <c r="I1125" s="94">
        <v>5.4</v>
      </c>
      <c r="J1125" s="94">
        <v>5.57</v>
      </c>
      <c r="K1125" s="94">
        <v>5.3150000000000004</v>
      </c>
      <c r="L1125" s="94">
        <v>5.47</v>
      </c>
      <c r="M1125" s="94">
        <v>1419442</v>
      </c>
      <c r="N1125" s="94" t="s">
        <v>1159</v>
      </c>
      <c r="O1125" s="25">
        <f t="shared" si="39"/>
        <v>-1.279707495429605E-2</v>
      </c>
    </row>
    <row r="1126" spans="1:15">
      <c r="A1126" s="94">
        <v>336.37124502700641</v>
      </c>
      <c r="B1126" s="94">
        <v>336.92039897575302</v>
      </c>
      <c r="C1126" s="94">
        <v>332.47899598676725</v>
      </c>
      <c r="D1126" s="94">
        <v>334.36731482807141</v>
      </c>
      <c r="E1126" s="94">
        <v>3442496.0328788823</v>
      </c>
      <c r="F1126" s="94" t="s">
        <v>1160</v>
      </c>
      <c r="G1126" s="25">
        <f t="shared" si="38"/>
        <v>5.9932000230507043E-3</v>
      </c>
      <c r="I1126" s="94">
        <v>5.4</v>
      </c>
      <c r="J1126" s="94">
        <v>5.45</v>
      </c>
      <c r="K1126" s="94">
        <v>5.13</v>
      </c>
      <c r="L1126" s="94">
        <v>5.43</v>
      </c>
      <c r="M1126" s="94">
        <v>1673341</v>
      </c>
      <c r="N1126" s="94" t="s">
        <v>1160</v>
      </c>
      <c r="O1126" s="25">
        <f t="shared" si="39"/>
        <v>-5.5248618784529135E-3</v>
      </c>
    </row>
    <row r="1127" spans="1:15">
      <c r="A1127" s="94">
        <v>333.17266413255243</v>
      </c>
      <c r="B1127" s="94">
        <v>335.2922056891183</v>
      </c>
      <c r="C1127" s="94">
        <v>327.56551328745542</v>
      </c>
      <c r="D1127" s="94">
        <v>333.7410866409042</v>
      </c>
      <c r="E1127" s="94">
        <v>3794205.7682651565</v>
      </c>
      <c r="F1127" s="94" t="s">
        <v>1161</v>
      </c>
      <c r="G1127" s="25">
        <f t="shared" si="38"/>
        <v>-1.7031840882192339E-3</v>
      </c>
      <c r="I1127" s="94">
        <v>5.31</v>
      </c>
      <c r="J1127" s="94">
        <v>5.32</v>
      </c>
      <c r="K1127" s="94">
        <v>5.07</v>
      </c>
      <c r="L1127" s="94">
        <v>5.31</v>
      </c>
      <c r="M1127" s="94">
        <v>1293079</v>
      </c>
      <c r="N1127" s="94" t="s">
        <v>1161</v>
      </c>
      <c r="O1127" s="25">
        <f t="shared" si="39"/>
        <v>0</v>
      </c>
    </row>
    <row r="1128" spans="1:15">
      <c r="A1128" s="94">
        <v>328.3651585110689</v>
      </c>
      <c r="B1128" s="94">
        <v>331.2361738922354</v>
      </c>
      <c r="C1128" s="94">
        <v>326.50574250917242</v>
      </c>
      <c r="D1128" s="94">
        <v>328.85650678100006</v>
      </c>
      <c r="E1128" s="94">
        <v>4706915.4030478531</v>
      </c>
      <c r="F1128" s="94" t="s">
        <v>1162</v>
      </c>
      <c r="G1128" s="25">
        <f t="shared" si="38"/>
        <v>-1.494111443135826E-3</v>
      </c>
      <c r="I1128" s="94">
        <v>5.2</v>
      </c>
      <c r="J1128" s="94">
        <v>5.2949999999999999</v>
      </c>
      <c r="K1128" s="94">
        <v>5.09</v>
      </c>
      <c r="L1128" s="94">
        <v>5.09</v>
      </c>
      <c r="M1128" s="94">
        <v>1210766</v>
      </c>
      <c r="N1128" s="94" t="s">
        <v>1162</v>
      </c>
      <c r="O1128" s="25">
        <f t="shared" si="39"/>
        <v>2.16110019646365E-2</v>
      </c>
    </row>
    <row r="1129" spans="1:15">
      <c r="A1129" s="94">
        <v>331.90093919861289</v>
      </c>
      <c r="B1129" s="94">
        <v>344.06421744936034</v>
      </c>
      <c r="C1129" s="94">
        <v>331.81423068038976</v>
      </c>
      <c r="D1129" s="94">
        <v>339.87812287514265</v>
      </c>
      <c r="E1129" s="94">
        <v>5213191.9592568334</v>
      </c>
      <c r="F1129" s="94" t="s">
        <v>1163</v>
      </c>
      <c r="G1129" s="25">
        <f t="shared" si="38"/>
        <v>-2.3470718294687831E-2</v>
      </c>
      <c r="I1129" s="94">
        <v>5.12</v>
      </c>
      <c r="J1129" s="94">
        <v>5.43</v>
      </c>
      <c r="K1129" s="94">
        <v>5.08</v>
      </c>
      <c r="L1129" s="94">
        <v>5.3</v>
      </c>
      <c r="M1129" s="94">
        <v>1391284</v>
      </c>
      <c r="N1129" s="94" t="s">
        <v>1163</v>
      </c>
      <c r="O1129" s="25">
        <f t="shared" si="39"/>
        <v>-3.3962264150943389E-2</v>
      </c>
    </row>
    <row r="1130" spans="1:15">
      <c r="A1130" s="94">
        <v>340.591059580533</v>
      </c>
      <c r="B1130" s="94">
        <v>345.64423933698214</v>
      </c>
      <c r="C1130" s="94">
        <v>339.40604316481665</v>
      </c>
      <c r="D1130" s="94">
        <v>345.41783376162169</v>
      </c>
      <c r="E1130" s="94">
        <v>8318503.4732542224</v>
      </c>
      <c r="F1130" s="94" t="s">
        <v>1164</v>
      </c>
      <c r="G1130" s="25">
        <f t="shared" si="38"/>
        <v>-1.3973726048029489E-2</v>
      </c>
      <c r="I1130" s="94">
        <v>5.33</v>
      </c>
      <c r="J1130" s="94">
        <v>5.45</v>
      </c>
      <c r="K1130" s="94">
        <v>5.2450000000000001</v>
      </c>
      <c r="L1130" s="94">
        <v>5.33</v>
      </c>
      <c r="M1130" s="94">
        <v>1839780</v>
      </c>
      <c r="N1130" s="94" t="s">
        <v>1164</v>
      </c>
      <c r="O1130" s="25">
        <f t="shared" si="39"/>
        <v>0</v>
      </c>
    </row>
    <row r="1131" spans="1:15">
      <c r="A1131" s="94">
        <v>341.96876159230084</v>
      </c>
      <c r="B1131" s="94">
        <v>343.86671471340759</v>
      </c>
      <c r="C1131" s="94">
        <v>341.10167641006939</v>
      </c>
      <c r="D1131" s="94">
        <v>342.17108146815491</v>
      </c>
      <c r="E1131" s="94">
        <v>6675082.2394456752</v>
      </c>
      <c r="F1131" s="94" t="s">
        <v>1165</v>
      </c>
      <c r="G1131" s="25">
        <f t="shared" si="38"/>
        <v>-5.9128280211750983E-4</v>
      </c>
      <c r="I1131" s="94">
        <v>5.25</v>
      </c>
      <c r="J1131" s="94">
        <v>5.28</v>
      </c>
      <c r="K1131" s="94">
        <v>5.0350000000000001</v>
      </c>
      <c r="L1131" s="94">
        <v>5.13</v>
      </c>
      <c r="M1131" s="94">
        <v>1409589</v>
      </c>
      <c r="N1131" s="94" t="s">
        <v>1165</v>
      </c>
      <c r="O1131" s="25">
        <f t="shared" si="39"/>
        <v>2.3391812865497075E-2</v>
      </c>
    </row>
    <row r="1132" spans="1:15">
      <c r="A1132" s="94">
        <v>344.3098915843259</v>
      </c>
      <c r="B1132" s="94">
        <v>344.88794837248025</v>
      </c>
      <c r="C1132" s="94">
        <v>336.1881937107575</v>
      </c>
      <c r="D1132" s="94">
        <v>336.27490222898069</v>
      </c>
      <c r="E1132" s="94">
        <v>4554650.7781810993</v>
      </c>
      <c r="F1132" s="94" t="s">
        <v>1166</v>
      </c>
      <c r="G1132" s="25">
        <f t="shared" si="38"/>
        <v>2.3894109557643706E-2</v>
      </c>
      <c r="I1132" s="94">
        <v>5.12</v>
      </c>
      <c r="J1132" s="94">
        <v>5.14</v>
      </c>
      <c r="K1132" s="94">
        <v>4.79</v>
      </c>
      <c r="L1132" s="94">
        <v>4.8600000000000003</v>
      </c>
      <c r="M1132" s="94">
        <v>1372415</v>
      </c>
      <c r="N1132" s="94" t="s">
        <v>1166</v>
      </c>
      <c r="O1132" s="25">
        <f t="shared" si="39"/>
        <v>5.3497942386831143E-2</v>
      </c>
    </row>
    <row r="1133" spans="1:15">
      <c r="A1133" s="94">
        <v>336.4579535452296</v>
      </c>
      <c r="B1133" s="94">
        <v>340.85118513520251</v>
      </c>
      <c r="C1133" s="94">
        <v>335.84617677776623</v>
      </c>
      <c r="D1133" s="94">
        <v>339.17482044955494</v>
      </c>
      <c r="E1133" s="94">
        <v>4302618.4467813289</v>
      </c>
      <c r="F1133" s="94" t="s">
        <v>1167</v>
      </c>
      <c r="G1133" s="25">
        <f t="shared" si="38"/>
        <v>-8.0102258201959486E-3</v>
      </c>
      <c r="I1133" s="94">
        <v>4.84</v>
      </c>
      <c r="J1133" s="94">
        <v>4.92</v>
      </c>
      <c r="K1133" s="94">
        <v>4.67</v>
      </c>
      <c r="L1133" s="94">
        <v>4.84</v>
      </c>
      <c r="M1133" s="94">
        <v>1160384</v>
      </c>
      <c r="N1133" s="94" t="s">
        <v>1167</v>
      </c>
      <c r="O1133" s="25">
        <f t="shared" si="39"/>
        <v>0</v>
      </c>
    </row>
    <row r="1134" spans="1:15">
      <c r="A1134" s="94">
        <v>338.26919814811316</v>
      </c>
      <c r="B1134" s="94">
        <v>343.14414372821471</v>
      </c>
      <c r="C1134" s="94">
        <v>337.62370140134078</v>
      </c>
      <c r="D1134" s="94">
        <v>337.87419267620766</v>
      </c>
      <c r="E1134" s="94">
        <v>4440091.0993449781</v>
      </c>
      <c r="F1134" s="94" t="s">
        <v>1168</v>
      </c>
      <c r="G1134" s="25">
        <f t="shared" si="38"/>
        <v>1.1690903906473871E-3</v>
      </c>
      <c r="I1134" s="94">
        <v>4.78</v>
      </c>
      <c r="J1134" s="94">
        <v>4.92</v>
      </c>
      <c r="K1134" s="94">
        <v>4.7698999999999998</v>
      </c>
      <c r="L1134" s="94">
        <v>4.83</v>
      </c>
      <c r="M1134" s="94">
        <v>1304940</v>
      </c>
      <c r="N1134" s="94" t="s">
        <v>1168</v>
      </c>
      <c r="O1134" s="25">
        <f t="shared" si="39"/>
        <v>-1.0351966873705987E-2</v>
      </c>
    </row>
    <row r="1135" spans="1:15">
      <c r="A1135" s="94">
        <v>340.81264801599218</v>
      </c>
      <c r="B1135" s="94">
        <v>341.08240785046422</v>
      </c>
      <c r="C1135" s="94">
        <v>335.30183996892089</v>
      </c>
      <c r="D1135" s="94">
        <v>335.32110852852605</v>
      </c>
      <c r="E1135" s="94">
        <v>5400918.4979356388</v>
      </c>
      <c r="F1135" s="94" t="s">
        <v>1169</v>
      </c>
      <c r="G1135" s="25">
        <f t="shared" si="38"/>
        <v>1.6376957333716247E-2</v>
      </c>
      <c r="I1135" s="94">
        <v>4.84</v>
      </c>
      <c r="J1135" s="94">
        <v>4.9400000000000004</v>
      </c>
      <c r="K1135" s="94">
        <v>4.57</v>
      </c>
      <c r="L1135" s="94">
        <v>4.58</v>
      </c>
      <c r="M1135" s="94">
        <v>1641024</v>
      </c>
      <c r="N1135" s="94" t="s">
        <v>1169</v>
      </c>
      <c r="O1135" s="25">
        <f t="shared" si="39"/>
        <v>5.6768558951965087E-2</v>
      </c>
    </row>
    <row r="1136" spans="1:15">
      <c r="A1136" s="94">
        <v>335.35964564773627</v>
      </c>
      <c r="B1136" s="94">
        <v>336.4579535452296</v>
      </c>
      <c r="C1136" s="94">
        <v>330.33055159079362</v>
      </c>
      <c r="D1136" s="94">
        <v>332.81619577985725</v>
      </c>
      <c r="E1136" s="94">
        <v>5853490.9879764495</v>
      </c>
      <c r="F1136" s="94" t="s">
        <v>1170</v>
      </c>
      <c r="G1136" s="25">
        <f t="shared" si="38"/>
        <v>7.642205818497505E-3</v>
      </c>
      <c r="I1136" s="94">
        <v>4.57</v>
      </c>
      <c r="J1136" s="94">
        <v>4.8799000000000001</v>
      </c>
      <c r="K1136" s="94">
        <v>4.4800000000000004</v>
      </c>
      <c r="L1136" s="94">
        <v>4.84</v>
      </c>
      <c r="M1136" s="94">
        <v>1962412</v>
      </c>
      <c r="N1136" s="94" t="s">
        <v>1170</v>
      </c>
      <c r="O1136" s="25">
        <f t="shared" si="39"/>
        <v>-5.5785123966942018E-2</v>
      </c>
    </row>
    <row r="1137" spans="1:15">
      <c r="A1137" s="94">
        <v>331.32288241045853</v>
      </c>
      <c r="B1137" s="94">
        <v>331.79544383477469</v>
      </c>
      <c r="C1137" s="94">
        <v>321.91019104334549</v>
      </c>
      <c r="D1137" s="94">
        <v>323.23008737629789</v>
      </c>
      <c r="E1137" s="94">
        <v>4528029.1722846711</v>
      </c>
      <c r="F1137" s="94" t="s">
        <v>1171</v>
      </c>
      <c r="G1137" s="25">
        <f t="shared" si="38"/>
        <v>2.5037257824143122E-2</v>
      </c>
      <c r="I1137" s="94">
        <v>4.7699999999999996</v>
      </c>
      <c r="J1137" s="94">
        <v>4.8250000000000002</v>
      </c>
      <c r="K1137" s="94">
        <v>4.58</v>
      </c>
      <c r="L1137" s="94">
        <v>4.82</v>
      </c>
      <c r="M1137" s="94">
        <v>1786525</v>
      </c>
      <c r="N1137" s="94" t="s">
        <v>1171</v>
      </c>
      <c r="O1137" s="25">
        <f t="shared" si="39"/>
        <v>-1.0373443983402675E-2</v>
      </c>
    </row>
    <row r="1138" spans="1:15">
      <c r="A1138" s="94">
        <v>323.54801860978279</v>
      </c>
      <c r="B1138" s="94">
        <v>329.89700899967789</v>
      </c>
      <c r="C1138" s="94">
        <v>322.79654478518216</v>
      </c>
      <c r="D1138" s="94">
        <v>325.80244008358471</v>
      </c>
      <c r="E1138" s="94">
        <v>3590365.9338152912</v>
      </c>
      <c r="F1138" s="94" t="s">
        <v>1172</v>
      </c>
      <c r="G1138" s="25">
        <f t="shared" si="38"/>
        <v>-6.9195966525712471E-3</v>
      </c>
      <c r="I1138" s="94">
        <v>4.7699999999999996</v>
      </c>
      <c r="J1138" s="94">
        <v>4.8949999999999996</v>
      </c>
      <c r="K1138" s="94">
        <v>4.68</v>
      </c>
      <c r="L1138" s="94">
        <v>4.78</v>
      </c>
      <c r="M1138" s="94">
        <v>1606158</v>
      </c>
      <c r="N1138" s="94" t="s">
        <v>1172</v>
      </c>
      <c r="O1138" s="25">
        <f t="shared" si="39"/>
        <v>-2.0920502092051096E-3</v>
      </c>
    </row>
    <row r="1139" spans="1:15">
      <c r="A1139" s="94">
        <v>326.22634839489785</v>
      </c>
      <c r="B1139" s="94">
        <v>329.17443801448496</v>
      </c>
      <c r="C1139" s="94">
        <v>323.61545856840075</v>
      </c>
      <c r="D1139" s="94">
        <v>326.64062242640847</v>
      </c>
      <c r="E1139" s="94">
        <v>4570381.0665997043</v>
      </c>
      <c r="F1139" s="94" t="s">
        <v>1173</v>
      </c>
      <c r="G1139" s="25">
        <f t="shared" si="38"/>
        <v>-1.2682869277961251E-3</v>
      </c>
      <c r="I1139" s="94">
        <v>4.76</v>
      </c>
      <c r="J1139" s="94">
        <v>4.9649999999999999</v>
      </c>
      <c r="K1139" s="94">
        <v>4.74</v>
      </c>
      <c r="L1139" s="94">
        <v>4.95</v>
      </c>
      <c r="M1139" s="94">
        <v>1567051</v>
      </c>
      <c r="N1139" s="94" t="s">
        <v>1173</v>
      </c>
      <c r="O1139" s="25">
        <f t="shared" si="39"/>
        <v>-3.8383838383838409E-2</v>
      </c>
    </row>
    <row r="1140" spans="1:15">
      <c r="A1140" s="94">
        <v>328.50003842830495</v>
      </c>
      <c r="B1140" s="94">
        <v>332.38265318874153</v>
      </c>
      <c r="C1140" s="94">
        <v>325.41225175158047</v>
      </c>
      <c r="D1140" s="94">
        <v>332.07435623505921</v>
      </c>
      <c r="E1140" s="94">
        <v>5089407.9271923304</v>
      </c>
      <c r="F1140" s="94" t="s">
        <v>1174</v>
      </c>
      <c r="G1140" s="25">
        <f t="shared" si="38"/>
        <v>-1.0763606823720462E-2</v>
      </c>
      <c r="I1140" s="94">
        <v>5</v>
      </c>
      <c r="J1140" s="94">
        <v>5.34</v>
      </c>
      <c r="K1140" s="94">
        <v>4.9400000000000004</v>
      </c>
      <c r="L1140" s="94">
        <v>5.23</v>
      </c>
      <c r="M1140" s="94">
        <v>1818457</v>
      </c>
      <c r="N1140" s="94" t="s">
        <v>1174</v>
      </c>
      <c r="O1140" s="25">
        <f t="shared" si="39"/>
        <v>-4.3977055449330837E-2</v>
      </c>
    </row>
    <row r="1141" spans="1:15">
      <c r="A1141" s="94">
        <v>324.67522934668375</v>
      </c>
      <c r="B1141" s="94">
        <v>325.73500012496669</v>
      </c>
      <c r="C1141" s="94">
        <v>322.22812227683039</v>
      </c>
      <c r="D1141" s="94">
        <v>322.33409935465869</v>
      </c>
      <c r="E1141" s="94">
        <v>4037163.2127204295</v>
      </c>
      <c r="F1141" s="94" t="s">
        <v>1175</v>
      </c>
      <c r="G1141" s="25">
        <f t="shared" si="38"/>
        <v>7.2630540694025303E-3</v>
      </c>
      <c r="I1141" s="94">
        <v>5.0599999999999996</v>
      </c>
      <c r="J1141" s="94">
        <v>5.15</v>
      </c>
      <c r="K1141" s="94">
        <v>4.9800000000000004</v>
      </c>
      <c r="L1141" s="94">
        <v>5.1100000000000003</v>
      </c>
      <c r="M1141" s="94">
        <v>1905204</v>
      </c>
      <c r="N1141" s="94" t="s">
        <v>1175</v>
      </c>
      <c r="O1141" s="25">
        <f t="shared" si="39"/>
        <v>-9.7847358121332384E-3</v>
      </c>
    </row>
    <row r="1142" spans="1:15">
      <c r="A1142" s="94">
        <v>316.63060571153591</v>
      </c>
      <c r="B1142" s="94">
        <v>327.74856460370427</v>
      </c>
      <c r="C1142" s="94">
        <v>316.02846322387512</v>
      </c>
      <c r="D1142" s="94">
        <v>326.23598267470044</v>
      </c>
      <c r="E1142" s="94">
        <v>5069396.0525165992</v>
      </c>
      <c r="F1142" s="94" t="s">
        <v>1176</v>
      </c>
      <c r="G1142" s="25">
        <f t="shared" si="38"/>
        <v>-2.9443033488866677E-2</v>
      </c>
      <c r="I1142" s="94">
        <v>4.9000000000000004</v>
      </c>
      <c r="J1142" s="94">
        <v>5.43</v>
      </c>
      <c r="K1142" s="94">
        <v>4.88</v>
      </c>
      <c r="L1142" s="94">
        <v>5.43</v>
      </c>
      <c r="M1142" s="94">
        <v>2029137</v>
      </c>
      <c r="N1142" s="94" t="s">
        <v>1176</v>
      </c>
      <c r="O1142" s="25">
        <f t="shared" si="39"/>
        <v>-9.7605893186003545E-2</v>
      </c>
    </row>
    <row r="1143" spans="1:15">
      <c r="A1143" s="94">
        <v>323.92375552208313</v>
      </c>
      <c r="B1143" s="94">
        <v>325.32554323335739</v>
      </c>
      <c r="C1143" s="94">
        <v>308.17170804487751</v>
      </c>
      <c r="D1143" s="94">
        <v>309.10623318572698</v>
      </c>
      <c r="E1143" s="94">
        <v>6639718.9318625769</v>
      </c>
      <c r="F1143" s="94" t="s">
        <v>1177</v>
      </c>
      <c r="G1143" s="25">
        <f t="shared" si="38"/>
        <v>4.7936666251091165E-2</v>
      </c>
      <c r="I1143" s="94">
        <v>5.31</v>
      </c>
      <c r="J1143" s="94">
        <v>5.4249999999999998</v>
      </c>
      <c r="K1143" s="94">
        <v>5.0049999999999999</v>
      </c>
      <c r="L1143" s="94">
        <v>5.2</v>
      </c>
      <c r="M1143" s="94">
        <v>2328953</v>
      </c>
      <c r="N1143" s="94" t="s">
        <v>1177</v>
      </c>
      <c r="O1143" s="25">
        <f t="shared" si="39"/>
        <v>2.1153846153846079E-2</v>
      </c>
    </row>
    <row r="1144" spans="1:15">
      <c r="A1144" s="94">
        <v>315.6575434514761</v>
      </c>
      <c r="B1144" s="94">
        <v>318.49002171343233</v>
      </c>
      <c r="C1144" s="94">
        <v>315.46485785542467</v>
      </c>
      <c r="D1144" s="94">
        <v>317.11231970166455</v>
      </c>
      <c r="E1144" s="94">
        <v>3357865.9394304533</v>
      </c>
      <c r="F1144" s="94" t="s">
        <v>1178</v>
      </c>
      <c r="G1144" s="25">
        <f t="shared" si="38"/>
        <v>-4.5875740543825927E-3</v>
      </c>
      <c r="I1144" s="94">
        <v>5.36</v>
      </c>
      <c r="J1144" s="94">
        <v>5.46</v>
      </c>
      <c r="K1144" s="94">
        <v>5.24</v>
      </c>
      <c r="L1144" s="94">
        <v>5.41</v>
      </c>
      <c r="M1144" s="94">
        <v>1374923</v>
      </c>
      <c r="N1144" s="94" t="s">
        <v>1178</v>
      </c>
      <c r="O1144" s="25">
        <f t="shared" si="39"/>
        <v>-9.2421441774491742E-3</v>
      </c>
    </row>
    <row r="1145" spans="1:15">
      <c r="A1145" s="94">
        <v>316.64023999133855</v>
      </c>
      <c r="B1145" s="94">
        <v>321.36103709459888</v>
      </c>
      <c r="C1145" s="94">
        <v>314.89643534707295</v>
      </c>
      <c r="D1145" s="94">
        <v>317.1604911006774</v>
      </c>
      <c r="E1145" s="94">
        <v>5156698.89374978</v>
      </c>
      <c r="F1145" s="94" t="s">
        <v>1179</v>
      </c>
      <c r="G1145" s="25">
        <f t="shared" si="38"/>
        <v>-1.6403402187118443E-3</v>
      </c>
      <c r="I1145" s="94">
        <v>5.44</v>
      </c>
      <c r="J1145" s="94">
        <v>5.73</v>
      </c>
      <c r="K1145" s="94">
        <v>5.36</v>
      </c>
      <c r="L1145" s="94">
        <v>5.63</v>
      </c>
      <c r="M1145" s="94">
        <v>1780535</v>
      </c>
      <c r="N1145" s="94" t="s">
        <v>1179</v>
      </c>
      <c r="O1145" s="25">
        <f t="shared" si="39"/>
        <v>-3.374777975133203E-2</v>
      </c>
    </row>
    <row r="1146" spans="1:15">
      <c r="A1146" s="94">
        <v>318.7405129882992</v>
      </c>
      <c r="B1146" s="94">
        <v>322.43044215268441</v>
      </c>
      <c r="C1146" s="94">
        <v>316.64023999133855</v>
      </c>
      <c r="D1146" s="94">
        <v>322.23775655663297</v>
      </c>
      <c r="E1146" s="94">
        <v>4083190.5244746106</v>
      </c>
      <c r="F1146" s="94" t="s">
        <v>1180</v>
      </c>
      <c r="G1146" s="25">
        <f t="shared" si="38"/>
        <v>-1.0852991299668324E-2</v>
      </c>
      <c r="I1146" s="94">
        <v>5.64</v>
      </c>
      <c r="J1146" s="94">
        <v>5.97</v>
      </c>
      <c r="K1146" s="94">
        <v>5.63</v>
      </c>
      <c r="L1146" s="94">
        <v>5.93</v>
      </c>
      <c r="M1146" s="94">
        <v>1494644</v>
      </c>
      <c r="N1146" s="94" t="s">
        <v>1180</v>
      </c>
      <c r="O1146" s="25">
        <f t="shared" si="39"/>
        <v>-4.8903878583473892E-2</v>
      </c>
    </row>
    <row r="1147" spans="1:15">
      <c r="A1147" s="94">
        <v>321.1394486591397</v>
      </c>
      <c r="B1147" s="94">
        <v>326.92965082048562</v>
      </c>
      <c r="C1147" s="94">
        <v>319.52088965230757</v>
      </c>
      <c r="D1147" s="94">
        <v>326.67915954561875</v>
      </c>
      <c r="E1147" s="94">
        <v>5364257.7399715921</v>
      </c>
      <c r="F1147" s="94" t="s">
        <v>1181</v>
      </c>
      <c r="G1147" s="25">
        <f t="shared" si="38"/>
        <v>-1.6957650112067957E-2</v>
      </c>
      <c r="I1147" s="94">
        <v>5.94</v>
      </c>
      <c r="J1147" s="94">
        <v>6.19</v>
      </c>
      <c r="K1147" s="94">
        <v>5.89</v>
      </c>
      <c r="L1147" s="94">
        <v>6.14</v>
      </c>
      <c r="M1147" s="94">
        <v>1097317</v>
      </c>
      <c r="N1147" s="94" t="s">
        <v>1181</v>
      </c>
      <c r="O1147" s="25">
        <f t="shared" si="39"/>
        <v>-3.2573289902280034E-2</v>
      </c>
    </row>
    <row r="1148" spans="1:15">
      <c r="A1148" s="94">
        <v>330.41726010901675</v>
      </c>
      <c r="B1148" s="94">
        <v>335.25366856990803</v>
      </c>
      <c r="C1148" s="94">
        <v>329.96444895829586</v>
      </c>
      <c r="D1148" s="94">
        <v>332.5560702251878</v>
      </c>
      <c r="E1148" s="94">
        <v>4026883.2538621081</v>
      </c>
      <c r="F1148" s="94" t="s">
        <v>1182</v>
      </c>
      <c r="G1148" s="25">
        <f t="shared" si="38"/>
        <v>-6.4314270815226671E-3</v>
      </c>
      <c r="I1148" s="94">
        <v>6.18</v>
      </c>
      <c r="J1148" s="94">
        <v>6.27</v>
      </c>
      <c r="K1148" s="94">
        <v>6.0715000000000003</v>
      </c>
      <c r="L1148" s="94">
        <v>6.1</v>
      </c>
      <c r="M1148" s="94">
        <v>1352049</v>
      </c>
      <c r="N1148" s="94" t="s">
        <v>1182</v>
      </c>
      <c r="O1148" s="25">
        <f t="shared" si="39"/>
        <v>1.3114754098360715E-2</v>
      </c>
    </row>
    <row r="1149" spans="1:15">
      <c r="A1149" s="94">
        <v>333.93377223695563</v>
      </c>
      <c r="B1149" s="94">
        <v>335.88953103687777</v>
      </c>
      <c r="C1149" s="94">
        <v>328.39406135047665</v>
      </c>
      <c r="D1149" s="94">
        <v>330.57140858585791</v>
      </c>
      <c r="E1149" s="94">
        <v>4936302.5544787226</v>
      </c>
      <c r="F1149" s="94" t="s">
        <v>1183</v>
      </c>
      <c r="G1149" s="25">
        <f t="shared" si="38"/>
        <v>1.0171368617393428E-2</v>
      </c>
      <c r="I1149" s="94">
        <v>6.08</v>
      </c>
      <c r="J1149" s="94">
        <v>6.1550000000000002</v>
      </c>
      <c r="K1149" s="94">
        <v>5.835</v>
      </c>
      <c r="L1149" s="94">
        <v>6</v>
      </c>
      <c r="M1149" s="94">
        <v>1577555</v>
      </c>
      <c r="N1149" s="94" t="s">
        <v>1183</v>
      </c>
      <c r="O1149" s="25">
        <f t="shared" si="39"/>
        <v>1.3333333333333419E-2</v>
      </c>
    </row>
    <row r="1150" spans="1:15">
      <c r="A1150" s="94">
        <v>334.51182902510993</v>
      </c>
      <c r="B1150" s="94">
        <v>334.62744038274082</v>
      </c>
      <c r="C1150" s="94">
        <v>329.61761488540327</v>
      </c>
      <c r="D1150" s="94">
        <v>329.62724916520585</v>
      </c>
      <c r="E1150" s="94">
        <v>5303932.5250193719</v>
      </c>
      <c r="F1150" s="94" t="s">
        <v>1184</v>
      </c>
      <c r="G1150" s="25">
        <f t="shared" si="38"/>
        <v>1.4818495352779459E-2</v>
      </c>
      <c r="I1150" s="94">
        <v>6.11</v>
      </c>
      <c r="J1150" s="94">
        <v>6.13</v>
      </c>
      <c r="K1150" s="94">
        <v>5.7149999999999999</v>
      </c>
      <c r="L1150" s="94">
        <v>5.72</v>
      </c>
      <c r="M1150" s="94">
        <v>1825520</v>
      </c>
      <c r="N1150" s="94" t="s">
        <v>1184</v>
      </c>
      <c r="O1150" s="25">
        <f t="shared" si="39"/>
        <v>6.8181818181818343E-2</v>
      </c>
    </row>
    <row r="1151" spans="1:15">
      <c r="A1151" s="94">
        <v>324.65596078707858</v>
      </c>
      <c r="B1151" s="94">
        <v>326.27451979391077</v>
      </c>
      <c r="C1151" s="94">
        <v>318.02757628290891</v>
      </c>
      <c r="D1151" s="94">
        <v>319.65576956954362</v>
      </c>
      <c r="E1151" s="94">
        <v>5956851.075124233</v>
      </c>
      <c r="F1151" s="94" t="s">
        <v>1185</v>
      </c>
      <c r="G1151" s="25">
        <f t="shared" si="38"/>
        <v>1.5642424425088119E-2</v>
      </c>
      <c r="I1151" s="94">
        <v>5.55</v>
      </c>
      <c r="J1151" s="94">
        <v>5.61</v>
      </c>
      <c r="K1151" s="94">
        <v>5.37</v>
      </c>
      <c r="L1151" s="94">
        <v>5.51</v>
      </c>
      <c r="M1151" s="94">
        <v>2125257</v>
      </c>
      <c r="N1151" s="94" t="s">
        <v>1185</v>
      </c>
      <c r="O1151" s="25">
        <f t="shared" si="39"/>
        <v>7.2595281306715442E-3</v>
      </c>
    </row>
    <row r="1152" spans="1:15">
      <c r="A1152" s="94">
        <v>316.2934059184459</v>
      </c>
      <c r="B1152" s="94">
        <v>323.89485268267538</v>
      </c>
      <c r="C1152" s="94">
        <v>316.11998888199963</v>
      </c>
      <c r="D1152" s="94">
        <v>320.40724339414425</v>
      </c>
      <c r="E1152" s="94">
        <v>8030315.8705588225</v>
      </c>
      <c r="F1152" s="94" t="s">
        <v>1186</v>
      </c>
      <c r="G1152" s="25">
        <f t="shared" si="38"/>
        <v>-1.2839402231109243E-2</v>
      </c>
      <c r="I1152" s="94">
        <v>5.43</v>
      </c>
      <c r="J1152" s="94">
        <v>5.63</v>
      </c>
      <c r="K1152" s="94">
        <v>5.39</v>
      </c>
      <c r="L1152" s="94">
        <v>5.39</v>
      </c>
      <c r="M1152" s="94">
        <v>1136365</v>
      </c>
      <c r="N1152" s="94" t="s">
        <v>1186</v>
      </c>
      <c r="O1152" s="25">
        <f t="shared" si="39"/>
        <v>7.4211502782930427E-3</v>
      </c>
    </row>
    <row r="1153" spans="1:15">
      <c r="A1153" s="94">
        <v>321.18762005815256</v>
      </c>
      <c r="B1153" s="94">
        <v>324.9642577407609</v>
      </c>
      <c r="C1153" s="94">
        <v>318.44185031441947</v>
      </c>
      <c r="D1153" s="94">
        <v>324.81974354372227</v>
      </c>
      <c r="E1153" s="94">
        <v>7504578.5965959374</v>
      </c>
      <c r="F1153" s="94" t="s">
        <v>1187</v>
      </c>
      <c r="G1153" s="25">
        <f t="shared" si="38"/>
        <v>-1.1181966483760908E-2</v>
      </c>
      <c r="I1153" s="94">
        <v>5.44</v>
      </c>
      <c r="J1153" s="94">
        <v>5.78</v>
      </c>
      <c r="K1153" s="94">
        <v>5.375</v>
      </c>
      <c r="L1153" s="94">
        <v>5.69</v>
      </c>
      <c r="M1153" s="94">
        <v>1644158</v>
      </c>
      <c r="N1153" s="94" t="s">
        <v>1187</v>
      </c>
      <c r="O1153" s="25">
        <f t="shared" si="39"/>
        <v>-4.393673110720564E-2</v>
      </c>
    </row>
    <row r="1154" spans="1:15">
      <c r="A1154" s="94">
        <v>328.02795871797889</v>
      </c>
      <c r="B1154" s="94">
        <v>329.58871204599558</v>
      </c>
      <c r="C1154" s="94">
        <v>320.99493446210113</v>
      </c>
      <c r="D1154" s="94">
        <v>322.55568779011787</v>
      </c>
      <c r="E1154" s="94">
        <v>9013594.3505413942</v>
      </c>
      <c r="F1154" s="94" t="s">
        <v>1188</v>
      </c>
      <c r="G1154" s="25">
        <f t="shared" si="38"/>
        <v>1.6965352449223481E-2</v>
      </c>
      <c r="I1154" s="94">
        <v>5.81</v>
      </c>
      <c r="J1154" s="94">
        <v>5.83</v>
      </c>
      <c r="K1154" s="94">
        <v>5.5</v>
      </c>
      <c r="L1154" s="94">
        <v>5.53</v>
      </c>
      <c r="M1154" s="94">
        <v>1481842</v>
      </c>
      <c r="N1154" s="94" t="s">
        <v>1188</v>
      </c>
      <c r="O1154" s="25">
        <f t="shared" si="39"/>
        <v>5.0632911392404889E-2</v>
      </c>
    </row>
    <row r="1155" spans="1:15">
      <c r="A1155" s="94">
        <v>321.70864190987555</v>
      </c>
      <c r="B1155" s="94">
        <v>327.89553102499133</v>
      </c>
      <c r="C1155" s="94">
        <v>319.49287231981077</v>
      </c>
      <c r="D1155" s="94">
        <v>325.92915541476077</v>
      </c>
      <c r="E1155" s="94">
        <v>6042131.9752875771</v>
      </c>
      <c r="F1155" s="94" t="s">
        <v>1189</v>
      </c>
      <c r="G1155" s="25">
        <f t="shared" si="38"/>
        <v>-1.2949174490126225E-2</v>
      </c>
      <c r="I1155" s="94">
        <v>5.53</v>
      </c>
      <c r="J1155" s="94">
        <v>5.83</v>
      </c>
      <c r="K1155" s="94">
        <v>5.46</v>
      </c>
      <c r="L1155" s="94">
        <v>5.67</v>
      </c>
      <c r="M1155" s="94">
        <v>1833080</v>
      </c>
      <c r="N1155" s="94" t="s">
        <v>1189</v>
      </c>
      <c r="O1155" s="25">
        <f t="shared" si="39"/>
        <v>-2.4691358024691357E-2</v>
      </c>
    </row>
    <row r="1156" spans="1:15">
      <c r="A1156" s="94">
        <v>322.61988914388485</v>
      </c>
      <c r="B1156" s="94">
        <v>327.72287365433698</v>
      </c>
      <c r="C1156" s="94">
        <v>321.40169547315662</v>
      </c>
      <c r="D1156" s="94">
        <v>324.432791535756</v>
      </c>
      <c r="E1156" s="94">
        <v>5635574.5272391634</v>
      </c>
      <c r="F1156" s="94" t="s">
        <v>1190</v>
      </c>
      <c r="G1156" s="25">
        <f t="shared" si="38"/>
        <v>-5.5879135499512511E-3</v>
      </c>
      <c r="I1156" s="94">
        <v>5.56</v>
      </c>
      <c r="J1156" s="94">
        <v>5.72</v>
      </c>
      <c r="K1156" s="94">
        <v>5.36</v>
      </c>
      <c r="L1156" s="94">
        <v>5.47</v>
      </c>
      <c r="M1156" s="94">
        <v>2283754</v>
      </c>
      <c r="N1156" s="94" t="s">
        <v>1190</v>
      </c>
      <c r="O1156" s="25">
        <f t="shared" si="39"/>
        <v>1.6453382084095081E-2</v>
      </c>
    </row>
    <row r="1157" spans="1:15">
      <c r="A1157" s="94">
        <v>325.77568219640131</v>
      </c>
      <c r="B1157" s="94">
        <v>328.12574085253056</v>
      </c>
      <c r="C1157" s="94">
        <v>321.63190530069579</v>
      </c>
      <c r="D1157" s="94">
        <v>328.12574085253056</v>
      </c>
      <c r="E1157" s="94">
        <v>10937664.420826318</v>
      </c>
      <c r="F1157" s="94" t="s">
        <v>1191</v>
      </c>
      <c r="G1157" s="25">
        <f t="shared" si="38"/>
        <v>-7.1620673526660017E-3</v>
      </c>
      <c r="I1157" s="94">
        <v>5.54</v>
      </c>
      <c r="J1157" s="94">
        <v>5.6849999999999996</v>
      </c>
      <c r="K1157" s="94">
        <v>5.42</v>
      </c>
      <c r="L1157" s="94">
        <v>5.51</v>
      </c>
      <c r="M1157" s="94">
        <v>1646637</v>
      </c>
      <c r="N1157" s="94" t="s">
        <v>1191</v>
      </c>
      <c r="O1157" s="25">
        <f t="shared" si="39"/>
        <v>5.4446460980037692E-3</v>
      </c>
    </row>
    <row r="1158" spans="1:15">
      <c r="A1158" s="94">
        <v>331.28153390504701</v>
      </c>
      <c r="B1158" s="94">
        <v>334.32222204379389</v>
      </c>
      <c r="C1158" s="94">
        <v>330.61008857472439</v>
      </c>
      <c r="D1158" s="94">
        <v>333.37260650519471</v>
      </c>
      <c r="E1158" s="94">
        <v>5791886.8809933634</v>
      </c>
      <c r="F1158" s="94" t="s">
        <v>1192</v>
      </c>
      <c r="G1158" s="25">
        <f t="shared" si="38"/>
        <v>-6.2724787800316761E-3</v>
      </c>
      <c r="I1158" s="94">
        <v>5.61</v>
      </c>
      <c r="J1158" s="94">
        <v>6.17</v>
      </c>
      <c r="K1158" s="94">
        <v>5.51</v>
      </c>
      <c r="L1158" s="94">
        <v>6.02</v>
      </c>
      <c r="M1158" s="94">
        <v>3462245</v>
      </c>
      <c r="N1158" s="94" t="s">
        <v>1192</v>
      </c>
      <c r="O1158" s="25">
        <f t="shared" si="39"/>
        <v>-6.8106312292358639E-2</v>
      </c>
    </row>
    <row r="1159" spans="1:15">
      <c r="A1159" s="94">
        <v>334.1016042924021</v>
      </c>
      <c r="B1159" s="94">
        <v>344.64329597846773</v>
      </c>
      <c r="C1159" s="94">
        <v>334.1016042924021</v>
      </c>
      <c r="D1159" s="94">
        <v>341.84240974340753</v>
      </c>
      <c r="E1159" s="94">
        <v>5319392.7170268791</v>
      </c>
      <c r="F1159" s="94" t="s">
        <v>1193</v>
      </c>
      <c r="G1159" s="25">
        <f t="shared" si="38"/>
        <v>-2.2644368370840273E-2</v>
      </c>
      <c r="I1159" s="94">
        <v>6.06</v>
      </c>
      <c r="J1159" s="94">
        <v>6.44</v>
      </c>
      <c r="K1159" s="94">
        <v>5.95</v>
      </c>
      <c r="L1159" s="94">
        <v>6.11</v>
      </c>
      <c r="M1159" s="94">
        <v>2267710</v>
      </c>
      <c r="N1159" s="94" t="s">
        <v>1193</v>
      </c>
      <c r="O1159" s="25">
        <f t="shared" si="39"/>
        <v>-8.1833060556465442E-3</v>
      </c>
    </row>
    <row r="1160" spans="1:15">
      <c r="A1160" s="94">
        <v>340.08705980842115</v>
      </c>
      <c r="B1160" s="94">
        <v>341.84240974340753</v>
      </c>
      <c r="C1160" s="94">
        <v>337.48108456067746</v>
      </c>
      <c r="D1160" s="94">
        <v>340.88320212866086</v>
      </c>
      <c r="E1160" s="94">
        <v>3778078.8478803043</v>
      </c>
      <c r="F1160" s="94" t="s">
        <v>1194</v>
      </c>
      <c r="G1160" s="25">
        <f t="shared" si="38"/>
        <v>-2.3355281670324191E-3</v>
      </c>
      <c r="I1160" s="94">
        <v>6.1</v>
      </c>
      <c r="J1160" s="94">
        <v>6.8</v>
      </c>
      <c r="K1160" s="94">
        <v>6.02</v>
      </c>
      <c r="L1160" s="94">
        <v>6.69</v>
      </c>
      <c r="M1160" s="94">
        <v>4814963</v>
      </c>
      <c r="N1160" s="94" t="s">
        <v>1194</v>
      </c>
      <c r="O1160" s="25">
        <f t="shared" si="39"/>
        <v>-8.8191330343796781E-2</v>
      </c>
    </row>
    <row r="1161" spans="1:15">
      <c r="A1161" s="94">
        <v>343.96225857199755</v>
      </c>
      <c r="B1161" s="94">
        <v>343.96225857199755</v>
      </c>
      <c r="C1161" s="94">
        <v>338.3604861018772</v>
      </c>
      <c r="D1161" s="94">
        <v>338.40844648261452</v>
      </c>
      <c r="E1161" s="94">
        <v>3557775.1339071663</v>
      </c>
      <c r="F1161" s="94" t="s">
        <v>1195</v>
      </c>
      <c r="G1161" s="25">
        <f t="shared" si="38"/>
        <v>1.641156462585025E-2</v>
      </c>
      <c r="I1161" s="94">
        <v>6.68</v>
      </c>
      <c r="J1161" s="94">
        <v>6.71</v>
      </c>
      <c r="K1161" s="94">
        <v>6.31</v>
      </c>
      <c r="L1161" s="94">
        <v>6.32</v>
      </c>
      <c r="M1161" s="94">
        <v>4682549</v>
      </c>
      <c r="N1161" s="94" t="s">
        <v>1195</v>
      </c>
      <c r="O1161" s="25">
        <f t="shared" si="39"/>
        <v>5.6962025316455556E-2</v>
      </c>
    </row>
    <row r="1162" spans="1:15">
      <c r="A1162" s="94">
        <v>341.34362178373925</v>
      </c>
      <c r="B1162" s="94">
        <v>341.93833050488217</v>
      </c>
      <c r="C1162" s="94">
        <v>338.30293364499238</v>
      </c>
      <c r="D1162" s="94">
        <v>340.09665188456864</v>
      </c>
      <c r="E1162" s="94">
        <v>4641610.3579161009</v>
      </c>
      <c r="F1162" s="94" t="s">
        <v>1196</v>
      </c>
      <c r="G1162" s="25">
        <f t="shared" si="38"/>
        <v>3.6665162454871947E-3</v>
      </c>
      <c r="I1162" s="94">
        <v>6.49</v>
      </c>
      <c r="J1162" s="94">
        <v>6.9050000000000002</v>
      </c>
      <c r="K1162" s="94">
        <v>6.38</v>
      </c>
      <c r="L1162" s="94">
        <v>6.9</v>
      </c>
      <c r="M1162" s="94">
        <v>6707632</v>
      </c>
      <c r="N1162" s="94" t="s">
        <v>1196</v>
      </c>
      <c r="O1162" s="25">
        <f t="shared" si="39"/>
        <v>-5.9420289855072528E-2</v>
      </c>
    </row>
    <row r="1163" spans="1:15">
      <c r="A1163" s="94">
        <v>344.04858725732481</v>
      </c>
      <c r="B1163" s="94">
        <v>349.1227955393345</v>
      </c>
      <c r="C1163" s="94">
        <v>342.82080151044909</v>
      </c>
      <c r="D1163" s="94">
        <v>346.42742214189644</v>
      </c>
      <c r="E1163" s="94">
        <v>3969380.4985124967</v>
      </c>
      <c r="F1163" s="94" t="s">
        <v>1197</v>
      </c>
      <c r="G1163" s="25">
        <f t="shared" si="38"/>
        <v>-6.8667626536713655E-3</v>
      </c>
      <c r="I1163" s="94">
        <v>7.21</v>
      </c>
      <c r="J1163" s="94">
        <v>7.5149999999999997</v>
      </c>
      <c r="K1163" s="94">
        <v>6.66</v>
      </c>
      <c r="L1163" s="94">
        <v>6.95</v>
      </c>
      <c r="M1163" s="94">
        <v>8677872</v>
      </c>
      <c r="N1163" s="94" t="s">
        <v>1197</v>
      </c>
      <c r="O1163" s="25">
        <f t="shared" si="39"/>
        <v>3.7410071942445944E-2</v>
      </c>
    </row>
    <row r="1164" spans="1:15">
      <c r="A1164" s="94">
        <v>347.93337809704872</v>
      </c>
      <c r="B1164" s="94">
        <v>349.31463706228385</v>
      </c>
      <c r="C1164" s="94">
        <v>344.86391372985941</v>
      </c>
      <c r="D1164" s="94">
        <v>347.78949695483664</v>
      </c>
      <c r="E1164" s="94">
        <v>3706715.7780426233</v>
      </c>
      <c r="F1164" s="94" t="s">
        <v>1198</v>
      </c>
      <c r="G1164" s="25">
        <f t="shared" si="38"/>
        <v>4.1370180374000753E-4</v>
      </c>
      <c r="I1164" s="94">
        <v>7.1</v>
      </c>
      <c r="J1164" s="94">
        <v>7.12</v>
      </c>
      <c r="K1164" s="94">
        <v>6.14</v>
      </c>
      <c r="L1164" s="94">
        <v>6.15</v>
      </c>
      <c r="M1164" s="94">
        <v>9772128</v>
      </c>
      <c r="N1164" s="94" t="s">
        <v>1198</v>
      </c>
      <c r="O1164" s="25">
        <f t="shared" si="39"/>
        <v>0.154471544715447</v>
      </c>
    </row>
    <row r="1165" spans="1:15">
      <c r="A1165" s="94">
        <v>346.63844781714073</v>
      </c>
      <c r="B1165" s="94">
        <v>355.41519749207242</v>
      </c>
      <c r="C1165" s="94">
        <v>345.58341536168086</v>
      </c>
      <c r="D1165" s="94">
        <v>354.27374043052396</v>
      </c>
      <c r="E1165" s="94">
        <v>5785164.6658015018</v>
      </c>
      <c r="F1165" s="94" t="s">
        <v>1199</v>
      </c>
      <c r="G1165" s="25">
        <f t="shared" si="38"/>
        <v>-2.1551957545892564E-2</v>
      </c>
      <c r="I1165" s="94">
        <v>6.15</v>
      </c>
      <c r="J1165" s="94">
        <v>6.44</v>
      </c>
      <c r="K1165" s="94">
        <v>5.8</v>
      </c>
      <c r="L1165" s="94">
        <v>5.82</v>
      </c>
      <c r="M1165" s="94">
        <v>7883419</v>
      </c>
      <c r="N1165" s="94" t="s">
        <v>1199</v>
      </c>
      <c r="O1165" s="25">
        <f t="shared" si="39"/>
        <v>5.6701030927835072E-2</v>
      </c>
    </row>
    <row r="1166" spans="1:15">
      <c r="A1166" s="94">
        <v>362.44618930816534</v>
      </c>
      <c r="B1166" s="94">
        <v>363.06967425775065</v>
      </c>
      <c r="C1166" s="94">
        <v>360.19205141351074</v>
      </c>
      <c r="D1166" s="94">
        <v>360.48940577408217</v>
      </c>
      <c r="E1166" s="94">
        <v>3087292.0048515219</v>
      </c>
      <c r="F1166" s="94" t="s">
        <v>1200</v>
      </c>
      <c r="G1166" s="25">
        <f t="shared" si="38"/>
        <v>5.4281304879997272E-3</v>
      </c>
      <c r="I1166" s="94">
        <v>5.42</v>
      </c>
      <c r="J1166" s="94">
        <v>5.53</v>
      </c>
      <c r="K1166" s="94">
        <v>5.37</v>
      </c>
      <c r="L1166" s="94">
        <v>5.4</v>
      </c>
      <c r="M1166" s="94">
        <v>2596934</v>
      </c>
      <c r="N1166" s="94" t="s">
        <v>1200</v>
      </c>
      <c r="O1166" s="25">
        <f t="shared" si="39"/>
        <v>3.7037037037035425E-3</v>
      </c>
    </row>
    <row r="1167" spans="1:15">
      <c r="A1167" s="94">
        <v>358.50384601155662</v>
      </c>
      <c r="B1167" s="94">
        <v>359.32876456023877</v>
      </c>
      <c r="C1167" s="94">
        <v>354.88763330396182</v>
      </c>
      <c r="D1167" s="94">
        <v>355.13702728379593</v>
      </c>
      <c r="E1167" s="94">
        <v>2733048.5701913922</v>
      </c>
      <c r="F1167" s="94" t="s">
        <v>1201</v>
      </c>
      <c r="G1167" s="25">
        <f t="shared" si="38"/>
        <v>9.4803370786515906E-3</v>
      </c>
      <c r="I1167" s="94">
        <v>5.36</v>
      </c>
      <c r="J1167" s="94">
        <v>5.4950000000000001</v>
      </c>
      <c r="K1167" s="94">
        <v>5.21</v>
      </c>
      <c r="L1167" s="94">
        <v>5.22</v>
      </c>
      <c r="M1167" s="94">
        <v>1602133</v>
      </c>
      <c r="N1167" s="94" t="s">
        <v>1201</v>
      </c>
      <c r="O1167" s="25">
        <f t="shared" si="39"/>
        <v>2.6819923371647514E-2</v>
      </c>
    </row>
    <row r="1168" spans="1:15">
      <c r="A1168" s="94">
        <v>353.05554675979573</v>
      </c>
      <c r="B1168" s="94">
        <v>353.44882188184187</v>
      </c>
      <c r="C1168" s="94">
        <v>347.4921425942652</v>
      </c>
      <c r="D1168" s="94">
        <v>348.55206700856024</v>
      </c>
      <c r="E1168" s="94">
        <v>3849048.8849749132</v>
      </c>
      <c r="F1168" s="94" t="s">
        <v>1202</v>
      </c>
      <c r="G1168" s="25">
        <f t="shared" si="38"/>
        <v>1.2920536635707025E-2</v>
      </c>
      <c r="I1168" s="94">
        <v>5.21</v>
      </c>
      <c r="J1168" s="94">
        <v>5.49</v>
      </c>
      <c r="K1168" s="94">
        <v>5.1749999999999998</v>
      </c>
      <c r="L1168" s="94">
        <v>5.27</v>
      </c>
      <c r="M1168" s="94">
        <v>1775046</v>
      </c>
      <c r="N1168" s="94" t="s">
        <v>1202</v>
      </c>
      <c r="O1168" s="25">
        <f t="shared" si="39"/>
        <v>-1.1385199240986688E-2</v>
      </c>
    </row>
    <row r="1169" spans="1:15">
      <c r="A1169" s="94">
        <v>350.76304056055125</v>
      </c>
      <c r="B1169" s="94">
        <v>351.42968985280015</v>
      </c>
      <c r="C1169" s="94">
        <v>344.05856301651818</v>
      </c>
      <c r="D1169" s="94">
        <v>344.22124462797916</v>
      </c>
      <c r="E1169" s="94">
        <v>4312883.8182677617</v>
      </c>
      <c r="F1169" s="94" t="s">
        <v>1203</v>
      </c>
      <c r="G1169" s="25">
        <f t="shared" si="38"/>
        <v>1.9004625759349025E-2</v>
      </c>
      <c r="I1169" s="94">
        <v>5.39</v>
      </c>
      <c r="J1169" s="94">
        <v>5.43</v>
      </c>
      <c r="K1169" s="94">
        <v>5.2</v>
      </c>
      <c r="L1169" s="94">
        <v>5.2</v>
      </c>
      <c r="M1169" s="94">
        <v>1522779</v>
      </c>
      <c r="N1169" s="94" t="s">
        <v>1203</v>
      </c>
      <c r="O1169" s="25">
        <f t="shared" si="39"/>
        <v>3.6538461538461409E-2</v>
      </c>
    </row>
    <row r="1170" spans="1:15">
      <c r="A1170" s="94">
        <v>344.58574352158291</v>
      </c>
      <c r="B1170" s="94">
        <v>347.50173467041265</v>
      </c>
      <c r="C1170" s="94">
        <v>342.43711846455045</v>
      </c>
      <c r="D1170" s="94">
        <v>346.61926366484579</v>
      </c>
      <c r="E1170" s="94">
        <v>5921880.6363420794</v>
      </c>
      <c r="F1170" s="94" t="s">
        <v>1204</v>
      </c>
      <c r="G1170" s="25">
        <f t="shared" si="38"/>
        <v>-5.8667257029001441E-3</v>
      </c>
      <c r="I1170" s="94">
        <v>5.19</v>
      </c>
      <c r="J1170" s="94">
        <v>5.25</v>
      </c>
      <c r="K1170" s="94">
        <v>4.9800000000000004</v>
      </c>
      <c r="L1170" s="94">
        <v>4.9800000000000004</v>
      </c>
      <c r="M1170" s="94">
        <v>2119078</v>
      </c>
      <c r="N1170" s="94" t="s">
        <v>1204</v>
      </c>
      <c r="O1170" s="25">
        <f t="shared" si="39"/>
        <v>4.2168674698795261E-2</v>
      </c>
    </row>
    <row r="1171" spans="1:15">
      <c r="A1171" s="94">
        <v>345.74638473542632</v>
      </c>
      <c r="B1171" s="94">
        <v>354.07230683142717</v>
      </c>
      <c r="C1171" s="94">
        <v>344.1445080187994</v>
      </c>
      <c r="D1171" s="94">
        <v>352.94044184602615</v>
      </c>
      <c r="E1171" s="94">
        <v>4737475.9438292067</v>
      </c>
      <c r="F1171" s="94" t="s">
        <v>1205</v>
      </c>
      <c r="G1171" s="25">
        <f t="shared" si="38"/>
        <v>-2.0383204239706521E-2</v>
      </c>
      <c r="I1171" s="94">
        <v>5.01</v>
      </c>
      <c r="J1171" s="94">
        <v>5.18</v>
      </c>
      <c r="K1171" s="94">
        <v>4.9393000000000002</v>
      </c>
      <c r="L1171" s="94">
        <v>5.09</v>
      </c>
      <c r="M1171" s="94">
        <v>1884380</v>
      </c>
      <c r="N1171" s="94" t="s">
        <v>1205</v>
      </c>
      <c r="O1171" s="25">
        <f t="shared" si="39"/>
        <v>-1.5717092337917515E-2</v>
      </c>
    </row>
    <row r="1172" spans="1:15">
      <c r="A1172" s="94">
        <v>349.4105578237585</v>
      </c>
      <c r="B1172" s="94">
        <v>349.82301709809957</v>
      </c>
      <c r="C1172" s="94">
        <v>343.88552196281785</v>
      </c>
      <c r="D1172" s="94">
        <v>346.36986968501168</v>
      </c>
      <c r="E1172" s="94">
        <v>6387395.0809057234</v>
      </c>
      <c r="F1172" s="94" t="s">
        <v>1206</v>
      </c>
      <c r="G1172" s="25">
        <f t="shared" si="38"/>
        <v>8.7787316532814685E-3</v>
      </c>
      <c r="I1172" s="94">
        <v>5.05</v>
      </c>
      <c r="J1172" s="94">
        <v>5.39</v>
      </c>
      <c r="K1172" s="94">
        <v>4.8099999999999996</v>
      </c>
      <c r="L1172" s="94">
        <v>5.38</v>
      </c>
      <c r="M1172" s="94">
        <v>3355149</v>
      </c>
      <c r="N1172" s="94" t="s">
        <v>1206</v>
      </c>
      <c r="O1172" s="25">
        <f t="shared" si="39"/>
        <v>-6.133828996282531E-2</v>
      </c>
    </row>
    <row r="1173" spans="1:15">
      <c r="A1173" s="94">
        <v>348.33624529524224</v>
      </c>
      <c r="B1173" s="94">
        <v>353.74617624241336</v>
      </c>
      <c r="C1173" s="94">
        <v>348.29787699065241</v>
      </c>
      <c r="D1173" s="94">
        <v>352.61431125701228</v>
      </c>
      <c r="E1173" s="94">
        <v>4235307.2864971552</v>
      </c>
      <c r="F1173" s="94" t="s">
        <v>1207</v>
      </c>
      <c r="G1173" s="25">
        <f t="shared" si="38"/>
        <v>-1.2132422948233246E-2</v>
      </c>
      <c r="I1173" s="94">
        <v>5.48</v>
      </c>
      <c r="J1173" s="94">
        <v>5.65</v>
      </c>
      <c r="K1173" s="94">
        <v>5.36</v>
      </c>
      <c r="L1173" s="94">
        <v>5.61</v>
      </c>
      <c r="M1173" s="94">
        <v>1543356</v>
      </c>
      <c r="N1173" s="94" t="s">
        <v>1207</v>
      </c>
      <c r="O1173" s="25">
        <f t="shared" si="39"/>
        <v>-2.3172905525846721E-2</v>
      </c>
    </row>
    <row r="1174" spans="1:15">
      <c r="A1174" s="94">
        <v>351.09876322571256</v>
      </c>
      <c r="B1174" s="94">
        <v>356.29287245956561</v>
      </c>
      <c r="C1174" s="94">
        <v>349.17075592007183</v>
      </c>
      <c r="D1174" s="94">
        <v>356.15378735542737</v>
      </c>
      <c r="E1174" s="94">
        <v>5259065.8398103286</v>
      </c>
      <c r="F1174" s="94" t="s">
        <v>1208</v>
      </c>
      <c r="G1174" s="25">
        <f t="shared" si="38"/>
        <v>-1.4193374629679512E-2</v>
      </c>
      <c r="I1174" s="94">
        <v>5.6</v>
      </c>
      <c r="J1174" s="94">
        <v>5.75</v>
      </c>
      <c r="K1174" s="94">
        <v>5.53</v>
      </c>
      <c r="L1174" s="94">
        <v>5.75</v>
      </c>
      <c r="M1174" s="94">
        <v>863502</v>
      </c>
      <c r="N1174" s="94" t="s">
        <v>1208</v>
      </c>
      <c r="O1174" s="25">
        <f t="shared" si="39"/>
        <v>-2.6086956521739202E-2</v>
      </c>
    </row>
    <row r="1175" spans="1:15">
      <c r="A1175" s="94">
        <v>354.95477783699408</v>
      </c>
      <c r="B1175" s="94">
        <v>357.83240068123399</v>
      </c>
      <c r="C1175" s="94">
        <v>353.7365841662658</v>
      </c>
      <c r="D1175" s="94">
        <v>354.68619970486498</v>
      </c>
      <c r="E1175" s="94">
        <v>5163802.8346014554</v>
      </c>
      <c r="F1175" s="94" t="s">
        <v>1209</v>
      </c>
      <c r="G1175" s="25">
        <f t="shared" si="38"/>
        <v>7.5722746572215449E-4</v>
      </c>
      <c r="I1175" s="94">
        <v>5.66</v>
      </c>
      <c r="J1175" s="94">
        <v>5.77</v>
      </c>
      <c r="K1175" s="94">
        <v>5.56</v>
      </c>
      <c r="L1175" s="94">
        <v>5.59</v>
      </c>
      <c r="M1175" s="94">
        <v>821835</v>
      </c>
      <c r="N1175" s="94" t="s">
        <v>1209</v>
      </c>
      <c r="O1175" s="25">
        <f t="shared" si="39"/>
        <v>1.2522361359570633E-2</v>
      </c>
    </row>
    <row r="1176" spans="1:15">
      <c r="A1176" s="94">
        <v>357.31442856927077</v>
      </c>
      <c r="B1176" s="94">
        <v>370.3020996729403</v>
      </c>
      <c r="C1176" s="94">
        <v>357.31442856927077</v>
      </c>
      <c r="D1176" s="94">
        <v>369.82249586556702</v>
      </c>
      <c r="E1176" s="94">
        <v>5372309.3111193962</v>
      </c>
      <c r="F1176" s="94" t="s">
        <v>1210</v>
      </c>
      <c r="G1176" s="25">
        <f t="shared" si="38"/>
        <v>-3.3821812994423772E-2</v>
      </c>
      <c r="I1176" s="94">
        <v>5.72</v>
      </c>
      <c r="J1176" s="94">
        <v>5.98</v>
      </c>
      <c r="K1176" s="94">
        <v>5.71</v>
      </c>
      <c r="L1176" s="94">
        <v>5.98</v>
      </c>
      <c r="M1176" s="94">
        <v>1195111</v>
      </c>
      <c r="N1176" s="94" t="s">
        <v>1210</v>
      </c>
      <c r="O1176" s="25">
        <f t="shared" si="39"/>
        <v>-4.3478260869565299E-2</v>
      </c>
    </row>
    <row r="1177" spans="1:15">
      <c r="A1177" s="94">
        <v>369.99515323622143</v>
      </c>
      <c r="B1177" s="94">
        <v>369.99515323622143</v>
      </c>
      <c r="C1177" s="94">
        <v>365.17033893404579</v>
      </c>
      <c r="D1177" s="94">
        <v>366.18709900567723</v>
      </c>
      <c r="E1177" s="94">
        <v>2743191.3170278734</v>
      </c>
      <c r="F1177" s="94" t="s">
        <v>1211</v>
      </c>
      <c r="G1177" s="25">
        <f t="shared" si="38"/>
        <v>1.0399203688181258E-2</v>
      </c>
      <c r="I1177" s="94">
        <v>6.04</v>
      </c>
      <c r="J1177" s="94">
        <v>6.05</v>
      </c>
      <c r="K1177" s="94">
        <v>5.8</v>
      </c>
      <c r="L1177" s="94">
        <v>5.91</v>
      </c>
      <c r="M1177" s="94">
        <v>840051</v>
      </c>
      <c r="N1177" s="94" t="s">
        <v>1211</v>
      </c>
      <c r="O1177" s="25">
        <f t="shared" si="39"/>
        <v>2.1996615905245376E-2</v>
      </c>
    </row>
    <row r="1178" spans="1:15">
      <c r="A1178" s="94">
        <v>364.68114305052501</v>
      </c>
      <c r="B1178" s="94">
        <v>366.01444163502282</v>
      </c>
      <c r="C1178" s="94">
        <v>362.75313574488428</v>
      </c>
      <c r="D1178" s="94">
        <v>363.44376522750184</v>
      </c>
      <c r="E1178" s="94">
        <v>2336558.807023223</v>
      </c>
      <c r="F1178" s="94" t="s">
        <v>1212</v>
      </c>
      <c r="G1178" s="25">
        <f t="shared" si="38"/>
        <v>3.4045922406966689E-3</v>
      </c>
      <c r="I1178" s="94">
        <v>5.79</v>
      </c>
      <c r="J1178" s="94">
        <v>5.87</v>
      </c>
      <c r="K1178" s="94">
        <v>5.61</v>
      </c>
      <c r="L1178" s="94">
        <v>5.66</v>
      </c>
      <c r="M1178" s="94">
        <v>1027825</v>
      </c>
      <c r="N1178" s="94" t="s">
        <v>1212</v>
      </c>
      <c r="O1178" s="25">
        <f t="shared" si="39"/>
        <v>2.2968197879858598E-2</v>
      </c>
    </row>
    <row r="1179" spans="1:15">
      <c r="A1179" s="94">
        <v>363.57805429356637</v>
      </c>
      <c r="B1179" s="94">
        <v>366.29261184329937</v>
      </c>
      <c r="C1179" s="94">
        <v>363.08243171902677</v>
      </c>
      <c r="D1179" s="94">
        <v>364.07684225323464</v>
      </c>
      <c r="E1179" s="94">
        <v>2991202.2755968752</v>
      </c>
      <c r="F1179" s="94" t="s">
        <v>1213</v>
      </c>
      <c r="G1179" s="25">
        <f t="shared" si="38"/>
        <v>-1.3700073769629117E-3</v>
      </c>
      <c r="I1179" s="94">
        <v>5.61</v>
      </c>
      <c r="J1179" s="94">
        <v>5.72</v>
      </c>
      <c r="K1179" s="94">
        <v>5.5650000000000004</v>
      </c>
      <c r="L1179" s="94">
        <v>5.66</v>
      </c>
      <c r="M1179" s="94">
        <v>1068530</v>
      </c>
      <c r="N1179" s="94" t="s">
        <v>1213</v>
      </c>
      <c r="O1179" s="25">
        <f t="shared" si="39"/>
        <v>-8.8339222614840507E-3</v>
      </c>
    </row>
    <row r="1180" spans="1:15">
      <c r="A1180" s="94">
        <v>364.44134114683834</v>
      </c>
      <c r="B1180" s="94">
        <v>367.89448855992629</v>
      </c>
      <c r="C1180" s="94">
        <v>363.62601467430369</v>
      </c>
      <c r="D1180" s="94">
        <v>367.78897572230414</v>
      </c>
      <c r="E1180" s="94">
        <v>4330363.8713263776</v>
      </c>
      <c r="F1180" s="94" t="s">
        <v>1214</v>
      </c>
      <c r="G1180" s="25">
        <f t="shared" ref="G1180:G1221" si="40">A1180/D1180-1</f>
        <v>-9.1020525258848073E-3</v>
      </c>
      <c r="I1180" s="94">
        <v>5.7</v>
      </c>
      <c r="J1180" s="94">
        <v>5.73</v>
      </c>
      <c r="K1180" s="94">
        <v>5.52</v>
      </c>
      <c r="L1180" s="94">
        <v>5.71</v>
      </c>
      <c r="M1180" s="94">
        <v>1421097</v>
      </c>
      <c r="N1180" s="94" t="s">
        <v>1214</v>
      </c>
      <c r="O1180" s="25">
        <f t="shared" ref="O1180:O1221" si="41">I1180/L1180-1</f>
        <v>-1.7513134851138146E-3</v>
      </c>
    </row>
    <row r="1181" spans="1:15">
      <c r="A1181" s="94">
        <v>372.28765943546586</v>
      </c>
      <c r="B1181" s="94">
        <v>375.00221698519886</v>
      </c>
      <c r="C1181" s="94">
        <v>371.45314881063626</v>
      </c>
      <c r="D1181" s="94">
        <v>374.76241508151219</v>
      </c>
      <c r="E1181" s="94">
        <v>3022317.5415113182</v>
      </c>
      <c r="F1181" s="94" t="s">
        <v>1215</v>
      </c>
      <c r="G1181" s="25">
        <f t="shared" si="40"/>
        <v>-6.6035321218326226E-3</v>
      </c>
      <c r="I1181" s="94">
        <v>5.84</v>
      </c>
      <c r="J1181" s="94">
        <v>6.28</v>
      </c>
      <c r="K1181" s="94">
        <v>5.71</v>
      </c>
      <c r="L1181" s="94">
        <v>6.28</v>
      </c>
      <c r="M1181" s="94">
        <v>2059570</v>
      </c>
      <c r="N1181" s="94" t="s">
        <v>1215</v>
      </c>
      <c r="O1181" s="25">
        <f t="shared" si="41"/>
        <v>-7.0063694267516019E-2</v>
      </c>
    </row>
    <row r="1182" spans="1:15">
      <c r="A1182" s="94">
        <v>377.49615678354013</v>
      </c>
      <c r="B1182" s="94">
        <v>377.94698436247103</v>
      </c>
      <c r="C1182" s="94">
        <v>375.21324266044314</v>
      </c>
      <c r="D1182" s="94">
        <v>376.41225217887643</v>
      </c>
      <c r="E1182" s="94">
        <v>3396637.9644104186</v>
      </c>
      <c r="F1182" s="94" t="s">
        <v>1216</v>
      </c>
      <c r="G1182" s="25">
        <f t="shared" si="40"/>
        <v>2.8795678099995392E-3</v>
      </c>
      <c r="I1182" s="94">
        <v>6.37</v>
      </c>
      <c r="J1182" s="94">
        <v>6.41</v>
      </c>
      <c r="K1182" s="94">
        <v>6.1101000000000001</v>
      </c>
      <c r="L1182" s="94">
        <v>6.22</v>
      </c>
      <c r="M1182" s="94">
        <v>1878124</v>
      </c>
      <c r="N1182" s="94" t="s">
        <v>1216</v>
      </c>
      <c r="O1182" s="25">
        <f t="shared" si="41"/>
        <v>2.4115755627009738E-2</v>
      </c>
    </row>
    <row r="1183" spans="1:15">
      <c r="A1183" s="94">
        <v>376.33551556969667</v>
      </c>
      <c r="B1183" s="94">
        <v>378.74312668271074</v>
      </c>
      <c r="C1183" s="94">
        <v>374.37211350307177</v>
      </c>
      <c r="D1183" s="94">
        <v>375.58733363019428</v>
      </c>
      <c r="E1183" s="94">
        <v>3359361.362921549</v>
      </c>
      <c r="F1183" s="94" t="s">
        <v>1217</v>
      </c>
      <c r="G1183" s="25">
        <f t="shared" si="40"/>
        <v>1.9920318725099584E-3</v>
      </c>
      <c r="I1183" s="94">
        <v>6.21</v>
      </c>
      <c r="J1183" s="94">
        <v>6.4</v>
      </c>
      <c r="K1183" s="94">
        <v>6.1211000000000002</v>
      </c>
      <c r="L1183" s="94">
        <v>6.4</v>
      </c>
      <c r="M1183" s="94">
        <v>1090924</v>
      </c>
      <c r="N1183" s="94" t="s">
        <v>1217</v>
      </c>
      <c r="O1183" s="25">
        <f t="shared" si="41"/>
        <v>-2.9687500000000089E-2</v>
      </c>
    </row>
    <row r="1184" spans="1:15">
      <c r="A1184" s="94">
        <v>378.92537612951264</v>
      </c>
      <c r="B1184" s="94">
        <v>380.69991021679385</v>
      </c>
      <c r="C1184" s="94">
        <v>376.43143633117131</v>
      </c>
      <c r="D1184" s="94">
        <v>377.19880242296864</v>
      </c>
      <c r="E1184" s="94">
        <v>4029210.0902689784</v>
      </c>
      <c r="F1184" s="94" t="s">
        <v>1218</v>
      </c>
      <c r="G1184" s="25">
        <f t="shared" si="40"/>
        <v>4.5773573390297528E-3</v>
      </c>
      <c r="I1184" s="94">
        <v>6.47</v>
      </c>
      <c r="J1184" s="94">
        <v>6.54</v>
      </c>
      <c r="K1184" s="94">
        <v>6.07</v>
      </c>
      <c r="L1184" s="94">
        <v>6.17</v>
      </c>
      <c r="M1184" s="94">
        <v>2475467</v>
      </c>
      <c r="N1184" s="94" t="s">
        <v>1218</v>
      </c>
      <c r="O1184" s="25">
        <f t="shared" si="41"/>
        <v>4.8622366288492591E-2</v>
      </c>
    </row>
    <row r="1185" spans="1:15">
      <c r="A1185" s="94">
        <v>378.26352287533746</v>
      </c>
      <c r="B1185" s="94">
        <v>378.65679799738353</v>
      </c>
      <c r="C1185" s="94">
        <v>374.53220525397296</v>
      </c>
      <c r="D1185" s="94">
        <v>374.5609814824154</v>
      </c>
      <c r="E1185" s="94">
        <v>3340187.2032117578</v>
      </c>
      <c r="F1185" s="94" t="s">
        <v>1219</v>
      </c>
      <c r="G1185" s="25">
        <f t="shared" si="40"/>
        <v>9.8850162616201942E-3</v>
      </c>
      <c r="I1185" s="94">
        <v>6.16</v>
      </c>
      <c r="J1185" s="94">
        <v>6.37</v>
      </c>
      <c r="K1185" s="94">
        <v>6.1449999999999996</v>
      </c>
      <c r="L1185" s="94">
        <v>6.24</v>
      </c>
      <c r="M1185" s="94">
        <v>1625647</v>
      </c>
      <c r="N1185" s="94" t="s">
        <v>1219</v>
      </c>
      <c r="O1185" s="25">
        <f t="shared" si="41"/>
        <v>-1.2820512820512886E-2</v>
      </c>
    </row>
    <row r="1186" spans="1:15">
      <c r="A1186" s="94">
        <v>376.6520540825631</v>
      </c>
      <c r="B1186" s="94">
        <v>376.70001446330042</v>
      </c>
      <c r="C1186" s="94">
        <v>371.2996755922768</v>
      </c>
      <c r="D1186" s="94">
        <v>372.12459414095889</v>
      </c>
      <c r="E1186" s="94">
        <v>3820191.7329105902</v>
      </c>
      <c r="F1186" s="94" t="s">
        <v>1220</v>
      </c>
      <c r="G1186" s="25">
        <f t="shared" si="40"/>
        <v>1.2166516303647512E-2</v>
      </c>
      <c r="I1186" s="94">
        <v>6.23</v>
      </c>
      <c r="J1186" s="94">
        <v>6.29</v>
      </c>
      <c r="K1186" s="94">
        <v>5.92</v>
      </c>
      <c r="L1186" s="94">
        <v>6.04</v>
      </c>
      <c r="M1186" s="94">
        <v>1367518</v>
      </c>
      <c r="N1186" s="94" t="s">
        <v>1220</v>
      </c>
      <c r="O1186" s="25">
        <f t="shared" si="41"/>
        <v>3.14569536423841E-2</v>
      </c>
    </row>
    <row r="1187" spans="1:15">
      <c r="A1187" s="94">
        <v>370.3116917490878</v>
      </c>
      <c r="B1187" s="94">
        <v>374.71445470077481</v>
      </c>
      <c r="C1187" s="94">
        <v>369.678614723355</v>
      </c>
      <c r="D1187" s="94">
        <v>373.00706514652586</v>
      </c>
      <c r="E1187" s="94">
        <v>3727420.3676379067</v>
      </c>
      <c r="F1187" s="94" t="s">
        <v>1221</v>
      </c>
      <c r="G1187" s="25">
        <f t="shared" si="40"/>
        <v>-7.226065266027204E-3</v>
      </c>
      <c r="I1187" s="94">
        <v>5.97</v>
      </c>
      <c r="J1187" s="94">
        <v>6.27</v>
      </c>
      <c r="K1187" s="94">
        <v>5.9249999999999998</v>
      </c>
      <c r="L1187" s="94">
        <v>6.1</v>
      </c>
      <c r="M1187" s="94">
        <v>1642371</v>
      </c>
      <c r="N1187" s="94" t="s">
        <v>1221</v>
      </c>
      <c r="O1187" s="25">
        <f t="shared" si="41"/>
        <v>-2.1311475409836023E-2</v>
      </c>
    </row>
    <row r="1188" spans="1:15">
      <c r="A1188" s="94">
        <v>370.3116917490878</v>
      </c>
      <c r="B1188" s="94">
        <v>370.47475704359471</v>
      </c>
      <c r="C1188" s="94">
        <v>367.47243720943777</v>
      </c>
      <c r="D1188" s="94">
        <v>369.28533960130886</v>
      </c>
      <c r="E1188" s="94">
        <v>3806258.3572841571</v>
      </c>
      <c r="F1188" s="94" t="s">
        <v>1222</v>
      </c>
      <c r="G1188" s="25">
        <f t="shared" si="40"/>
        <v>2.779292968648539E-3</v>
      </c>
      <c r="I1188" s="94">
        <v>6.07</v>
      </c>
      <c r="J1188" s="94">
        <v>6.165</v>
      </c>
      <c r="K1188" s="94">
        <v>5.86</v>
      </c>
      <c r="L1188" s="94">
        <v>6.09</v>
      </c>
      <c r="M1188" s="94">
        <v>1306057</v>
      </c>
      <c r="N1188" s="94" t="s">
        <v>1222</v>
      </c>
      <c r="O1188" s="25">
        <f t="shared" si="41"/>
        <v>-3.2840722495893759E-3</v>
      </c>
    </row>
    <row r="1189" spans="1:15">
      <c r="A1189" s="94">
        <v>362.71476744029439</v>
      </c>
      <c r="B1189" s="94">
        <v>363.93296111102262</v>
      </c>
      <c r="C1189" s="94">
        <v>361.7171915209579</v>
      </c>
      <c r="D1189" s="94">
        <v>363.55887014127143</v>
      </c>
      <c r="E1189" s="94">
        <v>2460910.4053281485</v>
      </c>
      <c r="F1189" s="94" t="s">
        <v>1223</v>
      </c>
      <c r="G1189" s="25">
        <f t="shared" si="40"/>
        <v>-2.3217772149226601E-3</v>
      </c>
      <c r="I1189" s="94">
        <v>5.98</v>
      </c>
      <c r="J1189" s="94">
        <v>6.0750000000000002</v>
      </c>
      <c r="K1189" s="94">
        <v>5.78</v>
      </c>
      <c r="L1189" s="94">
        <v>5.8</v>
      </c>
      <c r="M1189" s="94">
        <v>1603439</v>
      </c>
      <c r="N1189" s="94" t="s">
        <v>1223</v>
      </c>
      <c r="O1189" s="25">
        <f t="shared" si="41"/>
        <v>3.1034482758620863E-2</v>
      </c>
    </row>
    <row r="1190" spans="1:15">
      <c r="A1190" s="94">
        <v>364.15357886241435</v>
      </c>
      <c r="B1190" s="94">
        <v>368.24632591301531</v>
      </c>
      <c r="C1190" s="94">
        <v>363.12722671463541</v>
      </c>
      <c r="D1190" s="94">
        <v>366.20628315797211</v>
      </c>
      <c r="E1190" s="94">
        <v>3602294.1716457056</v>
      </c>
      <c r="F1190" s="94" t="s">
        <v>1224</v>
      </c>
      <c r="G1190" s="25">
        <f t="shared" si="40"/>
        <v>-5.605322437005511E-3</v>
      </c>
      <c r="I1190" s="94">
        <v>5.83</v>
      </c>
      <c r="J1190" s="94">
        <v>6</v>
      </c>
      <c r="K1190" s="94">
        <v>5.7649999999999997</v>
      </c>
      <c r="L1190" s="94">
        <v>5.95</v>
      </c>
      <c r="M1190" s="94">
        <v>1098621</v>
      </c>
      <c r="N1190" s="94" t="s">
        <v>1224</v>
      </c>
      <c r="O1190" s="25">
        <f t="shared" si="41"/>
        <v>-2.0168067226890796E-2</v>
      </c>
    </row>
    <row r="1191" spans="1:15">
      <c r="A1191" s="94">
        <v>364.47970945142822</v>
      </c>
      <c r="B1191" s="94">
        <v>365.17033893404579</v>
      </c>
      <c r="C1191" s="94">
        <v>361.1800352566998</v>
      </c>
      <c r="D1191" s="94">
        <v>361.28554809432188</v>
      </c>
      <c r="E1191" s="94">
        <v>2973381.3161536842</v>
      </c>
      <c r="F1191" s="94" t="s">
        <v>1225</v>
      </c>
      <c r="G1191" s="25">
        <f t="shared" si="40"/>
        <v>8.8410991636798109E-3</v>
      </c>
      <c r="I1191" s="94">
        <v>5.88</v>
      </c>
      <c r="J1191" s="94">
        <v>5.89</v>
      </c>
      <c r="K1191" s="94">
        <v>5.61</v>
      </c>
      <c r="L1191" s="94">
        <v>5.7</v>
      </c>
      <c r="M1191" s="94">
        <v>1122332</v>
      </c>
      <c r="N1191" s="94" t="s">
        <v>1225</v>
      </c>
      <c r="O1191" s="25">
        <f t="shared" si="41"/>
        <v>3.1578947368420929E-2</v>
      </c>
    </row>
    <row r="1192" spans="1:15">
      <c r="A1192" s="94">
        <v>365.23748346707805</v>
      </c>
      <c r="B1192" s="94">
        <v>365.9664812542855</v>
      </c>
      <c r="C1192" s="94">
        <v>363.72193543577833</v>
      </c>
      <c r="D1192" s="94">
        <v>365.34299630470019</v>
      </c>
      <c r="E1192" s="94">
        <v>3555675.4841868789</v>
      </c>
      <c r="F1192" s="94" t="s">
        <v>1226</v>
      </c>
      <c r="G1192" s="25">
        <f t="shared" si="40"/>
        <v>-2.888048729259296E-4</v>
      </c>
      <c r="I1192" s="94">
        <v>5.83</v>
      </c>
      <c r="J1192" s="94">
        <v>5.99</v>
      </c>
      <c r="K1192" s="94">
        <v>5.78</v>
      </c>
      <c r="L1192" s="94">
        <v>5.85</v>
      </c>
      <c r="M1192" s="94">
        <v>1149236</v>
      </c>
      <c r="N1192" s="94" t="s">
        <v>1226</v>
      </c>
      <c r="O1192" s="25">
        <f t="shared" si="41"/>
        <v>-3.4188034188032956E-3</v>
      </c>
    </row>
    <row r="1193" spans="1:15">
      <c r="A1193" s="94">
        <v>365.52524575150204</v>
      </c>
      <c r="B1193" s="94">
        <v>366.5132295946911</v>
      </c>
      <c r="C1193" s="94">
        <v>361.53494207415605</v>
      </c>
      <c r="D1193" s="94">
        <v>361.8035202062851</v>
      </c>
      <c r="E1193" s="94">
        <v>4018711.8416675427</v>
      </c>
      <c r="F1193" s="94" t="s">
        <v>1227</v>
      </c>
      <c r="G1193" s="25">
        <f t="shared" si="40"/>
        <v>1.0286592963758334E-2</v>
      </c>
      <c r="I1193" s="94">
        <v>5.83</v>
      </c>
      <c r="J1193" s="94">
        <v>5.91</v>
      </c>
      <c r="K1193" s="94">
        <v>5.7301000000000002</v>
      </c>
      <c r="L1193" s="94">
        <v>5.78</v>
      </c>
      <c r="M1193" s="94">
        <v>1081773</v>
      </c>
      <c r="N1193" s="94" t="s">
        <v>1227</v>
      </c>
      <c r="O1193" s="25">
        <f t="shared" si="41"/>
        <v>8.65051903114189E-3</v>
      </c>
    </row>
    <row r="1194" spans="1:15">
      <c r="A1194" s="94">
        <v>359.90428912908669</v>
      </c>
      <c r="B1194" s="94">
        <v>364.14110916342264</v>
      </c>
      <c r="C1194" s="94">
        <v>358.69568753450596</v>
      </c>
      <c r="D1194" s="94">
        <v>360.76757598235872</v>
      </c>
      <c r="E1194" s="94">
        <v>4308335.2722252524</v>
      </c>
      <c r="F1194" s="94" t="s">
        <v>1228</v>
      </c>
      <c r="G1194" s="25">
        <f t="shared" si="40"/>
        <v>-2.3929169657814775E-3</v>
      </c>
      <c r="I1194" s="94">
        <v>5.73</v>
      </c>
      <c r="J1194" s="94">
        <v>5.91</v>
      </c>
      <c r="K1194" s="94">
        <v>5.34</v>
      </c>
      <c r="L1194" s="94">
        <v>5.34</v>
      </c>
      <c r="M1194" s="94">
        <v>2024618</v>
      </c>
      <c r="N1194" s="94" t="s">
        <v>1228</v>
      </c>
      <c r="O1194" s="25">
        <f t="shared" si="41"/>
        <v>7.3033707865168607E-2</v>
      </c>
    </row>
    <row r="1195" spans="1:15">
      <c r="A1195" s="94">
        <v>362.2447557090685</v>
      </c>
      <c r="B1195" s="94">
        <v>364.5084856798706</v>
      </c>
      <c r="C1195" s="94">
        <v>360.12490688047848</v>
      </c>
      <c r="D1195" s="94">
        <v>360.77716805850616</v>
      </c>
      <c r="E1195" s="94">
        <v>4609397.3108916963</v>
      </c>
      <c r="F1195" s="94" t="s">
        <v>1229</v>
      </c>
      <c r="G1195" s="25">
        <f t="shared" si="40"/>
        <v>4.0678506859512797E-3</v>
      </c>
      <c r="I1195" s="94">
        <v>5.41</v>
      </c>
      <c r="J1195" s="94">
        <v>5.44</v>
      </c>
      <c r="K1195" s="94">
        <v>5.15</v>
      </c>
      <c r="L1195" s="94">
        <v>5.27</v>
      </c>
      <c r="M1195" s="94">
        <v>1262663</v>
      </c>
      <c r="N1195" s="94" t="s">
        <v>1229</v>
      </c>
      <c r="O1195" s="25">
        <f t="shared" si="41"/>
        <v>2.6565464895635715E-2</v>
      </c>
    </row>
    <row r="1196" spans="1:15">
      <c r="A1196" s="94">
        <v>363.3382523898797</v>
      </c>
      <c r="B1196" s="94">
        <v>364.17276301470929</v>
      </c>
      <c r="C1196" s="94">
        <v>358.67650338221102</v>
      </c>
      <c r="D1196" s="94">
        <v>359.44386947400835</v>
      </c>
      <c r="E1196" s="94">
        <v>5469528.0972991027</v>
      </c>
      <c r="F1196" s="94" t="s">
        <v>1230</v>
      </c>
      <c r="G1196" s="25">
        <f t="shared" si="40"/>
        <v>1.0834467483254562E-2</v>
      </c>
      <c r="I1196" s="94">
        <v>5.33</v>
      </c>
      <c r="J1196" s="94">
        <v>5.34</v>
      </c>
      <c r="K1196" s="94">
        <v>5.04</v>
      </c>
      <c r="L1196" s="94">
        <v>5.0999999999999996</v>
      </c>
      <c r="M1196" s="94">
        <v>1291803</v>
      </c>
      <c r="N1196" s="94" t="s">
        <v>1230</v>
      </c>
      <c r="O1196" s="25">
        <f t="shared" si="41"/>
        <v>4.5098039215686336E-2</v>
      </c>
    </row>
    <row r="1197" spans="1:15">
      <c r="A1197" s="94">
        <v>358.0913867372156</v>
      </c>
      <c r="B1197" s="94">
        <v>358.65731922991614</v>
      </c>
      <c r="C1197" s="94">
        <v>351.05080284497529</v>
      </c>
      <c r="D1197" s="94">
        <v>354.35047703970372</v>
      </c>
      <c r="E1197" s="94">
        <v>4530129.8000514256</v>
      </c>
      <c r="F1197" s="94" t="s">
        <v>1231</v>
      </c>
      <c r="G1197" s="25">
        <f t="shared" si="40"/>
        <v>1.0557089491635585E-2</v>
      </c>
      <c r="I1197" s="94">
        <v>5.1100000000000003</v>
      </c>
      <c r="J1197" s="94">
        <v>5.25</v>
      </c>
      <c r="K1197" s="94">
        <v>4.9340999999999999</v>
      </c>
      <c r="L1197" s="94">
        <v>5.14</v>
      </c>
      <c r="M1197" s="94">
        <v>2055108</v>
      </c>
      <c r="N1197" s="94" t="s">
        <v>1231</v>
      </c>
      <c r="O1197" s="25">
        <f t="shared" si="41"/>
        <v>-5.8365758754862496E-3</v>
      </c>
    </row>
    <row r="1198" spans="1:15">
      <c r="A1198" s="94">
        <v>353.62147925249627</v>
      </c>
      <c r="B1198" s="94">
        <v>355.22335596912313</v>
      </c>
      <c r="C1198" s="94">
        <v>347.44466181733526</v>
      </c>
      <c r="D1198" s="94">
        <v>347.70316826950949</v>
      </c>
      <c r="E1198" s="94">
        <v>4691647.4919652054</v>
      </c>
      <c r="F1198" s="94" t="s">
        <v>1232</v>
      </c>
      <c r="G1198" s="25">
        <f t="shared" si="40"/>
        <v>1.7021159204391845E-2</v>
      </c>
      <c r="I1198" s="94">
        <v>5.14</v>
      </c>
      <c r="J1198" s="94">
        <v>5.15</v>
      </c>
      <c r="K1198" s="94">
        <v>4.96</v>
      </c>
      <c r="L1198" s="94">
        <v>5</v>
      </c>
      <c r="M1198" s="94">
        <v>1312426</v>
      </c>
      <c r="N1198" s="94" t="s">
        <v>1232</v>
      </c>
      <c r="O1198" s="25">
        <f t="shared" si="41"/>
        <v>2.8000000000000025E-2</v>
      </c>
    </row>
    <row r="1199" spans="1:15">
      <c r="A1199" s="94">
        <v>344.59533559773035</v>
      </c>
      <c r="B1199" s="94">
        <v>347.43459013738038</v>
      </c>
      <c r="C1199" s="94">
        <v>343.82806542669454</v>
      </c>
      <c r="D1199" s="94">
        <v>347.34826145205324</v>
      </c>
      <c r="E1199" s="94">
        <v>3114226.7368144495</v>
      </c>
      <c r="F1199" s="94" t="s">
        <v>1233</v>
      </c>
      <c r="G1199" s="25">
        <f t="shared" si="40"/>
        <v>-7.925549541588528E-3</v>
      </c>
      <c r="I1199" s="94">
        <v>5.0199999999999996</v>
      </c>
      <c r="J1199" s="94">
        <v>5.09</v>
      </c>
      <c r="K1199" s="94">
        <v>4.8101000000000003</v>
      </c>
      <c r="L1199" s="94">
        <v>4.91</v>
      </c>
      <c r="M1199" s="94">
        <v>1394953</v>
      </c>
      <c r="N1199" s="94" t="s">
        <v>1233</v>
      </c>
      <c r="O1199" s="25">
        <f t="shared" si="41"/>
        <v>2.2403258655804281E-2</v>
      </c>
    </row>
    <row r="1200" spans="1:15">
      <c r="A1200" s="94">
        <v>348.77748079802575</v>
      </c>
      <c r="B1200" s="94">
        <v>349.5736231182654</v>
      </c>
      <c r="C1200" s="94">
        <v>346.70559235017294</v>
      </c>
      <c r="D1200" s="94">
        <v>348.99809854941742</v>
      </c>
      <c r="E1200" s="94">
        <v>4068180.7984090233</v>
      </c>
      <c r="F1200" s="94" t="s">
        <v>1234</v>
      </c>
      <c r="G1200" s="25">
        <f t="shared" si="40"/>
        <v>-6.321459982407962E-4</v>
      </c>
      <c r="I1200" s="94">
        <v>4.93</v>
      </c>
      <c r="J1200" s="94">
        <v>5.0199999999999996</v>
      </c>
      <c r="K1200" s="94">
        <v>4.7649999999999997</v>
      </c>
      <c r="L1200" s="94">
        <v>4.92</v>
      </c>
      <c r="M1200" s="94">
        <v>1229568</v>
      </c>
      <c r="N1200" s="94" t="s">
        <v>1234</v>
      </c>
      <c r="O1200" s="25">
        <f t="shared" si="41"/>
        <v>2.0325203252031798E-3</v>
      </c>
    </row>
    <row r="1201" spans="1:15">
      <c r="A1201" s="94">
        <v>348.43216605671694</v>
      </c>
      <c r="B1201" s="94">
        <v>352.834929008404</v>
      </c>
      <c r="C1201" s="94">
        <v>346.28354099968442</v>
      </c>
      <c r="D1201" s="94">
        <v>351.73184025144536</v>
      </c>
      <c r="E1201" s="94">
        <v>4726674.3198213149</v>
      </c>
      <c r="F1201" s="94" t="s">
        <v>1235</v>
      </c>
      <c r="G1201" s="25">
        <f t="shared" si="40"/>
        <v>-9.3812211950148328E-3</v>
      </c>
      <c r="I1201" s="94">
        <v>4.95</v>
      </c>
      <c r="J1201" s="94">
        <v>5.2888000000000002</v>
      </c>
      <c r="K1201" s="94">
        <v>4.93</v>
      </c>
      <c r="L1201" s="94">
        <v>5.28</v>
      </c>
      <c r="M1201" s="94">
        <v>1825715</v>
      </c>
      <c r="N1201" s="94" t="s">
        <v>1235</v>
      </c>
      <c r="O1201" s="25">
        <f t="shared" si="41"/>
        <v>-6.25E-2</v>
      </c>
    </row>
    <row r="1202" spans="1:15">
      <c r="A1202" s="94">
        <v>351.63591948997066</v>
      </c>
      <c r="B1202" s="94">
        <v>351.6646957184131</v>
      </c>
      <c r="C1202" s="94">
        <v>345.3243333849378</v>
      </c>
      <c r="D1202" s="94">
        <v>347.57847127959241</v>
      </c>
      <c r="E1202" s="94">
        <v>4799773.1973969694</v>
      </c>
      <c r="F1202" s="94" t="s">
        <v>1236</v>
      </c>
      <c r="G1202" s="25">
        <f t="shared" si="40"/>
        <v>1.1673473893365705E-2</v>
      </c>
      <c r="I1202" s="94">
        <v>5.28</v>
      </c>
      <c r="J1202" s="94">
        <v>5.28</v>
      </c>
      <c r="K1202" s="94">
        <v>4.99</v>
      </c>
      <c r="L1202" s="94">
        <v>5.0999999999999996</v>
      </c>
      <c r="M1202" s="94">
        <v>2372484</v>
      </c>
      <c r="N1202" s="94" t="s">
        <v>1236</v>
      </c>
      <c r="O1202" s="25">
        <f t="shared" si="41"/>
        <v>3.529411764705892E-2</v>
      </c>
    </row>
    <row r="1203" spans="1:15">
      <c r="A1203" s="94">
        <v>348.11562754385056</v>
      </c>
      <c r="B1203" s="94">
        <v>349.3816856745546</v>
      </c>
      <c r="C1203" s="94">
        <v>344.7871771206797</v>
      </c>
      <c r="D1203" s="94">
        <v>345.98618663911299</v>
      </c>
      <c r="E1203" s="94">
        <v>4452254.0629830426</v>
      </c>
      <c r="F1203" s="94" t="s">
        <v>1237</v>
      </c>
      <c r="G1203" s="25">
        <f t="shared" si="40"/>
        <v>6.1546991960079733E-3</v>
      </c>
      <c r="I1203" s="94">
        <v>5.0999999999999996</v>
      </c>
      <c r="J1203" s="94">
        <v>5.21</v>
      </c>
      <c r="K1203" s="94">
        <v>4.91</v>
      </c>
      <c r="L1203" s="94">
        <v>4.9400000000000004</v>
      </c>
      <c r="M1203" s="94">
        <v>2784084</v>
      </c>
      <c r="N1203" s="94" t="s">
        <v>1237</v>
      </c>
      <c r="O1203" s="25">
        <f t="shared" si="41"/>
        <v>3.2388663967611198E-2</v>
      </c>
    </row>
    <row r="1204" spans="1:15">
      <c r="A1204" s="94">
        <v>345.89985795378578</v>
      </c>
      <c r="B1204" s="94">
        <v>346.36027760886418</v>
      </c>
      <c r="C1204" s="94">
        <v>339.79929752399715</v>
      </c>
      <c r="D1204" s="94">
        <v>340.47074285431978</v>
      </c>
      <c r="E1204" s="94">
        <v>3774106.8193627801</v>
      </c>
      <c r="F1204" s="94" t="s">
        <v>1238</v>
      </c>
      <c r="G1204" s="25">
        <f t="shared" si="40"/>
        <v>1.5945907874348464E-2</v>
      </c>
      <c r="I1204" s="94">
        <v>4.92</v>
      </c>
      <c r="J1204" s="94">
        <v>4.93</v>
      </c>
      <c r="K1204" s="94">
        <v>4.7300000000000004</v>
      </c>
      <c r="L1204" s="94">
        <v>4.79</v>
      </c>
      <c r="M1204" s="94">
        <v>1704828</v>
      </c>
      <c r="N1204" s="94" t="s">
        <v>1238</v>
      </c>
      <c r="O1204" s="25">
        <f t="shared" si="41"/>
        <v>2.7139874739039671E-2</v>
      </c>
    </row>
    <row r="1205" spans="1:15">
      <c r="A1205" s="94">
        <v>336.75860938525028</v>
      </c>
      <c r="B1205" s="94">
        <v>343.03182718569337</v>
      </c>
      <c r="C1205" s="94">
        <v>335.64592855214426</v>
      </c>
      <c r="D1205" s="94">
        <v>342.40834223610807</v>
      </c>
      <c r="E1205" s="94">
        <v>3695633.714226014</v>
      </c>
      <c r="F1205" s="94" t="s">
        <v>1239</v>
      </c>
      <c r="G1205" s="25">
        <f t="shared" si="40"/>
        <v>-1.6499985993221E-2</v>
      </c>
      <c r="I1205" s="94">
        <v>4.68</v>
      </c>
      <c r="J1205" s="94">
        <v>4.8600000000000003</v>
      </c>
      <c r="K1205" s="94">
        <v>4.66</v>
      </c>
      <c r="L1205" s="94">
        <v>4.6900000000000004</v>
      </c>
      <c r="M1205" s="94">
        <v>1716165</v>
      </c>
      <c r="N1205" s="94" t="s">
        <v>1239</v>
      </c>
      <c r="O1205" s="25">
        <f t="shared" si="41"/>
        <v>-2.1321961620470731E-3</v>
      </c>
    </row>
    <row r="1206" spans="1:15">
      <c r="A1206" s="94">
        <v>339.56908769645798</v>
      </c>
      <c r="B1206" s="94">
        <v>339.66500845793263</v>
      </c>
      <c r="C1206" s="94">
        <v>335.53082363837461</v>
      </c>
      <c r="D1206" s="94">
        <v>337.38209433483564</v>
      </c>
      <c r="E1206" s="94">
        <v>4712718.008597143</v>
      </c>
      <c r="F1206" s="94" t="s">
        <v>1240</v>
      </c>
      <c r="G1206" s="25">
        <f t="shared" si="40"/>
        <v>6.4822449037613694E-3</v>
      </c>
      <c r="I1206" s="94">
        <v>4.63</v>
      </c>
      <c r="J1206" s="94">
        <v>4.72</v>
      </c>
      <c r="K1206" s="94">
        <v>4.3600000000000003</v>
      </c>
      <c r="L1206" s="94">
        <v>4.67</v>
      </c>
      <c r="M1206" s="94">
        <v>2317589</v>
      </c>
      <c r="N1206" s="94" t="s">
        <v>1240</v>
      </c>
      <c r="O1206" s="25">
        <f t="shared" si="41"/>
        <v>-8.565310492505307E-3</v>
      </c>
    </row>
    <row r="1207" spans="1:15">
      <c r="A1207" s="94">
        <v>333.26709366757257</v>
      </c>
      <c r="B1207" s="94">
        <v>333.75628955109335</v>
      </c>
      <c r="C1207" s="94">
        <v>327.13296097126778</v>
      </c>
      <c r="D1207" s="94">
        <v>329.4014869801436</v>
      </c>
      <c r="E1207" s="94">
        <v>4821521.3566893768</v>
      </c>
      <c r="F1207" s="94" t="s">
        <v>1241</v>
      </c>
      <c r="G1207" s="25">
        <f t="shared" si="40"/>
        <v>1.1735243586383559E-2</v>
      </c>
      <c r="I1207" s="94">
        <v>4.5599999999999996</v>
      </c>
      <c r="J1207" s="94">
        <v>4.5999999999999996</v>
      </c>
      <c r="K1207" s="94">
        <v>4.4000000000000004</v>
      </c>
      <c r="L1207" s="94">
        <v>4.49</v>
      </c>
      <c r="M1207" s="94">
        <v>1204229</v>
      </c>
      <c r="N1207" s="94" t="s">
        <v>1241</v>
      </c>
      <c r="O1207" s="25">
        <f t="shared" si="41"/>
        <v>1.5590200445434244E-2</v>
      </c>
    </row>
    <row r="1208" spans="1:15">
      <c r="A1208" s="94">
        <v>334.14956467313948</v>
      </c>
      <c r="B1208" s="94">
        <v>336.68187277607058</v>
      </c>
      <c r="C1208" s="94">
        <v>330.3223262903004</v>
      </c>
      <c r="D1208" s="94">
        <v>330.67723310775665</v>
      </c>
      <c r="E1208" s="94">
        <v>5841838.5278145326</v>
      </c>
      <c r="F1208" s="94" t="s">
        <v>1242</v>
      </c>
      <c r="G1208" s="25">
        <f t="shared" si="40"/>
        <v>1.0500667169460964E-2</v>
      </c>
      <c r="I1208" s="94">
        <v>4.57</v>
      </c>
      <c r="J1208" s="94">
        <v>4.66</v>
      </c>
      <c r="K1208" s="94">
        <v>4.34</v>
      </c>
      <c r="L1208" s="94">
        <v>4.46</v>
      </c>
      <c r="M1208" s="94">
        <v>2013840</v>
      </c>
      <c r="N1208" s="94" t="s">
        <v>1242</v>
      </c>
      <c r="O1208" s="25">
        <f t="shared" si="41"/>
        <v>2.4663677130045025E-2</v>
      </c>
    </row>
    <row r="1209" spans="1:15">
      <c r="A1209" s="94">
        <v>335.71307308517646</v>
      </c>
      <c r="B1209" s="94">
        <v>340.42278247358246</v>
      </c>
      <c r="C1209" s="94">
        <v>334.16874882543436</v>
      </c>
      <c r="D1209" s="94">
        <v>338.21660495966523</v>
      </c>
      <c r="E1209" s="94">
        <v>4253793.378274777</v>
      </c>
      <c r="F1209" s="94" t="s">
        <v>1243</v>
      </c>
      <c r="G1209" s="25">
        <f t="shared" si="40"/>
        <v>-7.4021554169031445E-3</v>
      </c>
      <c r="I1209" s="94">
        <v>4.5199999999999996</v>
      </c>
      <c r="J1209" s="94">
        <v>4.68</v>
      </c>
      <c r="K1209" s="94">
        <v>4.415</v>
      </c>
      <c r="L1209" s="94">
        <v>4.58</v>
      </c>
      <c r="M1209" s="94">
        <v>2031400</v>
      </c>
      <c r="N1209" s="94" t="s">
        <v>1243</v>
      </c>
      <c r="O1209" s="25">
        <f t="shared" si="41"/>
        <v>-1.3100436681222849E-2</v>
      </c>
    </row>
    <row r="1210" spans="1:15">
      <c r="A1210" s="94">
        <v>338.84008990925054</v>
      </c>
      <c r="B1210" s="94">
        <v>341.0654515754627</v>
      </c>
      <c r="C1210" s="94">
        <v>338.13027627433803</v>
      </c>
      <c r="D1210" s="94">
        <v>340.36523001669764</v>
      </c>
      <c r="E1210" s="94">
        <v>3640186.9066920183</v>
      </c>
      <c r="F1210" s="94" t="s">
        <v>1244</v>
      </c>
      <c r="G1210" s="25">
        <f t="shared" si="40"/>
        <v>-4.4808927967533441E-3</v>
      </c>
      <c r="I1210" s="94">
        <v>4.53</v>
      </c>
      <c r="J1210" s="94">
        <v>4.9484000000000004</v>
      </c>
      <c r="K1210" s="94">
        <v>4.53</v>
      </c>
      <c r="L1210" s="94">
        <v>4.79</v>
      </c>
      <c r="M1210" s="94">
        <v>1517894</v>
      </c>
      <c r="N1210" s="94" t="s">
        <v>1244</v>
      </c>
      <c r="O1210" s="25">
        <f t="shared" si="41"/>
        <v>-5.4279749478079342E-2</v>
      </c>
    </row>
    <row r="1211" spans="1:15">
      <c r="A1211" s="94">
        <v>342.71528867282694</v>
      </c>
      <c r="B1211" s="94">
        <v>344.40349407478107</v>
      </c>
      <c r="C1211" s="94">
        <v>340.0112824068562</v>
      </c>
      <c r="D1211" s="94">
        <v>341.38755349249465</v>
      </c>
      <c r="E1211" s="94">
        <v>4995103.1730138632</v>
      </c>
      <c r="F1211" s="94" t="s">
        <v>1245</v>
      </c>
      <c r="G1211" s="25">
        <f t="shared" si="40"/>
        <v>3.8892313640295217E-3</v>
      </c>
      <c r="I1211" s="94">
        <v>4.84</v>
      </c>
      <c r="J1211" s="94">
        <v>4.8982000000000001</v>
      </c>
      <c r="K1211" s="94">
        <v>4.66</v>
      </c>
      <c r="L1211" s="94">
        <v>4.7300000000000004</v>
      </c>
      <c r="M1211" s="94">
        <v>1597894</v>
      </c>
      <c r="N1211" s="94" t="s">
        <v>1245</v>
      </c>
      <c r="O1211" s="25">
        <f t="shared" si="41"/>
        <v>2.3255813953488191E-2</v>
      </c>
    </row>
    <row r="1212" spans="1:15">
      <c r="A1212" s="94">
        <v>342.91672227192373</v>
      </c>
      <c r="B1212" s="94">
        <v>343.68408836372106</v>
      </c>
      <c r="C1212" s="94">
        <v>339.55949562031049</v>
      </c>
      <c r="D1212" s="94">
        <v>339.56908769645798</v>
      </c>
      <c r="E1212" s="94">
        <v>3896422.3621047861</v>
      </c>
      <c r="F1212" s="94" t="s">
        <v>1246</v>
      </c>
      <c r="G1212" s="25">
        <f t="shared" si="40"/>
        <v>9.8584785740514214E-3</v>
      </c>
      <c r="I1212" s="94">
        <v>4.79</v>
      </c>
      <c r="J1212" s="94">
        <v>5</v>
      </c>
      <c r="K1212" s="94">
        <v>4.7300000000000004</v>
      </c>
      <c r="L1212" s="94">
        <v>4.76</v>
      </c>
      <c r="M1212" s="94">
        <v>2466005</v>
      </c>
      <c r="N1212" s="94" t="s">
        <v>1246</v>
      </c>
      <c r="O1212" s="25">
        <f t="shared" si="41"/>
        <v>6.302521008403339E-3</v>
      </c>
    </row>
    <row r="1213" spans="1:15">
      <c r="A1213" s="94">
        <v>337.95761890368362</v>
      </c>
      <c r="B1213" s="94">
        <v>340.21175679833823</v>
      </c>
      <c r="C1213" s="94">
        <v>334.69631301354502</v>
      </c>
      <c r="D1213" s="94">
        <v>336.90249052746231</v>
      </c>
      <c r="E1213" s="94">
        <v>5682740.5414622156</v>
      </c>
      <c r="F1213" s="94" t="s">
        <v>1247</v>
      </c>
      <c r="G1213" s="25">
        <f t="shared" si="40"/>
        <v>3.1318509238960068E-3</v>
      </c>
      <c r="I1213" s="94">
        <v>4.72</v>
      </c>
      <c r="J1213" s="94">
        <v>4.76</v>
      </c>
      <c r="K1213" s="94">
        <v>4.55</v>
      </c>
      <c r="L1213" s="94">
        <v>4.57</v>
      </c>
      <c r="M1213" s="94">
        <v>2240715</v>
      </c>
      <c r="N1213" s="94" t="s">
        <v>1247</v>
      </c>
      <c r="O1213" s="25">
        <f t="shared" si="41"/>
        <v>3.2822757111597323E-2</v>
      </c>
    </row>
    <row r="1214" spans="1:15">
      <c r="A1214" s="94">
        <v>336.7394252329554</v>
      </c>
      <c r="B1214" s="94">
        <v>336.77779353754528</v>
      </c>
      <c r="C1214" s="94">
        <v>328.79718618285318</v>
      </c>
      <c r="D1214" s="94">
        <v>331.38704674266916</v>
      </c>
      <c r="E1214" s="94">
        <v>6443405.8956386643</v>
      </c>
      <c r="F1214" s="94" t="s">
        <v>1248</v>
      </c>
      <c r="G1214" s="25">
        <f t="shared" si="40"/>
        <v>1.6151441472733508E-2</v>
      </c>
      <c r="I1214" s="94">
        <v>4.6100000000000003</v>
      </c>
      <c r="J1214" s="94">
        <v>4.6100000000000003</v>
      </c>
      <c r="K1214" s="94">
        <v>4.1292999999999997</v>
      </c>
      <c r="L1214" s="94">
        <v>4.3</v>
      </c>
      <c r="M1214" s="94">
        <v>3436630</v>
      </c>
      <c r="N1214" s="94" t="s">
        <v>1248</v>
      </c>
      <c r="O1214" s="25">
        <f t="shared" si="41"/>
        <v>7.2093023255814126E-2</v>
      </c>
    </row>
    <row r="1215" spans="1:15">
      <c r="A1215" s="94">
        <v>336.14471651181248</v>
      </c>
      <c r="B1215" s="94">
        <v>336.51880748156367</v>
      </c>
      <c r="C1215" s="94">
        <v>329.57414435079795</v>
      </c>
      <c r="D1215" s="94">
        <v>332.0393079206969</v>
      </c>
      <c r="E1215" s="94">
        <v>7799646.1714663506</v>
      </c>
      <c r="F1215" s="94" t="s">
        <v>1249</v>
      </c>
      <c r="G1215" s="25">
        <f t="shared" si="40"/>
        <v>1.2364224636006282E-2</v>
      </c>
      <c r="I1215" s="94">
        <v>4.3899999999999997</v>
      </c>
      <c r="J1215" s="94">
        <v>4.46</v>
      </c>
      <c r="K1215" s="94">
        <v>4.2149999999999999</v>
      </c>
      <c r="L1215" s="94">
        <v>4.3499999999999996</v>
      </c>
      <c r="M1215" s="94">
        <v>2152677</v>
      </c>
      <c r="N1215" s="94" t="s">
        <v>1249</v>
      </c>
      <c r="O1215" s="25">
        <f t="shared" si="41"/>
        <v>9.1954022988505191E-3</v>
      </c>
    </row>
    <row r="1216" spans="1:15">
      <c r="A1216" s="94">
        <v>332.72993740331441</v>
      </c>
      <c r="B1216" s="94">
        <v>335.56919194296444</v>
      </c>
      <c r="C1216" s="94">
        <v>328.48064766998681</v>
      </c>
      <c r="D1216" s="94">
        <v>331.77072978856779</v>
      </c>
      <c r="E1216" s="94">
        <v>7464076.4834744353</v>
      </c>
      <c r="F1216" s="94" t="s">
        <v>1250</v>
      </c>
      <c r="G1216" s="25">
        <f t="shared" si="40"/>
        <v>2.8911761304497574E-3</v>
      </c>
      <c r="I1216" s="94">
        <v>4.33</v>
      </c>
      <c r="J1216" s="94">
        <v>4.37</v>
      </c>
      <c r="K1216" s="94">
        <v>4.17</v>
      </c>
      <c r="L1216" s="94">
        <v>4.29</v>
      </c>
      <c r="M1216" s="94">
        <v>3260328</v>
      </c>
      <c r="N1216" s="94" t="s">
        <v>1250</v>
      </c>
      <c r="O1216" s="25">
        <f t="shared" si="41"/>
        <v>9.3240093240092303E-3</v>
      </c>
    </row>
    <row r="1217" spans="1:15">
      <c r="A1217" s="94">
        <v>335.37735042001515</v>
      </c>
      <c r="B1217" s="94">
        <v>337.02718751737939</v>
      </c>
      <c r="C1217" s="94">
        <v>333.62200048502882</v>
      </c>
      <c r="D1217" s="94">
        <v>336.13512443566503</v>
      </c>
      <c r="E1217" s="94">
        <v>3936437.6824691249</v>
      </c>
      <c r="F1217" s="94" t="s">
        <v>1251</v>
      </c>
      <c r="G1217" s="25">
        <f t="shared" si="40"/>
        <v>-2.2543731986417459E-3</v>
      </c>
      <c r="I1217" s="94">
        <v>4.42</v>
      </c>
      <c r="J1217" s="94">
        <v>4.6100000000000003</v>
      </c>
      <c r="K1217" s="94">
        <v>4.29</v>
      </c>
      <c r="L1217" s="94">
        <v>4.55</v>
      </c>
      <c r="M1217" s="94">
        <v>3042203</v>
      </c>
      <c r="N1217" s="94" t="s">
        <v>1251</v>
      </c>
      <c r="O1217" s="25">
        <f t="shared" si="41"/>
        <v>-2.8571428571428581E-2</v>
      </c>
    </row>
    <row r="1218" spans="1:15">
      <c r="A1218" s="94">
        <v>335.21227078951728</v>
      </c>
      <c r="B1218" s="94">
        <v>346.61369128502281</v>
      </c>
      <c r="C1218" s="94">
        <v>335.21227078951728</v>
      </c>
      <c r="D1218" s="94">
        <v>343.98185940692332</v>
      </c>
      <c r="E1218" s="94">
        <v>9213697.9196066596</v>
      </c>
      <c r="F1218" s="94" t="s">
        <v>1252</v>
      </c>
      <c r="G1218" s="25">
        <f t="shared" si="40"/>
        <v>-2.5494334592312873E-2</v>
      </c>
      <c r="I1218" s="94">
        <v>4.5199999999999996</v>
      </c>
      <c r="J1218" s="94">
        <v>5.0250000000000004</v>
      </c>
      <c r="K1218" s="94">
        <v>4.51</v>
      </c>
      <c r="L1218" s="94">
        <v>4.87</v>
      </c>
      <c r="M1218" s="94">
        <v>3612026</v>
      </c>
      <c r="N1218" s="94" t="s">
        <v>1252</v>
      </c>
      <c r="O1218" s="25">
        <f t="shared" si="41"/>
        <v>-7.1868583162217781E-2</v>
      </c>
    </row>
    <row r="1219" spans="1:15">
      <c r="A1219" s="94">
        <v>342.6157905917936</v>
      </c>
      <c r="B1219" s="94">
        <v>345.00402278607629</v>
      </c>
      <c r="C1219" s="94">
        <v>341.58407428386352</v>
      </c>
      <c r="D1219" s="94">
        <v>344.86072885441939</v>
      </c>
      <c r="E1219" s="94">
        <v>4824269.19274511</v>
      </c>
      <c r="F1219" s="94" t="s">
        <v>1253</v>
      </c>
      <c r="G1219" s="25">
        <f t="shared" si="40"/>
        <v>-6.5096952908589856E-3</v>
      </c>
      <c r="I1219" s="94">
        <v>4.87</v>
      </c>
      <c r="J1219" s="94">
        <v>4.93</v>
      </c>
      <c r="K1219" s="94">
        <v>4.71</v>
      </c>
      <c r="L1219" s="94">
        <v>4.8600000000000003</v>
      </c>
      <c r="M1219" s="94">
        <v>4035186</v>
      </c>
      <c r="N1219" s="94" t="s">
        <v>1253</v>
      </c>
      <c r="O1219" s="25">
        <f t="shared" si="41"/>
        <v>2.057613168724215E-3</v>
      </c>
    </row>
    <row r="1220" spans="1:15">
      <c r="A1220" s="94">
        <v>343.90543597670631</v>
      </c>
      <c r="B1220" s="94">
        <v>343.92454183426054</v>
      </c>
      <c r="C1220" s="94">
        <v>336.23443416867036</v>
      </c>
      <c r="D1220" s="94">
        <v>336.29175174133309</v>
      </c>
      <c r="E1220" s="94">
        <v>5714016.2219858039</v>
      </c>
      <c r="F1220" s="94" t="s">
        <v>1254</v>
      </c>
      <c r="G1220" s="25">
        <f t="shared" si="40"/>
        <v>2.2640115899213331E-2</v>
      </c>
      <c r="I1220" s="94">
        <v>4.8</v>
      </c>
      <c r="J1220" s="94">
        <v>5.1050000000000004</v>
      </c>
      <c r="K1220" s="94">
        <v>4.6849999999999996</v>
      </c>
      <c r="L1220" s="94">
        <v>5.0599999999999996</v>
      </c>
      <c r="M1220" s="94">
        <v>21372815</v>
      </c>
      <c r="N1220" s="94" t="s">
        <v>1254</v>
      </c>
      <c r="O1220" s="25">
        <f t="shared" si="41"/>
        <v>-5.1383399209486091E-2</v>
      </c>
    </row>
    <row r="1221" spans="1:15">
      <c r="A1221" s="94">
        <v>333.5214023959652</v>
      </c>
      <c r="B1221" s="94">
        <v>333.97994297726746</v>
      </c>
      <c r="C1221" s="94">
        <v>328.75449093617692</v>
      </c>
      <c r="D1221" s="94">
        <v>332.08846307939558</v>
      </c>
      <c r="E1221" s="94">
        <v>7022740.5191803528</v>
      </c>
      <c r="F1221" s="94" t="s">
        <v>1255</v>
      </c>
      <c r="G1221" s="25">
        <f t="shared" si="40"/>
        <v>4.3149325432212393E-3</v>
      </c>
      <c r="I1221" s="94">
        <v>4.97</v>
      </c>
      <c r="J1221" s="94">
        <v>5.1200999999999999</v>
      </c>
      <c r="K1221" s="94">
        <v>4.8</v>
      </c>
      <c r="L1221" s="94">
        <v>4.8899999999999997</v>
      </c>
      <c r="M1221" s="94">
        <v>3479321</v>
      </c>
      <c r="N1221" s="94" t="s">
        <v>1255</v>
      </c>
      <c r="O1221" s="25">
        <f t="shared" si="41"/>
        <v>1.6359918200409052E-2</v>
      </c>
    </row>
    <row r="1222" spans="1:15">
      <c r="A1222" s="94">
        <v>330.05368924986675</v>
      </c>
      <c r="B1222" s="94">
        <v>333.88441368949617</v>
      </c>
      <c r="C1222" s="94">
        <v>326.36129121893015</v>
      </c>
      <c r="D1222" s="94">
        <v>326.78658760808798</v>
      </c>
      <c r="E1222" s="94">
        <v>5104256.6251232419</v>
      </c>
      <c r="F1222" s="94" t="s">
        <v>1256</v>
      </c>
      <c r="G1222" s="25">
        <f>A1222/D1222-1</f>
        <v>9.9976613657626334E-3</v>
      </c>
      <c r="I1222" s="94">
        <v>4.87</v>
      </c>
      <c r="J1222" s="94">
        <v>5.2000999999999999</v>
      </c>
      <c r="K1222" s="94">
        <v>4.8</v>
      </c>
      <c r="L1222" s="94">
        <v>4.9400000000000004</v>
      </c>
      <c r="M1222" s="94">
        <v>4056412</v>
      </c>
      <c r="N1222" s="94" t="s">
        <v>1256</v>
      </c>
      <c r="O1222" s="25">
        <f>I1222/L1222-1</f>
        <v>-1.4170040485830038E-2</v>
      </c>
    </row>
    <row r="1223" spans="1:15">
      <c r="G1223" s="25"/>
      <c r="O1223" s="25"/>
    </row>
    <row r="1224" spans="1:15">
      <c r="G1224" s="25"/>
      <c r="O1224" s="25"/>
    </row>
    <row r="1225" spans="1:15">
      <c r="G1225" s="25"/>
      <c r="O1225" s="25"/>
    </row>
    <row r="1226" spans="1:15">
      <c r="G1226" s="25"/>
      <c r="O1226" s="25"/>
    </row>
    <row r="1227" spans="1:15">
      <c r="G1227" s="25"/>
      <c r="O1227" s="25"/>
    </row>
    <row r="1228" spans="1:15">
      <c r="G1228" s="25"/>
      <c r="O1228" s="25"/>
    </row>
    <row r="1229" spans="1:15">
      <c r="G1229" s="25"/>
      <c r="O1229" s="25"/>
    </row>
    <row r="1230" spans="1:15">
      <c r="G1230" s="25"/>
      <c r="O1230" s="25"/>
    </row>
    <row r="1231" spans="1:15">
      <c r="G1231" s="25"/>
      <c r="O1231" s="25"/>
    </row>
    <row r="1232" spans="1:15">
      <c r="G1232" s="25"/>
      <c r="O1232" s="25"/>
    </row>
    <row r="1233" spans="7:15">
      <c r="G1233" s="25"/>
      <c r="O1233" s="25"/>
    </row>
    <row r="1234" spans="7:15">
      <c r="G1234" s="25"/>
      <c r="O1234" s="25"/>
    </row>
    <row r="1235" spans="7:15">
      <c r="G1235" s="25"/>
      <c r="O1235" s="25"/>
    </row>
    <row r="1236" spans="7:15">
      <c r="G1236" s="25"/>
      <c r="O1236" s="25"/>
    </row>
    <row r="1237" spans="7:15">
      <c r="G1237" s="25"/>
      <c r="O1237" s="25"/>
    </row>
    <row r="1238" spans="7:15">
      <c r="G1238" s="25"/>
      <c r="O1238" s="25"/>
    </row>
    <row r="1239" spans="7:15">
      <c r="G1239" s="25"/>
      <c r="O1239" s="25"/>
    </row>
    <row r="1240" spans="7:15">
      <c r="G1240" s="25"/>
      <c r="O1240" s="25"/>
    </row>
    <row r="1241" spans="7:15">
      <c r="G1241" s="25"/>
      <c r="O1241" s="25"/>
    </row>
    <row r="1242" spans="7:15">
      <c r="G1242" s="25"/>
      <c r="O1242" s="25"/>
    </row>
    <row r="1243" spans="7:15">
      <c r="G1243" s="25"/>
      <c r="O1243" s="25"/>
    </row>
    <row r="1244" spans="7:15">
      <c r="G1244" s="25"/>
      <c r="O1244" s="25"/>
    </row>
    <row r="1245" spans="7:15">
      <c r="G1245" s="25"/>
      <c r="O1245" s="25"/>
    </row>
    <row r="1246" spans="7:15">
      <c r="G1246" s="25"/>
      <c r="O1246" s="25"/>
    </row>
    <row r="1247" spans="7:15">
      <c r="G1247" s="25"/>
      <c r="O1247" s="25"/>
    </row>
    <row r="1248" spans="7:15">
      <c r="G1248" s="25"/>
      <c r="O1248" s="25"/>
    </row>
    <row r="1249" spans="7:15">
      <c r="G1249" s="25"/>
      <c r="O1249" s="25"/>
    </row>
    <row r="1250" spans="7:15">
      <c r="G1250" s="25"/>
      <c r="O1250" s="25"/>
    </row>
    <row r="1251" spans="7:15">
      <c r="G1251" s="25"/>
      <c r="O1251" s="25"/>
    </row>
    <row r="1252" spans="7:15">
      <c r="G1252" s="25"/>
      <c r="O1252" s="25"/>
    </row>
    <row r="1253" spans="7:15">
      <c r="G1253" s="25"/>
      <c r="O1253" s="25"/>
    </row>
    <row r="1254" spans="7:15">
      <c r="G1254" s="25"/>
      <c r="O1254" s="25"/>
    </row>
    <row r="1255" spans="7:15">
      <c r="G1255" s="25"/>
      <c r="O1255" s="25"/>
    </row>
    <row r="1256" spans="7:15">
      <c r="G1256" s="25"/>
      <c r="O1256" s="25"/>
    </row>
    <row r="1257" spans="7:15">
      <c r="G1257" s="25"/>
      <c r="O1257" s="25"/>
    </row>
    <row r="1258" spans="7:15">
      <c r="G1258" s="25"/>
      <c r="O1258" s="25"/>
    </row>
    <row r="1259" spans="7:15">
      <c r="G1259" s="25"/>
      <c r="O1259" s="25"/>
    </row>
    <row r="1260" spans="7:15">
      <c r="G1260" s="25"/>
      <c r="O1260" s="25"/>
    </row>
    <row r="1261" spans="7:15">
      <c r="G1261" s="25"/>
      <c r="O1261" s="25"/>
    </row>
    <row r="1262" spans="7:15">
      <c r="G1262" s="25"/>
      <c r="O1262" s="25"/>
    </row>
    <row r="1263" spans="7:15">
      <c r="G1263" s="25"/>
      <c r="O1263" s="25"/>
    </row>
    <row r="1264" spans="7:15">
      <c r="G1264" s="25"/>
      <c r="O1264" s="25"/>
    </row>
    <row r="1265" spans="7:15">
      <c r="G1265" s="25"/>
      <c r="O1265" s="25"/>
    </row>
    <row r="1266" spans="7:15">
      <c r="G1266" s="25"/>
      <c r="O1266" s="25"/>
    </row>
    <row r="1267" spans="7:15">
      <c r="G1267" s="25"/>
      <c r="O1267" s="25"/>
    </row>
    <row r="1268" spans="7:15">
      <c r="G1268" s="25"/>
      <c r="O1268" s="25"/>
    </row>
    <row r="1269" spans="7:15">
      <c r="G1269" s="25"/>
      <c r="O1269" s="25"/>
    </row>
    <row r="1270" spans="7:15">
      <c r="G1270" s="25"/>
      <c r="O1270" s="25"/>
    </row>
    <row r="1271" spans="7:15">
      <c r="G1271" s="25"/>
      <c r="O1271" s="25"/>
    </row>
    <row r="1272" spans="7:15">
      <c r="G1272" s="25"/>
      <c r="O1272" s="25"/>
    </row>
    <row r="1273" spans="7:15">
      <c r="G1273" s="25"/>
      <c r="O1273" s="25"/>
    </row>
    <row r="1274" spans="7:15">
      <c r="G1274" s="25"/>
      <c r="O1274" s="25"/>
    </row>
    <row r="1275" spans="7:15">
      <c r="G1275" s="25"/>
      <c r="O1275" s="25"/>
    </row>
    <row r="1276" spans="7:15">
      <c r="G1276" s="25"/>
      <c r="O1276" s="25"/>
    </row>
    <row r="1277" spans="7:15">
      <c r="G1277" s="25"/>
      <c r="O1277" s="25"/>
    </row>
    <row r="1278" spans="7:15">
      <c r="G1278" s="25"/>
      <c r="O1278" s="25"/>
    </row>
    <row r="1279" spans="7:15">
      <c r="G1279" s="25"/>
      <c r="O1279" s="25"/>
    </row>
    <row r="1280" spans="7:15">
      <c r="G1280" s="25"/>
      <c r="O1280" s="25"/>
    </row>
    <row r="1281" spans="7:15">
      <c r="G1281" s="25"/>
      <c r="O1281" s="25"/>
    </row>
    <row r="1282" spans="7:15">
      <c r="G1282" s="25"/>
      <c r="O1282" s="25"/>
    </row>
    <row r="1283" spans="7:15">
      <c r="G1283" s="25"/>
      <c r="O1283" s="25"/>
    </row>
    <row r="1284" spans="7:15">
      <c r="G1284" s="25"/>
      <c r="O1284" s="25"/>
    </row>
    <row r="1285" spans="7:15">
      <c r="G1285" s="25"/>
      <c r="O1285" s="25"/>
    </row>
    <row r="1286" spans="7:15">
      <c r="G1286" s="25"/>
      <c r="O1286" s="25"/>
    </row>
    <row r="1287" spans="7:15">
      <c r="G1287" s="25"/>
      <c r="O1287" s="25"/>
    </row>
    <row r="1288" spans="7:15">
      <c r="G1288" s="25"/>
      <c r="O1288" s="25"/>
    </row>
    <row r="1289" spans="7:15">
      <c r="G1289" s="25"/>
      <c r="O1289" s="25"/>
    </row>
    <row r="1290" spans="7:15">
      <c r="G1290" s="25"/>
      <c r="O1290" s="25"/>
    </row>
    <row r="1291" spans="7:15">
      <c r="G1291" s="25"/>
      <c r="O1291" s="25"/>
    </row>
    <row r="1292" spans="7:15">
      <c r="G1292" s="25"/>
      <c r="O1292" s="25"/>
    </row>
    <row r="1293" spans="7:15">
      <c r="G1293" s="25"/>
      <c r="O1293" s="25"/>
    </row>
    <row r="1294" spans="7:15">
      <c r="G1294" s="25"/>
      <c r="O1294" s="25"/>
    </row>
    <row r="1295" spans="7:15">
      <c r="G1295" s="25"/>
      <c r="O1295" s="25"/>
    </row>
    <row r="1296" spans="7:15">
      <c r="G1296" s="25"/>
      <c r="O1296" s="25"/>
    </row>
    <row r="1297" spans="7:15">
      <c r="G1297" s="25"/>
      <c r="O1297" s="25"/>
    </row>
    <row r="1298" spans="7:15">
      <c r="G1298" s="25"/>
      <c r="O1298" s="25"/>
    </row>
    <row r="1299" spans="7:15">
      <c r="G1299" s="25"/>
      <c r="O1299" s="25"/>
    </row>
    <row r="1300" spans="7:15">
      <c r="G1300" s="25"/>
      <c r="O1300" s="25"/>
    </row>
    <row r="1301" spans="7:15">
      <c r="G1301" s="25"/>
      <c r="O1301" s="25"/>
    </row>
    <row r="1302" spans="7:15">
      <c r="G1302" s="25"/>
      <c r="O1302" s="25"/>
    </row>
    <row r="1303" spans="7:15">
      <c r="G1303" s="25"/>
      <c r="O1303" s="25"/>
    </row>
    <row r="1304" spans="7:15">
      <c r="G1304" s="25"/>
      <c r="O1304" s="25"/>
    </row>
    <row r="1305" spans="7:15">
      <c r="G1305" s="25"/>
      <c r="O1305" s="25"/>
    </row>
    <row r="1306" spans="7:15">
      <c r="G1306" s="25"/>
      <c r="O1306" s="25"/>
    </row>
    <row r="1307" spans="7:15">
      <c r="G1307" s="25"/>
      <c r="O1307" s="25"/>
    </row>
    <row r="1308" spans="7:15">
      <c r="G1308" s="25"/>
      <c r="O1308" s="25"/>
    </row>
    <row r="1309" spans="7:15">
      <c r="G1309" s="25"/>
      <c r="O1309" s="25"/>
    </row>
    <row r="1310" spans="7:15">
      <c r="G1310" s="25"/>
      <c r="O1310" s="25"/>
    </row>
    <row r="1311" spans="7:15">
      <c r="G1311" s="25"/>
      <c r="O1311" s="25"/>
    </row>
    <row r="1312" spans="7:15">
      <c r="G1312" s="25"/>
      <c r="O1312" s="25"/>
    </row>
    <row r="1313" spans="7:15">
      <c r="G1313" s="25"/>
      <c r="O1313" s="25"/>
    </row>
    <row r="1314" spans="7:15">
      <c r="G1314" s="25"/>
      <c r="O1314" s="25"/>
    </row>
    <row r="1315" spans="7:15">
      <c r="G1315" s="25"/>
      <c r="O1315" s="25"/>
    </row>
    <row r="1316" spans="7:15">
      <c r="G1316" s="25"/>
      <c r="O1316" s="25"/>
    </row>
    <row r="1317" spans="7:15">
      <c r="G1317" s="25"/>
      <c r="O1317" s="25"/>
    </row>
    <row r="1318" spans="7:15">
      <c r="G1318" s="25"/>
      <c r="O1318" s="25"/>
    </row>
    <row r="1319" spans="7:15">
      <c r="G1319" s="25"/>
      <c r="O1319" s="25"/>
    </row>
    <row r="1320" spans="7:15">
      <c r="G1320" s="25"/>
      <c r="O1320" s="25"/>
    </row>
    <row r="1321" spans="7:15">
      <c r="G1321" s="25"/>
      <c r="O1321" s="25"/>
    </row>
    <row r="1322" spans="7:15">
      <c r="G1322" s="25"/>
      <c r="O1322" s="25"/>
    </row>
    <row r="1323" spans="7:15">
      <c r="G1323" s="25"/>
      <c r="O1323" s="25"/>
    </row>
    <row r="1324" spans="7:15">
      <c r="G1324" s="25"/>
      <c r="O1324" s="25"/>
    </row>
    <row r="1325" spans="7:15">
      <c r="G1325" s="25"/>
      <c r="O1325" s="25"/>
    </row>
    <row r="1326" spans="7:15">
      <c r="G1326" s="25"/>
      <c r="O1326" s="25"/>
    </row>
    <row r="1327" spans="7:15">
      <c r="G1327" s="25"/>
      <c r="O1327" s="25"/>
    </row>
    <row r="1328" spans="7:15">
      <c r="G1328" s="25"/>
      <c r="O1328" s="25"/>
    </row>
    <row r="1329" spans="7:15">
      <c r="G1329" s="25"/>
      <c r="O1329" s="25"/>
    </row>
    <row r="1330" spans="7:15">
      <c r="G1330" s="25"/>
      <c r="O1330" s="25"/>
    </row>
    <row r="1331" spans="7:15">
      <c r="G1331" s="25"/>
      <c r="O1331" s="25"/>
    </row>
    <row r="1332" spans="7:15">
      <c r="G1332" s="25"/>
      <c r="O1332" s="25"/>
    </row>
    <row r="1333" spans="7:15">
      <c r="G1333" s="25"/>
      <c r="O1333" s="25"/>
    </row>
    <row r="1334" spans="7:15">
      <c r="G1334" s="25"/>
      <c r="O1334" s="25"/>
    </row>
    <row r="1335" spans="7:15">
      <c r="G1335" s="25"/>
      <c r="O1335" s="25"/>
    </row>
    <row r="1336" spans="7:15">
      <c r="G1336" s="25"/>
      <c r="O1336" s="25"/>
    </row>
    <row r="1337" spans="7:15">
      <c r="G1337" s="25"/>
      <c r="O1337" s="25"/>
    </row>
    <row r="1338" spans="7:15">
      <c r="G1338" s="25"/>
      <c r="O1338" s="25"/>
    </row>
    <row r="1339" spans="7:15">
      <c r="G1339" s="25"/>
      <c r="O1339" s="25"/>
    </row>
    <row r="1340" spans="7:15">
      <c r="G1340" s="25"/>
      <c r="O1340" s="25"/>
    </row>
    <row r="1341" spans="7:15">
      <c r="G1341" s="25"/>
      <c r="O1341" s="25"/>
    </row>
    <row r="1342" spans="7:15">
      <c r="G1342" s="25"/>
      <c r="O1342" s="25"/>
    </row>
    <row r="1343" spans="7:15">
      <c r="G1343" s="25"/>
      <c r="O1343" s="25"/>
    </row>
    <row r="1344" spans="7:15">
      <c r="G1344" s="25"/>
      <c r="O1344" s="25"/>
    </row>
    <row r="1345" spans="7:15">
      <c r="G1345" s="25"/>
      <c r="O1345" s="25"/>
    </row>
    <row r="1346" spans="7:15">
      <c r="G1346" s="25"/>
      <c r="O1346" s="25"/>
    </row>
    <row r="1347" spans="7:15">
      <c r="G1347" s="25"/>
      <c r="O1347" s="25"/>
    </row>
    <row r="1348" spans="7:15">
      <c r="G1348" s="25"/>
      <c r="O1348" s="25"/>
    </row>
    <row r="1349" spans="7:15">
      <c r="G1349" s="25"/>
      <c r="O1349" s="25"/>
    </row>
    <row r="1350" spans="7:15">
      <c r="G1350" s="25"/>
      <c r="O1350" s="25"/>
    </row>
    <row r="1351" spans="7:15">
      <c r="G1351" s="25"/>
      <c r="O1351" s="25"/>
    </row>
    <row r="1352" spans="7:15">
      <c r="G1352" s="25"/>
      <c r="O1352" s="25"/>
    </row>
    <row r="1353" spans="7:15">
      <c r="G1353" s="25"/>
      <c r="O1353" s="25"/>
    </row>
    <row r="1354" spans="7:15">
      <c r="G1354" s="25"/>
      <c r="O1354" s="25"/>
    </row>
    <row r="1355" spans="7:15">
      <c r="G1355" s="25"/>
      <c r="O1355" s="25"/>
    </row>
    <row r="1356" spans="7:15">
      <c r="G1356" s="25"/>
      <c r="O1356" s="25"/>
    </row>
    <row r="1357" spans="7:15">
      <c r="G1357" s="25"/>
      <c r="O1357" s="25"/>
    </row>
    <row r="1358" spans="7:15">
      <c r="G1358" s="25"/>
      <c r="O1358" s="25"/>
    </row>
    <row r="1359" spans="7:15">
      <c r="G1359" s="25"/>
      <c r="O1359" s="25"/>
    </row>
    <row r="1360" spans="7:15">
      <c r="G1360" s="25"/>
      <c r="O1360" s="25"/>
    </row>
    <row r="1361" spans="7:15">
      <c r="G1361" s="25"/>
      <c r="O1361" s="25"/>
    </row>
    <row r="1362" spans="7:15">
      <c r="G1362" s="25"/>
      <c r="O1362" s="25"/>
    </row>
    <row r="1363" spans="7:15">
      <c r="G1363" s="25"/>
      <c r="O1363" s="25"/>
    </row>
    <row r="1364" spans="7:15">
      <c r="G1364" s="25"/>
      <c r="O1364" s="25"/>
    </row>
    <row r="1365" spans="7:15">
      <c r="G1365" s="25"/>
      <c r="O1365" s="25"/>
    </row>
    <row r="1366" spans="7:15">
      <c r="G1366" s="25"/>
      <c r="O1366" s="25"/>
    </row>
    <row r="1367" spans="7:15">
      <c r="G1367" s="25"/>
      <c r="O1367" s="25"/>
    </row>
    <row r="1368" spans="7:15">
      <c r="G1368" s="25"/>
      <c r="O1368" s="25"/>
    </row>
    <row r="1369" spans="7:15">
      <c r="G1369" s="25"/>
      <c r="O1369" s="25"/>
    </row>
    <row r="1370" spans="7:15">
      <c r="G1370" s="25"/>
      <c r="O1370" s="25"/>
    </row>
    <row r="1371" spans="7:15">
      <c r="G1371" s="25"/>
      <c r="O1371" s="25"/>
    </row>
    <row r="1372" spans="7:15">
      <c r="G1372" s="25"/>
      <c r="O1372" s="25"/>
    </row>
    <row r="1373" spans="7:15">
      <c r="G1373" s="25"/>
      <c r="O1373" s="25"/>
    </row>
    <row r="1374" spans="7:15">
      <c r="G1374" s="25"/>
      <c r="O1374" s="25"/>
    </row>
    <row r="1375" spans="7:15">
      <c r="G1375" s="25"/>
      <c r="O1375" s="25"/>
    </row>
    <row r="1376" spans="7:15">
      <c r="G1376" s="25"/>
      <c r="O1376" s="25"/>
    </row>
    <row r="1377" spans="7:15">
      <c r="G1377" s="25"/>
      <c r="O1377" s="25"/>
    </row>
    <row r="1378" spans="7:15">
      <c r="G1378" s="25"/>
      <c r="O1378" s="25"/>
    </row>
    <row r="1379" spans="7:15">
      <c r="G1379" s="25"/>
      <c r="O1379" s="25"/>
    </row>
    <row r="1380" spans="7:15">
      <c r="G1380" s="25"/>
      <c r="O1380" s="25"/>
    </row>
    <row r="1381" spans="7:15">
      <c r="G1381" s="25"/>
      <c r="O1381" s="25"/>
    </row>
    <row r="1382" spans="7:15">
      <c r="G1382" s="25"/>
      <c r="O1382" s="25"/>
    </row>
    <row r="1383" spans="7:15">
      <c r="G1383" s="25"/>
      <c r="O1383" s="25"/>
    </row>
    <row r="1384" spans="7:15">
      <c r="G1384" s="25"/>
      <c r="O1384" s="25"/>
    </row>
    <row r="1385" spans="7:15">
      <c r="G1385" s="25"/>
      <c r="O1385" s="25"/>
    </row>
    <row r="1386" spans="7:15">
      <c r="G1386" s="25"/>
      <c r="O1386" s="25"/>
    </row>
    <row r="1387" spans="7:15">
      <c r="G1387" s="25"/>
      <c r="O1387" s="25"/>
    </row>
    <row r="1388" spans="7:15">
      <c r="G1388" s="25"/>
      <c r="O1388" s="25"/>
    </row>
    <row r="1389" spans="7:15">
      <c r="G1389" s="25"/>
      <c r="O1389" s="25"/>
    </row>
    <row r="1390" spans="7:15">
      <c r="G1390" s="25"/>
      <c r="O1390" s="25"/>
    </row>
    <row r="1391" spans="7:15">
      <c r="G1391" s="25"/>
      <c r="O1391" s="25"/>
    </row>
    <row r="1392" spans="7:15">
      <c r="G1392" s="25"/>
      <c r="O1392" s="25"/>
    </row>
    <row r="1393" spans="7:15">
      <c r="G1393" s="25"/>
      <c r="O1393" s="25"/>
    </row>
    <row r="1394" spans="7:15">
      <c r="G1394" s="25"/>
      <c r="O1394" s="25"/>
    </row>
    <row r="1395" spans="7:15">
      <c r="G1395" s="25"/>
      <c r="O1395" s="25"/>
    </row>
    <row r="1396" spans="7:15">
      <c r="G1396" s="25"/>
      <c r="O1396" s="25"/>
    </row>
    <row r="1397" spans="7:15">
      <c r="G1397" s="25"/>
      <c r="O1397" s="25"/>
    </row>
    <row r="1398" spans="7:15">
      <c r="G1398" s="25"/>
      <c r="O1398" s="25"/>
    </row>
    <row r="1399" spans="7:15">
      <c r="G1399" s="25"/>
      <c r="O1399" s="25"/>
    </row>
    <row r="1400" spans="7:15">
      <c r="G1400" s="25"/>
      <c r="O1400" s="25"/>
    </row>
    <row r="1401" spans="7:15">
      <c r="G1401" s="25"/>
      <c r="O1401" s="25"/>
    </row>
    <row r="1402" spans="7:15">
      <c r="G1402" s="25"/>
      <c r="O1402" s="25"/>
    </row>
    <row r="1403" spans="7:15">
      <c r="G1403" s="25"/>
      <c r="O1403" s="25"/>
    </row>
    <row r="1404" spans="7:15">
      <c r="G1404" s="25"/>
      <c r="O1404" s="25"/>
    </row>
    <row r="1405" spans="7:15">
      <c r="G1405" s="25"/>
      <c r="O1405" s="25"/>
    </row>
    <row r="1406" spans="7:15">
      <c r="G1406" s="25"/>
      <c r="O1406" s="25"/>
    </row>
    <row r="1407" spans="7:15">
      <c r="G1407" s="25"/>
      <c r="O1407" s="25"/>
    </row>
    <row r="1408" spans="7:15">
      <c r="G1408" s="25"/>
      <c r="O1408" s="25"/>
    </row>
    <row r="1409" spans="7:15">
      <c r="G1409" s="25"/>
      <c r="O1409" s="25"/>
    </row>
    <row r="1410" spans="7:15">
      <c r="G1410" s="25"/>
      <c r="O1410" s="25"/>
    </row>
    <row r="1411" spans="7:15">
      <c r="G1411" s="25"/>
      <c r="O1411" s="25"/>
    </row>
    <row r="1412" spans="7:15">
      <c r="G1412" s="25"/>
      <c r="O1412" s="25"/>
    </row>
    <row r="1413" spans="7:15">
      <c r="G1413" s="25"/>
      <c r="O1413" s="25"/>
    </row>
    <row r="1414" spans="7:15">
      <c r="G1414" s="25"/>
      <c r="O1414" s="25"/>
    </row>
    <row r="1415" spans="7:15">
      <c r="G1415" s="25"/>
      <c r="O1415" s="25"/>
    </row>
    <row r="1416" spans="7:15">
      <c r="G1416" s="25"/>
      <c r="O1416" s="25"/>
    </row>
    <row r="1417" spans="7:15">
      <c r="G1417" s="25"/>
      <c r="O1417" s="25"/>
    </row>
    <row r="1418" spans="7:15">
      <c r="G1418" s="25"/>
      <c r="O1418" s="25"/>
    </row>
    <row r="1419" spans="7:15">
      <c r="G1419" s="25"/>
      <c r="O1419" s="25"/>
    </row>
    <row r="1420" spans="7:15">
      <c r="G1420" s="25"/>
      <c r="O1420" s="25"/>
    </row>
    <row r="1421" spans="7:15">
      <c r="G1421" s="25"/>
      <c r="O1421" s="25"/>
    </row>
    <row r="1422" spans="7:15">
      <c r="G1422" s="25"/>
      <c r="O1422" s="25"/>
    </row>
    <row r="1423" spans="7:15">
      <c r="G1423" s="25"/>
      <c r="O1423" s="25"/>
    </row>
    <row r="1424" spans="7:15">
      <c r="G1424" s="25"/>
      <c r="O1424" s="25"/>
    </row>
    <row r="1425" spans="7:15">
      <c r="G1425" s="25"/>
      <c r="O1425" s="25"/>
    </row>
    <row r="1426" spans="7:15">
      <c r="G1426" s="25"/>
      <c r="O1426" s="25"/>
    </row>
    <row r="1427" spans="7:15">
      <c r="G1427" s="25"/>
      <c r="O1427" s="25"/>
    </row>
    <row r="1428" spans="7:15">
      <c r="G1428" s="25"/>
      <c r="O1428" s="25"/>
    </row>
    <row r="1429" spans="7:15">
      <c r="G1429" s="25"/>
      <c r="O1429" s="25"/>
    </row>
    <row r="1430" spans="7:15">
      <c r="G1430" s="25"/>
      <c r="O1430" s="25"/>
    </row>
    <row r="1431" spans="7:15">
      <c r="G1431" s="25"/>
      <c r="O1431" s="25"/>
    </row>
    <row r="1432" spans="7:15">
      <c r="G1432" s="25"/>
      <c r="O1432" s="25"/>
    </row>
    <row r="1433" spans="7:15">
      <c r="G1433" s="25"/>
      <c r="O1433" s="25"/>
    </row>
    <row r="1434" spans="7:15">
      <c r="G1434" s="25"/>
      <c r="O1434" s="25"/>
    </row>
    <row r="1435" spans="7:15">
      <c r="G1435" s="25"/>
      <c r="O1435" s="25"/>
    </row>
    <row r="1436" spans="7:15">
      <c r="G1436" s="25"/>
      <c r="O1436" s="25"/>
    </row>
    <row r="1437" spans="7:15">
      <c r="G1437" s="25"/>
      <c r="O1437" s="25"/>
    </row>
    <row r="1438" spans="7:15">
      <c r="G1438" s="25"/>
      <c r="O1438" s="25"/>
    </row>
    <row r="1439" spans="7:15">
      <c r="G1439" s="25"/>
      <c r="O1439" s="25"/>
    </row>
    <row r="1440" spans="7:15">
      <c r="G1440" s="25"/>
      <c r="O1440" s="25"/>
    </row>
    <row r="1441" spans="7:15">
      <c r="G1441" s="25"/>
      <c r="O1441" s="25"/>
    </row>
    <row r="1442" spans="7:15">
      <c r="G1442" s="25"/>
      <c r="O1442" s="25"/>
    </row>
    <row r="1443" spans="7:15">
      <c r="G1443" s="25"/>
      <c r="O1443" s="25"/>
    </row>
    <row r="1444" spans="7:15">
      <c r="G1444" s="25"/>
      <c r="O1444" s="25"/>
    </row>
    <row r="1445" spans="7:15">
      <c r="G1445" s="25"/>
      <c r="O1445" s="25"/>
    </row>
    <row r="1446" spans="7:15">
      <c r="G1446" s="25"/>
      <c r="O1446" s="25"/>
    </row>
    <row r="1447" spans="7:15">
      <c r="G1447" s="25"/>
      <c r="O1447" s="25"/>
    </row>
    <row r="1448" spans="7:15">
      <c r="G1448" s="25"/>
      <c r="O1448" s="25"/>
    </row>
    <row r="1449" spans="7:15">
      <c r="G1449" s="25"/>
      <c r="O1449" s="25"/>
    </row>
    <row r="1450" spans="7:15">
      <c r="G1450" s="25"/>
      <c r="O1450" s="25"/>
    </row>
    <row r="1451" spans="7:15">
      <c r="G1451" s="25"/>
      <c r="O1451" s="25"/>
    </row>
    <row r="1452" spans="7:15">
      <c r="G1452" s="25"/>
      <c r="O1452" s="25"/>
    </row>
    <row r="1453" spans="7:15">
      <c r="G1453" s="25"/>
      <c r="O1453" s="25"/>
    </row>
    <row r="1454" spans="7:15">
      <c r="G1454" s="25"/>
      <c r="O1454" s="25"/>
    </row>
    <row r="1455" spans="7:15">
      <c r="G1455" s="25"/>
      <c r="O1455" s="25"/>
    </row>
    <row r="1456" spans="7:15">
      <c r="G1456" s="25"/>
      <c r="O1456" s="25"/>
    </row>
    <row r="1457" spans="7:15">
      <c r="G1457" s="25"/>
      <c r="O1457" s="25"/>
    </row>
    <row r="1458" spans="7:15">
      <c r="G1458" s="25"/>
      <c r="O1458" s="25"/>
    </row>
    <row r="1459" spans="7:15">
      <c r="G1459" s="25"/>
      <c r="O1459" s="25"/>
    </row>
    <row r="1460" spans="7:15">
      <c r="G1460" s="25"/>
      <c r="O1460" s="25"/>
    </row>
    <row r="1461" spans="7:15">
      <c r="G1461" s="25"/>
      <c r="O1461" s="25"/>
    </row>
    <row r="1462" spans="7:15">
      <c r="G1462" s="25"/>
      <c r="O1462" s="25"/>
    </row>
    <row r="1463" spans="7:15">
      <c r="G1463" s="25"/>
      <c r="O1463" s="25"/>
    </row>
    <row r="1464" spans="7:15">
      <c r="G1464" s="25"/>
      <c r="O1464" s="25"/>
    </row>
    <row r="1465" spans="7:15">
      <c r="G1465" s="25"/>
      <c r="O1465" s="25"/>
    </row>
    <row r="1466" spans="7:15">
      <c r="G1466" s="25"/>
      <c r="O1466" s="25"/>
    </row>
    <row r="1467" spans="7:15">
      <c r="G1467" s="25"/>
      <c r="O1467" s="25"/>
    </row>
    <row r="1468" spans="7:15">
      <c r="G1468" s="25"/>
      <c r="O1468" s="25"/>
    </row>
    <row r="1469" spans="7:15">
      <c r="G1469" s="25"/>
      <c r="O1469" s="25"/>
    </row>
    <row r="1470" spans="7:15">
      <c r="G1470" s="25"/>
      <c r="O1470" s="25"/>
    </row>
    <row r="1471" spans="7:15">
      <c r="G1471" s="25"/>
      <c r="O1471" s="25"/>
    </row>
    <row r="1472" spans="7:15">
      <c r="G1472" s="25"/>
      <c r="O1472" s="25"/>
    </row>
    <row r="1473" spans="7:15">
      <c r="G1473" s="25"/>
      <c r="O1473" s="25"/>
    </row>
    <row r="1474" spans="7:15">
      <c r="G1474" s="25"/>
      <c r="O1474" s="25"/>
    </row>
    <row r="1475" spans="7:15">
      <c r="G1475" s="25"/>
      <c r="O1475" s="25"/>
    </row>
    <row r="1476" spans="7:15">
      <c r="G1476" s="25"/>
      <c r="O1476" s="25"/>
    </row>
    <row r="1477" spans="7:15">
      <c r="G1477" s="25"/>
      <c r="O1477" s="25"/>
    </row>
    <row r="1478" spans="7:15">
      <c r="G1478" s="25"/>
      <c r="O1478" s="25"/>
    </row>
    <row r="1479" spans="7:15">
      <c r="G1479" s="25"/>
      <c r="O1479" s="25"/>
    </row>
    <row r="1480" spans="7:15">
      <c r="G1480" s="25"/>
      <c r="O1480" s="25"/>
    </row>
    <row r="1481" spans="7:15">
      <c r="G1481" s="25"/>
      <c r="O1481" s="25"/>
    </row>
    <row r="1482" spans="7:15">
      <c r="G1482" s="25"/>
      <c r="O1482" s="25"/>
    </row>
    <row r="1483" spans="7:15">
      <c r="G1483" s="25"/>
      <c r="O1483" s="25"/>
    </row>
    <row r="1484" spans="7:15">
      <c r="G1484" s="25"/>
      <c r="O1484" s="25"/>
    </row>
    <row r="1485" spans="7:15">
      <c r="G1485" s="25"/>
      <c r="O1485" s="25"/>
    </row>
    <row r="1486" spans="7:15">
      <c r="G1486" s="25"/>
      <c r="O1486" s="25"/>
    </row>
    <row r="1487" spans="7:15">
      <c r="G1487" s="25"/>
      <c r="O1487" s="25"/>
    </row>
    <row r="1488" spans="7:15">
      <c r="G1488" s="25"/>
      <c r="O1488" s="25"/>
    </row>
    <row r="1489" spans="7:15">
      <c r="G1489" s="25"/>
      <c r="O1489" s="25"/>
    </row>
    <row r="1490" spans="7:15">
      <c r="G1490" s="25"/>
      <c r="O1490" s="25"/>
    </row>
    <row r="1491" spans="7:15">
      <c r="G1491" s="25"/>
      <c r="O1491" s="25"/>
    </row>
    <row r="1492" spans="7:15">
      <c r="G1492" s="25"/>
      <c r="O1492" s="25"/>
    </row>
    <row r="1493" spans="7:15">
      <c r="G1493" s="25"/>
      <c r="O1493" s="25"/>
    </row>
    <row r="1494" spans="7:15">
      <c r="G1494" s="25"/>
      <c r="O1494" s="25"/>
    </row>
    <row r="1495" spans="7:15">
      <c r="G1495" s="25"/>
      <c r="O1495" s="25"/>
    </row>
    <row r="1496" spans="7:15">
      <c r="G1496" s="25"/>
      <c r="O1496" s="25"/>
    </row>
    <row r="1497" spans="7:15">
      <c r="G1497" s="25"/>
      <c r="O1497" s="25"/>
    </row>
    <row r="1498" spans="7:15">
      <c r="G1498" s="25"/>
      <c r="O1498" s="25"/>
    </row>
    <row r="1499" spans="7:15">
      <c r="G1499" s="25"/>
      <c r="O1499" s="25"/>
    </row>
    <row r="1500" spans="7:15">
      <c r="G1500" s="25"/>
      <c r="O1500" s="25"/>
    </row>
    <row r="1501" spans="7:15">
      <c r="G1501" s="25"/>
      <c r="O1501" s="25"/>
    </row>
    <row r="1502" spans="7:15">
      <c r="G1502" s="25"/>
      <c r="O1502" s="25"/>
    </row>
    <row r="1503" spans="7:15">
      <c r="G1503" s="25"/>
      <c r="O1503" s="25"/>
    </row>
    <row r="1504" spans="7:15">
      <c r="G1504" s="25"/>
      <c r="O1504" s="25"/>
    </row>
    <row r="1505" spans="7:15">
      <c r="G1505" s="25"/>
      <c r="O1505" s="25"/>
    </row>
    <row r="1506" spans="7:15">
      <c r="G1506" s="25"/>
      <c r="O1506" s="25"/>
    </row>
    <row r="1507" spans="7:15">
      <c r="G1507" s="25"/>
      <c r="O1507" s="25"/>
    </row>
    <row r="1508" spans="7:15">
      <c r="G1508" s="25"/>
      <c r="O1508" s="25"/>
    </row>
    <row r="1509" spans="7:15">
      <c r="G1509" s="25"/>
      <c r="O1509" s="25"/>
    </row>
    <row r="1510" spans="7:15">
      <c r="G1510" s="25"/>
      <c r="O1510" s="25"/>
    </row>
    <row r="1511" spans="7:15">
      <c r="G1511" s="25"/>
      <c r="O1511" s="25"/>
    </row>
    <row r="1512" spans="7:15">
      <c r="G1512" s="25"/>
      <c r="O1512" s="25"/>
    </row>
    <row r="1513" spans="7:15">
      <c r="G1513" s="25"/>
      <c r="O1513" s="25"/>
    </row>
    <row r="1514" spans="7:15">
      <c r="G1514" s="25"/>
      <c r="O1514" s="25"/>
    </row>
    <row r="1515" spans="7:15">
      <c r="G1515" s="25"/>
      <c r="O1515" s="25"/>
    </row>
    <row r="1516" spans="7:15">
      <c r="G1516" s="25"/>
      <c r="O1516" s="25"/>
    </row>
    <row r="1517" spans="7:15">
      <c r="G1517" s="25"/>
      <c r="O1517" s="25"/>
    </row>
    <row r="1518" spans="7:15">
      <c r="G1518" s="25"/>
      <c r="O1518" s="25"/>
    </row>
    <row r="1519" spans="7:15">
      <c r="G1519" s="25"/>
      <c r="O1519" s="25"/>
    </row>
    <row r="1520" spans="7:15">
      <c r="G1520" s="25"/>
      <c r="O1520" s="25"/>
    </row>
    <row r="1521" spans="7:15">
      <c r="G1521" s="25"/>
      <c r="O1521" s="25"/>
    </row>
    <row r="1522" spans="7:15">
      <c r="G1522" s="25"/>
      <c r="O1522" s="25"/>
    </row>
    <row r="1523" spans="7:15">
      <c r="G1523" s="25"/>
      <c r="O1523" s="25"/>
    </row>
    <row r="1524" spans="7:15">
      <c r="G1524" s="25"/>
      <c r="O1524" s="25"/>
    </row>
    <row r="1525" spans="7:15">
      <c r="G1525" s="25"/>
      <c r="O1525" s="25"/>
    </row>
    <row r="1526" spans="7:15">
      <c r="G1526" s="25"/>
      <c r="O1526" s="25"/>
    </row>
    <row r="1527" spans="7:15">
      <c r="G1527" s="25"/>
      <c r="O1527" s="25"/>
    </row>
    <row r="1528" spans="7:15">
      <c r="G1528" s="25"/>
      <c r="O1528" s="25"/>
    </row>
    <row r="1529" spans="7:15">
      <c r="G1529" s="25"/>
      <c r="O1529" s="25"/>
    </row>
    <row r="1530" spans="7:15">
      <c r="G1530" s="25"/>
      <c r="O1530" s="25"/>
    </row>
    <row r="1531" spans="7:15">
      <c r="G1531" s="25"/>
      <c r="O1531" s="25"/>
    </row>
    <row r="1532" spans="7:15">
      <c r="G1532" s="25"/>
      <c r="O1532" s="25"/>
    </row>
    <row r="1533" spans="7:15">
      <c r="G1533" s="25"/>
      <c r="O1533" s="25"/>
    </row>
    <row r="1534" spans="7:15">
      <c r="G1534" s="25"/>
      <c r="O1534" s="25"/>
    </row>
    <row r="1535" spans="7:15">
      <c r="G1535" s="25"/>
      <c r="O1535" s="25"/>
    </row>
    <row r="1536" spans="7:15">
      <c r="G1536" s="25"/>
      <c r="O1536" s="25"/>
    </row>
    <row r="1537" spans="7:15">
      <c r="G1537" s="25"/>
      <c r="O1537" s="25"/>
    </row>
    <row r="1538" spans="7:15">
      <c r="G1538" s="25"/>
      <c r="O1538" s="25"/>
    </row>
    <row r="1539" spans="7:15">
      <c r="G1539" s="25"/>
      <c r="O1539" s="25"/>
    </row>
    <row r="1540" spans="7:15">
      <c r="G1540" s="25"/>
      <c r="O1540" s="25"/>
    </row>
    <row r="1541" spans="7:15">
      <c r="G1541" s="25"/>
      <c r="O1541" s="25"/>
    </row>
    <row r="1542" spans="7:15">
      <c r="G1542" s="25"/>
      <c r="O1542" s="25"/>
    </row>
    <row r="1543" spans="7:15">
      <c r="G1543" s="25"/>
      <c r="O1543" s="25"/>
    </row>
    <row r="1544" spans="7:15">
      <c r="G1544" s="25"/>
      <c r="O1544" s="25"/>
    </row>
    <row r="1545" spans="7:15">
      <c r="G1545" s="25"/>
      <c r="O1545" s="25"/>
    </row>
    <row r="1546" spans="7:15">
      <c r="G1546" s="25"/>
      <c r="O1546" s="25"/>
    </row>
    <row r="1547" spans="7:15">
      <c r="G1547" s="25"/>
      <c r="O1547" s="25"/>
    </row>
    <row r="1548" spans="7:15">
      <c r="G1548" s="25"/>
      <c r="O1548" s="25"/>
    </row>
    <row r="1549" spans="7:15">
      <c r="G1549" s="25"/>
      <c r="O1549" s="25"/>
    </row>
    <row r="1550" spans="7:15">
      <c r="G1550" s="25"/>
      <c r="O1550" s="25"/>
    </row>
    <row r="1551" spans="7:15">
      <c r="G1551" s="25"/>
      <c r="O1551" s="25"/>
    </row>
    <row r="1552" spans="7:15">
      <c r="G1552" s="25"/>
      <c r="O1552" s="25"/>
    </row>
    <row r="1553" spans="7:15">
      <c r="G1553" s="25"/>
      <c r="O1553" s="25"/>
    </row>
    <row r="1554" spans="7:15">
      <c r="G1554" s="25"/>
      <c r="O1554" s="25"/>
    </row>
    <row r="1555" spans="7:15">
      <c r="G1555" s="25"/>
      <c r="O1555" s="25"/>
    </row>
    <row r="1556" spans="7:15">
      <c r="G1556" s="25"/>
      <c r="O1556" s="25"/>
    </row>
    <row r="1557" spans="7:15">
      <c r="G1557" s="25"/>
      <c r="O1557" s="25"/>
    </row>
    <row r="1558" spans="7:15">
      <c r="G1558" s="25"/>
      <c r="O1558" s="25"/>
    </row>
    <row r="1559" spans="7:15">
      <c r="G1559" s="25"/>
      <c r="O1559" s="25"/>
    </row>
    <row r="1560" spans="7:15">
      <c r="G1560" s="25"/>
      <c r="O1560" s="25"/>
    </row>
    <row r="1561" spans="7:15">
      <c r="G1561" s="25"/>
      <c r="O1561" s="25"/>
    </row>
    <row r="1562" spans="7:15">
      <c r="G1562" s="25"/>
      <c r="O1562" s="25"/>
    </row>
    <row r="1563" spans="7:15">
      <c r="G1563" s="25"/>
      <c r="O1563" s="25"/>
    </row>
    <row r="1564" spans="7:15">
      <c r="G1564" s="25"/>
      <c r="O1564" s="25"/>
    </row>
    <row r="1565" spans="7:15">
      <c r="G1565" s="25"/>
      <c r="O1565" s="25"/>
    </row>
    <row r="1566" spans="7:15">
      <c r="G1566" s="25"/>
      <c r="O1566" s="25"/>
    </row>
    <row r="1567" spans="7:15">
      <c r="G1567" s="25"/>
      <c r="O1567" s="25"/>
    </row>
    <row r="1568" spans="7:15">
      <c r="G1568" s="25"/>
      <c r="O1568" s="25"/>
    </row>
    <row r="1569" spans="7:15">
      <c r="G1569" s="25"/>
      <c r="O1569" s="25"/>
    </row>
    <row r="1570" spans="7:15">
      <c r="G1570" s="25"/>
      <c r="O1570" s="25"/>
    </row>
    <row r="1571" spans="7:15">
      <c r="G1571" s="25"/>
      <c r="O1571" s="25"/>
    </row>
    <row r="1572" spans="7:15">
      <c r="G1572" s="25"/>
      <c r="O1572" s="25"/>
    </row>
    <row r="1573" spans="7:15">
      <c r="G1573" s="25"/>
      <c r="O1573" s="25"/>
    </row>
    <row r="1574" spans="7:15">
      <c r="G1574" s="25"/>
      <c r="O1574" s="25"/>
    </row>
    <row r="1575" spans="7:15">
      <c r="G1575" s="25"/>
      <c r="O1575" s="25"/>
    </row>
    <row r="1576" spans="7:15">
      <c r="G1576" s="25"/>
      <c r="O1576" s="25"/>
    </row>
    <row r="1577" spans="7:15">
      <c r="G1577" s="25"/>
      <c r="O1577" s="25"/>
    </row>
    <row r="1578" spans="7:15">
      <c r="G1578" s="25"/>
      <c r="O1578" s="25"/>
    </row>
    <row r="1579" spans="7:15">
      <c r="G1579" s="25"/>
      <c r="O1579" s="25"/>
    </row>
    <row r="1580" spans="7:15">
      <c r="G1580" s="25"/>
      <c r="O1580" s="25"/>
    </row>
    <row r="1581" spans="7:15">
      <c r="G1581" s="25"/>
      <c r="O1581" s="25"/>
    </row>
    <row r="1582" spans="7:15">
      <c r="G1582" s="25"/>
      <c r="O1582" s="25"/>
    </row>
    <row r="1583" spans="7:15">
      <c r="G1583" s="25"/>
      <c r="O1583" s="25"/>
    </row>
    <row r="1584" spans="7:15">
      <c r="G1584" s="25"/>
      <c r="O1584" s="25"/>
    </row>
    <row r="1585" spans="7:15">
      <c r="G1585" s="25"/>
      <c r="O1585" s="25"/>
    </row>
    <row r="1586" spans="7:15">
      <c r="G1586" s="25"/>
      <c r="O1586" s="25"/>
    </row>
    <row r="1587" spans="7:15">
      <c r="G1587" s="25"/>
      <c r="O1587" s="25"/>
    </row>
    <row r="1588" spans="7:15">
      <c r="G1588" s="25"/>
      <c r="O1588" s="25"/>
    </row>
    <row r="1589" spans="7:15">
      <c r="G1589" s="25"/>
      <c r="O1589" s="25"/>
    </row>
    <row r="1590" spans="7:15">
      <c r="G1590" s="25"/>
      <c r="O1590" s="25"/>
    </row>
  </sheetData>
  <sortState xmlns:xlrd2="http://schemas.microsoft.com/office/spreadsheetml/2017/richdata2" ref="Q249:Q357">
    <sortCondition ref="Q249"/>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sqref="A1:XFD1048576"/>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Bull Case</vt:lpstr>
      <vt:lpstr>Base Case</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2026-10-15T04:19:09Z</dcterms:modified>
</cp:coreProperties>
</file>