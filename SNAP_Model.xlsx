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User\OneDrive\Desktop\Equity Research\Models\Communication Services\"/>
    </mc:Choice>
  </mc:AlternateContent>
  <xr:revisionPtr revIDLastSave="0" documentId="13_ncr:1_{254B8746-3AEB-47D2-BF23-71A88639D954}"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58" i="2" l="1"/>
  <c r="BF10" i="2"/>
  <c r="BE10" i="2"/>
  <c r="BD10" i="2"/>
  <c r="BC10" i="2"/>
  <c r="BB10" i="2"/>
  <c r="BA10" i="2"/>
  <c r="AZ10" i="2"/>
  <c r="BG10" i="2"/>
  <c r="AK10" i="2" l="1"/>
  <c r="AJ10" i="2"/>
  <c r="AI10" i="2"/>
  <c r="AH10" i="2"/>
  <c r="AG10" i="2"/>
  <c r="AF10" i="2"/>
  <c r="AE10" i="2"/>
  <c r="AD10" i="2"/>
  <c r="AC10" i="2"/>
  <c r="AB10" i="2"/>
  <c r="AA10" i="2"/>
  <c r="Z10" i="2"/>
  <c r="Y10" i="2"/>
  <c r="X10" i="2"/>
  <c r="W10" i="2"/>
  <c r="V10" i="2"/>
  <c r="U10" i="2"/>
  <c r="T10" i="2"/>
  <c r="S10" i="2"/>
  <c r="R10" i="2"/>
  <c r="Q10" i="2"/>
  <c r="P10" i="2"/>
  <c r="O10" i="2"/>
  <c r="N10" i="2"/>
  <c r="M10" i="2"/>
  <c r="L10" i="2"/>
  <c r="K10" i="2"/>
  <c r="J10" i="2"/>
  <c r="I10" i="2"/>
  <c r="H10" i="2"/>
  <c r="G10" i="2"/>
  <c r="AL10" i="2"/>
  <c r="AO22" i="2"/>
  <c r="AO21" i="2"/>
  <c r="AO20" i="2"/>
  <c r="AO81" i="2"/>
  <c r="AO80" i="2"/>
  <c r="AO67" i="2"/>
  <c r="AO39" i="2"/>
  <c r="AO31" i="2" l="1"/>
  <c r="C7" i="1"/>
  <c r="C6" i="1"/>
  <c r="BQ63" i="2"/>
  <c r="BA45" i="2"/>
  <c r="AZ45" i="2"/>
  <c r="AY45" i="2"/>
  <c r="BA43" i="2"/>
  <c r="AZ43" i="2"/>
  <c r="AY43" i="2"/>
  <c r="BA42" i="2"/>
  <c r="AZ42" i="2"/>
  <c r="AY42" i="2"/>
  <c r="BA41" i="2"/>
  <c r="AZ41" i="2"/>
  <c r="AY41" i="2"/>
  <c r="BA38" i="2"/>
  <c r="AZ38" i="2"/>
  <c r="AY38" i="2"/>
  <c r="BA37" i="2"/>
  <c r="AZ37" i="2"/>
  <c r="AY37" i="2"/>
  <c r="BA36" i="2"/>
  <c r="AZ36" i="2"/>
  <c r="AY36" i="2"/>
  <c r="BA34" i="2"/>
  <c r="AZ34" i="2"/>
  <c r="AY34" i="2"/>
  <c r="AY33" i="2"/>
  <c r="AZ33" i="2"/>
  <c r="BA33" i="2"/>
  <c r="BF31" i="2"/>
  <c r="BE31" i="2"/>
  <c r="BD31" i="2"/>
  <c r="BC31" i="2"/>
  <c r="BB31" i="2"/>
  <c r="BA31" i="2"/>
  <c r="AZ31" i="2"/>
  <c r="BG31" i="2"/>
  <c r="AL4" i="2"/>
  <c r="AL5" i="2"/>
  <c r="AL17" i="2"/>
  <c r="AL16" i="2"/>
  <c r="AL15" i="2"/>
  <c r="AM31" i="2"/>
  <c r="AL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AN31" i="2"/>
  <c r="BG23" i="2"/>
  <c r="BG88" i="2"/>
  <c r="BF88" i="2"/>
  <c r="BE88" i="2"/>
  <c r="BD88" i="2"/>
  <c r="BC88" i="2"/>
  <c r="BB88" i="2"/>
  <c r="BA88" i="2"/>
  <c r="AZ88" i="2"/>
  <c r="AY88" i="2"/>
  <c r="BG87" i="2"/>
  <c r="BF87" i="2"/>
  <c r="BE87" i="2"/>
  <c r="BD87" i="2"/>
  <c r="BC87" i="2"/>
  <c r="BB87" i="2"/>
  <c r="BA87" i="2"/>
  <c r="AZ87" i="2"/>
  <c r="AY87" i="2"/>
  <c r="AM81" i="2"/>
  <c r="AL81" i="2"/>
  <c r="AK81" i="2"/>
  <c r="AJ81" i="2"/>
  <c r="AI81" i="2"/>
  <c r="AH81" i="2"/>
  <c r="AG81" i="2"/>
  <c r="AF81" i="2"/>
  <c r="AE81" i="2"/>
  <c r="AD81" i="2"/>
  <c r="AM80" i="2"/>
  <c r="AL80" i="2"/>
  <c r="AK80" i="2"/>
  <c r="AJ80" i="2"/>
  <c r="AI80" i="2"/>
  <c r="AH80" i="2"/>
  <c r="AG80" i="2"/>
  <c r="AF80" i="2"/>
  <c r="AE80" i="2"/>
  <c r="AD80" i="2"/>
  <c r="AN81" i="2"/>
  <c r="AN80" i="2"/>
  <c r="BG77" i="2"/>
  <c r="BF77" i="2"/>
  <c r="BE77" i="2"/>
  <c r="BG75" i="2"/>
  <c r="BF75" i="2"/>
  <c r="BE75" i="2"/>
  <c r="BG74" i="2"/>
  <c r="BF74" i="2"/>
  <c r="BE74" i="2"/>
  <c r="BG73" i="2"/>
  <c r="BF73" i="2"/>
  <c r="BE73" i="2"/>
  <c r="BG72" i="2"/>
  <c r="BF72" i="2"/>
  <c r="BE72" i="2"/>
  <c r="BG71" i="2"/>
  <c r="BF71" i="2"/>
  <c r="BE71" i="2"/>
  <c r="BG70" i="2"/>
  <c r="BF70" i="2"/>
  <c r="BE70" i="2"/>
  <c r="BG69" i="2"/>
  <c r="BL62" i="2" s="1"/>
  <c r="BF69" i="2"/>
  <c r="BK62" i="2" s="1"/>
  <c r="BE69" i="2"/>
  <c r="BG66" i="2"/>
  <c r="BF66" i="2"/>
  <c r="BE66" i="2"/>
  <c r="BG65" i="2"/>
  <c r="BF65" i="2"/>
  <c r="BE65" i="2"/>
  <c r="BG64" i="2"/>
  <c r="BF64" i="2"/>
  <c r="BE64" i="2"/>
  <c r="BG63" i="2"/>
  <c r="BF63" i="2"/>
  <c r="BE63" i="2"/>
  <c r="BG62" i="2"/>
  <c r="BF62" i="2"/>
  <c r="BE62" i="2"/>
  <c r="BG61" i="2"/>
  <c r="BF61" i="2"/>
  <c r="BE61" i="2"/>
  <c r="BG60" i="2"/>
  <c r="BF60" i="2"/>
  <c r="BE60" i="2"/>
  <c r="BG59" i="2"/>
  <c r="BH43" i="2" s="1"/>
  <c r="BF59" i="2"/>
  <c r="BE59" i="2"/>
  <c r="BG58" i="2"/>
  <c r="BF58" i="2"/>
  <c r="BE58" i="2"/>
  <c r="BG90" i="2"/>
  <c r="BF90" i="2"/>
  <c r="BE90" i="2"/>
  <c r="BD90" i="2"/>
  <c r="BC90" i="2"/>
  <c r="BB90" i="2"/>
  <c r="BA90" i="2"/>
  <c r="AZ90" i="2"/>
  <c r="AY90" i="2"/>
  <c r="BG45" i="2"/>
  <c r="BF45" i="2"/>
  <c r="BE45" i="2"/>
  <c r="BD45" i="2"/>
  <c r="BC45" i="2"/>
  <c r="BB45" i="2"/>
  <c r="BG43" i="2"/>
  <c r="BF43" i="2"/>
  <c r="BE43" i="2"/>
  <c r="BD43" i="2"/>
  <c r="BC43" i="2"/>
  <c r="BB43" i="2"/>
  <c r="BG42" i="2"/>
  <c r="BF42" i="2"/>
  <c r="BE42" i="2"/>
  <c r="BD42" i="2"/>
  <c r="BC42" i="2"/>
  <c r="BB42" i="2"/>
  <c r="BG41" i="2"/>
  <c r="BF41" i="2"/>
  <c r="BE41" i="2"/>
  <c r="BD41" i="2"/>
  <c r="BC41" i="2"/>
  <c r="BB41" i="2"/>
  <c r="BG38" i="2"/>
  <c r="BF38" i="2"/>
  <c r="BE38" i="2"/>
  <c r="BD38" i="2"/>
  <c r="BC38" i="2"/>
  <c r="BB38" i="2"/>
  <c r="BG37" i="2"/>
  <c r="BF37" i="2"/>
  <c r="BE37" i="2"/>
  <c r="BD37" i="2"/>
  <c r="BC37" i="2"/>
  <c r="BB37" i="2"/>
  <c r="BG36" i="2"/>
  <c r="BF36" i="2"/>
  <c r="BE36" i="2"/>
  <c r="BD36" i="2"/>
  <c r="BC36" i="2"/>
  <c r="BB36" i="2"/>
  <c r="AO90" i="2"/>
  <c r="AN90" i="2"/>
  <c r="AM90" i="2"/>
  <c r="AL90" i="2"/>
  <c r="AK90" i="2"/>
  <c r="AJ90" i="2"/>
  <c r="AI90" i="2"/>
  <c r="AH90" i="2"/>
  <c r="AG90" i="2"/>
  <c r="AF90" i="2"/>
  <c r="AE90" i="2"/>
  <c r="AD90" i="2"/>
  <c r="AC90" i="2"/>
  <c r="AB90" i="2"/>
  <c r="AA90" i="2"/>
  <c r="Z90" i="2"/>
  <c r="Y90" i="2"/>
  <c r="X90" i="2"/>
  <c r="W90" i="2"/>
  <c r="V90" i="2"/>
  <c r="U90" i="2"/>
  <c r="T90" i="2"/>
  <c r="S90" i="2"/>
  <c r="R90" i="2"/>
  <c r="Q90" i="2"/>
  <c r="P90" i="2"/>
  <c r="O90" i="2"/>
  <c r="N90" i="2"/>
  <c r="M90" i="2"/>
  <c r="L90" i="2"/>
  <c r="K90" i="2"/>
  <c r="J90" i="2"/>
  <c r="I90" i="2"/>
  <c r="H90" i="2"/>
  <c r="G90" i="2"/>
  <c r="F90" i="2"/>
  <c r="E90" i="2"/>
  <c r="D90" i="2"/>
  <c r="C90" i="2"/>
  <c r="AO89" i="2"/>
  <c r="AN89" i="2"/>
  <c r="AN91" i="2" s="1"/>
  <c r="AM89" i="2"/>
  <c r="AL89" i="2"/>
  <c r="AK89" i="2"/>
  <c r="AJ89" i="2"/>
  <c r="AI89" i="2"/>
  <c r="AH89" i="2"/>
  <c r="AG89" i="2"/>
  <c r="AF89" i="2"/>
  <c r="AF91" i="2" s="1"/>
  <c r="AE89" i="2"/>
  <c r="AD89" i="2"/>
  <c r="AC89" i="2"/>
  <c r="AB89" i="2"/>
  <c r="AA89" i="2"/>
  <c r="Z89" i="2"/>
  <c r="Y89" i="2"/>
  <c r="X89" i="2"/>
  <c r="X91" i="2" s="1"/>
  <c r="W89" i="2"/>
  <c r="V89" i="2"/>
  <c r="U89" i="2"/>
  <c r="T89" i="2"/>
  <c r="S89" i="2"/>
  <c r="R89" i="2"/>
  <c r="Q89" i="2"/>
  <c r="P89" i="2"/>
  <c r="P91" i="2" s="1"/>
  <c r="O89" i="2"/>
  <c r="N89" i="2"/>
  <c r="M89" i="2"/>
  <c r="L89" i="2"/>
  <c r="K89" i="2"/>
  <c r="J89" i="2"/>
  <c r="I89" i="2"/>
  <c r="H89" i="2"/>
  <c r="H91" i="2" s="1"/>
  <c r="G89" i="2"/>
  <c r="F89" i="2"/>
  <c r="E89" i="2"/>
  <c r="D89" i="2"/>
  <c r="C89" i="2"/>
  <c r="AO76" i="2"/>
  <c r="AO78" i="2" s="1"/>
  <c r="AA91" i="2" l="1"/>
  <c r="E91" i="2"/>
  <c r="AC91" i="2"/>
  <c r="AK91" i="2"/>
  <c r="K91" i="2"/>
  <c r="M91" i="2"/>
  <c r="S91" i="2"/>
  <c r="U91" i="2"/>
  <c r="AI91" i="2"/>
  <c r="C91" i="2"/>
  <c r="G91" i="2"/>
  <c r="O91" i="2"/>
  <c r="W91" i="2"/>
  <c r="AE91" i="2"/>
  <c r="AM91" i="2"/>
  <c r="BF80" i="2"/>
  <c r="BF81" i="2"/>
  <c r="BG80" i="2"/>
  <c r="I91" i="2"/>
  <c r="Q91" i="2"/>
  <c r="AG91" i="2"/>
  <c r="AO91" i="2"/>
  <c r="BE81" i="2"/>
  <c r="Y91" i="2"/>
  <c r="D91" i="2"/>
  <c r="L91" i="2"/>
  <c r="T91" i="2"/>
  <c r="AB91" i="2"/>
  <c r="AJ91" i="2"/>
  <c r="BG81" i="2"/>
  <c r="BE89" i="2"/>
  <c r="BB91" i="2"/>
  <c r="BE80" i="2"/>
  <c r="BD89" i="2"/>
  <c r="J91" i="2"/>
  <c r="AZ91" i="2" s="1"/>
  <c r="R91" i="2"/>
  <c r="Z91" i="2"/>
  <c r="AH91" i="2"/>
  <c r="BF89" i="2"/>
  <c r="AY89" i="2"/>
  <c r="BG89" i="2"/>
  <c r="AZ89" i="2"/>
  <c r="BA89" i="2"/>
  <c r="F91" i="2"/>
  <c r="N91" i="2"/>
  <c r="V91" i="2"/>
  <c r="AD91" i="2"/>
  <c r="AL91" i="2"/>
  <c r="BG91" i="2" s="1"/>
  <c r="BB89" i="2"/>
  <c r="BC89" i="2"/>
  <c r="T294" i="3"/>
  <c r="T292" i="3"/>
  <c r="O1446" i="3"/>
  <c r="O1445" i="3"/>
  <c r="O1444" i="3"/>
  <c r="O1443" i="3"/>
  <c r="O1442" i="3"/>
  <c r="O1441" i="3"/>
  <c r="O1440" i="3"/>
  <c r="O1439" i="3"/>
  <c r="O1438" i="3"/>
  <c r="O1437" i="3"/>
  <c r="O1436" i="3"/>
  <c r="O1435" i="3"/>
  <c r="O1434" i="3"/>
  <c r="O1433" i="3"/>
  <c r="O1432" i="3"/>
  <c r="O1431" i="3"/>
  <c r="O1430" i="3"/>
  <c r="O1429" i="3"/>
  <c r="O1428" i="3"/>
  <c r="O1427" i="3"/>
  <c r="O1426" i="3"/>
  <c r="O1425" i="3"/>
  <c r="O1424" i="3"/>
  <c r="O1423" i="3"/>
  <c r="O1422" i="3"/>
  <c r="O1421" i="3"/>
  <c r="O1420" i="3"/>
  <c r="O1419" i="3"/>
  <c r="O1418" i="3"/>
  <c r="O1417" i="3"/>
  <c r="O1416" i="3"/>
  <c r="O1415" i="3"/>
  <c r="O1414" i="3"/>
  <c r="O1413" i="3"/>
  <c r="O1412" i="3"/>
  <c r="O1411" i="3"/>
  <c r="O1410" i="3"/>
  <c r="O1409" i="3"/>
  <c r="O1408" i="3"/>
  <c r="O1407" i="3"/>
  <c r="O1406" i="3"/>
  <c r="O1405" i="3"/>
  <c r="O1404" i="3"/>
  <c r="O1403" i="3"/>
  <c r="O1402" i="3"/>
  <c r="O1401" i="3"/>
  <c r="O1400" i="3"/>
  <c r="O1399" i="3"/>
  <c r="O1398" i="3"/>
  <c r="O1397" i="3"/>
  <c r="O1396" i="3"/>
  <c r="O1395" i="3"/>
  <c r="O1394" i="3"/>
  <c r="O1393" i="3"/>
  <c r="O1392" i="3"/>
  <c r="O1391" i="3"/>
  <c r="O1390" i="3"/>
  <c r="O1389" i="3"/>
  <c r="O1388" i="3"/>
  <c r="O1387" i="3"/>
  <c r="O1386" i="3"/>
  <c r="O1385" i="3"/>
  <c r="O1384" i="3"/>
  <c r="O1383" i="3"/>
  <c r="O1382" i="3"/>
  <c r="O1381" i="3"/>
  <c r="O1380" i="3"/>
  <c r="O1379" i="3"/>
  <c r="O1378" i="3"/>
  <c r="O1377" i="3"/>
  <c r="O1376" i="3"/>
  <c r="O1375" i="3"/>
  <c r="O1374" i="3"/>
  <c r="O1373" i="3"/>
  <c r="O1372" i="3"/>
  <c r="O1371" i="3"/>
  <c r="O1370" i="3"/>
  <c r="O1369" i="3"/>
  <c r="O1368" i="3"/>
  <c r="O1367" i="3"/>
  <c r="O1366" i="3"/>
  <c r="O1365" i="3"/>
  <c r="O1364" i="3"/>
  <c r="O1363" i="3"/>
  <c r="O1362" i="3"/>
  <c r="O1361" i="3"/>
  <c r="O1360" i="3"/>
  <c r="O1359" i="3"/>
  <c r="O1358" i="3"/>
  <c r="O1357" i="3"/>
  <c r="O1356" i="3"/>
  <c r="O1355" i="3"/>
  <c r="O1354" i="3"/>
  <c r="O1353" i="3"/>
  <c r="O1352" i="3"/>
  <c r="O1351" i="3"/>
  <c r="O1350" i="3"/>
  <c r="O1349" i="3"/>
  <c r="O1348" i="3"/>
  <c r="O1347" i="3"/>
  <c r="O1346" i="3"/>
  <c r="O1345" i="3"/>
  <c r="O1344" i="3"/>
  <c r="O1343" i="3"/>
  <c r="O1342" i="3"/>
  <c r="O1341" i="3"/>
  <c r="O1340" i="3"/>
  <c r="O1339" i="3"/>
  <c r="O1338" i="3"/>
  <c r="O1337" i="3"/>
  <c r="O1336" i="3"/>
  <c r="O1335" i="3"/>
  <c r="O1334" i="3"/>
  <c r="O1333" i="3"/>
  <c r="O1332" i="3"/>
  <c r="O1331" i="3"/>
  <c r="O1330" i="3"/>
  <c r="O1329" i="3"/>
  <c r="O1328" i="3"/>
  <c r="O1327" i="3"/>
  <c r="O1326" i="3"/>
  <c r="O1325" i="3"/>
  <c r="O1324" i="3"/>
  <c r="O1323" i="3"/>
  <c r="O1322" i="3"/>
  <c r="O1321" i="3"/>
  <c r="O1320" i="3"/>
  <c r="O1319" i="3"/>
  <c r="O1318" i="3"/>
  <c r="O1317" i="3"/>
  <c r="O1316" i="3"/>
  <c r="O1315" i="3"/>
  <c r="O1314" i="3"/>
  <c r="O1313" i="3"/>
  <c r="O1312" i="3"/>
  <c r="O1311" i="3"/>
  <c r="O1310" i="3"/>
  <c r="O1309" i="3"/>
  <c r="O1308" i="3"/>
  <c r="O1307" i="3"/>
  <c r="O1306" i="3"/>
  <c r="O1305" i="3"/>
  <c r="O1304" i="3"/>
  <c r="O1303" i="3"/>
  <c r="O1302" i="3"/>
  <c r="O1301" i="3"/>
  <c r="O1300" i="3"/>
  <c r="O1299" i="3"/>
  <c r="O1298" i="3"/>
  <c r="O1297" i="3"/>
  <c r="O1296" i="3"/>
  <c r="O1295" i="3"/>
  <c r="O1294" i="3"/>
  <c r="O1293" i="3"/>
  <c r="O1292" i="3"/>
  <c r="O1291" i="3"/>
  <c r="O1290" i="3"/>
  <c r="O1289" i="3"/>
  <c r="O1288" i="3"/>
  <c r="O1287" i="3"/>
  <c r="O1286" i="3"/>
  <c r="O1285" i="3"/>
  <c r="O1284" i="3"/>
  <c r="O1283" i="3"/>
  <c r="O1282" i="3"/>
  <c r="O1281" i="3"/>
  <c r="O1280" i="3"/>
  <c r="O1279" i="3"/>
  <c r="O1278" i="3"/>
  <c r="O1277" i="3"/>
  <c r="O1276" i="3"/>
  <c r="O1275" i="3"/>
  <c r="O1274" i="3"/>
  <c r="O1273" i="3"/>
  <c r="O1272" i="3"/>
  <c r="O1271" i="3"/>
  <c r="O1270" i="3"/>
  <c r="O1269" i="3"/>
  <c r="O1268" i="3"/>
  <c r="O1267" i="3"/>
  <c r="O1266" i="3"/>
  <c r="O1265" i="3"/>
  <c r="O1264" i="3"/>
  <c r="O1263" i="3"/>
  <c r="O1262" i="3"/>
  <c r="O1261" i="3"/>
  <c r="O1260" i="3"/>
  <c r="O1259" i="3"/>
  <c r="O1258" i="3"/>
  <c r="O1257" i="3"/>
  <c r="O1256" i="3"/>
  <c r="O1255" i="3"/>
  <c r="O1254" i="3"/>
  <c r="O1253" i="3"/>
  <c r="O1252" i="3"/>
  <c r="O1251" i="3"/>
  <c r="O1250" i="3"/>
  <c r="O1249" i="3"/>
  <c r="O1248" i="3"/>
  <c r="O1247" i="3"/>
  <c r="O1246" i="3"/>
  <c r="O1245" i="3"/>
  <c r="O1244" i="3"/>
  <c r="O1243" i="3"/>
  <c r="O1242" i="3"/>
  <c r="O1241" i="3"/>
  <c r="O1240" i="3"/>
  <c r="O1239" i="3"/>
  <c r="O1238" i="3"/>
  <c r="O1237" i="3"/>
  <c r="O1236" i="3"/>
  <c r="O1235" i="3"/>
  <c r="O1234" i="3"/>
  <c r="O1233" i="3"/>
  <c r="O1232" i="3"/>
  <c r="O1231" i="3"/>
  <c r="O1230" i="3"/>
  <c r="O1229" i="3"/>
  <c r="O1228" i="3"/>
  <c r="O1227" i="3"/>
  <c r="O1226" i="3"/>
  <c r="O1225" i="3"/>
  <c r="O1224" i="3"/>
  <c r="O1223" i="3"/>
  <c r="O1222" i="3"/>
  <c r="O1221" i="3"/>
  <c r="O1220" i="3"/>
  <c r="O1219" i="3"/>
  <c r="O1218" i="3"/>
  <c r="O1217" i="3"/>
  <c r="O1216" i="3"/>
  <c r="O1215" i="3"/>
  <c r="O1214" i="3"/>
  <c r="O1213" i="3"/>
  <c r="O1212" i="3"/>
  <c r="O1211" i="3"/>
  <c r="O1210" i="3"/>
  <c r="O1209" i="3"/>
  <c r="O1208" i="3"/>
  <c r="O1207" i="3"/>
  <c r="O1206" i="3"/>
  <c r="O1205" i="3"/>
  <c r="O1204" i="3"/>
  <c r="O1203" i="3"/>
  <c r="O1202" i="3"/>
  <c r="O1201" i="3"/>
  <c r="O1200" i="3"/>
  <c r="O1199" i="3"/>
  <c r="O1198" i="3"/>
  <c r="O1197" i="3"/>
  <c r="O1196" i="3"/>
  <c r="O1195" i="3"/>
  <c r="O1194" i="3"/>
  <c r="O1193" i="3"/>
  <c r="O1192" i="3"/>
  <c r="O1191" i="3"/>
  <c r="O1190" i="3"/>
  <c r="O1189" i="3"/>
  <c r="O1188" i="3"/>
  <c r="O1187" i="3"/>
  <c r="O1186" i="3"/>
  <c r="O1185" i="3"/>
  <c r="O1184" i="3"/>
  <c r="O1183" i="3"/>
  <c r="O1182" i="3"/>
  <c r="O1181" i="3"/>
  <c r="O1180" i="3"/>
  <c r="O1179" i="3"/>
  <c r="O1178" i="3"/>
  <c r="O1177" i="3"/>
  <c r="O1176" i="3"/>
  <c r="O1175" i="3"/>
  <c r="O1174" i="3"/>
  <c r="O1173" i="3"/>
  <c r="O1172" i="3"/>
  <c r="O1171" i="3"/>
  <c r="O1170" i="3"/>
  <c r="O1169" i="3"/>
  <c r="O1168" i="3"/>
  <c r="O1167" i="3"/>
  <c r="O1166" i="3"/>
  <c r="O1165" i="3"/>
  <c r="O1164" i="3"/>
  <c r="O1163" i="3"/>
  <c r="O1162" i="3"/>
  <c r="O1161" i="3"/>
  <c r="O1160" i="3"/>
  <c r="O1159" i="3"/>
  <c r="O1158" i="3"/>
  <c r="O1157" i="3"/>
  <c r="O1156" i="3"/>
  <c r="O1155" i="3"/>
  <c r="O1154" i="3"/>
  <c r="O1153" i="3"/>
  <c r="O1152" i="3"/>
  <c r="O1151" i="3"/>
  <c r="O1150" i="3"/>
  <c r="O1149" i="3"/>
  <c r="O1148" i="3"/>
  <c r="O1147" i="3"/>
  <c r="O1146" i="3"/>
  <c r="O1145" i="3"/>
  <c r="O1144" i="3"/>
  <c r="O1143" i="3"/>
  <c r="O1142" i="3"/>
  <c r="O1141" i="3"/>
  <c r="O1140" i="3"/>
  <c r="O1139" i="3"/>
  <c r="O1138" i="3"/>
  <c r="O1137" i="3"/>
  <c r="O1136" i="3"/>
  <c r="O1135" i="3"/>
  <c r="O1134" i="3"/>
  <c r="O1133" i="3"/>
  <c r="O1132" i="3"/>
  <c r="O1131" i="3"/>
  <c r="O1130" i="3"/>
  <c r="O1129" i="3"/>
  <c r="O1128" i="3"/>
  <c r="O1127" i="3"/>
  <c r="O1126" i="3"/>
  <c r="O1125" i="3"/>
  <c r="O1124" i="3"/>
  <c r="O1123" i="3"/>
  <c r="O1122" i="3"/>
  <c r="O1121" i="3"/>
  <c r="O1120" i="3"/>
  <c r="O1119" i="3"/>
  <c r="O1118" i="3"/>
  <c r="O1117" i="3"/>
  <c r="O1116" i="3"/>
  <c r="O1115" i="3"/>
  <c r="O1114" i="3"/>
  <c r="O1113" i="3"/>
  <c r="O1112" i="3"/>
  <c r="O1111" i="3"/>
  <c r="O1110" i="3"/>
  <c r="O1109" i="3"/>
  <c r="O1108" i="3"/>
  <c r="O1107" i="3"/>
  <c r="O1106" i="3"/>
  <c r="O1105" i="3"/>
  <c r="O1104" i="3"/>
  <c r="O1103" i="3"/>
  <c r="O1102" i="3"/>
  <c r="O1101" i="3"/>
  <c r="O1100" i="3"/>
  <c r="O1099" i="3"/>
  <c r="O1098" i="3"/>
  <c r="O1097" i="3"/>
  <c r="O1096" i="3"/>
  <c r="O1095" i="3"/>
  <c r="O1094" i="3"/>
  <c r="O1093" i="3"/>
  <c r="O1092" i="3"/>
  <c r="O1091" i="3"/>
  <c r="O1090" i="3"/>
  <c r="O1089" i="3"/>
  <c r="O1088" i="3"/>
  <c r="O1087" i="3"/>
  <c r="O1086" i="3"/>
  <c r="O1085" i="3"/>
  <c r="O1084" i="3"/>
  <c r="O1083" i="3"/>
  <c r="O1082" i="3"/>
  <c r="O1081" i="3"/>
  <c r="O1080" i="3"/>
  <c r="O1079" i="3"/>
  <c r="O1078" i="3"/>
  <c r="O1077" i="3"/>
  <c r="O1076" i="3"/>
  <c r="O1075" i="3"/>
  <c r="O1074" i="3"/>
  <c r="O1073" i="3"/>
  <c r="O1072" i="3"/>
  <c r="O1071" i="3"/>
  <c r="O1070" i="3"/>
  <c r="O1069" i="3"/>
  <c r="O1068" i="3"/>
  <c r="O1067" i="3"/>
  <c r="O1066" i="3"/>
  <c r="O1065" i="3"/>
  <c r="O1064" i="3"/>
  <c r="O1063" i="3"/>
  <c r="O1062" i="3"/>
  <c r="O1061" i="3"/>
  <c r="O1060" i="3"/>
  <c r="O1059" i="3"/>
  <c r="O1058" i="3"/>
  <c r="O1057" i="3"/>
  <c r="O1056" i="3"/>
  <c r="O1055" i="3"/>
  <c r="O1054" i="3"/>
  <c r="O1053" i="3"/>
  <c r="O1052" i="3"/>
  <c r="O1051" i="3"/>
  <c r="O1050" i="3"/>
  <c r="O1049" i="3"/>
  <c r="O1048" i="3"/>
  <c r="O1047" i="3"/>
  <c r="O1046" i="3"/>
  <c r="O1045" i="3"/>
  <c r="O1044" i="3"/>
  <c r="O1043" i="3"/>
  <c r="O1042" i="3"/>
  <c r="O1041" i="3"/>
  <c r="O1040" i="3"/>
  <c r="O1039" i="3"/>
  <c r="O1038" i="3"/>
  <c r="O1037" i="3"/>
  <c r="O1036" i="3"/>
  <c r="O1035" i="3"/>
  <c r="O1034" i="3"/>
  <c r="O1033" i="3"/>
  <c r="O1032" i="3"/>
  <c r="O1031" i="3"/>
  <c r="O1030" i="3"/>
  <c r="O1029" i="3"/>
  <c r="O1028" i="3"/>
  <c r="O1027" i="3"/>
  <c r="O1026" i="3"/>
  <c r="O1025" i="3"/>
  <c r="O1024" i="3"/>
  <c r="O1023" i="3"/>
  <c r="O1022" i="3"/>
  <c r="O1021" i="3"/>
  <c r="O1020" i="3"/>
  <c r="O1019" i="3"/>
  <c r="O1018" i="3"/>
  <c r="O1017" i="3"/>
  <c r="O1016" i="3"/>
  <c r="O1015" i="3"/>
  <c r="O1014" i="3"/>
  <c r="O1013" i="3"/>
  <c r="O1012" i="3"/>
  <c r="O1011" i="3"/>
  <c r="O1010" i="3"/>
  <c r="O1009" i="3"/>
  <c r="O1008" i="3"/>
  <c r="O1007" i="3"/>
  <c r="O1006" i="3"/>
  <c r="O1005" i="3"/>
  <c r="O1004" i="3"/>
  <c r="O1003" i="3"/>
  <c r="O1002" i="3"/>
  <c r="O1001" i="3"/>
  <c r="O1000" i="3"/>
  <c r="O999" i="3"/>
  <c r="O998" i="3"/>
  <c r="O997" i="3"/>
  <c r="O996" i="3"/>
  <c r="O995" i="3"/>
  <c r="O994" i="3"/>
  <c r="O993" i="3"/>
  <c r="O992" i="3"/>
  <c r="O991" i="3"/>
  <c r="O990" i="3"/>
  <c r="O989" i="3"/>
  <c r="O988" i="3"/>
  <c r="O987" i="3"/>
  <c r="O986" i="3"/>
  <c r="O985" i="3"/>
  <c r="O984" i="3"/>
  <c r="O983" i="3"/>
  <c r="O982" i="3"/>
  <c r="O981" i="3"/>
  <c r="O980" i="3"/>
  <c r="O979" i="3"/>
  <c r="O978" i="3"/>
  <c r="O977" i="3"/>
  <c r="O976" i="3"/>
  <c r="O975" i="3"/>
  <c r="O974" i="3"/>
  <c r="O973" i="3"/>
  <c r="O972" i="3"/>
  <c r="O971" i="3"/>
  <c r="O970" i="3"/>
  <c r="O969" i="3"/>
  <c r="O968" i="3"/>
  <c r="O967" i="3"/>
  <c r="O966" i="3"/>
  <c r="O965" i="3"/>
  <c r="O964" i="3"/>
  <c r="O963" i="3"/>
  <c r="O962" i="3"/>
  <c r="O961" i="3"/>
  <c r="O960" i="3"/>
  <c r="O959" i="3"/>
  <c r="O958" i="3"/>
  <c r="O957" i="3"/>
  <c r="O956" i="3"/>
  <c r="O955" i="3"/>
  <c r="O954" i="3"/>
  <c r="O953" i="3"/>
  <c r="O952" i="3"/>
  <c r="O951" i="3"/>
  <c r="O950" i="3"/>
  <c r="O949" i="3"/>
  <c r="O948" i="3"/>
  <c r="O947" i="3"/>
  <c r="O946" i="3"/>
  <c r="O945" i="3"/>
  <c r="O944" i="3"/>
  <c r="O943" i="3"/>
  <c r="O942" i="3"/>
  <c r="O941" i="3"/>
  <c r="O940" i="3"/>
  <c r="O939" i="3"/>
  <c r="O938" i="3"/>
  <c r="O937" i="3"/>
  <c r="O936" i="3"/>
  <c r="O935" i="3"/>
  <c r="O934" i="3"/>
  <c r="O933" i="3"/>
  <c r="O932" i="3"/>
  <c r="O931" i="3"/>
  <c r="O930" i="3"/>
  <c r="O929" i="3"/>
  <c r="O928" i="3"/>
  <c r="O927" i="3"/>
  <c r="O926" i="3"/>
  <c r="O925" i="3"/>
  <c r="O924" i="3"/>
  <c r="O923" i="3"/>
  <c r="O922" i="3"/>
  <c r="O921" i="3"/>
  <c r="O920" i="3"/>
  <c r="O919" i="3"/>
  <c r="O918" i="3"/>
  <c r="O917" i="3"/>
  <c r="O916" i="3"/>
  <c r="O915" i="3"/>
  <c r="O914" i="3"/>
  <c r="O913" i="3"/>
  <c r="O912" i="3"/>
  <c r="O911" i="3"/>
  <c r="O910" i="3"/>
  <c r="O909" i="3"/>
  <c r="O908" i="3"/>
  <c r="O907" i="3"/>
  <c r="O906" i="3"/>
  <c r="O905" i="3"/>
  <c r="O904" i="3"/>
  <c r="O903" i="3"/>
  <c r="O902" i="3"/>
  <c r="O901" i="3"/>
  <c r="O900" i="3"/>
  <c r="O899" i="3"/>
  <c r="O898" i="3"/>
  <c r="O897" i="3"/>
  <c r="O896" i="3"/>
  <c r="O895" i="3"/>
  <c r="O894" i="3"/>
  <c r="O893" i="3"/>
  <c r="O892" i="3"/>
  <c r="O891" i="3"/>
  <c r="O890" i="3"/>
  <c r="O889" i="3"/>
  <c r="O888" i="3"/>
  <c r="O887" i="3"/>
  <c r="O886" i="3"/>
  <c r="O885" i="3"/>
  <c r="O884" i="3"/>
  <c r="O883" i="3"/>
  <c r="O882" i="3"/>
  <c r="O881" i="3"/>
  <c r="O880" i="3"/>
  <c r="O879" i="3"/>
  <c r="O878" i="3"/>
  <c r="O877" i="3"/>
  <c r="O876" i="3"/>
  <c r="O875" i="3"/>
  <c r="O874" i="3"/>
  <c r="O873" i="3"/>
  <c r="O872" i="3"/>
  <c r="O871" i="3"/>
  <c r="O870" i="3"/>
  <c r="O869" i="3"/>
  <c r="O868" i="3"/>
  <c r="O867" i="3"/>
  <c r="O866" i="3"/>
  <c r="O865" i="3"/>
  <c r="O864" i="3"/>
  <c r="O863" i="3"/>
  <c r="O862" i="3"/>
  <c r="O861" i="3"/>
  <c r="O860" i="3"/>
  <c r="O859" i="3"/>
  <c r="O858" i="3"/>
  <c r="O857" i="3"/>
  <c r="O856" i="3"/>
  <c r="O855" i="3"/>
  <c r="O854" i="3"/>
  <c r="O853" i="3"/>
  <c r="O852" i="3"/>
  <c r="O851" i="3"/>
  <c r="O850" i="3"/>
  <c r="O849" i="3"/>
  <c r="O848" i="3"/>
  <c r="O847" i="3"/>
  <c r="O846" i="3"/>
  <c r="O845" i="3"/>
  <c r="O844" i="3"/>
  <c r="O843" i="3"/>
  <c r="O842" i="3"/>
  <c r="O841" i="3"/>
  <c r="O840" i="3"/>
  <c r="O839" i="3"/>
  <c r="O838" i="3"/>
  <c r="O837" i="3"/>
  <c r="O836" i="3"/>
  <c r="O835" i="3"/>
  <c r="O834" i="3"/>
  <c r="O833" i="3"/>
  <c r="O832" i="3"/>
  <c r="O831" i="3"/>
  <c r="O830" i="3"/>
  <c r="O829" i="3"/>
  <c r="O828" i="3"/>
  <c r="O827" i="3"/>
  <c r="O826" i="3"/>
  <c r="O825" i="3"/>
  <c r="O824" i="3"/>
  <c r="O823" i="3"/>
  <c r="O822" i="3"/>
  <c r="O821" i="3"/>
  <c r="O820" i="3"/>
  <c r="O819" i="3"/>
  <c r="O818" i="3"/>
  <c r="O817" i="3"/>
  <c r="O816" i="3"/>
  <c r="O815" i="3"/>
  <c r="O814" i="3"/>
  <c r="O813" i="3"/>
  <c r="O812" i="3"/>
  <c r="O811" i="3"/>
  <c r="O810" i="3"/>
  <c r="O809" i="3"/>
  <c r="O808" i="3"/>
  <c r="O807" i="3"/>
  <c r="O806" i="3"/>
  <c r="O805" i="3"/>
  <c r="O804" i="3"/>
  <c r="O803" i="3"/>
  <c r="O802" i="3"/>
  <c r="O801" i="3"/>
  <c r="O800" i="3"/>
  <c r="O799" i="3"/>
  <c r="O798" i="3"/>
  <c r="O797" i="3"/>
  <c r="O796" i="3"/>
  <c r="O795" i="3"/>
  <c r="O794" i="3"/>
  <c r="O793" i="3"/>
  <c r="O792" i="3"/>
  <c r="O791" i="3"/>
  <c r="O790" i="3"/>
  <c r="O789" i="3"/>
  <c r="O788" i="3"/>
  <c r="O787" i="3"/>
  <c r="O786" i="3"/>
  <c r="O785" i="3"/>
  <c r="O784" i="3"/>
  <c r="O783" i="3"/>
  <c r="O782" i="3"/>
  <c r="O781" i="3"/>
  <c r="O780" i="3"/>
  <c r="O779" i="3"/>
  <c r="O778" i="3"/>
  <c r="O777" i="3"/>
  <c r="O776" i="3"/>
  <c r="O775" i="3"/>
  <c r="O774" i="3"/>
  <c r="O773" i="3"/>
  <c r="O772" i="3"/>
  <c r="O771" i="3"/>
  <c r="O770" i="3"/>
  <c r="O769" i="3"/>
  <c r="O768" i="3"/>
  <c r="O767" i="3"/>
  <c r="O766" i="3"/>
  <c r="O765" i="3"/>
  <c r="O764" i="3"/>
  <c r="O763" i="3"/>
  <c r="O762" i="3"/>
  <c r="O761" i="3"/>
  <c r="O760" i="3"/>
  <c r="O759" i="3"/>
  <c r="O758" i="3"/>
  <c r="O757" i="3"/>
  <c r="O756" i="3"/>
  <c r="O755" i="3"/>
  <c r="O754" i="3"/>
  <c r="O753" i="3"/>
  <c r="O752" i="3"/>
  <c r="O751" i="3"/>
  <c r="O750" i="3"/>
  <c r="O749" i="3"/>
  <c r="O748" i="3"/>
  <c r="O747" i="3"/>
  <c r="O746" i="3"/>
  <c r="O745" i="3"/>
  <c r="O744" i="3"/>
  <c r="O743" i="3"/>
  <c r="O742" i="3"/>
  <c r="O741" i="3"/>
  <c r="O740" i="3"/>
  <c r="O739" i="3"/>
  <c r="O738" i="3"/>
  <c r="O737" i="3"/>
  <c r="O736" i="3"/>
  <c r="O735" i="3"/>
  <c r="O734" i="3"/>
  <c r="O733" i="3"/>
  <c r="O732" i="3"/>
  <c r="O731" i="3"/>
  <c r="O730" i="3"/>
  <c r="O729" i="3"/>
  <c r="O728" i="3"/>
  <c r="O727" i="3"/>
  <c r="O726" i="3"/>
  <c r="O725" i="3"/>
  <c r="O724" i="3"/>
  <c r="O723" i="3"/>
  <c r="O722" i="3"/>
  <c r="O721" i="3"/>
  <c r="O720" i="3"/>
  <c r="O719" i="3"/>
  <c r="O718" i="3"/>
  <c r="O717" i="3"/>
  <c r="O716" i="3"/>
  <c r="O715" i="3"/>
  <c r="O714" i="3"/>
  <c r="O713" i="3"/>
  <c r="O712" i="3"/>
  <c r="O711" i="3"/>
  <c r="O710" i="3"/>
  <c r="O709" i="3"/>
  <c r="O708" i="3"/>
  <c r="O707" i="3"/>
  <c r="O706" i="3"/>
  <c r="O705" i="3"/>
  <c r="O704" i="3"/>
  <c r="O703" i="3"/>
  <c r="O702" i="3"/>
  <c r="O701" i="3"/>
  <c r="O700" i="3"/>
  <c r="O699" i="3"/>
  <c r="O698" i="3"/>
  <c r="O697" i="3"/>
  <c r="O696" i="3"/>
  <c r="O695" i="3"/>
  <c r="O694" i="3"/>
  <c r="O693" i="3"/>
  <c r="O692" i="3"/>
  <c r="O691" i="3"/>
  <c r="O690" i="3"/>
  <c r="O689" i="3"/>
  <c r="O688" i="3"/>
  <c r="O687" i="3"/>
  <c r="O686" i="3"/>
  <c r="O685" i="3"/>
  <c r="O684" i="3"/>
  <c r="O683" i="3"/>
  <c r="O682" i="3"/>
  <c r="O681" i="3"/>
  <c r="O680" i="3"/>
  <c r="O679" i="3"/>
  <c r="O678" i="3"/>
  <c r="O677" i="3"/>
  <c r="O676" i="3"/>
  <c r="O675" i="3"/>
  <c r="O674" i="3"/>
  <c r="O673" i="3"/>
  <c r="O672" i="3"/>
  <c r="O671" i="3"/>
  <c r="O670" i="3"/>
  <c r="O669" i="3"/>
  <c r="O668" i="3"/>
  <c r="O667" i="3"/>
  <c r="O666" i="3"/>
  <c r="O665" i="3"/>
  <c r="O664" i="3"/>
  <c r="O663" i="3"/>
  <c r="O662" i="3"/>
  <c r="O661" i="3"/>
  <c r="O660" i="3"/>
  <c r="O659" i="3"/>
  <c r="O658" i="3"/>
  <c r="O657" i="3"/>
  <c r="O656" i="3"/>
  <c r="O655" i="3"/>
  <c r="O654" i="3"/>
  <c r="O653" i="3"/>
  <c r="O652" i="3"/>
  <c r="O651" i="3"/>
  <c r="O650" i="3"/>
  <c r="O649" i="3"/>
  <c r="O648" i="3"/>
  <c r="O647" i="3"/>
  <c r="O646" i="3"/>
  <c r="O645" i="3"/>
  <c r="O644" i="3"/>
  <c r="O643" i="3"/>
  <c r="O642" i="3"/>
  <c r="O641" i="3"/>
  <c r="O640" i="3"/>
  <c r="O639" i="3"/>
  <c r="O638" i="3"/>
  <c r="O637" i="3"/>
  <c r="O636" i="3"/>
  <c r="O635" i="3"/>
  <c r="O634" i="3"/>
  <c r="O633" i="3"/>
  <c r="O632" i="3"/>
  <c r="O631" i="3"/>
  <c r="O630" i="3"/>
  <c r="O629" i="3"/>
  <c r="O628" i="3"/>
  <c r="O627" i="3"/>
  <c r="O626" i="3"/>
  <c r="O625" i="3"/>
  <c r="O624" i="3"/>
  <c r="O623" i="3"/>
  <c r="O622" i="3"/>
  <c r="O621" i="3"/>
  <c r="O620" i="3"/>
  <c r="O619" i="3"/>
  <c r="O618" i="3"/>
  <c r="O617" i="3"/>
  <c r="O616" i="3"/>
  <c r="O615" i="3"/>
  <c r="O614" i="3"/>
  <c r="O613" i="3"/>
  <c r="O612" i="3"/>
  <c r="O611" i="3"/>
  <c r="O610" i="3"/>
  <c r="O609" i="3"/>
  <c r="O608" i="3"/>
  <c r="O607" i="3"/>
  <c r="O606" i="3"/>
  <c r="O605" i="3"/>
  <c r="O604" i="3"/>
  <c r="O603" i="3"/>
  <c r="O602" i="3"/>
  <c r="O601" i="3"/>
  <c r="O600" i="3"/>
  <c r="O599" i="3"/>
  <c r="O598" i="3"/>
  <c r="O597" i="3"/>
  <c r="O596" i="3"/>
  <c r="O595" i="3"/>
  <c r="O594" i="3"/>
  <c r="O593" i="3"/>
  <c r="O592" i="3"/>
  <c r="O591" i="3"/>
  <c r="O590" i="3"/>
  <c r="O589" i="3"/>
  <c r="O588" i="3"/>
  <c r="O587" i="3"/>
  <c r="O586" i="3"/>
  <c r="O585" i="3"/>
  <c r="O584" i="3"/>
  <c r="O583" i="3"/>
  <c r="O582" i="3"/>
  <c r="O581" i="3"/>
  <c r="O580" i="3"/>
  <c r="O579" i="3"/>
  <c r="O578" i="3"/>
  <c r="O577" i="3"/>
  <c r="O576" i="3"/>
  <c r="O575" i="3"/>
  <c r="O574" i="3"/>
  <c r="O573" i="3"/>
  <c r="O572" i="3"/>
  <c r="O571" i="3"/>
  <c r="O570" i="3"/>
  <c r="O569" i="3"/>
  <c r="O568" i="3"/>
  <c r="O567" i="3"/>
  <c r="O566" i="3"/>
  <c r="O565" i="3"/>
  <c r="O564" i="3"/>
  <c r="O563" i="3"/>
  <c r="O562" i="3"/>
  <c r="O561" i="3"/>
  <c r="O560" i="3"/>
  <c r="O559" i="3"/>
  <c r="O558" i="3"/>
  <c r="O557" i="3"/>
  <c r="O556" i="3"/>
  <c r="O555" i="3"/>
  <c r="O554" i="3"/>
  <c r="O553" i="3"/>
  <c r="O552" i="3"/>
  <c r="O551" i="3"/>
  <c r="O550" i="3"/>
  <c r="O549" i="3"/>
  <c r="O548" i="3"/>
  <c r="O547" i="3"/>
  <c r="O546" i="3"/>
  <c r="O545" i="3"/>
  <c r="O544" i="3"/>
  <c r="O543" i="3"/>
  <c r="O542" i="3"/>
  <c r="O541" i="3"/>
  <c r="O540" i="3"/>
  <c r="O539" i="3"/>
  <c r="O538" i="3"/>
  <c r="O537" i="3"/>
  <c r="O536" i="3"/>
  <c r="O535" i="3"/>
  <c r="O534" i="3"/>
  <c r="O533" i="3"/>
  <c r="O532" i="3"/>
  <c r="O531" i="3"/>
  <c r="O530" i="3"/>
  <c r="O529" i="3"/>
  <c r="O528" i="3"/>
  <c r="O527" i="3"/>
  <c r="O526" i="3"/>
  <c r="O525" i="3"/>
  <c r="O524" i="3"/>
  <c r="O523" i="3"/>
  <c r="O522" i="3"/>
  <c r="O521" i="3"/>
  <c r="O520" i="3"/>
  <c r="O519" i="3"/>
  <c r="O518" i="3"/>
  <c r="O517" i="3"/>
  <c r="O516" i="3"/>
  <c r="O515" i="3"/>
  <c r="O514" i="3"/>
  <c r="O513" i="3"/>
  <c r="O512" i="3"/>
  <c r="O511" i="3"/>
  <c r="O510" i="3"/>
  <c r="O509" i="3"/>
  <c r="O508" i="3"/>
  <c r="O507" i="3"/>
  <c r="O506" i="3"/>
  <c r="O505" i="3"/>
  <c r="O504" i="3"/>
  <c r="O503" i="3"/>
  <c r="O502" i="3"/>
  <c r="O501" i="3"/>
  <c r="O500" i="3"/>
  <c r="O499" i="3"/>
  <c r="O498" i="3"/>
  <c r="O497" i="3"/>
  <c r="O496" i="3"/>
  <c r="O495" i="3"/>
  <c r="O494" i="3"/>
  <c r="O493" i="3"/>
  <c r="O492" i="3"/>
  <c r="O491" i="3"/>
  <c r="O490" i="3"/>
  <c r="O489" i="3"/>
  <c r="O488" i="3"/>
  <c r="O487" i="3"/>
  <c r="O486" i="3"/>
  <c r="O485" i="3"/>
  <c r="O484" i="3"/>
  <c r="O483" i="3"/>
  <c r="O482" i="3"/>
  <c r="O481" i="3"/>
  <c r="O480" i="3"/>
  <c r="O479" i="3"/>
  <c r="O478" i="3"/>
  <c r="O477" i="3"/>
  <c r="O476" i="3"/>
  <c r="O475" i="3"/>
  <c r="O474" i="3"/>
  <c r="O473" i="3"/>
  <c r="O472" i="3"/>
  <c r="O471" i="3"/>
  <c r="O470" i="3"/>
  <c r="O469" i="3"/>
  <c r="O468" i="3"/>
  <c r="O467" i="3"/>
  <c r="O466" i="3"/>
  <c r="O465" i="3"/>
  <c r="O464" i="3"/>
  <c r="O463" i="3"/>
  <c r="O462" i="3"/>
  <c r="O461" i="3"/>
  <c r="O460" i="3"/>
  <c r="O459" i="3"/>
  <c r="O458" i="3"/>
  <c r="O457" i="3"/>
  <c r="O456" i="3"/>
  <c r="O455" i="3"/>
  <c r="O454" i="3"/>
  <c r="O453" i="3"/>
  <c r="O452" i="3"/>
  <c r="O451" i="3"/>
  <c r="O450" i="3"/>
  <c r="O449" i="3"/>
  <c r="O448" i="3"/>
  <c r="O447" i="3"/>
  <c r="O446" i="3"/>
  <c r="O445" i="3"/>
  <c r="O444" i="3"/>
  <c r="O443" i="3"/>
  <c r="O442" i="3"/>
  <c r="O441" i="3"/>
  <c r="O440" i="3"/>
  <c r="O439" i="3"/>
  <c r="O438" i="3"/>
  <c r="O437" i="3"/>
  <c r="O436" i="3"/>
  <c r="O435" i="3"/>
  <c r="O434" i="3"/>
  <c r="O433" i="3"/>
  <c r="O432" i="3"/>
  <c r="O431" i="3"/>
  <c r="O430" i="3"/>
  <c r="O429" i="3"/>
  <c r="O428" i="3"/>
  <c r="O427" i="3"/>
  <c r="O426" i="3"/>
  <c r="O425" i="3"/>
  <c r="O424" i="3"/>
  <c r="O423" i="3"/>
  <c r="O422" i="3"/>
  <c r="O421" i="3"/>
  <c r="O420" i="3"/>
  <c r="O419" i="3"/>
  <c r="O418" i="3"/>
  <c r="O417" i="3"/>
  <c r="O416" i="3"/>
  <c r="O415" i="3"/>
  <c r="O414" i="3"/>
  <c r="O413" i="3"/>
  <c r="O412" i="3"/>
  <c r="O411" i="3"/>
  <c r="O410" i="3"/>
  <c r="O409" i="3"/>
  <c r="O408" i="3"/>
  <c r="O407" i="3"/>
  <c r="O406" i="3"/>
  <c r="O405" i="3"/>
  <c r="O404" i="3"/>
  <c r="O403" i="3"/>
  <c r="O402" i="3"/>
  <c r="O401" i="3"/>
  <c r="O400" i="3"/>
  <c r="O399" i="3"/>
  <c r="O398" i="3"/>
  <c r="O397" i="3"/>
  <c r="O396" i="3"/>
  <c r="O395" i="3"/>
  <c r="O394" i="3"/>
  <c r="O393" i="3"/>
  <c r="O392" i="3"/>
  <c r="O391" i="3"/>
  <c r="O390" i="3"/>
  <c r="O389" i="3"/>
  <c r="O388" i="3"/>
  <c r="O387" i="3"/>
  <c r="O386" i="3"/>
  <c r="O385" i="3"/>
  <c r="O384" i="3"/>
  <c r="O383" i="3"/>
  <c r="O382" i="3"/>
  <c r="O381" i="3"/>
  <c r="O380" i="3"/>
  <c r="O379" i="3"/>
  <c r="O378" i="3"/>
  <c r="O377" i="3"/>
  <c r="O376" i="3"/>
  <c r="O375" i="3"/>
  <c r="O374" i="3"/>
  <c r="O373" i="3"/>
  <c r="O372" i="3"/>
  <c r="O371" i="3"/>
  <c r="O370" i="3"/>
  <c r="O369" i="3"/>
  <c r="O368" i="3"/>
  <c r="O367" i="3"/>
  <c r="O366" i="3"/>
  <c r="O365" i="3"/>
  <c r="O364" i="3"/>
  <c r="O363" i="3"/>
  <c r="O362" i="3"/>
  <c r="O361" i="3"/>
  <c r="O360" i="3"/>
  <c r="O359" i="3"/>
  <c r="O358" i="3"/>
  <c r="O357" i="3"/>
  <c r="O356" i="3"/>
  <c r="O355" i="3"/>
  <c r="O354" i="3"/>
  <c r="O353" i="3"/>
  <c r="O352" i="3"/>
  <c r="O351" i="3"/>
  <c r="O350" i="3"/>
  <c r="O349" i="3"/>
  <c r="O348" i="3"/>
  <c r="O347" i="3"/>
  <c r="O346" i="3"/>
  <c r="O345" i="3"/>
  <c r="O344" i="3"/>
  <c r="O343" i="3"/>
  <c r="O342" i="3"/>
  <c r="O341" i="3"/>
  <c r="O340" i="3"/>
  <c r="O339" i="3"/>
  <c r="O338" i="3"/>
  <c r="O337" i="3"/>
  <c r="O336" i="3"/>
  <c r="O335" i="3"/>
  <c r="O334" i="3"/>
  <c r="O333" i="3"/>
  <c r="O332" i="3"/>
  <c r="O331" i="3"/>
  <c r="O330" i="3"/>
  <c r="O329" i="3"/>
  <c r="O328" i="3"/>
  <c r="O327" i="3"/>
  <c r="O326" i="3"/>
  <c r="O325" i="3"/>
  <c r="O324" i="3"/>
  <c r="O323" i="3"/>
  <c r="O322" i="3"/>
  <c r="O321" i="3"/>
  <c r="O320" i="3"/>
  <c r="O319" i="3"/>
  <c r="O318" i="3"/>
  <c r="O317" i="3"/>
  <c r="O316" i="3"/>
  <c r="O315" i="3"/>
  <c r="O314" i="3"/>
  <c r="O313" i="3"/>
  <c r="O312" i="3"/>
  <c r="O311" i="3"/>
  <c r="O310" i="3"/>
  <c r="O309" i="3"/>
  <c r="O308" i="3"/>
  <c r="O307" i="3"/>
  <c r="O306" i="3"/>
  <c r="O305" i="3"/>
  <c r="O304" i="3"/>
  <c r="O303" i="3"/>
  <c r="O302" i="3"/>
  <c r="O301" i="3"/>
  <c r="O300" i="3"/>
  <c r="O299" i="3"/>
  <c r="O298" i="3"/>
  <c r="O297" i="3"/>
  <c r="O296" i="3"/>
  <c r="O295" i="3"/>
  <c r="O294" i="3"/>
  <c r="O293" i="3"/>
  <c r="O292" i="3"/>
  <c r="O291" i="3"/>
  <c r="O290" i="3"/>
  <c r="O289" i="3"/>
  <c r="O288" i="3"/>
  <c r="O287" i="3"/>
  <c r="O286" i="3"/>
  <c r="O285" i="3"/>
  <c r="O284" i="3"/>
  <c r="O283" i="3"/>
  <c r="O282" i="3"/>
  <c r="O281" i="3"/>
  <c r="O280" i="3"/>
  <c r="O279" i="3"/>
  <c r="O278" i="3"/>
  <c r="O277" i="3"/>
  <c r="O276" i="3"/>
  <c r="O275" i="3"/>
  <c r="O274" i="3"/>
  <c r="O273" i="3"/>
  <c r="O272" i="3"/>
  <c r="O271" i="3"/>
  <c r="O270" i="3"/>
  <c r="O269" i="3"/>
  <c r="O268" i="3"/>
  <c r="O267" i="3"/>
  <c r="O266" i="3"/>
  <c r="O265" i="3"/>
  <c r="O264" i="3"/>
  <c r="O263" i="3"/>
  <c r="O262" i="3"/>
  <c r="O261" i="3"/>
  <c r="O260" i="3"/>
  <c r="O259" i="3"/>
  <c r="O258" i="3"/>
  <c r="O257" i="3"/>
  <c r="O256" i="3"/>
  <c r="O255" i="3"/>
  <c r="O254" i="3"/>
  <c r="O253" i="3"/>
  <c r="O252" i="3"/>
  <c r="O251" i="3"/>
  <c r="O250" i="3"/>
  <c r="O249" i="3"/>
  <c r="O248" i="3"/>
  <c r="O247" i="3"/>
  <c r="O246" i="3"/>
  <c r="O245" i="3"/>
  <c r="O244" i="3"/>
  <c r="O243" i="3"/>
  <c r="O242" i="3"/>
  <c r="O241" i="3"/>
  <c r="O240" i="3"/>
  <c r="O239" i="3"/>
  <c r="O238" i="3"/>
  <c r="O237" i="3"/>
  <c r="O236" i="3"/>
  <c r="O235" i="3"/>
  <c r="O234" i="3"/>
  <c r="O233" i="3"/>
  <c r="O232" i="3"/>
  <c r="O231" i="3"/>
  <c r="O230" i="3"/>
  <c r="O229" i="3"/>
  <c r="O228" i="3"/>
  <c r="O227" i="3"/>
  <c r="O226" i="3"/>
  <c r="O225" i="3"/>
  <c r="O224" i="3"/>
  <c r="O223" i="3"/>
  <c r="O222" i="3"/>
  <c r="O221" i="3"/>
  <c r="O220" i="3"/>
  <c r="O219" i="3"/>
  <c r="O218" i="3"/>
  <c r="O217" i="3"/>
  <c r="O216" i="3"/>
  <c r="O215" i="3"/>
  <c r="O214" i="3"/>
  <c r="O213" i="3"/>
  <c r="O212" i="3"/>
  <c r="O211" i="3"/>
  <c r="O210" i="3"/>
  <c r="O209" i="3"/>
  <c r="O208" i="3"/>
  <c r="O207" i="3"/>
  <c r="O206" i="3"/>
  <c r="O205" i="3"/>
  <c r="O204" i="3"/>
  <c r="O203" i="3"/>
  <c r="O202" i="3"/>
  <c r="O201" i="3"/>
  <c r="O200" i="3"/>
  <c r="O199" i="3"/>
  <c r="O198" i="3"/>
  <c r="O197" i="3"/>
  <c r="O196" i="3"/>
  <c r="O195" i="3"/>
  <c r="O194" i="3"/>
  <c r="O193" i="3"/>
  <c r="O192" i="3"/>
  <c r="O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447" i="3"/>
  <c r="S239" i="3" l="1"/>
  <c r="S241" i="3"/>
  <c r="S240" i="3"/>
  <c r="S242" i="3"/>
  <c r="S244" i="3"/>
  <c r="S238" i="3"/>
  <c r="BC91" i="2"/>
  <c r="BF91" i="2"/>
  <c r="BD91" i="2"/>
  <c r="AY91" i="2"/>
  <c r="BE91" i="2"/>
  <c r="BA91" i="2"/>
  <c r="T291" i="3"/>
  <c r="T295" i="3"/>
  <c r="U294" i="3" l="1"/>
  <c r="U292" i="3"/>
  <c r="U293" i="3"/>
  <c r="T296" i="3"/>
  <c r="U295" i="3"/>
  <c r="T290" i="3"/>
  <c r="U291" i="3"/>
  <c r="T289" i="3" l="1"/>
  <c r="U290" i="3"/>
  <c r="T297" i="3"/>
  <c r="U296" i="3"/>
  <c r="T298" i="3" l="1"/>
  <c r="U297" i="3"/>
  <c r="T288" i="3"/>
  <c r="U289" i="3"/>
  <c r="T287" i="3" l="1"/>
  <c r="U288" i="3"/>
  <c r="T299" i="3"/>
  <c r="U298" i="3"/>
  <c r="T300" i="3" l="1"/>
  <c r="U299" i="3"/>
  <c r="T286" i="3"/>
  <c r="U287" i="3"/>
  <c r="T285" i="3" l="1"/>
  <c r="U286" i="3"/>
  <c r="T301" i="3"/>
  <c r="U300" i="3"/>
  <c r="T302" i="3" l="1"/>
  <c r="U301" i="3"/>
  <c r="T284" i="3"/>
  <c r="U285" i="3"/>
  <c r="T283" i="3" l="1"/>
  <c r="U284" i="3"/>
  <c r="T303" i="3"/>
  <c r="U302" i="3"/>
  <c r="T304" i="3" l="1"/>
  <c r="U303" i="3"/>
  <c r="T282" i="3"/>
  <c r="U283" i="3"/>
  <c r="T281" i="3" l="1"/>
  <c r="U282" i="3"/>
  <c r="T305" i="3"/>
  <c r="U304" i="3"/>
  <c r="T306" i="3" l="1"/>
  <c r="U305" i="3"/>
  <c r="T280" i="3"/>
  <c r="U281" i="3"/>
  <c r="T279" i="3" l="1"/>
  <c r="U280" i="3"/>
  <c r="T307" i="3"/>
  <c r="U306" i="3"/>
  <c r="T308" i="3" l="1"/>
  <c r="U307" i="3"/>
  <c r="T278" i="3"/>
  <c r="U279" i="3"/>
  <c r="T277" i="3" l="1"/>
  <c r="U278" i="3"/>
  <c r="T309" i="3"/>
  <c r="U308" i="3"/>
  <c r="T310" i="3" l="1"/>
  <c r="U309" i="3"/>
  <c r="T276" i="3"/>
  <c r="U277" i="3"/>
  <c r="T275" i="3" l="1"/>
  <c r="U276" i="3"/>
  <c r="T311" i="3"/>
  <c r="U310" i="3"/>
  <c r="T312" i="3" l="1"/>
  <c r="U311" i="3"/>
  <c r="T274" i="3"/>
  <c r="U275" i="3"/>
  <c r="T273" i="3" l="1"/>
  <c r="U274" i="3"/>
  <c r="T313" i="3"/>
  <c r="U312" i="3"/>
  <c r="T314" i="3" l="1"/>
  <c r="U313" i="3"/>
  <c r="T272" i="3"/>
  <c r="U273" i="3"/>
  <c r="T271" i="3" l="1"/>
  <c r="U272" i="3"/>
  <c r="T315" i="3"/>
  <c r="U314" i="3"/>
  <c r="T316" i="3" l="1"/>
  <c r="U315" i="3"/>
  <c r="T270" i="3"/>
  <c r="U271" i="3"/>
  <c r="T269" i="3" l="1"/>
  <c r="U270" i="3"/>
  <c r="T317" i="3"/>
  <c r="U316" i="3"/>
  <c r="T318" i="3" l="1"/>
  <c r="U317" i="3"/>
  <c r="T268" i="3"/>
  <c r="U269" i="3"/>
  <c r="T267" i="3" l="1"/>
  <c r="U268" i="3"/>
  <c r="T319" i="3"/>
  <c r="U318" i="3"/>
  <c r="T320" i="3" l="1"/>
  <c r="U319" i="3"/>
  <c r="T266" i="3"/>
  <c r="U267" i="3"/>
  <c r="T265" i="3" l="1"/>
  <c r="U266" i="3"/>
  <c r="T321" i="3"/>
  <c r="U320" i="3"/>
  <c r="T322" i="3" l="1"/>
  <c r="U321" i="3"/>
  <c r="T264" i="3"/>
  <c r="U265" i="3"/>
  <c r="BB33" i="2"/>
  <c r="AM67" i="2"/>
  <c r="AL67" i="2"/>
  <c r="BG67" i="2" s="1"/>
  <c r="AK67" i="2"/>
  <c r="AJ67" i="2"/>
  <c r="AI67" i="2"/>
  <c r="AH67" i="2"/>
  <c r="BF67" i="2" s="1"/>
  <c r="AG67" i="2"/>
  <c r="AF67" i="2"/>
  <c r="AE67" i="2"/>
  <c r="AD67" i="2"/>
  <c r="BE67" i="2" s="1"/>
  <c r="AN67" i="2"/>
  <c r="AM76" i="2"/>
  <c r="AM78" i="2" s="1"/>
  <c r="AM82" i="2" s="1"/>
  <c r="AL76" i="2"/>
  <c r="BG76" i="2" s="1"/>
  <c r="AK76" i="2"/>
  <c r="AK78" i="2" s="1"/>
  <c r="AK82" i="2" s="1"/>
  <c r="AJ76" i="2"/>
  <c r="AJ78" i="2" s="1"/>
  <c r="AJ82" i="2" s="1"/>
  <c r="AI76" i="2"/>
  <c r="AI78" i="2" s="1"/>
  <c r="AI82" i="2" s="1"/>
  <c r="AH76" i="2"/>
  <c r="AG76" i="2"/>
  <c r="AG78" i="2" s="1"/>
  <c r="AG82" i="2" s="1"/>
  <c r="AF76" i="2"/>
  <c r="AF78" i="2" s="1"/>
  <c r="AF82" i="2" s="1"/>
  <c r="AE76" i="2"/>
  <c r="AE78" i="2" s="1"/>
  <c r="AE82" i="2" s="1"/>
  <c r="AD76" i="2"/>
  <c r="BE76" i="2" s="1"/>
  <c r="AN76" i="2"/>
  <c r="AN78" i="2" s="1"/>
  <c r="AN82" i="2" s="1"/>
  <c r="AL53" i="2"/>
  <c r="AK53" i="2"/>
  <c r="AJ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3" i="2"/>
  <c r="AL52" i="2"/>
  <c r="AK52" i="2"/>
  <c r="AJ52" i="2"/>
  <c r="AI52" i="2"/>
  <c r="AH52" i="2"/>
  <c r="AG52" i="2"/>
  <c r="AF52" i="2"/>
  <c r="AE52" i="2"/>
  <c r="AD52" i="2"/>
  <c r="AC52" i="2"/>
  <c r="AB52" i="2"/>
  <c r="AA52" i="2"/>
  <c r="Z52" i="2"/>
  <c r="Y52" i="2"/>
  <c r="X52" i="2"/>
  <c r="W52" i="2"/>
  <c r="V52" i="2"/>
  <c r="U52" i="2"/>
  <c r="T52" i="2"/>
  <c r="S52" i="2"/>
  <c r="R52" i="2"/>
  <c r="Q52" i="2"/>
  <c r="P52" i="2"/>
  <c r="O52" i="2"/>
  <c r="N52" i="2"/>
  <c r="M52" i="2"/>
  <c r="L52" i="2"/>
  <c r="K52" i="2"/>
  <c r="J52" i="2"/>
  <c r="I52" i="2"/>
  <c r="H52" i="2"/>
  <c r="G52" i="2"/>
  <c r="F52" i="2"/>
  <c r="E52" i="2"/>
  <c r="D52" i="2"/>
  <c r="C52" i="2"/>
  <c r="AL51" i="2"/>
  <c r="AK51" i="2"/>
  <c r="AJ51" i="2"/>
  <c r="AI51" i="2"/>
  <c r="AH51" i="2"/>
  <c r="AG51" i="2"/>
  <c r="AF51" i="2"/>
  <c r="AE51" i="2"/>
  <c r="AD51" i="2"/>
  <c r="AC51" i="2"/>
  <c r="AB51" i="2"/>
  <c r="AA51" i="2"/>
  <c r="Z51" i="2"/>
  <c r="Y51" i="2"/>
  <c r="X51" i="2"/>
  <c r="W51" i="2"/>
  <c r="V51" i="2"/>
  <c r="U51" i="2"/>
  <c r="T51" i="2"/>
  <c r="S51" i="2"/>
  <c r="R51" i="2"/>
  <c r="Q51" i="2"/>
  <c r="P51" i="2"/>
  <c r="O51" i="2"/>
  <c r="N51" i="2"/>
  <c r="M51" i="2"/>
  <c r="L51" i="2"/>
  <c r="K51" i="2"/>
  <c r="J51" i="2"/>
  <c r="I51" i="2"/>
  <c r="H51" i="2"/>
  <c r="G51" i="2"/>
  <c r="F51" i="2"/>
  <c r="E51" i="2"/>
  <c r="D51" i="2"/>
  <c r="C51" i="2"/>
  <c r="AM53" i="2"/>
  <c r="AM52" i="2"/>
  <c r="AM51" i="2"/>
  <c r="AN53" i="2"/>
  <c r="AN52" i="2"/>
  <c r="AN51" i="2"/>
  <c r="AM39" i="2"/>
  <c r="AL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AZ39" i="2" s="1"/>
  <c r="F39" i="2"/>
  <c r="E39" i="2"/>
  <c r="D39" i="2"/>
  <c r="C39" i="2"/>
  <c r="AN39" i="2"/>
  <c r="AO8" i="2"/>
  <c r="AY39" i="2" l="1"/>
  <c r="BA39" i="2"/>
  <c r="BB39" i="2"/>
  <c r="BD39" i="2"/>
  <c r="BF39" i="2"/>
  <c r="BB51" i="2"/>
  <c r="BB52" i="2"/>
  <c r="BB53" i="2"/>
  <c r="BC39" i="2"/>
  <c r="BG39" i="2"/>
  <c r="BE39" i="2"/>
  <c r="AD78" i="2"/>
  <c r="AH78" i="2"/>
  <c r="BF76" i="2"/>
  <c r="AL78" i="2"/>
  <c r="T263" i="3"/>
  <c r="U264" i="3"/>
  <c r="T323" i="3"/>
  <c r="U322" i="3"/>
  <c r="AO18" i="2"/>
  <c r="AO9" i="2"/>
  <c r="AO6" i="2"/>
  <c r="AO13" i="2" s="1"/>
  <c r="AN22" i="2"/>
  <c r="AN21" i="2"/>
  <c r="AN20" i="2"/>
  <c r="AN18" i="2"/>
  <c r="AN27" i="2" s="1"/>
  <c r="AN9" i="2"/>
  <c r="AN8" i="2"/>
  <c r="AN6" i="2"/>
  <c r="AN35" i="2" s="1"/>
  <c r="AN40" i="2" s="1"/>
  <c r="AM22" i="2"/>
  <c r="AM21" i="2"/>
  <c r="AM20" i="2"/>
  <c r="AM18" i="2"/>
  <c r="AM27" i="2" s="1"/>
  <c r="AL18" i="2"/>
  <c r="AL26" i="2" s="1"/>
  <c r="AK18" i="2"/>
  <c r="AK26" i="2" s="1"/>
  <c r="AJ18" i="2"/>
  <c r="AJ27" i="2" s="1"/>
  <c r="AI18" i="2"/>
  <c r="AM9" i="2"/>
  <c r="AM8" i="2"/>
  <c r="AL6" i="2"/>
  <c r="AL13" i="2" s="1"/>
  <c r="AK6" i="2"/>
  <c r="AJ6" i="2"/>
  <c r="AJ13" i="2" s="1"/>
  <c r="AI6" i="2"/>
  <c r="AI13" i="2" s="1"/>
  <c r="AM6" i="2"/>
  <c r="AO27" i="2" l="1"/>
  <c r="AO26" i="2"/>
  <c r="AO25" i="2"/>
  <c r="AO23" i="2"/>
  <c r="BG78" i="2"/>
  <c r="AL82" i="2"/>
  <c r="BF78" i="2"/>
  <c r="AH82" i="2"/>
  <c r="BE78" i="2"/>
  <c r="AD82" i="2"/>
  <c r="AN26" i="2"/>
  <c r="T324" i="3"/>
  <c r="U323" i="3"/>
  <c r="T262" i="3"/>
  <c r="U263" i="3"/>
  <c r="AM25" i="2"/>
  <c r="AL25" i="2"/>
  <c r="AL27" i="2"/>
  <c r="AK25" i="2"/>
  <c r="AK27" i="2"/>
  <c r="AN25" i="2"/>
  <c r="AM10" i="2"/>
  <c r="AJ12" i="2"/>
  <c r="AN13" i="2"/>
  <c r="AN10" i="2"/>
  <c r="AN12" i="2"/>
  <c r="AK13" i="2"/>
  <c r="AO33" i="2"/>
  <c r="AO82" i="2" s="1"/>
  <c r="AO10" i="2"/>
  <c r="AO12" i="2"/>
  <c r="AN50" i="2"/>
  <c r="AN23" i="2"/>
  <c r="AM13" i="2"/>
  <c r="AI12" i="2"/>
  <c r="AM23" i="2"/>
  <c r="AI26" i="2"/>
  <c r="AK12" i="2"/>
  <c r="AM26" i="2"/>
  <c r="AM12" i="2"/>
  <c r="AL12" i="2"/>
  <c r="AI25" i="2"/>
  <c r="AI27" i="2"/>
  <c r="AJ26" i="2"/>
  <c r="AJ25" i="2"/>
  <c r="AO35" i="2" l="1"/>
  <c r="AO50" i="2" s="1"/>
  <c r="AO53" i="2"/>
  <c r="AO52" i="2"/>
  <c r="AO51" i="2"/>
  <c r="T261" i="3"/>
  <c r="U262" i="3"/>
  <c r="T325" i="3"/>
  <c r="U324" i="3"/>
  <c r="AN44" i="2"/>
  <c r="AN55" i="2" s="1"/>
  <c r="AN54" i="2"/>
  <c r="AN46" i="2"/>
  <c r="AO40" i="2" l="1"/>
  <c r="AO44" i="2" s="1"/>
  <c r="AO46" i="2" s="1"/>
  <c r="AN84" i="2"/>
  <c r="AN83" i="2"/>
  <c r="AN86" i="2"/>
  <c r="T326" i="3"/>
  <c r="U325" i="3"/>
  <c r="T260" i="3"/>
  <c r="U261" i="3"/>
  <c r="AN48" i="2"/>
  <c r="AN56" i="2"/>
  <c r="AO83" i="2" l="1"/>
  <c r="AO84" i="2"/>
  <c r="AO54" i="2"/>
  <c r="AO86" i="2"/>
  <c r="AO55" i="2"/>
  <c r="T259" i="3"/>
  <c r="U260" i="3"/>
  <c r="T327" i="3"/>
  <c r="U326" i="3"/>
  <c r="AO48" i="2" l="1"/>
  <c r="AO56" i="2"/>
  <c r="T328" i="3"/>
  <c r="U327" i="3"/>
  <c r="T258" i="3"/>
  <c r="U259" i="3"/>
  <c r="T257" i="3" l="1"/>
  <c r="U258" i="3"/>
  <c r="T329" i="3"/>
  <c r="U328" i="3"/>
  <c r="T330" i="3" l="1"/>
  <c r="U329" i="3"/>
  <c r="T256" i="3"/>
  <c r="U257" i="3"/>
  <c r="T255" i="3" l="1"/>
  <c r="U256" i="3"/>
  <c r="T331" i="3"/>
  <c r="U330" i="3"/>
  <c r="T332" i="3" l="1"/>
  <c r="U331" i="3"/>
  <c r="T254" i="3"/>
  <c r="U255" i="3"/>
  <c r="T253" i="3" l="1"/>
  <c r="U254" i="3"/>
  <c r="T333" i="3"/>
  <c r="U332" i="3"/>
  <c r="T334" i="3" l="1"/>
  <c r="U333" i="3"/>
  <c r="T252" i="3"/>
  <c r="U253" i="3"/>
  <c r="T251" i="3" l="1"/>
  <c r="U252" i="3"/>
  <c r="T335" i="3"/>
  <c r="U334" i="3"/>
  <c r="T336" i="3" l="1"/>
  <c r="U335" i="3"/>
  <c r="T250" i="3"/>
  <c r="U251" i="3"/>
  <c r="T249" i="3" l="1"/>
  <c r="U249" i="3" s="1"/>
  <c r="U250" i="3"/>
  <c r="T337" i="3"/>
  <c r="U337" i="3" s="1"/>
  <c r="U336" i="3"/>
  <c r="R35" i="2" l="1"/>
  <c r="Q35" i="2"/>
  <c r="P35" i="2"/>
  <c r="O35" i="2"/>
  <c r="O40" i="2" s="1"/>
  <c r="N35" i="2"/>
  <c r="M35" i="2"/>
  <c r="L35" i="2"/>
  <c r="K35" i="2"/>
  <c r="J35" i="2"/>
  <c r="I35" i="2"/>
  <c r="H35" i="2"/>
  <c r="G35" i="2"/>
  <c r="F35" i="2"/>
  <c r="E35" i="2"/>
  <c r="D35" i="2"/>
  <c r="C35" i="2"/>
  <c r="BG18" i="2"/>
  <c r="D50" i="2" l="1"/>
  <c r="D40" i="2"/>
  <c r="N50" i="2"/>
  <c r="N40" i="2"/>
  <c r="AY35" i="2"/>
  <c r="C40" i="2"/>
  <c r="C44" i="2" s="1"/>
  <c r="L50" i="2"/>
  <c r="L40" i="2"/>
  <c r="M50" i="2"/>
  <c r="M40" i="2"/>
  <c r="H50" i="2"/>
  <c r="H40" i="2"/>
  <c r="K40" i="2"/>
  <c r="BA35" i="2"/>
  <c r="E50" i="2"/>
  <c r="E40" i="2"/>
  <c r="F50" i="2"/>
  <c r="F40" i="2"/>
  <c r="G40" i="2"/>
  <c r="AZ35" i="2"/>
  <c r="P50" i="2"/>
  <c r="P40" i="2"/>
  <c r="I50" i="2"/>
  <c r="I40" i="2"/>
  <c r="Q50" i="2"/>
  <c r="Q40" i="2"/>
  <c r="J50" i="2"/>
  <c r="J40" i="2"/>
  <c r="R50" i="2"/>
  <c r="R40" i="2"/>
  <c r="K50" i="2"/>
  <c r="C50" i="2"/>
  <c r="G50" i="2"/>
  <c r="O50" i="2"/>
  <c r="BB35" i="2"/>
  <c r="BB50" i="2" s="1"/>
  <c r="BA40" i="2" l="1"/>
  <c r="AZ40" i="2"/>
  <c r="AY40" i="2"/>
  <c r="C55" i="2"/>
  <c r="BB40" i="2"/>
  <c r="BB54" i="2" s="1"/>
  <c r="C54" i="2"/>
  <c r="M44" i="2"/>
  <c r="M55" i="2" s="1"/>
  <c r="M54" i="2"/>
  <c r="J44" i="2"/>
  <c r="J55" i="2" s="1"/>
  <c r="J54" i="2"/>
  <c r="I44" i="2"/>
  <c r="I55" i="2" s="1"/>
  <c r="I54" i="2"/>
  <c r="O44" i="2"/>
  <c r="O54" i="2"/>
  <c r="N44" i="2"/>
  <c r="N55" i="2" s="1"/>
  <c r="N54" i="2"/>
  <c r="Q44" i="2"/>
  <c r="Q55" i="2" s="1"/>
  <c r="Q54" i="2"/>
  <c r="L44" i="2"/>
  <c r="L55" i="2" s="1"/>
  <c r="L54" i="2"/>
  <c r="E44" i="2"/>
  <c r="E55" i="2" s="1"/>
  <c r="E54" i="2"/>
  <c r="G44" i="2"/>
  <c r="G54" i="2"/>
  <c r="F44" i="2"/>
  <c r="F55" i="2" s="1"/>
  <c r="F54" i="2"/>
  <c r="D44" i="2"/>
  <c r="D55" i="2" s="1"/>
  <c r="D54" i="2"/>
  <c r="K44" i="2"/>
  <c r="K54" i="2"/>
  <c r="P44" i="2"/>
  <c r="P55" i="2" s="1"/>
  <c r="P54" i="2"/>
  <c r="R44" i="2"/>
  <c r="R55" i="2" s="1"/>
  <c r="R54" i="2"/>
  <c r="H44" i="2"/>
  <c r="H55" i="2" s="1"/>
  <c r="H54" i="2"/>
  <c r="C46" i="2"/>
  <c r="BG34" i="2"/>
  <c r="BF34" i="2"/>
  <c r="BE34" i="2"/>
  <c r="BD34" i="2"/>
  <c r="BC34" i="2"/>
  <c r="BB34" i="2"/>
  <c r="BQ70" i="2"/>
  <c r="BQ68" i="2"/>
  <c r="AL35" i="2"/>
  <c r="AK35" i="2"/>
  <c r="AJ35" i="2"/>
  <c r="AI35" i="2"/>
  <c r="AI40" i="2" s="1"/>
  <c r="AH35" i="2"/>
  <c r="AG35" i="2"/>
  <c r="AE35" i="2"/>
  <c r="AE40" i="2" s="1"/>
  <c r="AD35" i="2"/>
  <c r="AC35" i="2"/>
  <c r="AB35" i="2"/>
  <c r="AA35" i="2"/>
  <c r="AA40" i="2" s="1"/>
  <c r="Z35" i="2"/>
  <c r="Y35" i="2"/>
  <c r="X35" i="2"/>
  <c r="W35" i="2"/>
  <c r="W40" i="2" s="1"/>
  <c r="V35" i="2"/>
  <c r="U35" i="2"/>
  <c r="T35" i="2"/>
  <c r="S35" i="2"/>
  <c r="S40" i="2" s="1"/>
  <c r="AM35" i="2"/>
  <c r="BG17" i="2"/>
  <c r="BG27" i="2" s="1"/>
  <c r="BG16" i="2"/>
  <c r="BG26" i="2" s="1"/>
  <c r="BG15" i="2"/>
  <c r="BG25" i="2" s="1"/>
  <c r="BG6" i="2"/>
  <c r="BG22" i="2" s="1"/>
  <c r="BG5" i="2"/>
  <c r="BG21" i="2" s="1"/>
  <c r="BG4" i="2"/>
  <c r="AZ3" i="2"/>
  <c r="BA3" i="2" s="1"/>
  <c r="BB3" i="2" s="1"/>
  <c r="BC3" i="2" s="1"/>
  <c r="BD3" i="2" s="1"/>
  <c r="BE3" i="2" s="1"/>
  <c r="BF3" i="2" s="1"/>
  <c r="BG3" i="2" s="1"/>
  <c r="BH3" i="2" s="1"/>
  <c r="BI3" i="2" s="1"/>
  <c r="BJ3" i="2" s="1"/>
  <c r="BK3" i="2" s="1"/>
  <c r="BL3" i="2" s="1"/>
  <c r="BM3" i="2" s="1"/>
  <c r="BN3" i="2" s="1"/>
  <c r="BO3" i="2" s="1"/>
  <c r="BP3" i="2" s="1"/>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S243" i="3"/>
  <c r="C5" i="1"/>
  <c r="C8" i="1" s="1"/>
  <c r="AJ50" i="2" l="1"/>
  <c r="AJ40" i="2"/>
  <c r="AD50" i="2"/>
  <c r="AD40" i="2"/>
  <c r="AB50" i="2"/>
  <c r="AB40" i="2"/>
  <c r="AL50" i="2"/>
  <c r="AL40" i="2"/>
  <c r="V50" i="2"/>
  <c r="V40" i="2"/>
  <c r="AC50" i="2"/>
  <c r="AC40" i="2"/>
  <c r="AG50" i="2"/>
  <c r="AG40" i="2"/>
  <c r="T50" i="2"/>
  <c r="T40" i="2"/>
  <c r="U50" i="2"/>
  <c r="U40" i="2"/>
  <c r="Y50" i="2"/>
  <c r="Y40" i="2"/>
  <c r="AH50" i="2"/>
  <c r="AH40" i="2"/>
  <c r="AK50" i="2"/>
  <c r="AK40" i="2"/>
  <c r="X50" i="2"/>
  <c r="X40" i="2"/>
  <c r="AM50" i="2"/>
  <c r="AM40" i="2"/>
  <c r="Z50" i="2"/>
  <c r="Z40" i="2"/>
  <c r="Q46" i="2"/>
  <c r="Q86" i="2" s="1"/>
  <c r="R46" i="2"/>
  <c r="R86" i="2" s="1"/>
  <c r="G46" i="2"/>
  <c r="AZ44" i="2"/>
  <c r="AZ55" i="2" s="1"/>
  <c r="BA44" i="2"/>
  <c r="BA55" i="2" s="1"/>
  <c r="AY44" i="2"/>
  <c r="AY55" i="2" s="1"/>
  <c r="BH4" i="2"/>
  <c r="BI4" i="2" s="1"/>
  <c r="BJ4" i="2" s="1"/>
  <c r="BK4" i="2" s="1"/>
  <c r="BL4" i="2" s="1"/>
  <c r="BM4" i="2" s="1"/>
  <c r="BN4" i="2" s="1"/>
  <c r="BO4" i="2" s="1"/>
  <c r="BP4" i="2" s="1"/>
  <c r="BQ4" i="2" s="1"/>
  <c r="BG20" i="2"/>
  <c r="N46" i="2"/>
  <c r="N86" i="2" s="1"/>
  <c r="AY52" i="2"/>
  <c r="AY53" i="2"/>
  <c r="AY51" i="2"/>
  <c r="AY50" i="2"/>
  <c r="AZ51" i="2"/>
  <c r="AZ52" i="2"/>
  <c r="AZ53" i="2"/>
  <c r="BA53" i="2"/>
  <c r="BA51" i="2"/>
  <c r="BA52" i="2"/>
  <c r="AE50" i="2"/>
  <c r="BA54" i="2"/>
  <c r="W50" i="2"/>
  <c r="BD35" i="2"/>
  <c r="C86" i="2"/>
  <c r="BA50" i="2"/>
  <c r="AI50" i="2"/>
  <c r="BG35" i="2"/>
  <c r="S50" i="2"/>
  <c r="BC35" i="2"/>
  <c r="AA50" i="2"/>
  <c r="BE35" i="2"/>
  <c r="F46" i="2"/>
  <c r="F86" i="2" s="1"/>
  <c r="M46" i="2"/>
  <c r="M86" i="2" s="1"/>
  <c r="AY54" i="2"/>
  <c r="AZ54" i="2"/>
  <c r="J46" i="2"/>
  <c r="J86" i="2" s="1"/>
  <c r="G55" i="2"/>
  <c r="BH5" i="2"/>
  <c r="BI5" i="2" s="1"/>
  <c r="BJ5" i="2" s="1"/>
  <c r="BK5" i="2" s="1"/>
  <c r="BL5" i="2" s="1"/>
  <c r="BM5" i="2" s="1"/>
  <c r="BN5" i="2" s="1"/>
  <c r="BO5" i="2" s="1"/>
  <c r="BP5" i="2" s="1"/>
  <c r="BQ5" i="2" s="1"/>
  <c r="BG13" i="2"/>
  <c r="P46" i="2"/>
  <c r="P86" i="2" s="1"/>
  <c r="H46" i="2"/>
  <c r="H86" i="2" s="1"/>
  <c r="K55" i="2"/>
  <c r="O55" i="2"/>
  <c r="BB44" i="2"/>
  <c r="BB55" i="2" s="1"/>
  <c r="AZ50" i="2"/>
  <c r="D46" i="2"/>
  <c r="D86" i="2" s="1"/>
  <c r="BQ64" i="2"/>
  <c r="BQ65" i="2" s="1"/>
  <c r="G48" i="2"/>
  <c r="G56" i="2"/>
  <c r="E46" i="2"/>
  <c r="E86" i="2" s="1"/>
  <c r="O46" i="2"/>
  <c r="N48" i="2"/>
  <c r="N56" i="2"/>
  <c r="C48" i="2"/>
  <c r="C56" i="2"/>
  <c r="K46" i="2"/>
  <c r="I46" i="2"/>
  <c r="I86" i="2" s="1"/>
  <c r="L46" i="2"/>
  <c r="L86" i="2" s="1"/>
  <c r="BN62" i="2"/>
  <c r="BF33" i="2"/>
  <c r="BG9" i="2"/>
  <c r="BC33" i="2"/>
  <c r="BE33" i="2"/>
  <c r="BG33" i="2"/>
  <c r="AF35" i="2"/>
  <c r="BD33" i="2"/>
  <c r="BG8" i="2"/>
  <c r="BG12" i="2"/>
  <c r="X260" i="3"/>
  <c r="AF50" i="2" l="1"/>
  <c r="AF40" i="2"/>
  <c r="R56" i="2"/>
  <c r="Q48" i="2"/>
  <c r="R48" i="2"/>
  <c r="Q56" i="2"/>
  <c r="AZ46" i="2"/>
  <c r="AY46" i="2"/>
  <c r="BA46" i="2"/>
  <c r="G86" i="2"/>
  <c r="BQ6" i="2"/>
  <c r="BQ33" i="2" s="1"/>
  <c r="BG50" i="2"/>
  <c r="F48" i="2"/>
  <c r="BD50" i="2"/>
  <c r="J56" i="2"/>
  <c r="BE40" i="2"/>
  <c r="BE54" i="2" s="1"/>
  <c r="J48" i="2"/>
  <c r="BG52" i="2"/>
  <c r="BG82" i="2"/>
  <c r="BG53" i="2"/>
  <c r="BG51" i="2"/>
  <c r="BC40" i="2"/>
  <c r="BC54" i="2" s="1"/>
  <c r="BD40" i="2"/>
  <c r="BD54" i="2" s="1"/>
  <c r="D56" i="2"/>
  <c r="K86" i="2"/>
  <c r="H48" i="2"/>
  <c r="P56" i="2"/>
  <c r="D48" i="2"/>
  <c r="P48" i="2"/>
  <c r="BF82" i="2"/>
  <c r="BF53" i="2"/>
  <c r="BF52" i="2"/>
  <c r="BF51" i="2"/>
  <c r="M48" i="2"/>
  <c r="H56" i="2"/>
  <c r="BE82" i="2"/>
  <c r="BE52" i="2"/>
  <c r="BE53" i="2"/>
  <c r="BE51" i="2"/>
  <c r="BC52" i="2"/>
  <c r="BC51" i="2"/>
  <c r="BC53" i="2"/>
  <c r="BG40" i="2"/>
  <c r="BG54" i="2" s="1"/>
  <c r="BE50" i="2"/>
  <c r="BF35" i="2"/>
  <c r="BF50" i="2" s="1"/>
  <c r="M56" i="2"/>
  <c r="BC50" i="2"/>
  <c r="BD51" i="2"/>
  <c r="BD53" i="2"/>
  <c r="BD52" i="2"/>
  <c r="BB46" i="2"/>
  <c r="O86" i="2"/>
  <c r="F56" i="2"/>
  <c r="AA44" i="2"/>
  <c r="AA46" i="2" s="1"/>
  <c r="AA54" i="2"/>
  <c r="AE44" i="2"/>
  <c r="AE54" i="2"/>
  <c r="V44" i="2"/>
  <c r="V55" i="2" s="1"/>
  <c r="V54" i="2"/>
  <c r="S44" i="2"/>
  <c r="S54" i="2"/>
  <c r="K48" i="2"/>
  <c r="K56" i="2"/>
  <c r="W44" i="2"/>
  <c r="W46" i="2" s="1"/>
  <c r="W54" i="2"/>
  <c r="AC44" i="2"/>
  <c r="AC55" i="2" s="1"/>
  <c r="AC54" i="2"/>
  <c r="AI44" i="2"/>
  <c r="AI54" i="2"/>
  <c r="U44" i="2"/>
  <c r="U55" i="2" s="1"/>
  <c r="U54" i="2"/>
  <c r="AH44" i="2"/>
  <c r="AH55" i="2" s="1"/>
  <c r="AH54" i="2"/>
  <c r="AD44" i="2"/>
  <c r="AD55" i="2" s="1"/>
  <c r="AD54" i="2"/>
  <c r="AG44" i="2"/>
  <c r="AG55" i="2" s="1"/>
  <c r="AG54" i="2"/>
  <c r="X44" i="2"/>
  <c r="X55" i="2" s="1"/>
  <c r="X54" i="2"/>
  <c r="AM44" i="2"/>
  <c r="AM55" i="2" s="1"/>
  <c r="AM54" i="2"/>
  <c r="Y44" i="2"/>
  <c r="Y55" i="2" s="1"/>
  <c r="Y54" i="2"/>
  <c r="AL44" i="2"/>
  <c r="AL55" i="2" s="1"/>
  <c r="AL54" i="2"/>
  <c r="AB44" i="2"/>
  <c r="AB55" i="2" s="1"/>
  <c r="AB54" i="2"/>
  <c r="E48" i="2"/>
  <c r="E56" i="2"/>
  <c r="AK44" i="2"/>
  <c r="AK55" i="2" s="1"/>
  <c r="AK54" i="2"/>
  <c r="T44" i="2"/>
  <c r="T55" i="2" s="1"/>
  <c r="T54" i="2"/>
  <c r="O48" i="2"/>
  <c r="O56" i="2"/>
  <c r="I48" i="2"/>
  <c r="I56" i="2"/>
  <c r="AJ44" i="2"/>
  <c r="AJ55" i="2" s="1"/>
  <c r="AJ54" i="2"/>
  <c r="Z44" i="2"/>
  <c r="Z55" i="2" s="1"/>
  <c r="Z54" i="2"/>
  <c r="L48" i="2"/>
  <c r="L56" i="2"/>
  <c r="AE46" i="2"/>
  <c r="BF40" i="2"/>
  <c r="BF54" i="2" s="1"/>
  <c r="BM6" i="2"/>
  <c r="BM33" i="2" s="1"/>
  <c r="BN6" i="2"/>
  <c r="BN33" i="2" s="1"/>
  <c r="BP6" i="2"/>
  <c r="BP33" i="2" s="1"/>
  <c r="BH6" i="2"/>
  <c r="BJ6" i="2"/>
  <c r="BJ33" i="2" s="1"/>
  <c r="BO6" i="2"/>
  <c r="BO33" i="2" s="1"/>
  <c r="BK6" i="2"/>
  <c r="BK33" i="2" s="1"/>
  <c r="BI6" i="2"/>
  <c r="BI33" i="2" s="1"/>
  <c r="BL6" i="2"/>
  <c r="BL33" i="2" s="1"/>
  <c r="X250" i="3"/>
  <c r="X249" i="3"/>
  <c r="X252" i="3"/>
  <c r="X259" i="3"/>
  <c r="X251" i="3"/>
  <c r="X262" i="3"/>
  <c r="X258" i="3"/>
  <c r="X254" i="3"/>
  <c r="X257" i="3"/>
  <c r="X261" i="3"/>
  <c r="X256" i="3"/>
  <c r="X253" i="3"/>
  <c r="X255" i="3"/>
  <c r="BH10" i="2" l="1"/>
  <c r="BH33" i="2"/>
  <c r="BP34" i="2"/>
  <c r="BP35" i="2" s="1"/>
  <c r="BP38" i="2"/>
  <c r="BP37" i="2"/>
  <c r="BP36" i="2"/>
  <c r="BQ37" i="2"/>
  <c r="BQ36" i="2"/>
  <c r="BQ38" i="2"/>
  <c r="BQ34" i="2"/>
  <c r="BQ35" i="2" s="1"/>
  <c r="BM38" i="2"/>
  <c r="BM36" i="2"/>
  <c r="BM34" i="2"/>
  <c r="BM35" i="2" s="1"/>
  <c r="BM37" i="2"/>
  <c r="BK36" i="2"/>
  <c r="BK37" i="2"/>
  <c r="BK38" i="2"/>
  <c r="BK34" i="2"/>
  <c r="BK35" i="2" s="1"/>
  <c r="BN34" i="2"/>
  <c r="BN35" i="2" s="1"/>
  <c r="BN38" i="2"/>
  <c r="BN37" i="2"/>
  <c r="BN36" i="2"/>
  <c r="BN39" i="2" s="1"/>
  <c r="BL38" i="2"/>
  <c r="BL37" i="2"/>
  <c r="BL34" i="2"/>
  <c r="BL35" i="2" s="1"/>
  <c r="BL36" i="2"/>
  <c r="BI37" i="2"/>
  <c r="BI38" i="2"/>
  <c r="BI34" i="2"/>
  <c r="BI35" i="2" s="1"/>
  <c r="BI36" i="2"/>
  <c r="BI39" i="2" s="1"/>
  <c r="BO38" i="2"/>
  <c r="BO37" i="2"/>
  <c r="BO34" i="2"/>
  <c r="BO35" i="2" s="1"/>
  <c r="BO36" i="2"/>
  <c r="BJ36" i="2"/>
  <c r="BJ34" i="2"/>
  <c r="BJ35" i="2" s="1"/>
  <c r="BJ37" i="2"/>
  <c r="BJ38" i="2"/>
  <c r="U46" i="2"/>
  <c r="U86" i="2" s="1"/>
  <c r="X46" i="2"/>
  <c r="X86" i="2" s="1"/>
  <c r="AY48" i="2"/>
  <c r="AZ48" i="2"/>
  <c r="W55" i="2"/>
  <c r="BD44" i="2"/>
  <c r="BD55" i="2" s="1"/>
  <c r="AA86" i="2"/>
  <c r="AY56" i="2"/>
  <c r="AY86" i="2"/>
  <c r="BA48" i="2"/>
  <c r="AA55" i="2"/>
  <c r="BE44" i="2"/>
  <c r="BE55" i="2" s="1"/>
  <c r="W86" i="2"/>
  <c r="AB46" i="2"/>
  <c r="AB86" i="2" s="1"/>
  <c r="AZ56" i="2"/>
  <c r="AZ86" i="2"/>
  <c r="BA56" i="2"/>
  <c r="BA86" i="2"/>
  <c r="BB86" i="2"/>
  <c r="BB56" i="2"/>
  <c r="AE84" i="2"/>
  <c r="AE83" i="2"/>
  <c r="AE86" i="2"/>
  <c r="AE55" i="2"/>
  <c r="BB48" i="2"/>
  <c r="V46" i="2"/>
  <c r="V86" i="2" s="1"/>
  <c r="AI55" i="2"/>
  <c r="BG44" i="2"/>
  <c r="BG55" i="2" s="1"/>
  <c r="S55" i="2"/>
  <c r="BC44" i="2"/>
  <c r="BC55" i="2" s="1"/>
  <c r="BO10" i="2"/>
  <c r="AI46" i="2"/>
  <c r="AI48" i="2" s="1"/>
  <c r="AM46" i="2"/>
  <c r="AM48" i="2" s="1"/>
  <c r="AC46" i="2"/>
  <c r="AC48" i="2" s="1"/>
  <c r="S46" i="2"/>
  <c r="AK46" i="2"/>
  <c r="AH46" i="2"/>
  <c r="AA48" i="2"/>
  <c r="AA56" i="2"/>
  <c r="V48" i="2"/>
  <c r="X56" i="2"/>
  <c r="W48" i="2"/>
  <c r="W56" i="2"/>
  <c r="AD46" i="2"/>
  <c r="Z46" i="2"/>
  <c r="Z86" i="2" s="1"/>
  <c r="AF44" i="2"/>
  <c r="AF55" i="2" s="1"/>
  <c r="AF54" i="2"/>
  <c r="Y46" i="2"/>
  <c r="Y86" i="2" s="1"/>
  <c r="U48" i="2"/>
  <c r="AG46" i="2"/>
  <c r="AE48" i="2"/>
  <c r="AE56" i="2"/>
  <c r="T46" i="2"/>
  <c r="T86" i="2" s="1"/>
  <c r="AJ46" i="2"/>
  <c r="AL46" i="2"/>
  <c r="BN10" i="2"/>
  <c r="BJ10" i="2"/>
  <c r="BL10" i="2"/>
  <c r="BP10" i="2"/>
  <c r="BM10" i="2"/>
  <c r="BI10" i="2"/>
  <c r="BK10" i="2"/>
  <c r="BQ10" i="2"/>
  <c r="BN40" i="2" l="1"/>
  <c r="BN54" i="2" s="1"/>
  <c r="U56" i="2"/>
  <c r="BH36" i="2"/>
  <c r="BH34" i="2"/>
  <c r="BH35" i="2" s="1"/>
  <c r="BH38" i="2"/>
  <c r="BH37" i="2"/>
  <c r="BP39" i="2"/>
  <c r="BP40" i="2" s="1"/>
  <c r="BP54" i="2" s="1"/>
  <c r="BQ39" i="2"/>
  <c r="BQ40" i="2" s="1"/>
  <c r="BQ54" i="2" s="1"/>
  <c r="BI40" i="2"/>
  <c r="BL39" i="2"/>
  <c r="BL40" i="2" s="1"/>
  <c r="BL54" i="2" s="1"/>
  <c r="BM39" i="2"/>
  <c r="BM40" i="2" s="1"/>
  <c r="BM54" i="2" s="1"/>
  <c r="BK39" i="2"/>
  <c r="BK40" i="2" s="1"/>
  <c r="BK54" i="2" s="1"/>
  <c r="BJ39" i="2"/>
  <c r="BJ40" i="2" s="1"/>
  <c r="BJ54" i="2" s="1"/>
  <c r="BO39" i="2"/>
  <c r="BO40" i="2" s="1"/>
  <c r="BO54" i="2" s="1"/>
  <c r="X48" i="2"/>
  <c r="V56" i="2"/>
  <c r="AB56" i="2"/>
  <c r="AB48" i="2"/>
  <c r="BF44" i="2"/>
  <c r="BF55" i="2" s="1"/>
  <c r="AJ86" i="2"/>
  <c r="AJ84" i="2"/>
  <c r="AJ83" i="2"/>
  <c r="AI56" i="2"/>
  <c r="AK48" i="2"/>
  <c r="AK86" i="2"/>
  <c r="AK84" i="2"/>
  <c r="AK83" i="2"/>
  <c r="BE46" i="2"/>
  <c r="S56" i="2"/>
  <c r="S86" i="2"/>
  <c r="BC46" i="2"/>
  <c r="BD46" i="2"/>
  <c r="AH56" i="2"/>
  <c r="AH86" i="2"/>
  <c r="AH84" i="2"/>
  <c r="AH83" i="2"/>
  <c r="AD84" i="2"/>
  <c r="AD83" i="2"/>
  <c r="AD86" i="2"/>
  <c r="AC56" i="2"/>
  <c r="AC86" i="2"/>
  <c r="AL84" i="2"/>
  <c r="AL83" i="2"/>
  <c r="AL86" i="2"/>
  <c r="AI86" i="2"/>
  <c r="BG46" i="2"/>
  <c r="AI84" i="2"/>
  <c r="AI83" i="2"/>
  <c r="AF46" i="2"/>
  <c r="AF56" i="2" s="1"/>
  <c r="AG83" i="2"/>
  <c r="AG84" i="2"/>
  <c r="AG86" i="2"/>
  <c r="AM56" i="2"/>
  <c r="AM84" i="2"/>
  <c r="AM86" i="2"/>
  <c r="AM83" i="2"/>
  <c r="AK56" i="2"/>
  <c r="S48" i="2"/>
  <c r="AH48" i="2"/>
  <c r="AG48" i="2"/>
  <c r="AG56" i="2"/>
  <c r="Y48" i="2"/>
  <c r="Y56" i="2"/>
  <c r="AL48" i="2"/>
  <c r="AL56" i="2"/>
  <c r="AJ48" i="2"/>
  <c r="AJ56" i="2"/>
  <c r="T48" i="2"/>
  <c r="T56" i="2"/>
  <c r="Z48" i="2"/>
  <c r="Z56" i="2"/>
  <c r="AD48" i="2"/>
  <c r="AD56" i="2"/>
  <c r="BE48" i="2" l="1"/>
  <c r="BH39" i="2"/>
  <c r="BH40" i="2" s="1"/>
  <c r="BI54" i="2"/>
  <c r="BG48" i="2"/>
  <c r="BD48" i="2"/>
  <c r="BC56" i="2"/>
  <c r="BC86" i="2"/>
  <c r="BD86" i="2"/>
  <c r="BD56" i="2"/>
  <c r="BG86" i="2"/>
  <c r="BG84" i="2"/>
  <c r="BG56" i="2"/>
  <c r="BG83" i="2"/>
  <c r="BC48" i="2"/>
  <c r="BE86" i="2"/>
  <c r="BE84" i="2"/>
  <c r="BE56" i="2"/>
  <c r="BE83" i="2"/>
  <c r="AF83" i="2"/>
  <c r="AF86" i="2"/>
  <c r="AF84" i="2"/>
  <c r="BF46" i="2"/>
  <c r="AF48" i="2"/>
  <c r="BF48" i="2" s="1"/>
  <c r="BH54" i="2" l="1"/>
  <c r="BI62" i="2"/>
  <c r="BI63" i="2" s="1"/>
  <c r="BH44" i="2"/>
  <c r="BH45" i="2" s="1"/>
  <c r="BH46" i="2" s="1"/>
  <c r="BF86" i="2"/>
  <c r="BF84" i="2"/>
  <c r="BF56" i="2"/>
  <c r="BF83" i="2"/>
  <c r="BH56" i="2" l="1"/>
  <c r="BI43" i="2" l="1"/>
  <c r="BI44" i="2" s="1"/>
  <c r="BI45" i="2" s="1"/>
  <c r="BI46" i="2" s="1"/>
  <c r="BI56" i="2" s="1"/>
  <c r="BI58" i="2" l="1"/>
  <c r="BJ43" i="2" s="1"/>
  <c r="BJ44" i="2" s="1"/>
  <c r="BJ45" i="2" s="1"/>
  <c r="BJ46" i="2" s="1"/>
  <c r="BJ58" i="2" s="1"/>
  <c r="BK43" i="2" s="1"/>
  <c r="BK44" i="2" s="1"/>
  <c r="BK45" i="2" s="1"/>
  <c r="BK46" i="2" s="1"/>
  <c r="BK56" i="2" s="1"/>
  <c r="BK58" i="2" l="1"/>
  <c r="BL43" i="2" s="1"/>
  <c r="BL44" i="2" s="1"/>
  <c r="BL45" i="2" s="1"/>
  <c r="BL46" i="2" s="1"/>
  <c r="BL58" i="2" s="1"/>
  <c r="BM43" i="2" s="1"/>
  <c r="BM44" i="2" s="1"/>
  <c r="BM45" i="2" s="1"/>
  <c r="BM46" i="2" s="1"/>
  <c r="BM56" i="2" s="1"/>
  <c r="BJ56" i="2"/>
  <c r="BL56" i="2" l="1"/>
  <c r="BM58" i="2"/>
  <c r="BN43" i="2" s="1"/>
  <c r="BN44" i="2" s="1"/>
  <c r="BN45" i="2" s="1"/>
  <c r="BN46" i="2" s="1"/>
  <c r="BN58" i="2" s="1"/>
  <c r="BO43" i="2" s="1"/>
  <c r="BO44" i="2" l="1"/>
  <c r="BO45" i="2" s="1"/>
  <c r="BO46" i="2" s="1"/>
  <c r="BO56" i="2" s="1"/>
  <c r="BN56" i="2"/>
  <c r="BO58" i="2" l="1"/>
  <c r="BP43" i="2" s="1"/>
  <c r="BP44" i="2" s="1"/>
  <c r="BP45" i="2" s="1"/>
  <c r="BP46" i="2" s="1"/>
  <c r="BP58" i="2" s="1"/>
  <c r="BQ43" i="2" s="1"/>
  <c r="BQ44" i="2" l="1"/>
  <c r="BQ45" i="2" s="1"/>
  <c r="BQ46" i="2" s="1"/>
  <c r="BQ58" i="2" s="1"/>
  <c r="BP56" i="2"/>
  <c r="BR46" i="2" l="1"/>
  <c r="BS46" i="2" s="1"/>
  <c r="BT46" i="2" s="1"/>
  <c r="BU46" i="2" s="1"/>
  <c r="BV46" i="2" s="1"/>
  <c r="BW46" i="2" s="1"/>
  <c r="BX46" i="2" s="1"/>
  <c r="BY46" i="2" s="1"/>
  <c r="BZ46" i="2" s="1"/>
  <c r="CA46" i="2" s="1"/>
  <c r="CB46" i="2" s="1"/>
  <c r="CC46" i="2" s="1"/>
  <c r="CD46" i="2" s="1"/>
  <c r="CE46" i="2" s="1"/>
  <c r="CF46" i="2" s="1"/>
  <c r="CG46" i="2" s="1"/>
  <c r="CH46" i="2" s="1"/>
  <c r="CI46" i="2" s="1"/>
  <c r="CJ46" i="2" s="1"/>
  <c r="CK46" i="2" s="1"/>
  <c r="CL46" i="2" s="1"/>
  <c r="CM46" i="2" s="1"/>
  <c r="CN46" i="2" s="1"/>
  <c r="CO46" i="2" s="1"/>
  <c r="CP46" i="2" s="1"/>
  <c r="CQ46" i="2" s="1"/>
  <c r="CR46" i="2" s="1"/>
  <c r="CS46" i="2" s="1"/>
  <c r="CT46" i="2" s="1"/>
  <c r="CU46" i="2" s="1"/>
  <c r="CV46" i="2" s="1"/>
  <c r="CW46" i="2" s="1"/>
  <c r="CX46" i="2" s="1"/>
  <c r="CY46" i="2" s="1"/>
  <c r="CZ46" i="2" s="1"/>
  <c r="DA46" i="2" s="1"/>
  <c r="DB46" i="2" s="1"/>
  <c r="DC46" i="2" s="1"/>
  <c r="DD46" i="2" s="1"/>
  <c r="DE46" i="2" s="1"/>
  <c r="BQ56" i="2"/>
  <c r="DF46" i="2" l="1"/>
  <c r="DG46" i="2" s="1"/>
  <c r="DH46" i="2" s="1"/>
  <c r="DI46" i="2" s="1"/>
  <c r="DJ46" i="2" s="1"/>
  <c r="DK46" i="2" s="1"/>
  <c r="DL46" i="2" s="1"/>
  <c r="DM46" i="2" s="1"/>
  <c r="DN46" i="2" s="1"/>
  <c r="DO46" i="2" s="1"/>
  <c r="BQ67" i="2"/>
  <c r="BQ69" i="2" s="1"/>
  <c r="BQ71" i="2" l="1"/>
  <c r="BR71" i="2" l="1"/>
  <c r="BP72" i="2" a="1"/>
  <c r="BP7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<sst xmlns="http://schemas.openxmlformats.org/spreadsheetml/2006/main" count="2822" uniqueCount="1506">
  <si>
    <t xml:space="preserve">Price </t>
  </si>
  <si>
    <t>SO</t>
  </si>
  <si>
    <t>MC</t>
  </si>
  <si>
    <t>Cash</t>
  </si>
  <si>
    <t>Debt</t>
  </si>
  <si>
    <t>EV</t>
  </si>
  <si>
    <t>Investor Relations Contact:</t>
  </si>
  <si>
    <t>SEC filings</t>
  </si>
  <si>
    <t>Godel Terminal</t>
  </si>
  <si>
    <t>Company Overview:</t>
  </si>
  <si>
    <t>[Bold Title]</t>
  </si>
  <si>
    <t>Line Titles</t>
  </si>
  <si>
    <t>&lt;-- General</t>
  </si>
  <si>
    <t>&lt;-- Info</t>
  </si>
  <si>
    <t>Revenue Breakdown by Segment (Build graph for this section if applicable…. See example below)</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</si>
  <si>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</si>
  <si>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</si>
  <si>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</si>
  <si>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</si>
  <si>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</si>
  <si>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</si>
  <si>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</si>
  <si>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</si>
  <si>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</si>
  <si>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</si>
  <si>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</si>
  <si>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</si>
  <si>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</si>
  <si>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</si>
  <si>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</si>
  <si>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</si>
  <si>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</si>
  <si>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</si>
  <si>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</si>
  <si>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</si>
  <si>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</si>
  <si>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</si>
  <si>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</si>
  <si>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</si>
  <si>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</si>
  <si>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</si>
  <si>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</si>
  <si>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</si>
  <si>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</si>
  <si>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</si>
  <si>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</si>
  <si>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</si>
  <si>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</si>
  <si>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</si>
  <si>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</si>
  <si>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</si>
  <si>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</si>
  <si>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</si>
  <si>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</si>
  <si>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</si>
  <si>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</si>
  <si>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</si>
  <si>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</si>
  <si>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</si>
  <si>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</si>
  <si>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</si>
  <si>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</si>
  <si>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</si>
  <si>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</si>
  <si>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</si>
  <si>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</si>
  <si>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</si>
  <si>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</si>
  <si>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</si>
  <si>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</si>
  <si>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</si>
  <si>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</si>
  <si>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</si>
  <si>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</si>
  <si>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</si>
  <si>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</si>
  <si>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</si>
  <si>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</si>
  <si>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</si>
  <si>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</si>
  <si>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</si>
  <si>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</si>
  <si>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</si>
  <si>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</si>
  <si>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</si>
  <si>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</si>
  <si>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</si>
  <si>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</si>
  <si>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[Use for Graphing]</t>
  </si>
  <si>
    <t>Quarterly</t>
  </si>
  <si>
    <t>Revenues</t>
  </si>
  <si>
    <t>Ttl Revenues</t>
  </si>
  <si>
    <t>U.S. Revenues</t>
  </si>
  <si>
    <t>U.S. % of Revenues</t>
  </si>
  <si>
    <t>U.S. Revenue Growth Y/y</t>
  </si>
  <si>
    <t>COGS</t>
  </si>
  <si>
    <t>GP</t>
  </si>
  <si>
    <t>Gross Profit Margin</t>
  </si>
  <si>
    <t>R&amp;D as % of Revenue</t>
  </si>
  <si>
    <t>Operating Profit Margin</t>
  </si>
  <si>
    <t>Effective Tax Rate</t>
  </si>
  <si>
    <t>Net Profit Margin</t>
  </si>
  <si>
    <t xml:space="preserve">Cash &amp; CEs </t>
  </si>
  <si>
    <t>Marketable Securities</t>
  </si>
  <si>
    <t>Current Ratio</t>
  </si>
  <si>
    <t>Cash Ratio</t>
  </si>
  <si>
    <t>Ttl Asset Turnover</t>
  </si>
  <si>
    <t>Return on Assets</t>
  </si>
  <si>
    <t>Return on Equity</t>
  </si>
  <si>
    <t>Net Income</t>
  </si>
  <si>
    <t>CFFO</t>
  </si>
  <si>
    <t>CapEx, net</t>
  </si>
  <si>
    <t>FCF</t>
  </si>
  <si>
    <t>SC</t>
  </si>
  <si>
    <t>FCF per Share</t>
  </si>
  <si>
    <t>Revenues:</t>
  </si>
  <si>
    <t>Earnings Scope:</t>
  </si>
  <si>
    <t>Balance Sheet Scope:</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</si>
  <si>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</si>
  <si>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</si>
  <si>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</si>
  <si>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</si>
  <si>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</si>
  <si>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</si>
  <si>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</si>
  <si>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</si>
  <si>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</si>
  <si>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</si>
  <si>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</si>
  <si>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</si>
  <si>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</si>
  <si>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https://stockanalysis.com/stocks/googl/</t>
  </si>
  <si>
    <t>https://app.godelterminal.com/</t>
  </si>
  <si>
    <t>Investors Relation Department</t>
  </si>
  <si>
    <t>Business Segments and Geographical Info:</t>
  </si>
  <si>
    <t xml:space="preserve">[Begin researching fundamentals / core business … begin with SEC filings, but expand and use all public resources available] </t>
  </si>
  <si>
    <t>Employee Scope:</t>
  </si>
  <si>
    <t>Resources:</t>
  </si>
  <si>
    <t>Y/y Total Revenues, Net Income, FCF</t>
  </si>
  <si>
    <t>Q/q Total Revenues, Net Income, FCF</t>
  </si>
  <si>
    <t>Company IR Page</t>
  </si>
  <si>
    <t>Company Homepage</t>
  </si>
  <si>
    <t>MacroTrends</t>
  </si>
  <si>
    <t>ROIC, WACC</t>
  </si>
  <si>
    <t>https://www.gurufocus.com/term/wacc/TFX</t>
  </si>
  <si>
    <t>https://www.macrotrends.net/stocks/charts/TFX/teleflex/cash-flow-statement?freq=Q</t>
  </si>
  <si>
    <t>Ttl Revenue Growth Y/y</t>
  </si>
  <si>
    <t>Projected ROIC:</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</si>
  <si>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</si>
  <si>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</si>
  <si>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</si>
  <si>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</si>
  <si>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</si>
  <si>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</si>
  <si>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</si>
  <si>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</si>
  <si>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</si>
  <si>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</si>
  <si>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</si>
  <si>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</si>
  <si>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</si>
  <si>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VOO Historical Returns</t>
  </si>
  <si>
    <t>SNAP</t>
  </si>
  <si>
    <t>Snap Inc. (SNAP)</t>
  </si>
  <si>
    <t>Snap Inc. is a technology and social media company best known for Snapchat, a visual communication platform built around ephemeral messaging, Stories, and creative multimedia sharing</t>
  </si>
  <si>
    <t>The Company is among the world’s largest platforms by engagement, boasting 469 million daily active users (DAUs) and over 900 million monthly active users (MAUs), with rapid growth in global markets outside North America, notably India and Asia-Pacific regions</t>
  </si>
  <si>
    <t>Snapchat allows users to send disappearing photo and video "Snaps," share curated Stories, message with friends, and interact with a growing suite of augmented reality (AR) features and user-created content</t>
  </si>
  <si>
    <t>The platform is structured around camera-driven communication, with Stories (short, time-limited video/photo collections) and Spotlight (short-form, viral video feed) as core engagement vectors. Stories and Spotlight continue to play a critical role in driving time spent and youth demographic stickiness</t>
  </si>
  <si>
    <t>Snap also invests in AR technology, hardware (Spectacles) and creative tools, but the core business remains the flagship app</t>
  </si>
  <si>
    <t>Snapchat's userbase skews young … some millenials … mainly Zoomers … and Alpha? Over 75% of its users are under the age of 35</t>
  </si>
  <si>
    <t>Average engagement is high, with the typical user opening the app 30+ times and spending 30+ minutes per day</t>
  </si>
  <si>
    <t>The continued challenge for SNAP management has been monetizing the users or the app … it mainly serves as a communication service for users (investigate META's acquistion of Messenger)</t>
  </si>
  <si>
    <t>Snap’s monetization has began to expand in recent months with the rise of Spotlight and creator monetization programs</t>
  </si>
  <si>
    <t>Snap’s primary revenue source is advertising … mainly from video ads appearing in Stories, Discover content, and between Snaps</t>
  </si>
  <si>
    <t>The Company also generates Subscription revenue which is growing rapidly through Snapchat+, a premium tier which offers exclusive features</t>
  </si>
  <si>
    <t>Snap is increasingly emphasizing direct revenue with new monetization features for creators, livestreaming, and community tools</t>
  </si>
  <si>
    <t>Eligible creators can now monetize longer Spotlight videos as well as Stories, further aligning revenue growth with engagement</t>
  </si>
  <si>
    <t>The Company was formerly known as Snapchat, Inc. and changed its name to Snap Inc. in September 2016</t>
  </si>
  <si>
    <t>Founder(s): Evan Spiegel, Bobby Murphy, Reggie Brown</t>
  </si>
  <si>
    <t>Snap Inc. was founded on September 16, 2011 and is headquartered in Santa Monica, California</t>
  </si>
  <si>
    <t>Headquarters: Santa Monica, CA</t>
  </si>
  <si>
    <t>Current CEO: Evan Spiegel</t>
  </si>
  <si>
    <t>Employees: 4,911</t>
  </si>
  <si>
    <t xml:space="preserve">Industry: Internet Content &amp; Information - Social Media </t>
  </si>
  <si>
    <t>Sector: Communication Services</t>
  </si>
  <si>
    <t>IPO: Mar 2, 2017 -- $20B valuation</t>
  </si>
  <si>
    <t>Founded: Sept. 16, 2011</t>
  </si>
  <si>
    <t>Fiscal Year: [January - December]</t>
  </si>
  <si>
    <t>(310) 399 - 3339</t>
  </si>
  <si>
    <t>https://www.snap.com/</t>
  </si>
  <si>
    <t>https://www.sec.gov/edgar/browse/?CIK=1564408&amp;owner=exclude</t>
  </si>
  <si>
    <t>https://investor.snap.com/overview/default.aspx</t>
  </si>
  <si>
    <t>https://seekingalpha.com/symbol/SNAP/earnings/transcripts</t>
  </si>
  <si>
    <t xml:space="preserve">Daily Active Users: 469M+ </t>
  </si>
  <si>
    <t>Ad Revenue</t>
  </si>
  <si>
    <t>Other Revenue</t>
  </si>
  <si>
    <t>Ad Revenue Growth Y/y</t>
  </si>
  <si>
    <t>Other Revenue Growth Y/y</t>
  </si>
  <si>
    <t>Ads % of Ttl Revenues</t>
  </si>
  <si>
    <t>Other % of Ttl Revenues</t>
  </si>
  <si>
    <t>Euro Revenues</t>
  </si>
  <si>
    <t>Rest of World Revenues</t>
  </si>
  <si>
    <t>Ttl Revenue</t>
  </si>
  <si>
    <t>Euro Revenue Growth Y/y</t>
  </si>
  <si>
    <t>Rest of World Growth Y/y</t>
  </si>
  <si>
    <t>Euro % of Revenues</t>
  </si>
  <si>
    <t>Rest of World % of Revenues</t>
  </si>
  <si>
    <t>R&amp;D</t>
  </si>
  <si>
    <t>Sales and Marketing</t>
  </si>
  <si>
    <t>General and Administrative</t>
  </si>
  <si>
    <t>Operating Income</t>
  </si>
  <si>
    <t>Interest Income</t>
  </si>
  <si>
    <t>Interest Expenses</t>
  </si>
  <si>
    <t>Other Income</t>
  </si>
  <si>
    <t>Pretax Income</t>
  </si>
  <si>
    <t>Taxes</t>
  </si>
  <si>
    <t>EPS</t>
  </si>
  <si>
    <t>Ttl Operating Expenses</t>
  </si>
  <si>
    <t>Sales &amp; Marketing</t>
  </si>
  <si>
    <t>General &amp; Admin</t>
  </si>
  <si>
    <t>A/R</t>
  </si>
  <si>
    <t>Prepaid Expenses</t>
  </si>
  <si>
    <t>PP&amp;E</t>
  </si>
  <si>
    <t>Intangibles</t>
  </si>
  <si>
    <t>Goodwill</t>
  </si>
  <si>
    <t>Other LT Assets</t>
  </si>
  <si>
    <t>Ttl Assets</t>
  </si>
  <si>
    <t>A/P</t>
  </si>
  <si>
    <t>ST Operating Lease Liabilities</t>
  </si>
  <si>
    <t>LT Operating Lease Assets</t>
  </si>
  <si>
    <t>St Accrued Expenses</t>
  </si>
  <si>
    <t>ST Debt</t>
  </si>
  <si>
    <t>LT Debt</t>
  </si>
  <si>
    <t>LT Operating Lease Liabilities</t>
  </si>
  <si>
    <t>Other LT Liabilities</t>
  </si>
  <si>
    <t>Ttl Liabilities</t>
  </si>
  <si>
    <t>Ttl SE</t>
  </si>
  <si>
    <t>Ttl L + SE</t>
  </si>
  <si>
    <t>Fri, 31 Oct 2025 00:00:00 GMT</t>
  </si>
  <si>
    <t>Thu, 30 Oct 2025 00:00:00 GMT</t>
  </si>
  <si>
    <t>Wed, 29 Oct 2025 00:00:00 GMT</t>
  </si>
  <si>
    <t>Tue, 28 Oct 2025 00:00:00 GMT</t>
  </si>
  <si>
    <t>Mon, 27 Oct 2025 00:00:00 GMT</t>
  </si>
  <si>
    <t>Fri, 24 Oct 2025 00:00:00 GMT</t>
  </si>
  <si>
    <t>Thu, 23 Oct 2025 00:00:00 GMT</t>
  </si>
  <si>
    <t>Wed, 22 Oct 2025 00:00:00 GMT</t>
  </si>
  <si>
    <t>Tue, 21 Oct 2025 00:00:00 GMT</t>
  </si>
  <si>
    <t>Mon, 20 Oct 2025 00:00:00 GMT</t>
  </si>
  <si>
    <t>Fri, 17 Oct 2025 00:00:00 GMT</t>
  </si>
  <si>
    <t>Thu, 16 Oct 2025 00:00:00 GMT</t>
  </si>
  <si>
    <t>Wed, 15 Oct 2025 00:00:00 GMT</t>
  </si>
  <si>
    <t>Tue, 14 Oct 2025 00:00:00 GMT</t>
  </si>
  <si>
    <t>Mon, 13 Oct 2025 00:00:00 GMT</t>
  </si>
  <si>
    <t>Fri, 10 Oct 2025 00:00:00 GMT</t>
  </si>
  <si>
    <t>Thu, 09 Oct 2025 00:00:00 GMT</t>
  </si>
  <si>
    <t>Wed, 08 Oct 2025 00:00:00 GMT</t>
  </si>
  <si>
    <t>Tue, 07 Oct 2025 00:00:00 GMT</t>
  </si>
  <si>
    <t>Mon, 06 Oct 2025 00:00:00 GMT</t>
  </si>
  <si>
    <t>Fri, 03 Oct 2025 00:00:00 GMT</t>
  </si>
  <si>
    <t>Thu, 02 Oct 2025 00:00:00 GMT</t>
  </si>
  <si>
    <t>Wed, 01 Oct 2025 00:00:00 GMT</t>
  </si>
  <si>
    <t>Tue, 30 Sep 2025 00:00:00 GMT</t>
  </si>
  <si>
    <t>Mon, 29 Sep 2025 00:00:00 GMT</t>
  </si>
  <si>
    <t>Fri, 26 Sep 2025 00:00:00 GMT</t>
  </si>
  <si>
    <t>Thu, 25 Sep 2025 00:00:00 GMT</t>
  </si>
  <si>
    <t>Wed, 24 Sep 2025 00:00:00 GMT</t>
  </si>
  <si>
    <t>Tue, 23 Sep 2025 00:00:00 GMT</t>
  </si>
  <si>
    <t>Mon, 22 Sep 2025 00:00:00 GMT</t>
  </si>
  <si>
    <t>Fri, 19 Sep 2025 00:00:00 GMT</t>
  </si>
  <si>
    <t>Thu, 18 Sep 2025 00:00:00 GMT</t>
  </si>
  <si>
    <t>Wed, 17 Sep 2025 00:00:00 GMT</t>
  </si>
  <si>
    <t>Tue, 16 Sep 2025 00:00:00 GMT</t>
  </si>
  <si>
    <t>Mon, 15 Sep 2025 00:00:00 GMT</t>
  </si>
  <si>
    <t>Fri, 12 Sep 2025 00:00:00 GMT</t>
  </si>
  <si>
    <t>Thu, 11 Sep 2025 00:00:00 GMT</t>
  </si>
  <si>
    <t>Wed, 10 Sep 2025 00:00:00 GMT</t>
  </si>
  <si>
    <t>Tue, 09 Sep 2025 00:00:00 GMT</t>
  </si>
  <si>
    <t>Mon, 08 Sep 2025 00:00:00 GMT</t>
  </si>
  <si>
    <t>Fri, 05 Sep 2025 00:00:00 GMT</t>
  </si>
  <si>
    <t>Thu, 04 Sep 2025 00:00:00 GMT</t>
  </si>
  <si>
    <t>Wed, 03 Sep 2025 00:00:00 GMT</t>
  </si>
  <si>
    <t>Tue, 02 Sep 2025 00:00:00 GMT</t>
  </si>
  <si>
    <t>Fri, 29 Aug 2025 00:00:00 GMT</t>
  </si>
  <si>
    <t>Thu, 28 Aug 2025 00:00:00 GMT</t>
  </si>
  <si>
    <t>Wed, 27 Aug 2025 00:00:00 GMT</t>
  </si>
  <si>
    <t>Tue, 26 Aug 2025 00:00:00 GMT</t>
  </si>
  <si>
    <t>Mon, 25 Aug 2025 00:00:00 GMT</t>
  </si>
  <si>
    <t>Fri, 22 Aug 2025 00:00:00 GMT</t>
  </si>
  <si>
    <t>Thu, 21 Aug 2025 00:00:00 GMT</t>
  </si>
  <si>
    <t>Wed, 20 Aug 2025 00:00:00 GMT</t>
  </si>
  <si>
    <t>Tue, 19 Aug 2025 00:00:00 GMT</t>
  </si>
  <si>
    <t>Mon, 18 Aug 2025 00:00:00 GMT</t>
  </si>
  <si>
    <t>Fri, 15 Aug 2025 00:00:00 GMT</t>
  </si>
  <si>
    <t>Thu, 14 Aug 2025 00:00:00 GMT</t>
  </si>
  <si>
    <t>Wed, 13 Aug 2025 00:00:00 GMT</t>
  </si>
  <si>
    <t>Tue, 12 Aug 2025 00:00:00 GMT</t>
  </si>
  <si>
    <t>Mon, 11 Aug 2025 00:00:00 GMT</t>
  </si>
  <si>
    <t>Fri, 08 Aug 2025 00:00:00 GMT</t>
  </si>
  <si>
    <t>Thu, 07 Aug 2025 00:00:00 GMT</t>
  </si>
  <si>
    <t>Wed, 06 Aug 2025 00:00:00 GMT</t>
  </si>
  <si>
    <t>Tue, 05 Aug 2025 00:00:00 GMT</t>
  </si>
  <si>
    <t>Mon, 04 Aug 2025 00:00:00 GMT</t>
  </si>
  <si>
    <t>Fri, 01 Aug 2025 00:00:00 GMT</t>
  </si>
  <si>
    <t>Thu, 31 Jul 2025 00:00:00 GMT</t>
  </si>
  <si>
    <t>Wed, 30 Jul 2025 00:00:00 GMT</t>
  </si>
  <si>
    <t>Tue, 29 Jul 2025 00:00:00 GMT</t>
  </si>
  <si>
    <t>Mon, 28 Jul 2025 00:00:00 GMT</t>
  </si>
  <si>
    <t>Fri, 25 Jul 2025 00:00:00 GMT</t>
  </si>
  <si>
    <t>Thu, 24 Jul 2025 00:00:00 GMT</t>
  </si>
  <si>
    <t>Wed, 23 Jul 2025 00:00:00 GMT</t>
  </si>
  <si>
    <t>Tue, 22 Jul 2025 00:00:00 GMT</t>
  </si>
  <si>
    <t>Mon, 21 Jul 2025 00:00:00 GMT</t>
  </si>
  <si>
    <t>Fri, 18 Jul 2025 00:00:00 GMT</t>
  </si>
  <si>
    <t>Thu, 17 Jul 2025 00:00:00 GMT</t>
  </si>
  <si>
    <t>Wed, 16 Jul 2025 00:00:00 GMT</t>
  </si>
  <si>
    <t>Tue, 15 Jul 2025 00:00:00 GMT</t>
  </si>
  <si>
    <t>Mon, 14 Jul 2025 00:00:00 GMT</t>
  </si>
  <si>
    <t>Fri, 11 Jul 2025 00:00:00 GMT</t>
  </si>
  <si>
    <t>Thu, 10 Jul 2025 00:00:00 GMT</t>
  </si>
  <si>
    <t>Wed, 09 Jul 2025 00:00:00 GMT</t>
  </si>
  <si>
    <t>Tue, 08 Jul 2025 00:00:00 GMT</t>
  </si>
  <si>
    <t>Mon, 07 Jul 2025 00:00:00 GMT</t>
  </si>
  <si>
    <t>Thu, 03 Jul 2025 00:00:00 GMT</t>
  </si>
  <si>
    <t>Wed, 02 Jul 2025 00:00:00 GMT</t>
  </si>
  <si>
    <t>Tue, 01 Jul 2025 00:00:00 GMT</t>
  </si>
  <si>
    <t>Mon, 30 Jun 2025 00:00:00 GMT</t>
  </si>
  <si>
    <t>Fri, 27 Jun 2025 00:00:00 GMT</t>
  </si>
  <si>
    <t>Thu, 26 Jun 2025 00:00:00 GMT</t>
  </si>
  <si>
    <t>Wed, 25 Jun 2025 00:00:00 GMT</t>
  </si>
  <si>
    <t>Tue, 24 Jun 2025 00:00:00 GMT</t>
  </si>
  <si>
    <t>Mon, 23 Jun 2025 00:00:00 GMT</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</si>
  <si>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</si>
  <si>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</si>
  <si>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</si>
  <si>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</si>
  <si>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</si>
  <si>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</si>
  <si>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</si>
  <si>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</si>
  <si>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</si>
  <si>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</si>
  <si>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</si>
  <si>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</si>
  <si>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</si>
  <si>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</si>
  <si>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</si>
  <si>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</si>
  <si>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</si>
  <si>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</si>
  <si>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</si>
  <si>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</si>
  <si>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</si>
  <si>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</si>
  <si>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</si>
  <si>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</si>
  <si>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</si>
  <si>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</si>
  <si>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</si>
  <si>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</si>
  <si>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</si>
  <si>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</si>
  <si>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</si>
  <si>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</si>
  <si>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</si>
  <si>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</si>
  <si>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</si>
  <si>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</si>
  <si>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</si>
  <si>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</si>
  <si>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</si>
  <si>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</si>
  <si>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</si>
  <si>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</si>
  <si>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</si>
  <si>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</si>
  <si>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</si>
  <si>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</si>
  <si>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</si>
  <si>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</si>
  <si>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</si>
  <si>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</si>
  <si>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</si>
  <si>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</si>
  <si>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</si>
  <si>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</si>
  <si>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</si>
  <si>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</si>
  <si>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</si>
  <si>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</si>
  <si>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</si>
  <si>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</si>
  <si>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</si>
  <si>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</si>
  <si>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</si>
  <si>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</si>
  <si>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</si>
  <si>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</si>
  <si>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</si>
  <si>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</si>
  <si>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</si>
  <si>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</si>
  <si>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</si>
  <si>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</si>
  <si>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</si>
  <si>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</si>
  <si>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</si>
  <si>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</si>
  <si>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</si>
  <si>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</si>
  <si>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</si>
  <si>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</si>
  <si>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</si>
  <si>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</si>
  <si>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</si>
  <si>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</si>
  <si>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</si>
  <si>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</si>
  <si>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</si>
  <si>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</si>
  <si>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</si>
  <si>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</si>
  <si>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</si>
  <si>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</si>
  <si>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</si>
  <si>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</si>
  <si>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</si>
  <si>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</si>
  <si>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</si>
  <si>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</si>
  <si>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</si>
  <si>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</si>
  <si>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</si>
  <si>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</si>
  <si>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</si>
  <si>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</si>
  <si>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</si>
  <si>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</si>
  <si>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</si>
  <si>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</si>
  <si>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</si>
  <si>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</si>
  <si>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</si>
  <si>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</si>
  <si>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</si>
  <si>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</si>
  <si>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</si>
  <si>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</si>
  <si>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</si>
  <si>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</si>
  <si>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</si>
  <si>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</si>
  <si>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</si>
  <si>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</si>
  <si>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</si>
  <si>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</si>
  <si>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</si>
  <si>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</si>
  <si>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</si>
  <si>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</si>
  <si>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</si>
  <si>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</si>
  <si>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</si>
  <si>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</si>
  <si>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</si>
  <si>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</si>
  <si>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</si>
  <si>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</si>
  <si>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</si>
  <si>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</si>
  <si>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</si>
  <si>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</si>
  <si>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</si>
  <si>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</si>
  <si>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</si>
  <si>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</si>
  <si>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</si>
  <si>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</si>
  <si>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</si>
  <si>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</si>
  <si>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</si>
  <si>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</si>
  <si>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</si>
  <si>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</si>
  <si>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</si>
  <si>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</si>
  <si>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</si>
  <si>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</si>
  <si>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</si>
  <si>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</si>
  <si>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</si>
  <si>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</si>
  <si>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</si>
  <si>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</si>
  <si>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</si>
  <si>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</si>
  <si>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</si>
  <si>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</si>
  <si>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</si>
  <si>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</si>
  <si>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</si>
  <si>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</si>
  <si>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</si>
  <si>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</si>
  <si>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</si>
  <si>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</si>
  <si>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</si>
  <si>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</si>
  <si>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</si>
  <si>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</si>
  <si>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</si>
  <si>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</si>
  <si>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</si>
  <si>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</si>
  <si>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</si>
  <si>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</si>
  <si>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</si>
  <si>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</si>
  <si>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</si>
  <si>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</si>
  <si>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</si>
  <si>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</si>
  <si>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</si>
  <si>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</si>
  <si>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</si>
  <si>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</si>
  <si>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</si>
  <si>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</si>
  <si>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</si>
  <si>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</si>
  <si>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</si>
  <si>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</si>
  <si>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</si>
  <si>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</si>
  <si>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</si>
  <si>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</si>
  <si>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</si>
  <si>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</si>
  <si>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</si>
  <si>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</si>
  <si>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</si>
  <si>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</si>
  <si>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</si>
  <si>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</si>
  <si>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</si>
  <si>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</si>
  <si>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</si>
  <si>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</si>
  <si>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</si>
  <si>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</si>
  <si>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</si>
  <si>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</si>
  <si>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</si>
  <si>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</si>
  <si>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</si>
  <si>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</si>
  <si>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</si>
  <si>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</si>
  <si>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</si>
  <si>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</si>
  <si>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</si>
  <si>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</si>
  <si>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</si>
  <si>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</si>
  <si>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</si>
  <si>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</si>
  <si>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</si>
  <si>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</si>
  <si>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</si>
  <si>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</si>
  <si>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</si>
  <si>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</si>
  <si>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</si>
  <si>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</si>
  <si>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</si>
  <si>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</si>
  <si>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</si>
  <si>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</si>
  <si>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</si>
  <si>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</si>
  <si>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</si>
  <si>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</si>
  <si>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</si>
  <si>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</si>
  <si>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</si>
  <si>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</si>
  <si>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</si>
  <si>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</si>
  <si>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</si>
  <si>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</si>
  <si>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</si>
  <si>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</si>
  <si>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</si>
  <si>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</si>
  <si>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</si>
  <si>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</si>
  <si>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</si>
  <si>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</si>
  <si>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</si>
  <si>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</si>
  <si>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</si>
  <si>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</si>
  <si>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</si>
  <si>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</si>
  <si>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</si>
  <si>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</si>
  <si>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</si>
  <si>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</si>
  <si>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</si>
  <si>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</si>
  <si>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</si>
  <si>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</si>
  <si>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</si>
  <si>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</si>
  <si>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</si>
  <si>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</si>
  <si>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</si>
  <si>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</si>
  <si>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</si>
  <si>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</si>
  <si>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</si>
  <si>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</si>
  <si>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</si>
  <si>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</si>
  <si>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</si>
  <si>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</si>
  <si>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</si>
  <si>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</si>
  <si>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</si>
  <si>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</si>
  <si>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</si>
  <si>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</si>
  <si>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</si>
  <si>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</si>
  <si>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</si>
  <si>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</si>
  <si>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</si>
  <si>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</si>
  <si>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</si>
  <si>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</si>
  <si>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</si>
  <si>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</si>
  <si>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</si>
  <si>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</si>
  <si>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</si>
  <si>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</si>
  <si>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</si>
  <si>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</si>
  <si>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</si>
  <si>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</si>
  <si>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</si>
  <si>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</si>
  <si>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</si>
  <si>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</si>
  <si>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</si>
  <si>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</si>
  <si>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</si>
  <si>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</si>
  <si>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</si>
  <si>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</si>
  <si>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</si>
  <si>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</si>
  <si>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</si>
  <si>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</si>
  <si>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</si>
  <si>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</si>
  <si>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</si>
  <si>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</si>
  <si>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</si>
  <si>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</si>
  <si>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</si>
  <si>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</si>
  <si>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</si>
  <si>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</si>
  <si>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</si>
  <si>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</si>
  <si>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</si>
  <si>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</si>
  <si>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</si>
  <si>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</si>
  <si>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</si>
  <si>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</si>
  <si>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</si>
  <si>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</si>
  <si>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</si>
  <si>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</si>
  <si>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</si>
  <si>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</si>
  <si>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</si>
  <si>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</si>
  <si>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</si>
  <si>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</si>
  <si>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</si>
  <si>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</si>
  <si>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</si>
  <si>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</si>
  <si>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</si>
  <si>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</si>
  <si>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</si>
  <si>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</si>
  <si>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</si>
  <si>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</si>
  <si>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</si>
  <si>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</si>
  <si>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</si>
  <si>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</si>
  <si>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</si>
  <si>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</si>
  <si>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</si>
  <si>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</si>
  <si>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</si>
  <si>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</si>
  <si>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</si>
  <si>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</si>
  <si>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</si>
  <si>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</si>
  <si>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</si>
  <si>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</si>
  <si>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</si>
  <si>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</si>
  <si>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</si>
  <si>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</si>
  <si>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</si>
  <si>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</si>
  <si>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</si>
  <si>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</si>
  <si>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</si>
  <si>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</si>
  <si>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</si>
  <si>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</si>
  <si>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</si>
  <si>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</si>
  <si>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</si>
  <si>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</si>
  <si>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</si>
  <si>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</si>
  <si>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</si>
  <si>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</si>
  <si>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</si>
  <si>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</si>
  <si>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</si>
  <si>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</si>
  <si>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</si>
  <si>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</si>
  <si>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</si>
  <si>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</si>
  <si>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</si>
  <si>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</si>
  <si>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</si>
  <si>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</si>
  <si>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</si>
  <si>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</si>
  <si>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</si>
  <si>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</si>
  <si>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</si>
  <si>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</si>
  <si>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</si>
  <si>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</si>
  <si>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</si>
  <si>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</si>
  <si>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</si>
  <si>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</si>
  <si>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</si>
  <si>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</si>
  <si>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</si>
  <si>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</si>
  <si>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</si>
  <si>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</si>
  <si>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</si>
  <si>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</si>
  <si>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</si>
  <si>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</si>
  <si>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</si>
  <si>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</si>
  <si>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</si>
  <si>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</si>
  <si>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</si>
  <si>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</si>
  <si>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</si>
  <si>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</si>
  <si>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</si>
  <si>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</si>
  <si>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</si>
  <si>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</si>
  <si>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</si>
  <si>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</si>
  <si>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</si>
  <si>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</si>
  <si>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</si>
  <si>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</si>
  <si>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</si>
  <si>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</si>
  <si>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</si>
  <si>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</si>
  <si>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</si>
  <si>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</si>
  <si>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</si>
  <si>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</si>
  <si>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</si>
  <si>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</si>
  <si>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</si>
  <si>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</si>
  <si>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</si>
  <si>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</si>
  <si>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</si>
  <si>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</si>
  <si>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</si>
  <si>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</si>
  <si>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</si>
  <si>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</si>
  <si>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</si>
  <si>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</si>
  <si>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</si>
  <si>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</si>
  <si>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</si>
  <si>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</si>
  <si>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</si>
  <si>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</si>
  <si>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</si>
  <si>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</si>
  <si>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</si>
  <si>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</si>
  <si>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</si>
  <si>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</si>
  <si>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</si>
  <si>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</si>
  <si>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</si>
  <si>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</si>
  <si>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</si>
  <si>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</si>
  <si>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</si>
  <si>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</si>
  <si>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</si>
  <si>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</si>
  <si>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</si>
  <si>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</si>
  <si>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</si>
  <si>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</si>
  <si>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</si>
  <si>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</si>
  <si>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</si>
  <si>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</si>
  <si>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</si>
  <si>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</si>
  <si>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</si>
  <si>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</si>
  <si>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</si>
  <si>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</si>
  <si>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</si>
  <si>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</si>
  <si>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</si>
  <si>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</si>
  <si>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</si>
  <si>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</si>
  <si>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</si>
  <si>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</si>
  <si>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</si>
  <si>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</si>
  <si>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</si>
  <si>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</si>
  <si>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</si>
  <si>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</si>
  <si>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</si>
  <si>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</si>
  <si>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</si>
  <si>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</si>
  <si>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</si>
  <si>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</si>
  <si>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</si>
  <si>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</si>
  <si>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</si>
  <si>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</si>
  <si>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</si>
  <si>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</si>
  <si>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</si>
  <si>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</si>
  <si>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</si>
  <si>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</si>
  <si>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</si>
  <si>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</si>
  <si>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</si>
  <si>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</si>
  <si>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</si>
  <si>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</si>
  <si>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</si>
  <si>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</si>
  <si>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</si>
  <si>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</si>
  <si>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</si>
  <si>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</si>
  <si>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</si>
  <si>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</si>
  <si>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</si>
  <si>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</si>
  <si>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</si>
  <si>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</si>
  <si>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</si>
  <si>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</si>
  <si>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</si>
  <si>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</si>
  <si>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</si>
  <si>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</si>
  <si>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</si>
  <si>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</si>
  <si>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</si>
  <si>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</si>
  <si>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</si>
  <si>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</si>
  <si>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</si>
  <si>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</si>
  <si>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</si>
  <si>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</si>
  <si>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</si>
  <si>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</si>
  <si>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</si>
  <si>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</si>
  <si>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</si>
  <si>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</si>
  <si>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</si>
  <si>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</si>
  <si>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</si>
  <si>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</si>
  <si>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</si>
  <si>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</si>
  <si>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</si>
  <si>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</si>
  <si>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</si>
  <si>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</si>
  <si>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</si>
  <si>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</si>
  <si>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</si>
  <si>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</si>
  <si>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</si>
  <si>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</si>
  <si>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</si>
  <si>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</si>
  <si>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</si>
  <si>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</si>
  <si>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</si>
  <si>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</si>
  <si>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</si>
  <si>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</si>
  <si>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</si>
  <si>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</si>
  <si>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</si>
  <si>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</si>
  <si>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</si>
  <si>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</si>
  <si>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</si>
  <si>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</si>
  <si>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</si>
  <si>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</si>
  <si>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</si>
  <si>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</si>
  <si>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</si>
  <si>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</si>
  <si>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</si>
  <si>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</si>
  <si>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</si>
  <si>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</si>
  <si>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</si>
  <si>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</si>
  <si>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</si>
  <si>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</si>
  <si>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</si>
  <si>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</si>
  <si>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</si>
  <si>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</si>
  <si>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</si>
  <si>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</si>
  <si>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</si>
  <si>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</si>
  <si>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</si>
  <si>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</si>
  <si>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</si>
  <si>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</si>
  <si>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</si>
  <si>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</si>
  <si>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</si>
  <si>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</si>
  <si>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</si>
  <si>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</si>
  <si>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</si>
  <si>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</si>
  <si>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</si>
  <si>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</si>
  <si>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</si>
  <si>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</si>
  <si>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</si>
  <si>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</si>
  <si>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</si>
  <si>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</si>
  <si>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</si>
  <si>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</si>
  <si>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</si>
  <si>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</si>
  <si>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</si>
  <si>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</si>
  <si>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</si>
  <si>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</si>
  <si>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</si>
  <si>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</si>
  <si>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</si>
  <si>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</si>
  <si>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</si>
  <si>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</si>
  <si>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</si>
  <si>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</si>
  <si>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</si>
  <si>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</si>
  <si>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</si>
  <si>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</si>
  <si>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</si>
  <si>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</si>
  <si>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</si>
  <si>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</si>
  <si>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</si>
  <si>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</si>
  <si>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</si>
  <si>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</si>
  <si>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</si>
  <si>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</si>
  <si>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</si>
  <si>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</si>
  <si>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</si>
  <si>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</si>
  <si>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</si>
  <si>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</si>
  <si>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</si>
  <si>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</si>
  <si>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</si>
  <si>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</si>
  <si>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</si>
  <si>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</si>
  <si>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</si>
  <si>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</si>
  <si>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</si>
  <si>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</si>
  <si>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</si>
  <si>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</si>
  <si>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</si>
  <si>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</si>
  <si>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</si>
  <si>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</si>
  <si>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</si>
  <si>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</si>
  <si>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</si>
  <si>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</si>
  <si>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</si>
  <si>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</si>
  <si>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</si>
  <si>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</si>
  <si>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</si>
  <si>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</si>
  <si>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</si>
  <si>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</si>
  <si>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</si>
  <si>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</si>
  <si>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</si>
  <si>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</si>
  <si>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</si>
  <si>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</si>
  <si>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</si>
  <si>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</si>
  <si>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</si>
  <si>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</si>
  <si>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</si>
  <si>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</si>
  <si>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</si>
  <si>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</si>
  <si>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</si>
  <si>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</si>
  <si>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</si>
  <si>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</si>
  <si>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</si>
  <si>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</si>
  <si>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</si>
  <si>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</si>
  <si>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</si>
  <si>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</si>
  <si>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</si>
  <si>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</si>
  <si>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</si>
  <si>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</si>
  <si>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</si>
  <si>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</si>
  <si>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</si>
  <si>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</si>
  <si>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</si>
  <si>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</si>
  <si>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</si>
  <si>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</si>
  <si>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Wed, 08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</si>
  <si>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</si>
  <si>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</si>
  <si>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</si>
  <si>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</si>
  <si>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</si>
  <si>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</si>
  <si>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</si>
  <si>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</si>
  <si>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</si>
  <si>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</si>
  <si>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</si>
  <si>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</si>
  <si>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</si>
  <si>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</si>
  <si>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</si>
  <si>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</si>
  <si>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</si>
  <si>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</si>
  <si>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</si>
  <si>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</si>
  <si>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</si>
  <si>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</si>
  <si>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</si>
  <si>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</si>
  <si>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</si>
  <si>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</si>
  <si>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</si>
  <si>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</si>
  <si>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</si>
  <si>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</si>
  <si>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</si>
  <si>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</si>
  <si>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</si>
  <si>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</si>
  <si>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</si>
  <si>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</si>
  <si>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</si>
  <si>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</si>
  <si>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</si>
  <si>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</si>
  <si>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</si>
  <si>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</si>
  <si>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</si>
  <si>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</si>
  <si>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</si>
  <si>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</si>
  <si>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</si>
  <si>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</si>
  <si>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</si>
  <si>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</si>
  <si>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</si>
  <si>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</si>
  <si>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</si>
  <si>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</si>
  <si>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</si>
  <si>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</si>
  <si>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</si>
  <si>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</si>
  <si>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</si>
  <si>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</si>
  <si>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</si>
  <si>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</si>
  <si>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</si>
  <si>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</si>
  <si>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</si>
  <si>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</si>
  <si>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</si>
  <si>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</si>
  <si>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</si>
  <si>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</si>
  <si>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</si>
  <si>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</si>
  <si>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</si>
  <si>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</si>
  <si>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</si>
  <si>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</si>
  <si>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</si>
  <si>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</si>
  <si>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</si>
  <si>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</si>
  <si>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</si>
  <si>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</si>
  <si>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</si>
  <si>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</si>
  <si>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</si>
  <si>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</si>
  <si>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</si>
  <si>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</si>
  <si>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</si>
  <si>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</si>
  <si>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</si>
  <si>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</si>
  <si>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</si>
  <si>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</si>
  <si>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</si>
  <si>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</si>
  <si>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</si>
  <si>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</si>
  <si>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</si>
  <si>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</si>
  <si>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</si>
  <si>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</si>
  <si>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</si>
  <si>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</si>
  <si>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</si>
  <si>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</si>
  <si>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</si>
  <si>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</si>
  <si>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</si>
  <si>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</si>
  <si>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</si>
  <si>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</si>
  <si>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</si>
  <si>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</si>
  <si>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</si>
  <si>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</si>
  <si>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</si>
  <si>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</si>
  <si>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</si>
  <si>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</si>
  <si>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</si>
  <si>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</si>
  <si>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</si>
  <si>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</si>
  <si>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</si>
  <si>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</si>
  <si>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</si>
  <si>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</si>
  <si>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</si>
  <si>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</si>
  <si>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</si>
  <si>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</si>
  <si>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</si>
  <si>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</si>
  <si>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</si>
  <si>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</si>
  <si>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</si>
  <si>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</si>
  <si>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</si>
  <si>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</si>
  <si>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</si>
  <si>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</si>
  <si>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</si>
  <si>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</si>
  <si>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</si>
  <si>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</si>
  <si>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</si>
  <si>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</si>
  <si>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</si>
  <si>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</si>
  <si>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</si>
  <si>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</si>
  <si>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</si>
  <si>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</si>
  <si>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</si>
  <si>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</si>
  <si>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</si>
  <si>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</si>
  <si>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</si>
  <si>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</si>
  <si>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</si>
  <si>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</si>
  <si>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</si>
  <si>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</si>
  <si>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</si>
  <si>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</si>
  <si>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</si>
  <si>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</si>
  <si>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</si>
  <si>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</si>
  <si>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</si>
  <si>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</si>
  <si>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</si>
  <si>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</si>
  <si>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</si>
  <si>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</si>
  <si>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</si>
  <si>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</si>
  <si>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</si>
  <si>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</si>
  <si>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</si>
  <si>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</si>
  <si>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</si>
  <si>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</si>
  <si>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</si>
  <si>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</si>
  <si>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</si>
  <si>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</si>
  <si>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</si>
  <si>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</si>
  <si>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</si>
  <si>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</si>
  <si>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</si>
  <si>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</si>
  <si>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</si>
  <si>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</si>
  <si>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</si>
  <si>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</si>
  <si>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</si>
  <si>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</si>
  <si>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</si>
  <si>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</si>
  <si>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</si>
  <si>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</si>
  <si>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</si>
  <si>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</si>
  <si>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</si>
  <si>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</si>
  <si>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</si>
  <si>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</si>
  <si>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</si>
  <si>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</si>
  <si>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</si>
  <si>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</si>
  <si>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</si>
  <si>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</si>
  <si>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</si>
  <si>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</si>
  <si>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</si>
  <si>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</si>
  <si>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</si>
  <si>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</si>
  <si>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</si>
  <si>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</si>
  <si>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</si>
  <si>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</si>
  <si>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</si>
  <si>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</si>
  <si>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</si>
  <si>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</si>
  <si>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</si>
  <si>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</si>
  <si>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</si>
  <si>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</si>
  <si>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</si>
  <si>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</si>
  <si>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</si>
  <si>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</si>
  <si>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</si>
  <si>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</si>
  <si>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</si>
  <si>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</si>
  <si>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</si>
  <si>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</si>
  <si>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</si>
  <si>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</si>
  <si>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</si>
  <si>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</si>
  <si>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</si>
  <si>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</si>
  <si>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</si>
  <si>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</si>
  <si>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</si>
  <si>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</si>
  <si>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</si>
  <si>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</si>
  <si>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</si>
  <si>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</si>
  <si>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</si>
  <si>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</si>
  <si>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</si>
  <si>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</si>
  <si>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</si>
  <si>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</si>
  <si>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</si>
  <si>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</si>
  <si>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</si>
  <si>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</si>
  <si>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</si>
  <si>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</si>
  <si>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</si>
  <si>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</si>
  <si>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</si>
  <si>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</si>
  <si>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</si>
  <si>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</si>
  <si>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</si>
  <si>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</si>
  <si>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</si>
  <si>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</si>
  <si>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</si>
  <si>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</si>
  <si>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</si>
  <si>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</si>
  <si>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</si>
  <si>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</si>
  <si>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</si>
  <si>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</si>
  <si>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</si>
  <si>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</si>
  <si>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</si>
  <si>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</si>
  <si>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</si>
  <si>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</si>
  <si>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</si>
  <si>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</si>
  <si>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</si>
  <si>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</si>
  <si>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</si>
  <si>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</si>
  <si>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</si>
  <si>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</si>
  <si>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</si>
  <si>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</si>
  <si>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</si>
  <si>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</si>
  <si>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</si>
  <si>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</si>
  <si>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</si>
  <si>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</si>
  <si>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</si>
  <si>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</si>
  <si>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</si>
  <si>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</si>
  <si>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</si>
  <si>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</si>
  <si>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</si>
  <si>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</si>
  <si>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</si>
  <si>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</si>
  <si>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</si>
  <si>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</si>
  <si>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</si>
  <si>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</si>
  <si>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</si>
  <si>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</si>
  <si>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</si>
  <si>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</si>
  <si>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</si>
  <si>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</si>
  <si>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</si>
  <si>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</si>
  <si>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</si>
  <si>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</si>
  <si>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</si>
  <si>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</si>
  <si>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</si>
  <si>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</si>
  <si>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</si>
  <si>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</si>
  <si>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</si>
  <si>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</si>
  <si>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</si>
  <si>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</si>
  <si>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</si>
  <si>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</si>
  <si>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</si>
  <si>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</si>
  <si>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</si>
  <si>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</si>
  <si>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</si>
  <si>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</si>
  <si>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</si>
  <si>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</si>
  <si>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</si>
  <si>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</si>
  <si>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</si>
  <si>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</si>
  <si>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</si>
  <si>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</si>
  <si>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</si>
  <si>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</si>
  <si>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</si>
  <si>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</si>
  <si>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</si>
  <si>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</si>
  <si>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</si>
  <si>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</si>
  <si>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</si>
  <si>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</si>
  <si>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</si>
  <si>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</si>
  <si>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</si>
  <si>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</si>
  <si>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</si>
  <si>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</si>
  <si>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</si>
  <si>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</si>
  <si>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</si>
  <si>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</si>
  <si>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</si>
  <si>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</si>
  <si>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</si>
  <si>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</si>
  <si>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</si>
  <si>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</si>
  <si>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</si>
  <si>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</si>
  <si>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</si>
  <si>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</si>
  <si>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</si>
  <si>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</si>
  <si>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</si>
  <si>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</si>
  <si>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</si>
  <si>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</si>
  <si>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</si>
  <si>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</si>
  <si>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</si>
  <si>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</si>
  <si>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</si>
  <si>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</si>
  <si>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r>
      <rPr>
        <i/>
        <sz val="11"/>
        <color theme="1"/>
        <rFont val="Calibre"/>
      </rPr>
      <t>1256</t>
    </r>
    <r>
      <rPr>
        <sz val="11"/>
        <color theme="1"/>
        <rFont val="Calibre"/>
      </rPr>
      <t xml:space="preserve"> Trading Days? (From: 11/1/2020 - 11/1/2025)</t>
    </r>
  </si>
  <si>
    <t>More</t>
  </si>
  <si>
    <t xml:space="preserve">Institutional Ownership Snapshot </t>
  </si>
  <si>
    <t>General Notes/Observations</t>
  </si>
  <si>
    <t xml:space="preserve">Financial Stmts. Notes/Observations </t>
  </si>
  <si>
    <t>Registered Exchange: NYSE</t>
  </si>
  <si>
    <t>Address: 3000 31st Street Santa Monica, CA 90405 U.S.</t>
  </si>
  <si>
    <t>Average Daily Active Users (in millions)</t>
  </si>
  <si>
    <t>User Growth Y/y</t>
  </si>
  <si>
    <t>Average Daily Active Users by Quarter</t>
  </si>
  <si>
    <t>Q3'25</t>
  </si>
  <si>
    <t>1/10/2026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</si>
</sst>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b/>
      <sz val="11"/>
      <color theme="4" tint="-0.249977111117893"/>
      <name val="Calibre"/>
    </font>
  </fonts>
  <fills count="7">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
      <patternFill patternType="solid">
        <fgColor rgb="FFFFFF00"/>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0" fontId="14" fillId="0" borderId="0" xfId="0" applyFont="1" applyAlignment="1">
      <alignment horizontal="left"/>
    </xf>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0" fontId="13" fillId="0" borderId="0" xfId="0" applyFont="1" applyAlignment="1">
      <alignment horizontal="right" vertical="top"/>
    </xf>
    <xf numFmtId="0" fontId="13" fillId="0" borderId="0" xfId="0" applyFont="1" applyAlignment="1">
      <alignment vertical="top"/>
    </xf>
    <xf numFmtId="0" fontId="13" fillId="0" borderId="0" xfId="0" applyFont="1" applyAlignment="1">
      <alignment horizontal="center" vertical="top"/>
    </xf>
    <xf numFmtId="0" fontId="13" fillId="0" borderId="0" xfId="0" applyFont="1" applyAlignment="1">
      <alignment vertical="top" wrapText="1"/>
    </xf>
    <xf numFmtId="10" fontId="13" fillId="0" borderId="0" xfId="0" applyNumberFormat="1" applyFont="1" applyAlignment="1">
      <alignment vertical="top"/>
    </xf>
    <xf numFmtId="1" fontId="13" fillId="0" borderId="0" xfId="0" applyNumberFormat="1" applyFont="1" applyAlignment="1">
      <alignment vertical="top"/>
    </xf>
    <xf numFmtId="164" fontId="13" fillId="0" borderId="0" xfId="0" applyNumberFormat="1" applyFont="1" applyAlignment="1">
      <alignment vertical="top"/>
    </xf>
    <xf numFmtId="165" fontId="13" fillId="0" borderId="0" xfId="1" applyNumberFormat="1" applyFont="1" applyAlignment="1">
      <alignment vertical="top"/>
    </xf>
    <xf numFmtId="0" fontId="12" fillId="0" borderId="0" xfId="0" applyFont="1" applyAlignment="1">
      <alignment vertical="top"/>
    </xf>
    <xf numFmtId="2" fontId="13" fillId="0" borderId="0" xfId="0" applyNumberFormat="1" applyFont="1" applyAlignment="1">
      <alignment vertical="top"/>
    </xf>
    <xf numFmtId="49" fontId="13" fillId="0" borderId="0" xfId="0" applyNumberFormat="1" applyFont="1" applyAlignment="1">
      <alignment horizontal="right" vertical="top"/>
    </xf>
    <xf numFmtId="10" fontId="2" fillId="0" borderId="0" xfId="1" applyNumberFormat="1" applyFont="1"/>
    <xf numFmtId="2" fontId="8" fillId="5" borderId="0" xfId="0" applyNumberFormat="1" applyFont="1" applyFill="1" applyAlignment="1">
      <alignment horizontal="center" vertical="center"/>
    </xf>
    <xf numFmtId="1" fontId="3" fillId="0" borderId="0" xfId="0" applyNumberFormat="1" applyFont="1"/>
    <xf numFmtId="1" fontId="2" fillId="0" borderId="0" xfId="0" applyNumberFormat="1" applyFont="1"/>
    <xf numFmtId="165" fontId="2" fillId="0" borderId="0" xfId="1" applyNumberFormat="1" applyFont="1"/>
    <xf numFmtId="165" fontId="3" fillId="0" borderId="0" xfId="1" applyNumberFormat="1" applyFont="1"/>
    <xf numFmtId="1" fontId="13" fillId="0" borderId="0" xfId="0" applyNumberFormat="1" applyFont="1"/>
    <xf numFmtId="1" fontId="12" fillId="0" borderId="0" xfId="0" applyNumberFormat="1" applyFont="1"/>
    <xf numFmtId="0" fontId="17" fillId="6" borderId="0" xfId="0" applyFont="1" applyFill="1"/>
    <xf numFmtId="0" fontId="17" fillId="0" borderId="0" xfId="0" applyFont="1"/>
    <xf numFmtId="10" fontId="0" fillId="0" borderId="0" xfId="0" applyNumberFormat="1"/>
    <xf numFmtId="0" fontId="0" fillId="0" borderId="18" xfId="0" applyBorder="1"/>
    <xf numFmtId="0" fontId="9" fillId="0" borderId="17" xfId="0" applyFont="1" applyBorder="1" applyAlignment="1">
      <alignment horizontal="center"/>
    </xf>
    <xf numFmtId="165" fontId="13" fillId="0" borderId="0" xfId="1" applyNumberFormat="1" applyFont="1"/>
    <xf numFmtId="2" fontId="2" fillId="0" borderId="0" xfId="1" applyNumberFormat="1" applyFont="1"/>
    <xf numFmtId="165" fontId="2" fillId="0" borderId="0" xfId="0" applyNumberFormat="1" applyFont="1"/>
    <xf numFmtId="165" fontId="13" fillId="0" borderId="0" xfId="0" applyNumberFormat="1" applyFont="1"/>
    <xf numFmtId="165" fontId="3" fillId="0" borderId="0" xfId="0" applyNumberFormat="1" applyFont="1"/>
    <xf numFmtId="165" fontId="12" fillId="0" borderId="0" xfId="0" applyNumberFormat="1" applyFont="1"/>
    <xf numFmtId="166" fontId="2" fillId="0" borderId="0" xfId="3" applyNumberFormat="1" applyFont="1" applyAlignment="1">
      <alignment horizontal="left" indent="2"/>
    </xf>
    <xf numFmtId="2" fontId="2" fillId="0" borderId="0" xfId="0" applyNumberFormat="1" applyFont="1" applyAlignment="1">
      <alignment horizontal="left" indent="3"/>
    </xf>
    <xf numFmtId="166" fontId="2" fillId="0" borderId="0" xfId="3" applyNumberFormat="1" applyFont="1" applyAlignment="1">
      <alignment horizontal="left"/>
    </xf>
    <xf numFmtId="0" fontId="18" fillId="0" borderId="0" xfId="0" applyFont="1" applyAlignment="1">
      <alignment horizontal="center"/>
    </xf>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FFD757"/>
      <color rgb="FFE8FF09"/>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(SNAP) Revenue by Segment (in $ millions)</a:t>
            </a:r>
          </a:p>
        </c:rich>
      </c:tx>
      <c:layout>
        <c:manualLayout>
          <c:xMode val="edge"/>
          <c:yMode val="edge"/>
          <c:x val="0.35796044822643269"/>
          <c:y val="2.77915611034125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8"/>
          <c:order val="0"/>
          <c:tx>
            <c:strRef>
              <c:f>Model!$B$4</c:f>
              <c:strCache>
                <c:ptCount val="1"/>
                <c:pt idx="0">
                  <c:v>Ad Revenue</c:v>
                </c:pt>
              </c:strCache>
            </c:strRef>
          </c:tx>
          <c:spPr>
            <a:solidFill>
              <a:srgbClr val="FFD757"/>
            </a:solidFill>
            <a:ln>
              <a:noFill/>
            </a:ln>
            <a:effectLst/>
          </c:spPr>
          <c:invertIfNegative val="0"/>
          <c:cat>
            <c:strRef>
              <c:f>Model!$AI$1:$AN$1</c:f>
              <c:strCache>
                <c:ptCount val="5"/>
                <c:pt idx="0">
                  <c:v>Q1 2024</c:v>
                </c:pt>
                <c:pt idx="4">
                  <c:v>Q1 2025</c:v>
                </c:pt>
              </c:strCache>
            </c:strRef>
          </c:cat>
          <c:val>
            <c:numRef>
              <c:f>Model!$AI$4:$AO$4</c:f>
              <c:numCache>
                <c:formatCode>0</c:formatCode>
                <c:ptCount val="7"/>
                <c:pt idx="0">
                  <c:v>1107.854</c:v>
                </c:pt>
                <c:pt idx="1">
                  <c:v>1132.067</c:v>
                </c:pt>
                <c:pt idx="2">
                  <c:v>1253</c:v>
                </c:pt>
                <c:pt idx="3">
                  <c:v>1426.0789999999997</c:v>
                </c:pt>
                <c:pt idx="4">
                  <c:v>1210.8689999999999</c:v>
                </c:pt>
                <c:pt idx="5">
                  <c:v>1173.54</c:v>
                </c:pt>
                <c:pt idx="6">
                  <c:v>1318</c:v>
                </c:pt>
              </c:numCache>
            </c:numRef>
          </c:val>
          <c:extLst>
            <c:ext xmlns:c16="http://schemas.microsoft.com/office/drawing/2014/chart" uri="{C3380CC4-5D6E-409C-BE32-E72D297353CC}">
              <c16:uniqueId val="{00000008-763E-43B3-B662-D76C6E829219}"/>
            </c:ext>
          </c:extLst>
        </c:ser>
        <c:ser>
          <c:idx val="9"/>
          <c:order val="1"/>
          <c:tx>
            <c:strRef>
              <c:f>Model!$B$5</c:f>
              <c:strCache>
                <c:ptCount val="1"/>
                <c:pt idx="0">
                  <c:v>Other Revenue</c:v>
                </c:pt>
              </c:strCache>
            </c:strRef>
          </c:tx>
          <c:spPr>
            <a:solidFill>
              <a:srgbClr val="FFC000">
                <a:lumMod val="40000"/>
                <a:lumOff val="60000"/>
              </a:srgbClr>
            </a:solidFill>
            <a:ln>
              <a:noFill/>
            </a:ln>
            <a:effectLst/>
          </c:spPr>
          <c:invertIfNegative val="0"/>
          <c:cat>
            <c:strRef>
              <c:f>Model!$AI$1:$AN$1</c:f>
              <c:strCache>
                <c:ptCount val="5"/>
                <c:pt idx="0">
                  <c:v>Q1 2024</c:v>
                </c:pt>
                <c:pt idx="4">
                  <c:v>Q1 2025</c:v>
                </c:pt>
              </c:strCache>
            </c:strRef>
          </c:cat>
          <c:val>
            <c:numRef>
              <c:f>Model!$AI$5:$AO$5</c:f>
              <c:numCache>
                <c:formatCode>0</c:formatCode>
                <c:ptCount val="7"/>
                <c:pt idx="0">
                  <c:v>86.918999999999997</c:v>
                </c:pt>
                <c:pt idx="1">
                  <c:v>104.70099999999999</c:v>
                </c:pt>
                <c:pt idx="2">
                  <c:v>120</c:v>
                </c:pt>
                <c:pt idx="3">
                  <c:v>131.38</c:v>
                </c:pt>
                <c:pt idx="4">
                  <c:v>152.34800000000001</c:v>
                </c:pt>
                <c:pt idx="5">
                  <c:v>171.38</c:v>
                </c:pt>
                <c:pt idx="6">
                  <c:v>189</c:v>
                </c:pt>
              </c:numCache>
            </c:numRef>
          </c:val>
          <c:extLst>
            <c:ext xmlns:c16="http://schemas.microsoft.com/office/drawing/2014/chart" uri="{C3380CC4-5D6E-409C-BE32-E72D297353CC}">
              <c16:uniqueId val="{00000009-763E-43B3-B662-D76C6E829219}"/>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2721881817"/>
          <c:y val="5.9006189093125265E-2"/>
          <c:w val="0.79166664388305374"/>
          <c:h val="0.1073835381598369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(SNAP)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Model!$S$46:$AO$46</c:f>
              <c:numCache>
                <c:formatCode>0</c:formatCode>
                <c:ptCount val="23"/>
                <c:pt idx="0">
                  <c:v>-305.89999999999992</c:v>
                </c:pt>
                <c:pt idx="1">
                  <c:v>-325.99999999999994</c:v>
                </c:pt>
                <c:pt idx="2">
                  <c:v>-199.79999999999995</c:v>
                </c:pt>
                <c:pt idx="3">
                  <c:v>-113.00000000000006</c:v>
                </c:pt>
                <c:pt idx="4">
                  <c:v>-286.8</c:v>
                </c:pt>
                <c:pt idx="5">
                  <c:v>-151.60000000000011</c:v>
                </c:pt>
                <c:pt idx="6">
                  <c:v>-71.899999999999949</c:v>
                </c:pt>
                <c:pt idx="7">
                  <c:v>22.500000000000071</c:v>
                </c:pt>
                <c:pt idx="8">
                  <c:v>-359.69999999999993</c:v>
                </c:pt>
                <c:pt idx="9">
                  <c:v>-422.09999999999991</c:v>
                </c:pt>
                <c:pt idx="10">
                  <c:v>-359.49999999999994</c:v>
                </c:pt>
                <c:pt idx="11">
                  <c:v>-288.49999999999989</c:v>
                </c:pt>
                <c:pt idx="12">
                  <c:v>-328.69999999999987</c:v>
                </c:pt>
                <c:pt idx="13">
                  <c:v>-377.29999999999995</c:v>
                </c:pt>
                <c:pt idx="14">
                  <c:v>-368.20000000000005</c:v>
                </c:pt>
                <c:pt idx="15">
                  <c:v>-248.30000000000007</c:v>
                </c:pt>
                <c:pt idx="16">
                  <c:v>-305</c:v>
                </c:pt>
                <c:pt idx="17">
                  <c:v>-248.49999999999997</c:v>
                </c:pt>
                <c:pt idx="18">
                  <c:v>-153.20000000000016</c:v>
                </c:pt>
                <c:pt idx="19">
                  <c:v>8.9999999999999112</c:v>
                </c:pt>
                <c:pt idx="20">
                  <c:v>-139.59999999999988</c:v>
                </c:pt>
                <c:pt idx="21">
                  <c:v>-262.59999999999991</c:v>
                </c:pt>
                <c:pt idx="22">
                  <c:v>-103.37199999999999</c:v>
                </c:pt>
              </c:numCache>
            </c:numRef>
          </c:val>
          <c:extLst>
            <c:ext xmlns:c16="http://schemas.microsoft.com/office/drawing/2014/chart" uri="{C3380CC4-5D6E-409C-BE32-E72D297353CC}">
              <c16:uniqueId val="{00000001-3646-4EF6-8D0F-B65629DF816B}"/>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Model!$S$89:$AO$89</c:f>
              <c:numCache>
                <c:formatCode>0</c:formatCode>
                <c:ptCount val="23"/>
                <c:pt idx="0">
                  <c:v>-4.6000000000000005</c:v>
                </c:pt>
                <c:pt idx="1">
                  <c:v>-82.399999999999991</c:v>
                </c:pt>
                <c:pt idx="2">
                  <c:v>-69.5</c:v>
                </c:pt>
                <c:pt idx="3">
                  <c:v>-68.900000000000006</c:v>
                </c:pt>
                <c:pt idx="4">
                  <c:v>126</c:v>
                </c:pt>
                <c:pt idx="5">
                  <c:v>-115.69999999999999</c:v>
                </c:pt>
                <c:pt idx="6">
                  <c:v>51.8</c:v>
                </c:pt>
                <c:pt idx="7">
                  <c:v>160.9</c:v>
                </c:pt>
                <c:pt idx="8">
                  <c:v>106.3</c:v>
                </c:pt>
                <c:pt idx="9">
                  <c:v>-147.5</c:v>
                </c:pt>
                <c:pt idx="10">
                  <c:v>18.100000000000001</c:v>
                </c:pt>
                <c:pt idx="11">
                  <c:v>78.400000000000006</c:v>
                </c:pt>
                <c:pt idx="12">
                  <c:v>103.5</c:v>
                </c:pt>
                <c:pt idx="13">
                  <c:v>-118.80000000000001</c:v>
                </c:pt>
                <c:pt idx="14">
                  <c:v>-60.600000000000009</c:v>
                </c:pt>
                <c:pt idx="15">
                  <c:v>110.89999999999999</c:v>
                </c:pt>
                <c:pt idx="16">
                  <c:v>38.000000000000007</c:v>
                </c:pt>
                <c:pt idx="17">
                  <c:v>-73.5</c:v>
                </c:pt>
                <c:pt idx="18">
                  <c:v>71.900000000000006</c:v>
                </c:pt>
                <c:pt idx="19">
                  <c:v>182.3</c:v>
                </c:pt>
                <c:pt idx="20">
                  <c:v>114.39999999999999</c:v>
                </c:pt>
                <c:pt idx="21">
                  <c:v>23.799999999999997</c:v>
                </c:pt>
                <c:pt idx="22">
                  <c:v>93.488</c:v>
                </c:pt>
              </c:numCache>
            </c:numRef>
          </c:val>
          <c:extLst>
            <c:ext xmlns:c16="http://schemas.microsoft.com/office/drawing/2014/chart" uri="{C3380CC4-5D6E-409C-BE32-E72D297353CC}">
              <c16:uniqueId val="{00000003-3646-4EF6-8D0F-B65629DF816B}"/>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7940">
              <a:solidFill>
                <a:srgbClr val="00B0F0"/>
              </a:solidFill>
            </a:ln>
          </c:spPr>
          <c:marker>
            <c:symbol val="none"/>
          </c:marker>
          <c:cat>
            <c:strRef>
              <c:f>Model!$S$1:$AN$1</c:f>
              <c:strCache>
                <c:ptCount val="21"/>
                <c:pt idx="0">
                  <c:v>Q1 2020</c:v>
                </c:pt>
                <c:pt idx="4">
                  <c:v>Q1 2021</c:v>
                </c:pt>
                <c:pt idx="8">
                  <c:v>Q1 2022</c:v>
                </c:pt>
                <c:pt idx="12">
                  <c:v>Q1 2023</c:v>
                </c:pt>
                <c:pt idx="16">
                  <c:v>Q1 2024</c:v>
                </c:pt>
                <c:pt idx="20">
                  <c:v>Q1 2025</c:v>
                </c:pt>
              </c:strCache>
            </c:strRef>
          </c:cat>
          <c:val>
            <c:numRef>
              <c:f>Model!$S$33:$AO$33</c:f>
              <c:numCache>
                <c:formatCode>0</c:formatCode>
                <c:ptCount val="23"/>
                <c:pt idx="0">
                  <c:v>462.5</c:v>
                </c:pt>
                <c:pt idx="1">
                  <c:v>454.2</c:v>
                </c:pt>
                <c:pt idx="2">
                  <c:v>678.7</c:v>
                </c:pt>
                <c:pt idx="3">
                  <c:v>911.3</c:v>
                </c:pt>
                <c:pt idx="4">
                  <c:v>769.6</c:v>
                </c:pt>
                <c:pt idx="5">
                  <c:v>982.1</c:v>
                </c:pt>
                <c:pt idx="6">
                  <c:v>1067.5</c:v>
                </c:pt>
                <c:pt idx="7">
                  <c:v>1297.9000000000001</c:v>
                </c:pt>
                <c:pt idx="8">
                  <c:v>1062.7</c:v>
                </c:pt>
                <c:pt idx="9">
                  <c:v>1110.9000000000001</c:v>
                </c:pt>
                <c:pt idx="10">
                  <c:v>1128.5</c:v>
                </c:pt>
                <c:pt idx="11">
                  <c:v>1299.7</c:v>
                </c:pt>
                <c:pt idx="12">
                  <c:v>988.6</c:v>
                </c:pt>
                <c:pt idx="13">
                  <c:v>1067.7</c:v>
                </c:pt>
                <c:pt idx="14">
                  <c:v>1188.5999999999999</c:v>
                </c:pt>
                <c:pt idx="15">
                  <c:v>1361.3</c:v>
                </c:pt>
                <c:pt idx="16">
                  <c:v>1194.8</c:v>
                </c:pt>
                <c:pt idx="17">
                  <c:v>1236.8</c:v>
                </c:pt>
                <c:pt idx="18">
                  <c:v>1372.6</c:v>
                </c:pt>
                <c:pt idx="19">
                  <c:v>1557.3</c:v>
                </c:pt>
                <c:pt idx="20">
                  <c:v>1363.2</c:v>
                </c:pt>
                <c:pt idx="21">
                  <c:v>1344.9</c:v>
                </c:pt>
                <c:pt idx="22">
                  <c:v>1507</c:v>
                </c:pt>
              </c:numCache>
            </c:numRef>
          </c:val>
          <c:smooth val="0"/>
          <c:extLst>
            <c:ext xmlns:c16="http://schemas.microsoft.com/office/drawing/2014/chart" uri="{C3380CC4-5D6E-409C-BE32-E72D297353CC}">
              <c16:uniqueId val="{00000005-3646-4EF6-8D0F-B65629DF816B}"/>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(SNAP)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'Notes | Quant Analysis'!$Q$247</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127000" cap="flat" cmpd="sng" algn="ctr">
                <a:solidFill>
                  <a:srgbClr val="00B0F0"/>
                </a:solidFill>
                <a:round/>
              </a:ln>
              <a:effectLst/>
            </c:spPr>
          </c:errBars>
          <c:xVal>
            <c:numRef>
              <c:f>'Notes | Quant Analysis'!$Q$249:$Q$329</c:f>
              <c:numCache>
                <c:formatCode>0.00%</c:formatCode>
                <c:ptCount val="81"/>
                <c:pt idx="0">
                  <c:v>-0.10000000000000005</c:v>
                </c:pt>
                <c:pt idx="1">
                  <c:v>-9.7500000000000045E-2</c:v>
                </c:pt>
                <c:pt idx="2">
                  <c:v>-9.5000000000000043E-2</c:v>
                </c:pt>
                <c:pt idx="3">
                  <c:v>-9.2500000000000041E-2</c:v>
                </c:pt>
                <c:pt idx="4">
                  <c:v>-9.0000000000000038E-2</c:v>
                </c:pt>
                <c:pt idx="5">
                  <c:v>-8.7500000000000036E-2</c:v>
                </c:pt>
                <c:pt idx="6">
                  <c:v>-8.5000000000000034E-2</c:v>
                </c:pt>
                <c:pt idx="7">
                  <c:v>-8.2500000000000032E-2</c:v>
                </c:pt>
                <c:pt idx="8">
                  <c:v>-8.0000000000000029E-2</c:v>
                </c:pt>
                <c:pt idx="9">
                  <c:v>-7.7500000000000027E-2</c:v>
                </c:pt>
                <c:pt idx="10">
                  <c:v>-7.5000000000000025E-2</c:v>
                </c:pt>
                <c:pt idx="11">
                  <c:v>-7.2500000000000023E-2</c:v>
                </c:pt>
                <c:pt idx="12">
                  <c:v>-7.0000000000000021E-2</c:v>
                </c:pt>
                <c:pt idx="13">
                  <c:v>-6.7500000000000018E-2</c:v>
                </c:pt>
                <c:pt idx="14">
                  <c:v>-6.5000000000000016E-2</c:v>
                </c:pt>
                <c:pt idx="15">
                  <c:v>-6.2500000000000014E-2</c:v>
                </c:pt>
                <c:pt idx="16">
                  <c:v>-6.0000000000000019E-2</c:v>
                </c:pt>
                <c:pt idx="17">
                  <c:v>-5.7500000000000016E-2</c:v>
                </c:pt>
                <c:pt idx="18">
                  <c:v>-5.5000000000000014E-2</c:v>
                </c:pt>
                <c:pt idx="19">
                  <c:v>-5.2500000000000012E-2</c:v>
                </c:pt>
                <c:pt idx="20">
                  <c:v>-5.000000000000001E-2</c:v>
                </c:pt>
                <c:pt idx="21">
                  <c:v>-4.7500000000000007E-2</c:v>
                </c:pt>
                <c:pt idx="22">
                  <c:v>-4.5000000000000005E-2</c:v>
                </c:pt>
                <c:pt idx="23">
                  <c:v>-4.2500000000000003E-2</c:v>
                </c:pt>
                <c:pt idx="24">
                  <c:v>-0.04</c:v>
                </c:pt>
                <c:pt idx="25">
                  <c:v>-3.7499999999999999E-2</c:v>
                </c:pt>
                <c:pt idx="26">
                  <c:v>-3.4999999999999996E-2</c:v>
                </c:pt>
                <c:pt idx="27">
                  <c:v>-3.2499999999999994E-2</c:v>
                </c:pt>
                <c:pt idx="28">
                  <c:v>-2.9999999999999995E-2</c:v>
                </c:pt>
                <c:pt idx="29">
                  <c:v>-2.7499999999999997E-2</c:v>
                </c:pt>
                <c:pt idx="30">
                  <c:v>-2.4999999999999998E-2</c:v>
                </c:pt>
                <c:pt idx="31">
                  <c:v>-2.2499999999999999E-2</c:v>
                </c:pt>
                <c:pt idx="32">
                  <c:v>-0.02</c:v>
                </c:pt>
                <c:pt idx="33">
                  <c:v>-1.7500000000000002E-2</c:v>
                </c:pt>
                <c:pt idx="34">
                  <c:v>-1.5000000000000001E-2</c:v>
                </c:pt>
                <c:pt idx="35">
                  <c:v>-1.2500000000000001E-2</c:v>
                </c:pt>
                <c:pt idx="36">
                  <c:v>-0.01</c:v>
                </c:pt>
                <c:pt idx="37">
                  <c:v>-7.4999999999999997E-3</c:v>
                </c:pt>
                <c:pt idx="38">
                  <c:v>-5.0000000000000001E-3</c:v>
                </c:pt>
                <c:pt idx="39">
                  <c:v>-2.5000000000000001E-3</c:v>
                </c:pt>
                <c:pt idx="40">
                  <c:v>0</c:v>
                </c:pt>
                <c:pt idx="41">
                  <c:v>2.5000000000000001E-3</c:v>
                </c:pt>
                <c:pt idx="42">
                  <c:v>5.0000000000000001E-3</c:v>
                </c:pt>
                <c:pt idx="43">
                  <c:v>7.4999999999999997E-3</c:v>
                </c:pt>
                <c:pt idx="44">
                  <c:v>0.01</c:v>
                </c:pt>
                <c:pt idx="45">
                  <c:v>1.2500000000000001E-2</c:v>
                </c:pt>
                <c:pt idx="46">
                  <c:v>1.5000000000000001E-2</c:v>
                </c:pt>
                <c:pt idx="47">
                  <c:v>1.7500000000000002E-2</c:v>
                </c:pt>
                <c:pt idx="48">
                  <c:v>0.02</c:v>
                </c:pt>
                <c:pt idx="49">
                  <c:v>2.2499999999999999E-2</c:v>
                </c:pt>
                <c:pt idx="50">
                  <c:v>2.4999999999999998E-2</c:v>
                </c:pt>
                <c:pt idx="51">
                  <c:v>2.7499999999999997E-2</c:v>
                </c:pt>
                <c:pt idx="52">
                  <c:v>2.9999999999999995E-2</c:v>
                </c:pt>
                <c:pt idx="53">
                  <c:v>3.2499999999999994E-2</c:v>
                </c:pt>
                <c:pt idx="54">
                  <c:v>3.4999999999999996E-2</c:v>
                </c:pt>
                <c:pt idx="55">
                  <c:v>3.7499999999999999E-2</c:v>
                </c:pt>
                <c:pt idx="56">
                  <c:v>0.04</c:v>
                </c:pt>
                <c:pt idx="57">
                  <c:v>4.2500000000000003E-2</c:v>
                </c:pt>
                <c:pt idx="58">
                  <c:v>4.5000000000000005E-2</c:v>
                </c:pt>
                <c:pt idx="59">
                  <c:v>4.7500000000000007E-2</c:v>
                </c:pt>
                <c:pt idx="60">
                  <c:v>5.000000000000001E-2</c:v>
                </c:pt>
                <c:pt idx="61">
                  <c:v>5.2500000000000012E-2</c:v>
                </c:pt>
                <c:pt idx="62">
                  <c:v>5.5000000000000014E-2</c:v>
                </c:pt>
                <c:pt idx="63">
                  <c:v>5.7500000000000016E-2</c:v>
                </c:pt>
                <c:pt idx="64">
                  <c:v>6.0000000000000019E-2</c:v>
                </c:pt>
                <c:pt idx="65">
                  <c:v>6.2500000000000014E-2</c:v>
                </c:pt>
                <c:pt idx="66">
                  <c:v>6.5000000000000016E-2</c:v>
                </c:pt>
                <c:pt idx="67">
                  <c:v>6.7500000000000018E-2</c:v>
                </c:pt>
                <c:pt idx="68">
                  <c:v>7.0000000000000021E-2</c:v>
                </c:pt>
                <c:pt idx="69">
                  <c:v>7.2500000000000023E-2</c:v>
                </c:pt>
                <c:pt idx="70">
                  <c:v>7.5000000000000025E-2</c:v>
                </c:pt>
                <c:pt idx="71">
                  <c:v>7.7500000000000027E-2</c:v>
                </c:pt>
                <c:pt idx="72">
                  <c:v>8.0000000000000029E-2</c:v>
                </c:pt>
                <c:pt idx="73">
                  <c:v>8.2500000000000032E-2</c:v>
                </c:pt>
                <c:pt idx="74">
                  <c:v>8.5000000000000034E-2</c:v>
                </c:pt>
                <c:pt idx="75">
                  <c:v>8.7500000000000036E-2</c:v>
                </c:pt>
                <c:pt idx="76">
                  <c:v>9.0000000000000038E-2</c:v>
                </c:pt>
                <c:pt idx="77">
                  <c:v>9.2500000000000041E-2</c:v>
                </c:pt>
                <c:pt idx="78">
                  <c:v>9.5000000000000043E-2</c:v>
                </c:pt>
                <c:pt idx="79">
                  <c:v>9.7500000000000045E-2</c:v>
                </c:pt>
                <c:pt idx="80">
                  <c:v>0.10000000000000005</c:v>
                </c:pt>
              </c:numCache>
            </c:numRef>
          </c:xVal>
          <c:yVal>
            <c:numRef>
              <c:f>'Notes | Quant Analysis'!$R$249:$R$329</c:f>
              <c:numCache>
                <c:formatCode>General</c:formatCode>
                <c:ptCount val="81"/>
                <c:pt idx="0">
                  <c:v>3</c:v>
                </c:pt>
                <c:pt idx="1">
                  <c:v>0</c:v>
                </c:pt>
                <c:pt idx="2">
                  <c:v>0</c:v>
                </c:pt>
                <c:pt idx="3">
                  <c:v>2</c:v>
                </c:pt>
                <c:pt idx="4">
                  <c:v>1</c:v>
                </c:pt>
                <c:pt idx="5">
                  <c:v>3</c:v>
                </c:pt>
                <c:pt idx="6">
                  <c:v>0</c:v>
                </c:pt>
                <c:pt idx="7">
                  <c:v>1</c:v>
                </c:pt>
                <c:pt idx="8">
                  <c:v>4</c:v>
                </c:pt>
                <c:pt idx="9">
                  <c:v>3</c:v>
                </c:pt>
                <c:pt idx="10">
                  <c:v>3</c:v>
                </c:pt>
                <c:pt idx="11">
                  <c:v>3</c:v>
                </c:pt>
                <c:pt idx="12">
                  <c:v>3</c:v>
                </c:pt>
                <c:pt idx="13">
                  <c:v>2</c:v>
                </c:pt>
                <c:pt idx="14">
                  <c:v>2</c:v>
                </c:pt>
                <c:pt idx="15">
                  <c:v>4</c:v>
                </c:pt>
                <c:pt idx="16">
                  <c:v>7</c:v>
                </c:pt>
                <c:pt idx="17">
                  <c:v>2</c:v>
                </c:pt>
                <c:pt idx="18">
                  <c:v>4</c:v>
                </c:pt>
                <c:pt idx="19">
                  <c:v>6</c:v>
                </c:pt>
                <c:pt idx="20">
                  <c:v>10</c:v>
                </c:pt>
                <c:pt idx="21">
                  <c:v>13</c:v>
                </c:pt>
                <c:pt idx="22">
                  <c:v>10</c:v>
                </c:pt>
                <c:pt idx="23">
                  <c:v>17</c:v>
                </c:pt>
                <c:pt idx="24">
                  <c:v>9</c:v>
                </c:pt>
                <c:pt idx="25">
                  <c:v>16</c:v>
                </c:pt>
                <c:pt idx="26">
                  <c:v>19</c:v>
                </c:pt>
                <c:pt idx="27">
                  <c:v>31</c:v>
                </c:pt>
                <c:pt idx="28">
                  <c:v>21</c:v>
                </c:pt>
                <c:pt idx="29">
                  <c:v>18</c:v>
                </c:pt>
                <c:pt idx="30">
                  <c:v>18</c:v>
                </c:pt>
                <c:pt idx="31">
                  <c:v>29</c:v>
                </c:pt>
                <c:pt idx="32">
                  <c:v>36</c:v>
                </c:pt>
                <c:pt idx="33">
                  <c:v>32</c:v>
                </c:pt>
                <c:pt idx="34">
                  <c:v>42</c:v>
                </c:pt>
                <c:pt idx="35">
                  <c:v>44</c:v>
                </c:pt>
                <c:pt idx="36">
                  <c:v>39</c:v>
                </c:pt>
                <c:pt idx="37">
                  <c:v>43</c:v>
                </c:pt>
                <c:pt idx="38">
                  <c:v>42</c:v>
                </c:pt>
                <c:pt idx="39">
                  <c:v>40</c:v>
                </c:pt>
                <c:pt idx="40">
                  <c:v>47</c:v>
                </c:pt>
                <c:pt idx="41">
                  <c:v>32</c:v>
                </c:pt>
                <c:pt idx="42">
                  <c:v>45</c:v>
                </c:pt>
                <c:pt idx="43">
                  <c:v>38</c:v>
                </c:pt>
                <c:pt idx="44">
                  <c:v>44</c:v>
                </c:pt>
                <c:pt idx="45">
                  <c:v>39</c:v>
                </c:pt>
                <c:pt idx="46">
                  <c:v>38</c:v>
                </c:pt>
                <c:pt idx="47">
                  <c:v>46</c:v>
                </c:pt>
                <c:pt idx="48">
                  <c:v>31</c:v>
                </c:pt>
                <c:pt idx="49">
                  <c:v>37</c:v>
                </c:pt>
                <c:pt idx="50">
                  <c:v>28</c:v>
                </c:pt>
                <c:pt idx="51">
                  <c:v>25</c:v>
                </c:pt>
                <c:pt idx="52">
                  <c:v>25</c:v>
                </c:pt>
                <c:pt idx="53">
                  <c:v>32</c:v>
                </c:pt>
                <c:pt idx="54">
                  <c:v>16</c:v>
                </c:pt>
                <c:pt idx="55">
                  <c:v>16</c:v>
                </c:pt>
                <c:pt idx="56">
                  <c:v>16</c:v>
                </c:pt>
                <c:pt idx="57">
                  <c:v>15</c:v>
                </c:pt>
                <c:pt idx="58">
                  <c:v>11</c:v>
                </c:pt>
                <c:pt idx="59">
                  <c:v>8</c:v>
                </c:pt>
                <c:pt idx="60">
                  <c:v>10</c:v>
                </c:pt>
                <c:pt idx="61">
                  <c:v>11</c:v>
                </c:pt>
                <c:pt idx="62">
                  <c:v>13</c:v>
                </c:pt>
                <c:pt idx="63">
                  <c:v>5</c:v>
                </c:pt>
                <c:pt idx="64">
                  <c:v>4</c:v>
                </c:pt>
                <c:pt idx="65">
                  <c:v>3</c:v>
                </c:pt>
                <c:pt idx="66">
                  <c:v>4</c:v>
                </c:pt>
                <c:pt idx="67">
                  <c:v>4</c:v>
                </c:pt>
                <c:pt idx="68">
                  <c:v>4</c:v>
                </c:pt>
                <c:pt idx="69">
                  <c:v>1</c:v>
                </c:pt>
                <c:pt idx="70">
                  <c:v>4</c:v>
                </c:pt>
                <c:pt idx="71">
                  <c:v>1</c:v>
                </c:pt>
                <c:pt idx="72">
                  <c:v>1</c:v>
                </c:pt>
                <c:pt idx="73">
                  <c:v>1</c:v>
                </c:pt>
                <c:pt idx="74">
                  <c:v>1</c:v>
                </c:pt>
                <c:pt idx="75">
                  <c:v>1</c:v>
                </c:pt>
                <c:pt idx="76">
                  <c:v>3</c:v>
                </c:pt>
                <c:pt idx="77">
                  <c:v>0</c:v>
                </c:pt>
                <c:pt idx="78">
                  <c:v>1</c:v>
                </c:pt>
                <c:pt idx="79">
                  <c:v>2</c:v>
                </c:pt>
                <c:pt idx="80">
                  <c:v>0</c:v>
                </c:pt>
              </c:numCache>
            </c:numRef>
          </c:yVal>
          <c:smooth val="1"/>
          <c:extLst>
            <c:ext xmlns:c16="http://schemas.microsoft.com/office/drawing/2014/chart" uri="{C3380CC4-5D6E-409C-BE32-E72D297353CC}">
              <c16:uniqueId val="{00000000-28C7-4862-86E9-AF862A5BA0AD}"/>
            </c:ext>
          </c:extLst>
        </c:ser>
        <c:ser>
          <c:idx val="1"/>
          <c:order val="1"/>
          <c:tx>
            <c:strRef>
              <c:f>'Notes | Quant Analysis'!$T$247</c:f>
              <c:strCache>
                <c:ptCount val="1"/>
                <c:pt idx="0">
                  <c:v>Distribution Overlay</c:v>
                </c:pt>
              </c:strCache>
            </c:strRef>
          </c:tx>
          <c:spPr>
            <a:ln w="19050" cap="rnd">
              <a:solidFill>
                <a:srgbClr val="FFC000"/>
              </a:solidFill>
              <a:round/>
            </a:ln>
            <a:effectLst/>
          </c:spPr>
          <c:marker>
            <c:symbol val="none"/>
          </c:marker>
          <c:xVal>
            <c:numRef>
              <c:f>'Notes | Quant Analysis'!$T$249:$T$337</c:f>
              <c:numCache>
                <c:formatCode>0.00%</c:formatCode>
                <c:ptCount val="89"/>
                <c:pt idx="0">
                  <c:v>-0.11000000000000006</c:v>
                </c:pt>
                <c:pt idx="1">
                  <c:v>-0.10750000000000005</c:v>
                </c:pt>
                <c:pt idx="2">
                  <c:v>-0.10500000000000005</c:v>
                </c:pt>
                <c:pt idx="3">
                  <c:v>-0.10250000000000005</c:v>
                </c:pt>
                <c:pt idx="4">
                  <c:v>-0.10000000000000005</c:v>
                </c:pt>
                <c:pt idx="5">
                  <c:v>-9.7500000000000045E-2</c:v>
                </c:pt>
                <c:pt idx="6">
                  <c:v>-9.5000000000000043E-2</c:v>
                </c:pt>
                <c:pt idx="7">
                  <c:v>-9.2500000000000041E-2</c:v>
                </c:pt>
                <c:pt idx="8">
                  <c:v>-9.0000000000000038E-2</c:v>
                </c:pt>
                <c:pt idx="9">
                  <c:v>-8.7500000000000036E-2</c:v>
                </c:pt>
                <c:pt idx="10">
                  <c:v>-8.5000000000000034E-2</c:v>
                </c:pt>
                <c:pt idx="11">
                  <c:v>-8.2500000000000032E-2</c:v>
                </c:pt>
                <c:pt idx="12">
                  <c:v>-8.0000000000000029E-2</c:v>
                </c:pt>
                <c:pt idx="13">
                  <c:v>-7.7500000000000027E-2</c:v>
                </c:pt>
                <c:pt idx="14">
                  <c:v>-7.5000000000000025E-2</c:v>
                </c:pt>
                <c:pt idx="15">
                  <c:v>-7.2500000000000023E-2</c:v>
                </c:pt>
                <c:pt idx="16">
                  <c:v>-7.0000000000000021E-2</c:v>
                </c:pt>
                <c:pt idx="17">
                  <c:v>-6.7500000000000018E-2</c:v>
                </c:pt>
                <c:pt idx="18">
                  <c:v>-6.5000000000000016E-2</c:v>
                </c:pt>
                <c:pt idx="19">
                  <c:v>-6.2500000000000014E-2</c:v>
                </c:pt>
                <c:pt idx="20">
                  <c:v>-6.0000000000000019E-2</c:v>
                </c:pt>
                <c:pt idx="21">
                  <c:v>-5.7500000000000016E-2</c:v>
                </c:pt>
                <c:pt idx="22">
                  <c:v>-5.5000000000000014E-2</c:v>
                </c:pt>
                <c:pt idx="23">
                  <c:v>-5.2500000000000012E-2</c:v>
                </c:pt>
                <c:pt idx="24">
                  <c:v>-5.000000000000001E-2</c:v>
                </c:pt>
                <c:pt idx="25">
                  <c:v>-4.7500000000000007E-2</c:v>
                </c:pt>
                <c:pt idx="26">
                  <c:v>-4.5000000000000005E-2</c:v>
                </c:pt>
                <c:pt idx="27">
                  <c:v>-4.2500000000000003E-2</c:v>
                </c:pt>
                <c:pt idx="28">
                  <c:v>-0.04</c:v>
                </c:pt>
                <c:pt idx="29">
                  <c:v>-3.7499999999999999E-2</c:v>
                </c:pt>
                <c:pt idx="30">
                  <c:v>-3.4999999999999996E-2</c:v>
                </c:pt>
                <c:pt idx="31">
                  <c:v>-3.2499999999999994E-2</c:v>
                </c:pt>
                <c:pt idx="32">
                  <c:v>-2.9999999999999995E-2</c:v>
                </c:pt>
                <c:pt idx="33">
                  <c:v>-2.7499999999999997E-2</c:v>
                </c:pt>
                <c:pt idx="34">
                  <c:v>-2.4999999999999998E-2</c:v>
                </c:pt>
                <c:pt idx="35">
                  <c:v>-2.2499999999999999E-2</c:v>
                </c:pt>
                <c:pt idx="36">
                  <c:v>-0.02</c:v>
                </c:pt>
                <c:pt idx="37">
                  <c:v>-1.7500000000000002E-2</c:v>
                </c:pt>
                <c:pt idx="38">
                  <c:v>-1.5000000000000001E-2</c:v>
                </c:pt>
                <c:pt idx="39">
                  <c:v>-1.2500000000000001E-2</c:v>
                </c:pt>
                <c:pt idx="40">
                  <c:v>-0.01</c:v>
                </c:pt>
                <c:pt idx="41">
                  <c:v>-7.4999999999999997E-3</c:v>
                </c:pt>
                <c:pt idx="42">
                  <c:v>-5.0000000000000001E-3</c:v>
                </c:pt>
                <c:pt idx="43">
                  <c:v>-2.5000000000000001E-3</c:v>
                </c:pt>
                <c:pt idx="44">
                  <c:v>0</c:v>
                </c:pt>
                <c:pt idx="45">
                  <c:v>2.5000000000000001E-3</c:v>
                </c:pt>
                <c:pt idx="46">
                  <c:v>5.0000000000000001E-3</c:v>
                </c:pt>
                <c:pt idx="47">
                  <c:v>7.4999999999999997E-3</c:v>
                </c:pt>
                <c:pt idx="48">
                  <c:v>0.01</c:v>
                </c:pt>
                <c:pt idx="49">
                  <c:v>1.2500000000000001E-2</c:v>
                </c:pt>
                <c:pt idx="50">
                  <c:v>1.5000000000000001E-2</c:v>
                </c:pt>
                <c:pt idx="51">
                  <c:v>1.7500000000000002E-2</c:v>
                </c:pt>
                <c:pt idx="52">
                  <c:v>0.02</c:v>
                </c:pt>
                <c:pt idx="53">
                  <c:v>2.2499999999999999E-2</c:v>
                </c:pt>
                <c:pt idx="54">
                  <c:v>2.4999999999999998E-2</c:v>
                </c:pt>
                <c:pt idx="55">
                  <c:v>2.7499999999999997E-2</c:v>
                </c:pt>
                <c:pt idx="56">
                  <c:v>2.9999999999999995E-2</c:v>
                </c:pt>
                <c:pt idx="57">
                  <c:v>3.2499999999999994E-2</c:v>
                </c:pt>
                <c:pt idx="58">
                  <c:v>3.4999999999999996E-2</c:v>
                </c:pt>
                <c:pt idx="59">
                  <c:v>3.7499999999999999E-2</c:v>
                </c:pt>
                <c:pt idx="60">
                  <c:v>0.04</c:v>
                </c:pt>
                <c:pt idx="61">
                  <c:v>4.2500000000000003E-2</c:v>
                </c:pt>
                <c:pt idx="62">
                  <c:v>4.5000000000000005E-2</c:v>
                </c:pt>
                <c:pt idx="63">
                  <c:v>4.7500000000000007E-2</c:v>
                </c:pt>
                <c:pt idx="64">
                  <c:v>5.000000000000001E-2</c:v>
                </c:pt>
                <c:pt idx="65">
                  <c:v>5.2500000000000012E-2</c:v>
                </c:pt>
                <c:pt idx="66">
                  <c:v>5.5000000000000014E-2</c:v>
                </c:pt>
                <c:pt idx="67">
                  <c:v>5.7500000000000016E-2</c:v>
                </c:pt>
                <c:pt idx="68">
                  <c:v>6.0000000000000019E-2</c:v>
                </c:pt>
                <c:pt idx="69">
                  <c:v>6.2500000000000014E-2</c:v>
                </c:pt>
                <c:pt idx="70">
                  <c:v>6.5000000000000016E-2</c:v>
                </c:pt>
                <c:pt idx="71">
                  <c:v>6.7500000000000018E-2</c:v>
                </c:pt>
                <c:pt idx="72">
                  <c:v>7.0000000000000021E-2</c:v>
                </c:pt>
                <c:pt idx="73">
                  <c:v>7.2500000000000023E-2</c:v>
                </c:pt>
                <c:pt idx="74">
                  <c:v>7.5000000000000025E-2</c:v>
                </c:pt>
                <c:pt idx="75">
                  <c:v>7.7500000000000027E-2</c:v>
                </c:pt>
                <c:pt idx="76">
                  <c:v>8.0000000000000029E-2</c:v>
                </c:pt>
                <c:pt idx="77">
                  <c:v>8.2500000000000032E-2</c:v>
                </c:pt>
                <c:pt idx="78">
                  <c:v>8.5000000000000034E-2</c:v>
                </c:pt>
                <c:pt idx="79">
                  <c:v>8.7500000000000036E-2</c:v>
                </c:pt>
                <c:pt idx="80">
                  <c:v>9.0000000000000038E-2</c:v>
                </c:pt>
                <c:pt idx="81">
                  <c:v>9.2500000000000041E-2</c:v>
                </c:pt>
                <c:pt idx="82">
                  <c:v>9.5000000000000043E-2</c:v>
                </c:pt>
                <c:pt idx="83">
                  <c:v>9.7500000000000045E-2</c:v>
                </c:pt>
                <c:pt idx="84">
                  <c:v>0.10000000000000005</c:v>
                </c:pt>
                <c:pt idx="85">
                  <c:v>0.10250000000000005</c:v>
                </c:pt>
                <c:pt idx="86">
                  <c:v>0.10500000000000005</c:v>
                </c:pt>
                <c:pt idx="87">
                  <c:v>0.10750000000000005</c:v>
                </c:pt>
                <c:pt idx="88">
                  <c:v>0.11000000000000006</c:v>
                </c:pt>
              </c:numCache>
            </c:numRef>
          </c:xVal>
          <c:yVal>
            <c:numRef>
              <c:f>'Notes | Quant Analysis'!$U$249:$U$337</c:f>
              <c:numCache>
                <c:formatCode>General</c:formatCode>
                <c:ptCount val="89"/>
                <c:pt idx="0">
                  <c:v>4.4526636558788711E-2</c:v>
                </c:pt>
                <c:pt idx="1">
                  <c:v>5.7165218511073881E-2</c:v>
                </c:pt>
                <c:pt idx="2">
                  <c:v>7.2973943741081501E-2</c:v>
                </c:pt>
                <c:pt idx="3">
                  <c:v>9.2624897336695627E-2</c:v>
                </c:pt>
                <c:pt idx="4">
                  <c:v>0.1168992256050766</c:v>
                </c:pt>
                <c:pt idx="5">
                  <c:v>0.14669641522569726</c:v>
                </c:pt>
                <c:pt idx="6">
                  <c:v>0.18304224796998683</c:v>
                </c:pt>
                <c:pt idx="7">
                  <c:v>0.22709478059824642</c:v>
                </c:pt>
                <c:pt idx="8">
                  <c:v>0.28014762000313015</c:v>
                </c:pt>
                <c:pt idx="9">
                  <c:v>0.34362970099723689</c:v>
                </c:pt>
                <c:pt idx="10">
                  <c:v>0.41910073613048848</c:v>
                </c:pt>
                <c:pt idx="11">
                  <c:v>0.50824150172402272</c:v>
                </c:pt>
                <c:pt idx="12">
                  <c:v>0.61283815996007085</c:v>
                </c:pt>
                <c:pt idx="13">
                  <c:v>0.73475990071406094</c:v>
                </c:pt>
                <c:pt idx="14">
                  <c:v>0.87592932483660368</c:v>
                </c:pt>
                <c:pt idx="15">
                  <c:v>1.038285186695274</c:v>
                </c:pt>
                <c:pt idx="16">
                  <c:v>1.2237373690874733</c:v>
                </c:pt>
                <c:pt idx="17">
                  <c:v>1.434114275810304</c:v>
                </c:pt>
                <c:pt idx="18">
                  <c:v>1.6711031899164779</c:v>
                </c:pt>
                <c:pt idx="19">
                  <c:v>1.936184548367625</c:v>
                </c:pt>
                <c:pt idx="20">
                  <c:v>2.2305615113722137</c:v>
                </c:pt>
                <c:pt idx="21">
                  <c:v>2.555086637918647</c:v>
                </c:pt>
                <c:pt idx="22">
                  <c:v>2.9101878950019819</c:v>
                </c:pt>
                <c:pt idx="23">
                  <c:v>3.2957966012008377</c:v>
                </c:pt>
                <c:pt idx="24">
                  <c:v>3.7112802085596956</c:v>
                </c:pt>
                <c:pt idx="25">
                  <c:v>4.1553830332871993</c:v>
                </c:pt>
                <c:pt idx="26">
                  <c:v>4.6261781306653358</c:v>
                </c:pt>
                <c:pt idx="27">
                  <c:v>5.121033451735463</c:v>
                </c:pt>
                <c:pt idx="28">
                  <c:v>5.6365952035447275</c:v>
                </c:pt>
                <c:pt idx="29">
                  <c:v>6.1687909533132572</c:v>
                </c:pt>
                <c:pt idx="30">
                  <c:v>6.7128544711120419</c:v>
                </c:pt>
                <c:pt idx="31">
                  <c:v>7.2633736067540076</c:v>
                </c:pt>
                <c:pt idx="32">
                  <c:v>7.8143616661172253</c:v>
                </c:pt>
                <c:pt idx="33">
                  <c:v>8.359351821510856</c:v>
                </c:pt>
                <c:pt idx="34">
                  <c:v>8.891513100302527</c:v>
                </c:pt>
                <c:pt idx="35">
                  <c:v>9.4037854932532099</c:v>
                </c:pt>
                <c:pt idx="36">
                  <c:v>9.8890307608495647</c:v>
                </c:pt>
                <c:pt idx="37">
                  <c:v>10.340194645987964</c:v>
                </c:pt>
                <c:pt idx="38">
                  <c:v>10.750475476528965</c:v>
                </c:pt>
                <c:pt idx="39">
                  <c:v>11.113493608226312</c:v>
                </c:pt>
                <c:pt idx="40">
                  <c:v>11.423455855602919</c:v>
                </c:pt>
                <c:pt idx="41">
                  <c:v>11.675309012407483</c:v>
                </c:pt>
                <c:pt idx="42">
                  <c:v>11.864876787636314</c:v>
                </c:pt>
                <c:pt idx="43">
                  <c:v>11.988974976011747</c:v>
                </c:pt>
                <c:pt idx="44">
                  <c:v>12.045500426065413</c:v>
                </c:pt>
                <c:pt idx="45">
                  <c:v>12.033490332514795</c:v>
                </c:pt>
                <c:pt idx="46">
                  <c:v>11.953149517160451</c:v>
                </c:pt>
                <c:pt idx="47">
                  <c:v>11.805844618152081</c:v>
                </c:pt>
                <c:pt idx="48">
                  <c:v>11.594065417974893</c:v>
                </c:pt>
                <c:pt idx="49">
                  <c:v>11.321354839292646</c:v>
                </c:pt>
                <c:pt idx="50">
                  <c:v>10.992210358975964</c:v>
                </c:pt>
                <c:pt idx="51">
                  <c:v>10.611960673173964</c:v>
                </c:pt>
                <c:pt idx="52">
                  <c:v>10.18662233761075</c:v>
                </c:pt>
                <c:pt idx="53">
                  <c:v>9.7227417664985634</c:v>
                </c:pt>
                <c:pt idx="54">
                  <c:v>9.2272283735545084</c:v>
                </c:pt>
                <c:pt idx="55">
                  <c:v>8.7071847677811007</c:v>
                </c:pt>
                <c:pt idx="56">
                  <c:v>8.169739778551234</c:v>
                </c:pt>
                <c:pt idx="57">
                  <c:v>7.6218896973938222</c:v>
                </c:pt>
                <c:pt idx="58">
                  <c:v>7.07035251888421</c:v>
                </c:pt>
                <c:pt idx="59">
                  <c:v>6.5214391817810187</c:v>
                </c:pt>
                <c:pt idx="60">
                  <c:v>5.9809449029318156</c:v>
                </c:pt>
                <c:pt idx="61">
                  <c:v>5.4540627133678266</c:v>
                </c:pt>
                <c:pt idx="62">
                  <c:v>4.94532030183003</c:v>
                </c:pt>
                <c:pt idx="63">
                  <c:v>4.458540296421738</c:v>
                </c:pt>
                <c:pt idx="64">
                  <c:v>3.9968232153466676</c:v>
                </c:pt>
                <c:pt idx="65">
                  <c:v>3.5625515301733577</c:v>
                </c:pt>
                <c:pt idx="66">
                  <c:v>3.1574126378404599</c:v>
                </c:pt>
                <c:pt idx="67">
                  <c:v>2.782438048604241</c:v>
                </c:pt>
                <c:pt idx="68">
                  <c:v>2.4380557740092912</c:v>
                </c:pt>
                <c:pt idx="69">
                  <c:v>2.1241527397506599</c:v>
                </c:pt>
                <c:pt idx="70">
                  <c:v>1.8401440424778392</c:v>
                </c:pt>
                <c:pt idx="71">
                  <c:v>1.5850459996867323</c:v>
                </c:pt>
                <c:pt idx="72">
                  <c:v>1.3575501852312166</c:v>
                </c:pt>
                <c:pt idx="73">
                  <c:v>1.1560959738330254</c:v>
                </c:pt>
                <c:pt idx="74">
                  <c:v>0.97893950914631422</c:v>
                </c:pt>
                <c:pt idx="75">
                  <c:v>0.82421743474851561</c:v>
                </c:pt>
                <c:pt idx="76">
                  <c:v>0.69000416110869001</c:v>
                </c:pt>
                <c:pt idx="77">
                  <c:v>0.57436186243153753</c:v>
                </c:pt>
                <c:pt idx="78">
                  <c:v>0.4753827874676983</c:v>
                </c:pt>
                <c:pt idx="79">
                  <c:v>0.39122381441094062</c:v>
                </c:pt>
                <c:pt idx="80">
                  <c:v>0.32013347277907728</c:v>
                </c:pt>
                <c:pt idx="81">
                  <c:v>0.26047188983601482</c:v>
                </c:pt>
                <c:pt idx="82">
                  <c:v>0.21072429460504372</c:v>
                </c:pt>
                <c:pt idx="83">
                  <c:v>0.16950883102111358</c:v>
                </c:pt>
                <c:pt idx="84">
                  <c:v>0.13557949798675978</c:v>
                </c:pt>
                <c:pt idx="85">
                  <c:v>0.10782505456921686</c:v>
                </c:pt>
                <c:pt idx="86">
                  <c:v>8.5264710963153162E-2</c:v>
                </c:pt>
                <c:pt idx="87">
                  <c:v>6.7041378284334041E-2</c:v>
                </c:pt>
                <c:pt idx="88">
                  <c:v>5.2413180828876568E-2</c:v>
                </c:pt>
              </c:numCache>
            </c:numRef>
          </c:yVal>
          <c:smooth val="1"/>
          <c:extLst>
            <c:ext xmlns:c16="http://schemas.microsoft.com/office/drawing/2014/chart" uri="{C3380CC4-5D6E-409C-BE32-E72D297353CC}">
              <c16:uniqueId val="{00000001-28C7-4862-86E9-AF862A5BA0AD}"/>
            </c:ext>
          </c:extLst>
        </c:ser>
        <c:ser>
          <c:idx val="2"/>
          <c:order val="2"/>
          <c:tx>
            <c:strRef>
              <c:f>'Notes | Quant Analysis'!$W$249</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7912826182151433E-2"/>
                  <c:y val="-2.9667272360185747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0.10760535152450425"/>
                      <c:h val="7.7448415101958407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Analysis'!$X$249:$X$250</c:f>
              <c:numCache>
                <c:formatCode>0.00%</c:formatCode>
                <c:ptCount val="2"/>
                <c:pt idx="0">
                  <c:v>8.1257158226939676E-4</c:v>
                </c:pt>
                <c:pt idx="1">
                  <c:v>8.1257158226939676E-4</c:v>
                </c:pt>
              </c:numCache>
            </c:numRef>
          </c:xVal>
          <c:yVal>
            <c:numRef>
              <c:f>'Notes | Quant Analysis'!$Y$249:$Y$250</c:f>
              <c:numCache>
                <c:formatCode>General</c:formatCode>
                <c:ptCount val="2"/>
                <c:pt idx="0">
                  <c:v>0</c:v>
                </c:pt>
                <c:pt idx="1">
                  <c:v>12</c:v>
                </c:pt>
              </c:numCache>
            </c:numRef>
          </c:yVal>
          <c:smooth val="1"/>
          <c:extLst>
            <c:ext xmlns:c16="http://schemas.microsoft.com/office/drawing/2014/chart" uri="{C3380CC4-5D6E-409C-BE32-E72D297353CC}">
              <c16:uniqueId val="{00000004-28C7-4862-86E9-AF862A5BA0AD}"/>
            </c:ext>
          </c:extLst>
        </c:ser>
        <c:ser>
          <c:idx val="3"/>
          <c:order val="3"/>
          <c:tx>
            <c:strRef>
              <c:f>'Notes | Quant Analysis'!$W$251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4.2245456689307639E-2"/>
                  <c:y val="-2.9376943266707048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Analysis'!$X$251:$X$252</c:f>
              <c:numCache>
                <c:formatCode>0.00%</c:formatCode>
                <c:ptCount val="2"/>
                <c:pt idx="0">
                  <c:v>-9.8516341910033264E-2</c:v>
                </c:pt>
                <c:pt idx="1">
                  <c:v>-9.8516341910033264E-2</c:v>
                </c:pt>
              </c:numCache>
            </c:numRef>
          </c:xVal>
          <c:yVal>
            <c:numRef>
              <c:f>'Notes | Quant Analysis'!$Y$251:$Y$252</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Analysis'!$W$253</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6.5052539940349444E-2"/>
                  <c:y val="-5.8518877448011306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Analysis'!$X$253:$X$254</c:f>
              <c:numCache>
                <c:formatCode>0.00%</c:formatCode>
                <c:ptCount val="2"/>
                <c:pt idx="0">
                  <c:v>-6.5406704079265715E-2</c:v>
                </c:pt>
                <c:pt idx="1">
                  <c:v>-6.5406704079265715E-2</c:v>
                </c:pt>
              </c:numCache>
            </c:numRef>
          </c:xVal>
          <c:yVal>
            <c:numRef>
              <c:f>'Notes | Quant Analysis'!$Y$253:$Y$254</c:f>
              <c:numCache>
                <c:formatCode>General</c:formatCode>
                <c:ptCount val="2"/>
                <c:pt idx="0">
                  <c:v>0</c:v>
                </c:pt>
                <c:pt idx="1">
                  <c:v>2</c:v>
                </c:pt>
              </c:numCache>
            </c:numRef>
          </c:yVal>
          <c:smooth val="1"/>
          <c:extLst>
            <c:ext xmlns:c16="http://schemas.microsoft.com/office/drawing/2014/chart" uri="{C3380CC4-5D6E-409C-BE32-E72D297353CC}">
              <c16:uniqueId val="{0000000A-28C7-4862-86E9-AF862A5BA0AD}"/>
            </c:ext>
          </c:extLst>
        </c:ser>
        <c:ser>
          <c:idx val="5"/>
          <c:order val="5"/>
          <c:tx>
            <c:strRef>
              <c:f>'Notes | Quant Analysis'!$W$255</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6762994427E-2"/>
                  <c:y val="-6.826065011104390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Analysis'!$X$255:$X$256</c:f>
              <c:numCache>
                <c:formatCode>0.00%</c:formatCode>
                <c:ptCount val="2"/>
                <c:pt idx="0">
                  <c:v>-3.2297066248498159E-2</c:v>
                </c:pt>
                <c:pt idx="1">
                  <c:v>-3.2297066248498159E-2</c:v>
                </c:pt>
              </c:numCache>
            </c:numRef>
          </c:xVal>
          <c:yVal>
            <c:numRef>
              <c:f>'Notes | Quant Analysis'!$Y$255:$Y$256</c:f>
              <c:numCache>
                <c:formatCode>General</c:formatCode>
                <c:ptCount val="2"/>
                <c:pt idx="0">
                  <c:v>0</c:v>
                </c:pt>
                <c:pt idx="1">
                  <c:v>7</c:v>
                </c:pt>
              </c:numCache>
            </c:numRef>
          </c:yVal>
          <c:smooth val="1"/>
          <c:extLst>
            <c:ext xmlns:c16="http://schemas.microsoft.com/office/drawing/2014/chart" uri="{C3380CC4-5D6E-409C-BE32-E72D297353CC}">
              <c16:uniqueId val="{0000000D-28C7-4862-86E9-AF862A5BA0AD}"/>
            </c:ext>
          </c:extLst>
        </c:ser>
        <c:ser>
          <c:idx val="6"/>
          <c:order val="6"/>
          <c:tx>
            <c:strRef>
              <c:f>'Notes | Quant Analysis'!$W$257</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759479062307E-2"/>
                  <c:y val="-6.056834241873611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Analysis'!$X$257:$X$258</c:f>
              <c:numCache>
                <c:formatCode>0.00%</c:formatCode>
                <c:ptCount val="2"/>
                <c:pt idx="0">
                  <c:v>3.3922209413036954E-2</c:v>
                </c:pt>
                <c:pt idx="1">
                  <c:v>3.3922209413036954E-2</c:v>
                </c:pt>
              </c:numCache>
            </c:numRef>
          </c:xVal>
          <c:yVal>
            <c:numRef>
              <c:f>'Notes | Quant Analysis'!$Y$257:$Y$258</c:f>
              <c:numCache>
                <c:formatCode>General</c:formatCode>
                <c:ptCount val="2"/>
                <c:pt idx="0">
                  <c:v>0</c:v>
                </c:pt>
                <c:pt idx="1">
                  <c:v>7</c:v>
                </c:pt>
              </c:numCache>
            </c:numRef>
          </c:yVal>
          <c:smooth val="1"/>
          <c:extLst>
            <c:ext xmlns:c16="http://schemas.microsoft.com/office/drawing/2014/chart" uri="{C3380CC4-5D6E-409C-BE32-E72D297353CC}">
              <c16:uniqueId val="{0000000F-28C7-4862-86E9-AF862A5BA0AD}"/>
            </c:ext>
          </c:extLst>
        </c:ser>
        <c:ser>
          <c:idx val="7"/>
          <c:order val="7"/>
          <c:tx>
            <c:strRef>
              <c:f>'Notes | Quant Analysis'!$W$259</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4.3478904653786433E-2"/>
                  <c:y val="-6.1230163537250054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Analysis'!$X$259:$X$260</c:f>
              <c:numCache>
                <c:formatCode>0.00%</c:formatCode>
                <c:ptCount val="2"/>
                <c:pt idx="0">
                  <c:v>6.703184724380451E-2</c:v>
                </c:pt>
                <c:pt idx="1">
                  <c:v>6.703184724380451E-2</c:v>
                </c:pt>
              </c:numCache>
            </c:numRef>
          </c:xVal>
          <c:yVal>
            <c:numRef>
              <c:f>'Notes | Quant Analysis'!$Y$259:$Y$260</c:f>
              <c:numCache>
                <c:formatCode>General</c:formatCode>
                <c:ptCount val="2"/>
                <c:pt idx="0">
                  <c:v>0</c:v>
                </c:pt>
                <c:pt idx="1">
                  <c:v>2</c:v>
                </c:pt>
              </c:numCache>
            </c:numRef>
          </c:yVal>
          <c:smooth val="1"/>
          <c:extLst>
            <c:ext xmlns:c16="http://schemas.microsoft.com/office/drawing/2014/chart" uri="{C3380CC4-5D6E-409C-BE32-E72D297353CC}">
              <c16:uniqueId val="{00000012-28C7-4862-86E9-AF862A5BA0AD}"/>
            </c:ext>
          </c:extLst>
        </c:ser>
        <c:ser>
          <c:idx val="8"/>
          <c:order val="8"/>
          <c:tx>
            <c:strRef>
              <c:f>'Notes | Quant Analysis'!$W$261</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3337959080753007E-2"/>
                  <c:y val="-3.4350090854027862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Analysis'!$X$261:$X$262</c:f>
              <c:numCache>
                <c:formatCode>0.00%</c:formatCode>
                <c:ptCount val="2"/>
                <c:pt idx="0">
                  <c:v>0.10014148507457206</c:v>
                </c:pt>
                <c:pt idx="1">
                  <c:v>0.10014148507457206</c:v>
                </c:pt>
              </c:numCache>
            </c:numRef>
          </c:xVal>
          <c:yVal>
            <c:numRef>
              <c:f>'Notes | Quant Analysis'!$Y$261:$Y$262</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inMax"/>
          <c:max val="0.11000000000000001"/>
          <c:min val="-0.1100000000000000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(SNAP) Annual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Model!$AY$46:$BG$46</c:f>
              <c:numCache>
                <c:formatCode>0</c:formatCode>
                <c:ptCount val="9"/>
                <c:pt idx="0">
                  <c:v>-514.69999999999993</c:v>
                </c:pt>
                <c:pt idx="1">
                  <c:v>-3445.2</c:v>
                </c:pt>
                <c:pt idx="2">
                  <c:v>-1255.8999999999999</c:v>
                </c:pt>
                <c:pt idx="3">
                  <c:v>-1033.5999999999999</c:v>
                </c:pt>
                <c:pt idx="4">
                  <c:v>-944.69999999999982</c:v>
                </c:pt>
                <c:pt idx="5">
                  <c:v>-487.8</c:v>
                </c:pt>
                <c:pt idx="6">
                  <c:v>-1429.7999999999997</c:v>
                </c:pt>
                <c:pt idx="7">
                  <c:v>-1322.5</c:v>
                </c:pt>
                <c:pt idx="8">
                  <c:v>-697.70000000000027</c:v>
                </c:pt>
              </c:numCache>
            </c:numRef>
          </c:val>
          <c:extLst>
            <c:ext xmlns:c16="http://schemas.microsoft.com/office/drawing/2014/chart" uri="{C3380CC4-5D6E-409C-BE32-E72D297353CC}">
              <c16:uniqueId val="{00000003-185C-48BA-84D0-EF540439F646}"/>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Model!$AY$89:$BG$89</c:f>
              <c:numCache>
                <c:formatCode>0</c:formatCode>
                <c:ptCount val="9"/>
                <c:pt idx="0">
                  <c:v>-677.7</c:v>
                </c:pt>
                <c:pt idx="1">
                  <c:v>-819.19999999999993</c:v>
                </c:pt>
                <c:pt idx="2">
                  <c:v>-810.09999999999991</c:v>
                </c:pt>
                <c:pt idx="3">
                  <c:v>-341.29999999999995</c:v>
                </c:pt>
                <c:pt idx="4">
                  <c:v>-225.4</c:v>
                </c:pt>
                <c:pt idx="5">
                  <c:v>223</c:v>
                </c:pt>
                <c:pt idx="6">
                  <c:v>55.300000000000004</c:v>
                </c:pt>
                <c:pt idx="7">
                  <c:v>34.999999999999972</c:v>
                </c:pt>
                <c:pt idx="8">
                  <c:v>218.70000000000002</c:v>
                </c:pt>
              </c:numCache>
            </c:numRef>
          </c:val>
          <c:extLst>
            <c:ext xmlns:c16="http://schemas.microsoft.com/office/drawing/2014/chart" uri="{C3380CC4-5D6E-409C-BE32-E72D297353CC}">
              <c16:uniqueId val="{00000004-185C-48BA-84D0-EF540439F646}"/>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spPr>
            <a:ln w="27940">
              <a:solidFill>
                <a:srgbClr val="00B0F0"/>
              </a:solidFill>
            </a:ln>
          </c:spPr>
          <c:marker>
            <c:symbol val="none"/>
          </c:marker>
          <c:cat>
            <c:numRef>
              <c:f>Model!$AY$3:$BG$3</c:f>
              <c:numCache>
                <c:formatCode>General</c:formatCode>
                <c:ptCount val="9"/>
                <c:pt idx="0">
                  <c:v>2016</c:v>
                </c:pt>
                <c:pt idx="1">
                  <c:v>2017</c:v>
                </c:pt>
                <c:pt idx="2">
                  <c:v>2018</c:v>
                </c:pt>
                <c:pt idx="3">
                  <c:v>2019</c:v>
                </c:pt>
                <c:pt idx="4">
                  <c:v>2020</c:v>
                </c:pt>
                <c:pt idx="5">
                  <c:v>2021</c:v>
                </c:pt>
                <c:pt idx="6">
                  <c:v>2022</c:v>
                </c:pt>
                <c:pt idx="7">
                  <c:v>2023</c:v>
                </c:pt>
                <c:pt idx="8">
                  <c:v>2024</c:v>
                </c:pt>
              </c:numCache>
            </c:numRef>
          </c:cat>
          <c:val>
            <c:numRef>
              <c:f>Model!$AY$33:$BG$33</c:f>
              <c:numCache>
                <c:formatCode>0</c:formatCode>
                <c:ptCount val="9"/>
                <c:pt idx="0">
                  <c:v>404.5</c:v>
                </c:pt>
                <c:pt idx="1">
                  <c:v>824.89999999999986</c:v>
                </c:pt>
                <c:pt idx="2">
                  <c:v>1180.5</c:v>
                </c:pt>
                <c:pt idx="3">
                  <c:v>1715.5</c:v>
                </c:pt>
                <c:pt idx="4">
                  <c:v>2506.6999999999998</c:v>
                </c:pt>
                <c:pt idx="5">
                  <c:v>4117.1000000000004</c:v>
                </c:pt>
                <c:pt idx="6">
                  <c:v>4601.8</c:v>
                </c:pt>
                <c:pt idx="7">
                  <c:v>4606.2</c:v>
                </c:pt>
                <c:pt idx="8">
                  <c:v>5361.5</c:v>
                </c:pt>
              </c:numCache>
            </c:numRef>
          </c:val>
          <c:smooth val="0"/>
          <c:extLst>
            <c:ext xmlns:c16="http://schemas.microsoft.com/office/drawing/2014/chart" uri="{C3380CC4-5D6E-409C-BE32-E72D297353CC}">
              <c16:uniqueId val="{00000005-185C-48BA-84D0-EF540439F646}"/>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(SNAP) Daily Active Users </a:t>
            </a:r>
          </a:p>
        </c:rich>
      </c:tx>
      <c:layout>
        <c:manualLayout>
          <c:xMode val="edge"/>
          <c:yMode val="edge"/>
          <c:x val="0.41901781003485966"/>
          <c:y val="1.8527707402275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4082698859652434"/>
          <c:w val="0.91646860416323306"/>
          <c:h val="0.77465457040793229"/>
        </c:manualLayout>
      </c:layout>
      <c:barChart>
        <c:barDir val="col"/>
        <c:grouping val="stacked"/>
        <c:varyColors val="0"/>
        <c:ser>
          <c:idx val="9"/>
          <c:order val="0"/>
          <c:tx>
            <c:strRef>
              <c:f>Model!$B$29</c:f>
              <c:strCache>
                <c:ptCount val="1"/>
                <c:pt idx="0">
                  <c:v>Average Daily Active Users (in millions)</c:v>
                </c:pt>
              </c:strCache>
            </c:strRef>
          </c:tx>
          <c:spPr>
            <a:solidFill>
              <a:srgbClr val="FFC000">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Model!$C$1:$AN$1</c:f>
              <c:strCache>
                <c:ptCount val="37"/>
                <c:pt idx="0">
                  <c:v>Q1 2016</c:v>
                </c:pt>
                <c:pt idx="4">
                  <c:v>Q1 2017</c:v>
                </c:pt>
                <c:pt idx="8">
                  <c:v>Q1 2018</c:v>
                </c:pt>
                <c:pt idx="12">
                  <c:v>Q1 2019</c:v>
                </c:pt>
                <c:pt idx="16">
                  <c:v>Q1 2020</c:v>
                </c:pt>
                <c:pt idx="20">
                  <c:v>Q1 2021</c:v>
                </c:pt>
                <c:pt idx="24">
                  <c:v>Q1 2022</c:v>
                </c:pt>
                <c:pt idx="28">
                  <c:v>Q1 2023</c:v>
                </c:pt>
                <c:pt idx="32">
                  <c:v>Q1 2024</c:v>
                </c:pt>
                <c:pt idx="36">
                  <c:v>Q1 2025</c:v>
                </c:pt>
              </c:strCache>
            </c:strRef>
          </c:cat>
          <c:val>
            <c:numRef>
              <c:f>Model!$C$29:$AO$29</c:f>
              <c:numCache>
                <c:formatCode>General</c:formatCode>
                <c:ptCount val="39"/>
                <c:pt idx="0">
                  <c:v>122</c:v>
                </c:pt>
                <c:pt idx="1">
                  <c:v>143</c:v>
                </c:pt>
                <c:pt idx="2">
                  <c:v>153</c:v>
                </c:pt>
                <c:pt idx="3">
                  <c:v>158</c:v>
                </c:pt>
                <c:pt idx="4">
                  <c:v>166</c:v>
                </c:pt>
                <c:pt idx="5">
                  <c:v>173</c:v>
                </c:pt>
                <c:pt idx="6">
                  <c:v>178</c:v>
                </c:pt>
                <c:pt idx="7">
                  <c:v>187</c:v>
                </c:pt>
                <c:pt idx="8">
                  <c:v>191</c:v>
                </c:pt>
                <c:pt idx="9">
                  <c:v>188</c:v>
                </c:pt>
                <c:pt idx="10">
                  <c:v>186</c:v>
                </c:pt>
                <c:pt idx="11">
                  <c:v>186</c:v>
                </c:pt>
                <c:pt idx="12">
                  <c:v>190</c:v>
                </c:pt>
                <c:pt idx="13">
                  <c:v>203</c:v>
                </c:pt>
                <c:pt idx="14">
                  <c:v>210</c:v>
                </c:pt>
                <c:pt idx="15">
                  <c:v>218</c:v>
                </c:pt>
                <c:pt idx="16">
                  <c:v>229</c:v>
                </c:pt>
                <c:pt idx="17">
                  <c:v>238</c:v>
                </c:pt>
                <c:pt idx="18">
                  <c:v>249</c:v>
                </c:pt>
                <c:pt idx="19">
                  <c:v>265</c:v>
                </c:pt>
                <c:pt idx="20">
                  <c:v>280</c:v>
                </c:pt>
                <c:pt idx="21">
                  <c:v>293</c:v>
                </c:pt>
                <c:pt idx="22">
                  <c:v>306</c:v>
                </c:pt>
                <c:pt idx="23">
                  <c:v>319</c:v>
                </c:pt>
                <c:pt idx="24">
                  <c:v>332</c:v>
                </c:pt>
                <c:pt idx="25">
                  <c:v>347</c:v>
                </c:pt>
                <c:pt idx="26">
                  <c:v>363</c:v>
                </c:pt>
                <c:pt idx="27">
                  <c:v>375</c:v>
                </c:pt>
                <c:pt idx="28">
                  <c:v>383</c:v>
                </c:pt>
                <c:pt idx="29">
                  <c:v>397</c:v>
                </c:pt>
                <c:pt idx="30">
                  <c:v>406</c:v>
                </c:pt>
                <c:pt idx="31">
                  <c:v>414</c:v>
                </c:pt>
                <c:pt idx="32">
                  <c:v>422</c:v>
                </c:pt>
                <c:pt idx="33">
                  <c:v>432</c:v>
                </c:pt>
                <c:pt idx="34">
                  <c:v>443</c:v>
                </c:pt>
                <c:pt idx="35">
                  <c:v>453</c:v>
                </c:pt>
                <c:pt idx="36">
                  <c:v>460</c:v>
                </c:pt>
                <c:pt idx="37">
                  <c:v>469</c:v>
                </c:pt>
                <c:pt idx="38">
                  <c:v>477</c:v>
                </c:pt>
              </c:numCache>
            </c:numRef>
          </c:val>
          <c:extLst>
            <c:ext xmlns:c16="http://schemas.microsoft.com/office/drawing/2014/chart" uri="{C3380CC4-5D6E-409C-BE32-E72D297353CC}">
              <c16:uniqueId val="{00000009-9585-4DEE-B782-D5086C13E403}"/>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1946916336538695"/>
          <c:y val="4.9742335391987753E-2"/>
          <c:w val="0.79166664388305374"/>
          <c:h val="8.422393068595007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7.pn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9525</xdr:colOff>
      <xdr:row>2</xdr:row>
      <xdr:rowOff>9525</xdr:rowOff>
    </xdr:from>
    <xdr:to>
      <xdr:col>8</xdr:col>
      <xdr:colOff>1</xdr:colOff>
      <xdr:row>8</xdr:row>
      <xdr:rowOff>0</xdr:rowOff>
    </xdr:to>
    <xdr:pic>
      <xdr:nvPicPr>
        <xdr:cNvPr id="2" name="Picture 1">
          <a:extLst>
            <a:ext uri="{FF2B5EF4-FFF2-40B4-BE49-F238E27FC236}">
              <a16:creationId xmlns:a16="http://schemas.microsoft.com/office/drawing/2014/main" id="{D267F60B-5A6F-839D-F522-DB637814979B}"/>
            </a:ext>
          </a:extLst>
        </xdr:cNvPr>
        <xdr:cNvPicPr>
          <a:picLocks noChangeAspect="1"/>
        </xdr:cNvPicPr>
      </xdr:nvPicPr>
      <xdr:blipFill>
        <a:blip xmlns:r="http://schemas.openxmlformats.org/officeDocument/2006/relationships" r:embed="rId1"/>
        <a:stretch>
          <a:fillRect/>
        </a:stretch>
      </xdr:blipFill>
      <xdr:spPr>
        <a:xfrm>
          <a:off x="2838450" y="381000"/>
          <a:ext cx="1819275" cy="10763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41</xdr:col>
      <xdr:colOff>0</xdr:colOff>
      <xdr:row>0</xdr:row>
      <xdr:rowOff>0</xdr:rowOff>
    </xdr:from>
    <xdr:to>
      <xdr:col>41</xdr:col>
      <xdr:colOff>0</xdr:colOff>
      <xdr:row>116</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26815676" y="0"/>
          <a:ext cx="0" cy="2082725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0</xdr:row>
      <xdr:rowOff>0</xdr:rowOff>
    </xdr:from>
    <xdr:to>
      <xdr:col>59</xdr:col>
      <xdr:colOff>0</xdr:colOff>
      <xdr:row>115</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0</xdr:colOff>
      <xdr:row>106</xdr:row>
      <xdr:rowOff>190499</xdr:rowOff>
    </xdr:from>
    <xdr:to>
      <xdr:col>31</xdr:col>
      <xdr:colOff>0</xdr:colOff>
      <xdr:row>137</xdr:row>
      <xdr:rowOff>180974</xdr:rowOff>
    </xdr:to>
    <xdr:graphicFrame macro="">
      <xdr:nvGraphicFramePr>
        <xdr:cNvPr id="2" name="Chart 1">
          <a:extLst>
            <a:ext uri="{FF2B5EF4-FFF2-40B4-BE49-F238E27FC236}">
              <a16:creationId xmlns:a16="http://schemas.microsoft.com/office/drawing/2014/main" id="{142CD92D-8EF4-4572-94B5-6164D3957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0</xdr:colOff>
      <xdr:row>143</xdr:row>
      <xdr:rowOff>0</xdr:rowOff>
    </xdr:from>
    <xdr:to>
      <xdr:col>31</xdr:col>
      <xdr:colOff>0</xdr:colOff>
      <xdr:row>171</xdr:row>
      <xdr:rowOff>0</xdr:rowOff>
    </xdr:to>
    <xdr:graphicFrame macro="">
      <xdr:nvGraphicFramePr>
        <xdr:cNvPr id="3" name="Chart 2">
          <a:extLst>
            <a:ext uri="{FF2B5EF4-FFF2-40B4-BE49-F238E27FC236}">
              <a16:creationId xmlns:a16="http://schemas.microsoft.com/office/drawing/2014/main" id="{211860B7-2944-492B-8E4C-F0D96D28C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208</xdr:row>
      <xdr:rowOff>0</xdr:rowOff>
    </xdr:from>
    <xdr:to>
      <xdr:col>31</xdr:col>
      <xdr:colOff>0</xdr:colOff>
      <xdr:row>236</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176</xdr:row>
      <xdr:rowOff>0</xdr:rowOff>
    </xdr:from>
    <xdr:to>
      <xdr:col>31</xdr:col>
      <xdr:colOff>0</xdr:colOff>
      <xdr:row>204</xdr:row>
      <xdr:rowOff>0</xdr:rowOff>
    </xdr:to>
    <xdr:graphicFrame macro="">
      <xdr:nvGraphicFramePr>
        <xdr:cNvPr id="5" name="Chart 4">
          <a:extLst>
            <a:ext uri="{FF2B5EF4-FFF2-40B4-BE49-F238E27FC236}">
              <a16:creationId xmlns:a16="http://schemas.microsoft.com/office/drawing/2014/main" id="{FF7CCC47-4E69-431D-A35B-BB93EEC58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0</xdr:colOff>
      <xdr:row>143</xdr:row>
      <xdr:rowOff>0</xdr:rowOff>
    </xdr:from>
    <xdr:to>
      <xdr:col>51</xdr:col>
      <xdr:colOff>0</xdr:colOff>
      <xdr:row>181</xdr:row>
      <xdr:rowOff>17318</xdr:rowOff>
    </xdr:to>
    <xdr:pic>
      <xdr:nvPicPr>
        <xdr:cNvPr id="6" name="Picture 5">
          <a:extLst>
            <a:ext uri="{FF2B5EF4-FFF2-40B4-BE49-F238E27FC236}">
              <a16:creationId xmlns:a16="http://schemas.microsoft.com/office/drawing/2014/main" id="{F90C547A-A4EE-4848-A731-E4788E3C6016}"/>
            </a:ext>
          </a:extLst>
        </xdr:cNvPr>
        <xdr:cNvPicPr>
          <a:picLocks noChangeAspect="1"/>
        </xdr:cNvPicPr>
      </xdr:nvPicPr>
      <xdr:blipFill>
        <a:blip xmlns:r="http://schemas.openxmlformats.org/officeDocument/2006/relationships" r:embed="rId5"/>
        <a:stretch>
          <a:fillRect/>
        </a:stretch>
      </xdr:blipFill>
      <xdr:spPr>
        <a:xfrm>
          <a:off x="12641036" y="24765000"/>
          <a:ext cx="8572500" cy="6739247"/>
        </a:xfrm>
        <a:prstGeom prst="rect">
          <a:avLst/>
        </a:prstGeom>
      </xdr:spPr>
    </xdr:pic>
    <xdr:clientData/>
  </xdr:twoCellAnchor>
  <xdr:twoCellAnchor>
    <xdr:from>
      <xdr:col>16</xdr:col>
      <xdr:colOff>0</xdr:colOff>
      <xdr:row>71</xdr:row>
      <xdr:rowOff>0</xdr:rowOff>
    </xdr:from>
    <xdr:to>
      <xdr:col>31</xdr:col>
      <xdr:colOff>0</xdr:colOff>
      <xdr:row>102</xdr:row>
      <xdr:rowOff>0</xdr:rowOff>
    </xdr:to>
    <xdr:graphicFrame macro="">
      <xdr:nvGraphicFramePr>
        <xdr:cNvPr id="8" name="Chart 7">
          <a:extLst>
            <a:ext uri="{FF2B5EF4-FFF2-40B4-BE49-F238E27FC236}">
              <a16:creationId xmlns:a16="http://schemas.microsoft.com/office/drawing/2014/main" id="{542CD8E8-8FDA-48BC-AE7D-B61273945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13608</xdr:colOff>
      <xdr:row>2</xdr:row>
      <xdr:rowOff>13607</xdr:rowOff>
    </xdr:from>
    <xdr:to>
      <xdr:col>27</xdr:col>
      <xdr:colOff>0</xdr:colOff>
      <xdr:row>30</xdr:row>
      <xdr:rowOff>168087</xdr:rowOff>
    </xdr:to>
    <xdr:pic>
      <xdr:nvPicPr>
        <xdr:cNvPr id="9" name="Picture 8">
          <a:extLst>
            <a:ext uri="{FF2B5EF4-FFF2-40B4-BE49-F238E27FC236}">
              <a16:creationId xmlns:a16="http://schemas.microsoft.com/office/drawing/2014/main" id="{38B19B3D-FFE1-B9CD-C1B1-5C40745918F2}"/>
            </a:ext>
          </a:extLst>
        </xdr:cNvPr>
        <xdr:cNvPicPr>
          <a:picLocks noChangeAspect="1"/>
        </xdr:cNvPicPr>
      </xdr:nvPicPr>
      <xdr:blipFill>
        <a:blip xmlns:r="http://schemas.openxmlformats.org/officeDocument/2006/relationships" r:embed="rId7"/>
        <a:stretch>
          <a:fillRect/>
        </a:stretch>
      </xdr:blipFill>
      <xdr:spPr>
        <a:xfrm>
          <a:off x="217715" y="367393"/>
          <a:ext cx="6721928" cy="5116285"/>
        </a:xfrm>
        <a:prstGeom prst="rect">
          <a:avLst/>
        </a:prstGeom>
      </xdr:spPr>
    </xdr:pic>
    <xdr:clientData/>
  </xdr:twoCellAnchor>
  <xdr:twoCellAnchor editAs="oneCell">
    <xdr:from>
      <xdr:col>16</xdr:col>
      <xdr:colOff>13607</xdr:colOff>
      <xdr:row>36</xdr:row>
      <xdr:rowOff>13607</xdr:rowOff>
    </xdr:from>
    <xdr:to>
      <xdr:col>26</xdr:col>
      <xdr:colOff>13607</xdr:colOff>
      <xdr:row>66</xdr:row>
      <xdr:rowOff>0</xdr:rowOff>
    </xdr:to>
    <xdr:pic>
      <xdr:nvPicPr>
        <xdr:cNvPr id="10" name="Picture 9">
          <a:extLst>
            <a:ext uri="{FF2B5EF4-FFF2-40B4-BE49-F238E27FC236}">
              <a16:creationId xmlns:a16="http://schemas.microsoft.com/office/drawing/2014/main" id="{6EC1A46E-5C9B-947A-8024-4AE8269D0562}"/>
            </a:ext>
          </a:extLst>
        </xdr:cNvPr>
        <xdr:cNvPicPr>
          <a:picLocks noChangeAspect="1"/>
        </xdr:cNvPicPr>
      </xdr:nvPicPr>
      <xdr:blipFill>
        <a:blip xmlns:r="http://schemas.openxmlformats.org/officeDocument/2006/relationships" r:embed="rId8"/>
        <a:stretch>
          <a:fillRect/>
        </a:stretch>
      </xdr:blipFill>
      <xdr:spPr>
        <a:xfrm>
          <a:off x="217714" y="6381750"/>
          <a:ext cx="6123214" cy="5293179"/>
        </a:xfrm>
        <a:prstGeom prst="rect">
          <a:avLst/>
        </a:prstGeom>
      </xdr:spPr>
    </xdr:pic>
    <xdr:clientData/>
  </xdr:twoCellAnchor>
  <xdr:twoCellAnchor editAs="oneCell">
    <xdr:from>
      <xdr:col>37</xdr:col>
      <xdr:colOff>13607</xdr:colOff>
      <xdr:row>36</xdr:row>
      <xdr:rowOff>13607</xdr:rowOff>
    </xdr:from>
    <xdr:to>
      <xdr:col>49</xdr:col>
      <xdr:colOff>0</xdr:colOff>
      <xdr:row>66</xdr:row>
      <xdr:rowOff>-1</xdr:rowOff>
    </xdr:to>
    <xdr:pic>
      <xdr:nvPicPr>
        <xdr:cNvPr id="11" name="Picture 10">
          <a:extLst>
            <a:ext uri="{FF2B5EF4-FFF2-40B4-BE49-F238E27FC236}">
              <a16:creationId xmlns:a16="http://schemas.microsoft.com/office/drawing/2014/main" id="{5BD4072E-7F54-BBCC-B7F1-C0766B13AA73}"/>
            </a:ext>
          </a:extLst>
        </xdr:cNvPr>
        <xdr:cNvPicPr>
          <a:picLocks noChangeAspect="1"/>
        </xdr:cNvPicPr>
      </xdr:nvPicPr>
      <xdr:blipFill>
        <a:blip xmlns:r="http://schemas.openxmlformats.org/officeDocument/2006/relationships" r:embed="rId9"/>
        <a:stretch>
          <a:fillRect/>
        </a:stretch>
      </xdr:blipFill>
      <xdr:spPr>
        <a:xfrm>
          <a:off x="12654643" y="6381750"/>
          <a:ext cx="7334250" cy="5293178"/>
        </a:xfrm>
        <a:prstGeom prst="rect">
          <a:avLst/>
        </a:prstGeom>
      </xdr:spPr>
    </xdr:pic>
    <xdr:clientData/>
  </xdr:twoCellAnchor>
  <xdr:twoCellAnchor editAs="oneCell">
    <xdr:from>
      <xdr:col>37</xdr:col>
      <xdr:colOff>13606</xdr:colOff>
      <xdr:row>71</xdr:row>
      <xdr:rowOff>13607</xdr:rowOff>
    </xdr:from>
    <xdr:to>
      <xdr:col>49</xdr:col>
      <xdr:colOff>13606</xdr:colOff>
      <xdr:row>101</xdr:row>
      <xdr:rowOff>13607</xdr:rowOff>
    </xdr:to>
    <xdr:pic>
      <xdr:nvPicPr>
        <xdr:cNvPr id="12" name="Picture 11">
          <a:extLst>
            <a:ext uri="{FF2B5EF4-FFF2-40B4-BE49-F238E27FC236}">
              <a16:creationId xmlns:a16="http://schemas.microsoft.com/office/drawing/2014/main" id="{CA56D257-AF0D-4337-6ECB-9A658326C746}"/>
            </a:ext>
          </a:extLst>
        </xdr:cNvPr>
        <xdr:cNvPicPr>
          <a:picLocks noChangeAspect="1"/>
        </xdr:cNvPicPr>
      </xdr:nvPicPr>
      <xdr:blipFill>
        <a:blip xmlns:r="http://schemas.openxmlformats.org/officeDocument/2006/relationships" r:embed="rId10"/>
        <a:stretch>
          <a:fillRect/>
        </a:stretch>
      </xdr:blipFill>
      <xdr:spPr>
        <a:xfrm>
          <a:off x="12654642" y="12573000"/>
          <a:ext cx="7347857" cy="5306786"/>
        </a:xfrm>
        <a:prstGeom prst="rect">
          <a:avLst/>
        </a:prstGeom>
      </xdr:spPr>
    </xdr:pic>
    <xdr:clientData/>
  </xdr:twoCellAnchor>
  <xdr:twoCellAnchor editAs="oneCell">
    <xdr:from>
      <xdr:col>48</xdr:col>
      <xdr:colOff>612321</xdr:colOff>
      <xdr:row>71</xdr:row>
      <xdr:rowOff>13606</xdr:rowOff>
    </xdr:from>
    <xdr:to>
      <xdr:col>61</xdr:col>
      <xdr:colOff>13607</xdr:colOff>
      <xdr:row>101</xdr:row>
      <xdr:rowOff>13605</xdr:rowOff>
    </xdr:to>
    <xdr:pic>
      <xdr:nvPicPr>
        <xdr:cNvPr id="14" name="Picture 13">
          <a:extLst>
            <a:ext uri="{FF2B5EF4-FFF2-40B4-BE49-F238E27FC236}">
              <a16:creationId xmlns:a16="http://schemas.microsoft.com/office/drawing/2014/main" id="{241937AE-2622-46BA-6F64-3FCCE0954153}"/>
            </a:ext>
          </a:extLst>
        </xdr:cNvPr>
        <xdr:cNvPicPr>
          <a:picLocks noChangeAspect="1"/>
        </xdr:cNvPicPr>
      </xdr:nvPicPr>
      <xdr:blipFill rotWithShape="1">
        <a:blip xmlns:r="http://schemas.openxmlformats.org/officeDocument/2006/relationships" r:embed="rId11"/>
        <a:srcRect b="2256"/>
        <a:stretch>
          <a:fillRect/>
        </a:stretch>
      </xdr:blipFill>
      <xdr:spPr>
        <a:xfrm>
          <a:off x="19988892" y="12572999"/>
          <a:ext cx="7361465" cy="53067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https://d.docs.live.net/Users/User/Desktop/Equity%20Research/Models/Health%20Care/MedTech/BSX_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gurufocus.com/term/wacc/TFX" TargetMode="External"/><Relationship Id="rId7" Type="http://schemas.openxmlformats.org/officeDocument/2006/relationships/drawing" Target="../drawings/drawing1.xml"/><Relationship Id="rId2" Type="http://schemas.openxmlformats.org/officeDocument/2006/relationships/hyperlink" Target="https://app.godelterminal.com/" TargetMode="External"/><Relationship Id="rId1" Type="http://schemas.openxmlformats.org/officeDocument/2006/relationships/hyperlink" Target="https://stockanalysis.com/stocks/googl/" TargetMode="External"/><Relationship Id="rId6" Type="http://schemas.openxmlformats.org/officeDocument/2006/relationships/hyperlink" Target="https://investor.snap.com/overview/default.aspx" TargetMode="External"/><Relationship Id="rId5" Type="http://schemas.openxmlformats.org/officeDocument/2006/relationships/hyperlink" Target="https://www.snap.com/" TargetMode="External"/><Relationship Id="rId4" Type="http://schemas.openxmlformats.org/officeDocument/2006/relationships/hyperlink" Target="https://www.macrotrends.net/stocks/charts/TFX/teleflex/cash-flow-statement?freq=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1"/>
  <sheetViews>
    <sheetView tabSelected="1" zoomScale="85" zoomScaleNormal="85" workbookViewId="0">
      <selection activeCell="D4" sqref="D4"/>
    </sheetView>
  </sheetViews>
  <sheetFormatPr defaultColWidth="9.140625" defaultRowHeight="14.25"/>
  <cols>
    <col min="1" max="1" width="3.42578125" style="1" customWidth="1"/>
    <col min="2" max="2" width="9.140625" style="1" customWidth="1"/>
    <col min="3" max="3" width="10" style="1" customWidth="1"/>
    <col min="4" max="4" width="9.140625" style="1" customWidth="1"/>
    <col min="5" max="16384" width="9.140625" style="1"/>
  </cols>
  <sheetData>
    <row r="2" spans="2:18" ht="15">
      <c r="B2" s="2" t="s">
        <v>162</v>
      </c>
    </row>
    <row r="3" spans="2:18">
      <c r="B3" s="1" t="s">
        <v>0</v>
      </c>
      <c r="C3" s="76">
        <v>8.2100000000000009</v>
      </c>
      <c r="D3" s="43" t="s">
        <v>1505</v>
      </c>
    </row>
    <row r="4" spans="2:18">
      <c r="B4" s="1" t="s">
        <v>1</v>
      </c>
      <c r="C4" s="75">
        <v>1696.54</v>
      </c>
      <c r="D4" s="1" t="s">
        <v>1504</v>
      </c>
    </row>
    <row r="5" spans="2:18">
      <c r="B5" s="1" t="s">
        <v>2</v>
      </c>
      <c r="C5" s="77">
        <f>C3*C4</f>
        <v>13928.593400000002</v>
      </c>
    </row>
    <row r="6" spans="2:18">
      <c r="B6" s="1" t="s">
        <v>3</v>
      </c>
      <c r="C6" s="77">
        <f>953.317+2040.06</f>
        <v>2993.377</v>
      </c>
      <c r="D6" s="1" t="s">
        <v>1504</v>
      </c>
    </row>
    <row r="7" spans="2:18">
      <c r="B7" s="1" t="s">
        <v>4</v>
      </c>
      <c r="C7" s="77">
        <f>46.951+3490.93</f>
        <v>3537.8809999999999</v>
      </c>
      <c r="D7" s="1" t="s">
        <v>1504</v>
      </c>
    </row>
    <row r="8" spans="2:18">
      <c r="B8" s="1" t="s">
        <v>5</v>
      </c>
      <c r="C8" s="77">
        <f>C5-C6+C7</f>
        <v>14473.097400000001</v>
      </c>
    </row>
    <row r="10" spans="2:18" ht="15">
      <c r="B10" s="2" t="s">
        <v>163</v>
      </c>
    </row>
    <row r="12" spans="2:18" ht="15">
      <c r="B12" s="1" t="s">
        <v>178</v>
      </c>
      <c r="H12" s="1" t="s">
        <v>1499</v>
      </c>
      <c r="N12" s="1" t="s">
        <v>137</v>
      </c>
      <c r="Q12" s="2"/>
    </row>
    <row r="13" spans="2:18">
      <c r="B13" s="1" t="s">
        <v>186</v>
      </c>
      <c r="H13" s="1" t="s">
        <v>1500</v>
      </c>
      <c r="N13" s="1" t="s">
        <v>7</v>
      </c>
      <c r="Q13" s="44" t="s">
        <v>190</v>
      </c>
    </row>
    <row r="14" spans="2:18">
      <c r="B14" s="1" t="s">
        <v>180</v>
      </c>
      <c r="H14" s="1" t="s">
        <v>6</v>
      </c>
      <c r="N14" s="1" t="s">
        <v>141</v>
      </c>
      <c r="Q14" s="44" t="s">
        <v>189</v>
      </c>
    </row>
    <row r="15" spans="2:18">
      <c r="B15" s="1" t="s">
        <v>181</v>
      </c>
      <c r="H15" s="1" t="s">
        <v>133</v>
      </c>
      <c r="O15" s="1" t="s">
        <v>140</v>
      </c>
      <c r="R15" s="44" t="s">
        <v>191</v>
      </c>
    </row>
    <row r="16" spans="2:18">
      <c r="B16" s="1" t="s">
        <v>182</v>
      </c>
      <c r="H16" s="1" t="s">
        <v>126</v>
      </c>
      <c r="I16" s="1" t="s">
        <v>188</v>
      </c>
      <c r="K16" s="1" t="s">
        <v>127</v>
      </c>
      <c r="N16" s="1" t="s">
        <v>129</v>
      </c>
      <c r="Q16" s="44" t="s">
        <v>192</v>
      </c>
    </row>
    <row r="17" spans="1:17">
      <c r="B17" s="1" t="s">
        <v>183</v>
      </c>
      <c r="N17" s="1" t="s">
        <v>130</v>
      </c>
      <c r="Q17" s="44" t="s">
        <v>131</v>
      </c>
    </row>
    <row r="18" spans="1:17">
      <c r="B18" s="1" t="s">
        <v>184</v>
      </c>
      <c r="N18" s="1" t="s">
        <v>142</v>
      </c>
      <c r="Q18" s="44" t="s">
        <v>145</v>
      </c>
    </row>
    <row r="19" spans="1:17">
      <c r="B19" s="1" t="s">
        <v>185</v>
      </c>
      <c r="N19" s="1" t="s">
        <v>143</v>
      </c>
      <c r="Q19" s="44" t="s">
        <v>144</v>
      </c>
    </row>
    <row r="20" spans="1:17">
      <c r="B20" s="1" t="s">
        <v>187</v>
      </c>
      <c r="N20" s="1" t="s">
        <v>8</v>
      </c>
      <c r="Q20" s="44" t="s">
        <v>132</v>
      </c>
    </row>
    <row r="21" spans="1:17">
      <c r="B21" s="1" t="s">
        <v>193</v>
      </c>
      <c r="Q21" s="44"/>
    </row>
    <row r="22" spans="1:17">
      <c r="Q22" s="44"/>
    </row>
    <row r="23" spans="1:17" ht="15">
      <c r="A23" s="2" t="s">
        <v>9</v>
      </c>
      <c r="N23" s="2"/>
    </row>
    <row r="24" spans="1:17">
      <c r="B24" s="1" t="s">
        <v>164</v>
      </c>
    </row>
    <row r="25" spans="1:17">
      <c r="C25" s="1" t="s">
        <v>165</v>
      </c>
    </row>
    <row r="26" spans="1:17">
      <c r="B26" s="1" t="s">
        <v>166</v>
      </c>
    </row>
    <row r="27" spans="1:17">
      <c r="C27" s="1" t="s">
        <v>167</v>
      </c>
    </row>
    <row r="28" spans="1:17">
      <c r="C28" s="1" t="s">
        <v>168</v>
      </c>
    </row>
    <row r="29" spans="1:17">
      <c r="B29" s="1" t="s">
        <v>169</v>
      </c>
    </row>
    <row r="30" spans="1:17">
      <c r="C30" s="1" t="s">
        <v>170</v>
      </c>
    </row>
    <row r="31" spans="1:17">
      <c r="D31" s="1" t="s">
        <v>171</v>
      </c>
    </row>
    <row r="32" spans="1:17">
      <c r="B32" s="1" t="s">
        <v>173</v>
      </c>
    </row>
    <row r="33" spans="1:4">
      <c r="B33" s="1" t="s">
        <v>174</v>
      </c>
    </row>
    <row r="34" spans="1:4">
      <c r="C34" s="1" t="s">
        <v>172</v>
      </c>
    </row>
    <row r="35" spans="1:4">
      <c r="D35" s="1" t="s">
        <v>175</v>
      </c>
    </row>
    <row r="36" spans="1:4">
      <c r="D36" s="1" t="s">
        <v>176</v>
      </c>
    </row>
    <row r="37" spans="1:4">
      <c r="B37" s="1" t="s">
        <v>177</v>
      </c>
    </row>
    <row r="38" spans="1:4">
      <c r="B38" s="1" t="s">
        <v>179</v>
      </c>
    </row>
    <row r="40" spans="1:4" ht="15">
      <c r="A40" s="2" t="s">
        <v>134</v>
      </c>
    </row>
    <row r="41" spans="1:4">
      <c r="B41" s="1" t="s">
        <v>135</v>
      </c>
    </row>
  </sheetData>
  <hyperlinks>
    <hyperlink ref="Q17" r:id="rId1" xr:uid="{02ECFE4E-0865-458E-9F04-951EDF61DD89}"/>
    <hyperlink ref="Q20" r:id="rId2" xr:uid="{14375537-5C3D-4253-9650-337AB6789785}"/>
    <hyperlink ref="Q19" r:id="rId3" xr:uid="{0B1BE51B-1109-4BB2-8317-5797C103CF5F}"/>
    <hyperlink ref="Q18" r:id="rId4" xr:uid="{1717F883-58E9-4228-8A97-AB7941DF57C3}"/>
    <hyperlink ref="Q14" r:id="rId5" xr:uid="{93B52CB9-325F-42E5-A0CA-20FB8FC0B0F2}"/>
    <hyperlink ref="R15" r:id="rId6" xr:uid="{04A4B748-6D9D-4E27-8323-3B7C4A3D28A4}"/>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DR91"/>
  <sheetViews>
    <sheetView zoomScale="85" zoomScaleNormal="85" workbookViewId="0">
      <pane xSplit="2" ySplit="3" topLeftCell="BF21" activePane="bottomRight" state="frozen"/>
      <selection pane="topRight" activeCell="C1" sqref="C1"/>
      <selection pane="bottomLeft" activeCell="A4" sqref="A4"/>
      <selection pane="bottomRight" activeCell="BH58" sqref="BH58"/>
    </sheetView>
  </sheetViews>
  <sheetFormatPr defaultColWidth="9.140625" defaultRowHeight="14.25"/>
  <cols>
    <col min="1" max="1" width="3.140625" style="1" customWidth="1"/>
    <col min="2" max="2" width="36.42578125" style="1" customWidth="1"/>
    <col min="3" max="41" width="9" style="1" customWidth="1"/>
    <col min="42" max="46" width="9" style="35" customWidth="1"/>
    <col min="47" max="59" width="9" style="1" customWidth="1"/>
    <col min="60" max="121" width="9" style="35" customWidth="1"/>
    <col min="122" max="122" width="9" style="1" customWidth="1"/>
    <col min="123" max="16384" width="9.140625" style="1"/>
  </cols>
  <sheetData>
    <row r="1" spans="2:122" ht="15">
      <c r="B1" s="1" t="s">
        <v>88</v>
      </c>
      <c r="C1" s="33" t="s">
        <v>44</v>
      </c>
      <c r="G1" s="33" t="s">
        <v>48</v>
      </c>
      <c r="K1" s="33" t="s">
        <v>52</v>
      </c>
      <c r="O1" s="33" t="s">
        <v>56</v>
      </c>
      <c r="S1" s="33" t="s">
        <v>60</v>
      </c>
      <c r="W1" s="33" t="s">
        <v>64</v>
      </c>
      <c r="AA1" s="33" t="s">
        <v>68</v>
      </c>
      <c r="AE1" s="33" t="s">
        <v>72</v>
      </c>
      <c r="AI1" s="33" t="s">
        <v>76</v>
      </c>
      <c r="AM1" s="33" t="s">
        <v>80</v>
      </c>
    </row>
    <row r="2" spans="2:122">
      <c r="B2" s="1" t="s">
        <v>89</v>
      </c>
    </row>
    <row r="3" spans="2:122" ht="15">
      <c r="B3" s="2" t="s">
        <v>90</v>
      </c>
      <c r="C3" s="33" t="s">
        <v>44</v>
      </c>
      <c r="D3" s="33" t="s">
        <v>45</v>
      </c>
      <c r="E3" s="33" t="s">
        <v>46</v>
      </c>
      <c r="F3" s="33" t="s">
        <v>47</v>
      </c>
      <c r="G3" s="33" t="s">
        <v>48</v>
      </c>
      <c r="H3" s="33" t="s">
        <v>49</v>
      </c>
      <c r="I3" s="33" t="s">
        <v>50</v>
      </c>
      <c r="J3" s="33" t="s">
        <v>51</v>
      </c>
      <c r="K3" s="33" t="s">
        <v>52</v>
      </c>
      <c r="L3" s="33" t="s">
        <v>53</v>
      </c>
      <c r="M3" s="33" t="s">
        <v>54</v>
      </c>
      <c r="N3" s="33" t="s">
        <v>55</v>
      </c>
      <c r="O3" s="33" t="s">
        <v>56</v>
      </c>
      <c r="P3" s="33" t="s">
        <v>57</v>
      </c>
      <c r="Q3" s="33" t="s">
        <v>58</v>
      </c>
      <c r="R3" s="33" t="s">
        <v>59</v>
      </c>
      <c r="S3" s="33" t="s">
        <v>60</v>
      </c>
      <c r="T3" s="33" t="s">
        <v>61</v>
      </c>
      <c r="U3" s="33" t="s">
        <v>62</v>
      </c>
      <c r="V3" s="33" t="s">
        <v>63</v>
      </c>
      <c r="W3" s="33" t="s">
        <v>64</v>
      </c>
      <c r="X3" s="33" t="s">
        <v>65</v>
      </c>
      <c r="Y3" s="33" t="s">
        <v>66</v>
      </c>
      <c r="Z3" s="33" t="s">
        <v>67</v>
      </c>
      <c r="AA3" s="33" t="s">
        <v>68</v>
      </c>
      <c r="AB3" s="33" t="s">
        <v>69</v>
      </c>
      <c r="AC3" s="33" t="s">
        <v>70</v>
      </c>
      <c r="AD3" s="33" t="s">
        <v>71</v>
      </c>
      <c r="AE3" s="33" t="s">
        <v>72</v>
      </c>
      <c r="AF3" s="33" t="s">
        <v>73</v>
      </c>
      <c r="AG3" s="33" t="s">
        <v>74</v>
      </c>
      <c r="AH3" s="33" t="s">
        <v>75</v>
      </c>
      <c r="AI3" s="33" t="s">
        <v>76</v>
      </c>
      <c r="AJ3" s="33" t="s">
        <v>77</v>
      </c>
      <c r="AK3" s="33" t="s">
        <v>78</v>
      </c>
      <c r="AL3" s="33" t="s">
        <v>79</v>
      </c>
      <c r="AM3" s="33" t="s">
        <v>80</v>
      </c>
      <c r="AN3" s="2" t="s">
        <v>81</v>
      </c>
      <c r="AO3" s="2" t="s">
        <v>82</v>
      </c>
      <c r="AP3" s="34" t="s">
        <v>83</v>
      </c>
      <c r="AQ3" s="34" t="s">
        <v>84</v>
      </c>
      <c r="AR3" s="34" t="s">
        <v>85</v>
      </c>
      <c r="AS3" s="34" t="s">
        <v>86</v>
      </c>
      <c r="AT3" s="34" t="s">
        <v>87</v>
      </c>
      <c r="AY3" s="2">
        <v>2016</v>
      </c>
      <c r="AZ3" s="2">
        <f t="shared" ref="AZ3:DD3" si="0">AY3+1</f>
        <v>2017</v>
      </c>
      <c r="BA3" s="2">
        <f t="shared" si="0"/>
        <v>2018</v>
      </c>
      <c r="BB3" s="2">
        <f t="shared" si="0"/>
        <v>2019</v>
      </c>
      <c r="BC3" s="2">
        <f t="shared" si="0"/>
        <v>2020</v>
      </c>
      <c r="BD3" s="2">
        <f t="shared" si="0"/>
        <v>2021</v>
      </c>
      <c r="BE3" s="2">
        <f t="shared" si="0"/>
        <v>2022</v>
      </c>
      <c r="BF3" s="2">
        <f t="shared" si="0"/>
        <v>2023</v>
      </c>
      <c r="BG3" s="2">
        <f t="shared" si="0"/>
        <v>2024</v>
      </c>
      <c r="BH3" s="34">
        <f t="shared" si="0"/>
        <v>2025</v>
      </c>
      <c r="BI3" s="34">
        <f t="shared" si="0"/>
        <v>2026</v>
      </c>
      <c r="BJ3" s="34">
        <f t="shared" si="0"/>
        <v>2027</v>
      </c>
      <c r="BK3" s="34">
        <f t="shared" si="0"/>
        <v>2028</v>
      </c>
      <c r="BL3" s="34">
        <f t="shared" si="0"/>
        <v>2029</v>
      </c>
      <c r="BM3" s="34">
        <f t="shared" si="0"/>
        <v>2030</v>
      </c>
      <c r="BN3" s="34">
        <f t="shared" si="0"/>
        <v>2031</v>
      </c>
      <c r="BO3" s="34">
        <f t="shared" si="0"/>
        <v>2032</v>
      </c>
      <c r="BP3" s="34">
        <f t="shared" si="0"/>
        <v>2033</v>
      </c>
      <c r="BQ3" s="34">
        <f t="shared" si="0"/>
        <v>2034</v>
      </c>
      <c r="BR3" s="34">
        <f t="shared" si="0"/>
        <v>2035</v>
      </c>
      <c r="BS3" s="34">
        <f t="shared" si="0"/>
        <v>2036</v>
      </c>
      <c r="BT3" s="34">
        <f t="shared" si="0"/>
        <v>2037</v>
      </c>
      <c r="BU3" s="34">
        <f t="shared" si="0"/>
        <v>2038</v>
      </c>
      <c r="BV3" s="34">
        <f t="shared" si="0"/>
        <v>2039</v>
      </c>
      <c r="BW3" s="34">
        <f t="shared" si="0"/>
        <v>2040</v>
      </c>
      <c r="BX3" s="34">
        <f t="shared" si="0"/>
        <v>2041</v>
      </c>
      <c r="BY3" s="34">
        <f t="shared" si="0"/>
        <v>2042</v>
      </c>
      <c r="BZ3" s="34">
        <f t="shared" si="0"/>
        <v>2043</v>
      </c>
      <c r="CA3" s="34">
        <f t="shared" si="0"/>
        <v>2044</v>
      </c>
      <c r="CB3" s="34">
        <f t="shared" si="0"/>
        <v>2045</v>
      </c>
      <c r="CC3" s="34">
        <f t="shared" si="0"/>
        <v>2046</v>
      </c>
      <c r="CD3" s="34">
        <f t="shared" si="0"/>
        <v>2047</v>
      </c>
      <c r="CE3" s="34">
        <f t="shared" si="0"/>
        <v>2048</v>
      </c>
      <c r="CF3" s="34">
        <f t="shared" si="0"/>
        <v>2049</v>
      </c>
      <c r="CG3" s="34">
        <f t="shared" si="0"/>
        <v>2050</v>
      </c>
      <c r="CH3" s="34">
        <f t="shared" si="0"/>
        <v>2051</v>
      </c>
      <c r="CI3" s="34">
        <f t="shared" si="0"/>
        <v>2052</v>
      </c>
      <c r="CJ3" s="34">
        <f t="shared" si="0"/>
        <v>2053</v>
      </c>
      <c r="CK3" s="34">
        <f t="shared" si="0"/>
        <v>2054</v>
      </c>
      <c r="CL3" s="34">
        <f t="shared" si="0"/>
        <v>2055</v>
      </c>
      <c r="CM3" s="34">
        <f t="shared" si="0"/>
        <v>2056</v>
      </c>
      <c r="CN3" s="34">
        <f t="shared" si="0"/>
        <v>2057</v>
      </c>
      <c r="CO3" s="34">
        <f t="shared" si="0"/>
        <v>2058</v>
      </c>
      <c r="CP3" s="34">
        <f t="shared" si="0"/>
        <v>2059</v>
      </c>
      <c r="CQ3" s="34">
        <f t="shared" si="0"/>
        <v>2060</v>
      </c>
      <c r="CR3" s="34">
        <f t="shared" si="0"/>
        <v>2061</v>
      </c>
      <c r="CS3" s="34">
        <f t="shared" si="0"/>
        <v>2062</v>
      </c>
      <c r="CT3" s="34">
        <f t="shared" si="0"/>
        <v>2063</v>
      </c>
      <c r="CU3" s="34">
        <f t="shared" si="0"/>
        <v>2064</v>
      </c>
      <c r="CV3" s="34">
        <f t="shared" si="0"/>
        <v>2065</v>
      </c>
      <c r="CW3" s="34">
        <f t="shared" si="0"/>
        <v>2066</v>
      </c>
      <c r="CX3" s="34">
        <f t="shared" si="0"/>
        <v>2067</v>
      </c>
      <c r="CY3" s="34">
        <f t="shared" si="0"/>
        <v>2068</v>
      </c>
      <c r="CZ3" s="34">
        <f t="shared" si="0"/>
        <v>2069</v>
      </c>
      <c r="DA3" s="34">
        <f t="shared" si="0"/>
        <v>2070</v>
      </c>
      <c r="DB3" s="34">
        <f t="shared" si="0"/>
        <v>2071</v>
      </c>
      <c r="DC3" s="34">
        <f t="shared" si="0"/>
        <v>2072</v>
      </c>
      <c r="DD3" s="34">
        <f t="shared" si="0"/>
        <v>2073</v>
      </c>
      <c r="DE3" s="34">
        <f t="shared" ref="DE3:DO3" si="1">DD3+1</f>
        <v>2074</v>
      </c>
      <c r="DF3" s="34">
        <f t="shared" si="1"/>
        <v>2075</v>
      </c>
      <c r="DG3" s="34">
        <f t="shared" si="1"/>
        <v>2076</v>
      </c>
      <c r="DH3" s="34">
        <f t="shared" si="1"/>
        <v>2077</v>
      </c>
      <c r="DI3" s="34">
        <f t="shared" si="1"/>
        <v>2078</v>
      </c>
      <c r="DJ3" s="34">
        <f t="shared" si="1"/>
        <v>2079</v>
      </c>
      <c r="DK3" s="34">
        <f t="shared" si="1"/>
        <v>2080</v>
      </c>
      <c r="DL3" s="34">
        <f t="shared" si="1"/>
        <v>2081</v>
      </c>
      <c r="DM3" s="34">
        <f t="shared" si="1"/>
        <v>2082</v>
      </c>
      <c r="DN3" s="34">
        <f t="shared" si="1"/>
        <v>2083</v>
      </c>
      <c r="DO3" s="34">
        <f t="shared" si="1"/>
        <v>2084</v>
      </c>
      <c r="DP3" s="34"/>
      <c r="DQ3" s="34"/>
      <c r="DR3" s="2"/>
    </row>
    <row r="4" spans="2:122">
      <c r="B4" s="36" t="s">
        <v>194</v>
      </c>
      <c r="S4" s="59"/>
      <c r="T4" s="59"/>
      <c r="U4" s="59"/>
      <c r="V4" s="59"/>
      <c r="W4" s="59"/>
      <c r="X4" s="59"/>
      <c r="Y4" s="59"/>
      <c r="Z4" s="59"/>
      <c r="AA4" s="59"/>
      <c r="AB4" s="59"/>
      <c r="AC4" s="59"/>
      <c r="AD4" s="59"/>
      <c r="AE4" s="59"/>
      <c r="AF4" s="59"/>
      <c r="AG4" s="59"/>
      <c r="AH4" s="59"/>
      <c r="AI4" s="59">
        <v>1107.854</v>
      </c>
      <c r="AJ4" s="59">
        <v>1132.067</v>
      </c>
      <c r="AK4" s="59">
        <v>1253</v>
      </c>
      <c r="AL4" s="59">
        <f>4919-SUM(AI4:AK4)</f>
        <v>1426.0789999999997</v>
      </c>
      <c r="AM4" s="59">
        <v>1210.8689999999999</v>
      </c>
      <c r="AN4" s="59">
        <v>1173.54</v>
      </c>
      <c r="AO4" s="59">
        <v>1318</v>
      </c>
      <c r="AY4" s="59"/>
      <c r="AZ4" s="59"/>
      <c r="BA4" s="59"/>
      <c r="BB4" s="59"/>
      <c r="BC4" s="59"/>
      <c r="BD4" s="59"/>
      <c r="BE4" s="59"/>
      <c r="BF4" s="59"/>
      <c r="BG4" s="59">
        <f>SUM(AI4:AL4)</f>
        <v>4919</v>
      </c>
      <c r="BH4" s="62">
        <f t="shared" ref="BH4:BQ4" si="2">BG4*(1+BH8)</f>
        <v>5223.9780000000001</v>
      </c>
      <c r="BI4" s="62">
        <f t="shared" si="2"/>
        <v>5652.344196</v>
      </c>
      <c r="BJ4" s="62">
        <f t="shared" si="2"/>
        <v>6387.1489414799998</v>
      </c>
      <c r="BK4" s="62">
        <f t="shared" si="2"/>
        <v>7345.2212827019994</v>
      </c>
      <c r="BL4" s="62">
        <f t="shared" si="2"/>
        <v>8153.1956237992199</v>
      </c>
      <c r="BM4" s="62">
        <f t="shared" si="2"/>
        <v>8805.4512737031582</v>
      </c>
      <c r="BN4" s="62">
        <f t="shared" si="2"/>
        <v>9333.7783501253489</v>
      </c>
      <c r="BO4" s="62">
        <f t="shared" si="2"/>
        <v>9800.4672676316168</v>
      </c>
      <c r="BP4" s="62">
        <f t="shared" si="2"/>
        <v>10192.485958336882</v>
      </c>
      <c r="BQ4" s="62">
        <f t="shared" si="2"/>
        <v>10498.260537086988</v>
      </c>
    </row>
    <row r="5" spans="2:122">
      <c r="B5" s="36" t="s">
        <v>195</v>
      </c>
      <c r="S5" s="59"/>
      <c r="T5" s="59"/>
      <c r="U5" s="59"/>
      <c r="V5" s="59"/>
      <c r="W5" s="59"/>
      <c r="X5" s="59"/>
      <c r="Y5" s="59"/>
      <c r="Z5" s="59"/>
      <c r="AA5" s="59"/>
      <c r="AB5" s="59"/>
      <c r="AC5" s="59"/>
      <c r="AD5" s="59"/>
      <c r="AE5" s="59"/>
      <c r="AF5" s="59"/>
      <c r="AG5" s="59"/>
      <c r="AH5" s="59"/>
      <c r="AI5" s="59">
        <v>86.918999999999997</v>
      </c>
      <c r="AJ5" s="59">
        <v>104.70099999999999</v>
      </c>
      <c r="AK5" s="59">
        <v>120</v>
      </c>
      <c r="AL5" s="59">
        <f>443-SUM(AI5:AK5)</f>
        <v>131.38</v>
      </c>
      <c r="AM5" s="59">
        <v>152.34800000000001</v>
      </c>
      <c r="AN5" s="59">
        <v>171.38</v>
      </c>
      <c r="AO5" s="59">
        <v>189</v>
      </c>
      <c r="AY5" s="59"/>
      <c r="AZ5" s="59"/>
      <c r="BA5" s="59"/>
      <c r="BB5" s="59"/>
      <c r="BC5" s="59"/>
      <c r="BD5" s="59"/>
      <c r="BE5" s="59"/>
      <c r="BF5" s="59"/>
      <c r="BG5" s="59">
        <f>SUM(AI5:AL5)</f>
        <v>443</v>
      </c>
      <c r="BH5" s="62">
        <f t="shared" ref="BH5:BQ5" si="3">BG5*(1+BH9)</f>
        <v>733.16499999999996</v>
      </c>
      <c r="BI5" s="62">
        <f t="shared" si="3"/>
        <v>1283.0387499999999</v>
      </c>
      <c r="BJ5" s="62">
        <f t="shared" si="3"/>
        <v>1732.1023124999999</v>
      </c>
      <c r="BK5" s="62">
        <f t="shared" si="3"/>
        <v>2199.769936875</v>
      </c>
      <c r="BL5" s="62">
        <f t="shared" si="3"/>
        <v>2617.7262248812499</v>
      </c>
      <c r="BM5" s="62">
        <f t="shared" si="3"/>
        <v>2931.8533718670001</v>
      </c>
      <c r="BN5" s="62">
        <f t="shared" si="3"/>
        <v>3225.0387090537001</v>
      </c>
      <c r="BO5" s="62">
        <f t="shared" si="3"/>
        <v>3515.2921928685332</v>
      </c>
      <c r="BP5" s="62">
        <f t="shared" si="3"/>
        <v>3796.5155682980162</v>
      </c>
      <c r="BQ5" s="62">
        <f t="shared" si="3"/>
        <v>4062.2716580788774</v>
      </c>
    </row>
    <row r="6" spans="2:122" s="2" customFormat="1" ht="15">
      <c r="B6" s="33" t="s">
        <v>91</v>
      </c>
      <c r="S6" s="58"/>
      <c r="T6" s="58"/>
      <c r="U6" s="58"/>
      <c r="V6" s="58"/>
      <c r="W6" s="58"/>
      <c r="X6" s="58"/>
      <c r="Y6" s="58"/>
      <c r="Z6" s="58"/>
      <c r="AA6" s="58"/>
      <c r="AB6" s="58"/>
      <c r="AC6" s="58"/>
      <c r="AD6" s="58"/>
      <c r="AE6" s="58"/>
      <c r="AF6" s="58"/>
      <c r="AG6" s="58"/>
      <c r="AH6" s="58"/>
      <c r="AI6" s="58">
        <f t="shared" ref="AI6:AL6" si="4">SUM(AI4:AI5)</f>
        <v>1194.7730000000001</v>
      </c>
      <c r="AJ6" s="58">
        <f t="shared" si="4"/>
        <v>1236.768</v>
      </c>
      <c r="AK6" s="58">
        <f t="shared" si="4"/>
        <v>1373</v>
      </c>
      <c r="AL6" s="58">
        <f t="shared" si="4"/>
        <v>1557.4589999999998</v>
      </c>
      <c r="AM6" s="58">
        <f>SUM(AM4:AM5)</f>
        <v>1363.2169999999999</v>
      </c>
      <c r="AN6" s="58">
        <f>SUM(AN4:AN5)</f>
        <v>1344.92</v>
      </c>
      <c r="AO6" s="58">
        <f>SUM(AO4:AO5)</f>
        <v>1507</v>
      </c>
      <c r="AP6" s="34"/>
      <c r="AQ6" s="34"/>
      <c r="AR6" s="34"/>
      <c r="AS6" s="34"/>
      <c r="AT6" s="34"/>
      <c r="AY6" s="58"/>
      <c r="AZ6" s="58"/>
      <c r="BA6" s="58"/>
      <c r="BB6" s="58"/>
      <c r="BC6" s="58"/>
      <c r="BD6" s="58"/>
      <c r="BE6" s="58"/>
      <c r="BF6" s="58"/>
      <c r="BG6" s="58">
        <f>SUM(AI6:AL6)</f>
        <v>5362</v>
      </c>
      <c r="BH6" s="63">
        <f t="shared" ref="BH6:BQ6" si="5">SUM(BH4:BH5)</f>
        <v>5957.143</v>
      </c>
      <c r="BI6" s="63">
        <f t="shared" si="5"/>
        <v>6935.3829459999997</v>
      </c>
      <c r="BJ6" s="63">
        <f t="shared" si="5"/>
        <v>8119.25125398</v>
      </c>
      <c r="BK6" s="63">
        <f t="shared" si="5"/>
        <v>9544.9912195769994</v>
      </c>
      <c r="BL6" s="63">
        <f t="shared" si="5"/>
        <v>10770.921848680469</v>
      </c>
      <c r="BM6" s="63">
        <f t="shared" si="5"/>
        <v>11737.304645570159</v>
      </c>
      <c r="BN6" s="63">
        <f t="shared" si="5"/>
        <v>12558.817059179049</v>
      </c>
      <c r="BO6" s="63">
        <f t="shared" si="5"/>
        <v>13315.75946050015</v>
      </c>
      <c r="BP6" s="63">
        <f t="shared" si="5"/>
        <v>13989.001526634898</v>
      </c>
      <c r="BQ6" s="63">
        <f t="shared" si="5"/>
        <v>14560.532195165866</v>
      </c>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row>
    <row r="7" spans="2:122">
      <c r="B7" s="36"/>
    </row>
    <row r="8" spans="2:122">
      <c r="B8" s="37" t="s">
        <v>196</v>
      </c>
      <c r="W8" s="60"/>
      <c r="X8" s="60"/>
      <c r="Y8" s="60"/>
      <c r="Z8" s="60"/>
      <c r="AA8" s="60"/>
      <c r="AB8" s="60"/>
      <c r="AC8" s="60"/>
      <c r="AD8" s="60"/>
      <c r="AE8" s="60"/>
      <c r="AF8" s="60"/>
      <c r="AG8" s="60"/>
      <c r="AH8" s="60"/>
      <c r="AI8" s="60"/>
      <c r="AJ8" s="60"/>
      <c r="AK8" s="60"/>
      <c r="AL8" s="60"/>
      <c r="AM8" s="60">
        <f t="shared" ref="AM8:AO10" si="6">AM4/AI4-1</f>
        <v>9.298607939313297E-2</v>
      </c>
      <c r="AN8" s="60">
        <f t="shared" si="6"/>
        <v>3.6634757483435143E-2</v>
      </c>
      <c r="AO8" s="60">
        <f t="shared" si="6"/>
        <v>5.1875498802873121E-2</v>
      </c>
      <c r="BG8" s="71" t="e">
        <f t="shared" ref="BG8:BG9" si="7">BG4/BF4-1</f>
        <v>#DIV/0!</v>
      </c>
      <c r="BH8" s="72">
        <v>6.2E-2</v>
      </c>
      <c r="BI8" s="72">
        <v>8.2000000000000003E-2</v>
      </c>
      <c r="BJ8" s="72">
        <v>0.13</v>
      </c>
      <c r="BK8" s="72">
        <v>0.15</v>
      </c>
      <c r="BL8" s="72">
        <v>0.11</v>
      </c>
      <c r="BM8" s="72">
        <v>0.08</v>
      </c>
      <c r="BN8" s="72">
        <v>0.06</v>
      </c>
      <c r="BO8" s="72">
        <v>0.05</v>
      </c>
      <c r="BP8" s="72">
        <v>0.04</v>
      </c>
      <c r="BQ8" s="72">
        <v>0.03</v>
      </c>
    </row>
    <row r="9" spans="2:122">
      <c r="B9" s="37" t="s">
        <v>197</v>
      </c>
      <c r="W9" s="60"/>
      <c r="X9" s="60"/>
      <c r="Y9" s="60"/>
      <c r="Z9" s="60"/>
      <c r="AA9" s="60"/>
      <c r="AB9" s="60"/>
      <c r="AC9" s="60"/>
      <c r="AD9" s="60"/>
      <c r="AE9" s="60"/>
      <c r="AF9" s="60"/>
      <c r="AG9" s="60"/>
      <c r="AH9" s="60"/>
      <c r="AI9" s="60"/>
      <c r="AJ9" s="60"/>
      <c r="AK9" s="60"/>
      <c r="AL9" s="60"/>
      <c r="AM9" s="60">
        <f t="shared" si="6"/>
        <v>0.75275831521301462</v>
      </c>
      <c r="AN9" s="60">
        <f t="shared" si="6"/>
        <v>0.63685160600185298</v>
      </c>
      <c r="AO9" s="60">
        <f t="shared" si="6"/>
        <v>0.57499999999999996</v>
      </c>
      <c r="BG9" s="71" t="e">
        <f t="shared" si="7"/>
        <v>#DIV/0!</v>
      </c>
      <c r="BH9" s="72">
        <v>0.65500000000000003</v>
      </c>
      <c r="BI9" s="72">
        <v>0.75</v>
      </c>
      <c r="BJ9" s="72">
        <v>0.35</v>
      </c>
      <c r="BK9" s="72">
        <v>0.27</v>
      </c>
      <c r="BL9" s="72">
        <v>0.19</v>
      </c>
      <c r="BM9" s="72">
        <v>0.12</v>
      </c>
      <c r="BN9" s="72">
        <v>0.1</v>
      </c>
      <c r="BO9" s="72">
        <v>0.09</v>
      </c>
      <c r="BP9" s="72">
        <v>0.08</v>
      </c>
      <c r="BQ9" s="72">
        <v>7.0000000000000007E-2</v>
      </c>
    </row>
    <row r="10" spans="2:122" s="2" customFormat="1" ht="15">
      <c r="B10" s="33" t="s">
        <v>146</v>
      </c>
      <c r="G10" s="61">
        <f t="shared" ref="G10:AK10" si="8">G33/C33-1</f>
        <v>2.8556701030927836</v>
      </c>
      <c r="H10" s="61">
        <f t="shared" si="8"/>
        <v>1.5306406685236769</v>
      </c>
      <c r="I10" s="61">
        <f t="shared" si="8"/>
        <v>0.62168486739469597</v>
      </c>
      <c r="J10" s="61">
        <f t="shared" si="8"/>
        <v>0.72420036210018113</v>
      </c>
      <c r="K10" s="61">
        <f t="shared" si="8"/>
        <v>0.54211229946524053</v>
      </c>
      <c r="L10" s="61">
        <f t="shared" si="8"/>
        <v>0.44358833241607054</v>
      </c>
      <c r="M10" s="61">
        <f t="shared" si="8"/>
        <v>0.43193843193843184</v>
      </c>
      <c r="N10" s="61">
        <f t="shared" si="8"/>
        <v>0.36436821841092071</v>
      </c>
      <c r="O10" s="61">
        <f t="shared" si="8"/>
        <v>0.388816644993498</v>
      </c>
      <c r="P10" s="61">
        <f t="shared" si="8"/>
        <v>0.47922226458253903</v>
      </c>
      <c r="Q10" s="61">
        <f t="shared" si="8"/>
        <v>0.4988243197850184</v>
      </c>
      <c r="R10" s="61">
        <f t="shared" si="8"/>
        <v>0.43894304771677772</v>
      </c>
      <c r="S10" s="61">
        <f t="shared" si="8"/>
        <v>0.44350811485642949</v>
      </c>
      <c r="T10" s="61">
        <f t="shared" si="8"/>
        <v>0.17061855670103099</v>
      </c>
      <c r="U10" s="61">
        <f t="shared" si="8"/>
        <v>0.52106678619453173</v>
      </c>
      <c r="V10" s="61">
        <f t="shared" si="8"/>
        <v>0.62471028703868781</v>
      </c>
      <c r="W10" s="61">
        <f t="shared" si="8"/>
        <v>0.66400000000000015</v>
      </c>
      <c r="X10" s="61">
        <f t="shared" si="8"/>
        <v>1.1622633201232939</v>
      </c>
      <c r="Y10" s="61">
        <f t="shared" si="8"/>
        <v>0.57285987918078662</v>
      </c>
      <c r="Z10" s="61">
        <f t="shared" si="8"/>
        <v>0.42422912323054995</v>
      </c>
      <c r="AA10" s="61">
        <f t="shared" si="8"/>
        <v>0.3808471933471933</v>
      </c>
      <c r="AB10" s="61">
        <f t="shared" si="8"/>
        <v>0.1311475409836067</v>
      </c>
      <c r="AC10" s="61">
        <f t="shared" si="8"/>
        <v>5.7142857142857162E-2</v>
      </c>
      <c r="AD10" s="61">
        <f t="shared" si="8"/>
        <v>1.3868556899607754E-3</v>
      </c>
      <c r="AE10" s="61">
        <f t="shared" si="8"/>
        <v>-6.9728051190364182E-2</v>
      </c>
      <c r="AF10" s="61">
        <f t="shared" si="8"/>
        <v>-3.8887388603834783E-2</v>
      </c>
      <c r="AG10" s="61">
        <f t="shared" si="8"/>
        <v>5.325653522374818E-2</v>
      </c>
      <c r="AH10" s="61">
        <f t="shared" si="8"/>
        <v>4.7395552819881503E-2</v>
      </c>
      <c r="AI10" s="61">
        <f t="shared" si="8"/>
        <v>0.20857778676916849</v>
      </c>
      <c r="AJ10" s="61">
        <f t="shared" si="8"/>
        <v>0.15837782148543589</v>
      </c>
      <c r="AK10" s="61">
        <f t="shared" si="8"/>
        <v>0.15480397105838795</v>
      </c>
      <c r="AL10" s="61">
        <f>AL33/AH33-1</f>
        <v>0.14398001909939029</v>
      </c>
      <c r="AM10" s="61">
        <f t="shared" si="6"/>
        <v>0.14098410325643429</v>
      </c>
      <c r="AN10" s="61">
        <f t="shared" si="6"/>
        <v>8.7447281947786504E-2</v>
      </c>
      <c r="AO10" s="61">
        <f t="shared" si="6"/>
        <v>9.7596504005826645E-2</v>
      </c>
      <c r="AP10" s="34"/>
      <c r="AQ10" s="34"/>
      <c r="AR10" s="34"/>
      <c r="AS10" s="34"/>
      <c r="AT10" s="34"/>
      <c r="AZ10" s="73">
        <f t="shared" ref="AZ10:BF10" si="9">AZ33/AY33-1</f>
        <v>1.0393077873918415</v>
      </c>
      <c r="BA10" s="73">
        <f t="shared" si="9"/>
        <v>0.43108255546126828</v>
      </c>
      <c r="BB10" s="73">
        <f t="shared" si="9"/>
        <v>0.45319779754341383</v>
      </c>
      <c r="BC10" s="73">
        <f t="shared" si="9"/>
        <v>0.46120664529291733</v>
      </c>
      <c r="BD10" s="73">
        <f t="shared" si="9"/>
        <v>0.64243826544859806</v>
      </c>
      <c r="BE10" s="73">
        <f t="shared" si="9"/>
        <v>0.11772849821476283</v>
      </c>
      <c r="BF10" s="73">
        <f t="shared" si="9"/>
        <v>9.561475944195319E-4</v>
      </c>
      <c r="BG10" s="73">
        <f>BG33/BF33-1</f>
        <v>0.16397464287264985</v>
      </c>
      <c r="BH10" s="74">
        <f t="shared" ref="BH10:BQ10" si="10">BH6/BG6-1</f>
        <v>0.11099272659455428</v>
      </c>
      <c r="BI10" s="74">
        <f t="shared" si="10"/>
        <v>0.1642129366375793</v>
      </c>
      <c r="BJ10" s="74">
        <f t="shared" si="10"/>
        <v>0.17069977493640764</v>
      </c>
      <c r="BK10" s="74">
        <f t="shared" si="10"/>
        <v>0.17559993169297616</v>
      </c>
      <c r="BL10" s="74">
        <f t="shared" si="10"/>
        <v>0.12843706200473592</v>
      </c>
      <c r="BM10" s="74">
        <f t="shared" si="10"/>
        <v>8.9721456572269043E-2</v>
      </c>
      <c r="BN10" s="74">
        <f t="shared" si="10"/>
        <v>6.9991572887983411E-2</v>
      </c>
      <c r="BO10" s="74">
        <f t="shared" si="10"/>
        <v>6.0271791344222336E-2</v>
      </c>
      <c r="BP10" s="74">
        <f t="shared" si="10"/>
        <v>5.0559794815447923E-2</v>
      </c>
      <c r="BQ10" s="74">
        <f t="shared" si="10"/>
        <v>4.0855715645093049E-2</v>
      </c>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row>
    <row r="12" spans="2:122">
      <c r="B12" s="37" t="s">
        <v>198</v>
      </c>
      <c r="S12" s="60"/>
      <c r="T12" s="60"/>
      <c r="U12" s="60"/>
      <c r="V12" s="60"/>
      <c r="W12" s="60"/>
      <c r="X12" s="60"/>
      <c r="Y12" s="60"/>
      <c r="Z12" s="60"/>
      <c r="AA12" s="60"/>
      <c r="AB12" s="60"/>
      <c r="AC12" s="60"/>
      <c r="AD12" s="60"/>
      <c r="AE12" s="60"/>
      <c r="AF12" s="60"/>
      <c r="AG12" s="60"/>
      <c r="AH12" s="60"/>
      <c r="AI12" s="60">
        <f t="shared" ref="AI12:AL12" si="11">AI4/AI6</f>
        <v>0.92725061580735413</v>
      </c>
      <c r="AJ12" s="60">
        <f t="shared" si="11"/>
        <v>0.91534305544774763</v>
      </c>
      <c r="AK12" s="60">
        <f t="shared" si="11"/>
        <v>0.91260014566642389</v>
      </c>
      <c r="AL12" s="60">
        <f t="shared" si="11"/>
        <v>0.91564464939365975</v>
      </c>
      <c r="AM12" s="60">
        <f>AM4/AM6</f>
        <v>0.88824376456572951</v>
      </c>
      <c r="AN12" s="60">
        <f>AN4/AN6</f>
        <v>0.87257234631056113</v>
      </c>
      <c r="AO12" s="60">
        <f>AO4/AO6</f>
        <v>0.87458526874585274</v>
      </c>
      <c r="BF12" s="60"/>
      <c r="BG12" s="60">
        <f>BG4/BG6</f>
        <v>0.91738157403953746</v>
      </c>
    </row>
    <row r="13" spans="2:122">
      <c r="B13" s="37" t="s">
        <v>199</v>
      </c>
      <c r="S13" s="60"/>
      <c r="T13" s="60"/>
      <c r="U13" s="60"/>
      <c r="V13" s="60"/>
      <c r="W13" s="60"/>
      <c r="X13" s="60"/>
      <c r="Y13" s="60"/>
      <c r="Z13" s="60"/>
      <c r="AA13" s="60"/>
      <c r="AB13" s="60"/>
      <c r="AC13" s="60"/>
      <c r="AD13" s="60"/>
      <c r="AE13" s="60"/>
      <c r="AF13" s="60"/>
      <c r="AG13" s="60"/>
      <c r="AH13" s="60"/>
      <c r="AI13" s="60">
        <f t="shared" ref="AI13:AL13" si="12">AI5/AI6</f>
        <v>7.2749384192645788E-2</v>
      </c>
      <c r="AJ13" s="60">
        <f t="shared" si="12"/>
        <v>8.4656944552252311E-2</v>
      </c>
      <c r="AK13" s="60">
        <f t="shared" si="12"/>
        <v>8.739985433357611E-2</v>
      </c>
      <c r="AL13" s="60">
        <f t="shared" si="12"/>
        <v>8.435535060634021E-2</v>
      </c>
      <c r="AM13" s="60">
        <f>AM5/AM6</f>
        <v>0.11175623543427057</v>
      </c>
      <c r="AN13" s="60">
        <f>AN5/AN6</f>
        <v>0.12742765368943876</v>
      </c>
      <c r="AO13" s="60">
        <f>AO5/AO6</f>
        <v>0.12541473125414732</v>
      </c>
      <c r="BF13" s="60"/>
      <c r="BG13" s="60">
        <f>BG5/BG6</f>
        <v>8.261842596046251E-2</v>
      </c>
    </row>
    <row r="15" spans="2:122">
      <c r="B15" s="1" t="s">
        <v>92</v>
      </c>
      <c r="AI15" s="59">
        <v>733.38800000000003</v>
      </c>
      <c r="AJ15" s="59">
        <v>741.58</v>
      </c>
      <c r="AK15" s="59">
        <v>826.17899999999997</v>
      </c>
      <c r="AL15" s="59">
        <f>3236.217-SUM(AI15:AK15)</f>
        <v>935.07000000000016</v>
      </c>
      <c r="AM15" s="59">
        <v>804.93</v>
      </c>
      <c r="AN15" s="59">
        <v>804.39499999999998</v>
      </c>
      <c r="AO15" s="59">
        <v>897.81399999999996</v>
      </c>
      <c r="BG15" s="59">
        <f>SUM(AI15:AL15)</f>
        <v>3236.2170000000001</v>
      </c>
    </row>
    <row r="16" spans="2:122">
      <c r="B16" s="1" t="s">
        <v>200</v>
      </c>
      <c r="AI16" s="59">
        <v>200.09</v>
      </c>
      <c r="AJ16" s="59">
        <v>235.18</v>
      </c>
      <c r="AK16" s="59">
        <v>241.34</v>
      </c>
      <c r="AL16" s="59">
        <f>957.07-SUM(AI16:AK16)</f>
        <v>280.46000000000004</v>
      </c>
      <c r="AM16" s="59">
        <v>223.25</v>
      </c>
      <c r="AN16" s="59">
        <v>254.209</v>
      </c>
      <c r="AO16" s="59">
        <v>297.95</v>
      </c>
      <c r="BG16" s="59">
        <f>SUM(AI16:AL16)</f>
        <v>957.07</v>
      </c>
    </row>
    <row r="17" spans="2:121">
      <c r="B17" s="1" t="s">
        <v>201</v>
      </c>
      <c r="AI17" s="59">
        <v>261.29000000000002</v>
      </c>
      <c r="AJ17" s="59">
        <v>259.99</v>
      </c>
      <c r="AK17" s="59">
        <v>305.05</v>
      </c>
      <c r="AL17" s="59">
        <f>1168.106-SUM(AI17:AK17)</f>
        <v>341.77600000000007</v>
      </c>
      <c r="AM17" s="59">
        <v>335.02600000000001</v>
      </c>
      <c r="AN17" s="59">
        <v>286.32600000000002</v>
      </c>
      <c r="AO17" s="59">
        <v>311.07</v>
      </c>
      <c r="BG17" s="59">
        <f>SUM(AI17:AL17)</f>
        <v>1168.106</v>
      </c>
    </row>
    <row r="18" spans="2:121">
      <c r="B18" s="1" t="s">
        <v>202</v>
      </c>
      <c r="AI18" s="59">
        <f t="shared" ref="AI18:AO18" si="13">SUM(AI15:AI17)</f>
        <v>1194.768</v>
      </c>
      <c r="AJ18" s="59">
        <f t="shared" si="13"/>
        <v>1236.75</v>
      </c>
      <c r="AK18" s="59">
        <f t="shared" si="13"/>
        <v>1372.569</v>
      </c>
      <c r="AL18" s="59">
        <f t="shared" si="13"/>
        <v>1557.3060000000003</v>
      </c>
      <c r="AM18" s="59">
        <f t="shared" si="13"/>
        <v>1363.2059999999999</v>
      </c>
      <c r="AN18" s="59">
        <f t="shared" si="13"/>
        <v>1344.93</v>
      </c>
      <c r="AO18" s="59">
        <f t="shared" si="13"/>
        <v>1506.8339999999998</v>
      </c>
      <c r="BG18" s="59">
        <f>SUM(AI18:AL18)</f>
        <v>5361.393</v>
      </c>
    </row>
    <row r="20" spans="2:121">
      <c r="B20" s="1" t="s">
        <v>94</v>
      </c>
      <c r="AM20" s="60">
        <f>AM15/AI15-1</f>
        <v>9.7550000818120708E-2</v>
      </c>
      <c r="AN20" s="60">
        <f>AN15/AJ15-1</f>
        <v>8.4704280050702518E-2</v>
      </c>
      <c r="AO20" s="60">
        <f>AO15/AK15-1</f>
        <v>8.6706391714144182E-2</v>
      </c>
      <c r="BG20" s="1" t="e">
        <f>BG4/BF4-1</f>
        <v>#DIV/0!</v>
      </c>
    </row>
    <row r="21" spans="2:121">
      <c r="B21" s="1" t="s">
        <v>203</v>
      </c>
      <c r="AM21" s="60">
        <f t="shared" ref="AM21:AO23" si="14">AM16/AI16-1</f>
        <v>0.11574791343895252</v>
      </c>
      <c r="AN21" s="60">
        <f t="shared" si="14"/>
        <v>8.0912492558891103E-2</v>
      </c>
      <c r="AO21" s="60">
        <f t="shared" si="14"/>
        <v>0.23456534349879821</v>
      </c>
      <c r="BG21" s="1" t="e">
        <f t="shared" ref="BG21:BG23" si="15">BG5/BF5-1</f>
        <v>#DIV/0!</v>
      </c>
    </row>
    <row r="22" spans="2:121">
      <c r="B22" s="1" t="s">
        <v>204</v>
      </c>
      <c r="AM22" s="60">
        <f t="shared" si="14"/>
        <v>0.28219985456772156</v>
      </c>
      <c r="AN22" s="60">
        <f t="shared" si="14"/>
        <v>0.10129620370014236</v>
      </c>
      <c r="AO22" s="60">
        <f t="shared" si="14"/>
        <v>1.9734469759055795E-2</v>
      </c>
      <c r="BG22" s="1" t="e">
        <f t="shared" si="15"/>
        <v>#DIV/0!</v>
      </c>
    </row>
    <row r="23" spans="2:121">
      <c r="B23" s="1" t="s">
        <v>146</v>
      </c>
      <c r="AM23" s="60">
        <f t="shared" si="14"/>
        <v>0.14097967136716072</v>
      </c>
      <c r="AN23" s="60">
        <f t="shared" si="14"/>
        <v>8.7471194663432339E-2</v>
      </c>
      <c r="AO23" s="60">
        <f t="shared" si="14"/>
        <v>9.7820218874242304E-2</v>
      </c>
      <c r="BG23" s="1" t="e">
        <f t="shared" si="15"/>
        <v>#DIV/0!</v>
      </c>
    </row>
    <row r="25" spans="2:121">
      <c r="B25" s="38" t="s">
        <v>93</v>
      </c>
      <c r="AI25" s="60">
        <f t="shared" ref="AI25:AL25" si="16">AI15/AI18</f>
        <v>0.61383297845272056</v>
      </c>
      <c r="AJ25" s="60">
        <f t="shared" si="16"/>
        <v>0.59961997170002024</v>
      </c>
      <c r="AK25" s="60">
        <f t="shared" si="16"/>
        <v>0.60192165202623693</v>
      </c>
      <c r="AL25" s="60">
        <f t="shared" si="16"/>
        <v>0.60044076116061973</v>
      </c>
      <c r="AM25" s="60">
        <f>AM15/AM18</f>
        <v>0.59046835181183177</v>
      </c>
      <c r="AN25" s="60">
        <f>AN15/AN18</f>
        <v>0.59809432461168976</v>
      </c>
      <c r="AO25" s="60">
        <f>AO15/AO18</f>
        <v>0.59582807396169724</v>
      </c>
      <c r="BG25" s="60">
        <f>BG15/BG18</f>
        <v>0.60361495603847737</v>
      </c>
    </row>
    <row r="26" spans="2:121">
      <c r="B26" s="1" t="s">
        <v>205</v>
      </c>
      <c r="AI26" s="60">
        <f t="shared" ref="AI26:AL26" si="17">AI16/AI18</f>
        <v>0.16747184390609726</v>
      </c>
      <c r="AJ26" s="60">
        <f t="shared" si="17"/>
        <v>0.19015969274307662</v>
      </c>
      <c r="AK26" s="60">
        <f t="shared" si="17"/>
        <v>0.1758308689763502</v>
      </c>
      <c r="AL26" s="60">
        <f t="shared" si="17"/>
        <v>0.18009305814014714</v>
      </c>
      <c r="AM26" s="60">
        <f>AM16/AM18</f>
        <v>0.16376835195854481</v>
      </c>
      <c r="AN26" s="60">
        <f>AN16/AN18</f>
        <v>0.18901281107566936</v>
      </c>
      <c r="AO26" s="60">
        <f>AO16/AO18</f>
        <v>0.19773246422631824</v>
      </c>
      <c r="BG26" s="60">
        <f>BG16/BG18</f>
        <v>0.17851144282838435</v>
      </c>
    </row>
    <row r="27" spans="2:121">
      <c r="B27" s="1" t="s">
        <v>206</v>
      </c>
      <c r="AI27" s="60">
        <f t="shared" ref="AI27:AL27" si="18">AI17/AI18</f>
        <v>0.21869517764118224</v>
      </c>
      <c r="AJ27" s="60">
        <f t="shared" si="18"/>
        <v>0.21022033555690317</v>
      </c>
      <c r="AK27" s="60">
        <f t="shared" si="18"/>
        <v>0.2222474789974129</v>
      </c>
      <c r="AL27" s="60">
        <f t="shared" si="18"/>
        <v>0.21946618069923318</v>
      </c>
      <c r="AM27" s="60">
        <f>AM17/AM18</f>
        <v>0.24576329622962342</v>
      </c>
      <c r="AN27" s="60">
        <f>AN17/AN18</f>
        <v>0.21289286431264082</v>
      </c>
      <c r="AO27" s="60">
        <f>AO17/AO18</f>
        <v>0.20643946181198461</v>
      </c>
      <c r="BG27" s="60">
        <f>BG17/BG18</f>
        <v>0.21787360113313833</v>
      </c>
    </row>
    <row r="29" spans="2:121" s="2" customFormat="1" ht="15">
      <c r="B29" s="2" t="s">
        <v>1501</v>
      </c>
      <c r="C29" s="2">
        <v>122</v>
      </c>
      <c r="D29" s="2">
        <v>143</v>
      </c>
      <c r="E29" s="2">
        <v>153</v>
      </c>
      <c r="F29" s="2">
        <v>158</v>
      </c>
      <c r="G29" s="2">
        <v>166</v>
      </c>
      <c r="H29" s="2">
        <v>173</v>
      </c>
      <c r="I29" s="2">
        <v>178</v>
      </c>
      <c r="J29" s="2">
        <v>187</v>
      </c>
      <c r="K29" s="2">
        <v>191</v>
      </c>
      <c r="L29" s="2">
        <v>188</v>
      </c>
      <c r="M29" s="2">
        <v>186</v>
      </c>
      <c r="N29" s="2">
        <v>186</v>
      </c>
      <c r="O29" s="2">
        <v>190</v>
      </c>
      <c r="P29" s="2">
        <v>203</v>
      </c>
      <c r="Q29" s="2">
        <v>210</v>
      </c>
      <c r="R29" s="2">
        <v>218</v>
      </c>
      <c r="S29" s="2">
        <v>229</v>
      </c>
      <c r="T29" s="2">
        <v>238</v>
      </c>
      <c r="U29" s="2">
        <v>249</v>
      </c>
      <c r="V29" s="2">
        <v>265</v>
      </c>
      <c r="W29" s="2">
        <v>280</v>
      </c>
      <c r="X29" s="2">
        <v>293</v>
      </c>
      <c r="Y29" s="2">
        <v>306</v>
      </c>
      <c r="Z29" s="2">
        <v>319</v>
      </c>
      <c r="AA29" s="2">
        <v>332</v>
      </c>
      <c r="AB29" s="2">
        <v>347</v>
      </c>
      <c r="AC29" s="2">
        <v>363</v>
      </c>
      <c r="AD29" s="2">
        <v>375</v>
      </c>
      <c r="AE29" s="2">
        <v>383</v>
      </c>
      <c r="AF29" s="2">
        <v>397</v>
      </c>
      <c r="AG29" s="2">
        <v>406</v>
      </c>
      <c r="AH29" s="2">
        <v>414</v>
      </c>
      <c r="AI29" s="2">
        <v>422</v>
      </c>
      <c r="AJ29" s="2">
        <v>432</v>
      </c>
      <c r="AK29" s="2">
        <v>443</v>
      </c>
      <c r="AL29" s="2">
        <v>453</v>
      </c>
      <c r="AM29" s="2">
        <v>460</v>
      </c>
      <c r="AN29" s="2">
        <v>469</v>
      </c>
      <c r="AO29" s="2">
        <v>477</v>
      </c>
      <c r="AP29" s="34"/>
      <c r="AQ29" s="34"/>
      <c r="AR29" s="34"/>
      <c r="AS29" s="34"/>
      <c r="AT29" s="34"/>
      <c r="AY29" s="2">
        <v>143</v>
      </c>
      <c r="AZ29" s="2">
        <v>173</v>
      </c>
      <c r="BA29" s="2">
        <v>188</v>
      </c>
      <c r="BB29" s="2">
        <v>203</v>
      </c>
      <c r="BC29" s="2">
        <v>238</v>
      </c>
      <c r="BD29" s="2">
        <v>293</v>
      </c>
      <c r="BE29" s="2">
        <v>347</v>
      </c>
      <c r="BF29" s="2">
        <v>397</v>
      </c>
      <c r="BG29" s="2">
        <v>432</v>
      </c>
      <c r="BH29" s="34"/>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c r="CK29" s="34"/>
      <c r="CL29" s="34"/>
      <c r="CM29" s="34"/>
      <c r="CN29" s="34"/>
      <c r="CO29" s="34"/>
      <c r="CP29" s="34"/>
      <c r="CQ29" s="34"/>
      <c r="CR29" s="34"/>
      <c r="CS29" s="34"/>
      <c r="CT29" s="34"/>
      <c r="CU29" s="34"/>
      <c r="CV29" s="34"/>
      <c r="CW29" s="34"/>
      <c r="CX29" s="34"/>
      <c r="CY29" s="34"/>
      <c r="CZ29" s="34"/>
      <c r="DA29" s="34"/>
      <c r="DB29" s="34"/>
      <c r="DC29" s="34"/>
      <c r="DD29" s="34"/>
      <c r="DE29" s="34"/>
      <c r="DF29" s="34"/>
      <c r="DG29" s="34"/>
      <c r="DH29" s="34"/>
      <c r="DI29" s="34"/>
      <c r="DJ29" s="34"/>
      <c r="DK29" s="34"/>
      <c r="DL29" s="34"/>
      <c r="DM29" s="34"/>
      <c r="DN29" s="34"/>
      <c r="DO29" s="34"/>
      <c r="DP29" s="34"/>
      <c r="DQ29" s="34"/>
    </row>
    <row r="31" spans="2:121">
      <c r="B31" s="1" t="s">
        <v>1502</v>
      </c>
      <c r="G31" s="60">
        <f t="shared" ref="G31:AM31" si="19">G29/C29-1</f>
        <v>0.36065573770491799</v>
      </c>
      <c r="H31" s="60">
        <f t="shared" si="19"/>
        <v>0.20979020979020979</v>
      </c>
      <c r="I31" s="60">
        <f t="shared" si="19"/>
        <v>0.1633986928104576</v>
      </c>
      <c r="J31" s="60">
        <f t="shared" si="19"/>
        <v>0.18354430379746844</v>
      </c>
      <c r="K31" s="60">
        <f t="shared" si="19"/>
        <v>0.15060240963855431</v>
      </c>
      <c r="L31" s="60">
        <f t="shared" si="19"/>
        <v>8.6705202312138629E-2</v>
      </c>
      <c r="M31" s="60">
        <f t="shared" si="19"/>
        <v>4.4943820224719211E-2</v>
      </c>
      <c r="N31" s="60">
        <f t="shared" si="19"/>
        <v>-5.3475935828877219E-3</v>
      </c>
      <c r="O31" s="60">
        <f t="shared" si="19"/>
        <v>-5.2356020942407877E-3</v>
      </c>
      <c r="P31" s="60">
        <f t="shared" si="19"/>
        <v>7.9787234042553168E-2</v>
      </c>
      <c r="Q31" s="60">
        <f t="shared" si="19"/>
        <v>0.12903225806451624</v>
      </c>
      <c r="R31" s="60">
        <f t="shared" si="19"/>
        <v>0.17204301075268824</v>
      </c>
      <c r="S31" s="60">
        <f t="shared" si="19"/>
        <v>0.20526315789473681</v>
      </c>
      <c r="T31" s="60">
        <f t="shared" si="19"/>
        <v>0.17241379310344818</v>
      </c>
      <c r="U31" s="60">
        <f t="shared" si="19"/>
        <v>0.18571428571428572</v>
      </c>
      <c r="V31" s="60">
        <f t="shared" si="19"/>
        <v>0.21559633027522929</v>
      </c>
      <c r="W31" s="60">
        <f t="shared" si="19"/>
        <v>0.22270742358078599</v>
      </c>
      <c r="X31" s="60">
        <f t="shared" si="19"/>
        <v>0.23109243697478998</v>
      </c>
      <c r="Y31" s="60">
        <f t="shared" si="19"/>
        <v>0.22891566265060237</v>
      </c>
      <c r="Z31" s="60">
        <f t="shared" si="19"/>
        <v>0.20377358490566033</v>
      </c>
      <c r="AA31" s="60">
        <f t="shared" si="19"/>
        <v>0.18571428571428572</v>
      </c>
      <c r="AB31" s="60">
        <f t="shared" si="19"/>
        <v>0.1843003412969284</v>
      </c>
      <c r="AC31" s="60">
        <f t="shared" si="19"/>
        <v>0.18627450980392157</v>
      </c>
      <c r="AD31" s="60">
        <f t="shared" si="19"/>
        <v>0.17554858934169282</v>
      </c>
      <c r="AE31" s="60">
        <f t="shared" si="19"/>
        <v>0.15361445783132521</v>
      </c>
      <c r="AF31" s="60">
        <f t="shared" si="19"/>
        <v>0.144092219020173</v>
      </c>
      <c r="AG31" s="60">
        <f t="shared" si="19"/>
        <v>0.11845730027548207</v>
      </c>
      <c r="AH31" s="60">
        <f t="shared" si="19"/>
        <v>0.10400000000000009</v>
      </c>
      <c r="AI31" s="60">
        <f t="shared" si="19"/>
        <v>0.10182767624020883</v>
      </c>
      <c r="AJ31" s="60">
        <f t="shared" si="19"/>
        <v>8.8161209068010171E-2</v>
      </c>
      <c r="AK31" s="60">
        <f t="shared" si="19"/>
        <v>9.1133004926108319E-2</v>
      </c>
      <c r="AL31" s="60">
        <f t="shared" si="19"/>
        <v>9.4202898550724612E-2</v>
      </c>
      <c r="AM31" s="60">
        <f t="shared" si="19"/>
        <v>9.004739336492884E-2</v>
      </c>
      <c r="AN31" s="60">
        <f>AN29/AJ29-1</f>
        <v>8.564814814814814E-2</v>
      </c>
      <c r="AO31" s="60">
        <f>AO29/AK29-1</f>
        <v>7.674943566591419E-2</v>
      </c>
      <c r="AZ31" s="60">
        <f t="shared" ref="AZ31:BF31" si="20">AZ29/AY29-1</f>
        <v>0.20979020979020979</v>
      </c>
      <c r="BA31" s="60">
        <f t="shared" si="20"/>
        <v>8.6705202312138629E-2</v>
      </c>
      <c r="BB31" s="60">
        <f t="shared" si="20"/>
        <v>7.9787234042553168E-2</v>
      </c>
      <c r="BC31" s="60">
        <f t="shared" si="20"/>
        <v>0.17241379310344818</v>
      </c>
      <c r="BD31" s="60">
        <f t="shared" si="20"/>
        <v>0.23109243697478998</v>
      </c>
      <c r="BE31" s="60">
        <f t="shared" si="20"/>
        <v>0.1843003412969284</v>
      </c>
      <c r="BF31" s="60">
        <f t="shared" si="20"/>
        <v>0.144092219020173</v>
      </c>
      <c r="BG31" s="60">
        <f>BG29/BF29-1</f>
        <v>8.8161209068010171E-2</v>
      </c>
    </row>
    <row r="33" spans="2:121" s="2" customFormat="1" ht="15">
      <c r="B33" s="2" t="s">
        <v>90</v>
      </c>
      <c r="C33" s="58">
        <v>38.799999999999997</v>
      </c>
      <c r="D33" s="58">
        <v>71.8</v>
      </c>
      <c r="E33" s="58">
        <v>128.19999999999999</v>
      </c>
      <c r="F33" s="58">
        <v>165.7</v>
      </c>
      <c r="G33" s="58">
        <v>149.6</v>
      </c>
      <c r="H33" s="58">
        <v>181.7</v>
      </c>
      <c r="I33" s="58">
        <v>207.9</v>
      </c>
      <c r="J33" s="58">
        <v>285.7</v>
      </c>
      <c r="K33" s="58">
        <v>230.7</v>
      </c>
      <c r="L33" s="58">
        <v>262.3</v>
      </c>
      <c r="M33" s="58">
        <v>297.7</v>
      </c>
      <c r="N33" s="58">
        <v>389.8</v>
      </c>
      <c r="O33" s="58">
        <v>320.39999999999998</v>
      </c>
      <c r="P33" s="58">
        <v>388</v>
      </c>
      <c r="Q33" s="58">
        <v>446.2</v>
      </c>
      <c r="R33" s="58">
        <v>560.9</v>
      </c>
      <c r="S33" s="58">
        <v>462.5</v>
      </c>
      <c r="T33" s="58">
        <v>454.2</v>
      </c>
      <c r="U33" s="58">
        <v>678.7</v>
      </c>
      <c r="V33" s="58">
        <v>911.3</v>
      </c>
      <c r="W33" s="58">
        <v>769.6</v>
      </c>
      <c r="X33" s="58">
        <v>982.1</v>
      </c>
      <c r="Y33" s="58">
        <v>1067.5</v>
      </c>
      <c r="Z33" s="58">
        <v>1297.9000000000001</v>
      </c>
      <c r="AA33" s="58">
        <v>1062.7</v>
      </c>
      <c r="AB33" s="58">
        <v>1110.9000000000001</v>
      </c>
      <c r="AC33" s="58">
        <v>1128.5</v>
      </c>
      <c r="AD33" s="58">
        <v>1299.7</v>
      </c>
      <c r="AE33" s="58">
        <v>988.6</v>
      </c>
      <c r="AF33" s="58">
        <v>1067.7</v>
      </c>
      <c r="AG33" s="58">
        <v>1188.5999999999999</v>
      </c>
      <c r="AH33" s="58">
        <v>1361.3</v>
      </c>
      <c r="AI33" s="58">
        <v>1194.8</v>
      </c>
      <c r="AJ33" s="58">
        <v>1236.8</v>
      </c>
      <c r="AK33" s="58">
        <v>1372.6</v>
      </c>
      <c r="AL33" s="58">
        <v>1557.3</v>
      </c>
      <c r="AM33" s="58">
        <v>1363.2</v>
      </c>
      <c r="AN33" s="58">
        <v>1344.9</v>
      </c>
      <c r="AO33" s="58">
        <f>AO6</f>
        <v>1507</v>
      </c>
      <c r="AP33" s="34"/>
      <c r="AQ33" s="34"/>
      <c r="AR33" s="34"/>
      <c r="AS33" s="34"/>
      <c r="AT33" s="34"/>
      <c r="AY33" s="58">
        <f t="shared" ref="AY33:AY46" si="21">SUM(C33:F33)</f>
        <v>404.5</v>
      </c>
      <c r="AZ33" s="58">
        <f t="shared" ref="AZ33:AZ46" si="22">SUM(G33:J33)</f>
        <v>824.89999999999986</v>
      </c>
      <c r="BA33" s="58">
        <f t="shared" ref="BA33:BA46" si="23">SUM(K33:N33)</f>
        <v>1180.5</v>
      </c>
      <c r="BB33" s="58">
        <f t="shared" ref="BB33:BB46" si="24">SUM(O33:R33)</f>
        <v>1715.5</v>
      </c>
      <c r="BC33" s="58">
        <f t="shared" ref="BC33:BC46" si="25">SUM(S33:V33)</f>
        <v>2506.6999999999998</v>
      </c>
      <c r="BD33" s="58">
        <f t="shared" ref="BD33:BD46" si="26">SUM(W33:Z33)</f>
        <v>4117.1000000000004</v>
      </c>
      <c r="BE33" s="58">
        <f t="shared" ref="BE33:BE46" si="27">SUM(AA33:AD33)</f>
        <v>4601.8</v>
      </c>
      <c r="BF33" s="58">
        <f t="shared" ref="BF33:BF46" si="28">SUM(AE33:AH33)</f>
        <v>4606.2</v>
      </c>
      <c r="BG33" s="58">
        <f t="shared" ref="BG33:BG46" si="29">SUM(AI33:AL33)</f>
        <v>5361.5</v>
      </c>
      <c r="BH33" s="63">
        <f>BH6</f>
        <v>5957.143</v>
      </c>
      <c r="BI33" s="63">
        <f t="shared" ref="BI33:BQ33" si="30">BI6</f>
        <v>6935.3829459999997</v>
      </c>
      <c r="BJ33" s="63">
        <f t="shared" si="30"/>
        <v>8119.25125398</v>
      </c>
      <c r="BK33" s="63">
        <f t="shared" si="30"/>
        <v>9544.9912195769994</v>
      </c>
      <c r="BL33" s="63">
        <f t="shared" si="30"/>
        <v>10770.921848680469</v>
      </c>
      <c r="BM33" s="63">
        <f t="shared" si="30"/>
        <v>11737.304645570159</v>
      </c>
      <c r="BN33" s="63">
        <f t="shared" si="30"/>
        <v>12558.817059179049</v>
      </c>
      <c r="BO33" s="63">
        <f t="shared" si="30"/>
        <v>13315.75946050015</v>
      </c>
      <c r="BP33" s="63">
        <f t="shared" si="30"/>
        <v>13989.001526634898</v>
      </c>
      <c r="BQ33" s="63">
        <f t="shared" si="30"/>
        <v>14560.532195165866</v>
      </c>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row>
    <row r="34" spans="2:121">
      <c r="B34" s="1" t="s">
        <v>95</v>
      </c>
      <c r="C34" s="59">
        <v>75.8</v>
      </c>
      <c r="D34" s="59">
        <v>94.8</v>
      </c>
      <c r="E34" s="59">
        <v>127.8</v>
      </c>
      <c r="F34" s="59">
        <v>153.4</v>
      </c>
      <c r="G34" s="59">
        <v>163.4</v>
      </c>
      <c r="H34" s="59">
        <v>152.1</v>
      </c>
      <c r="I34" s="59">
        <v>210.7</v>
      </c>
      <c r="J34" s="59">
        <v>191.2</v>
      </c>
      <c r="K34" s="59">
        <v>196.8</v>
      </c>
      <c r="L34" s="59">
        <v>191.6</v>
      </c>
      <c r="M34" s="59">
        <v>197.6</v>
      </c>
      <c r="N34" s="59">
        <v>212.9</v>
      </c>
      <c r="O34" s="59">
        <v>203.8</v>
      </c>
      <c r="P34" s="59">
        <v>215.5</v>
      </c>
      <c r="Q34" s="59">
        <v>223.1</v>
      </c>
      <c r="R34" s="59">
        <v>253.4</v>
      </c>
      <c r="S34" s="59">
        <v>253.4</v>
      </c>
      <c r="T34" s="59">
        <v>250.5</v>
      </c>
      <c r="U34" s="59">
        <v>293.10000000000002</v>
      </c>
      <c r="V34" s="59">
        <v>385.5</v>
      </c>
      <c r="W34" s="59">
        <v>412.6</v>
      </c>
      <c r="X34" s="59">
        <v>445</v>
      </c>
      <c r="Y34" s="59">
        <v>443.5</v>
      </c>
      <c r="Z34" s="59">
        <v>449.2</v>
      </c>
      <c r="AA34" s="59">
        <v>420.9</v>
      </c>
      <c r="AB34" s="59">
        <v>446.4</v>
      </c>
      <c r="AC34" s="59">
        <v>466.8</v>
      </c>
      <c r="AD34" s="59">
        <v>481.3</v>
      </c>
      <c r="AE34" s="59">
        <v>440</v>
      </c>
      <c r="AF34" s="59">
        <v>496.9</v>
      </c>
      <c r="AG34" s="59">
        <v>555.79999999999995</v>
      </c>
      <c r="AH34" s="59">
        <v>621.5</v>
      </c>
      <c r="AI34" s="59">
        <v>574.70000000000005</v>
      </c>
      <c r="AJ34" s="59">
        <v>588.9</v>
      </c>
      <c r="AK34" s="59">
        <v>638.9</v>
      </c>
      <c r="AL34" s="59">
        <v>671.7</v>
      </c>
      <c r="AM34" s="59">
        <v>639.6</v>
      </c>
      <c r="AN34" s="59">
        <v>653.29999999999995</v>
      </c>
      <c r="AO34" s="59">
        <v>674.22</v>
      </c>
      <c r="AY34" s="59">
        <f t="shared" si="21"/>
        <v>451.79999999999995</v>
      </c>
      <c r="AZ34" s="59">
        <f t="shared" si="22"/>
        <v>717.40000000000009</v>
      </c>
      <c r="BA34" s="59">
        <f t="shared" si="23"/>
        <v>798.9</v>
      </c>
      <c r="BB34" s="59">
        <f t="shared" si="24"/>
        <v>895.8</v>
      </c>
      <c r="BC34" s="59">
        <f t="shared" si="25"/>
        <v>1182.5</v>
      </c>
      <c r="BD34" s="59">
        <f t="shared" si="26"/>
        <v>1750.3</v>
      </c>
      <c r="BE34" s="59">
        <f t="shared" si="27"/>
        <v>1815.3999999999999</v>
      </c>
      <c r="BF34" s="59">
        <f t="shared" si="28"/>
        <v>2114.1999999999998</v>
      </c>
      <c r="BG34" s="59">
        <f t="shared" si="29"/>
        <v>2474.1999999999998</v>
      </c>
      <c r="BH34" s="62">
        <f>BH33*(1-BH50)</f>
        <v>2740.2857799999997</v>
      </c>
      <c r="BI34" s="62">
        <f t="shared" ref="BI34:BQ34" si="31">BI33*(1-BI50)</f>
        <v>3120.9223256999994</v>
      </c>
      <c r="BJ34" s="62">
        <f t="shared" si="31"/>
        <v>3531.8742954813006</v>
      </c>
      <c r="BK34" s="62">
        <f t="shared" si="31"/>
        <v>4104.3462244181101</v>
      </c>
      <c r="BL34" s="62">
        <f t="shared" si="31"/>
        <v>4577.6417856892003</v>
      </c>
      <c r="BM34" s="62">
        <f t="shared" si="31"/>
        <v>4929.6679511394668</v>
      </c>
      <c r="BN34" s="62">
        <f t="shared" si="31"/>
        <v>5149.1149942634111</v>
      </c>
      <c r="BO34" s="62">
        <f t="shared" si="31"/>
        <v>5326.3037842000604</v>
      </c>
      <c r="BP34" s="62">
        <f t="shared" si="31"/>
        <v>5525.6556030207848</v>
      </c>
      <c r="BQ34" s="62">
        <f t="shared" si="31"/>
        <v>5678.6075561146881</v>
      </c>
    </row>
    <row r="35" spans="2:121">
      <c r="B35" s="1" t="s">
        <v>96</v>
      </c>
      <c r="C35" s="59">
        <f t="shared" ref="C35:R35" si="32">C33-C34</f>
        <v>-37</v>
      </c>
      <c r="D35" s="59">
        <f t="shared" si="32"/>
        <v>-23</v>
      </c>
      <c r="E35" s="59">
        <f t="shared" si="32"/>
        <v>0.39999999999999147</v>
      </c>
      <c r="F35" s="59">
        <f t="shared" si="32"/>
        <v>12.299999999999983</v>
      </c>
      <c r="G35" s="59">
        <f t="shared" si="32"/>
        <v>-13.800000000000011</v>
      </c>
      <c r="H35" s="59">
        <f t="shared" si="32"/>
        <v>29.599999999999994</v>
      </c>
      <c r="I35" s="59">
        <f t="shared" si="32"/>
        <v>-2.7999999999999829</v>
      </c>
      <c r="J35" s="59">
        <f t="shared" si="32"/>
        <v>94.5</v>
      </c>
      <c r="K35" s="59">
        <f t="shared" si="32"/>
        <v>33.899999999999977</v>
      </c>
      <c r="L35" s="59">
        <f t="shared" si="32"/>
        <v>70.700000000000017</v>
      </c>
      <c r="M35" s="59">
        <f t="shared" si="32"/>
        <v>100.1</v>
      </c>
      <c r="N35" s="59">
        <f t="shared" si="32"/>
        <v>176.9</v>
      </c>
      <c r="O35" s="59">
        <f t="shared" si="32"/>
        <v>116.59999999999997</v>
      </c>
      <c r="P35" s="59">
        <f t="shared" si="32"/>
        <v>172.5</v>
      </c>
      <c r="Q35" s="59">
        <f t="shared" si="32"/>
        <v>223.1</v>
      </c>
      <c r="R35" s="59">
        <f t="shared" si="32"/>
        <v>307.5</v>
      </c>
      <c r="S35" s="59">
        <f t="shared" ref="S35:AL35" si="33">S33-S34</f>
        <v>209.1</v>
      </c>
      <c r="T35" s="59">
        <f t="shared" si="33"/>
        <v>203.7</v>
      </c>
      <c r="U35" s="59">
        <f t="shared" si="33"/>
        <v>385.6</v>
      </c>
      <c r="V35" s="59">
        <f t="shared" si="33"/>
        <v>525.79999999999995</v>
      </c>
      <c r="W35" s="59">
        <f t="shared" si="33"/>
        <v>357</v>
      </c>
      <c r="X35" s="59">
        <f t="shared" si="33"/>
        <v>537.1</v>
      </c>
      <c r="Y35" s="59">
        <f t="shared" si="33"/>
        <v>624</v>
      </c>
      <c r="Z35" s="59">
        <f t="shared" si="33"/>
        <v>848.7</v>
      </c>
      <c r="AA35" s="59">
        <f t="shared" si="33"/>
        <v>641.80000000000007</v>
      </c>
      <c r="AB35" s="59">
        <f t="shared" si="33"/>
        <v>664.50000000000011</v>
      </c>
      <c r="AC35" s="59">
        <f t="shared" si="33"/>
        <v>661.7</v>
      </c>
      <c r="AD35" s="59">
        <f t="shared" si="33"/>
        <v>818.40000000000009</v>
      </c>
      <c r="AE35" s="59">
        <f t="shared" si="33"/>
        <v>548.6</v>
      </c>
      <c r="AF35" s="59">
        <f t="shared" si="33"/>
        <v>570.80000000000007</v>
      </c>
      <c r="AG35" s="59">
        <f t="shared" si="33"/>
        <v>632.79999999999995</v>
      </c>
      <c r="AH35" s="59">
        <f t="shared" si="33"/>
        <v>739.8</v>
      </c>
      <c r="AI35" s="59">
        <f t="shared" si="33"/>
        <v>620.09999999999991</v>
      </c>
      <c r="AJ35" s="59">
        <f t="shared" si="33"/>
        <v>647.9</v>
      </c>
      <c r="AK35" s="59">
        <f t="shared" si="33"/>
        <v>733.69999999999993</v>
      </c>
      <c r="AL35" s="59">
        <f t="shared" si="33"/>
        <v>885.59999999999991</v>
      </c>
      <c r="AM35" s="59">
        <f>AM33-AM34</f>
        <v>723.6</v>
      </c>
      <c r="AN35" s="59">
        <f>AN33-AN34</f>
        <v>691.60000000000014</v>
      </c>
      <c r="AO35" s="59">
        <f>AO33-AO34</f>
        <v>832.78</v>
      </c>
      <c r="AY35" s="59">
        <f t="shared" si="21"/>
        <v>-47.300000000000026</v>
      </c>
      <c r="AZ35" s="59">
        <f t="shared" si="22"/>
        <v>107.5</v>
      </c>
      <c r="BA35" s="59">
        <f t="shared" si="23"/>
        <v>381.6</v>
      </c>
      <c r="BB35" s="59">
        <f t="shared" si="24"/>
        <v>819.69999999999993</v>
      </c>
      <c r="BC35" s="59">
        <f t="shared" si="25"/>
        <v>1324.1999999999998</v>
      </c>
      <c r="BD35" s="59">
        <f t="shared" si="26"/>
        <v>2366.8000000000002</v>
      </c>
      <c r="BE35" s="59">
        <f t="shared" si="27"/>
        <v>2786.4000000000005</v>
      </c>
      <c r="BF35" s="59">
        <f t="shared" si="28"/>
        <v>2492</v>
      </c>
      <c r="BG35" s="59">
        <f t="shared" si="29"/>
        <v>2887.2999999999997</v>
      </c>
      <c r="BH35" s="62">
        <f>BH33-BH34</f>
        <v>3216.8572200000003</v>
      </c>
      <c r="BI35" s="62">
        <f t="shared" ref="BI35:BQ35" si="34">BI33-BI34</f>
        <v>3814.4606203000003</v>
      </c>
      <c r="BJ35" s="62">
        <f t="shared" si="34"/>
        <v>4587.3769584986994</v>
      </c>
      <c r="BK35" s="62">
        <f t="shared" si="34"/>
        <v>5440.6449951588893</v>
      </c>
      <c r="BL35" s="62">
        <f t="shared" si="34"/>
        <v>6193.280062991269</v>
      </c>
      <c r="BM35" s="62">
        <f t="shared" si="34"/>
        <v>6807.6366944306919</v>
      </c>
      <c r="BN35" s="62">
        <f t="shared" si="34"/>
        <v>7409.7020649156384</v>
      </c>
      <c r="BO35" s="62">
        <f t="shared" si="34"/>
        <v>7989.4556763000901</v>
      </c>
      <c r="BP35" s="62">
        <f t="shared" si="34"/>
        <v>8463.3459236141134</v>
      </c>
      <c r="BQ35" s="62">
        <f t="shared" si="34"/>
        <v>8881.924639051178</v>
      </c>
    </row>
    <row r="36" spans="2:121">
      <c r="B36" s="1" t="s">
        <v>207</v>
      </c>
      <c r="C36" s="59">
        <v>28.1</v>
      </c>
      <c r="D36" s="59">
        <v>36.1</v>
      </c>
      <c r="E36" s="59">
        <v>54.6</v>
      </c>
      <c r="F36" s="59">
        <v>65</v>
      </c>
      <c r="G36" s="59">
        <v>805.8</v>
      </c>
      <c r="H36" s="59">
        <v>255.7</v>
      </c>
      <c r="I36" s="59">
        <v>239.4</v>
      </c>
      <c r="J36" s="59">
        <v>233.8</v>
      </c>
      <c r="K36" s="59">
        <v>201</v>
      </c>
      <c r="L36" s="59">
        <v>203.2</v>
      </c>
      <c r="M36" s="59">
        <v>203.5</v>
      </c>
      <c r="N36" s="59">
        <v>164.4</v>
      </c>
      <c r="O36" s="59">
        <v>216.2</v>
      </c>
      <c r="P36" s="59">
        <v>236.2</v>
      </c>
      <c r="Q36" s="59">
        <v>211.6</v>
      </c>
      <c r="R36" s="59">
        <v>219.5</v>
      </c>
      <c r="S36" s="59">
        <v>238.6</v>
      </c>
      <c r="T36" s="59">
        <v>260.89999999999998</v>
      </c>
      <c r="U36" s="59">
        <v>283.60000000000002</v>
      </c>
      <c r="V36" s="59">
        <v>318.39999999999998</v>
      </c>
      <c r="W36" s="59">
        <v>348.6</v>
      </c>
      <c r="X36" s="59">
        <v>370.7</v>
      </c>
      <c r="Y36" s="59">
        <v>412</v>
      </c>
      <c r="Z36" s="59">
        <v>434.2</v>
      </c>
      <c r="AA36" s="59">
        <v>455.6</v>
      </c>
      <c r="AB36" s="59">
        <v>505</v>
      </c>
      <c r="AC36" s="59">
        <v>564.29999999999995</v>
      </c>
      <c r="AD36" s="59">
        <v>584.9</v>
      </c>
      <c r="AE36" s="59">
        <v>455.1</v>
      </c>
      <c r="AF36" s="59">
        <v>477.7</v>
      </c>
      <c r="AG36" s="59">
        <v>494.6</v>
      </c>
      <c r="AH36" s="59">
        <v>483.5</v>
      </c>
      <c r="AI36" s="59">
        <v>449.8</v>
      </c>
      <c r="AJ36" s="59">
        <v>406.2</v>
      </c>
      <c r="AK36" s="59">
        <v>412.8</v>
      </c>
      <c r="AL36" s="59">
        <v>422.9</v>
      </c>
      <c r="AM36" s="59">
        <v>424.2</v>
      </c>
      <c r="AN36" s="59">
        <v>443.3</v>
      </c>
      <c r="AO36" s="59">
        <v>453.41</v>
      </c>
      <c r="AY36" s="59">
        <f t="shared" si="21"/>
        <v>183.8</v>
      </c>
      <c r="AZ36" s="59">
        <f t="shared" si="22"/>
        <v>1534.7</v>
      </c>
      <c r="BA36" s="59">
        <f t="shared" si="23"/>
        <v>772.1</v>
      </c>
      <c r="BB36" s="59">
        <f t="shared" si="24"/>
        <v>883.5</v>
      </c>
      <c r="BC36" s="59">
        <f t="shared" si="25"/>
        <v>1101.5</v>
      </c>
      <c r="BD36" s="59">
        <f t="shared" si="26"/>
        <v>1565.5</v>
      </c>
      <c r="BE36" s="59">
        <f t="shared" si="27"/>
        <v>2109.8000000000002</v>
      </c>
      <c r="BF36" s="59">
        <f t="shared" si="28"/>
        <v>1910.9</v>
      </c>
      <c r="BG36" s="59">
        <f t="shared" si="29"/>
        <v>1691.6999999999998</v>
      </c>
      <c r="BH36" s="62">
        <f>BH33*BH51</f>
        <v>1906.28576</v>
      </c>
      <c r="BI36" s="62">
        <f t="shared" ref="BI36:BQ36" si="35">BI33*BI51</f>
        <v>2011.2610543399999</v>
      </c>
      <c r="BJ36" s="62">
        <f t="shared" si="35"/>
        <v>2192.1978385746002</v>
      </c>
      <c r="BK36" s="62">
        <f t="shared" si="35"/>
        <v>2290.7978926984797</v>
      </c>
      <c r="BL36" s="62">
        <f t="shared" si="35"/>
        <v>2477.3120251965079</v>
      </c>
      <c r="BM36" s="62">
        <f t="shared" si="35"/>
        <v>2582.207022025435</v>
      </c>
      <c r="BN36" s="62">
        <f t="shared" si="35"/>
        <v>2700.1456677234955</v>
      </c>
      <c r="BO36" s="62">
        <f t="shared" si="35"/>
        <v>2796.3094867050313</v>
      </c>
      <c r="BP36" s="62">
        <f t="shared" si="35"/>
        <v>2867.745312960154</v>
      </c>
      <c r="BQ36" s="62">
        <f t="shared" si="35"/>
        <v>2912.1064390331735</v>
      </c>
    </row>
    <row r="37" spans="2:121">
      <c r="B37" s="1" t="s">
        <v>208</v>
      </c>
      <c r="C37" s="59">
        <v>24</v>
      </c>
      <c r="D37" s="59">
        <v>32.299999999999997</v>
      </c>
      <c r="E37" s="59">
        <v>42.2</v>
      </c>
      <c r="F37" s="59">
        <v>66.7</v>
      </c>
      <c r="G37" s="59">
        <v>1174.5</v>
      </c>
      <c r="H37" s="59">
        <v>131.9</v>
      </c>
      <c r="I37" s="59">
        <v>118.1</v>
      </c>
      <c r="J37" s="59">
        <v>111.1</v>
      </c>
      <c r="K37" s="59">
        <v>123.3</v>
      </c>
      <c r="L37" s="59">
        <v>123.6</v>
      </c>
      <c r="M37" s="59">
        <v>122.4</v>
      </c>
      <c r="N37" s="59">
        <v>107.7</v>
      </c>
      <c r="O37" s="59">
        <v>118.7</v>
      </c>
      <c r="P37" s="59">
        <v>129.6</v>
      </c>
      <c r="Q37" s="59">
        <v>117.1</v>
      </c>
      <c r="R37" s="59">
        <v>215.5</v>
      </c>
      <c r="S37" s="59">
        <v>122.19999999999999</v>
      </c>
      <c r="T37" s="59">
        <v>132.09999999999997</v>
      </c>
      <c r="U37" s="59">
        <v>143.49999999999994</v>
      </c>
      <c r="V37" s="59">
        <v>157.70000000000005</v>
      </c>
      <c r="W37" s="59">
        <v>150.30000000000001</v>
      </c>
      <c r="X37" s="59">
        <v>179.70000000000005</v>
      </c>
      <c r="Y37" s="59">
        <v>217.5</v>
      </c>
      <c r="Z37" s="59">
        <v>245.29999999999995</v>
      </c>
      <c r="AA37" s="59">
        <v>241.89999999999998</v>
      </c>
      <c r="AB37" s="59">
        <v>311.39999999999998</v>
      </c>
      <c r="AC37" s="59">
        <v>270.30000000000007</v>
      </c>
      <c r="AD37" s="59">
        <v>295.20000000000005</v>
      </c>
      <c r="AE37" s="59">
        <v>268.49999999999989</v>
      </c>
      <c r="AF37" s="59">
        <v>280.5</v>
      </c>
      <c r="AG37" s="59">
        <v>297.19999999999993</v>
      </c>
      <c r="AH37" s="59">
        <v>275.79999999999995</v>
      </c>
      <c r="AI37" s="59">
        <v>276</v>
      </c>
      <c r="AJ37" s="59">
        <v>266.29999999999995</v>
      </c>
      <c r="AK37" s="59">
        <v>273.10000000000002</v>
      </c>
      <c r="AL37" s="59">
        <v>248.29999999999995</v>
      </c>
      <c r="AM37" s="59">
        <v>257.89999999999998</v>
      </c>
      <c r="AN37" s="59">
        <v>257.89999999999998</v>
      </c>
      <c r="AO37" s="59">
        <v>256.21499999999997</v>
      </c>
      <c r="AY37" s="59">
        <f t="shared" si="21"/>
        <v>165.2</v>
      </c>
      <c r="AZ37" s="59">
        <f t="shared" si="22"/>
        <v>1535.6</v>
      </c>
      <c r="BA37" s="59">
        <f t="shared" si="23"/>
        <v>476.99999999999994</v>
      </c>
      <c r="BB37" s="59">
        <f t="shared" si="24"/>
        <v>580.9</v>
      </c>
      <c r="BC37" s="59">
        <f t="shared" si="25"/>
        <v>555.5</v>
      </c>
      <c r="BD37" s="59">
        <f t="shared" si="26"/>
        <v>792.8</v>
      </c>
      <c r="BE37" s="59">
        <f t="shared" si="27"/>
        <v>1118.8000000000002</v>
      </c>
      <c r="BF37" s="59">
        <f t="shared" si="28"/>
        <v>1121.9999999999998</v>
      </c>
      <c r="BG37" s="59">
        <f t="shared" si="29"/>
        <v>1063.6999999999998</v>
      </c>
      <c r="BH37" s="62">
        <f>BH33*BH52</f>
        <v>1113.985741</v>
      </c>
      <c r="BI37" s="62">
        <f t="shared" ref="BI37:BQ37" si="36">BI33*BI52</f>
        <v>1248.3689302799999</v>
      </c>
      <c r="BJ37" s="62">
        <f t="shared" si="36"/>
        <v>1441.16709758145</v>
      </c>
      <c r="BK37" s="62">
        <f t="shared" si="36"/>
        <v>1670.3734634259747</v>
      </c>
      <c r="BL37" s="62">
        <f t="shared" si="36"/>
        <v>1857.9840188973808</v>
      </c>
      <c r="BM37" s="62">
        <f t="shared" si="36"/>
        <v>1995.3417897469271</v>
      </c>
      <c r="BN37" s="62">
        <f t="shared" si="36"/>
        <v>2103.601857412491</v>
      </c>
      <c r="BO37" s="62">
        <f t="shared" si="36"/>
        <v>2197.1003109825251</v>
      </c>
      <c r="BP37" s="62">
        <f t="shared" si="36"/>
        <v>2273.212748078171</v>
      </c>
      <c r="BQ37" s="62">
        <f t="shared" si="36"/>
        <v>2329.6851512265384</v>
      </c>
    </row>
    <row r="38" spans="2:121">
      <c r="B38" s="1" t="s">
        <v>209</v>
      </c>
      <c r="C38" s="59">
        <v>14.699999999999996</v>
      </c>
      <c r="D38" s="59">
        <v>24.500000000000007</v>
      </c>
      <c r="E38" s="59">
        <v>34.6</v>
      </c>
      <c r="F38" s="59">
        <v>50.399999999999991</v>
      </c>
      <c r="G38" s="59">
        <v>219.79999999999995</v>
      </c>
      <c r="H38" s="59">
        <v>90.900000000000034</v>
      </c>
      <c r="I38" s="59">
        <v>101.6</v>
      </c>
      <c r="J38" s="59">
        <v>110.49999999999994</v>
      </c>
      <c r="K38" s="59">
        <v>102.09999999999997</v>
      </c>
      <c r="L38" s="59">
        <v>101.69999999999999</v>
      </c>
      <c r="M38" s="59">
        <v>97.600000000000023</v>
      </c>
      <c r="N38" s="59">
        <v>99.500000000000028</v>
      </c>
      <c r="O38" s="59">
        <v>97.800000000000011</v>
      </c>
      <c r="P38" s="59">
        <v>111.50000000000006</v>
      </c>
      <c r="Q38" s="59">
        <v>123.19999999999996</v>
      </c>
      <c r="R38" s="59">
        <v>126</v>
      </c>
      <c r="S38" s="59">
        <v>134.6</v>
      </c>
      <c r="T38" s="59">
        <v>121.3</v>
      </c>
      <c r="U38" s="59">
        <v>126.3</v>
      </c>
      <c r="V38" s="59">
        <v>146.9</v>
      </c>
      <c r="W38" s="59">
        <v>161.69999999999999</v>
      </c>
      <c r="X38" s="59">
        <v>179.2</v>
      </c>
      <c r="Y38" s="59">
        <v>175.3</v>
      </c>
      <c r="Z38" s="59">
        <v>194.4</v>
      </c>
      <c r="AA38" s="59">
        <v>215.9</v>
      </c>
      <c r="AB38" s="59">
        <v>249.1</v>
      </c>
      <c r="AC38" s="59">
        <v>262.39999999999998</v>
      </c>
      <c r="AD38" s="59">
        <v>225.9</v>
      </c>
      <c r="AE38" s="59">
        <v>190.3</v>
      </c>
      <c r="AF38" s="59">
        <v>216.9</v>
      </c>
      <c r="AG38" s="59">
        <v>221.1</v>
      </c>
      <c r="AH38" s="59">
        <v>229.2</v>
      </c>
      <c r="AI38" s="59">
        <v>227.5</v>
      </c>
      <c r="AJ38" s="59">
        <v>229.3</v>
      </c>
      <c r="AK38" s="59">
        <v>221</v>
      </c>
      <c r="AL38" s="59">
        <v>241.3</v>
      </c>
      <c r="AM38" s="59">
        <v>235.4</v>
      </c>
      <c r="AN38" s="59">
        <v>250.1</v>
      </c>
      <c r="AO38" s="59">
        <v>251.34800000000001</v>
      </c>
      <c r="AY38" s="59">
        <f t="shared" si="21"/>
        <v>124.2</v>
      </c>
      <c r="AZ38" s="59">
        <f t="shared" si="22"/>
        <v>522.79999999999995</v>
      </c>
      <c r="BA38" s="59">
        <f t="shared" si="23"/>
        <v>400.9</v>
      </c>
      <c r="BB38" s="59">
        <f t="shared" si="24"/>
        <v>458.5</v>
      </c>
      <c r="BC38" s="59">
        <f t="shared" si="25"/>
        <v>529.1</v>
      </c>
      <c r="BD38" s="59">
        <f t="shared" si="26"/>
        <v>710.6</v>
      </c>
      <c r="BE38" s="59">
        <f t="shared" si="27"/>
        <v>953.3</v>
      </c>
      <c r="BF38" s="59">
        <f t="shared" si="28"/>
        <v>857.5</v>
      </c>
      <c r="BG38" s="59">
        <f t="shared" si="29"/>
        <v>919.09999999999991</v>
      </c>
      <c r="BH38" s="62">
        <f>BH33*BH53</f>
        <v>1042.5000250000001</v>
      </c>
      <c r="BI38" s="62">
        <f t="shared" ref="BI38:BQ38" si="37">BI33*BI53</f>
        <v>1248.3689302799999</v>
      </c>
      <c r="BJ38" s="62">
        <f t="shared" si="37"/>
        <v>1404.6304669385399</v>
      </c>
      <c r="BK38" s="62">
        <f t="shared" si="37"/>
        <v>1574.923551230205</v>
      </c>
      <c r="BL38" s="62">
        <f t="shared" si="37"/>
        <v>1723.3474957888752</v>
      </c>
      <c r="BM38" s="62">
        <f t="shared" si="37"/>
        <v>1819.2822200633746</v>
      </c>
      <c r="BN38" s="62">
        <f t="shared" si="37"/>
        <v>1883.8225588768573</v>
      </c>
      <c r="BO38" s="62">
        <f t="shared" si="37"/>
        <v>1930.7851217725217</v>
      </c>
      <c r="BP38" s="62">
        <f t="shared" si="37"/>
        <v>1958.4602137288859</v>
      </c>
      <c r="BQ38" s="62">
        <f t="shared" si="37"/>
        <v>2038.4745073232214</v>
      </c>
    </row>
    <row r="39" spans="2:121">
      <c r="B39" s="1" t="s">
        <v>217</v>
      </c>
      <c r="C39" s="59">
        <f t="shared" ref="C39:AM39" si="38">SUM(C36:C38)</f>
        <v>66.8</v>
      </c>
      <c r="D39" s="59">
        <f t="shared" si="38"/>
        <v>92.9</v>
      </c>
      <c r="E39" s="59">
        <f t="shared" si="38"/>
        <v>131.4</v>
      </c>
      <c r="F39" s="59">
        <f t="shared" si="38"/>
        <v>182.09999999999997</v>
      </c>
      <c r="G39" s="59">
        <f t="shared" si="38"/>
        <v>2200.1</v>
      </c>
      <c r="H39" s="59">
        <f t="shared" si="38"/>
        <v>478.50000000000006</v>
      </c>
      <c r="I39" s="59">
        <f t="shared" si="38"/>
        <v>459.1</v>
      </c>
      <c r="J39" s="59">
        <f t="shared" si="38"/>
        <v>455.39999999999992</v>
      </c>
      <c r="K39" s="59">
        <f t="shared" si="38"/>
        <v>426.4</v>
      </c>
      <c r="L39" s="59">
        <f t="shared" si="38"/>
        <v>428.49999999999994</v>
      </c>
      <c r="M39" s="59">
        <f t="shared" si="38"/>
        <v>423.5</v>
      </c>
      <c r="N39" s="59">
        <f t="shared" si="38"/>
        <v>371.6</v>
      </c>
      <c r="O39" s="59">
        <f t="shared" si="38"/>
        <v>432.7</v>
      </c>
      <c r="P39" s="59">
        <f t="shared" si="38"/>
        <v>477.3</v>
      </c>
      <c r="Q39" s="59">
        <f t="shared" si="38"/>
        <v>451.9</v>
      </c>
      <c r="R39" s="59">
        <f t="shared" si="38"/>
        <v>561</v>
      </c>
      <c r="S39" s="59">
        <f t="shared" si="38"/>
        <v>495.4</v>
      </c>
      <c r="T39" s="59">
        <f t="shared" si="38"/>
        <v>514.29999999999995</v>
      </c>
      <c r="U39" s="59">
        <f t="shared" si="38"/>
        <v>553.4</v>
      </c>
      <c r="V39" s="59">
        <f t="shared" si="38"/>
        <v>623</v>
      </c>
      <c r="W39" s="59">
        <f t="shared" si="38"/>
        <v>660.6</v>
      </c>
      <c r="X39" s="59">
        <f t="shared" si="38"/>
        <v>729.60000000000014</v>
      </c>
      <c r="Y39" s="59">
        <f t="shared" si="38"/>
        <v>804.8</v>
      </c>
      <c r="Z39" s="59">
        <f t="shared" si="38"/>
        <v>873.9</v>
      </c>
      <c r="AA39" s="59">
        <f t="shared" si="38"/>
        <v>913.4</v>
      </c>
      <c r="AB39" s="59">
        <f t="shared" si="38"/>
        <v>1065.5</v>
      </c>
      <c r="AC39" s="59">
        <f t="shared" si="38"/>
        <v>1097</v>
      </c>
      <c r="AD39" s="59">
        <f t="shared" si="38"/>
        <v>1106</v>
      </c>
      <c r="AE39" s="59">
        <f t="shared" si="38"/>
        <v>913.89999999999986</v>
      </c>
      <c r="AF39" s="59">
        <f t="shared" si="38"/>
        <v>975.1</v>
      </c>
      <c r="AG39" s="59">
        <f t="shared" si="38"/>
        <v>1012.9</v>
      </c>
      <c r="AH39" s="59">
        <f t="shared" si="38"/>
        <v>988.5</v>
      </c>
      <c r="AI39" s="59">
        <f t="shared" si="38"/>
        <v>953.3</v>
      </c>
      <c r="AJ39" s="59">
        <f t="shared" si="38"/>
        <v>901.8</v>
      </c>
      <c r="AK39" s="59">
        <f t="shared" si="38"/>
        <v>906.90000000000009</v>
      </c>
      <c r="AL39" s="59">
        <f t="shared" si="38"/>
        <v>912.5</v>
      </c>
      <c r="AM39" s="59">
        <f t="shared" si="38"/>
        <v>917.49999999999989</v>
      </c>
      <c r="AN39" s="59">
        <f>SUM(AN36:AN38)</f>
        <v>951.30000000000007</v>
      </c>
      <c r="AO39" s="59">
        <f>SUM(AO36:AO38)</f>
        <v>960.97299999999996</v>
      </c>
      <c r="AY39" s="59">
        <f t="shared" si="21"/>
        <v>473.2</v>
      </c>
      <c r="AZ39" s="59">
        <f t="shared" si="22"/>
        <v>3593.1</v>
      </c>
      <c r="BA39" s="59">
        <f t="shared" si="23"/>
        <v>1650</v>
      </c>
      <c r="BB39" s="59">
        <f t="shared" si="24"/>
        <v>1922.9</v>
      </c>
      <c r="BC39" s="59">
        <f t="shared" si="25"/>
        <v>2186.1</v>
      </c>
      <c r="BD39" s="59">
        <f t="shared" si="26"/>
        <v>3068.9</v>
      </c>
      <c r="BE39" s="59">
        <f t="shared" si="27"/>
        <v>4181.8999999999996</v>
      </c>
      <c r="BF39" s="59">
        <f t="shared" si="28"/>
        <v>3890.4</v>
      </c>
      <c r="BG39" s="59">
        <f t="shared" si="29"/>
        <v>3674.5</v>
      </c>
      <c r="BH39" s="62">
        <f>SUM(BH36:BH38)</f>
        <v>4062.7715260000004</v>
      </c>
      <c r="BI39" s="62">
        <f t="shared" ref="BI39:BQ39" si="39">SUM(BI36:BI38)</f>
        <v>4507.9989148999994</v>
      </c>
      <c r="BJ39" s="62">
        <f t="shared" si="39"/>
        <v>5037.9954030945901</v>
      </c>
      <c r="BK39" s="62">
        <f t="shared" si="39"/>
        <v>5536.094907354659</v>
      </c>
      <c r="BL39" s="62">
        <f t="shared" si="39"/>
        <v>6058.6435398827634</v>
      </c>
      <c r="BM39" s="62">
        <f t="shared" si="39"/>
        <v>6396.8310318357362</v>
      </c>
      <c r="BN39" s="62">
        <f t="shared" si="39"/>
        <v>6687.5700840128438</v>
      </c>
      <c r="BO39" s="62">
        <f t="shared" si="39"/>
        <v>6924.1949194600784</v>
      </c>
      <c r="BP39" s="62">
        <f t="shared" si="39"/>
        <v>7099.4182747672112</v>
      </c>
      <c r="BQ39" s="62">
        <f t="shared" si="39"/>
        <v>7280.266097582934</v>
      </c>
    </row>
    <row r="40" spans="2:121">
      <c r="B40" s="1" t="s">
        <v>210</v>
      </c>
      <c r="C40" s="59">
        <f>C35-C39</f>
        <v>-103.8</v>
      </c>
      <c r="D40" s="59">
        <f t="shared" ref="D40:AN40" si="40">D35-D39</f>
        <v>-115.9</v>
      </c>
      <c r="E40" s="59">
        <f t="shared" si="40"/>
        <v>-131</v>
      </c>
      <c r="F40" s="59">
        <f t="shared" si="40"/>
        <v>-169.79999999999998</v>
      </c>
      <c r="G40" s="59">
        <f t="shared" si="40"/>
        <v>-2213.9</v>
      </c>
      <c r="H40" s="59">
        <f t="shared" si="40"/>
        <v>-448.90000000000009</v>
      </c>
      <c r="I40" s="59">
        <f t="shared" si="40"/>
        <v>-461.9</v>
      </c>
      <c r="J40" s="59">
        <f t="shared" si="40"/>
        <v>-360.89999999999992</v>
      </c>
      <c r="K40" s="59">
        <f t="shared" si="40"/>
        <v>-392.5</v>
      </c>
      <c r="L40" s="59">
        <f t="shared" si="40"/>
        <v>-357.79999999999995</v>
      </c>
      <c r="M40" s="59">
        <f t="shared" si="40"/>
        <v>-323.39999999999998</v>
      </c>
      <c r="N40" s="59">
        <f t="shared" si="40"/>
        <v>-194.70000000000002</v>
      </c>
      <c r="O40" s="59">
        <f t="shared" si="40"/>
        <v>-316.10000000000002</v>
      </c>
      <c r="P40" s="59">
        <f t="shared" si="40"/>
        <v>-304.8</v>
      </c>
      <c r="Q40" s="59">
        <f t="shared" si="40"/>
        <v>-228.79999999999998</v>
      </c>
      <c r="R40" s="59">
        <f t="shared" si="40"/>
        <v>-253.5</v>
      </c>
      <c r="S40" s="59">
        <f t="shared" si="40"/>
        <v>-286.29999999999995</v>
      </c>
      <c r="T40" s="59">
        <f t="shared" si="40"/>
        <v>-310.59999999999997</v>
      </c>
      <c r="U40" s="59">
        <f t="shared" si="40"/>
        <v>-167.79999999999995</v>
      </c>
      <c r="V40" s="59">
        <f t="shared" si="40"/>
        <v>-97.200000000000045</v>
      </c>
      <c r="W40" s="59">
        <f t="shared" si="40"/>
        <v>-303.60000000000002</v>
      </c>
      <c r="X40" s="59">
        <f t="shared" si="40"/>
        <v>-192.50000000000011</v>
      </c>
      <c r="Y40" s="59">
        <f t="shared" si="40"/>
        <v>-180.79999999999995</v>
      </c>
      <c r="Z40" s="59">
        <f t="shared" si="40"/>
        <v>-25.199999999999932</v>
      </c>
      <c r="AA40" s="59">
        <f t="shared" si="40"/>
        <v>-271.59999999999991</v>
      </c>
      <c r="AB40" s="59">
        <f t="shared" si="40"/>
        <v>-400.99999999999989</v>
      </c>
      <c r="AC40" s="59">
        <f t="shared" si="40"/>
        <v>-435.29999999999995</v>
      </c>
      <c r="AD40" s="59">
        <f t="shared" si="40"/>
        <v>-287.59999999999991</v>
      </c>
      <c r="AE40" s="59">
        <f t="shared" si="40"/>
        <v>-365.29999999999984</v>
      </c>
      <c r="AF40" s="59">
        <f t="shared" si="40"/>
        <v>-404.29999999999995</v>
      </c>
      <c r="AG40" s="59">
        <f t="shared" si="40"/>
        <v>-380.1</v>
      </c>
      <c r="AH40" s="59">
        <f t="shared" si="40"/>
        <v>-248.70000000000005</v>
      </c>
      <c r="AI40" s="59">
        <f t="shared" si="40"/>
        <v>-333.20000000000005</v>
      </c>
      <c r="AJ40" s="59">
        <f t="shared" si="40"/>
        <v>-253.89999999999998</v>
      </c>
      <c r="AK40" s="59">
        <f t="shared" si="40"/>
        <v>-173.20000000000016</v>
      </c>
      <c r="AL40" s="59">
        <f t="shared" si="40"/>
        <v>-26.900000000000091</v>
      </c>
      <c r="AM40" s="59">
        <f t="shared" si="40"/>
        <v>-193.89999999999986</v>
      </c>
      <c r="AN40" s="59">
        <f t="shared" si="40"/>
        <v>-259.69999999999993</v>
      </c>
      <c r="AO40" s="59">
        <f t="shared" ref="AO40" si="41">AO35-AO39</f>
        <v>-128.19299999999998</v>
      </c>
      <c r="AY40" s="59">
        <f t="shared" si="21"/>
        <v>-520.5</v>
      </c>
      <c r="AZ40" s="59">
        <f t="shared" si="22"/>
        <v>-3485.6000000000004</v>
      </c>
      <c r="BA40" s="59">
        <f t="shared" si="23"/>
        <v>-1268.3999999999999</v>
      </c>
      <c r="BB40" s="59">
        <f t="shared" si="24"/>
        <v>-1103.2</v>
      </c>
      <c r="BC40" s="59">
        <f t="shared" si="25"/>
        <v>-861.89999999999986</v>
      </c>
      <c r="BD40" s="59">
        <f t="shared" si="26"/>
        <v>-702.1</v>
      </c>
      <c r="BE40" s="59">
        <f t="shared" si="27"/>
        <v>-1395.4999999999995</v>
      </c>
      <c r="BF40" s="59">
        <f t="shared" si="28"/>
        <v>-1398.3999999999999</v>
      </c>
      <c r="BG40" s="59">
        <f t="shared" si="29"/>
        <v>-787.20000000000027</v>
      </c>
      <c r="BH40" s="62">
        <f>BH35-BH39</f>
        <v>-845.91430600000012</v>
      </c>
      <c r="BI40" s="62">
        <f t="shared" ref="BI40:BQ40" si="42">BI35-BI39</f>
        <v>-693.53829459999906</v>
      </c>
      <c r="BJ40" s="62">
        <f t="shared" si="42"/>
        <v>-450.61844459589065</v>
      </c>
      <c r="BK40" s="62">
        <f t="shared" si="42"/>
        <v>-95.449912195769684</v>
      </c>
      <c r="BL40" s="62">
        <f t="shared" si="42"/>
        <v>134.63652310850557</v>
      </c>
      <c r="BM40" s="62">
        <f t="shared" si="42"/>
        <v>410.80566259495572</v>
      </c>
      <c r="BN40" s="62">
        <f t="shared" si="42"/>
        <v>722.13198090279457</v>
      </c>
      <c r="BO40" s="62">
        <f t="shared" si="42"/>
        <v>1065.2607568400117</v>
      </c>
      <c r="BP40" s="62">
        <f t="shared" si="42"/>
        <v>1363.9276488469022</v>
      </c>
      <c r="BQ40" s="62">
        <f t="shared" si="42"/>
        <v>1601.658541468244</v>
      </c>
    </row>
    <row r="41" spans="2:121">
      <c r="B41" s="1" t="s">
        <v>211</v>
      </c>
      <c r="C41" s="59">
        <v>0</v>
      </c>
      <c r="D41" s="59">
        <v>0</v>
      </c>
      <c r="E41" s="59">
        <v>0</v>
      </c>
      <c r="F41" s="59">
        <v>0</v>
      </c>
      <c r="G41" s="59">
        <v>0</v>
      </c>
      <c r="H41" s="59">
        <v>0</v>
      </c>
      <c r="I41" s="59">
        <v>0</v>
      </c>
      <c r="J41" s="59">
        <v>0</v>
      </c>
      <c r="K41" s="59">
        <v>0</v>
      </c>
      <c r="L41" s="59">
        <v>0</v>
      </c>
      <c r="M41" s="59">
        <v>0</v>
      </c>
      <c r="N41" s="59">
        <v>0</v>
      </c>
      <c r="O41" s="59">
        <v>0</v>
      </c>
      <c r="P41" s="59">
        <v>0</v>
      </c>
      <c r="Q41" s="59">
        <v>0</v>
      </c>
      <c r="R41" s="59">
        <v>0</v>
      </c>
      <c r="S41" s="59">
        <v>0</v>
      </c>
      <c r="T41" s="59">
        <v>0</v>
      </c>
      <c r="U41" s="59">
        <v>0</v>
      </c>
      <c r="V41" s="59">
        <v>0</v>
      </c>
      <c r="W41" s="59">
        <v>0</v>
      </c>
      <c r="X41" s="59">
        <v>0</v>
      </c>
      <c r="Y41" s="59">
        <v>0</v>
      </c>
      <c r="Z41" s="59">
        <v>0</v>
      </c>
      <c r="AA41" s="59">
        <v>0</v>
      </c>
      <c r="AB41" s="59">
        <v>0</v>
      </c>
      <c r="AC41" s="59">
        <v>0</v>
      </c>
      <c r="AD41" s="59">
        <v>0</v>
      </c>
      <c r="AE41" s="59">
        <v>0</v>
      </c>
      <c r="AF41" s="59">
        <v>0</v>
      </c>
      <c r="AG41" s="59">
        <v>0</v>
      </c>
      <c r="AH41" s="59">
        <v>0</v>
      </c>
      <c r="AI41" s="59">
        <v>0</v>
      </c>
      <c r="AJ41" s="59">
        <v>0</v>
      </c>
      <c r="AK41" s="59">
        <v>0</v>
      </c>
      <c r="AL41" s="59">
        <v>0</v>
      </c>
      <c r="AM41" s="59">
        <v>0</v>
      </c>
      <c r="AN41" s="59">
        <v>0</v>
      </c>
      <c r="AO41" s="59">
        <v>32.255000000000003</v>
      </c>
      <c r="AY41" s="59">
        <f t="shared" si="21"/>
        <v>0</v>
      </c>
      <c r="AZ41" s="59">
        <f t="shared" si="22"/>
        <v>0</v>
      </c>
      <c r="BA41" s="59">
        <f t="shared" si="23"/>
        <v>0</v>
      </c>
      <c r="BB41" s="59">
        <f t="shared" si="24"/>
        <v>0</v>
      </c>
      <c r="BC41" s="59">
        <f t="shared" si="25"/>
        <v>0</v>
      </c>
      <c r="BD41" s="59">
        <f t="shared" si="26"/>
        <v>0</v>
      </c>
      <c r="BE41" s="59">
        <f t="shared" si="27"/>
        <v>0</v>
      </c>
      <c r="BF41" s="59">
        <f t="shared" si="28"/>
        <v>0</v>
      </c>
      <c r="BG41" s="59">
        <f t="shared" si="29"/>
        <v>0</v>
      </c>
      <c r="BH41" s="35">
        <v>0</v>
      </c>
      <c r="BI41" s="35">
        <v>0</v>
      </c>
      <c r="BJ41" s="35">
        <v>0</v>
      </c>
      <c r="BK41" s="35">
        <v>0</v>
      </c>
      <c r="BL41" s="35">
        <v>0</v>
      </c>
      <c r="BM41" s="35">
        <v>0</v>
      </c>
      <c r="BN41" s="35">
        <v>0</v>
      </c>
      <c r="BO41" s="35">
        <v>0</v>
      </c>
      <c r="BP41" s="35">
        <v>0</v>
      </c>
      <c r="BQ41" s="35">
        <v>0</v>
      </c>
    </row>
    <row r="42" spans="2:121">
      <c r="B42" s="1" t="s">
        <v>212</v>
      </c>
      <c r="C42" s="59">
        <v>0</v>
      </c>
      <c r="D42" s="59">
        <v>0</v>
      </c>
      <c r="E42" s="59">
        <v>0</v>
      </c>
      <c r="F42" s="59">
        <v>0</v>
      </c>
      <c r="G42" s="59">
        <v>0</v>
      </c>
      <c r="H42" s="59">
        <v>0</v>
      </c>
      <c r="I42" s="59">
        <v>0</v>
      </c>
      <c r="J42" s="59">
        <v>0</v>
      </c>
      <c r="K42" s="59">
        <v>0</v>
      </c>
      <c r="L42" s="59">
        <v>0</v>
      </c>
      <c r="M42" s="59">
        <v>0</v>
      </c>
      <c r="N42" s="59">
        <v>0</v>
      </c>
      <c r="O42" s="59">
        <v>0</v>
      </c>
      <c r="P42" s="59">
        <v>0</v>
      </c>
      <c r="Q42" s="59">
        <v>0</v>
      </c>
      <c r="R42" s="59">
        <v>0</v>
      </c>
      <c r="S42" s="59">
        <v>0</v>
      </c>
      <c r="T42" s="59">
        <v>0</v>
      </c>
      <c r="U42" s="59">
        <v>0</v>
      </c>
      <c r="V42" s="59">
        <v>0</v>
      </c>
      <c r="W42" s="59">
        <v>0</v>
      </c>
      <c r="X42" s="59">
        <v>0</v>
      </c>
      <c r="Y42" s="59">
        <v>0</v>
      </c>
      <c r="Z42" s="59">
        <v>0</v>
      </c>
      <c r="AA42" s="59">
        <v>0</v>
      </c>
      <c r="AB42" s="59">
        <v>0</v>
      </c>
      <c r="AC42" s="59">
        <v>0</v>
      </c>
      <c r="AD42" s="59">
        <v>0</v>
      </c>
      <c r="AE42" s="59">
        <v>0</v>
      </c>
      <c r="AF42" s="59">
        <v>0</v>
      </c>
      <c r="AG42" s="59">
        <v>0</v>
      </c>
      <c r="AH42" s="59">
        <v>0</v>
      </c>
      <c r="AI42" s="59">
        <v>0</v>
      </c>
      <c r="AJ42" s="59">
        <v>0</v>
      </c>
      <c r="AK42" s="59">
        <v>0</v>
      </c>
      <c r="AL42" s="59">
        <v>0</v>
      </c>
      <c r="AM42" s="59">
        <v>0</v>
      </c>
      <c r="AN42" s="59">
        <v>0</v>
      </c>
      <c r="AO42" s="59">
        <v>-34.494</v>
      </c>
      <c r="AY42" s="59">
        <f t="shared" si="21"/>
        <v>0</v>
      </c>
      <c r="AZ42" s="59">
        <f t="shared" si="22"/>
        <v>0</v>
      </c>
      <c r="BA42" s="59">
        <f t="shared" si="23"/>
        <v>0</v>
      </c>
      <c r="BB42" s="59">
        <f t="shared" si="24"/>
        <v>0</v>
      </c>
      <c r="BC42" s="59">
        <f t="shared" si="25"/>
        <v>0</v>
      </c>
      <c r="BD42" s="59">
        <f t="shared" si="26"/>
        <v>0</v>
      </c>
      <c r="BE42" s="59">
        <f t="shared" si="27"/>
        <v>0</v>
      </c>
      <c r="BF42" s="59">
        <f t="shared" si="28"/>
        <v>0</v>
      </c>
      <c r="BG42" s="59">
        <f t="shared" si="29"/>
        <v>0</v>
      </c>
      <c r="BH42" s="35">
        <v>0</v>
      </c>
      <c r="BI42" s="35">
        <v>0</v>
      </c>
      <c r="BJ42" s="35">
        <v>0</v>
      </c>
      <c r="BK42" s="35">
        <v>0</v>
      </c>
      <c r="BL42" s="35">
        <v>0</v>
      </c>
      <c r="BM42" s="35">
        <v>0</v>
      </c>
      <c r="BN42" s="35">
        <v>0</v>
      </c>
      <c r="BO42" s="35">
        <v>0</v>
      </c>
      <c r="BP42" s="35">
        <v>0</v>
      </c>
      <c r="BQ42" s="35">
        <v>0</v>
      </c>
    </row>
    <row r="43" spans="2:121">
      <c r="B43" s="1" t="s">
        <v>213</v>
      </c>
      <c r="C43" s="59">
        <v>-0.6</v>
      </c>
      <c r="D43" s="59">
        <v>-0.1</v>
      </c>
      <c r="E43" s="59">
        <v>-0.1</v>
      </c>
      <c r="F43" s="59">
        <v>-0.5</v>
      </c>
      <c r="G43" s="59">
        <v>1.9</v>
      </c>
      <c r="H43" s="59">
        <v>6.1</v>
      </c>
      <c r="I43" s="59">
        <v>6.4</v>
      </c>
      <c r="J43" s="59">
        <v>7.7</v>
      </c>
      <c r="K43" s="59">
        <v>8.3000000000000007</v>
      </c>
      <c r="L43" s="59">
        <v>5.6</v>
      </c>
      <c r="M43" s="59">
        <v>-1.5</v>
      </c>
      <c r="N43" s="59">
        <v>2.7</v>
      </c>
      <c r="O43" s="59">
        <v>5.9</v>
      </c>
      <c r="P43" s="59">
        <v>50.7</v>
      </c>
      <c r="Q43" s="59">
        <v>0.2</v>
      </c>
      <c r="R43" s="59">
        <v>13.2</v>
      </c>
      <c r="S43" s="59">
        <v>-18.899999999999999</v>
      </c>
      <c r="T43" s="59">
        <v>-16.399999999999999</v>
      </c>
      <c r="U43" s="59">
        <v>-31.1</v>
      </c>
      <c r="V43" s="59">
        <v>2.2999999999999998</v>
      </c>
      <c r="W43" s="59">
        <v>18.2</v>
      </c>
      <c r="X43" s="59">
        <v>39</v>
      </c>
      <c r="Y43" s="59">
        <v>109.9</v>
      </c>
      <c r="Z43" s="59">
        <v>60.7</v>
      </c>
      <c r="AA43" s="59">
        <v>-79.599999999999994</v>
      </c>
      <c r="AB43" s="59">
        <v>-14.1</v>
      </c>
      <c r="AC43" s="59">
        <v>85</v>
      </c>
      <c r="AD43" s="59">
        <v>3.3</v>
      </c>
      <c r="AE43" s="59">
        <v>43.4</v>
      </c>
      <c r="AF43" s="59">
        <v>39.1</v>
      </c>
      <c r="AG43" s="59">
        <v>17.7</v>
      </c>
      <c r="AH43" s="59">
        <v>3.7</v>
      </c>
      <c r="AI43" s="59">
        <v>35.1</v>
      </c>
      <c r="AJ43" s="59">
        <v>10.6</v>
      </c>
      <c r="AK43" s="59">
        <v>28.3</v>
      </c>
      <c r="AL43" s="59">
        <v>41.1</v>
      </c>
      <c r="AM43" s="59">
        <v>62.7</v>
      </c>
      <c r="AN43" s="59">
        <v>4.8</v>
      </c>
      <c r="AO43" s="59">
        <v>27.57</v>
      </c>
      <c r="AY43" s="59">
        <f t="shared" si="21"/>
        <v>-1.2999999999999998</v>
      </c>
      <c r="AZ43" s="59">
        <f t="shared" si="22"/>
        <v>22.1</v>
      </c>
      <c r="BA43" s="59">
        <f t="shared" si="23"/>
        <v>15.100000000000001</v>
      </c>
      <c r="BB43" s="59">
        <f t="shared" si="24"/>
        <v>70</v>
      </c>
      <c r="BC43" s="59">
        <f t="shared" si="25"/>
        <v>-64.100000000000009</v>
      </c>
      <c r="BD43" s="59">
        <f t="shared" si="26"/>
        <v>227.8</v>
      </c>
      <c r="BE43" s="59">
        <f t="shared" si="27"/>
        <v>-5.3999999999999888</v>
      </c>
      <c r="BF43" s="59">
        <f t="shared" si="28"/>
        <v>103.9</v>
      </c>
      <c r="BG43" s="59">
        <f t="shared" si="29"/>
        <v>115.1</v>
      </c>
      <c r="BH43" s="62">
        <f>SUM(BG58:BG59)*($BQ$60)</f>
        <v>690.44210249999992</v>
      </c>
      <c r="BI43" s="62">
        <f>SUM(BH58:BH59)*($BQ$60)</f>
        <v>181.00416209625234</v>
      </c>
      <c r="BJ43" s="62">
        <f t="shared" ref="BJ43:BQ43" si="43">SUM(BI58:BI59)*($BQ$60)</f>
        <v>72.198641134061887</v>
      </c>
      <c r="BK43" s="62">
        <f t="shared" si="43"/>
        <v>-8.135840507066689</v>
      </c>
      <c r="BL43" s="62">
        <f t="shared" si="43"/>
        <v>-30.125989206110354</v>
      </c>
      <c r="BM43" s="62">
        <f t="shared" si="43"/>
        <v>-7.9395193377769457</v>
      </c>
      <c r="BN43" s="62">
        <f t="shared" si="43"/>
        <v>77.584659083267709</v>
      </c>
      <c r="BO43" s="62">
        <f t="shared" si="43"/>
        <v>247.35595843215538</v>
      </c>
      <c r="BP43" s="62">
        <f t="shared" si="43"/>
        <v>526.01046448658542</v>
      </c>
      <c r="BQ43" s="62">
        <f t="shared" si="43"/>
        <v>927.22413586299126</v>
      </c>
    </row>
    <row r="44" spans="2:121">
      <c r="B44" s="1" t="s">
        <v>214</v>
      </c>
      <c r="C44" s="59">
        <f>C40+SUM(C41:C43)</f>
        <v>-104.39999999999999</v>
      </c>
      <c r="D44" s="59">
        <f t="shared" ref="D44:AO44" si="44">D40+SUM(D41:D43)</f>
        <v>-116</v>
      </c>
      <c r="E44" s="59">
        <f t="shared" si="44"/>
        <v>-131.1</v>
      </c>
      <c r="F44" s="59">
        <f t="shared" si="44"/>
        <v>-170.29999999999998</v>
      </c>
      <c r="G44" s="59">
        <f t="shared" si="44"/>
        <v>-2212</v>
      </c>
      <c r="H44" s="59">
        <f t="shared" si="44"/>
        <v>-442.80000000000007</v>
      </c>
      <c r="I44" s="59">
        <f t="shared" si="44"/>
        <v>-455.5</v>
      </c>
      <c r="J44" s="59">
        <f t="shared" si="44"/>
        <v>-353.19999999999993</v>
      </c>
      <c r="K44" s="59">
        <f t="shared" si="44"/>
        <v>-384.2</v>
      </c>
      <c r="L44" s="59">
        <f t="shared" si="44"/>
        <v>-352.19999999999993</v>
      </c>
      <c r="M44" s="59">
        <f t="shared" si="44"/>
        <v>-324.89999999999998</v>
      </c>
      <c r="N44" s="59">
        <f t="shared" si="44"/>
        <v>-192.00000000000003</v>
      </c>
      <c r="O44" s="59">
        <f t="shared" si="44"/>
        <v>-310.20000000000005</v>
      </c>
      <c r="P44" s="59">
        <f t="shared" si="44"/>
        <v>-254.10000000000002</v>
      </c>
      <c r="Q44" s="59">
        <f t="shared" si="44"/>
        <v>-228.6</v>
      </c>
      <c r="R44" s="59">
        <f t="shared" si="44"/>
        <v>-240.3</v>
      </c>
      <c r="S44" s="59">
        <f t="shared" si="44"/>
        <v>-305.19999999999993</v>
      </c>
      <c r="T44" s="59">
        <f t="shared" si="44"/>
        <v>-326.99999999999994</v>
      </c>
      <c r="U44" s="59">
        <f t="shared" si="44"/>
        <v>-198.89999999999995</v>
      </c>
      <c r="V44" s="59">
        <f t="shared" si="44"/>
        <v>-94.900000000000048</v>
      </c>
      <c r="W44" s="59">
        <f t="shared" si="44"/>
        <v>-285.40000000000003</v>
      </c>
      <c r="X44" s="59">
        <f t="shared" si="44"/>
        <v>-153.50000000000011</v>
      </c>
      <c r="Y44" s="59">
        <f t="shared" si="44"/>
        <v>-70.899999999999949</v>
      </c>
      <c r="Z44" s="59">
        <f t="shared" si="44"/>
        <v>35.500000000000071</v>
      </c>
      <c r="AA44" s="59">
        <f t="shared" si="44"/>
        <v>-351.19999999999993</v>
      </c>
      <c r="AB44" s="59">
        <f t="shared" si="44"/>
        <v>-415.09999999999991</v>
      </c>
      <c r="AC44" s="59">
        <f t="shared" si="44"/>
        <v>-350.29999999999995</v>
      </c>
      <c r="AD44" s="59">
        <f t="shared" si="44"/>
        <v>-284.2999999999999</v>
      </c>
      <c r="AE44" s="59">
        <f t="shared" si="44"/>
        <v>-321.89999999999986</v>
      </c>
      <c r="AF44" s="59">
        <f t="shared" si="44"/>
        <v>-365.19999999999993</v>
      </c>
      <c r="AG44" s="59">
        <f t="shared" si="44"/>
        <v>-362.40000000000003</v>
      </c>
      <c r="AH44" s="59">
        <f t="shared" si="44"/>
        <v>-245.00000000000006</v>
      </c>
      <c r="AI44" s="59">
        <f t="shared" si="44"/>
        <v>-298.10000000000002</v>
      </c>
      <c r="AJ44" s="59">
        <f t="shared" si="44"/>
        <v>-243.29999999999998</v>
      </c>
      <c r="AK44" s="59">
        <f t="shared" si="44"/>
        <v>-144.90000000000015</v>
      </c>
      <c r="AL44" s="59">
        <f t="shared" si="44"/>
        <v>14.19999999999991</v>
      </c>
      <c r="AM44" s="59">
        <f t="shared" si="44"/>
        <v>-131.19999999999987</v>
      </c>
      <c r="AN44" s="59">
        <f t="shared" si="44"/>
        <v>-254.89999999999992</v>
      </c>
      <c r="AO44" s="59">
        <f t="shared" si="44"/>
        <v>-102.86199999999998</v>
      </c>
      <c r="AY44" s="59">
        <f t="shared" si="21"/>
        <v>-521.79999999999995</v>
      </c>
      <c r="AZ44" s="59">
        <f t="shared" si="22"/>
        <v>-3463.5</v>
      </c>
      <c r="BA44" s="59">
        <f t="shared" si="23"/>
        <v>-1253.2999999999997</v>
      </c>
      <c r="BB44" s="59">
        <f t="shared" si="24"/>
        <v>-1033.2</v>
      </c>
      <c r="BC44" s="59">
        <f t="shared" si="25"/>
        <v>-925.99999999999989</v>
      </c>
      <c r="BD44" s="59">
        <f t="shared" si="26"/>
        <v>-474.3</v>
      </c>
      <c r="BE44" s="59">
        <f t="shared" si="27"/>
        <v>-1400.8999999999999</v>
      </c>
      <c r="BF44" s="59">
        <f t="shared" si="28"/>
        <v>-1294.4999999999998</v>
      </c>
      <c r="BG44" s="59">
        <f t="shared" si="29"/>
        <v>-672.10000000000025</v>
      </c>
      <c r="BH44" s="62">
        <f>BH40+SUM(BH41:BH43)</f>
        <v>-155.47220350000021</v>
      </c>
      <c r="BI44" s="62">
        <f t="shared" ref="BI44:BQ44" si="45">BI40+SUM(BI41:BI43)</f>
        <v>-512.53413250374672</v>
      </c>
      <c r="BJ44" s="62">
        <f t="shared" si="45"/>
        <v>-378.41980346182879</v>
      </c>
      <c r="BK44" s="62">
        <f t="shared" si="45"/>
        <v>-103.58575270283637</v>
      </c>
      <c r="BL44" s="62">
        <f t="shared" si="45"/>
        <v>104.51053390239522</v>
      </c>
      <c r="BM44" s="62">
        <f t="shared" si="45"/>
        <v>402.86614325717875</v>
      </c>
      <c r="BN44" s="62">
        <f t="shared" si="45"/>
        <v>799.71663998606232</v>
      </c>
      <c r="BO44" s="62">
        <f t="shared" si="45"/>
        <v>1312.6167152721671</v>
      </c>
      <c r="BP44" s="62">
        <f t="shared" si="45"/>
        <v>1889.9381133334878</v>
      </c>
      <c r="BQ44" s="62">
        <f t="shared" si="45"/>
        <v>2528.8826773312353</v>
      </c>
    </row>
    <row r="45" spans="2:121">
      <c r="B45" s="1" t="s">
        <v>215</v>
      </c>
      <c r="C45" s="59">
        <v>0.1</v>
      </c>
      <c r="D45" s="59">
        <v>0</v>
      </c>
      <c r="E45" s="59">
        <v>-6.9</v>
      </c>
      <c r="F45" s="59">
        <v>-0.3</v>
      </c>
      <c r="G45" s="59">
        <v>-3</v>
      </c>
      <c r="H45" s="59">
        <v>0.2</v>
      </c>
      <c r="I45" s="59">
        <v>-12.3</v>
      </c>
      <c r="J45" s="59">
        <v>-3.2</v>
      </c>
      <c r="K45" s="59">
        <v>1.6</v>
      </c>
      <c r="L45" s="59">
        <v>1.1000000000000001</v>
      </c>
      <c r="M45" s="59">
        <v>0.2</v>
      </c>
      <c r="N45" s="59">
        <v>-0.3</v>
      </c>
      <c r="O45" s="59">
        <v>0.3</v>
      </c>
      <c r="P45" s="59">
        <v>1.1000000000000001</v>
      </c>
      <c r="Q45" s="59">
        <v>-1.3</v>
      </c>
      <c r="R45" s="59">
        <v>0.3</v>
      </c>
      <c r="S45" s="59">
        <v>0.7</v>
      </c>
      <c r="T45" s="59">
        <v>-1</v>
      </c>
      <c r="U45" s="59">
        <v>0.9</v>
      </c>
      <c r="V45" s="59">
        <v>18.100000000000001</v>
      </c>
      <c r="W45" s="59">
        <v>1.4</v>
      </c>
      <c r="X45" s="59">
        <v>-1.9</v>
      </c>
      <c r="Y45" s="59">
        <v>1</v>
      </c>
      <c r="Z45" s="59">
        <v>13</v>
      </c>
      <c r="AA45" s="59">
        <v>8.5</v>
      </c>
      <c r="AB45" s="59">
        <v>7</v>
      </c>
      <c r="AC45" s="59">
        <v>9.1999999999999993</v>
      </c>
      <c r="AD45" s="59">
        <v>4.2</v>
      </c>
      <c r="AE45" s="59">
        <v>6.8</v>
      </c>
      <c r="AF45" s="59">
        <v>12.1</v>
      </c>
      <c r="AG45" s="59">
        <v>5.8</v>
      </c>
      <c r="AH45" s="59">
        <v>3.3</v>
      </c>
      <c r="AI45" s="59">
        <v>6.9</v>
      </c>
      <c r="AJ45" s="59">
        <v>5.2</v>
      </c>
      <c r="AK45" s="59">
        <v>8.3000000000000007</v>
      </c>
      <c r="AL45" s="59">
        <v>5.2</v>
      </c>
      <c r="AM45" s="59">
        <v>8.4</v>
      </c>
      <c r="AN45" s="59">
        <v>7.7</v>
      </c>
      <c r="AO45" s="59">
        <v>-0.51</v>
      </c>
      <c r="AY45" s="59">
        <f t="shared" si="21"/>
        <v>-7.1000000000000005</v>
      </c>
      <c r="AZ45" s="59">
        <f t="shared" si="22"/>
        <v>-18.3</v>
      </c>
      <c r="BA45" s="59">
        <f t="shared" si="23"/>
        <v>2.6000000000000005</v>
      </c>
      <c r="BB45" s="59">
        <f t="shared" si="24"/>
        <v>0.40000000000000008</v>
      </c>
      <c r="BC45" s="59">
        <f t="shared" si="25"/>
        <v>18.700000000000003</v>
      </c>
      <c r="BD45" s="59">
        <f t="shared" si="26"/>
        <v>13.5</v>
      </c>
      <c r="BE45" s="59">
        <f t="shared" si="27"/>
        <v>28.9</v>
      </c>
      <c r="BF45" s="59">
        <f t="shared" si="28"/>
        <v>28</v>
      </c>
      <c r="BG45" s="59">
        <f t="shared" si="29"/>
        <v>25.6</v>
      </c>
      <c r="BH45" s="62">
        <f>BH44*BH55</f>
        <v>5.9218693789614694</v>
      </c>
      <c r="BI45" s="62">
        <f t="shared" ref="BI45:BQ45" si="46">BI44*BI55</f>
        <v>19.522204719678488</v>
      </c>
      <c r="BJ45" s="62">
        <f t="shared" si="46"/>
        <v>14.413847595034687</v>
      </c>
      <c r="BK45" s="62">
        <f t="shared" si="46"/>
        <v>3.9455367790397413</v>
      </c>
      <c r="BL45" s="62">
        <f t="shared" si="46"/>
        <v>-3.98076129727915</v>
      </c>
      <c r="BM45" s="62">
        <f t="shared" si="46"/>
        <v>-15.344998166022574</v>
      </c>
      <c r="BN45" s="62">
        <f t="shared" si="46"/>
        <v>-30.460862942483541</v>
      </c>
      <c r="BO45" s="62">
        <f t="shared" si="46"/>
        <v>-49.997006265388279</v>
      </c>
      <c r="BP45" s="62">
        <f t="shared" si="46"/>
        <v>-71.986930071919758</v>
      </c>
      <c r="BQ45" s="62">
        <f t="shared" si="46"/>
        <v>-96.324053771283431</v>
      </c>
    </row>
    <row r="46" spans="2:121" s="2" customFormat="1" ht="15">
      <c r="B46" s="2" t="s">
        <v>109</v>
      </c>
      <c r="C46" s="58">
        <f t="shared" ref="C46" si="47">C44-C45</f>
        <v>-104.49999999999999</v>
      </c>
      <c r="D46" s="58">
        <f t="shared" ref="D46" si="48">D44-D45</f>
        <v>-116</v>
      </c>
      <c r="E46" s="58">
        <f t="shared" ref="E46" si="49">E44-E45</f>
        <v>-124.19999999999999</v>
      </c>
      <c r="F46" s="58">
        <f t="shared" ref="F46" si="50">F44-F45</f>
        <v>-169.99999999999997</v>
      </c>
      <c r="G46" s="58">
        <f t="shared" ref="G46" si="51">G44-G45</f>
        <v>-2209</v>
      </c>
      <c r="H46" s="58">
        <f t="shared" ref="H46" si="52">H44-H45</f>
        <v>-443.00000000000006</v>
      </c>
      <c r="I46" s="58">
        <f t="shared" ref="I46" si="53">I44-I45</f>
        <v>-443.2</v>
      </c>
      <c r="J46" s="58">
        <f t="shared" ref="J46" si="54">J44-J45</f>
        <v>-349.99999999999994</v>
      </c>
      <c r="K46" s="58">
        <f t="shared" ref="K46" si="55">K44-K45</f>
        <v>-385.8</v>
      </c>
      <c r="L46" s="58">
        <f t="shared" ref="L46" si="56">L44-L45</f>
        <v>-353.29999999999995</v>
      </c>
      <c r="M46" s="58">
        <f t="shared" ref="M46" si="57">M44-M45</f>
        <v>-325.09999999999997</v>
      </c>
      <c r="N46" s="58">
        <f t="shared" ref="N46" si="58">N44-N45</f>
        <v>-191.70000000000002</v>
      </c>
      <c r="O46" s="58">
        <f t="shared" ref="O46" si="59">O44-O45</f>
        <v>-310.50000000000006</v>
      </c>
      <c r="P46" s="58">
        <f t="shared" ref="P46" si="60">P44-P45</f>
        <v>-255.20000000000002</v>
      </c>
      <c r="Q46" s="58">
        <f t="shared" ref="Q46" si="61">Q44-Q45</f>
        <v>-227.29999999999998</v>
      </c>
      <c r="R46" s="58">
        <f t="shared" ref="R46" si="62">R44-R45</f>
        <v>-240.60000000000002</v>
      </c>
      <c r="S46" s="58">
        <f t="shared" ref="S46" si="63">S44-S45</f>
        <v>-305.89999999999992</v>
      </c>
      <c r="T46" s="58">
        <f t="shared" ref="T46" si="64">T44-T45</f>
        <v>-325.99999999999994</v>
      </c>
      <c r="U46" s="58">
        <f t="shared" ref="U46" si="65">U44-U45</f>
        <v>-199.79999999999995</v>
      </c>
      <c r="V46" s="58">
        <f t="shared" ref="V46" si="66">V44-V45</f>
        <v>-113.00000000000006</v>
      </c>
      <c r="W46" s="58">
        <f t="shared" ref="W46" si="67">W44-W45</f>
        <v>-286.8</v>
      </c>
      <c r="X46" s="58">
        <f t="shared" ref="X46" si="68">X44-X45</f>
        <v>-151.60000000000011</v>
      </c>
      <c r="Y46" s="58">
        <f t="shared" ref="Y46" si="69">Y44-Y45</f>
        <v>-71.899999999999949</v>
      </c>
      <c r="Z46" s="58">
        <f t="shared" ref="Z46" si="70">Z44-Z45</f>
        <v>22.500000000000071</v>
      </c>
      <c r="AA46" s="58">
        <f t="shared" ref="AA46" si="71">AA44-AA45</f>
        <v>-359.69999999999993</v>
      </c>
      <c r="AB46" s="58">
        <f t="shared" ref="AB46" si="72">AB44-AB45</f>
        <v>-422.09999999999991</v>
      </c>
      <c r="AC46" s="58">
        <f t="shared" ref="AC46" si="73">AC44-AC45</f>
        <v>-359.49999999999994</v>
      </c>
      <c r="AD46" s="58">
        <f t="shared" ref="AD46" si="74">AD44-AD45</f>
        <v>-288.49999999999989</v>
      </c>
      <c r="AE46" s="58">
        <f t="shared" ref="AE46" si="75">AE44-AE45</f>
        <v>-328.69999999999987</v>
      </c>
      <c r="AF46" s="58">
        <f t="shared" ref="AF46" si="76">AF44-AF45</f>
        <v>-377.29999999999995</v>
      </c>
      <c r="AG46" s="58">
        <f t="shared" ref="AG46" si="77">AG44-AG45</f>
        <v>-368.20000000000005</v>
      </c>
      <c r="AH46" s="58">
        <f t="shared" ref="AH46" si="78">AH44-AH45</f>
        <v>-248.30000000000007</v>
      </c>
      <c r="AI46" s="58">
        <f t="shared" ref="AI46" si="79">AI44-AI45</f>
        <v>-305</v>
      </c>
      <c r="AJ46" s="58">
        <f t="shared" ref="AJ46" si="80">AJ44-AJ45</f>
        <v>-248.49999999999997</v>
      </c>
      <c r="AK46" s="58">
        <f t="shared" ref="AK46" si="81">AK44-AK45</f>
        <v>-153.20000000000016</v>
      </c>
      <c r="AL46" s="58">
        <f t="shared" ref="AL46" si="82">AL44-AL45</f>
        <v>8.9999999999999112</v>
      </c>
      <c r="AM46" s="58">
        <f t="shared" ref="AM46" si="83">AM44-AM45</f>
        <v>-139.59999999999988</v>
      </c>
      <c r="AN46" s="58">
        <f t="shared" ref="AN46" si="84">AN44-AN45</f>
        <v>-262.59999999999991</v>
      </c>
      <c r="AO46" s="58">
        <f>AO44+AO45</f>
        <v>-103.37199999999999</v>
      </c>
      <c r="AP46" s="34"/>
      <c r="AQ46" s="34"/>
      <c r="AR46" s="34"/>
      <c r="AS46" s="34"/>
      <c r="AT46" s="34"/>
      <c r="AY46" s="58">
        <f t="shared" si="21"/>
        <v>-514.69999999999993</v>
      </c>
      <c r="AZ46" s="58">
        <f t="shared" si="22"/>
        <v>-3445.2</v>
      </c>
      <c r="BA46" s="58">
        <f t="shared" si="23"/>
        <v>-1255.8999999999999</v>
      </c>
      <c r="BB46" s="58">
        <f t="shared" si="24"/>
        <v>-1033.5999999999999</v>
      </c>
      <c r="BC46" s="58">
        <f t="shared" si="25"/>
        <v>-944.69999999999982</v>
      </c>
      <c r="BD46" s="58">
        <f t="shared" si="26"/>
        <v>-487.8</v>
      </c>
      <c r="BE46" s="58">
        <f t="shared" si="27"/>
        <v>-1429.7999999999997</v>
      </c>
      <c r="BF46" s="58">
        <f t="shared" si="28"/>
        <v>-1322.5</v>
      </c>
      <c r="BG46" s="58">
        <f t="shared" si="29"/>
        <v>-697.70000000000027</v>
      </c>
      <c r="BH46" s="63">
        <f>BH44-BH45</f>
        <v>-161.39407287896168</v>
      </c>
      <c r="BI46" s="63">
        <f t="shared" ref="BI46:BQ46" si="85">BI44-BI45</f>
        <v>-532.0563372234252</v>
      </c>
      <c r="BJ46" s="63">
        <f t="shared" si="85"/>
        <v>-392.83365105686346</v>
      </c>
      <c r="BK46" s="63">
        <f t="shared" si="85"/>
        <v>-107.53128948187612</v>
      </c>
      <c r="BL46" s="63">
        <f t="shared" si="85"/>
        <v>108.49129519967437</v>
      </c>
      <c r="BM46" s="63">
        <f t="shared" si="85"/>
        <v>418.2111414232013</v>
      </c>
      <c r="BN46" s="63">
        <f t="shared" si="85"/>
        <v>830.17750292854589</v>
      </c>
      <c r="BO46" s="63">
        <f t="shared" si="85"/>
        <v>1362.6137215375554</v>
      </c>
      <c r="BP46" s="63">
        <f t="shared" si="85"/>
        <v>1961.9250434054075</v>
      </c>
      <c r="BQ46" s="63">
        <f t="shared" si="85"/>
        <v>2625.2067311025189</v>
      </c>
      <c r="BR46" s="63">
        <f>BQ46*(1+$BQ$61)</f>
        <v>2690.8368993800818</v>
      </c>
      <c r="BS46" s="63">
        <f t="shared" ref="BS46:DO46" si="86">BR46*(1+$BQ$61)</f>
        <v>2758.1078218645835</v>
      </c>
      <c r="BT46" s="63">
        <f t="shared" si="86"/>
        <v>2827.0605174111979</v>
      </c>
      <c r="BU46" s="63">
        <f t="shared" si="86"/>
        <v>2897.7370303464777</v>
      </c>
      <c r="BV46" s="63">
        <f t="shared" si="86"/>
        <v>2970.1804561051395</v>
      </c>
      <c r="BW46" s="63">
        <f t="shared" si="86"/>
        <v>3044.4349675077679</v>
      </c>
      <c r="BX46" s="63">
        <f t="shared" si="86"/>
        <v>3120.5458416954616</v>
      </c>
      <c r="BY46" s="63">
        <f t="shared" si="86"/>
        <v>3198.559487737848</v>
      </c>
      <c r="BZ46" s="63">
        <f t="shared" si="86"/>
        <v>3278.523474931294</v>
      </c>
      <c r="CA46" s="63">
        <f t="shared" si="86"/>
        <v>3360.486561804576</v>
      </c>
      <c r="CB46" s="63">
        <f t="shared" si="86"/>
        <v>3444.4987258496899</v>
      </c>
      <c r="CC46" s="63">
        <f t="shared" si="86"/>
        <v>3530.6111939959319</v>
      </c>
      <c r="CD46" s="63">
        <f t="shared" si="86"/>
        <v>3618.8764738458299</v>
      </c>
      <c r="CE46" s="63">
        <f t="shared" si="86"/>
        <v>3709.3483856919752</v>
      </c>
      <c r="CF46" s="63">
        <f t="shared" si="86"/>
        <v>3802.0820953342741</v>
      </c>
      <c r="CG46" s="63">
        <f t="shared" si="86"/>
        <v>3897.1341477176306</v>
      </c>
      <c r="CH46" s="63">
        <f t="shared" si="86"/>
        <v>3994.5625014105713</v>
      </c>
      <c r="CI46" s="63">
        <f t="shared" si="86"/>
        <v>4094.4265639458354</v>
      </c>
      <c r="CJ46" s="63">
        <f t="shared" si="86"/>
        <v>4196.7872280444808</v>
      </c>
      <c r="CK46" s="63">
        <f t="shared" si="86"/>
        <v>4301.706908745592</v>
      </c>
      <c r="CL46" s="63">
        <f t="shared" si="86"/>
        <v>4409.2495814642316</v>
      </c>
      <c r="CM46" s="63">
        <f t="shared" si="86"/>
        <v>4519.4808210008368</v>
      </c>
      <c r="CN46" s="63">
        <f t="shared" si="86"/>
        <v>4632.4678415258577</v>
      </c>
      <c r="CO46" s="63">
        <f t="shared" si="86"/>
        <v>4748.2795375640035</v>
      </c>
      <c r="CP46" s="63">
        <f t="shared" si="86"/>
        <v>4866.9865260031029</v>
      </c>
      <c r="CQ46" s="63">
        <f t="shared" si="86"/>
        <v>4988.6611891531802</v>
      </c>
      <c r="CR46" s="63">
        <f t="shared" si="86"/>
        <v>5113.3777188820095</v>
      </c>
      <c r="CS46" s="63">
        <f t="shared" si="86"/>
        <v>5241.2121618540596</v>
      </c>
      <c r="CT46" s="63">
        <f t="shared" si="86"/>
        <v>5372.2424659004109</v>
      </c>
      <c r="CU46" s="63">
        <f t="shared" si="86"/>
        <v>5506.5485275479205</v>
      </c>
      <c r="CV46" s="63">
        <f t="shared" si="86"/>
        <v>5644.2122407366178</v>
      </c>
      <c r="CW46" s="63">
        <f t="shared" si="86"/>
        <v>5785.3175467550327</v>
      </c>
      <c r="CX46" s="63">
        <f t="shared" si="86"/>
        <v>5929.9504854239076</v>
      </c>
      <c r="CY46" s="63">
        <f t="shared" si="86"/>
        <v>6078.1992475595043</v>
      </c>
      <c r="CZ46" s="63">
        <f t="shared" si="86"/>
        <v>6230.1542287484917</v>
      </c>
      <c r="DA46" s="63">
        <f t="shared" si="86"/>
        <v>6385.9080844672035</v>
      </c>
      <c r="DB46" s="63">
        <f t="shared" si="86"/>
        <v>6545.5557865788833</v>
      </c>
      <c r="DC46" s="63">
        <f t="shared" si="86"/>
        <v>6709.1946812433544</v>
      </c>
      <c r="DD46" s="63">
        <f t="shared" si="86"/>
        <v>6876.9245482744373</v>
      </c>
      <c r="DE46" s="63">
        <f t="shared" si="86"/>
        <v>7048.8476619812973</v>
      </c>
      <c r="DF46" s="63">
        <f t="shared" si="86"/>
        <v>7225.0688535308291</v>
      </c>
      <c r="DG46" s="63">
        <f t="shared" si="86"/>
        <v>7405.6955748690989</v>
      </c>
      <c r="DH46" s="63">
        <f t="shared" si="86"/>
        <v>7590.8379642408254</v>
      </c>
      <c r="DI46" s="63">
        <f t="shared" si="86"/>
        <v>7780.6089133468449</v>
      </c>
      <c r="DJ46" s="63">
        <f t="shared" si="86"/>
        <v>7975.1241361805151</v>
      </c>
      <c r="DK46" s="63">
        <f t="shared" si="86"/>
        <v>8174.5022395850274</v>
      </c>
      <c r="DL46" s="63">
        <f t="shared" si="86"/>
        <v>8378.8647955746528</v>
      </c>
      <c r="DM46" s="63">
        <f t="shared" si="86"/>
        <v>8588.3364154640185</v>
      </c>
      <c r="DN46" s="63">
        <f t="shared" si="86"/>
        <v>8803.0448258506185</v>
      </c>
      <c r="DO46" s="63">
        <f t="shared" si="86"/>
        <v>9023.1209464968833</v>
      </c>
      <c r="DP46" s="34"/>
      <c r="DQ46" s="34"/>
    </row>
    <row r="47" spans="2:121">
      <c r="B47" s="1" t="s">
        <v>113</v>
      </c>
      <c r="C47" s="59">
        <v>757</v>
      </c>
      <c r="D47" s="59">
        <v>806</v>
      </c>
      <c r="E47" s="59">
        <v>832</v>
      </c>
      <c r="F47" s="59">
        <v>808</v>
      </c>
      <c r="G47" s="59">
        <v>955</v>
      </c>
      <c r="H47" s="59">
        <v>1223</v>
      </c>
      <c r="I47" s="59">
        <v>1233</v>
      </c>
      <c r="J47" s="59">
        <v>1166</v>
      </c>
      <c r="K47" s="59">
        <v>1271</v>
      </c>
      <c r="L47" s="59">
        <v>1295</v>
      </c>
      <c r="M47" s="59">
        <v>1310</v>
      </c>
      <c r="N47" s="59">
        <v>1301</v>
      </c>
      <c r="O47" s="59">
        <v>1341</v>
      </c>
      <c r="P47" s="59">
        <v>1363</v>
      </c>
      <c r="Q47" s="59">
        <v>1393</v>
      </c>
      <c r="R47" s="59">
        <v>1375</v>
      </c>
      <c r="S47" s="59">
        <v>1426</v>
      </c>
      <c r="T47" s="59">
        <v>1447</v>
      </c>
      <c r="U47" s="59">
        <v>1466</v>
      </c>
      <c r="V47" s="59">
        <v>1456</v>
      </c>
      <c r="W47" s="59">
        <v>1502</v>
      </c>
      <c r="X47" s="59">
        <v>1547</v>
      </c>
      <c r="Y47" s="59">
        <v>1581</v>
      </c>
      <c r="Z47" s="59">
        <v>1559</v>
      </c>
      <c r="AA47" s="59">
        <v>1619</v>
      </c>
      <c r="AB47" s="59">
        <v>1632</v>
      </c>
      <c r="AC47" s="59">
        <v>1609</v>
      </c>
      <c r="AD47" s="59">
        <v>1608</v>
      </c>
      <c r="AE47" s="59">
        <v>1581</v>
      </c>
      <c r="AF47" s="59">
        <v>1603</v>
      </c>
      <c r="AG47" s="59">
        <v>1626</v>
      </c>
      <c r="AH47" s="59">
        <v>1613</v>
      </c>
      <c r="AI47" s="59">
        <v>1647</v>
      </c>
      <c r="AJ47" s="59">
        <v>1645</v>
      </c>
      <c r="AK47" s="59">
        <v>1663</v>
      </c>
      <c r="AL47" s="59">
        <v>1659</v>
      </c>
      <c r="AM47" s="59">
        <v>1696</v>
      </c>
      <c r="AN47" s="59">
        <v>1675</v>
      </c>
      <c r="AO47" s="59">
        <v>1696.5419999999999</v>
      </c>
      <c r="AY47" s="59">
        <v>808</v>
      </c>
      <c r="AZ47" s="59">
        <v>1166</v>
      </c>
      <c r="BA47" s="59">
        <v>1301</v>
      </c>
      <c r="BB47" s="59">
        <v>1375</v>
      </c>
      <c r="BC47" s="59">
        <v>1456</v>
      </c>
      <c r="BD47" s="59">
        <v>1559</v>
      </c>
      <c r="BE47" s="59">
        <v>1608</v>
      </c>
      <c r="BF47" s="59">
        <v>1613</v>
      </c>
      <c r="BG47" s="59">
        <v>1659</v>
      </c>
    </row>
    <row r="48" spans="2:121">
      <c r="B48" s="1" t="s">
        <v>216</v>
      </c>
      <c r="C48" s="40">
        <f>C46/C47</f>
        <v>-0.13804491413474237</v>
      </c>
      <c r="D48" s="40">
        <f t="shared" ref="D48:AO48" si="87">D46/D47</f>
        <v>-0.14392059553349876</v>
      </c>
      <c r="E48" s="40">
        <f t="shared" si="87"/>
        <v>-0.14927884615384615</v>
      </c>
      <c r="F48" s="40">
        <f t="shared" si="87"/>
        <v>-0.21039603960396036</v>
      </c>
      <c r="G48" s="40">
        <f t="shared" si="87"/>
        <v>-2.3130890052356019</v>
      </c>
      <c r="H48" s="40">
        <f t="shared" si="87"/>
        <v>-0.36222403924775148</v>
      </c>
      <c r="I48" s="40">
        <f t="shared" si="87"/>
        <v>-0.35944849959448499</v>
      </c>
      <c r="J48" s="40">
        <f t="shared" si="87"/>
        <v>-0.30017152658662088</v>
      </c>
      <c r="K48" s="40">
        <f t="shared" si="87"/>
        <v>-0.30354051927616049</v>
      </c>
      <c r="L48" s="40">
        <f t="shared" si="87"/>
        <v>-0.2728185328185328</v>
      </c>
      <c r="M48" s="40">
        <f t="shared" si="87"/>
        <v>-0.24816793893129768</v>
      </c>
      <c r="N48" s="40">
        <f t="shared" si="87"/>
        <v>-0.14734819369715604</v>
      </c>
      <c r="O48" s="40">
        <f t="shared" si="87"/>
        <v>-0.23154362416107388</v>
      </c>
      <c r="P48" s="40">
        <f t="shared" si="87"/>
        <v>-0.18723404255319151</v>
      </c>
      <c r="Q48" s="40">
        <f t="shared" si="87"/>
        <v>-0.16317300789662598</v>
      </c>
      <c r="R48" s="40">
        <f t="shared" si="87"/>
        <v>-0.17498181818181821</v>
      </c>
      <c r="S48" s="40">
        <f t="shared" si="87"/>
        <v>-0.214516129032258</v>
      </c>
      <c r="T48" s="40">
        <f t="shared" si="87"/>
        <v>-0.22529371112646851</v>
      </c>
      <c r="U48" s="40">
        <f t="shared" si="87"/>
        <v>-0.13628922237380625</v>
      </c>
      <c r="V48" s="40">
        <f t="shared" si="87"/>
        <v>-7.7609890109890153E-2</v>
      </c>
      <c r="W48" s="40">
        <f t="shared" si="87"/>
        <v>-0.19094540612516644</v>
      </c>
      <c r="X48" s="40">
        <f t="shared" si="87"/>
        <v>-9.7996121525533358E-2</v>
      </c>
      <c r="Y48" s="40">
        <f t="shared" si="87"/>
        <v>-4.5477545857052465E-2</v>
      </c>
      <c r="Z48" s="40">
        <f t="shared" si="87"/>
        <v>1.4432328415651103E-2</v>
      </c>
      <c r="AA48" s="40">
        <f t="shared" si="87"/>
        <v>-0.22217418159357624</v>
      </c>
      <c r="AB48" s="40">
        <f t="shared" si="87"/>
        <v>-0.25863970588235291</v>
      </c>
      <c r="AC48" s="40">
        <f t="shared" si="87"/>
        <v>-0.22343070229956491</v>
      </c>
      <c r="AD48" s="40">
        <f t="shared" si="87"/>
        <v>-0.17941542288557208</v>
      </c>
      <c r="AE48" s="40">
        <f t="shared" si="87"/>
        <v>-0.20790638836179626</v>
      </c>
      <c r="AF48" s="40">
        <f t="shared" si="87"/>
        <v>-0.23537117903930127</v>
      </c>
      <c r="AG48" s="40">
        <f t="shared" si="87"/>
        <v>-0.22644526445264457</v>
      </c>
      <c r="AH48" s="40">
        <f t="shared" si="87"/>
        <v>-0.1539367637941724</v>
      </c>
      <c r="AI48" s="40">
        <f t="shared" si="87"/>
        <v>-0.18518518518518517</v>
      </c>
      <c r="AJ48" s="40">
        <f t="shared" si="87"/>
        <v>-0.15106382978723404</v>
      </c>
      <c r="AK48" s="40">
        <f t="shared" si="87"/>
        <v>-9.2122669873722279E-2</v>
      </c>
      <c r="AL48" s="40">
        <f t="shared" si="87"/>
        <v>5.4249547920433459E-3</v>
      </c>
      <c r="AM48" s="40">
        <f t="shared" si="87"/>
        <v>-8.2311320754716907E-2</v>
      </c>
      <c r="AN48" s="40">
        <f t="shared" si="87"/>
        <v>-0.15677611940298503</v>
      </c>
      <c r="AO48" s="40">
        <f t="shared" si="87"/>
        <v>-6.0930999645160563E-2</v>
      </c>
      <c r="AY48" s="40">
        <f>SUM(C48:F48)</f>
        <v>-0.64164039542604767</v>
      </c>
      <c r="AZ48" s="40">
        <f>SUM(G48:J48)</f>
        <v>-3.3349330706644591</v>
      </c>
      <c r="BA48" s="40">
        <f>SUM(K48:N48)</f>
        <v>-0.97187518472314693</v>
      </c>
      <c r="BB48" s="40">
        <f>SUM(O48:R48)</f>
        <v>-0.75693249279270958</v>
      </c>
      <c r="BC48" s="40">
        <f>SUM(S48:V48)</f>
        <v>-0.6537089526424229</v>
      </c>
      <c r="BD48" s="40">
        <f>SUM(W48:Z48)</f>
        <v>-0.31998674509210112</v>
      </c>
      <c r="BE48" s="40">
        <f>SUM(AA48:AD48)</f>
        <v>-0.8836600126610662</v>
      </c>
      <c r="BF48" s="40">
        <f>SUM(AE48:AH48)</f>
        <v>-0.82365959564791447</v>
      </c>
      <c r="BG48" s="40">
        <f>SUM(AI48:AL48)</f>
        <v>-0.42294673005409816</v>
      </c>
    </row>
    <row r="50" spans="2:70">
      <c r="B50" s="37" t="s">
        <v>97</v>
      </c>
      <c r="C50" s="60">
        <f t="shared" ref="C50:AL50" si="88">C35/C33</f>
        <v>-0.95360824742268047</v>
      </c>
      <c r="D50" s="60">
        <f t="shared" si="88"/>
        <v>-0.3203342618384401</v>
      </c>
      <c r="E50" s="60">
        <f t="shared" si="88"/>
        <v>3.1201248049921334E-3</v>
      </c>
      <c r="F50" s="60">
        <f t="shared" si="88"/>
        <v>7.4230537115268461E-2</v>
      </c>
      <c r="G50" s="60">
        <f t="shared" si="88"/>
        <v>-9.2245989304812911E-2</v>
      </c>
      <c r="H50" s="60">
        <f t="shared" si="88"/>
        <v>0.16290588882773802</v>
      </c>
      <c r="I50" s="60">
        <f t="shared" si="88"/>
        <v>-1.3468013468013386E-2</v>
      </c>
      <c r="J50" s="60">
        <f t="shared" si="88"/>
        <v>0.33076653832691638</v>
      </c>
      <c r="K50" s="60">
        <f t="shared" si="88"/>
        <v>0.14694408322496741</v>
      </c>
      <c r="L50" s="60">
        <f t="shared" si="88"/>
        <v>0.26953869614944725</v>
      </c>
      <c r="M50" s="60">
        <f t="shared" si="88"/>
        <v>0.33624454148471616</v>
      </c>
      <c r="N50" s="60">
        <f t="shared" si="88"/>
        <v>0.4538224730631093</v>
      </c>
      <c r="O50" s="60">
        <f t="shared" si="88"/>
        <v>0.363920099875156</v>
      </c>
      <c r="P50" s="60">
        <f t="shared" si="88"/>
        <v>0.44458762886597936</v>
      </c>
      <c r="Q50" s="60">
        <f t="shared" si="88"/>
        <v>0.5</v>
      </c>
      <c r="R50" s="60">
        <f t="shared" si="88"/>
        <v>0.54822606525227313</v>
      </c>
      <c r="S50" s="60">
        <f t="shared" si="88"/>
        <v>0.45210810810810809</v>
      </c>
      <c r="T50" s="60">
        <f t="shared" si="88"/>
        <v>0.4484808454425363</v>
      </c>
      <c r="U50" s="60">
        <f t="shared" si="88"/>
        <v>0.56814498305584205</v>
      </c>
      <c r="V50" s="60">
        <f t="shared" si="88"/>
        <v>0.57697794359705912</v>
      </c>
      <c r="W50" s="60">
        <f t="shared" si="88"/>
        <v>0.46387733887733884</v>
      </c>
      <c r="X50" s="60">
        <f t="shared" si="88"/>
        <v>0.54688931880663882</v>
      </c>
      <c r="Y50" s="60">
        <f t="shared" si="88"/>
        <v>0.58454332552693211</v>
      </c>
      <c r="Z50" s="60">
        <f t="shared" si="88"/>
        <v>0.65390245781647272</v>
      </c>
      <c r="AA50" s="60">
        <f t="shared" si="88"/>
        <v>0.60393337724663598</v>
      </c>
      <c r="AB50" s="60">
        <f t="shared" si="88"/>
        <v>0.59816365109370784</v>
      </c>
      <c r="AC50" s="60">
        <f t="shared" si="88"/>
        <v>0.58635356668143557</v>
      </c>
      <c r="AD50" s="60">
        <f t="shared" si="88"/>
        <v>0.62968377317842583</v>
      </c>
      <c r="AE50" s="60">
        <f t="shared" si="88"/>
        <v>0.55492615820352009</v>
      </c>
      <c r="AF50" s="60">
        <f t="shared" si="88"/>
        <v>0.53460709937248296</v>
      </c>
      <c r="AG50" s="60">
        <f t="shared" si="88"/>
        <v>0.53239104829210837</v>
      </c>
      <c r="AH50" s="60">
        <f t="shared" si="88"/>
        <v>0.54345111290678028</v>
      </c>
      <c r="AI50" s="60">
        <f t="shared" si="88"/>
        <v>0.51899899564780716</v>
      </c>
      <c r="AJ50" s="60">
        <f t="shared" si="88"/>
        <v>0.5238518758085382</v>
      </c>
      <c r="AK50" s="60">
        <f t="shared" si="88"/>
        <v>0.53453300305988638</v>
      </c>
      <c r="AL50" s="60">
        <f t="shared" si="88"/>
        <v>0.56867655557696006</v>
      </c>
      <c r="AM50" s="60">
        <f t="shared" ref="AM50" si="89">AM35/AM33</f>
        <v>0.53080985915492962</v>
      </c>
      <c r="AN50" s="60">
        <f t="shared" ref="AN50" si="90">AN35/AN33</f>
        <v>0.51423897687560416</v>
      </c>
      <c r="AO50" s="60">
        <f t="shared" ref="AO50" si="91">AO35/AO33</f>
        <v>0.55260783012607828</v>
      </c>
      <c r="AY50" s="60">
        <f t="shared" ref="AY50:BG50" si="92">AY35/AY33</f>
        <v>-0.11693448702101367</v>
      </c>
      <c r="AZ50" s="60">
        <f t="shared" si="92"/>
        <v>0.13031882652442722</v>
      </c>
      <c r="BA50" s="60">
        <f t="shared" si="92"/>
        <v>0.32325285895806866</v>
      </c>
      <c r="BB50" s="60">
        <f t="shared" si="92"/>
        <v>0.47781987758670935</v>
      </c>
      <c r="BC50" s="60">
        <f t="shared" si="92"/>
        <v>0.52826425180516212</v>
      </c>
      <c r="BD50" s="60">
        <f t="shared" si="92"/>
        <v>0.57487066138787013</v>
      </c>
      <c r="BE50" s="60">
        <f t="shared" si="92"/>
        <v>0.60550219479334189</v>
      </c>
      <c r="BF50" s="60">
        <f t="shared" si="92"/>
        <v>0.54100994312014239</v>
      </c>
      <c r="BG50" s="60">
        <f t="shared" si="92"/>
        <v>0.53852466660449494</v>
      </c>
      <c r="BH50" s="69">
        <v>0.54</v>
      </c>
      <c r="BI50" s="69">
        <v>0.55000000000000004</v>
      </c>
      <c r="BJ50" s="69">
        <v>0.56499999999999995</v>
      </c>
      <c r="BK50" s="69">
        <v>0.56999999999999995</v>
      </c>
      <c r="BL50" s="69">
        <v>0.57499999999999996</v>
      </c>
      <c r="BM50" s="69">
        <v>0.57999999999999996</v>
      </c>
      <c r="BN50" s="69">
        <v>0.59</v>
      </c>
      <c r="BO50" s="69">
        <v>0.6</v>
      </c>
      <c r="BP50" s="69">
        <v>0.60499999999999998</v>
      </c>
      <c r="BQ50" s="69">
        <v>0.61</v>
      </c>
    </row>
    <row r="51" spans="2:70">
      <c r="B51" s="37" t="s">
        <v>98</v>
      </c>
      <c r="C51" s="60">
        <f t="shared" ref="C51:AL51" si="93">C36/C33</f>
        <v>0.72422680412371143</v>
      </c>
      <c r="D51" s="60">
        <f t="shared" si="93"/>
        <v>0.50278551532033433</v>
      </c>
      <c r="E51" s="60">
        <f t="shared" si="93"/>
        <v>0.42589703588143529</v>
      </c>
      <c r="F51" s="60">
        <f t="shared" si="93"/>
        <v>0.39227519613759809</v>
      </c>
      <c r="G51" s="60">
        <f t="shared" si="93"/>
        <v>5.3863636363636367</v>
      </c>
      <c r="H51" s="60">
        <f t="shared" si="93"/>
        <v>1.4072647220693451</v>
      </c>
      <c r="I51" s="60">
        <f t="shared" si="93"/>
        <v>1.1515151515151516</v>
      </c>
      <c r="J51" s="60">
        <f t="shared" si="93"/>
        <v>0.81834091704585232</v>
      </c>
      <c r="K51" s="60">
        <f t="shared" si="93"/>
        <v>0.87126137841352413</v>
      </c>
      <c r="L51" s="60">
        <f t="shared" si="93"/>
        <v>0.77468547464735027</v>
      </c>
      <c r="M51" s="60">
        <f t="shared" si="93"/>
        <v>0.68357406785354391</v>
      </c>
      <c r="N51" s="60">
        <f t="shared" si="93"/>
        <v>0.42175474602360186</v>
      </c>
      <c r="O51" s="60">
        <f t="shared" si="93"/>
        <v>0.67478152309612982</v>
      </c>
      <c r="P51" s="60">
        <f t="shared" si="93"/>
        <v>0.60876288659793809</v>
      </c>
      <c r="Q51" s="60">
        <f t="shared" si="93"/>
        <v>0.47422680412371132</v>
      </c>
      <c r="R51" s="60">
        <f t="shared" si="93"/>
        <v>0.39133535389552504</v>
      </c>
      <c r="S51" s="60">
        <f t="shared" si="93"/>
        <v>0.51589189189189189</v>
      </c>
      <c r="T51" s="60">
        <f t="shared" si="93"/>
        <v>0.57441655658300306</v>
      </c>
      <c r="U51" s="60">
        <f t="shared" si="93"/>
        <v>0.41785766907322824</v>
      </c>
      <c r="V51" s="60">
        <f t="shared" si="93"/>
        <v>0.34939097991879731</v>
      </c>
      <c r="W51" s="60">
        <f t="shared" si="93"/>
        <v>0.45296257796257799</v>
      </c>
      <c r="X51" s="60">
        <f t="shared" si="93"/>
        <v>0.37745647082781791</v>
      </c>
      <c r="Y51" s="60">
        <f t="shared" si="93"/>
        <v>0.38594847775175645</v>
      </c>
      <c r="Z51" s="60">
        <f t="shared" si="93"/>
        <v>0.33454041143385466</v>
      </c>
      <c r="AA51" s="60">
        <f t="shared" si="93"/>
        <v>0.4287192998964901</v>
      </c>
      <c r="AB51" s="60">
        <f t="shared" si="93"/>
        <v>0.45458637141056796</v>
      </c>
      <c r="AC51" s="60">
        <f t="shared" si="93"/>
        <v>0.50004430660168364</v>
      </c>
      <c r="AD51" s="60">
        <f t="shared" si="93"/>
        <v>0.45002692929137489</v>
      </c>
      <c r="AE51" s="60">
        <f t="shared" si="93"/>
        <v>0.46034796682176815</v>
      </c>
      <c r="AF51" s="60">
        <f t="shared" si="93"/>
        <v>0.44741032125128777</v>
      </c>
      <c r="AG51" s="60">
        <f t="shared" si="93"/>
        <v>0.41611980481238436</v>
      </c>
      <c r="AH51" s="60">
        <f t="shared" si="93"/>
        <v>0.35517520017630205</v>
      </c>
      <c r="AI51" s="60">
        <f t="shared" si="93"/>
        <v>0.37646468028121866</v>
      </c>
      <c r="AJ51" s="60">
        <f t="shared" si="93"/>
        <v>0.32842820181112548</v>
      </c>
      <c r="AK51" s="60">
        <f t="shared" si="93"/>
        <v>0.30074311525571912</v>
      </c>
      <c r="AL51" s="60">
        <f t="shared" si="93"/>
        <v>0.27155975085083156</v>
      </c>
      <c r="AM51" s="60">
        <f>AM36/AM33</f>
        <v>0.31117957746478869</v>
      </c>
      <c r="AN51" s="60">
        <f>AN36/AN33</f>
        <v>0.329615584801844</v>
      </c>
      <c r="AO51" s="60">
        <f>AO36/AO33</f>
        <v>0.30086927670869279</v>
      </c>
      <c r="AY51" s="60">
        <f t="shared" ref="AY51:BG51" si="94">AY36/AY33</f>
        <v>0.45438813349814589</v>
      </c>
      <c r="AZ51" s="60">
        <f t="shared" si="94"/>
        <v>1.8604679355073346</v>
      </c>
      <c r="BA51" s="60">
        <f t="shared" si="94"/>
        <v>0.65404489623041084</v>
      </c>
      <c r="BB51" s="60">
        <f t="shared" si="94"/>
        <v>0.5150102011075488</v>
      </c>
      <c r="BC51" s="60">
        <f t="shared" si="94"/>
        <v>0.43942234810707309</v>
      </c>
      <c r="BD51" s="60">
        <f t="shared" si="94"/>
        <v>0.38024337519127538</v>
      </c>
      <c r="BE51" s="60">
        <f t="shared" si="94"/>
        <v>0.4584727715241862</v>
      </c>
      <c r="BF51" s="60">
        <f t="shared" si="94"/>
        <v>0.41485389257956673</v>
      </c>
      <c r="BG51" s="60">
        <f t="shared" si="94"/>
        <v>0.31552737107152845</v>
      </c>
      <c r="BH51" s="69">
        <v>0.32</v>
      </c>
      <c r="BI51" s="69">
        <v>0.28999999999999998</v>
      </c>
      <c r="BJ51" s="69">
        <v>0.27</v>
      </c>
      <c r="BK51" s="69">
        <v>0.24</v>
      </c>
      <c r="BL51" s="69">
        <v>0.23</v>
      </c>
      <c r="BM51" s="69">
        <v>0.22</v>
      </c>
      <c r="BN51" s="69">
        <v>0.215</v>
      </c>
      <c r="BO51" s="69">
        <v>0.21</v>
      </c>
      <c r="BP51" s="69">
        <v>0.20499999999999999</v>
      </c>
      <c r="BQ51" s="69">
        <v>0.2</v>
      </c>
    </row>
    <row r="52" spans="2:70">
      <c r="B52" s="37" t="s">
        <v>218</v>
      </c>
      <c r="C52" s="60">
        <f t="shared" ref="C52:AL52" si="95">C37/C33</f>
        <v>0.61855670103092786</v>
      </c>
      <c r="D52" s="60">
        <f t="shared" si="95"/>
        <v>0.44986072423398327</v>
      </c>
      <c r="E52" s="60">
        <f t="shared" si="95"/>
        <v>0.32917316692667714</v>
      </c>
      <c r="F52" s="60">
        <f t="shared" si="95"/>
        <v>0.40253470126735069</v>
      </c>
      <c r="G52" s="60">
        <f t="shared" si="95"/>
        <v>7.8509358288770059</v>
      </c>
      <c r="H52" s="60">
        <f t="shared" si="95"/>
        <v>0.72592184920198133</v>
      </c>
      <c r="I52" s="60">
        <f t="shared" si="95"/>
        <v>0.56806156806156805</v>
      </c>
      <c r="J52" s="60">
        <f t="shared" si="95"/>
        <v>0.38886944347217361</v>
      </c>
      <c r="K52" s="60">
        <f t="shared" si="95"/>
        <v>0.53446033810143045</v>
      </c>
      <c r="L52" s="60">
        <f t="shared" si="95"/>
        <v>0.47121616469691191</v>
      </c>
      <c r="M52" s="60">
        <f t="shared" si="95"/>
        <v>0.41115216661068194</v>
      </c>
      <c r="N52" s="60">
        <f t="shared" si="95"/>
        <v>0.27629553617239611</v>
      </c>
      <c r="O52" s="60">
        <f t="shared" si="95"/>
        <v>0.37047440699126094</v>
      </c>
      <c r="P52" s="60">
        <f t="shared" si="95"/>
        <v>0.33402061855670101</v>
      </c>
      <c r="Q52" s="60">
        <f t="shared" si="95"/>
        <v>0.26243836844464363</v>
      </c>
      <c r="R52" s="60">
        <f t="shared" si="95"/>
        <v>0.38420395792476381</v>
      </c>
      <c r="S52" s="60">
        <f t="shared" si="95"/>
        <v>0.26421621621621622</v>
      </c>
      <c r="T52" s="60">
        <f t="shared" si="95"/>
        <v>0.29084103918978416</v>
      </c>
      <c r="U52" s="60">
        <f t="shared" si="95"/>
        <v>0.21143362310299091</v>
      </c>
      <c r="V52" s="60">
        <f t="shared" si="95"/>
        <v>0.17304948973993203</v>
      </c>
      <c r="W52" s="60">
        <f t="shared" si="95"/>
        <v>0.19529625779625781</v>
      </c>
      <c r="X52" s="60">
        <f t="shared" si="95"/>
        <v>0.18297525710212814</v>
      </c>
      <c r="Y52" s="60">
        <f t="shared" si="95"/>
        <v>0.20374707259953162</v>
      </c>
      <c r="Z52" s="60">
        <f t="shared" si="95"/>
        <v>0.1889976115263117</v>
      </c>
      <c r="AA52" s="60">
        <f t="shared" si="95"/>
        <v>0.2276277406605815</v>
      </c>
      <c r="AB52" s="60">
        <f t="shared" si="95"/>
        <v>0.28031325951930863</v>
      </c>
      <c r="AC52" s="60">
        <f t="shared" si="95"/>
        <v>0.23952148870181664</v>
      </c>
      <c r="AD52" s="60">
        <f t="shared" si="95"/>
        <v>0.22712933753943221</v>
      </c>
      <c r="AE52" s="60">
        <f t="shared" si="95"/>
        <v>0.27159619664171541</v>
      </c>
      <c r="AF52" s="60">
        <f t="shared" si="95"/>
        <v>0.2627142455745996</v>
      </c>
      <c r="AG52" s="60">
        <f t="shared" si="95"/>
        <v>0.25004206629648323</v>
      </c>
      <c r="AH52" s="60">
        <f t="shared" si="95"/>
        <v>0.20260045544699917</v>
      </c>
      <c r="AI52" s="60">
        <f t="shared" si="95"/>
        <v>0.23100100435219284</v>
      </c>
      <c r="AJ52" s="60">
        <f t="shared" si="95"/>
        <v>0.21531371280724448</v>
      </c>
      <c r="AK52" s="60">
        <f t="shared" si="95"/>
        <v>0.19896546699694015</v>
      </c>
      <c r="AL52" s="60">
        <f t="shared" si="95"/>
        <v>0.15944262505618698</v>
      </c>
      <c r="AM52" s="60">
        <f>AM37/AM33</f>
        <v>0.18918720657276994</v>
      </c>
      <c r="AN52" s="60">
        <f>AN37/AN33</f>
        <v>0.19176146925421961</v>
      </c>
      <c r="AO52" s="60">
        <f>AO37/AO33</f>
        <v>0.17001658925016588</v>
      </c>
      <c r="AY52" s="60">
        <f t="shared" ref="AY52:BG52" si="96">AY37/AY33</f>
        <v>0.40840543881334979</v>
      </c>
      <c r="AZ52" s="60">
        <f t="shared" si="96"/>
        <v>1.8615589768456784</v>
      </c>
      <c r="BA52" s="60">
        <f t="shared" si="96"/>
        <v>0.40406607369758574</v>
      </c>
      <c r="BB52" s="60">
        <f t="shared" si="96"/>
        <v>0.33861847857767413</v>
      </c>
      <c r="BC52" s="60">
        <f t="shared" si="96"/>
        <v>0.22160609566362152</v>
      </c>
      <c r="BD52" s="60">
        <f t="shared" si="96"/>
        <v>0.19256272619076531</v>
      </c>
      <c r="BE52" s="60">
        <f t="shared" si="96"/>
        <v>0.24312225650832286</v>
      </c>
      <c r="BF52" s="60">
        <f t="shared" si="96"/>
        <v>0.24358473361990357</v>
      </c>
      <c r="BG52" s="60">
        <f t="shared" si="96"/>
        <v>0.19839597127669492</v>
      </c>
      <c r="BH52" s="69">
        <v>0.187</v>
      </c>
      <c r="BI52" s="69">
        <v>0.18</v>
      </c>
      <c r="BJ52" s="69">
        <v>0.17749999999999999</v>
      </c>
      <c r="BK52" s="69">
        <v>0.17499999999999999</v>
      </c>
      <c r="BL52" s="69">
        <v>0.17249999999999999</v>
      </c>
      <c r="BM52" s="69">
        <v>0.17</v>
      </c>
      <c r="BN52" s="69">
        <v>0.16750000000000001</v>
      </c>
      <c r="BO52" s="69">
        <v>0.16500000000000001</v>
      </c>
      <c r="BP52" s="69">
        <v>0.16250000000000001</v>
      </c>
      <c r="BQ52" s="69">
        <v>0.16</v>
      </c>
    </row>
    <row r="53" spans="2:70">
      <c r="B53" s="37" t="s">
        <v>219</v>
      </c>
      <c r="C53" s="60">
        <f t="shared" ref="C53:AL53" si="97">C38/C33</f>
        <v>0.37886597938144323</v>
      </c>
      <c r="D53" s="60">
        <f t="shared" si="97"/>
        <v>0.3412256267409472</v>
      </c>
      <c r="E53" s="60">
        <f t="shared" si="97"/>
        <v>0.26989079563182533</v>
      </c>
      <c r="F53" s="60">
        <f t="shared" si="97"/>
        <v>0.30416415208207603</v>
      </c>
      <c r="G53" s="60">
        <f t="shared" si="97"/>
        <v>1.4692513368983955</v>
      </c>
      <c r="H53" s="60">
        <f t="shared" si="97"/>
        <v>0.50027517886626327</v>
      </c>
      <c r="I53" s="60">
        <f t="shared" si="97"/>
        <v>0.48869648869648863</v>
      </c>
      <c r="J53" s="60">
        <f t="shared" si="97"/>
        <v>0.38676933846692318</v>
      </c>
      <c r="K53" s="60">
        <f t="shared" si="97"/>
        <v>0.44256610316428246</v>
      </c>
      <c r="L53" s="60">
        <f t="shared" si="97"/>
        <v>0.38772398017537163</v>
      </c>
      <c r="M53" s="60">
        <f t="shared" si="97"/>
        <v>0.32784682566341966</v>
      </c>
      <c r="N53" s="60">
        <f t="shared" si="97"/>
        <v>0.25525910723447931</v>
      </c>
      <c r="O53" s="60">
        <f t="shared" si="97"/>
        <v>0.30524344569288397</v>
      </c>
      <c r="P53" s="60">
        <f t="shared" si="97"/>
        <v>0.2873711340206187</v>
      </c>
      <c r="Q53" s="60">
        <f t="shared" si="97"/>
        <v>0.27610936799641406</v>
      </c>
      <c r="R53" s="60">
        <f t="shared" si="97"/>
        <v>0.22463897307898023</v>
      </c>
      <c r="S53" s="60">
        <f t="shared" si="97"/>
        <v>0.29102702702702704</v>
      </c>
      <c r="T53" s="60">
        <f t="shared" si="97"/>
        <v>0.26706296785557021</v>
      </c>
      <c r="U53" s="60">
        <f t="shared" si="97"/>
        <v>0.18609105643141297</v>
      </c>
      <c r="V53" s="60">
        <f t="shared" si="97"/>
        <v>0.16119828815977177</v>
      </c>
      <c r="W53" s="60">
        <f t="shared" si="97"/>
        <v>0.21010914760914759</v>
      </c>
      <c r="X53" s="60">
        <f t="shared" si="97"/>
        <v>0.18246614397719171</v>
      </c>
      <c r="Y53" s="60">
        <f t="shared" si="97"/>
        <v>0.16421545667447307</v>
      </c>
      <c r="Z53" s="60">
        <f t="shared" si="97"/>
        <v>0.14978041451575622</v>
      </c>
      <c r="AA53" s="60">
        <f t="shared" si="97"/>
        <v>0.20316175778676954</v>
      </c>
      <c r="AB53" s="60">
        <f t="shared" si="97"/>
        <v>0.22423260419479699</v>
      </c>
      <c r="AC53" s="60">
        <f t="shared" si="97"/>
        <v>0.2325210456357997</v>
      </c>
      <c r="AD53" s="60">
        <f t="shared" si="97"/>
        <v>0.17380934061706549</v>
      </c>
      <c r="AE53" s="60">
        <f t="shared" si="97"/>
        <v>0.19249443657697754</v>
      </c>
      <c r="AF53" s="60">
        <f t="shared" si="97"/>
        <v>0.20314695139084013</v>
      </c>
      <c r="AG53" s="60">
        <f t="shared" si="97"/>
        <v>0.18601716304896518</v>
      </c>
      <c r="AH53" s="60">
        <f t="shared" si="97"/>
        <v>0.16836847131418498</v>
      </c>
      <c r="AI53" s="60">
        <f t="shared" si="97"/>
        <v>0.19040843655841982</v>
      </c>
      <c r="AJ53" s="60">
        <f t="shared" si="97"/>
        <v>0.18539780077619666</v>
      </c>
      <c r="AK53" s="60">
        <f t="shared" si="97"/>
        <v>0.16100830540579922</v>
      </c>
      <c r="AL53" s="60">
        <f t="shared" si="97"/>
        <v>0.15494766583188854</v>
      </c>
      <c r="AM53" s="60">
        <f>AM38/AM33</f>
        <v>0.1726819248826291</v>
      </c>
      <c r="AN53" s="60">
        <f>AN38/AN33</f>
        <v>0.18596178154509627</v>
      </c>
      <c r="AO53" s="60">
        <f>AO38/AO33</f>
        <v>0.16678699402786995</v>
      </c>
      <c r="AY53" s="60">
        <f t="shared" ref="AY53:BG53" si="98">AY38/AY33</f>
        <v>0.3070457354758962</v>
      </c>
      <c r="AZ53" s="60">
        <f t="shared" si="98"/>
        <v>0.63377379076251672</v>
      </c>
      <c r="BA53" s="60">
        <f t="shared" si="98"/>
        <v>0.33960186361711137</v>
      </c>
      <c r="BB53" s="60">
        <f t="shared" si="98"/>
        <v>0.26726901777907314</v>
      </c>
      <c r="BC53" s="60">
        <f t="shared" si="98"/>
        <v>0.21107432082020189</v>
      </c>
      <c r="BD53" s="60">
        <f t="shared" si="98"/>
        <v>0.17259721648733331</v>
      </c>
      <c r="BE53" s="60">
        <f t="shared" si="98"/>
        <v>0.20715806858185926</v>
      </c>
      <c r="BF53" s="60">
        <f t="shared" si="98"/>
        <v>0.1861621293039816</v>
      </c>
      <c r="BG53" s="60">
        <f t="shared" si="98"/>
        <v>0.17142590692903104</v>
      </c>
      <c r="BH53" s="69">
        <v>0.17499999999999999</v>
      </c>
      <c r="BI53" s="69">
        <v>0.18</v>
      </c>
      <c r="BJ53" s="69">
        <v>0.17299999999999999</v>
      </c>
      <c r="BK53" s="69">
        <v>0.16500000000000001</v>
      </c>
      <c r="BL53" s="69">
        <v>0.16</v>
      </c>
      <c r="BM53" s="69">
        <v>0.155</v>
      </c>
      <c r="BN53" s="69">
        <v>0.15</v>
      </c>
      <c r="BO53" s="69">
        <v>0.14499999999999999</v>
      </c>
      <c r="BP53" s="69">
        <v>0.14000000000000001</v>
      </c>
      <c r="BQ53" s="69">
        <v>0.14000000000000001</v>
      </c>
    </row>
    <row r="54" spans="2:70">
      <c r="B54" s="37" t="s">
        <v>99</v>
      </c>
      <c r="C54" s="60">
        <f t="shared" ref="C54:AL54" si="99">C40/C33</f>
        <v>-2.6752577319587632</v>
      </c>
      <c r="D54" s="60">
        <f t="shared" si="99"/>
        <v>-1.6142061281337048</v>
      </c>
      <c r="E54" s="60">
        <f t="shared" si="99"/>
        <v>-1.0218408736349456</v>
      </c>
      <c r="F54" s="60">
        <f t="shared" si="99"/>
        <v>-1.0247435123717561</v>
      </c>
      <c r="G54" s="60">
        <f t="shared" si="99"/>
        <v>-14.798796791443852</v>
      </c>
      <c r="H54" s="60">
        <f t="shared" si="99"/>
        <v>-2.4705558613098519</v>
      </c>
      <c r="I54" s="60">
        <f t="shared" si="99"/>
        <v>-2.2217412217412216</v>
      </c>
      <c r="J54" s="60">
        <f t="shared" si="99"/>
        <v>-1.2632131606580326</v>
      </c>
      <c r="K54" s="60">
        <f t="shared" si="99"/>
        <v>-1.7013437364542696</v>
      </c>
      <c r="L54" s="60">
        <f t="shared" si="99"/>
        <v>-1.3640869233701867</v>
      </c>
      <c r="M54" s="60">
        <f t="shared" si="99"/>
        <v>-1.086328518642929</v>
      </c>
      <c r="N54" s="60">
        <f t="shared" si="99"/>
        <v>-0.49948691636736792</v>
      </c>
      <c r="O54" s="60">
        <f t="shared" si="99"/>
        <v>-0.98657927590511874</v>
      </c>
      <c r="P54" s="60">
        <f t="shared" si="99"/>
        <v>-0.78556701030927834</v>
      </c>
      <c r="Q54" s="60">
        <f t="shared" si="99"/>
        <v>-0.51277454056476912</v>
      </c>
      <c r="R54" s="60">
        <f t="shared" si="99"/>
        <v>-0.45195221964699595</v>
      </c>
      <c r="S54" s="60">
        <f t="shared" si="99"/>
        <v>-0.61902702702702694</v>
      </c>
      <c r="T54" s="60">
        <f t="shared" si="99"/>
        <v>-0.68383971818582112</v>
      </c>
      <c r="U54" s="60">
        <f t="shared" si="99"/>
        <v>-0.2472373655517901</v>
      </c>
      <c r="V54" s="60">
        <f t="shared" si="99"/>
        <v>-0.10666081422144195</v>
      </c>
      <c r="W54" s="60">
        <f t="shared" si="99"/>
        <v>-0.39449064449064453</v>
      </c>
      <c r="X54" s="60">
        <f t="shared" si="99"/>
        <v>-0.19600855310049906</v>
      </c>
      <c r="Y54" s="60">
        <f t="shared" si="99"/>
        <v>-0.169367681498829</v>
      </c>
      <c r="Z54" s="60">
        <f t="shared" si="99"/>
        <v>-1.9415979659449828E-2</v>
      </c>
      <c r="AA54" s="60">
        <f t="shared" si="99"/>
        <v>-0.25557542109720516</v>
      </c>
      <c r="AB54" s="60">
        <f t="shared" si="99"/>
        <v>-0.36096858403096577</v>
      </c>
      <c r="AC54" s="60">
        <f t="shared" si="99"/>
        <v>-0.38573327425786436</v>
      </c>
      <c r="AD54" s="60">
        <f t="shared" si="99"/>
        <v>-0.22128183426944673</v>
      </c>
      <c r="AE54" s="60">
        <f t="shared" si="99"/>
        <v>-0.36951244183694099</v>
      </c>
      <c r="AF54" s="60">
        <f t="shared" si="99"/>
        <v>-0.37866441884424457</v>
      </c>
      <c r="AG54" s="60">
        <f t="shared" si="99"/>
        <v>-0.31978798586572443</v>
      </c>
      <c r="AH54" s="60">
        <f t="shared" si="99"/>
        <v>-0.18269301403070598</v>
      </c>
      <c r="AI54" s="60">
        <f t="shared" si="99"/>
        <v>-0.27887512554402416</v>
      </c>
      <c r="AJ54" s="60">
        <f t="shared" si="99"/>
        <v>-0.20528783958602845</v>
      </c>
      <c r="AK54" s="60">
        <f t="shared" si="99"/>
        <v>-0.12618388459857219</v>
      </c>
      <c r="AL54" s="60">
        <f t="shared" si="99"/>
        <v>-1.7273486161947019E-2</v>
      </c>
      <c r="AM54" s="60">
        <f>AM40/AM33</f>
        <v>-0.14223884976525811</v>
      </c>
      <c r="AN54" s="60">
        <f>AN40/AN33</f>
        <v>-0.19309985872555574</v>
      </c>
      <c r="AO54" s="60">
        <f>AO40/AO33</f>
        <v>-8.5065029860650287E-2</v>
      </c>
      <c r="AY54" s="60">
        <f t="shared" ref="AY54:BG54" si="100">AY40/AY33</f>
        <v>-1.2867737948084055</v>
      </c>
      <c r="AZ54" s="60">
        <f t="shared" si="100"/>
        <v>-4.2254818765911031</v>
      </c>
      <c r="BA54" s="60">
        <f t="shared" si="100"/>
        <v>-1.0744599745870393</v>
      </c>
      <c r="BB54" s="60">
        <f t="shared" si="100"/>
        <v>-0.64307781987758672</v>
      </c>
      <c r="BC54" s="60">
        <f t="shared" si="100"/>
        <v>-0.34383851278573418</v>
      </c>
      <c r="BD54" s="60">
        <f t="shared" si="100"/>
        <v>-0.17053265648150395</v>
      </c>
      <c r="BE54" s="60">
        <f t="shared" si="100"/>
        <v>-0.30325090182102643</v>
      </c>
      <c r="BF54" s="60">
        <f t="shared" si="100"/>
        <v>-0.30359081238330943</v>
      </c>
      <c r="BG54" s="60">
        <f t="shared" si="100"/>
        <v>-0.14682458267275955</v>
      </c>
      <c r="BH54" s="69">
        <f>BH40/BH33</f>
        <v>-0.14200000000000002</v>
      </c>
      <c r="BI54" s="69">
        <f t="shared" ref="BI54:BQ54" si="101">BI40/BI33</f>
        <v>-9.9999999999999867E-2</v>
      </c>
      <c r="BJ54" s="69">
        <f t="shared" si="101"/>
        <v>-5.5500000000000077E-2</v>
      </c>
      <c r="BK54" s="69">
        <f t="shared" si="101"/>
        <v>-9.9999999999999672E-3</v>
      </c>
      <c r="BL54" s="69">
        <f t="shared" si="101"/>
        <v>1.2499999999999973E-2</v>
      </c>
      <c r="BM54" s="69">
        <f t="shared" si="101"/>
        <v>3.5000000000000017E-2</v>
      </c>
      <c r="BN54" s="69">
        <f t="shared" si="101"/>
        <v>5.749999999999994E-2</v>
      </c>
      <c r="BO54" s="69">
        <f t="shared" si="101"/>
        <v>7.9999999999999974E-2</v>
      </c>
      <c r="BP54" s="69">
        <f t="shared" si="101"/>
        <v>9.7499999999999976E-2</v>
      </c>
      <c r="BQ54" s="69">
        <f t="shared" si="101"/>
        <v>0.10999999999999992</v>
      </c>
    </row>
    <row r="55" spans="2:70">
      <c r="B55" s="37" t="s">
        <v>100</v>
      </c>
      <c r="C55" s="60">
        <f t="shared" ref="C55:AM55" si="102">C45/C44</f>
        <v>-9.5785440613026837E-4</v>
      </c>
      <c r="D55" s="60">
        <f t="shared" si="102"/>
        <v>0</v>
      </c>
      <c r="E55" s="60">
        <f t="shared" si="102"/>
        <v>5.2631578947368425E-2</v>
      </c>
      <c r="F55" s="60">
        <f t="shared" si="102"/>
        <v>1.7615971814445098E-3</v>
      </c>
      <c r="G55" s="60">
        <f t="shared" si="102"/>
        <v>1.3562386980108499E-3</v>
      </c>
      <c r="H55" s="60">
        <f t="shared" si="102"/>
        <v>-4.5167118337850043E-4</v>
      </c>
      <c r="I55" s="60">
        <f t="shared" si="102"/>
        <v>2.7003293084522505E-2</v>
      </c>
      <c r="J55" s="60">
        <f t="shared" si="102"/>
        <v>9.0600226500566275E-3</v>
      </c>
      <c r="K55" s="60">
        <f t="shared" si="102"/>
        <v>-4.1644976574700676E-3</v>
      </c>
      <c r="L55" s="60">
        <f t="shared" si="102"/>
        <v>-3.1232254400908582E-3</v>
      </c>
      <c r="M55" s="60">
        <f t="shared" si="102"/>
        <v>-6.1557402277623893E-4</v>
      </c>
      <c r="N55" s="60">
        <f t="shared" si="102"/>
        <v>1.5624999999999997E-3</v>
      </c>
      <c r="O55" s="60">
        <f t="shared" si="102"/>
        <v>-9.6711798839458393E-4</v>
      </c>
      <c r="P55" s="60">
        <f t="shared" si="102"/>
        <v>-4.329004329004329E-3</v>
      </c>
      <c r="Q55" s="60">
        <f t="shared" si="102"/>
        <v>5.6867891513560807E-3</v>
      </c>
      <c r="R55" s="60">
        <f t="shared" si="102"/>
        <v>-1.2484394506866415E-3</v>
      </c>
      <c r="S55" s="60">
        <f t="shared" si="102"/>
        <v>-2.2935779816513767E-3</v>
      </c>
      <c r="T55" s="60">
        <f t="shared" si="102"/>
        <v>3.0581039755351687E-3</v>
      </c>
      <c r="U55" s="60">
        <f t="shared" si="102"/>
        <v>-4.5248868778280556E-3</v>
      </c>
      <c r="V55" s="60">
        <f t="shared" si="102"/>
        <v>-0.19072708113803996</v>
      </c>
      <c r="W55" s="60">
        <f t="shared" si="102"/>
        <v>-4.9053959355290812E-3</v>
      </c>
      <c r="X55" s="60">
        <f t="shared" si="102"/>
        <v>1.237785016286644E-2</v>
      </c>
      <c r="Y55" s="60">
        <f t="shared" si="102"/>
        <v>-1.4104372355430194E-2</v>
      </c>
      <c r="Z55" s="60">
        <f t="shared" si="102"/>
        <v>0.36619718309859084</v>
      </c>
      <c r="AA55" s="60">
        <f t="shared" si="102"/>
        <v>-2.4202733485193625E-2</v>
      </c>
      <c r="AB55" s="60">
        <f t="shared" si="102"/>
        <v>-1.6863406408094438E-2</v>
      </c>
      <c r="AC55" s="60">
        <f t="shared" si="102"/>
        <v>-2.6263202968883816E-2</v>
      </c>
      <c r="AD55" s="60">
        <f t="shared" si="102"/>
        <v>-1.4773126978543797E-2</v>
      </c>
      <c r="AE55" s="60">
        <f t="shared" si="102"/>
        <v>-2.1124572848710787E-2</v>
      </c>
      <c r="AF55" s="60">
        <f t="shared" si="102"/>
        <v>-3.313253012048193E-2</v>
      </c>
      <c r="AG55" s="60">
        <f t="shared" si="102"/>
        <v>-1.6004415011037526E-2</v>
      </c>
      <c r="AH55" s="60">
        <f t="shared" si="102"/>
        <v>-1.3469387755102038E-2</v>
      </c>
      <c r="AI55" s="60">
        <f t="shared" si="102"/>
        <v>-2.3146595102314659E-2</v>
      </c>
      <c r="AJ55" s="60">
        <f t="shared" si="102"/>
        <v>-2.1372790793259353E-2</v>
      </c>
      <c r="AK55" s="60">
        <f t="shared" si="102"/>
        <v>-5.7280883367839833E-2</v>
      </c>
      <c r="AL55" s="60">
        <f t="shared" si="102"/>
        <v>0.36619718309859389</v>
      </c>
      <c r="AM55" s="60">
        <f t="shared" si="102"/>
        <v>-6.4024390243902496E-2</v>
      </c>
      <c r="AN55" s="60">
        <f>AN45/AN44</f>
        <v>-3.0207924676343673E-2</v>
      </c>
      <c r="AO55" s="60">
        <f>AO45/AO44</f>
        <v>4.9580992008710712E-3</v>
      </c>
      <c r="AY55" s="60">
        <f t="shared" ref="AY55:BG55" si="103">AY45/AY44</f>
        <v>1.3606745879647377E-2</v>
      </c>
      <c r="AZ55" s="60">
        <f t="shared" si="103"/>
        <v>5.2836725855348642E-3</v>
      </c>
      <c r="BA55" s="60">
        <f t="shared" si="103"/>
        <v>-2.0745232585973042E-3</v>
      </c>
      <c r="BB55" s="60">
        <f t="shared" si="103"/>
        <v>-3.871467286101433E-4</v>
      </c>
      <c r="BC55" s="60">
        <f t="shared" si="103"/>
        <v>-2.0194384449244065E-2</v>
      </c>
      <c r="BD55" s="60">
        <f t="shared" si="103"/>
        <v>-2.8462998102466792E-2</v>
      </c>
      <c r="BE55" s="60">
        <f t="shared" si="103"/>
        <v>-2.0629595260189881E-2</v>
      </c>
      <c r="BF55" s="60">
        <f t="shared" si="103"/>
        <v>-2.16299729625338E-2</v>
      </c>
      <c r="BG55" s="60">
        <f t="shared" si="103"/>
        <v>-3.8089570004463606E-2</v>
      </c>
      <c r="BH55" s="69">
        <v>-3.8089570004463606E-2</v>
      </c>
      <c r="BI55" s="69">
        <v>-3.8089570004463606E-2</v>
      </c>
      <c r="BJ55" s="69">
        <v>-3.8089570004463606E-2</v>
      </c>
      <c r="BK55" s="69">
        <v>-3.8089570004463606E-2</v>
      </c>
      <c r="BL55" s="69">
        <v>-3.8089570004463606E-2</v>
      </c>
      <c r="BM55" s="69">
        <v>-3.8089570004463606E-2</v>
      </c>
      <c r="BN55" s="69">
        <v>-3.8089570004463606E-2</v>
      </c>
      <c r="BO55" s="69">
        <v>-3.8089570004463606E-2</v>
      </c>
      <c r="BP55" s="69">
        <v>-3.8089570004463606E-2</v>
      </c>
      <c r="BQ55" s="69">
        <v>-3.8089570004463606E-2</v>
      </c>
    </row>
    <row r="56" spans="2:70">
      <c r="B56" s="37" t="s">
        <v>101</v>
      </c>
      <c r="C56" s="60">
        <f t="shared" ref="C56:AL56" si="104">C46/C33</f>
        <v>-2.6932989690721647</v>
      </c>
      <c r="D56" s="60">
        <f t="shared" si="104"/>
        <v>-1.6155988857938719</v>
      </c>
      <c r="E56" s="60">
        <f t="shared" si="104"/>
        <v>-0.96879875195007803</v>
      </c>
      <c r="F56" s="60">
        <f t="shared" si="104"/>
        <v>-1.0259505129752564</v>
      </c>
      <c r="G56" s="60">
        <f t="shared" si="104"/>
        <v>-14.766042780748664</v>
      </c>
      <c r="H56" s="60">
        <f t="shared" si="104"/>
        <v>-2.4380847550908094</v>
      </c>
      <c r="I56" s="60">
        <f t="shared" si="104"/>
        <v>-2.1317941317941318</v>
      </c>
      <c r="J56" s="60">
        <f t="shared" si="104"/>
        <v>-1.225061253062653</v>
      </c>
      <c r="K56" s="60">
        <f t="shared" si="104"/>
        <v>-1.6723016905071524</v>
      </c>
      <c r="L56" s="60">
        <f t="shared" si="104"/>
        <v>-1.3469309950438426</v>
      </c>
      <c r="M56" s="60">
        <f t="shared" si="104"/>
        <v>-1.0920389654014107</v>
      </c>
      <c r="N56" s="60">
        <f t="shared" si="104"/>
        <v>-0.49179066187788611</v>
      </c>
      <c r="O56" s="60">
        <f t="shared" si="104"/>
        <v>-0.96910112359550582</v>
      </c>
      <c r="P56" s="60">
        <f t="shared" si="104"/>
        <v>-0.65773195876288659</v>
      </c>
      <c r="Q56" s="60">
        <f t="shared" si="104"/>
        <v>-0.50941281936351412</v>
      </c>
      <c r="R56" s="60">
        <f t="shared" si="104"/>
        <v>-0.42895346764129083</v>
      </c>
      <c r="S56" s="60">
        <f t="shared" si="104"/>
        <v>-0.66140540540540527</v>
      </c>
      <c r="T56" s="60">
        <f t="shared" si="104"/>
        <v>-0.71774548656979298</v>
      </c>
      <c r="U56" s="60">
        <f t="shared" si="104"/>
        <v>-0.29438632680123755</v>
      </c>
      <c r="V56" s="60">
        <f t="shared" si="104"/>
        <v>-0.12399868319982449</v>
      </c>
      <c r="W56" s="60">
        <f t="shared" si="104"/>
        <v>-0.37266112266112267</v>
      </c>
      <c r="X56" s="60">
        <f t="shared" si="104"/>
        <v>-0.15436309948070473</v>
      </c>
      <c r="Y56" s="60">
        <f t="shared" si="104"/>
        <v>-6.7353629976580745E-2</v>
      </c>
      <c r="Z56" s="60">
        <f t="shared" si="104"/>
        <v>1.7335696124508877E-2</v>
      </c>
      <c r="AA56" s="60">
        <f t="shared" si="104"/>
        <v>-0.33847746306577575</v>
      </c>
      <c r="AB56" s="60">
        <f t="shared" si="104"/>
        <v>-0.37996219281663507</v>
      </c>
      <c r="AC56" s="60">
        <f t="shared" si="104"/>
        <v>-0.31856446610544964</v>
      </c>
      <c r="AD56" s="60">
        <f t="shared" si="104"/>
        <v>-0.22197430176194496</v>
      </c>
      <c r="AE56" s="60">
        <f t="shared" si="104"/>
        <v>-0.33249039045114287</v>
      </c>
      <c r="AF56" s="60">
        <f t="shared" si="104"/>
        <v>-0.35337641659642216</v>
      </c>
      <c r="AG56" s="60">
        <f t="shared" si="104"/>
        <v>-0.30977620730270911</v>
      </c>
      <c r="AH56" s="60">
        <f t="shared" si="104"/>
        <v>-0.18239917725703378</v>
      </c>
      <c r="AI56" s="60">
        <f t="shared" si="104"/>
        <v>-0.255272849012387</v>
      </c>
      <c r="AJ56" s="60">
        <f t="shared" si="104"/>
        <v>-0.20092173350582146</v>
      </c>
      <c r="AK56" s="60">
        <f t="shared" si="104"/>
        <v>-0.11161299723153152</v>
      </c>
      <c r="AL56" s="60">
        <f t="shared" si="104"/>
        <v>5.7792332883836841E-3</v>
      </c>
      <c r="AM56" s="60">
        <f>AM46/AM33</f>
        <v>-0.10240610328638489</v>
      </c>
      <c r="AN56" s="60">
        <f>AN46/AN33</f>
        <v>-0.19525615287381953</v>
      </c>
      <c r="AO56" s="60">
        <f>AO46/AO33</f>
        <v>-6.8594558725945581E-2</v>
      </c>
      <c r="AY56" s="60">
        <f t="shared" ref="AY56:BG56" si="105">AY46/AY33</f>
        <v>-1.272435105067985</v>
      </c>
      <c r="AZ56" s="60">
        <f t="shared" si="105"/>
        <v>-4.1765062431809925</v>
      </c>
      <c r="BA56" s="60">
        <f t="shared" si="105"/>
        <v>-1.0638712409995763</v>
      </c>
      <c r="BB56" s="60">
        <f t="shared" si="105"/>
        <v>-0.60250655785485274</v>
      </c>
      <c r="BC56" s="60">
        <f t="shared" si="105"/>
        <v>-0.37686998843100489</v>
      </c>
      <c r="BD56" s="60">
        <f t="shared" si="105"/>
        <v>-0.1184814553933594</v>
      </c>
      <c r="BE56" s="60">
        <f t="shared" si="105"/>
        <v>-0.31070450693206997</v>
      </c>
      <c r="BF56" s="60">
        <f t="shared" si="105"/>
        <v>-0.28711302157961011</v>
      </c>
      <c r="BG56" s="60">
        <f t="shared" si="105"/>
        <v>-0.1301314930523175</v>
      </c>
      <c r="BH56" s="69">
        <f>BH46/BH33</f>
        <v>-2.7092529569789022E-2</v>
      </c>
      <c r="BI56" s="69">
        <f t="shared" ref="BI56:BQ56" si="106">BI46/BI33</f>
        <v>-7.671621615793979E-2</v>
      </c>
      <c r="BJ56" s="69">
        <f t="shared" si="106"/>
        <v>-4.8382989855659309E-2</v>
      </c>
      <c r="BK56" s="69">
        <f t="shared" si="106"/>
        <v>-1.12657295337608E-2</v>
      </c>
      <c r="BL56" s="69">
        <f t="shared" si="106"/>
        <v>1.0072610007189448E-2</v>
      </c>
      <c r="BM56" s="69">
        <f t="shared" si="106"/>
        <v>3.5630935214844298E-2</v>
      </c>
      <c r="BN56" s="69">
        <f t="shared" si="106"/>
        <v>6.610316075284986E-2</v>
      </c>
      <c r="BO56" s="69">
        <f t="shared" si="106"/>
        <v>0.1023309053891827</v>
      </c>
      <c r="BP56" s="69">
        <f t="shared" si="106"/>
        <v>0.14024768241464014</v>
      </c>
      <c r="BQ56" s="69">
        <f t="shared" si="106"/>
        <v>0.18029606994544431</v>
      </c>
    </row>
    <row r="58" spans="2:70">
      <c r="B58" s="1" t="s">
        <v>102</v>
      </c>
      <c r="AA58" s="59"/>
      <c r="AB58" s="59"/>
      <c r="AC58" s="59"/>
      <c r="AD58" s="59">
        <v>1423.1210000000001</v>
      </c>
      <c r="AE58" s="59">
        <v>1578.52</v>
      </c>
      <c r="AF58" s="59">
        <v>1228.6199999999999</v>
      </c>
      <c r="AG58" s="59">
        <v>1199.3599999999999</v>
      </c>
      <c r="AH58" s="59">
        <v>1780.4</v>
      </c>
      <c r="AI58" s="59">
        <v>1060.3900000000001</v>
      </c>
      <c r="AJ58" s="59">
        <v>1060.55</v>
      </c>
      <c r="AK58" s="59">
        <v>964.96</v>
      </c>
      <c r="AL58" s="59">
        <v>1046.5</v>
      </c>
      <c r="AM58" s="59">
        <v>911.22699999999998</v>
      </c>
      <c r="AN58" s="59">
        <v>925.97299999999996</v>
      </c>
      <c r="AO58" s="59">
        <v>953.31700000000001</v>
      </c>
      <c r="BE58" s="59">
        <f t="shared" ref="BE58:BE67" si="107">AD58</f>
        <v>1423.1210000000001</v>
      </c>
      <c r="BF58" s="59">
        <f t="shared" ref="BF58:BF67" si="108">AH58</f>
        <v>1780.4</v>
      </c>
      <c r="BG58" s="59">
        <f t="shared" ref="BG58:BG67" si="109">AL58</f>
        <v>1046.5</v>
      </c>
      <c r="BH58" s="62">
        <f>SUM(BG58)+BH46</f>
        <v>885.10592712103835</v>
      </c>
      <c r="BI58" s="62">
        <f t="shared" ref="BI58:BQ58" si="110">BH58+BI46</f>
        <v>353.04958989761315</v>
      </c>
      <c r="BJ58" s="62">
        <f t="shared" si="110"/>
        <v>-39.784061159250314</v>
      </c>
      <c r="BK58" s="62">
        <f t="shared" si="110"/>
        <v>-147.31535064112643</v>
      </c>
      <c r="BL58" s="62">
        <f t="shared" si="110"/>
        <v>-38.82405544145206</v>
      </c>
      <c r="BM58" s="62">
        <f t="shared" si="110"/>
        <v>379.38708598174924</v>
      </c>
      <c r="BN58" s="62">
        <f t="shared" si="110"/>
        <v>1209.5645889102952</v>
      </c>
      <c r="BO58" s="62">
        <f t="shared" si="110"/>
        <v>2572.1783104478509</v>
      </c>
      <c r="BP58" s="62">
        <f t="shared" si="110"/>
        <v>4534.1033538532583</v>
      </c>
      <c r="BQ58" s="62">
        <f t="shared" si="110"/>
        <v>7159.3100849557777</v>
      </c>
    </row>
    <row r="59" spans="2:70">
      <c r="B59" s="1" t="s">
        <v>103</v>
      </c>
      <c r="AA59" s="59"/>
      <c r="AB59" s="59"/>
      <c r="AC59" s="59"/>
      <c r="AD59" s="59">
        <v>2516</v>
      </c>
      <c r="AE59" s="59">
        <v>2524.9</v>
      </c>
      <c r="AF59" s="59">
        <v>2460.64</v>
      </c>
      <c r="AG59" s="59">
        <v>2414.13</v>
      </c>
      <c r="AH59" s="59">
        <v>1763.68</v>
      </c>
      <c r="AI59" s="59">
        <v>1850.62</v>
      </c>
      <c r="AJ59" s="59">
        <v>2020.72</v>
      </c>
      <c r="AK59" s="59">
        <v>2227</v>
      </c>
      <c r="AL59" s="59">
        <v>2329.7449999999999</v>
      </c>
      <c r="AM59" s="59">
        <v>2295.66</v>
      </c>
      <c r="AN59" s="59">
        <v>1967</v>
      </c>
      <c r="AO59" s="59">
        <v>2040.06</v>
      </c>
      <c r="BE59" s="59">
        <f t="shared" si="107"/>
        <v>2516</v>
      </c>
      <c r="BF59" s="59">
        <f t="shared" si="108"/>
        <v>1763.68</v>
      </c>
      <c r="BG59" s="59">
        <f t="shared" si="109"/>
        <v>2329.7449999999999</v>
      </c>
    </row>
    <row r="60" spans="2:70">
      <c r="B60" s="1" t="s">
        <v>220</v>
      </c>
      <c r="AA60" s="59"/>
      <c r="AB60" s="59"/>
      <c r="AC60" s="59"/>
      <c r="AD60" s="59">
        <v>1183.0899999999999</v>
      </c>
      <c r="AE60" s="59">
        <v>892.51099999999997</v>
      </c>
      <c r="AF60" s="59">
        <v>996.08</v>
      </c>
      <c r="AG60" s="59">
        <v>1116.51</v>
      </c>
      <c r="AH60" s="59">
        <v>1278.1759999999999</v>
      </c>
      <c r="AI60" s="59">
        <v>1108.3499999999999</v>
      </c>
      <c r="AJ60" s="59">
        <v>1141.8489999999999</v>
      </c>
      <c r="AK60" s="59">
        <v>1195.7</v>
      </c>
      <c r="AL60" s="59">
        <v>1348.472</v>
      </c>
      <c r="AM60" s="59">
        <v>1157.6099999999999</v>
      </c>
      <c r="AN60" s="59">
        <v>1164.8699999999999</v>
      </c>
      <c r="AO60" s="59">
        <v>1248.01</v>
      </c>
      <c r="BE60" s="59">
        <f t="shared" si="107"/>
        <v>1183.0899999999999</v>
      </c>
      <c r="BF60" s="59">
        <f t="shared" si="108"/>
        <v>1278.1759999999999</v>
      </c>
      <c r="BG60" s="59">
        <f t="shared" si="109"/>
        <v>1348.472</v>
      </c>
      <c r="BI60" s="45" t="s">
        <v>147</v>
      </c>
      <c r="BJ60" s="46"/>
      <c r="BK60" s="46"/>
      <c r="BL60" s="45" t="s">
        <v>148</v>
      </c>
      <c r="BM60" s="46"/>
      <c r="BN60" s="47" t="s">
        <v>149</v>
      </c>
      <c r="BO60" s="46"/>
      <c r="BP60" s="48" t="s">
        <v>150</v>
      </c>
      <c r="BQ60" s="49">
        <v>0.20449999999999999</v>
      </c>
      <c r="BR60" s="46"/>
    </row>
    <row r="61" spans="2:70" ht="13.5" customHeight="1">
      <c r="B61" s="1" t="s">
        <v>221</v>
      </c>
      <c r="AA61" s="59"/>
      <c r="AB61" s="59"/>
      <c r="AC61" s="59"/>
      <c r="AD61" s="59">
        <v>134.43</v>
      </c>
      <c r="AE61" s="59">
        <v>146.97300000000001</v>
      </c>
      <c r="AF61" s="59">
        <v>154.16999999999999</v>
      </c>
      <c r="AG61" s="59">
        <v>144.25</v>
      </c>
      <c r="AH61" s="59">
        <v>153.58699999999999</v>
      </c>
      <c r="AI61" s="59">
        <v>167.38</v>
      </c>
      <c r="AJ61" s="59">
        <v>198.07</v>
      </c>
      <c r="AK61" s="59">
        <v>200.9</v>
      </c>
      <c r="AL61" s="59">
        <v>182</v>
      </c>
      <c r="AM61" s="59">
        <v>212.53</v>
      </c>
      <c r="AN61" s="59">
        <v>226.25</v>
      </c>
      <c r="AO61" s="59">
        <v>235.09899999999999</v>
      </c>
      <c r="BE61" s="59">
        <f t="shared" si="107"/>
        <v>134.43</v>
      </c>
      <c r="BF61" s="59">
        <f t="shared" si="108"/>
        <v>153.58699999999999</v>
      </c>
      <c r="BG61" s="59">
        <f t="shared" si="109"/>
        <v>182</v>
      </c>
      <c r="BI61" s="46">
        <v>2025</v>
      </c>
      <c r="BJ61" s="46"/>
      <c r="BK61" s="46">
        <v>2023</v>
      </c>
      <c r="BL61" s="46">
        <v>2024</v>
      </c>
      <c r="BM61" s="46"/>
      <c r="BN61" s="47" t="s">
        <v>151</v>
      </c>
      <c r="BO61" s="46"/>
      <c r="BP61" s="48" t="s">
        <v>152</v>
      </c>
      <c r="BQ61" s="49">
        <v>2.5000000000000001E-2</v>
      </c>
      <c r="BR61" s="46"/>
    </row>
    <row r="62" spans="2:70" ht="13.5" customHeight="1">
      <c r="B62" s="1" t="s">
        <v>222</v>
      </c>
      <c r="AA62" s="59"/>
      <c r="AB62" s="59"/>
      <c r="AC62" s="59"/>
      <c r="AD62" s="59">
        <v>271.77</v>
      </c>
      <c r="AE62" s="59">
        <v>303.02</v>
      </c>
      <c r="AF62" s="59">
        <v>330.01</v>
      </c>
      <c r="AG62" s="59">
        <v>377.32</v>
      </c>
      <c r="AH62" s="59">
        <v>410.32600000000002</v>
      </c>
      <c r="AI62" s="59">
        <v>426.363</v>
      </c>
      <c r="AJ62" s="59">
        <v>444.48500000000001</v>
      </c>
      <c r="AK62" s="59">
        <v>466.39</v>
      </c>
      <c r="AL62" s="59">
        <v>489.09</v>
      </c>
      <c r="AM62" s="59">
        <v>501.35300000000001</v>
      </c>
      <c r="AN62" s="59">
        <v>544.226</v>
      </c>
      <c r="AO62" s="59">
        <v>557.41800000000001</v>
      </c>
      <c r="BE62" s="59">
        <f t="shared" si="107"/>
        <v>271.77</v>
      </c>
      <c r="BF62" s="59">
        <f t="shared" si="108"/>
        <v>410.32600000000002</v>
      </c>
      <c r="BG62" s="59">
        <f t="shared" si="109"/>
        <v>489.09</v>
      </c>
      <c r="BI62" s="50">
        <f>AVERAGE(BH40)*(1-BH55)</f>
        <v>-878.13481817616446</v>
      </c>
      <c r="BJ62" s="46"/>
      <c r="BK62" s="51">
        <f>SUM(BF58:BF61)-BF69+BF62+BF65+BF64</f>
        <v>6945.3349999999991</v>
      </c>
      <c r="BL62" s="51">
        <f>SUM(BG58:BG61)-BG69+BG62+BG65+BG64</f>
        <v>6998.7529999999997</v>
      </c>
      <c r="BM62" s="46"/>
      <c r="BN62" s="51">
        <f>AVERAGE(BK62:BL62)</f>
        <v>6972.0439999999999</v>
      </c>
      <c r="BO62" s="46"/>
      <c r="BP62" s="48" t="s">
        <v>153</v>
      </c>
      <c r="BQ62" s="49">
        <v>4.1099999999999998E-2</v>
      </c>
      <c r="BR62" s="46"/>
    </row>
    <row r="63" spans="2:70" ht="13.5" customHeight="1">
      <c r="B63" s="1" t="s">
        <v>229</v>
      </c>
      <c r="AA63" s="59"/>
      <c r="AB63" s="59"/>
      <c r="AC63" s="59"/>
      <c r="AD63" s="59">
        <v>370.95</v>
      </c>
      <c r="AE63" s="59">
        <v>355.06</v>
      </c>
      <c r="AF63" s="59">
        <v>348.97</v>
      </c>
      <c r="AG63" s="59">
        <v>344.68</v>
      </c>
      <c r="AH63" s="59">
        <v>516.86</v>
      </c>
      <c r="AI63" s="59">
        <v>511.1</v>
      </c>
      <c r="AJ63" s="59">
        <v>521.1</v>
      </c>
      <c r="AK63" s="59">
        <v>516.95899999999995</v>
      </c>
      <c r="AL63" s="59">
        <v>530.44000000000005</v>
      </c>
      <c r="AM63" s="59">
        <v>528.27</v>
      </c>
      <c r="AN63" s="59">
        <v>534.08399999999995</v>
      </c>
      <c r="AO63" s="59">
        <v>520.18700000000001</v>
      </c>
      <c r="BE63" s="59">
        <f t="shared" si="107"/>
        <v>370.95</v>
      </c>
      <c r="BF63" s="59">
        <f t="shared" si="108"/>
        <v>516.86</v>
      </c>
      <c r="BG63" s="59">
        <f t="shared" si="109"/>
        <v>530.44000000000005</v>
      </c>
      <c r="BI63" s="52">
        <f>BI62/BN62</f>
        <v>-0.12595084284840494</v>
      </c>
      <c r="BJ63" s="46"/>
      <c r="BK63" s="46"/>
      <c r="BL63" s="46"/>
      <c r="BM63" s="46"/>
      <c r="BN63" s="46"/>
      <c r="BO63" s="46"/>
      <c r="BP63" s="48" t="s">
        <v>154</v>
      </c>
      <c r="BQ63" s="49">
        <f>7.25%-BQ62</f>
        <v>3.1399999999999997E-2</v>
      </c>
      <c r="BR63" s="53"/>
    </row>
    <row r="64" spans="2:70" ht="13.5" customHeight="1">
      <c r="B64" s="1" t="s">
        <v>223</v>
      </c>
      <c r="AA64" s="59"/>
      <c r="AB64" s="59"/>
      <c r="AC64" s="59"/>
      <c r="AD64" s="59">
        <v>204.48</v>
      </c>
      <c r="AE64" s="59">
        <v>186.72</v>
      </c>
      <c r="AF64" s="59">
        <v>202.67099999999999</v>
      </c>
      <c r="AG64" s="59">
        <v>183.86</v>
      </c>
      <c r="AH64" s="59">
        <v>146.30000000000001</v>
      </c>
      <c r="AI64" s="59">
        <v>127.658</v>
      </c>
      <c r="AJ64" s="59">
        <v>112.80800000000001</v>
      </c>
      <c r="AK64" s="59">
        <v>98.92</v>
      </c>
      <c r="AL64" s="59">
        <v>86.363</v>
      </c>
      <c r="AM64" s="59">
        <v>74.822000000000003</v>
      </c>
      <c r="AN64" s="59">
        <v>88.790999999999997</v>
      </c>
      <c r="AO64" s="59">
        <v>77.257000000000005</v>
      </c>
      <c r="BE64" s="59">
        <f t="shared" si="107"/>
        <v>204.48</v>
      </c>
      <c r="BF64" s="59">
        <f t="shared" si="108"/>
        <v>146.30000000000001</v>
      </c>
      <c r="BG64" s="59">
        <f t="shared" si="109"/>
        <v>86.363</v>
      </c>
      <c r="BI64" s="46"/>
      <c r="BJ64" s="46"/>
      <c r="BK64" s="46"/>
      <c r="BL64" s="46"/>
      <c r="BM64" s="46"/>
      <c r="BN64" s="46"/>
      <c r="BO64" s="46"/>
      <c r="BP64" s="48" t="s">
        <v>155</v>
      </c>
      <c r="BQ64" s="54">
        <f>'Notes | Quant Analysis'!S244</f>
        <v>1.6882714975102819</v>
      </c>
      <c r="BR64" s="46"/>
    </row>
    <row r="65" spans="2:121" ht="13.5" customHeight="1">
      <c r="B65" s="1" t="s">
        <v>224</v>
      </c>
      <c r="AA65" s="59"/>
      <c r="AB65" s="59"/>
      <c r="AC65" s="59"/>
      <c r="AD65" s="59">
        <v>1646.12</v>
      </c>
      <c r="AE65" s="59">
        <v>1649.09</v>
      </c>
      <c r="AF65" s="59">
        <v>1692.06</v>
      </c>
      <c r="AG65" s="59">
        <v>1691.54</v>
      </c>
      <c r="AH65" s="59">
        <v>1691.827</v>
      </c>
      <c r="AI65" s="59">
        <v>1691.52</v>
      </c>
      <c r="AJ65" s="59">
        <v>1691.31</v>
      </c>
      <c r="AK65" s="59">
        <v>1693.94</v>
      </c>
      <c r="AL65" s="59">
        <v>1689.78</v>
      </c>
      <c r="AM65" s="59">
        <v>1691.87</v>
      </c>
      <c r="AN65" s="59">
        <v>1720.83</v>
      </c>
      <c r="AO65" s="59">
        <v>1720.586</v>
      </c>
      <c r="BE65" s="59">
        <f t="shared" si="107"/>
        <v>1646.12</v>
      </c>
      <c r="BF65" s="59">
        <f t="shared" si="108"/>
        <v>1691.827</v>
      </c>
      <c r="BG65" s="59">
        <f t="shared" si="109"/>
        <v>1689.78</v>
      </c>
      <c r="BI65" s="46"/>
      <c r="BJ65" s="46"/>
      <c r="BK65" s="46"/>
      <c r="BL65" s="46"/>
      <c r="BM65" s="46"/>
      <c r="BN65" s="46"/>
      <c r="BO65" s="46"/>
      <c r="BP65" s="48" t="s">
        <v>156</v>
      </c>
      <c r="BQ65" s="49">
        <f>+BQ62+(BQ63*BQ64)</f>
        <v>9.4111725021822856E-2</v>
      </c>
      <c r="BR65" s="53"/>
    </row>
    <row r="66" spans="2:121" ht="13.5" customHeight="1">
      <c r="B66" s="1" t="s">
        <v>225</v>
      </c>
      <c r="AA66" s="59"/>
      <c r="AB66" s="59"/>
      <c r="AC66" s="59"/>
      <c r="AD66" s="59">
        <v>279.56</v>
      </c>
      <c r="AE66" s="59">
        <v>251.56899999999999</v>
      </c>
      <c r="AF66" s="59">
        <v>252.97300000000001</v>
      </c>
      <c r="AG66" s="59">
        <v>251.23</v>
      </c>
      <c r="AH66" s="59">
        <v>226.59700000000001</v>
      </c>
      <c r="AI66" s="59">
        <v>223.982</v>
      </c>
      <c r="AJ66" s="59">
        <v>229.131</v>
      </c>
      <c r="AK66" s="59">
        <v>226.46299999999999</v>
      </c>
      <c r="AL66" s="59">
        <v>233.91</v>
      </c>
      <c r="AM66" s="59">
        <v>215.84800000000001</v>
      </c>
      <c r="AN66" s="59">
        <v>226.88</v>
      </c>
      <c r="AO66" s="59">
        <v>226.01499999999999</v>
      </c>
      <c r="BE66" s="59">
        <f t="shared" si="107"/>
        <v>279.56</v>
      </c>
      <c r="BF66" s="59">
        <f t="shared" si="108"/>
        <v>226.59700000000001</v>
      </c>
      <c r="BG66" s="59">
        <f t="shared" si="109"/>
        <v>233.91</v>
      </c>
      <c r="BI66" s="53"/>
      <c r="BJ66" s="53"/>
      <c r="BK66" s="53"/>
      <c r="BL66" s="53"/>
      <c r="BM66" s="53"/>
      <c r="BN66" s="53"/>
      <c r="BO66" s="53"/>
      <c r="BP66" s="48"/>
      <c r="BQ66" s="46"/>
      <c r="BR66" s="46"/>
    </row>
    <row r="67" spans="2:121" s="2" customFormat="1" ht="13.5" customHeight="1">
      <c r="B67" s="2" t="s">
        <v>226</v>
      </c>
      <c r="AA67" s="58"/>
      <c r="AB67" s="58"/>
      <c r="AC67" s="58"/>
      <c r="AD67" s="58">
        <f t="shared" ref="AD67:AM67" si="111">SUM(AD58:AD66)</f>
        <v>8029.5209999999997</v>
      </c>
      <c r="AE67" s="58">
        <f t="shared" si="111"/>
        <v>7888.3630000000021</v>
      </c>
      <c r="AF67" s="58">
        <f t="shared" si="111"/>
        <v>7666.1940000000013</v>
      </c>
      <c r="AG67" s="58">
        <f t="shared" si="111"/>
        <v>7722.8799999999992</v>
      </c>
      <c r="AH67" s="58">
        <f t="shared" si="111"/>
        <v>7967.7529999999988</v>
      </c>
      <c r="AI67" s="58">
        <f t="shared" si="111"/>
        <v>7167.3630000000012</v>
      </c>
      <c r="AJ67" s="58">
        <f t="shared" si="111"/>
        <v>7420.0230000000001</v>
      </c>
      <c r="AK67" s="58">
        <f t="shared" si="111"/>
        <v>7591.232</v>
      </c>
      <c r="AL67" s="58">
        <f t="shared" si="111"/>
        <v>7936.2999999999993</v>
      </c>
      <c r="AM67" s="58">
        <f t="shared" si="111"/>
        <v>7589.19</v>
      </c>
      <c r="AN67" s="58">
        <f>SUM(AN58:AN66)</f>
        <v>7398.9039999999995</v>
      </c>
      <c r="AO67" s="58">
        <f>SUM(AO58:AO66)</f>
        <v>7577.9489999999996</v>
      </c>
      <c r="AP67" s="34"/>
      <c r="AQ67" s="34"/>
      <c r="AR67" s="34"/>
      <c r="AS67" s="34"/>
      <c r="AT67" s="34"/>
      <c r="BE67" s="58">
        <f t="shared" si="107"/>
        <v>8029.5209999999997</v>
      </c>
      <c r="BF67" s="58">
        <f t="shared" si="108"/>
        <v>7967.7529999999988</v>
      </c>
      <c r="BG67" s="58">
        <f t="shared" si="109"/>
        <v>7936.2999999999993</v>
      </c>
      <c r="BH67" s="34"/>
      <c r="BI67" s="46"/>
      <c r="BJ67" s="46"/>
      <c r="BK67" s="46"/>
      <c r="BL67" s="46"/>
      <c r="BM67" s="46"/>
      <c r="BN67" s="46"/>
      <c r="BO67" s="46"/>
      <c r="BP67" s="48" t="s">
        <v>157</v>
      </c>
      <c r="BQ67" s="51">
        <f>NPV(BQ65,BH46:DE46)</f>
        <v>17067.093669518243</v>
      </c>
      <c r="BR67" s="46"/>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c r="DI67" s="34"/>
      <c r="DJ67" s="34"/>
      <c r="DK67" s="34"/>
      <c r="DL67" s="34"/>
      <c r="DM67" s="34"/>
      <c r="DN67" s="34"/>
      <c r="DO67" s="34"/>
      <c r="DP67" s="34"/>
      <c r="DQ67" s="34"/>
    </row>
    <row r="68" spans="2:121" ht="13.5" customHeight="1">
      <c r="AA68" s="59"/>
      <c r="AB68" s="59"/>
      <c r="AC68" s="59"/>
      <c r="AD68" s="59"/>
      <c r="AE68" s="59"/>
      <c r="AF68" s="59"/>
      <c r="AG68" s="59"/>
      <c r="AH68" s="59"/>
      <c r="AI68" s="59"/>
      <c r="AJ68" s="59"/>
      <c r="AK68" s="59"/>
      <c r="AL68" s="59"/>
      <c r="AM68" s="59"/>
      <c r="AN68" s="59"/>
      <c r="BE68" s="59"/>
      <c r="BF68" s="59"/>
      <c r="BG68" s="59"/>
      <c r="BI68" s="46"/>
      <c r="BJ68" s="46"/>
      <c r="BK68" s="46"/>
      <c r="BL68" s="46"/>
      <c r="BM68" s="46"/>
      <c r="BN68" s="46"/>
      <c r="BO68" s="46"/>
      <c r="BP68" s="48" t="s">
        <v>113</v>
      </c>
      <c r="BQ68" s="51">
        <f>Main!C4</f>
        <v>1696.54</v>
      </c>
      <c r="BR68" s="51" t="s">
        <v>1504</v>
      </c>
    </row>
    <row r="69" spans="2:121" ht="13.5" customHeight="1">
      <c r="B69" s="1" t="s">
        <v>227</v>
      </c>
      <c r="AA69" s="59"/>
      <c r="AB69" s="59"/>
      <c r="AC69" s="59"/>
      <c r="AD69" s="59">
        <v>181.774</v>
      </c>
      <c r="AE69" s="59">
        <v>141.80000000000001</v>
      </c>
      <c r="AF69" s="59">
        <v>163.60400000000001</v>
      </c>
      <c r="AG69" s="59">
        <v>128.54599999999999</v>
      </c>
      <c r="AH69" s="59">
        <v>278.96100000000001</v>
      </c>
      <c r="AI69" s="59">
        <v>246.21700000000001</v>
      </c>
      <c r="AJ69" s="59">
        <v>179.58600000000001</v>
      </c>
      <c r="AK69" s="59">
        <v>157.471</v>
      </c>
      <c r="AL69" s="59">
        <v>173.197</v>
      </c>
      <c r="AM69" s="59">
        <v>209.44499999999999</v>
      </c>
      <c r="AN69" s="59">
        <v>116.85</v>
      </c>
      <c r="AO69" s="59">
        <v>153.68299999999999</v>
      </c>
      <c r="BE69" s="59">
        <f t="shared" ref="BE69:BE78" si="112">AD69</f>
        <v>181.774</v>
      </c>
      <c r="BF69" s="59">
        <f t="shared" ref="BF69:BF78" si="113">AH69</f>
        <v>278.96100000000001</v>
      </c>
      <c r="BG69" s="59">
        <f t="shared" ref="BG69:BG78" si="114">AL69</f>
        <v>173.197</v>
      </c>
      <c r="BI69" s="46"/>
      <c r="BJ69" s="46"/>
      <c r="BK69" s="46"/>
      <c r="BL69" s="46"/>
      <c r="BM69" s="46"/>
      <c r="BN69" s="46"/>
      <c r="BO69" s="46"/>
      <c r="BP69" s="48" t="s">
        <v>158</v>
      </c>
      <c r="BQ69" s="54">
        <f>BQ67/BQ68</f>
        <v>10.05994180480168</v>
      </c>
      <c r="BR69" s="45"/>
    </row>
    <row r="70" spans="2:121" ht="13.5" customHeight="1">
      <c r="B70" s="1" t="s">
        <v>228</v>
      </c>
      <c r="AA70" s="59"/>
      <c r="AB70" s="59"/>
      <c r="AC70" s="59"/>
      <c r="AD70" s="59">
        <v>46.48</v>
      </c>
      <c r="AE70" s="59">
        <v>50.786999999999999</v>
      </c>
      <c r="AF70" s="59">
        <v>57.893000000000001</v>
      </c>
      <c r="AG70" s="59">
        <v>62.11</v>
      </c>
      <c r="AH70" s="59">
        <v>49.320999999999998</v>
      </c>
      <c r="AI70" s="59">
        <v>36.649000000000001</v>
      </c>
      <c r="AJ70" s="59">
        <v>21.27</v>
      </c>
      <c r="AK70" s="59">
        <v>21.311</v>
      </c>
      <c r="AL70" s="59">
        <v>24.885000000000002</v>
      </c>
      <c r="AM70" s="59">
        <v>22.501000000000001</v>
      </c>
      <c r="AN70" s="59">
        <v>32.155999999999999</v>
      </c>
      <c r="AO70" s="59">
        <v>43.468000000000004</v>
      </c>
      <c r="BE70" s="59">
        <f t="shared" si="112"/>
        <v>46.48</v>
      </c>
      <c r="BF70" s="59">
        <f t="shared" si="113"/>
        <v>49.320999999999998</v>
      </c>
      <c r="BG70" s="59">
        <f t="shared" si="114"/>
        <v>24.885000000000002</v>
      </c>
      <c r="BI70" s="46"/>
      <c r="BJ70" s="46"/>
      <c r="BK70" s="46"/>
      <c r="BL70" s="46"/>
      <c r="BM70" s="46"/>
      <c r="BN70" s="46"/>
      <c r="BO70" s="46"/>
      <c r="BP70" s="48" t="s">
        <v>159</v>
      </c>
      <c r="BQ70" s="54">
        <f>Main!C3</f>
        <v>8.2100000000000009</v>
      </c>
      <c r="BR70" s="55"/>
    </row>
    <row r="71" spans="2:121" ht="13.5" customHeight="1">
      <c r="B71" s="1" t="s">
        <v>230</v>
      </c>
      <c r="AA71" s="59"/>
      <c r="AB71" s="59"/>
      <c r="AC71" s="59"/>
      <c r="AD71" s="59">
        <v>987.34</v>
      </c>
      <c r="AE71" s="59">
        <v>898.89700000000005</v>
      </c>
      <c r="AF71" s="59">
        <v>716.16</v>
      </c>
      <c r="AG71" s="59">
        <v>818.91499999999996</v>
      </c>
      <c r="AH71" s="59">
        <v>805.83600000000001</v>
      </c>
      <c r="AI71" s="59">
        <v>829.57899999999995</v>
      </c>
      <c r="AJ71" s="59">
        <v>875.11900000000003</v>
      </c>
      <c r="AK71" s="59">
        <v>921.39300000000003</v>
      </c>
      <c r="AL71" s="59">
        <v>1009.254</v>
      </c>
      <c r="AM71" s="59">
        <v>796.25800000000004</v>
      </c>
      <c r="AN71" s="59">
        <v>954.01</v>
      </c>
      <c r="AO71" s="59">
        <v>976.54700000000003</v>
      </c>
      <c r="BE71" s="59">
        <f t="shared" si="112"/>
        <v>987.34</v>
      </c>
      <c r="BF71" s="59">
        <f t="shared" si="113"/>
        <v>805.83600000000001</v>
      </c>
      <c r="BG71" s="59">
        <f t="shared" si="114"/>
        <v>1009.254</v>
      </c>
      <c r="BI71" s="53"/>
      <c r="BJ71" s="53"/>
      <c r="BK71" s="53"/>
      <c r="BL71" s="53"/>
      <c r="BM71" s="53"/>
      <c r="BN71" s="53"/>
      <c r="BO71" s="53"/>
      <c r="BP71" s="48" t="s">
        <v>160</v>
      </c>
      <c r="BQ71" s="49">
        <f>BQ69/BQ70-1</f>
        <v>0.2253278690379632</v>
      </c>
      <c r="BR71" s="49" t="str">
        <f>IF(BQ71&gt;0,"Upside","Downside")</f>
        <v>Upside</v>
      </c>
    </row>
    <row r="72" spans="2:121" ht="13.5" customHeight="1">
      <c r="B72" s="1" t="s">
        <v>231</v>
      </c>
      <c r="AA72" s="59"/>
      <c r="AB72" s="59"/>
      <c r="AC72" s="59"/>
      <c r="AD72" s="59">
        <v>0</v>
      </c>
      <c r="AE72" s="59">
        <v>0</v>
      </c>
      <c r="AF72" s="59">
        <v>0</v>
      </c>
      <c r="AG72" s="59">
        <v>0</v>
      </c>
      <c r="AH72" s="59">
        <v>0</v>
      </c>
      <c r="AI72" s="59">
        <v>0</v>
      </c>
      <c r="AJ72" s="59">
        <v>36.17</v>
      </c>
      <c r="AK72" s="59">
        <v>36.191000000000003</v>
      </c>
      <c r="AL72" s="59">
        <v>36.212000000000003</v>
      </c>
      <c r="AM72" s="59">
        <v>36.232999999999997</v>
      </c>
      <c r="AN72" s="59">
        <v>0</v>
      </c>
      <c r="AO72" s="59">
        <v>46.951000000000001</v>
      </c>
      <c r="BE72" s="59">
        <f t="shared" si="112"/>
        <v>0</v>
      </c>
      <c r="BF72" s="59">
        <f t="shared" si="113"/>
        <v>0</v>
      </c>
      <c r="BG72" s="59">
        <f t="shared" si="114"/>
        <v>36.212000000000003</v>
      </c>
      <c r="BI72" s="34"/>
      <c r="BJ72" s="34"/>
      <c r="BK72" s="34"/>
      <c r="BL72" s="34"/>
      <c r="BM72" s="34"/>
      <c r="BN72" s="34"/>
      <c r="BO72" s="34"/>
      <c r="BP72" s="78" t="str" cm="1">
        <f t="array" ref="BP72">_xlfn.IFS(BQ71&gt;=25%,"Strong Buy",BQ71&gt;=10.00001%,"Buy",AND(BQ71&lt;=10%,BQ71&gt;=-4.9999%),"Hold",AND(BQ71&lt;=-5%,BQ71&gt;=-14.999999%),"Sell",BQ71&lt;=-15%,"Strong Sell")</f>
        <v>Buy</v>
      </c>
      <c r="BQ72" s="78"/>
      <c r="BR72" s="34"/>
    </row>
    <row r="73" spans="2:121" ht="13.5" customHeight="1">
      <c r="B73" s="1" t="s">
        <v>232</v>
      </c>
      <c r="AA73" s="59"/>
      <c r="AB73" s="59"/>
      <c r="AC73" s="59"/>
      <c r="AD73" s="59">
        <v>3742.52</v>
      </c>
      <c r="AE73" s="59">
        <v>3744.23</v>
      </c>
      <c r="AF73" s="59">
        <v>3745.9560000000001</v>
      </c>
      <c r="AG73" s="59">
        <v>3747.6770000000001</v>
      </c>
      <c r="AH73" s="59">
        <v>3749.4</v>
      </c>
      <c r="AI73" s="59">
        <v>3301.4659999999999</v>
      </c>
      <c r="AJ73" s="59">
        <v>3602.56</v>
      </c>
      <c r="AK73" s="59">
        <v>3605.1370000000002</v>
      </c>
      <c r="AL73" s="59">
        <v>3607.7</v>
      </c>
      <c r="AM73" s="59">
        <v>3576.692</v>
      </c>
      <c r="AN73" s="59">
        <v>3575.97</v>
      </c>
      <c r="AO73" s="59">
        <v>3490.9380000000001</v>
      </c>
      <c r="BE73" s="59">
        <f t="shared" si="112"/>
        <v>3742.52</v>
      </c>
      <c r="BF73" s="59">
        <f t="shared" si="113"/>
        <v>3749.4</v>
      </c>
      <c r="BG73" s="59">
        <f t="shared" si="114"/>
        <v>3607.7</v>
      </c>
    </row>
    <row r="74" spans="2:121" ht="13.5" customHeight="1">
      <c r="B74" s="1" t="s">
        <v>233</v>
      </c>
      <c r="AA74" s="59"/>
      <c r="AB74" s="59"/>
      <c r="AC74" s="59"/>
      <c r="AD74" s="59">
        <v>386.27</v>
      </c>
      <c r="AE74" s="59">
        <v>368.52600000000001</v>
      </c>
      <c r="AF74" s="59">
        <v>356.92899999999997</v>
      </c>
      <c r="AG74" s="59">
        <v>346.50799999999998</v>
      </c>
      <c r="AH74" s="59">
        <v>546.279</v>
      </c>
      <c r="AI74" s="59">
        <v>553.74099999999999</v>
      </c>
      <c r="AJ74" s="59">
        <v>579.89</v>
      </c>
      <c r="AK74" s="59">
        <v>577.91200000000003</v>
      </c>
      <c r="AL74" s="59">
        <v>575.08000000000004</v>
      </c>
      <c r="AM74" s="59">
        <v>575.42700000000002</v>
      </c>
      <c r="AN74" s="59">
        <v>583.86</v>
      </c>
      <c r="AO74" s="59">
        <v>572.24</v>
      </c>
      <c r="BE74" s="59">
        <f t="shared" si="112"/>
        <v>386.27</v>
      </c>
      <c r="BF74" s="59">
        <f t="shared" si="113"/>
        <v>546.279</v>
      </c>
      <c r="BG74" s="59">
        <f t="shared" si="114"/>
        <v>575.08000000000004</v>
      </c>
    </row>
    <row r="75" spans="2:121" ht="13.5" customHeight="1">
      <c r="B75" s="1" t="s">
        <v>234</v>
      </c>
      <c r="AA75" s="59"/>
      <c r="AB75" s="59"/>
      <c r="AC75" s="59"/>
      <c r="AD75" s="59">
        <v>104.45</v>
      </c>
      <c r="AE75" s="59">
        <v>105.703</v>
      </c>
      <c r="AF75" s="59">
        <v>120.714</v>
      </c>
      <c r="AG75" s="59">
        <v>126.127</v>
      </c>
      <c r="AH75" s="59">
        <v>123.849</v>
      </c>
      <c r="AI75" s="59">
        <v>68.400999999999996</v>
      </c>
      <c r="AJ75" s="59">
        <v>58.7</v>
      </c>
      <c r="AK75" s="59">
        <v>61.927</v>
      </c>
      <c r="AL75" s="59">
        <v>59.24</v>
      </c>
      <c r="AM75" s="59">
        <v>61.308999999999997</v>
      </c>
      <c r="AN75" s="59">
        <v>66.77</v>
      </c>
      <c r="AO75" s="59">
        <v>66.772999999999996</v>
      </c>
      <c r="BE75" s="59">
        <f t="shared" si="112"/>
        <v>104.45</v>
      </c>
      <c r="BF75" s="59">
        <f t="shared" si="113"/>
        <v>123.849</v>
      </c>
      <c r="BG75" s="59">
        <f t="shared" si="114"/>
        <v>59.24</v>
      </c>
    </row>
    <row r="76" spans="2:121" s="2" customFormat="1" ht="13.5" customHeight="1">
      <c r="B76" s="2" t="s">
        <v>235</v>
      </c>
      <c r="AA76" s="58"/>
      <c r="AB76" s="58"/>
      <c r="AC76" s="58"/>
      <c r="AD76" s="58">
        <f t="shared" ref="AD76:AM76" si="115">SUM(AD69:AD75)</f>
        <v>5448.8339999999998</v>
      </c>
      <c r="AE76" s="58">
        <f t="shared" si="115"/>
        <v>5309.9430000000002</v>
      </c>
      <c r="AF76" s="58">
        <f t="shared" si="115"/>
        <v>5161.2560000000003</v>
      </c>
      <c r="AG76" s="58">
        <f t="shared" si="115"/>
        <v>5229.8829999999998</v>
      </c>
      <c r="AH76" s="58">
        <f t="shared" si="115"/>
        <v>5553.6460000000006</v>
      </c>
      <c r="AI76" s="58">
        <f t="shared" si="115"/>
        <v>5036.0529999999999</v>
      </c>
      <c r="AJ76" s="58">
        <f t="shared" si="115"/>
        <v>5353.2950000000001</v>
      </c>
      <c r="AK76" s="58">
        <f t="shared" si="115"/>
        <v>5381.3420000000006</v>
      </c>
      <c r="AL76" s="58">
        <f t="shared" si="115"/>
        <v>5485.5679999999993</v>
      </c>
      <c r="AM76" s="58">
        <f t="shared" si="115"/>
        <v>5277.8649999999998</v>
      </c>
      <c r="AN76" s="58">
        <f>SUM(AN69:AN75)</f>
        <v>5329.616</v>
      </c>
      <c r="AO76" s="58">
        <f>SUM(AO69:AO75)</f>
        <v>5350.6</v>
      </c>
      <c r="AP76" s="34"/>
      <c r="AQ76" s="34"/>
      <c r="AR76" s="34"/>
      <c r="AS76" s="34"/>
      <c r="AT76" s="34"/>
      <c r="BE76" s="58">
        <f t="shared" si="112"/>
        <v>5448.8339999999998</v>
      </c>
      <c r="BF76" s="58">
        <f t="shared" si="113"/>
        <v>5553.6460000000006</v>
      </c>
      <c r="BG76" s="58">
        <f t="shared" si="114"/>
        <v>5485.5679999999993</v>
      </c>
      <c r="BH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row>
    <row r="77" spans="2:121" ht="13.5" customHeight="1">
      <c r="B77" s="1" t="s">
        <v>236</v>
      </c>
      <c r="AA77" s="59"/>
      <c r="AB77" s="59"/>
      <c r="AC77" s="59"/>
      <c r="AD77" s="59">
        <v>2580.69</v>
      </c>
      <c r="AE77" s="59">
        <v>2578.44</v>
      </c>
      <c r="AF77" s="59">
        <v>2504.96</v>
      </c>
      <c r="AG77" s="59">
        <v>2493.02</v>
      </c>
      <c r="AH77" s="59">
        <v>2114.11</v>
      </c>
      <c r="AI77" s="59">
        <v>2131.34</v>
      </c>
      <c r="AJ77" s="59">
        <v>2066.7220000000002</v>
      </c>
      <c r="AK77" s="59">
        <v>2210.0700000000002</v>
      </c>
      <c r="AL77" s="59">
        <v>2450.761</v>
      </c>
      <c r="AM77" s="59">
        <v>2311.335</v>
      </c>
      <c r="AN77" s="59">
        <v>2069.35</v>
      </c>
      <c r="AO77" s="59">
        <v>2227.35</v>
      </c>
      <c r="BE77" s="59">
        <f t="shared" si="112"/>
        <v>2580.69</v>
      </c>
      <c r="BF77" s="59">
        <f t="shared" si="113"/>
        <v>2114.11</v>
      </c>
      <c r="BG77" s="59">
        <f t="shared" si="114"/>
        <v>2450.761</v>
      </c>
    </row>
    <row r="78" spans="2:121" s="2" customFormat="1" ht="13.5" customHeight="1">
      <c r="B78" s="2" t="s">
        <v>237</v>
      </c>
      <c r="AA78" s="58"/>
      <c r="AB78" s="58"/>
      <c r="AC78" s="58"/>
      <c r="AD78" s="58">
        <f t="shared" ref="AD78:AM78" si="116">AD76+AD77</f>
        <v>8029.5239999999994</v>
      </c>
      <c r="AE78" s="58">
        <f t="shared" si="116"/>
        <v>7888.3829999999998</v>
      </c>
      <c r="AF78" s="58">
        <f t="shared" si="116"/>
        <v>7666.2160000000003</v>
      </c>
      <c r="AG78" s="58">
        <f t="shared" si="116"/>
        <v>7722.9030000000002</v>
      </c>
      <c r="AH78" s="58">
        <f t="shared" si="116"/>
        <v>7667.7560000000012</v>
      </c>
      <c r="AI78" s="58">
        <f t="shared" si="116"/>
        <v>7167.393</v>
      </c>
      <c r="AJ78" s="58">
        <f t="shared" si="116"/>
        <v>7420.0169999999998</v>
      </c>
      <c r="AK78" s="58">
        <f t="shared" si="116"/>
        <v>7591.4120000000003</v>
      </c>
      <c r="AL78" s="58">
        <f t="shared" si="116"/>
        <v>7936.3289999999997</v>
      </c>
      <c r="AM78" s="58">
        <f t="shared" si="116"/>
        <v>7589.2</v>
      </c>
      <c r="AN78" s="58">
        <f>AN76+AN77</f>
        <v>7398.9660000000003</v>
      </c>
      <c r="AO78" s="58">
        <f>AO76+AO77</f>
        <v>7577.9500000000007</v>
      </c>
      <c r="AP78" s="34"/>
      <c r="AQ78" s="34"/>
      <c r="AR78" s="34"/>
      <c r="AS78" s="34"/>
      <c r="AT78" s="34"/>
      <c r="BE78" s="58">
        <f t="shared" si="112"/>
        <v>8029.5239999999994</v>
      </c>
      <c r="BF78" s="58">
        <f t="shared" si="113"/>
        <v>7667.7560000000012</v>
      </c>
      <c r="BG78" s="58">
        <f t="shared" si="114"/>
        <v>7936.3289999999997</v>
      </c>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row>
    <row r="79" spans="2:121" ht="13.5" customHeight="1"/>
    <row r="80" spans="2:121" ht="13.5" customHeight="1">
      <c r="B80" s="1" t="s">
        <v>104</v>
      </c>
      <c r="AD80" s="70">
        <f t="shared" ref="AD80:AM80" si="117">SUM(AD58:AD61)/SUM(AD69:AD72)</f>
        <v>4.3243393764694469</v>
      </c>
      <c r="AE80" s="70">
        <f t="shared" si="117"/>
        <v>4.7118455240754784</v>
      </c>
      <c r="AF80" s="70">
        <f t="shared" si="117"/>
        <v>5.1612796576999909</v>
      </c>
      <c r="AG80" s="70">
        <f t="shared" si="117"/>
        <v>4.8280408212993446</v>
      </c>
      <c r="AH80" s="70">
        <f t="shared" si="117"/>
        <v>4.3874120682327584</v>
      </c>
      <c r="AI80" s="70">
        <f t="shared" si="117"/>
        <v>3.7635478607931181</v>
      </c>
      <c r="AJ80" s="70">
        <f t="shared" si="117"/>
        <v>3.9753710172684302</v>
      </c>
      <c r="AK80" s="70">
        <f t="shared" si="117"/>
        <v>4.0379244011172455</v>
      </c>
      <c r="AL80" s="70">
        <f t="shared" si="117"/>
        <v>3.9457399312290313</v>
      </c>
      <c r="AM80" s="70">
        <f t="shared" si="117"/>
        <v>4.2999510539374333</v>
      </c>
      <c r="AN80" s="70">
        <f>SUM(AN58:AN61)/SUM(AN69:AN72)</f>
        <v>3.883980830740442</v>
      </c>
      <c r="AO80" s="70">
        <f>SUM(AO58:AO61)/SUM(AO69:AO72)</f>
        <v>3.6672999363453371</v>
      </c>
      <c r="BE80" s="70">
        <f t="shared" ref="BE80:BG80" si="118">SUM(BE58:BE61)/SUM(BE69:BE72)</f>
        <v>4.3243393764694469</v>
      </c>
      <c r="BF80" s="70">
        <f t="shared" si="118"/>
        <v>4.3874120682327584</v>
      </c>
      <c r="BG80" s="70">
        <f t="shared" si="118"/>
        <v>3.9457399312290313</v>
      </c>
    </row>
    <row r="81" spans="2:121">
      <c r="B81" s="1" t="s">
        <v>105</v>
      </c>
      <c r="AD81" s="70">
        <f t="shared" ref="AD81:AM81" si="119">SUM(AD58:AD59)/SUM(AD69:AD72)</f>
        <v>3.2404906572424674</v>
      </c>
      <c r="AE81" s="70">
        <f t="shared" si="119"/>
        <v>3.7594870836402543</v>
      </c>
      <c r="AF81" s="70">
        <f t="shared" si="119"/>
        <v>3.9345517603985254</v>
      </c>
      <c r="AG81" s="70">
        <f t="shared" si="119"/>
        <v>3.5792331594310851</v>
      </c>
      <c r="AH81" s="70">
        <f t="shared" si="119"/>
        <v>3.1249658324795129</v>
      </c>
      <c r="AI81" s="70">
        <f t="shared" si="119"/>
        <v>2.6167675705315774</v>
      </c>
      <c r="AJ81" s="70">
        <f t="shared" si="119"/>
        <v>2.7705649892774766</v>
      </c>
      <c r="AK81" s="70">
        <f t="shared" si="119"/>
        <v>2.8089189574485687</v>
      </c>
      <c r="AL81" s="70">
        <f t="shared" si="119"/>
        <v>2.715009794555578</v>
      </c>
      <c r="AM81" s="70">
        <f t="shared" si="119"/>
        <v>3.0127541601804522</v>
      </c>
      <c r="AN81" s="70">
        <f>SUM(AN58:AN59)/SUM(AN69:AN72)</f>
        <v>2.6227842569826727</v>
      </c>
      <c r="AO81" s="70">
        <f>SUM(AO58:AO59)/SUM(AO69:AO72)</f>
        <v>2.4522831706739607</v>
      </c>
      <c r="BE81" s="70">
        <f t="shared" ref="BE81:BG81" si="120">SUM(BE58:BE59)/SUM(BE69:BE72)</f>
        <v>3.2404906572424674</v>
      </c>
      <c r="BF81" s="70">
        <f t="shared" si="120"/>
        <v>3.1249658324795129</v>
      </c>
      <c r="BG81" s="70">
        <f t="shared" si="120"/>
        <v>2.715009794555578</v>
      </c>
    </row>
    <row r="82" spans="2:121">
      <c r="B82" s="1" t="s">
        <v>106</v>
      </c>
      <c r="AD82" s="70">
        <f t="shared" ref="AD82:AM82" si="121">AD33/AD78</f>
        <v>0.16186513671296082</v>
      </c>
      <c r="AE82" s="70">
        <f t="shared" si="121"/>
        <v>0.12532352954971887</v>
      </c>
      <c r="AF82" s="70">
        <f t="shared" si="121"/>
        <v>0.1392734042453278</v>
      </c>
      <c r="AG82" s="70">
        <f t="shared" si="121"/>
        <v>0.1539058563858694</v>
      </c>
      <c r="AH82" s="70">
        <f t="shared" si="121"/>
        <v>0.17753564406587791</v>
      </c>
      <c r="AI82" s="70">
        <f t="shared" si="121"/>
        <v>0.16669938428100706</v>
      </c>
      <c r="AJ82" s="70">
        <f t="shared" si="121"/>
        <v>0.16668425422744987</v>
      </c>
      <c r="AK82" s="70">
        <f t="shared" si="121"/>
        <v>0.18080957798101327</v>
      </c>
      <c r="AL82" s="70">
        <f t="shared" si="121"/>
        <v>0.19622422407135592</v>
      </c>
      <c r="AM82" s="70">
        <f t="shared" si="121"/>
        <v>0.17962367574974966</v>
      </c>
      <c r="AN82" s="70">
        <f>AN33/AN78</f>
        <v>0.18176864172642501</v>
      </c>
      <c r="AO82" s="70">
        <f>AO33/AO78</f>
        <v>0.19886644804993434</v>
      </c>
      <c r="BE82" s="70">
        <f t="shared" ref="BE82:BG82" si="122">BE33/BE78</f>
        <v>0.5731099377746427</v>
      </c>
      <c r="BF82" s="70">
        <f t="shared" si="122"/>
        <v>0.60072334070098199</v>
      </c>
      <c r="BG82" s="70">
        <f t="shared" si="122"/>
        <v>0.67556423127115828</v>
      </c>
    </row>
    <row r="83" spans="2:121">
      <c r="B83" s="1" t="s">
        <v>107</v>
      </c>
      <c r="AD83" s="60">
        <f t="shared" ref="AD83:AM83" si="123">AD46/AD78</f>
        <v>-3.5929900701461244E-2</v>
      </c>
      <c r="AE83" s="60">
        <f t="shared" si="123"/>
        <v>-4.1668869272701373E-2</v>
      </c>
      <c r="AF83" s="60">
        <f t="shared" si="123"/>
        <v>-4.9215936519398873E-2</v>
      </c>
      <c r="AG83" s="60">
        <f t="shared" si="123"/>
        <v>-4.7676372472890055E-2</v>
      </c>
      <c r="AH83" s="60">
        <f t="shared" si="123"/>
        <v>-3.2382355411413724E-2</v>
      </c>
      <c r="AI83" s="60">
        <f t="shared" si="123"/>
        <v>-4.2553826754023395E-2</v>
      </c>
      <c r="AJ83" s="60">
        <f t="shared" si="123"/>
        <v>-3.3490489307504277E-2</v>
      </c>
      <c r="AK83" s="60">
        <f t="shared" si="123"/>
        <v>-2.0180698926629218E-2</v>
      </c>
      <c r="AL83" s="60">
        <f t="shared" si="123"/>
        <v>1.1340255677404392E-3</v>
      </c>
      <c r="AM83" s="60">
        <f t="shared" si="123"/>
        <v>-1.8394560691508972E-2</v>
      </c>
      <c r="AN83" s="60">
        <f>AN46/AN78</f>
        <v>-3.5491445696601377E-2</v>
      </c>
      <c r="AO83" s="60">
        <f>AO46/AO78</f>
        <v>-1.3641156249381425E-2</v>
      </c>
      <c r="BE83" s="60">
        <f t="shared" ref="BE83:BG83" si="124">BE46/BE78</f>
        <v>-0.17806784063413969</v>
      </c>
      <c r="BF83" s="60">
        <f t="shared" si="124"/>
        <v>-0.17247549348205651</v>
      </c>
      <c r="BG83" s="60">
        <f t="shared" si="124"/>
        <v>-8.791218206805694E-2</v>
      </c>
    </row>
    <row r="84" spans="2:121">
      <c r="B84" s="1" t="s">
        <v>108</v>
      </c>
      <c r="AD84" s="60">
        <f t="shared" ref="AD84:AM84" si="125">AD46/AD77</f>
        <v>-0.1117918076173426</v>
      </c>
      <c r="AE84" s="60">
        <f t="shared" si="125"/>
        <v>-0.12748018181536117</v>
      </c>
      <c r="AF84" s="60">
        <f t="shared" si="125"/>
        <v>-0.15062116760347469</v>
      </c>
      <c r="AG84" s="60">
        <f t="shared" si="125"/>
        <v>-0.1476923570609141</v>
      </c>
      <c r="AH84" s="60">
        <f t="shared" si="125"/>
        <v>-0.1174489501492354</v>
      </c>
      <c r="AI84" s="60">
        <f t="shared" si="125"/>
        <v>-0.14310246136233543</v>
      </c>
      <c r="AJ84" s="60">
        <f t="shared" si="125"/>
        <v>-0.12023871618921168</v>
      </c>
      <c r="AK84" s="60">
        <f t="shared" si="125"/>
        <v>-6.9319071341631774E-2</v>
      </c>
      <c r="AL84" s="60">
        <f t="shared" si="125"/>
        <v>3.6723287174881235E-3</v>
      </c>
      <c r="AM84" s="60">
        <f t="shared" si="125"/>
        <v>-6.0397995098070978E-2</v>
      </c>
      <c r="AN84" s="60">
        <f>AN46/AN77</f>
        <v>-0.12689975112958171</v>
      </c>
      <c r="AO84" s="60">
        <f>AO46/AO77</f>
        <v>-4.6410308213796658E-2</v>
      </c>
      <c r="BE84" s="60">
        <f t="shared" ref="BE84:BG84" si="126">BE46/BE77</f>
        <v>-0.55403787359194623</v>
      </c>
      <c r="BF84" s="60">
        <f t="shared" si="126"/>
        <v>-0.62555874576062731</v>
      </c>
      <c r="BG84" s="60">
        <f t="shared" si="126"/>
        <v>-0.28468708291016559</v>
      </c>
    </row>
    <row r="86" spans="2:121">
      <c r="B86" s="1" t="s">
        <v>109</v>
      </c>
      <c r="C86" s="59">
        <f t="shared" ref="C86:AN86" si="127">C46</f>
        <v>-104.49999999999999</v>
      </c>
      <c r="D86" s="59">
        <f t="shared" si="127"/>
        <v>-116</v>
      </c>
      <c r="E86" s="59">
        <f t="shared" si="127"/>
        <v>-124.19999999999999</v>
      </c>
      <c r="F86" s="59">
        <f t="shared" si="127"/>
        <v>-169.99999999999997</v>
      </c>
      <c r="G86" s="59">
        <f t="shared" si="127"/>
        <v>-2209</v>
      </c>
      <c r="H86" s="59">
        <f t="shared" si="127"/>
        <v>-443.00000000000006</v>
      </c>
      <c r="I86" s="59">
        <f t="shared" si="127"/>
        <v>-443.2</v>
      </c>
      <c r="J86" s="59">
        <f t="shared" si="127"/>
        <v>-349.99999999999994</v>
      </c>
      <c r="K86" s="59">
        <f t="shared" si="127"/>
        <v>-385.8</v>
      </c>
      <c r="L86" s="59">
        <f t="shared" si="127"/>
        <v>-353.29999999999995</v>
      </c>
      <c r="M86" s="59">
        <f t="shared" si="127"/>
        <v>-325.09999999999997</v>
      </c>
      <c r="N86" s="59">
        <f t="shared" si="127"/>
        <v>-191.70000000000002</v>
      </c>
      <c r="O86" s="59">
        <f t="shared" si="127"/>
        <v>-310.50000000000006</v>
      </c>
      <c r="P86" s="59">
        <f t="shared" si="127"/>
        <v>-255.20000000000002</v>
      </c>
      <c r="Q86" s="59">
        <f t="shared" si="127"/>
        <v>-227.29999999999998</v>
      </c>
      <c r="R86" s="59">
        <f t="shared" si="127"/>
        <v>-240.60000000000002</v>
      </c>
      <c r="S86" s="59">
        <f t="shared" si="127"/>
        <v>-305.89999999999992</v>
      </c>
      <c r="T86" s="59">
        <f t="shared" si="127"/>
        <v>-325.99999999999994</v>
      </c>
      <c r="U86" s="59">
        <f t="shared" si="127"/>
        <v>-199.79999999999995</v>
      </c>
      <c r="V86" s="59">
        <f t="shared" si="127"/>
        <v>-113.00000000000006</v>
      </c>
      <c r="W86" s="59">
        <f t="shared" si="127"/>
        <v>-286.8</v>
      </c>
      <c r="X86" s="59">
        <f t="shared" si="127"/>
        <v>-151.60000000000011</v>
      </c>
      <c r="Y86" s="59">
        <f t="shared" si="127"/>
        <v>-71.899999999999949</v>
      </c>
      <c r="Z86" s="59">
        <f t="shared" si="127"/>
        <v>22.500000000000071</v>
      </c>
      <c r="AA86" s="59">
        <f t="shared" si="127"/>
        <v>-359.69999999999993</v>
      </c>
      <c r="AB86" s="59">
        <f t="shared" si="127"/>
        <v>-422.09999999999991</v>
      </c>
      <c r="AC86" s="59">
        <f t="shared" si="127"/>
        <v>-359.49999999999994</v>
      </c>
      <c r="AD86" s="59">
        <f t="shared" si="127"/>
        <v>-288.49999999999989</v>
      </c>
      <c r="AE86" s="59">
        <f t="shared" si="127"/>
        <v>-328.69999999999987</v>
      </c>
      <c r="AF86" s="59">
        <f t="shared" si="127"/>
        <v>-377.29999999999995</v>
      </c>
      <c r="AG86" s="59">
        <f t="shared" si="127"/>
        <v>-368.20000000000005</v>
      </c>
      <c r="AH86" s="59">
        <f t="shared" si="127"/>
        <v>-248.30000000000007</v>
      </c>
      <c r="AI86" s="59">
        <f t="shared" si="127"/>
        <v>-305</v>
      </c>
      <c r="AJ86" s="59">
        <f t="shared" si="127"/>
        <v>-248.49999999999997</v>
      </c>
      <c r="AK86" s="59">
        <f t="shared" si="127"/>
        <v>-153.20000000000016</v>
      </c>
      <c r="AL86" s="59">
        <f t="shared" si="127"/>
        <v>8.9999999999999112</v>
      </c>
      <c r="AM86" s="59">
        <f t="shared" si="127"/>
        <v>-139.59999999999988</v>
      </c>
      <c r="AN86" s="59">
        <f t="shared" si="127"/>
        <v>-262.59999999999991</v>
      </c>
      <c r="AO86" s="59">
        <f>AO46</f>
        <v>-103.37199999999999</v>
      </c>
      <c r="AY86" s="59">
        <f t="shared" ref="AY86:BF86" si="128">AY46</f>
        <v>-514.69999999999993</v>
      </c>
      <c r="AZ86" s="59">
        <f t="shared" si="128"/>
        <v>-3445.2</v>
      </c>
      <c r="BA86" s="59">
        <f t="shared" si="128"/>
        <v>-1255.8999999999999</v>
      </c>
      <c r="BB86" s="59">
        <f t="shared" si="128"/>
        <v>-1033.5999999999999</v>
      </c>
      <c r="BC86" s="59">
        <f t="shared" si="128"/>
        <v>-944.69999999999982</v>
      </c>
      <c r="BD86" s="59">
        <f t="shared" si="128"/>
        <v>-487.8</v>
      </c>
      <c r="BE86" s="59">
        <f t="shared" si="128"/>
        <v>-1429.7999999999997</v>
      </c>
      <c r="BF86" s="59">
        <f t="shared" si="128"/>
        <v>-1322.5</v>
      </c>
      <c r="BG86" s="59">
        <f>BG46</f>
        <v>-697.70000000000027</v>
      </c>
    </row>
    <row r="87" spans="2:121" s="2" customFormat="1" ht="15">
      <c r="B87" s="2" t="s">
        <v>110</v>
      </c>
      <c r="C87" s="58">
        <v>-92.5</v>
      </c>
      <c r="D87" s="58">
        <v>-134.1</v>
      </c>
      <c r="E87" s="58">
        <v>-216.9</v>
      </c>
      <c r="F87" s="58">
        <v>-167.7</v>
      </c>
      <c r="G87" s="58">
        <v>-155</v>
      </c>
      <c r="H87" s="58">
        <v>-209.6</v>
      </c>
      <c r="I87" s="58">
        <v>-194</v>
      </c>
      <c r="J87" s="58">
        <v>-176.1</v>
      </c>
      <c r="K87" s="58">
        <v>-232</v>
      </c>
      <c r="L87" s="58">
        <v>-199.3</v>
      </c>
      <c r="M87" s="58">
        <v>-132.5</v>
      </c>
      <c r="N87" s="58">
        <v>-126.1</v>
      </c>
      <c r="O87" s="58">
        <v>-66.2</v>
      </c>
      <c r="P87" s="58">
        <v>-95.8</v>
      </c>
      <c r="Q87" s="58">
        <v>-76.099999999999994</v>
      </c>
      <c r="R87" s="58">
        <v>-66.8</v>
      </c>
      <c r="S87" s="58">
        <v>6.3</v>
      </c>
      <c r="T87" s="58">
        <v>-66.599999999999994</v>
      </c>
      <c r="U87" s="58">
        <v>-54.8</v>
      </c>
      <c r="V87" s="58">
        <v>-52.5</v>
      </c>
      <c r="W87" s="58">
        <v>136.9</v>
      </c>
      <c r="X87" s="58">
        <v>-101.1</v>
      </c>
      <c r="Y87" s="58">
        <v>71.599999999999994</v>
      </c>
      <c r="Z87" s="58">
        <v>185.5</v>
      </c>
      <c r="AA87" s="58">
        <v>127.5</v>
      </c>
      <c r="AB87" s="58">
        <v>-124.1</v>
      </c>
      <c r="AC87" s="58">
        <v>55.9</v>
      </c>
      <c r="AD87" s="58">
        <v>125.3</v>
      </c>
      <c r="AE87" s="58">
        <v>151.1</v>
      </c>
      <c r="AF87" s="58">
        <v>-81.900000000000006</v>
      </c>
      <c r="AG87" s="58">
        <v>12.8</v>
      </c>
      <c r="AH87" s="58">
        <v>164.6</v>
      </c>
      <c r="AI87" s="58">
        <v>88.4</v>
      </c>
      <c r="AJ87" s="58">
        <v>-21.4</v>
      </c>
      <c r="AK87" s="58">
        <v>115.9</v>
      </c>
      <c r="AL87" s="58">
        <v>230.6</v>
      </c>
      <c r="AM87" s="58">
        <v>151.6</v>
      </c>
      <c r="AN87" s="58">
        <v>88.5</v>
      </c>
      <c r="AO87" s="58">
        <v>146.488</v>
      </c>
      <c r="AP87" s="34"/>
      <c r="AQ87" s="34"/>
      <c r="AR87" s="34"/>
      <c r="AS87" s="34"/>
      <c r="AT87" s="34"/>
      <c r="AY87" s="58">
        <f>SUM(C87:F87)</f>
        <v>-611.20000000000005</v>
      </c>
      <c r="AZ87" s="58">
        <f>SUM(G87:J87)</f>
        <v>-734.7</v>
      </c>
      <c r="BA87" s="58">
        <f>SUM(K87:N87)</f>
        <v>-689.9</v>
      </c>
      <c r="BB87" s="58">
        <f>SUM(O87:R87)</f>
        <v>-304.89999999999998</v>
      </c>
      <c r="BC87" s="58">
        <f>SUM(S87:V87)</f>
        <v>-167.6</v>
      </c>
      <c r="BD87" s="58">
        <f>SUM(W87:Z87)</f>
        <v>292.89999999999998</v>
      </c>
      <c r="BE87" s="58">
        <f>SUM(AA87:AD87)</f>
        <v>184.6</v>
      </c>
      <c r="BF87" s="58">
        <f>SUM(AE87:AH87)</f>
        <v>246.59999999999997</v>
      </c>
      <c r="BG87" s="58">
        <f>SUM(AI87:AL87)</f>
        <v>413.5</v>
      </c>
      <c r="BH87" s="34"/>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c r="DI87" s="34"/>
      <c r="DJ87" s="34"/>
      <c r="DK87" s="34"/>
      <c r="DL87" s="34"/>
      <c r="DM87" s="34"/>
      <c r="DN87" s="34"/>
      <c r="DO87" s="34"/>
      <c r="DP87" s="34"/>
      <c r="DQ87" s="34"/>
    </row>
    <row r="88" spans="2:121">
      <c r="B88" s="1" t="s">
        <v>111</v>
      </c>
      <c r="C88" s="59">
        <v>-12.5</v>
      </c>
      <c r="D88" s="59">
        <v>-16.399999999999999</v>
      </c>
      <c r="E88" s="59">
        <v>-17.2</v>
      </c>
      <c r="F88" s="59">
        <v>-20.399999999999999</v>
      </c>
      <c r="G88" s="59">
        <v>-18</v>
      </c>
      <c r="H88" s="59">
        <v>-19.399999999999999</v>
      </c>
      <c r="I88" s="59">
        <v>-25.9</v>
      </c>
      <c r="J88" s="59">
        <v>-21.2</v>
      </c>
      <c r="K88" s="59">
        <v>-36.299999999999997</v>
      </c>
      <c r="L88" s="59">
        <v>-34.9</v>
      </c>
      <c r="M88" s="59">
        <v>-26.3</v>
      </c>
      <c r="N88" s="59">
        <v>-22.7</v>
      </c>
      <c r="O88" s="59">
        <v>-11.8</v>
      </c>
      <c r="P88" s="59">
        <v>-7.6</v>
      </c>
      <c r="Q88" s="59">
        <v>-7.9</v>
      </c>
      <c r="R88" s="59">
        <v>-9.1</v>
      </c>
      <c r="S88" s="59">
        <v>-10.9</v>
      </c>
      <c r="T88" s="59">
        <v>-15.8</v>
      </c>
      <c r="U88" s="59">
        <v>-14.7</v>
      </c>
      <c r="V88" s="59">
        <v>-16.399999999999999</v>
      </c>
      <c r="W88" s="59">
        <v>-10.9</v>
      </c>
      <c r="X88" s="59">
        <v>-14.6</v>
      </c>
      <c r="Y88" s="59">
        <v>-19.8</v>
      </c>
      <c r="Z88" s="59">
        <v>-24.6</v>
      </c>
      <c r="AA88" s="59">
        <v>-21.2</v>
      </c>
      <c r="AB88" s="59">
        <v>-23.4</v>
      </c>
      <c r="AC88" s="59">
        <v>-37.799999999999997</v>
      </c>
      <c r="AD88" s="59">
        <v>-46.9</v>
      </c>
      <c r="AE88" s="59">
        <v>-47.6</v>
      </c>
      <c r="AF88" s="59">
        <v>-36.9</v>
      </c>
      <c r="AG88" s="59">
        <v>-73.400000000000006</v>
      </c>
      <c r="AH88" s="59">
        <v>-53.7</v>
      </c>
      <c r="AI88" s="59">
        <v>-50.4</v>
      </c>
      <c r="AJ88" s="59">
        <v>-52.1</v>
      </c>
      <c r="AK88" s="59">
        <v>-44</v>
      </c>
      <c r="AL88" s="59">
        <v>-48.3</v>
      </c>
      <c r="AM88" s="59">
        <v>-37.200000000000003</v>
      </c>
      <c r="AN88" s="59">
        <v>-64.7</v>
      </c>
      <c r="AO88" s="1">
        <v>-53</v>
      </c>
      <c r="AY88" s="59">
        <f>SUM(C88:F88)</f>
        <v>-66.5</v>
      </c>
      <c r="AZ88" s="59">
        <f>SUM(G88:J88)</f>
        <v>-84.5</v>
      </c>
      <c r="BA88" s="59">
        <f>SUM(K88:N88)</f>
        <v>-120.19999999999999</v>
      </c>
      <c r="BB88" s="59">
        <f>SUM(O88:R88)</f>
        <v>-36.4</v>
      </c>
      <c r="BC88" s="59">
        <f>SUM(S88:V88)</f>
        <v>-57.800000000000004</v>
      </c>
      <c r="BD88" s="59">
        <f>SUM(W88:Z88)</f>
        <v>-69.900000000000006</v>
      </c>
      <c r="BE88" s="59">
        <f>SUM(AA88:AD88)</f>
        <v>-129.29999999999998</v>
      </c>
      <c r="BF88" s="59">
        <f>SUM(AE88:AH88)</f>
        <v>-211.60000000000002</v>
      </c>
      <c r="BG88" s="59">
        <f>SUM(AI88:AL88)</f>
        <v>-194.8</v>
      </c>
    </row>
    <row r="89" spans="2:121" s="2" customFormat="1" ht="15">
      <c r="B89" s="2" t="s">
        <v>112</v>
      </c>
      <c r="C89" s="58">
        <f>C87+C88</f>
        <v>-105</v>
      </c>
      <c r="D89" s="58">
        <f t="shared" ref="D89:AO89" si="129">D87+D88</f>
        <v>-150.5</v>
      </c>
      <c r="E89" s="58">
        <f t="shared" si="129"/>
        <v>-234.1</v>
      </c>
      <c r="F89" s="58">
        <f t="shared" si="129"/>
        <v>-188.1</v>
      </c>
      <c r="G89" s="58">
        <f t="shared" si="129"/>
        <v>-173</v>
      </c>
      <c r="H89" s="58">
        <f t="shared" si="129"/>
        <v>-229</v>
      </c>
      <c r="I89" s="58">
        <f t="shared" si="129"/>
        <v>-219.9</v>
      </c>
      <c r="J89" s="58">
        <f t="shared" si="129"/>
        <v>-197.29999999999998</v>
      </c>
      <c r="K89" s="58">
        <f t="shared" si="129"/>
        <v>-268.3</v>
      </c>
      <c r="L89" s="58">
        <f t="shared" si="129"/>
        <v>-234.20000000000002</v>
      </c>
      <c r="M89" s="58">
        <f t="shared" si="129"/>
        <v>-158.80000000000001</v>
      </c>
      <c r="N89" s="58">
        <f t="shared" si="129"/>
        <v>-148.79999999999998</v>
      </c>
      <c r="O89" s="58">
        <f t="shared" si="129"/>
        <v>-78</v>
      </c>
      <c r="P89" s="58">
        <f t="shared" si="129"/>
        <v>-103.39999999999999</v>
      </c>
      <c r="Q89" s="58">
        <f t="shared" si="129"/>
        <v>-84</v>
      </c>
      <c r="R89" s="58">
        <f t="shared" si="129"/>
        <v>-75.899999999999991</v>
      </c>
      <c r="S89" s="58">
        <f t="shared" si="129"/>
        <v>-4.6000000000000005</v>
      </c>
      <c r="T89" s="58">
        <f t="shared" si="129"/>
        <v>-82.399999999999991</v>
      </c>
      <c r="U89" s="58">
        <f t="shared" si="129"/>
        <v>-69.5</v>
      </c>
      <c r="V89" s="58">
        <f t="shared" si="129"/>
        <v>-68.900000000000006</v>
      </c>
      <c r="W89" s="58">
        <f t="shared" si="129"/>
        <v>126</v>
      </c>
      <c r="X89" s="58">
        <f t="shared" si="129"/>
        <v>-115.69999999999999</v>
      </c>
      <c r="Y89" s="58">
        <f t="shared" si="129"/>
        <v>51.8</v>
      </c>
      <c r="Z89" s="58">
        <f t="shared" si="129"/>
        <v>160.9</v>
      </c>
      <c r="AA89" s="58">
        <f t="shared" si="129"/>
        <v>106.3</v>
      </c>
      <c r="AB89" s="58">
        <f t="shared" si="129"/>
        <v>-147.5</v>
      </c>
      <c r="AC89" s="58">
        <f t="shared" si="129"/>
        <v>18.100000000000001</v>
      </c>
      <c r="AD89" s="58">
        <f t="shared" si="129"/>
        <v>78.400000000000006</v>
      </c>
      <c r="AE89" s="58">
        <f t="shared" si="129"/>
        <v>103.5</v>
      </c>
      <c r="AF89" s="58">
        <f t="shared" si="129"/>
        <v>-118.80000000000001</v>
      </c>
      <c r="AG89" s="58">
        <f t="shared" si="129"/>
        <v>-60.600000000000009</v>
      </c>
      <c r="AH89" s="58">
        <f t="shared" si="129"/>
        <v>110.89999999999999</v>
      </c>
      <c r="AI89" s="58">
        <f t="shared" si="129"/>
        <v>38.000000000000007</v>
      </c>
      <c r="AJ89" s="58">
        <f t="shared" si="129"/>
        <v>-73.5</v>
      </c>
      <c r="AK89" s="58">
        <f t="shared" si="129"/>
        <v>71.900000000000006</v>
      </c>
      <c r="AL89" s="58">
        <f t="shared" si="129"/>
        <v>182.3</v>
      </c>
      <c r="AM89" s="58">
        <f t="shared" si="129"/>
        <v>114.39999999999999</v>
      </c>
      <c r="AN89" s="58">
        <f t="shared" si="129"/>
        <v>23.799999999999997</v>
      </c>
      <c r="AO89" s="58">
        <f t="shared" si="129"/>
        <v>93.488</v>
      </c>
      <c r="AP89" s="34"/>
      <c r="AQ89" s="34"/>
      <c r="AR89" s="34"/>
      <c r="AS89" s="34"/>
      <c r="AT89" s="34"/>
      <c r="AY89" s="58">
        <f>SUM(C89:F89)</f>
        <v>-677.7</v>
      </c>
      <c r="AZ89" s="58">
        <f>SUM(G89:J89)</f>
        <v>-819.19999999999993</v>
      </c>
      <c r="BA89" s="58">
        <f>SUM(K89:N89)</f>
        <v>-810.09999999999991</v>
      </c>
      <c r="BB89" s="58">
        <f>SUM(O89:R89)</f>
        <v>-341.29999999999995</v>
      </c>
      <c r="BC89" s="58">
        <f>SUM(S89:V89)</f>
        <v>-225.4</v>
      </c>
      <c r="BD89" s="58">
        <f>SUM(W89:Z89)</f>
        <v>223</v>
      </c>
      <c r="BE89" s="58">
        <f>SUM(AA89:AD89)</f>
        <v>55.300000000000004</v>
      </c>
      <c r="BF89" s="58">
        <f>SUM(AE89:AH89)</f>
        <v>34.999999999999972</v>
      </c>
      <c r="BG89" s="58">
        <f>SUM(AI89:AL89)</f>
        <v>218.70000000000002</v>
      </c>
      <c r="BH89" s="34"/>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c r="DI89" s="34"/>
      <c r="DJ89" s="34"/>
      <c r="DK89" s="34"/>
      <c r="DL89" s="34"/>
      <c r="DM89" s="34"/>
      <c r="DN89" s="34"/>
      <c r="DO89" s="34"/>
      <c r="DP89" s="34"/>
      <c r="DQ89" s="34"/>
    </row>
    <row r="90" spans="2:121">
      <c r="B90" s="1" t="s">
        <v>113</v>
      </c>
      <c r="C90" s="59">
        <f>C47</f>
        <v>757</v>
      </c>
      <c r="D90" s="59">
        <f t="shared" ref="D90:AO90" si="130">D47</f>
        <v>806</v>
      </c>
      <c r="E90" s="59">
        <f t="shared" si="130"/>
        <v>832</v>
      </c>
      <c r="F90" s="59">
        <f t="shared" si="130"/>
        <v>808</v>
      </c>
      <c r="G90" s="59">
        <f t="shared" si="130"/>
        <v>955</v>
      </c>
      <c r="H90" s="59">
        <f t="shared" si="130"/>
        <v>1223</v>
      </c>
      <c r="I90" s="59">
        <f t="shared" si="130"/>
        <v>1233</v>
      </c>
      <c r="J90" s="59">
        <f t="shared" si="130"/>
        <v>1166</v>
      </c>
      <c r="K90" s="59">
        <f t="shared" si="130"/>
        <v>1271</v>
      </c>
      <c r="L90" s="59">
        <f t="shared" si="130"/>
        <v>1295</v>
      </c>
      <c r="M90" s="59">
        <f t="shared" si="130"/>
        <v>1310</v>
      </c>
      <c r="N90" s="59">
        <f t="shared" si="130"/>
        <v>1301</v>
      </c>
      <c r="O90" s="59">
        <f t="shared" si="130"/>
        <v>1341</v>
      </c>
      <c r="P90" s="59">
        <f t="shared" si="130"/>
        <v>1363</v>
      </c>
      <c r="Q90" s="59">
        <f t="shared" si="130"/>
        <v>1393</v>
      </c>
      <c r="R90" s="59">
        <f t="shared" si="130"/>
        <v>1375</v>
      </c>
      <c r="S90" s="59">
        <f t="shared" si="130"/>
        <v>1426</v>
      </c>
      <c r="T90" s="59">
        <f t="shared" si="130"/>
        <v>1447</v>
      </c>
      <c r="U90" s="59">
        <f t="shared" si="130"/>
        <v>1466</v>
      </c>
      <c r="V90" s="59">
        <f t="shared" si="130"/>
        <v>1456</v>
      </c>
      <c r="W90" s="59">
        <f t="shared" si="130"/>
        <v>1502</v>
      </c>
      <c r="X90" s="59">
        <f t="shared" si="130"/>
        <v>1547</v>
      </c>
      <c r="Y90" s="59">
        <f t="shared" si="130"/>
        <v>1581</v>
      </c>
      <c r="Z90" s="59">
        <f t="shared" si="130"/>
        <v>1559</v>
      </c>
      <c r="AA90" s="59">
        <f t="shared" si="130"/>
        <v>1619</v>
      </c>
      <c r="AB90" s="59">
        <f t="shared" si="130"/>
        <v>1632</v>
      </c>
      <c r="AC90" s="59">
        <f t="shared" si="130"/>
        <v>1609</v>
      </c>
      <c r="AD90" s="59">
        <f t="shared" si="130"/>
        <v>1608</v>
      </c>
      <c r="AE90" s="59">
        <f t="shared" si="130"/>
        <v>1581</v>
      </c>
      <c r="AF90" s="59">
        <f t="shared" si="130"/>
        <v>1603</v>
      </c>
      <c r="AG90" s="59">
        <f t="shared" si="130"/>
        <v>1626</v>
      </c>
      <c r="AH90" s="59">
        <f t="shared" si="130"/>
        <v>1613</v>
      </c>
      <c r="AI90" s="59">
        <f t="shared" si="130"/>
        <v>1647</v>
      </c>
      <c r="AJ90" s="59">
        <f t="shared" si="130"/>
        <v>1645</v>
      </c>
      <c r="AK90" s="59">
        <f t="shared" si="130"/>
        <v>1663</v>
      </c>
      <c r="AL90" s="59">
        <f t="shared" si="130"/>
        <v>1659</v>
      </c>
      <c r="AM90" s="59">
        <f t="shared" si="130"/>
        <v>1696</v>
      </c>
      <c r="AN90" s="59">
        <f t="shared" si="130"/>
        <v>1675</v>
      </c>
      <c r="AO90" s="59">
        <f t="shared" si="130"/>
        <v>1696.5419999999999</v>
      </c>
      <c r="AY90" s="59">
        <f>AY47</f>
        <v>808</v>
      </c>
      <c r="AZ90" s="59">
        <f t="shared" ref="AZ90:BG90" si="131">AZ47</f>
        <v>1166</v>
      </c>
      <c r="BA90" s="59">
        <f t="shared" si="131"/>
        <v>1301</v>
      </c>
      <c r="BB90" s="59">
        <f t="shared" si="131"/>
        <v>1375</v>
      </c>
      <c r="BC90" s="59">
        <f t="shared" si="131"/>
        <v>1456</v>
      </c>
      <c r="BD90" s="59">
        <f t="shared" si="131"/>
        <v>1559</v>
      </c>
      <c r="BE90" s="59">
        <f t="shared" si="131"/>
        <v>1608</v>
      </c>
      <c r="BF90" s="59">
        <f t="shared" si="131"/>
        <v>1613</v>
      </c>
      <c r="BG90" s="59">
        <f t="shared" si="131"/>
        <v>1659</v>
      </c>
    </row>
    <row r="91" spans="2:121">
      <c r="B91" s="1" t="s">
        <v>114</v>
      </c>
      <c r="C91" s="40">
        <f>C89/C90</f>
        <v>-0.13870541611624834</v>
      </c>
      <c r="D91" s="40">
        <f t="shared" ref="D91:AO91" si="132">D89/D90</f>
        <v>-0.18672456575682383</v>
      </c>
      <c r="E91" s="40">
        <f t="shared" si="132"/>
        <v>-0.28137019230769228</v>
      </c>
      <c r="F91" s="40">
        <f t="shared" si="132"/>
        <v>-0.23279702970297028</v>
      </c>
      <c r="G91" s="40">
        <f t="shared" si="132"/>
        <v>-0.18115183246073299</v>
      </c>
      <c r="H91" s="40">
        <f t="shared" si="132"/>
        <v>-0.18724448078495504</v>
      </c>
      <c r="I91" s="40">
        <f t="shared" si="132"/>
        <v>-0.17834549878345499</v>
      </c>
      <c r="J91" s="40">
        <f t="shared" si="132"/>
        <v>-0.16921097770154372</v>
      </c>
      <c r="K91" s="40">
        <f t="shared" si="132"/>
        <v>-0.21109362706530291</v>
      </c>
      <c r="L91" s="40">
        <f t="shared" si="132"/>
        <v>-0.18084942084942085</v>
      </c>
      <c r="M91" s="40">
        <f t="shared" si="132"/>
        <v>-0.12122137404580154</v>
      </c>
      <c r="N91" s="40">
        <f t="shared" si="132"/>
        <v>-0.11437355880092236</v>
      </c>
      <c r="O91" s="40">
        <f t="shared" si="132"/>
        <v>-5.8165548098434001E-2</v>
      </c>
      <c r="P91" s="40">
        <f t="shared" si="132"/>
        <v>-7.586206896551724E-2</v>
      </c>
      <c r="Q91" s="40">
        <f t="shared" si="132"/>
        <v>-6.030150753768844E-2</v>
      </c>
      <c r="R91" s="40">
        <f t="shared" si="132"/>
        <v>-5.5199999999999992E-2</v>
      </c>
      <c r="S91" s="40">
        <f t="shared" si="132"/>
        <v>-3.2258064516129037E-3</v>
      </c>
      <c r="T91" s="40">
        <f t="shared" si="132"/>
        <v>-5.6945404284727018E-2</v>
      </c>
      <c r="U91" s="40">
        <f t="shared" si="132"/>
        <v>-4.7407912687585263E-2</v>
      </c>
      <c r="V91" s="40">
        <f t="shared" si="132"/>
        <v>-4.7321428571428577E-2</v>
      </c>
      <c r="W91" s="40">
        <f t="shared" si="132"/>
        <v>8.3888149134487347E-2</v>
      </c>
      <c r="X91" s="40">
        <f t="shared" si="132"/>
        <v>-7.4789915966386553E-2</v>
      </c>
      <c r="Y91" s="40">
        <f t="shared" si="132"/>
        <v>3.2764073371283994E-2</v>
      </c>
      <c r="Z91" s="40">
        <f t="shared" si="132"/>
        <v>0.1032071840923669</v>
      </c>
      <c r="AA91" s="40">
        <f t="shared" si="132"/>
        <v>6.5657813465101911E-2</v>
      </c>
      <c r="AB91" s="40">
        <f t="shared" si="132"/>
        <v>-9.0379901960784312E-2</v>
      </c>
      <c r="AC91" s="40">
        <f t="shared" si="132"/>
        <v>1.124922311995028E-2</v>
      </c>
      <c r="AD91" s="40">
        <f t="shared" si="132"/>
        <v>4.8756218905472638E-2</v>
      </c>
      <c r="AE91" s="40">
        <f t="shared" si="132"/>
        <v>6.546489563567362E-2</v>
      </c>
      <c r="AF91" s="40">
        <f t="shared" si="132"/>
        <v>-7.4111041796631319E-2</v>
      </c>
      <c r="AG91" s="40">
        <f t="shared" si="132"/>
        <v>-3.7269372693726946E-2</v>
      </c>
      <c r="AH91" s="40">
        <f t="shared" si="132"/>
        <v>6.8753874767513948E-2</v>
      </c>
      <c r="AI91" s="40">
        <f t="shared" si="132"/>
        <v>2.3072252580449305E-2</v>
      </c>
      <c r="AJ91" s="40">
        <f t="shared" si="132"/>
        <v>-4.4680851063829789E-2</v>
      </c>
      <c r="AK91" s="40">
        <f t="shared" si="132"/>
        <v>4.3235117257967533E-2</v>
      </c>
      <c r="AL91" s="40">
        <f t="shared" si="132"/>
        <v>0.10988547317661243</v>
      </c>
      <c r="AM91" s="40">
        <f t="shared" si="132"/>
        <v>6.7452830188679244E-2</v>
      </c>
      <c r="AN91" s="40">
        <f t="shared" si="132"/>
        <v>1.4208955223880595E-2</v>
      </c>
      <c r="AO91" s="40">
        <f t="shared" si="132"/>
        <v>5.5105031293065543E-2</v>
      </c>
      <c r="AY91" s="40">
        <f>SUM(C91:F91)</f>
        <v>-0.83959720388373471</v>
      </c>
      <c r="AZ91" s="40">
        <f>SUM(G91:J91)</f>
        <v>-0.71595278973068666</v>
      </c>
      <c r="BA91" s="40">
        <f>SUM(K91:N91)</f>
        <v>-0.62753798076144773</v>
      </c>
      <c r="BB91" s="40">
        <f>SUM(O91:R91)</f>
        <v>-0.2495291246016397</v>
      </c>
      <c r="BC91" s="40">
        <f>SUM(S91:V91)</f>
        <v>-0.15490055199535377</v>
      </c>
      <c r="BD91" s="40">
        <f>SUM(W91:Z91)</f>
        <v>0.14506949063175167</v>
      </c>
      <c r="BE91" s="40">
        <f>SUM(AA91:AD91)</f>
        <v>3.5283353529740519E-2</v>
      </c>
      <c r="BF91" s="40">
        <f>SUM(AE91:AH91)</f>
        <v>2.2838355912829303E-2</v>
      </c>
      <c r="BG91" s="40">
        <f>SUM(AI91:AL91)</f>
        <v>0.13151199195119948</v>
      </c>
    </row>
  </sheetData>
  <mergeCells count="1">
    <mergeCell ref="BP72:BQ72"/>
  </mergeCells>
  <conditionalFormatting sqref="BP72">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Sell",BP72)))</formula>
    </cfRule>
    <cfRule type="containsText" dxfId="3" priority="3" operator="containsText" text="Sell">
      <formula>NOT(ISERROR(SEARCH("Sell",BP72)))</formula>
    </cfRule>
    <cfRule type="containsText" dxfId="2" priority="4" operator="containsText" text="Hold">
      <formula>NOT(ISERROR(SEARCH("Hold",BP72)))</formula>
    </cfRule>
    <cfRule type="beginsWith" dxfId="1" priority="5" operator="beginsWith" text="Buy">
      <formula>LEFT(BP72,LEN("Buy"))="Buy"</formula>
    </cfRule>
    <cfRule type="beginsWith" dxfId="0" priority="6" operator="beginsWith" text="Strong">
      <formula>LEFT(BP72,LEN("Strong"))="Strong"</formula>
    </cfRule>
  </conditionalFormatting>
  <pageMargins left="0.7" right="0.7" top="0.75" bottom="0.75" header="0.3" footer="0.3"/>
  <ignoredErrors>
    <ignoredError sqref="BH10:BQ10 AY11:BE11 AM8:AM10 AI12:AM13 AM20:AM23 AI25:AM27 AN24:AO24 AN11:AO13 C48:AM48 C49:AO49 AN48:AO48 AN8 AN9:AN10 AO8:AO10 AN50 AO50:AO56 AY12:BE12 BG25:BG27 BG20:BG24 BH56:BQ56 BH54:BQ54 AN20:AN23 AN25:AN27" evalError="1"/>
    <ignoredError sqref="BB34:BG34 BB46:BG46 BB33:BG33 AY87:BG89 AY91:BG91 BG4:BG7 BG13 AD80:AN84 BB36:BG45 AY33:BA45 AO80:AO84" formulaRange="1"/>
    <ignoredError sqref="AY90:BG90" formula="1" formulaRange="1"/>
    <ignoredError sqref="BG12 BG11 BG9 BG8" evalError="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I1562"/>
  <sheetViews>
    <sheetView topLeftCell="P142" zoomScale="85" zoomScaleNormal="85" workbookViewId="0">
      <selection activeCell="AL107" sqref="AL107"/>
    </sheetView>
  </sheetViews>
  <sheetFormatPr defaultColWidth="9.140625" defaultRowHeight="13.5" customHeight="1"/>
  <cols>
    <col min="1" max="7" width="0" style="1" hidden="1" customWidth="1"/>
    <col min="8" max="8" width="3.140625" style="1" hidden="1" customWidth="1"/>
    <col min="9" max="15" width="0" style="1" hidden="1" customWidth="1"/>
    <col min="16" max="16" width="3.140625" style="1" customWidth="1"/>
    <col min="17" max="36" width="9.140625" style="1"/>
    <col min="37" max="37" width="2.85546875" style="1" customWidth="1"/>
    <col min="38" max="16384" width="9.140625" style="1"/>
  </cols>
  <sheetData>
    <row r="1" spans="16:87" ht="13.5" customHeight="1">
      <c r="CI1" s="1">
        <v>0</v>
      </c>
    </row>
    <row r="2" spans="16:87" ht="13.5" customHeight="1">
      <c r="P2" s="2" t="s">
        <v>136</v>
      </c>
      <c r="AL2" s="2" t="s">
        <v>1497</v>
      </c>
    </row>
    <row r="32" spans="17:18" ht="13.5" customHeight="1">
      <c r="Q32" s="1" t="s">
        <v>15</v>
      </c>
      <c r="R32" s="1" t="s">
        <v>16</v>
      </c>
    </row>
    <row r="33" spans="16:38" ht="13.5" customHeight="1">
      <c r="R33" s="1" t="s">
        <v>17</v>
      </c>
    </row>
    <row r="34" spans="16:38" ht="13.5" customHeight="1">
      <c r="R34" s="1" t="s">
        <v>18</v>
      </c>
    </row>
    <row r="35" spans="16:38" ht="13.5" customHeight="1">
      <c r="AL35" s="2" t="s">
        <v>1498</v>
      </c>
    </row>
    <row r="36" spans="16:38" ht="13.5" customHeight="1">
      <c r="P36" s="2" t="s">
        <v>1496</v>
      </c>
      <c r="AL36" s="2" t="s">
        <v>115</v>
      </c>
    </row>
    <row r="67" spans="16:38" ht="13.5" customHeight="1">
      <c r="Q67" s="1" t="s">
        <v>15</v>
      </c>
      <c r="R67" s="1" t="s">
        <v>16</v>
      </c>
    </row>
    <row r="68" spans="16:38" ht="13.5" customHeight="1">
      <c r="R68" s="1" t="s">
        <v>17</v>
      </c>
    </row>
    <row r="69" spans="16:38" ht="13.5" customHeight="1">
      <c r="R69" s="1" t="s">
        <v>18</v>
      </c>
    </row>
    <row r="71" spans="16:38" ht="13.5" customHeight="1">
      <c r="P71" s="2" t="s">
        <v>1503</v>
      </c>
      <c r="AL71" s="2" t="s">
        <v>116</v>
      </c>
    </row>
    <row r="100" spans="16:38" ht="13.5" customHeight="1">
      <c r="Q100" s="1" t="s">
        <v>15</v>
      </c>
      <c r="R100" s="1" t="s">
        <v>16</v>
      </c>
    </row>
    <row r="101" spans="16:38" ht="13.5" customHeight="1">
      <c r="R101" s="1" t="s">
        <v>17</v>
      </c>
    </row>
    <row r="102" spans="16:38" ht="13.5" customHeight="1">
      <c r="R102" s="1" t="s">
        <v>18</v>
      </c>
    </row>
    <row r="103" spans="16:38" ht="13.5" customHeight="1">
      <c r="Q103" s="1" t="s">
        <v>15</v>
      </c>
      <c r="R103" s="1" t="s">
        <v>16</v>
      </c>
    </row>
    <row r="104" spans="16:38" ht="13.5" customHeight="1">
      <c r="R104" s="1" t="s">
        <v>17</v>
      </c>
    </row>
    <row r="105" spans="16:38" ht="13.5" customHeight="1">
      <c r="R105" s="1" t="s">
        <v>18</v>
      </c>
    </row>
    <row r="107" spans="16:38" ht="13.5" customHeight="1">
      <c r="P107" s="2" t="s">
        <v>14</v>
      </c>
      <c r="AL107" s="2" t="s">
        <v>117</v>
      </c>
    </row>
    <row r="139" spans="16:38" ht="13.5" customHeight="1">
      <c r="Q139" s="1" t="s">
        <v>15</v>
      </c>
      <c r="R139" s="1" t="s">
        <v>16</v>
      </c>
    </row>
    <row r="140" spans="16:38" ht="13.5" customHeight="1">
      <c r="R140" s="1" t="s">
        <v>17</v>
      </c>
    </row>
    <row r="141" spans="16:38" ht="13.5" customHeight="1">
      <c r="R141" s="1" t="s">
        <v>18</v>
      </c>
    </row>
    <row r="143" spans="16:38" ht="13.5" customHeight="1">
      <c r="P143" s="2" t="s">
        <v>139</v>
      </c>
      <c r="AL143" s="2" t="s">
        <v>118</v>
      </c>
    </row>
    <row r="172" spans="16:18" ht="13.5" customHeight="1">
      <c r="Q172" s="1" t="s">
        <v>15</v>
      </c>
      <c r="R172" s="1" t="s">
        <v>16</v>
      </c>
    </row>
    <row r="173" spans="16:18" ht="13.5" customHeight="1">
      <c r="R173" s="1" t="s">
        <v>17</v>
      </c>
    </row>
    <row r="174" spans="16:18" ht="13.5" customHeight="1">
      <c r="R174" s="1" t="s">
        <v>18</v>
      </c>
    </row>
    <row r="176" spans="16:18" ht="13.5" customHeight="1">
      <c r="P176" s="2" t="s">
        <v>138</v>
      </c>
    </row>
    <row r="189" spans="1:15" ht="13.5" customHeight="1">
      <c r="A189" s="1" t="s">
        <v>161</v>
      </c>
    </row>
    <row r="190" spans="1:15" ht="13.5" customHeight="1">
      <c r="A190" s="1" t="s">
        <v>1494</v>
      </c>
      <c r="I190" s="1" t="s">
        <v>1494</v>
      </c>
    </row>
    <row r="191" spans="1:15" ht="13.5" customHeight="1">
      <c r="A191" s="24" t="s">
        <v>19</v>
      </c>
      <c r="B191" s="24" t="s">
        <v>20</v>
      </c>
      <c r="C191" s="24" t="s">
        <v>21</v>
      </c>
      <c r="D191" s="24" t="s">
        <v>22</v>
      </c>
      <c r="E191" s="24" t="s">
        <v>23</v>
      </c>
      <c r="F191" s="24" t="s">
        <v>24</v>
      </c>
      <c r="G191" s="24" t="s">
        <v>25</v>
      </c>
      <c r="I191" s="24" t="s">
        <v>19</v>
      </c>
      <c r="J191" s="24" t="s">
        <v>20</v>
      </c>
      <c r="K191" s="24" t="s">
        <v>21</v>
      </c>
      <c r="L191" s="24" t="s">
        <v>22</v>
      </c>
      <c r="M191" s="24" t="s">
        <v>23</v>
      </c>
      <c r="N191" s="24" t="s">
        <v>24</v>
      </c>
      <c r="O191" s="24" t="s">
        <v>25</v>
      </c>
    </row>
    <row r="192" spans="1:15" ht="13.5" customHeight="1">
      <c r="A192" s="65">
        <v>627.04</v>
      </c>
      <c r="B192" s="65">
        <v>629.94000000000005</v>
      </c>
      <c r="C192" s="65">
        <v>624.5</v>
      </c>
      <c r="D192" s="65">
        <v>629.84</v>
      </c>
      <c r="E192" s="65">
        <v>7019277</v>
      </c>
      <c r="F192" s="65" t="s">
        <v>238</v>
      </c>
      <c r="G192" s="25">
        <f t="shared" ref="G192:G255" si="0">A192/D192-1</f>
        <v>-4.4455734789788925E-3</v>
      </c>
      <c r="I192" s="65">
        <v>7.8</v>
      </c>
      <c r="J192" s="65">
        <v>7.82</v>
      </c>
      <c r="K192" s="65">
        <v>7.63</v>
      </c>
      <c r="L192" s="65">
        <v>7.68</v>
      </c>
      <c r="M192" s="65">
        <v>42113090</v>
      </c>
      <c r="N192" s="65" t="s">
        <v>238</v>
      </c>
      <c r="O192" s="25">
        <f t="shared" ref="O192:O255" si="1">I192/L192-1</f>
        <v>1.5625E-2</v>
      </c>
    </row>
    <row r="193" spans="1:18" ht="13.5" customHeight="1">
      <c r="A193" s="65">
        <v>625.24</v>
      </c>
      <c r="B193" s="65">
        <v>630.63</v>
      </c>
      <c r="C193" s="65">
        <v>625.1</v>
      </c>
      <c r="D193" s="65">
        <v>628.80999999999995</v>
      </c>
      <c r="E193" s="65">
        <v>6171678</v>
      </c>
      <c r="F193" s="65" t="s">
        <v>239</v>
      </c>
      <c r="G193" s="25">
        <f t="shared" si="0"/>
        <v>-5.6773906267393315E-3</v>
      </c>
      <c r="I193" s="65">
        <v>7.6</v>
      </c>
      <c r="J193" s="65">
        <v>7.88</v>
      </c>
      <c r="K193" s="65">
        <v>7.48</v>
      </c>
      <c r="L193" s="65">
        <v>7.61</v>
      </c>
      <c r="M193" s="65">
        <v>45540928</v>
      </c>
      <c r="N193" s="65" t="s">
        <v>239</v>
      </c>
      <c r="O193" s="25">
        <f t="shared" si="1"/>
        <v>-1.3140604467806183E-3</v>
      </c>
    </row>
    <row r="194" spans="1:18" ht="13.5" customHeight="1">
      <c r="A194" s="65">
        <v>631.95000000000005</v>
      </c>
      <c r="B194" s="65">
        <v>634.13</v>
      </c>
      <c r="C194" s="65">
        <v>627.87</v>
      </c>
      <c r="D194" s="65">
        <v>633.21</v>
      </c>
      <c r="E194" s="65">
        <v>6037388</v>
      </c>
      <c r="F194" s="65" t="s">
        <v>240</v>
      </c>
      <c r="G194" s="25">
        <f t="shared" si="0"/>
        <v>-1.9898611834936464E-3</v>
      </c>
      <c r="I194" s="65">
        <v>7.74</v>
      </c>
      <c r="J194" s="65">
        <v>7.91</v>
      </c>
      <c r="K194" s="65">
        <v>7.681</v>
      </c>
      <c r="L194" s="65">
        <v>7.74</v>
      </c>
      <c r="M194" s="65">
        <v>35797451</v>
      </c>
      <c r="N194" s="65" t="s">
        <v>240</v>
      </c>
      <c r="O194" s="25">
        <f t="shared" si="1"/>
        <v>0</v>
      </c>
    </row>
    <row r="195" spans="1:18" ht="13.5" customHeight="1">
      <c r="A195" s="65">
        <v>631.69000000000005</v>
      </c>
      <c r="B195" s="65">
        <v>633.39</v>
      </c>
      <c r="C195" s="65">
        <v>629.64</v>
      </c>
      <c r="D195" s="65">
        <v>631.71</v>
      </c>
      <c r="E195" s="65">
        <v>5575277</v>
      </c>
      <c r="F195" s="65" t="s">
        <v>241</v>
      </c>
      <c r="G195" s="25">
        <f t="shared" si="0"/>
        <v>-3.1660097196462011E-5</v>
      </c>
      <c r="I195" s="65">
        <v>7.74</v>
      </c>
      <c r="J195" s="65">
        <v>7.8792999999999997</v>
      </c>
      <c r="K195" s="65">
        <v>7.73</v>
      </c>
      <c r="L195" s="65">
        <v>7.85</v>
      </c>
      <c r="M195" s="65">
        <v>40260624</v>
      </c>
      <c r="N195" s="65" t="s">
        <v>241</v>
      </c>
      <c r="O195" s="25">
        <f t="shared" si="1"/>
        <v>-1.4012738853503071E-2</v>
      </c>
    </row>
    <row r="196" spans="1:18" ht="13.5" customHeight="1">
      <c r="A196" s="65">
        <v>630</v>
      </c>
      <c r="B196" s="65">
        <v>630.29</v>
      </c>
      <c r="C196" s="65">
        <v>627.16</v>
      </c>
      <c r="D196" s="65">
        <v>627.74</v>
      </c>
      <c r="E196" s="65">
        <v>7804316</v>
      </c>
      <c r="F196" s="65" t="s">
        <v>242</v>
      </c>
      <c r="G196" s="25">
        <f t="shared" si="0"/>
        <v>3.600216650205379E-3</v>
      </c>
      <c r="I196" s="65">
        <v>7.91</v>
      </c>
      <c r="J196" s="65">
        <v>8.07</v>
      </c>
      <c r="K196" s="65">
        <v>7.89</v>
      </c>
      <c r="L196" s="65">
        <v>8.07</v>
      </c>
      <c r="M196" s="65">
        <v>35185758</v>
      </c>
      <c r="N196" s="65" t="s">
        <v>242</v>
      </c>
      <c r="O196" s="25">
        <f t="shared" si="1"/>
        <v>-1.9826517967781898E-2</v>
      </c>
    </row>
    <row r="197" spans="1:18" ht="13.5" customHeight="1">
      <c r="A197" s="65">
        <v>622.54999999999995</v>
      </c>
      <c r="B197" s="65">
        <v>623.78989999999999</v>
      </c>
      <c r="C197" s="65">
        <v>621.20699999999999</v>
      </c>
      <c r="D197" s="65">
        <v>621.91999999999996</v>
      </c>
      <c r="E197" s="65">
        <v>5650844</v>
      </c>
      <c r="F197" s="65" t="s">
        <v>243</v>
      </c>
      <c r="G197" s="25">
        <f t="shared" si="0"/>
        <v>1.0129920246977342E-3</v>
      </c>
      <c r="I197" s="65">
        <v>7.95</v>
      </c>
      <c r="J197" s="65">
        <v>8.0299999999999994</v>
      </c>
      <c r="K197" s="65">
        <v>7.8</v>
      </c>
      <c r="L197" s="65">
        <v>7.8</v>
      </c>
      <c r="M197" s="65">
        <v>47512950</v>
      </c>
      <c r="N197" s="65" t="s">
        <v>243</v>
      </c>
      <c r="O197" s="25">
        <f t="shared" si="1"/>
        <v>1.9230769230769384E-2</v>
      </c>
    </row>
    <row r="198" spans="1:18" ht="13.5" customHeight="1">
      <c r="A198" s="65">
        <v>617.44000000000005</v>
      </c>
      <c r="B198" s="65">
        <v>618.47400000000005</v>
      </c>
      <c r="C198" s="65">
        <v>613.99</v>
      </c>
      <c r="D198" s="65">
        <v>614.25</v>
      </c>
      <c r="E198" s="65">
        <v>5825360</v>
      </c>
      <c r="F198" s="65" t="s">
        <v>244</v>
      </c>
      <c r="G198" s="25">
        <f t="shared" si="0"/>
        <v>5.1933251933253821E-3</v>
      </c>
      <c r="I198" s="65">
        <v>7.87</v>
      </c>
      <c r="J198" s="65">
        <v>7.96</v>
      </c>
      <c r="K198" s="65">
        <v>7.71</v>
      </c>
      <c r="L198" s="65">
        <v>7.75</v>
      </c>
      <c r="M198" s="65">
        <v>25988799</v>
      </c>
      <c r="N198" s="65" t="s">
        <v>244</v>
      </c>
      <c r="O198" s="25">
        <f t="shared" si="1"/>
        <v>1.5483870967741842E-2</v>
      </c>
    </row>
    <row r="199" spans="1:18" ht="13.5" customHeight="1">
      <c r="A199" s="65">
        <v>613.97</v>
      </c>
      <c r="B199" s="65">
        <v>617.83000000000004</v>
      </c>
      <c r="C199" s="65">
        <v>609.83000000000004</v>
      </c>
      <c r="D199" s="65">
        <v>617.83000000000004</v>
      </c>
      <c r="E199" s="65">
        <v>6119026</v>
      </c>
      <c r="F199" s="65" t="s">
        <v>245</v>
      </c>
      <c r="G199" s="25">
        <f t="shared" si="0"/>
        <v>-6.247673308191648E-3</v>
      </c>
      <c r="I199" s="65">
        <v>7.77</v>
      </c>
      <c r="J199" s="65">
        <v>7.93</v>
      </c>
      <c r="K199" s="65">
        <v>7.65</v>
      </c>
      <c r="L199" s="65">
        <v>7.82</v>
      </c>
      <c r="M199" s="65">
        <v>41332852</v>
      </c>
      <c r="N199" s="65" t="s">
        <v>245</v>
      </c>
      <c r="O199" s="25">
        <f t="shared" si="1"/>
        <v>-6.3938618925831747E-3</v>
      </c>
    </row>
    <row r="200" spans="1:18" ht="13.5" customHeight="1">
      <c r="A200" s="65">
        <v>617.09</v>
      </c>
      <c r="B200" s="65">
        <v>618.74</v>
      </c>
      <c r="C200" s="65">
        <v>615.98099999999999</v>
      </c>
      <c r="D200" s="65">
        <v>617.33000000000004</v>
      </c>
      <c r="E200" s="65">
        <v>4156131</v>
      </c>
      <c r="F200" s="65" t="s">
        <v>246</v>
      </c>
      <c r="G200" s="25">
        <f t="shared" si="0"/>
        <v>-3.8877099768364065E-4</v>
      </c>
      <c r="I200" s="65">
        <v>7.85</v>
      </c>
      <c r="J200" s="65">
        <v>7.94</v>
      </c>
      <c r="K200" s="65">
        <v>7.6601999999999997</v>
      </c>
      <c r="L200" s="65">
        <v>7.73</v>
      </c>
      <c r="M200" s="65">
        <v>32611450</v>
      </c>
      <c r="N200" s="65" t="s">
        <v>246</v>
      </c>
      <c r="O200" s="25">
        <f t="shared" si="1"/>
        <v>1.5523932729624823E-2</v>
      </c>
    </row>
    <row r="201" spans="1:18" ht="13.5" customHeight="1">
      <c r="A201" s="65">
        <v>617.16999999999996</v>
      </c>
      <c r="B201" s="65">
        <v>618.01</v>
      </c>
      <c r="C201" s="65">
        <v>613.51</v>
      </c>
      <c r="D201" s="65">
        <v>613.51</v>
      </c>
      <c r="E201" s="65">
        <v>4049225</v>
      </c>
      <c r="F201" s="65" t="s">
        <v>247</v>
      </c>
      <c r="G201" s="25">
        <f t="shared" si="0"/>
        <v>5.9656729311665657E-3</v>
      </c>
      <c r="I201" s="65">
        <v>7.73</v>
      </c>
      <c r="J201" s="65">
        <v>7.8</v>
      </c>
      <c r="K201" s="65">
        <v>7.65</v>
      </c>
      <c r="L201" s="65">
        <v>7.73</v>
      </c>
      <c r="M201" s="65">
        <v>28393167</v>
      </c>
      <c r="N201" s="65" t="s">
        <v>247</v>
      </c>
      <c r="O201" s="25">
        <f t="shared" si="1"/>
        <v>0</v>
      </c>
    </row>
    <row r="202" spans="1:18" ht="13.5" customHeight="1">
      <c r="A202" s="65">
        <v>610.76</v>
      </c>
      <c r="B202" s="65">
        <v>612.02</v>
      </c>
      <c r="C202" s="65">
        <v>605.1</v>
      </c>
      <c r="D202" s="65">
        <v>606.34</v>
      </c>
      <c r="E202" s="65">
        <v>6884090</v>
      </c>
      <c r="F202" s="65" t="s">
        <v>248</v>
      </c>
      <c r="G202" s="25">
        <f t="shared" si="0"/>
        <v>7.289639476201426E-3</v>
      </c>
      <c r="I202" s="65">
        <v>7.65</v>
      </c>
      <c r="J202" s="65">
        <v>7.79</v>
      </c>
      <c r="K202" s="65">
        <v>7.63</v>
      </c>
      <c r="L202" s="65">
        <v>7.63</v>
      </c>
      <c r="M202" s="65">
        <v>37393238</v>
      </c>
      <c r="N202" s="65" t="s">
        <v>248</v>
      </c>
      <c r="O202" s="25">
        <f t="shared" si="1"/>
        <v>2.6212319790301919E-3</v>
      </c>
    </row>
    <row r="203" spans="1:18" ht="13.5" customHeight="1">
      <c r="A203" s="65">
        <v>607.39</v>
      </c>
      <c r="B203" s="65">
        <v>614.79999999999995</v>
      </c>
      <c r="C203" s="65">
        <v>604.14</v>
      </c>
      <c r="D203" s="65">
        <v>613.11</v>
      </c>
      <c r="E203" s="65">
        <v>7533209</v>
      </c>
      <c r="F203" s="65" t="s">
        <v>249</v>
      </c>
      <c r="G203" s="25">
        <f t="shared" si="0"/>
        <v>-9.3294841056255073E-3</v>
      </c>
      <c r="I203" s="65">
        <v>7.76</v>
      </c>
      <c r="J203" s="65">
        <v>8.0299999999999994</v>
      </c>
      <c r="K203" s="65">
        <v>7.63</v>
      </c>
      <c r="L203" s="65">
        <v>7.91</v>
      </c>
      <c r="M203" s="65">
        <v>49629472</v>
      </c>
      <c r="N203" s="65" t="s">
        <v>249</v>
      </c>
      <c r="O203" s="25">
        <f t="shared" si="1"/>
        <v>-1.8963337547408421E-2</v>
      </c>
    </row>
    <row r="204" spans="1:18" ht="13.5" customHeight="1">
      <c r="A204" s="65">
        <v>611.42999999999995</v>
      </c>
      <c r="B204" s="65">
        <v>616.20500000000004</v>
      </c>
      <c r="C204" s="65">
        <v>605.82000000000005</v>
      </c>
      <c r="D204" s="65">
        <v>613.07000000000005</v>
      </c>
      <c r="E204" s="65">
        <v>6474986</v>
      </c>
      <c r="F204" s="65" t="s">
        <v>250</v>
      </c>
      <c r="G204" s="25">
        <f t="shared" si="0"/>
        <v>-2.6750615753504681E-3</v>
      </c>
      <c r="I204" s="65">
        <v>7.91</v>
      </c>
      <c r="J204" s="65">
        <v>8.1</v>
      </c>
      <c r="K204" s="65">
        <v>7.76</v>
      </c>
      <c r="L204" s="65">
        <v>8.0050000000000008</v>
      </c>
      <c r="M204" s="65">
        <v>39517492</v>
      </c>
      <c r="N204" s="65" t="s">
        <v>250</v>
      </c>
      <c r="O204" s="25">
        <f t="shared" si="1"/>
        <v>-1.1867582760774598E-2</v>
      </c>
    </row>
    <row r="205" spans="1:18" ht="13.5" customHeight="1">
      <c r="A205" s="65">
        <v>608.75</v>
      </c>
      <c r="B205" s="65">
        <v>612.14</v>
      </c>
      <c r="C205" s="65">
        <v>600.51</v>
      </c>
      <c r="D205" s="65">
        <v>604.20000000000005</v>
      </c>
      <c r="E205" s="65">
        <v>7469018</v>
      </c>
      <c r="F205" s="65" t="s">
        <v>251</v>
      </c>
      <c r="G205" s="25">
        <f t="shared" si="0"/>
        <v>7.5306190003310292E-3</v>
      </c>
      <c r="I205" s="65">
        <v>7.92</v>
      </c>
      <c r="J205" s="65">
        <v>8.0850000000000009</v>
      </c>
      <c r="K205" s="65">
        <v>7.77</v>
      </c>
      <c r="L205" s="65">
        <v>7.86</v>
      </c>
      <c r="M205" s="65">
        <v>41104206</v>
      </c>
      <c r="N205" s="65" t="s">
        <v>251</v>
      </c>
      <c r="O205" s="25">
        <f t="shared" si="1"/>
        <v>7.6335877862594437E-3</v>
      </c>
      <c r="Q205" s="1" t="s">
        <v>15</v>
      </c>
      <c r="R205" s="1" t="s">
        <v>16</v>
      </c>
    </row>
    <row r="206" spans="1:18" ht="13.5" customHeight="1">
      <c r="A206" s="65">
        <v>609.61</v>
      </c>
      <c r="B206" s="65">
        <v>611.02719999999999</v>
      </c>
      <c r="C206" s="65">
        <v>606.57500000000005</v>
      </c>
      <c r="D206" s="65">
        <v>607.37</v>
      </c>
      <c r="E206" s="65">
        <v>6942460</v>
      </c>
      <c r="F206" s="65" t="s">
        <v>252</v>
      </c>
      <c r="G206" s="25">
        <f t="shared" si="0"/>
        <v>3.6880320068493067E-3</v>
      </c>
      <c r="I206" s="65">
        <v>8.0500000000000007</v>
      </c>
      <c r="J206" s="65">
        <v>8.09</v>
      </c>
      <c r="K206" s="65">
        <v>7.93</v>
      </c>
      <c r="L206" s="65">
        <v>8.0299999999999994</v>
      </c>
      <c r="M206" s="65">
        <v>43791809</v>
      </c>
      <c r="N206" s="65" t="s">
        <v>252</v>
      </c>
      <c r="O206" s="25">
        <f t="shared" si="1"/>
        <v>2.4906600249068322E-3</v>
      </c>
      <c r="R206" s="1" t="s">
        <v>17</v>
      </c>
    </row>
    <row r="207" spans="1:18" ht="13.5" customHeight="1">
      <c r="A207" s="65">
        <v>600.51</v>
      </c>
      <c r="B207" s="65">
        <v>619.6</v>
      </c>
      <c r="C207" s="65">
        <v>600.23</v>
      </c>
      <c r="D207" s="65">
        <v>617.99</v>
      </c>
      <c r="E207" s="65">
        <v>13339202</v>
      </c>
      <c r="F207" s="65" t="s">
        <v>253</v>
      </c>
      <c r="G207" s="25">
        <f t="shared" si="0"/>
        <v>-2.8285247334099317E-2</v>
      </c>
      <c r="I207" s="65">
        <v>7.78</v>
      </c>
      <c r="J207" s="65">
        <v>8.5549999999999997</v>
      </c>
      <c r="K207" s="65">
        <v>7.77</v>
      </c>
      <c r="L207" s="65">
        <v>8.4149999999999991</v>
      </c>
      <c r="M207" s="65">
        <v>77383931</v>
      </c>
      <c r="N207" s="65" t="s">
        <v>253</v>
      </c>
      <c r="O207" s="25">
        <f t="shared" si="1"/>
        <v>-7.546048722519294E-2</v>
      </c>
      <c r="R207" s="1" t="s">
        <v>18</v>
      </c>
    </row>
    <row r="208" spans="1:18" ht="13.5" customHeight="1">
      <c r="A208" s="65">
        <v>617.1</v>
      </c>
      <c r="B208" s="65">
        <v>619.59</v>
      </c>
      <c r="C208" s="65">
        <v>615.28</v>
      </c>
      <c r="D208" s="65">
        <v>619.23</v>
      </c>
      <c r="E208" s="65">
        <v>5879748</v>
      </c>
      <c r="F208" s="65" t="s">
        <v>254</v>
      </c>
      <c r="G208" s="25">
        <f t="shared" si="0"/>
        <v>-3.439755825783597E-3</v>
      </c>
      <c r="I208" s="65">
        <v>8.3800000000000008</v>
      </c>
      <c r="J208" s="65">
        <v>8.5150000000000006</v>
      </c>
      <c r="K208" s="65">
        <v>8.2200000000000006</v>
      </c>
      <c r="L208" s="65">
        <v>8.4149999999999991</v>
      </c>
      <c r="M208" s="65">
        <v>101460923</v>
      </c>
      <c r="N208" s="65" t="s">
        <v>254</v>
      </c>
      <c r="O208" s="25">
        <f t="shared" si="1"/>
        <v>-4.1592394533569443E-3</v>
      </c>
    </row>
    <row r="209" spans="1:15" ht="13.5" customHeight="1">
      <c r="A209" s="65">
        <v>618.77</v>
      </c>
      <c r="B209" s="65">
        <v>618.9</v>
      </c>
      <c r="C209" s="65">
        <v>615.46420000000001</v>
      </c>
      <c r="D209" s="65">
        <v>616.21500000000003</v>
      </c>
      <c r="E209" s="65">
        <v>5000436</v>
      </c>
      <c r="F209" s="65" t="s">
        <v>255</v>
      </c>
      <c r="G209" s="25">
        <f t="shared" si="0"/>
        <v>4.1462801132721161E-3</v>
      </c>
      <c r="I209" s="65">
        <v>8.43</v>
      </c>
      <c r="J209" s="65">
        <v>8.44</v>
      </c>
      <c r="K209" s="65">
        <v>8.08</v>
      </c>
      <c r="L209" s="65">
        <v>8.16</v>
      </c>
      <c r="M209" s="65">
        <v>133837320</v>
      </c>
      <c r="N209" s="65" t="s">
        <v>255</v>
      </c>
      <c r="O209" s="25">
        <f t="shared" si="1"/>
        <v>3.308823529411753E-2</v>
      </c>
    </row>
    <row r="210" spans="1:15" ht="13.5" customHeight="1">
      <c r="A210" s="65">
        <v>615.20000000000005</v>
      </c>
      <c r="B210" s="65">
        <v>618.73929999999996</v>
      </c>
      <c r="C210" s="65">
        <v>613.82000000000005</v>
      </c>
      <c r="D210" s="65">
        <v>618.29999999999995</v>
      </c>
      <c r="E210" s="65">
        <v>7439508</v>
      </c>
      <c r="F210" s="65" t="s">
        <v>256</v>
      </c>
      <c r="G210" s="25">
        <f t="shared" si="0"/>
        <v>-5.0137473718258052E-3</v>
      </c>
      <c r="I210" s="65">
        <v>8.1300000000000008</v>
      </c>
      <c r="J210" s="65">
        <v>8.57</v>
      </c>
      <c r="K210" s="65">
        <v>8.11</v>
      </c>
      <c r="L210" s="65">
        <v>8.5649999999999995</v>
      </c>
      <c r="M210" s="65">
        <v>104216224</v>
      </c>
      <c r="N210" s="65" t="s">
        <v>256</v>
      </c>
      <c r="O210" s="25">
        <f t="shared" si="1"/>
        <v>-5.0788091068301067E-2</v>
      </c>
    </row>
    <row r="211" spans="1:15" ht="13.5" customHeight="1">
      <c r="A211" s="65">
        <v>617.4</v>
      </c>
      <c r="B211" s="65">
        <v>618.28</v>
      </c>
      <c r="C211" s="65">
        <v>615.48</v>
      </c>
      <c r="D211" s="65">
        <v>617.46</v>
      </c>
      <c r="E211" s="65">
        <v>5958193</v>
      </c>
      <c r="F211" s="65" t="s">
        <v>257</v>
      </c>
      <c r="G211" s="25">
        <f t="shared" si="0"/>
        <v>-9.7172286463997892E-5</v>
      </c>
      <c r="I211" s="65">
        <v>8.52</v>
      </c>
      <c r="J211" s="65">
        <v>8.8800000000000008</v>
      </c>
      <c r="K211" s="65">
        <v>8.2200000000000006</v>
      </c>
      <c r="L211" s="65">
        <v>8.5549999999999997</v>
      </c>
      <c r="M211" s="65">
        <v>132019954</v>
      </c>
      <c r="N211" s="65" t="s">
        <v>257</v>
      </c>
      <c r="O211" s="25">
        <f t="shared" si="1"/>
        <v>-4.0911747516072516E-3</v>
      </c>
    </row>
    <row r="212" spans="1:15" ht="13.5" customHeight="1">
      <c r="A212" s="65">
        <v>615.29999999999995</v>
      </c>
      <c r="B212" s="65">
        <v>618.41999999999996</v>
      </c>
      <c r="C212" s="65">
        <v>614.28800000000001</v>
      </c>
      <c r="D212" s="65">
        <v>615.95000000000005</v>
      </c>
      <c r="E212" s="65">
        <v>7187163</v>
      </c>
      <c r="F212" s="65" t="s">
        <v>258</v>
      </c>
      <c r="G212" s="25">
        <f t="shared" si="0"/>
        <v>-1.0552804610765021E-3</v>
      </c>
      <c r="I212" s="65">
        <v>8.5399999999999991</v>
      </c>
      <c r="J212" s="65">
        <v>8.7100000000000009</v>
      </c>
      <c r="K212" s="65">
        <v>8.2200000000000006</v>
      </c>
      <c r="L212" s="65">
        <v>8.2200000000000006</v>
      </c>
      <c r="M212" s="65">
        <v>173724891</v>
      </c>
      <c r="N212" s="65" t="s">
        <v>258</v>
      </c>
      <c r="O212" s="25">
        <f t="shared" si="1"/>
        <v>3.8929440389294134E-2</v>
      </c>
    </row>
    <row r="213" spans="1:15" ht="13.5" customHeight="1">
      <c r="A213" s="65">
        <v>615.25</v>
      </c>
      <c r="B213" s="65">
        <v>616.48</v>
      </c>
      <c r="C213" s="65">
        <v>613.02</v>
      </c>
      <c r="D213" s="65">
        <v>616.41</v>
      </c>
      <c r="E213" s="65">
        <v>7036646</v>
      </c>
      <c r="F213" s="65" t="s">
        <v>259</v>
      </c>
      <c r="G213" s="25">
        <f t="shared" si="0"/>
        <v>-1.8818643435375426E-3</v>
      </c>
      <c r="I213" s="65">
        <v>8.2200000000000006</v>
      </c>
      <c r="J213" s="65">
        <v>8.2200000000000006</v>
      </c>
      <c r="K213" s="65">
        <v>7.7</v>
      </c>
      <c r="L213" s="65">
        <v>7.83</v>
      </c>
      <c r="M213" s="65">
        <v>120330452</v>
      </c>
      <c r="N213" s="65" t="s">
        <v>259</v>
      </c>
      <c r="O213" s="25">
        <f t="shared" si="1"/>
        <v>4.9808429118773923E-2</v>
      </c>
    </row>
    <row r="214" spans="1:15" ht="13.5" customHeight="1">
      <c r="A214" s="65">
        <v>614.57000000000005</v>
      </c>
      <c r="B214" s="65">
        <v>615.39</v>
      </c>
      <c r="C214" s="65">
        <v>609.57000000000005</v>
      </c>
      <c r="D214" s="65">
        <v>609.70000000000005</v>
      </c>
      <c r="E214" s="65">
        <v>9753029</v>
      </c>
      <c r="F214" s="65" t="s">
        <v>260</v>
      </c>
      <c r="G214" s="25">
        <f t="shared" si="0"/>
        <v>7.9875348532065793E-3</v>
      </c>
      <c r="I214" s="65">
        <v>7.71</v>
      </c>
      <c r="J214" s="65">
        <v>7.86</v>
      </c>
      <c r="K214" s="65">
        <v>7.52</v>
      </c>
      <c r="L214" s="65">
        <v>7.54</v>
      </c>
      <c r="M214" s="65">
        <v>182692741</v>
      </c>
      <c r="N214" s="65" t="s">
        <v>260</v>
      </c>
      <c r="O214" s="25">
        <f t="shared" si="1"/>
        <v>2.2546419098143256E-2</v>
      </c>
    </row>
    <row r="215" spans="1:15" ht="13.5" customHeight="1">
      <c r="A215" s="65">
        <v>612.38</v>
      </c>
      <c r="B215" s="65">
        <v>612.86</v>
      </c>
      <c r="C215" s="65">
        <v>608.27</v>
      </c>
      <c r="D215" s="65">
        <v>609.42999999999995</v>
      </c>
      <c r="E215" s="65">
        <v>6481423</v>
      </c>
      <c r="F215" s="65" t="s">
        <v>261</v>
      </c>
      <c r="G215" s="25">
        <f t="shared" si="0"/>
        <v>4.8405887468618847E-3</v>
      </c>
      <c r="I215" s="65">
        <v>7.71</v>
      </c>
      <c r="J215" s="65">
        <v>8.4499999999999993</v>
      </c>
      <c r="K215" s="65">
        <v>7.6</v>
      </c>
      <c r="L215" s="65">
        <v>8.3699999999999992</v>
      </c>
      <c r="M215" s="65">
        <v>266087037</v>
      </c>
      <c r="N215" s="65" t="s">
        <v>261</v>
      </c>
      <c r="O215" s="25">
        <f t="shared" si="1"/>
        <v>-7.8853046594982046E-2</v>
      </c>
    </row>
    <row r="216" spans="1:15" ht="13.5" customHeight="1">
      <c r="A216" s="65">
        <v>610.13</v>
      </c>
      <c r="B216" s="65">
        <v>611.67999999999995</v>
      </c>
      <c r="C216" s="65">
        <v>608.48</v>
      </c>
      <c r="D216" s="65">
        <v>610.79</v>
      </c>
      <c r="E216" s="65">
        <v>5658835</v>
      </c>
      <c r="F216" s="65" t="s">
        <v>262</v>
      </c>
      <c r="G216" s="25">
        <f t="shared" si="0"/>
        <v>-1.0805677892564702E-3</v>
      </c>
      <c r="I216" s="65">
        <v>8.4</v>
      </c>
      <c r="J216" s="65">
        <v>8.74</v>
      </c>
      <c r="K216" s="65">
        <v>8.2750000000000004</v>
      </c>
      <c r="L216" s="65">
        <v>8.32</v>
      </c>
      <c r="M216" s="65">
        <v>187315589</v>
      </c>
      <c r="N216" s="65" t="s">
        <v>262</v>
      </c>
      <c r="O216" s="25">
        <f t="shared" si="1"/>
        <v>9.6153846153845812E-3</v>
      </c>
    </row>
    <row r="217" spans="1:15" ht="13.5" customHeight="1">
      <c r="A217" s="65">
        <v>610.16</v>
      </c>
      <c r="B217" s="65">
        <v>610.70000000000005</v>
      </c>
      <c r="C217" s="65">
        <v>606.56500000000005</v>
      </c>
      <c r="D217" s="65">
        <v>608.03</v>
      </c>
      <c r="E217" s="65">
        <v>6438634</v>
      </c>
      <c r="F217" s="65" t="s">
        <v>263</v>
      </c>
      <c r="G217" s="25">
        <f t="shared" si="0"/>
        <v>3.5031166225349963E-3</v>
      </c>
      <c r="I217" s="65">
        <v>8.27</v>
      </c>
      <c r="J217" s="65">
        <v>8.33</v>
      </c>
      <c r="K217" s="65">
        <v>8.15</v>
      </c>
      <c r="L217" s="65">
        <v>8.33</v>
      </c>
      <c r="M217" s="65">
        <v>157895494</v>
      </c>
      <c r="N217" s="65" t="s">
        <v>263</v>
      </c>
      <c r="O217" s="25">
        <f t="shared" si="1"/>
        <v>-7.2028811524610381E-3</v>
      </c>
    </row>
    <row r="218" spans="1:15" ht="13.5" customHeight="1">
      <c r="A218" s="65">
        <v>606.59</v>
      </c>
      <c r="B218" s="65">
        <v>607.92999999999995</v>
      </c>
      <c r="C218" s="65">
        <v>603.35</v>
      </c>
      <c r="D218" s="65">
        <v>606.62</v>
      </c>
      <c r="E218" s="65">
        <v>6927746</v>
      </c>
      <c r="F218" s="65" t="s">
        <v>264</v>
      </c>
      <c r="G218" s="25">
        <f t="shared" si="0"/>
        <v>-4.9454353631572801E-5</v>
      </c>
      <c r="I218" s="65">
        <v>8.33</v>
      </c>
      <c r="J218" s="65">
        <v>8.35</v>
      </c>
      <c r="K218" s="65">
        <v>8.0500000000000007</v>
      </c>
      <c r="L218" s="65">
        <v>8.26</v>
      </c>
      <c r="M218" s="65">
        <v>246691904</v>
      </c>
      <c r="N218" s="65" t="s">
        <v>264</v>
      </c>
      <c r="O218" s="25">
        <f t="shared" si="1"/>
        <v>8.4745762711864181E-3</v>
      </c>
    </row>
    <row r="219" spans="1:15" ht="13.5" customHeight="1">
      <c r="A219" s="65">
        <v>609.5</v>
      </c>
      <c r="B219" s="65">
        <v>612.74</v>
      </c>
      <c r="C219" s="65">
        <v>608.19000000000005</v>
      </c>
      <c r="D219" s="65">
        <v>612.63</v>
      </c>
      <c r="E219" s="65">
        <v>23764079</v>
      </c>
      <c r="F219" s="65" t="s">
        <v>265</v>
      </c>
      <c r="G219" s="25">
        <f t="shared" si="0"/>
        <v>-5.1091196970438624E-3</v>
      </c>
      <c r="I219" s="65">
        <v>8.2200000000000006</v>
      </c>
      <c r="J219" s="65">
        <v>8.51</v>
      </c>
      <c r="K219" s="65">
        <v>8.1199999999999992</v>
      </c>
      <c r="L219" s="65">
        <v>8.48</v>
      </c>
      <c r="M219" s="65">
        <v>142963483</v>
      </c>
      <c r="N219" s="65" t="s">
        <v>265</v>
      </c>
      <c r="O219" s="25">
        <f t="shared" si="1"/>
        <v>-3.0660377358490587E-2</v>
      </c>
    </row>
    <row r="220" spans="1:15" ht="13.5" customHeight="1">
      <c r="A220" s="65">
        <v>611.54</v>
      </c>
      <c r="B220" s="65">
        <v>615.26</v>
      </c>
      <c r="C220" s="65">
        <v>610.34100000000001</v>
      </c>
      <c r="D220" s="65">
        <v>614.70500000000004</v>
      </c>
      <c r="E220" s="65">
        <v>10728553</v>
      </c>
      <c r="F220" s="65" t="s">
        <v>266</v>
      </c>
      <c r="G220" s="25">
        <f t="shared" si="0"/>
        <v>-5.148811218389393E-3</v>
      </c>
      <c r="I220" s="65">
        <v>8.42</v>
      </c>
      <c r="J220" s="65">
        <v>8.86</v>
      </c>
      <c r="K220" s="65">
        <v>8.32</v>
      </c>
      <c r="L220" s="65">
        <v>8.59</v>
      </c>
      <c r="M220" s="65">
        <v>148043672</v>
      </c>
      <c r="N220" s="65" t="s">
        <v>266</v>
      </c>
      <c r="O220" s="25">
        <f t="shared" si="1"/>
        <v>-1.9790454016297976E-2</v>
      </c>
    </row>
    <row r="221" spans="1:15" ht="13.5" customHeight="1">
      <c r="A221" s="65">
        <v>614.76</v>
      </c>
      <c r="B221" s="65">
        <v>615.22</v>
      </c>
      <c r="C221" s="65">
        <v>610.51</v>
      </c>
      <c r="D221" s="65">
        <v>610.52</v>
      </c>
      <c r="E221" s="65">
        <v>11551587</v>
      </c>
      <c r="F221" s="65" t="s">
        <v>267</v>
      </c>
      <c r="G221" s="25">
        <f t="shared" si="0"/>
        <v>6.9448994299941003E-3</v>
      </c>
      <c r="I221" s="65">
        <v>8.5299999999999994</v>
      </c>
      <c r="J221" s="65">
        <v>9.2799999999999994</v>
      </c>
      <c r="K221" s="65">
        <v>8.4499999999999993</v>
      </c>
      <c r="L221" s="65">
        <v>8.98</v>
      </c>
      <c r="M221" s="65">
        <v>217093171</v>
      </c>
      <c r="N221" s="65" t="s">
        <v>267</v>
      </c>
      <c r="O221" s="25">
        <f t="shared" si="1"/>
        <v>-5.0111358574610354E-2</v>
      </c>
    </row>
    <row r="222" spans="1:15" ht="13.5" customHeight="1">
      <c r="A222" s="65">
        <v>611.78</v>
      </c>
      <c r="B222" s="65">
        <v>612.66999999999996</v>
      </c>
      <c r="C222" s="65">
        <v>608.85</v>
      </c>
      <c r="D222" s="65">
        <v>610.62</v>
      </c>
      <c r="E222" s="65">
        <v>6065655</v>
      </c>
      <c r="F222" s="65" t="s">
        <v>268</v>
      </c>
      <c r="G222" s="25">
        <f t="shared" si="0"/>
        <v>1.899708493007024E-3</v>
      </c>
      <c r="I222" s="65">
        <v>8.16</v>
      </c>
      <c r="J222" s="65">
        <v>8.4797999999999991</v>
      </c>
      <c r="K222" s="65">
        <v>8.0299999999999994</v>
      </c>
      <c r="L222" s="65">
        <v>8.4700000000000006</v>
      </c>
      <c r="M222" s="65">
        <v>194706918</v>
      </c>
      <c r="N222" s="65" t="s">
        <v>268</v>
      </c>
      <c r="O222" s="25">
        <f t="shared" si="1"/>
        <v>-3.6599763872491198E-2</v>
      </c>
    </row>
    <row r="223" spans="1:15" ht="13.5" customHeight="1">
      <c r="A223" s="65">
        <v>608.94000000000005</v>
      </c>
      <c r="B223" s="65">
        <v>611.30999999999995</v>
      </c>
      <c r="C223" s="65">
        <v>607.07000000000005</v>
      </c>
      <c r="D223" s="65">
        <v>608.54999999999995</v>
      </c>
      <c r="E223" s="65">
        <v>11029230</v>
      </c>
      <c r="F223" s="65" t="s">
        <v>269</v>
      </c>
      <c r="G223" s="25">
        <f t="shared" si="0"/>
        <v>6.4086763618442788E-4</v>
      </c>
      <c r="I223" s="65">
        <v>8.44</v>
      </c>
      <c r="J223" s="65">
        <v>8.52</v>
      </c>
      <c r="K223" s="65">
        <v>8.1</v>
      </c>
      <c r="L223" s="65">
        <v>8.1</v>
      </c>
      <c r="M223" s="65">
        <v>197648563</v>
      </c>
      <c r="N223" s="65" t="s">
        <v>269</v>
      </c>
      <c r="O223" s="25">
        <f t="shared" si="1"/>
        <v>4.1975308641975184E-2</v>
      </c>
    </row>
    <row r="224" spans="1:15" ht="13.5" customHeight="1">
      <c r="A224" s="65">
        <v>606.09</v>
      </c>
      <c r="B224" s="65">
        <v>608.33000000000004</v>
      </c>
      <c r="C224" s="65">
        <v>601.54999999999995</v>
      </c>
      <c r="D224" s="65">
        <v>606.84</v>
      </c>
      <c r="E224" s="65">
        <v>11613628</v>
      </c>
      <c r="F224" s="65" t="s">
        <v>270</v>
      </c>
      <c r="G224" s="25">
        <f t="shared" si="0"/>
        <v>-1.2359106189440139E-3</v>
      </c>
      <c r="I224" s="65">
        <v>7.99</v>
      </c>
      <c r="J224" s="65">
        <v>8.25</v>
      </c>
      <c r="K224" s="65">
        <v>7.7249999999999996</v>
      </c>
      <c r="L224" s="65">
        <v>7.79</v>
      </c>
      <c r="M224" s="65">
        <v>155373211</v>
      </c>
      <c r="N224" s="65" t="s">
        <v>270</v>
      </c>
      <c r="O224" s="25">
        <f t="shared" si="1"/>
        <v>2.5673940949935803E-2</v>
      </c>
    </row>
    <row r="225" spans="1:19" ht="13.5" customHeight="1">
      <c r="A225" s="65">
        <v>606.79</v>
      </c>
      <c r="B225" s="65">
        <v>608.41999999999996</v>
      </c>
      <c r="C225" s="65">
        <v>606.06089999999995</v>
      </c>
      <c r="D225" s="65">
        <v>608.16</v>
      </c>
      <c r="E225" s="65">
        <v>6367152</v>
      </c>
      <c r="F225" s="65" t="s">
        <v>271</v>
      </c>
      <c r="G225" s="25">
        <f t="shared" si="0"/>
        <v>-2.2526966587740338E-3</v>
      </c>
      <c r="I225" s="65">
        <v>7.74</v>
      </c>
      <c r="J225" s="65">
        <v>7.77</v>
      </c>
      <c r="K225" s="65">
        <v>7.42</v>
      </c>
      <c r="L225" s="65">
        <v>7.46</v>
      </c>
      <c r="M225" s="65">
        <v>153708847</v>
      </c>
      <c r="N225" s="65" t="s">
        <v>271</v>
      </c>
      <c r="O225" s="25">
        <f t="shared" si="1"/>
        <v>3.7533512064343189E-2</v>
      </c>
    </row>
    <row r="226" spans="1:19" ht="13.5" customHeight="1">
      <c r="A226" s="65">
        <v>607.59</v>
      </c>
      <c r="B226" s="65">
        <v>607.77</v>
      </c>
      <c r="C226" s="65">
        <v>606.20000000000005</v>
      </c>
      <c r="D226" s="65">
        <v>606.47</v>
      </c>
      <c r="E226" s="65">
        <v>7447134</v>
      </c>
      <c r="F226" s="65" t="s">
        <v>272</v>
      </c>
      <c r="G226" s="25">
        <f t="shared" si="0"/>
        <v>1.8467525186736111E-3</v>
      </c>
      <c r="I226" s="65">
        <v>7.46</v>
      </c>
      <c r="J226" s="65">
        <v>7.64</v>
      </c>
      <c r="K226" s="65">
        <v>7.27</v>
      </c>
      <c r="L226" s="65">
        <v>7.27</v>
      </c>
      <c r="M226" s="65">
        <v>137102842</v>
      </c>
      <c r="N226" s="65" t="s">
        <v>272</v>
      </c>
      <c r="O226" s="25">
        <f t="shared" si="1"/>
        <v>2.613480055020645E-2</v>
      </c>
    </row>
    <row r="227" spans="1:19" ht="13.5" customHeight="1">
      <c r="A227" s="65">
        <v>604.44000000000005</v>
      </c>
      <c r="B227" s="65">
        <v>605.98</v>
      </c>
      <c r="C227" s="65">
        <v>603.95000000000005</v>
      </c>
      <c r="D227" s="65">
        <v>604.59</v>
      </c>
      <c r="E227" s="65">
        <v>8108692</v>
      </c>
      <c r="F227" s="65" t="s">
        <v>273</v>
      </c>
      <c r="G227" s="25">
        <f t="shared" si="0"/>
        <v>-2.4810201955038913E-4</v>
      </c>
      <c r="I227" s="65">
        <v>7.34</v>
      </c>
      <c r="J227" s="65">
        <v>7.34</v>
      </c>
      <c r="K227" s="65">
        <v>7.17</v>
      </c>
      <c r="L227" s="65">
        <v>7.27</v>
      </c>
      <c r="M227" s="65">
        <v>87407342</v>
      </c>
      <c r="N227" s="65" t="s">
        <v>273</v>
      </c>
      <c r="O227" s="25">
        <f t="shared" si="1"/>
        <v>9.6286107290233236E-3</v>
      </c>
    </row>
    <row r="228" spans="1:19" ht="13.5" customHeight="1">
      <c r="A228" s="65">
        <v>604.57000000000005</v>
      </c>
      <c r="B228" s="65">
        <v>605.23</v>
      </c>
      <c r="C228" s="65">
        <v>600.89</v>
      </c>
      <c r="D228" s="65">
        <v>601.42999999999995</v>
      </c>
      <c r="E228" s="65">
        <v>9086806</v>
      </c>
      <c r="F228" s="65" t="s">
        <v>274</v>
      </c>
      <c r="G228" s="25">
        <f t="shared" si="0"/>
        <v>5.2208902116623879E-3</v>
      </c>
      <c r="I228" s="65">
        <v>7.29</v>
      </c>
      <c r="J228" s="65">
        <v>7.4</v>
      </c>
      <c r="K228" s="65">
        <v>7.07</v>
      </c>
      <c r="L228" s="65">
        <v>7.08</v>
      </c>
      <c r="M228" s="65">
        <v>106041486</v>
      </c>
      <c r="N228" s="65" t="s">
        <v>274</v>
      </c>
      <c r="O228" s="25">
        <f t="shared" si="1"/>
        <v>2.9661016949152463E-2</v>
      </c>
    </row>
    <row r="229" spans="1:19" ht="13.5" customHeight="1">
      <c r="A229" s="65">
        <v>599.67999999999995</v>
      </c>
      <c r="B229" s="65">
        <v>601.75</v>
      </c>
      <c r="C229" s="65">
        <v>598.16</v>
      </c>
      <c r="D229" s="65">
        <v>600.91999999999996</v>
      </c>
      <c r="E229" s="65">
        <v>21542357</v>
      </c>
      <c r="F229" s="65" t="s">
        <v>275</v>
      </c>
      <c r="G229" s="25">
        <f t="shared" si="0"/>
        <v>-2.0635026293017722E-3</v>
      </c>
      <c r="I229" s="65">
        <v>7.05</v>
      </c>
      <c r="J229" s="65">
        <v>7.24</v>
      </c>
      <c r="K229" s="65">
        <v>7.0350000000000001</v>
      </c>
      <c r="L229" s="65">
        <v>7.24</v>
      </c>
      <c r="M229" s="65">
        <v>87453342</v>
      </c>
      <c r="N229" s="65" t="s">
        <v>275</v>
      </c>
      <c r="O229" s="25">
        <f t="shared" si="1"/>
        <v>-2.6243093922652005E-2</v>
      </c>
    </row>
    <row r="230" spans="1:19" ht="13.5" customHeight="1">
      <c r="A230" s="65">
        <v>597.95000000000005</v>
      </c>
      <c r="B230" s="65">
        <v>598.37</v>
      </c>
      <c r="C230" s="65">
        <v>595.01</v>
      </c>
      <c r="D230" s="65">
        <v>596.61</v>
      </c>
      <c r="E230" s="65">
        <v>7780114</v>
      </c>
      <c r="F230" s="65" t="s">
        <v>276</v>
      </c>
      <c r="G230" s="25">
        <f t="shared" si="0"/>
        <v>2.2460233653476269E-3</v>
      </c>
      <c r="I230" s="65">
        <v>7.28</v>
      </c>
      <c r="J230" s="65">
        <v>7.33</v>
      </c>
      <c r="K230" s="65">
        <v>7.13</v>
      </c>
      <c r="L230" s="65">
        <v>7.19</v>
      </c>
      <c r="M230" s="65">
        <v>91395151</v>
      </c>
      <c r="N230" s="65" t="s">
        <v>276</v>
      </c>
      <c r="O230" s="25">
        <f t="shared" si="1"/>
        <v>1.2517385257301727E-2</v>
      </c>
    </row>
    <row r="231" spans="1:19" ht="13.5" customHeight="1">
      <c r="A231" s="65">
        <v>596.5</v>
      </c>
      <c r="B231" s="65">
        <v>597.41</v>
      </c>
      <c r="C231" s="65">
        <v>595.03</v>
      </c>
      <c r="D231" s="65">
        <v>596.30999999999995</v>
      </c>
      <c r="E231" s="65">
        <v>9448293</v>
      </c>
      <c r="F231" s="65" t="s">
        <v>277</v>
      </c>
      <c r="G231" s="25">
        <f t="shared" si="0"/>
        <v>3.1862621790690326E-4</v>
      </c>
      <c r="I231" s="65">
        <v>7.22</v>
      </c>
      <c r="J231" s="65">
        <v>7.3049999999999997</v>
      </c>
      <c r="K231" s="65">
        <v>7.11</v>
      </c>
      <c r="L231" s="65">
        <v>7.29</v>
      </c>
      <c r="M231" s="65">
        <v>87247860</v>
      </c>
      <c r="N231" s="65" t="s">
        <v>277</v>
      </c>
      <c r="O231" s="25">
        <f t="shared" si="1"/>
        <v>-9.6021947873800029E-3</v>
      </c>
    </row>
    <row r="232" spans="1:19" ht="13.5" customHeight="1">
      <c r="A232" s="65">
        <v>594.96</v>
      </c>
      <c r="B232" s="65">
        <v>599.6</v>
      </c>
      <c r="C232" s="65">
        <v>591.45000000000005</v>
      </c>
      <c r="D232" s="65">
        <v>598.91</v>
      </c>
      <c r="E232" s="65">
        <v>6622130</v>
      </c>
      <c r="F232" s="65" t="s">
        <v>278</v>
      </c>
      <c r="G232" s="25">
        <f t="shared" si="0"/>
        <v>-6.5953148219264346E-3</v>
      </c>
      <c r="I232" s="65">
        <v>7.31</v>
      </c>
      <c r="J232" s="65">
        <v>7.33</v>
      </c>
      <c r="K232" s="65">
        <v>7.08</v>
      </c>
      <c r="L232" s="65">
        <v>7.2</v>
      </c>
      <c r="M232" s="65">
        <v>101928279</v>
      </c>
      <c r="N232" s="65" t="s">
        <v>278</v>
      </c>
      <c r="O232" s="25">
        <f t="shared" si="1"/>
        <v>1.5277777777777724E-2</v>
      </c>
    </row>
    <row r="233" spans="1:19" ht="13.5" customHeight="1">
      <c r="A233" s="65">
        <v>596.59</v>
      </c>
      <c r="B233" s="65">
        <v>596.77</v>
      </c>
      <c r="C233" s="65">
        <v>591.6</v>
      </c>
      <c r="D233" s="65">
        <v>592.47</v>
      </c>
      <c r="E233" s="65">
        <v>8012477</v>
      </c>
      <c r="F233" s="65" t="s">
        <v>279</v>
      </c>
      <c r="G233" s="25">
        <f t="shared" si="0"/>
        <v>6.9539385960470934E-3</v>
      </c>
      <c r="I233" s="65">
        <v>7.09</v>
      </c>
      <c r="J233" s="65">
        <v>7.25</v>
      </c>
      <c r="K233" s="65">
        <v>7.08</v>
      </c>
      <c r="L233" s="65">
        <v>7.23</v>
      </c>
      <c r="M233" s="65">
        <v>69319358</v>
      </c>
      <c r="N233" s="65" t="s">
        <v>279</v>
      </c>
      <c r="O233" s="25">
        <f t="shared" si="1"/>
        <v>-1.9363762102351356E-2</v>
      </c>
    </row>
    <row r="234" spans="1:19" ht="13.5" customHeight="1">
      <c r="A234" s="65">
        <v>591.72</v>
      </c>
      <c r="B234" s="65">
        <v>592.23</v>
      </c>
      <c r="C234" s="65">
        <v>588.78</v>
      </c>
      <c r="D234" s="65">
        <v>590.80999999999995</v>
      </c>
      <c r="E234" s="65">
        <v>6669875</v>
      </c>
      <c r="F234" s="65" t="s">
        <v>280</v>
      </c>
      <c r="G234" s="25">
        <f t="shared" si="0"/>
        <v>1.5402582894672445E-3</v>
      </c>
      <c r="I234" s="65">
        <v>7.25</v>
      </c>
      <c r="J234" s="65">
        <v>7.6349999999999998</v>
      </c>
      <c r="K234" s="65">
        <v>7.2</v>
      </c>
      <c r="L234" s="65">
        <v>7.42</v>
      </c>
      <c r="M234" s="65">
        <v>91014314</v>
      </c>
      <c r="N234" s="65" t="s">
        <v>280</v>
      </c>
      <c r="O234" s="25">
        <f t="shared" si="1"/>
        <v>-2.2911051212938016E-2</v>
      </c>
    </row>
    <row r="235" spans="1:19" ht="13.5" customHeight="1">
      <c r="A235" s="65">
        <v>588.71</v>
      </c>
      <c r="B235" s="65">
        <v>588.79999999999995</v>
      </c>
      <c r="C235" s="65">
        <v>583.66999999999996</v>
      </c>
      <c r="D235" s="65">
        <v>586.05999999999995</v>
      </c>
      <c r="E235" s="65">
        <v>11063662</v>
      </c>
      <c r="F235" s="65" t="s">
        <v>281</v>
      </c>
      <c r="G235" s="25">
        <f t="shared" si="0"/>
        <v>4.5217213254618027E-3</v>
      </c>
      <c r="I235" s="65">
        <v>7.33</v>
      </c>
      <c r="J235" s="65">
        <v>7.34</v>
      </c>
      <c r="K235" s="65">
        <v>6.9</v>
      </c>
      <c r="L235" s="65">
        <v>7.01</v>
      </c>
      <c r="M235" s="65">
        <v>102724933</v>
      </c>
      <c r="N235" s="65" t="s">
        <v>281</v>
      </c>
      <c r="O235" s="25">
        <f t="shared" si="1"/>
        <v>4.564907275320973E-2</v>
      </c>
    </row>
    <row r="236" spans="1:19" ht="13.5" customHeight="1">
      <c r="A236" s="65">
        <v>593.08000000000004</v>
      </c>
      <c r="B236" s="65">
        <v>595.54999999999995</v>
      </c>
      <c r="C236" s="65">
        <v>591.245</v>
      </c>
      <c r="D236" s="65">
        <v>595.24</v>
      </c>
      <c r="E236" s="65">
        <v>7480746</v>
      </c>
      <c r="F236" s="65" t="s">
        <v>282</v>
      </c>
      <c r="G236" s="25">
        <f t="shared" si="0"/>
        <v>-3.6287883878770577E-3</v>
      </c>
      <c r="I236" s="65">
        <v>7.14</v>
      </c>
      <c r="J236" s="65">
        <v>7.33</v>
      </c>
      <c r="K236" s="65">
        <v>7.09</v>
      </c>
      <c r="L236" s="65">
        <v>7.12</v>
      </c>
      <c r="M236" s="65">
        <v>77604826</v>
      </c>
      <c r="N236" s="65" t="s">
        <v>282</v>
      </c>
      <c r="O236" s="25">
        <f t="shared" si="1"/>
        <v>2.8089887640447841E-3</v>
      </c>
    </row>
    <row r="237" spans="1:19" ht="13.5" customHeight="1">
      <c r="A237" s="65">
        <v>596.52</v>
      </c>
      <c r="B237" s="65">
        <v>597.07000000000005</v>
      </c>
      <c r="C237" s="65">
        <v>593.27</v>
      </c>
      <c r="D237" s="65">
        <v>595.07000000000005</v>
      </c>
      <c r="E237" s="65">
        <v>5037983</v>
      </c>
      <c r="F237" s="65" t="s">
        <v>283</v>
      </c>
      <c r="G237" s="25">
        <f t="shared" si="0"/>
        <v>2.4366881207251723E-3</v>
      </c>
      <c r="I237" s="65">
        <v>7.1</v>
      </c>
      <c r="J237" s="65">
        <v>7.14</v>
      </c>
      <c r="K237" s="65">
        <v>7.01</v>
      </c>
      <c r="L237" s="65">
        <v>7.07</v>
      </c>
      <c r="M237" s="65">
        <v>56472394</v>
      </c>
      <c r="N237" s="65" t="s">
        <v>283</v>
      </c>
      <c r="O237" s="25">
        <f t="shared" si="1"/>
        <v>4.2432814710040567E-3</v>
      </c>
    </row>
    <row r="238" spans="1:19" ht="13.5" customHeight="1">
      <c r="A238" s="65">
        <v>594.41999999999996</v>
      </c>
      <c r="B238" s="65">
        <v>595.14</v>
      </c>
      <c r="C238" s="65">
        <v>592.44000000000005</v>
      </c>
      <c r="D238" s="65">
        <v>592.52</v>
      </c>
      <c r="E238" s="65">
        <v>6089564</v>
      </c>
      <c r="F238" s="65" t="s">
        <v>284</v>
      </c>
      <c r="G238" s="25">
        <f t="shared" si="0"/>
        <v>3.20664281374472E-3</v>
      </c>
      <c r="I238" s="65">
        <v>6.99</v>
      </c>
      <c r="J238" s="65">
        <v>7.07</v>
      </c>
      <c r="K238" s="65">
        <v>6.99</v>
      </c>
      <c r="L238" s="65">
        <v>7.01</v>
      </c>
      <c r="M238" s="65">
        <v>31592175</v>
      </c>
      <c r="N238" s="65" t="s">
        <v>284</v>
      </c>
      <c r="O238" s="25">
        <f t="shared" si="1"/>
        <v>-2.8530670470755526E-3</v>
      </c>
      <c r="Q238" s="26"/>
      <c r="R238" s="26" t="s">
        <v>26</v>
      </c>
      <c r="S238" s="27">
        <f>MIN(O192:O1447)</f>
        <v>-0.11732229123533477</v>
      </c>
    </row>
    <row r="239" spans="1:19" ht="13.5" customHeight="1">
      <c r="A239" s="65">
        <v>593.05999999999995</v>
      </c>
      <c r="B239" s="65">
        <v>593.42999999999995</v>
      </c>
      <c r="C239" s="65">
        <v>589.79499999999996</v>
      </c>
      <c r="D239" s="65">
        <v>590.38</v>
      </c>
      <c r="E239" s="65">
        <v>4746851</v>
      </c>
      <c r="F239" s="65" t="s">
        <v>285</v>
      </c>
      <c r="G239" s="25">
        <f t="shared" si="0"/>
        <v>4.5394491683321547E-3</v>
      </c>
      <c r="I239" s="65">
        <v>7.02</v>
      </c>
      <c r="J239" s="65">
        <v>7.1</v>
      </c>
      <c r="K239" s="65">
        <v>6.98</v>
      </c>
      <c r="L239" s="65">
        <v>7.03</v>
      </c>
      <c r="M239" s="65">
        <v>50657170</v>
      </c>
      <c r="N239" s="65" t="s">
        <v>285</v>
      </c>
      <c r="O239" s="25">
        <f t="shared" si="1"/>
        <v>-1.4224751066856944E-3</v>
      </c>
      <c r="Q239" s="26"/>
      <c r="R239" s="26" t="s">
        <v>27</v>
      </c>
      <c r="S239" s="27">
        <f>MAX(O192:O1447)</f>
        <v>0.23012552301255229</v>
      </c>
    </row>
    <row r="240" spans="1:19" ht="13.5" customHeight="1">
      <c r="A240" s="65">
        <v>590.70000000000005</v>
      </c>
      <c r="B240" s="65">
        <v>593.22990000000004</v>
      </c>
      <c r="C240" s="65">
        <v>590.54999999999995</v>
      </c>
      <c r="D240" s="65">
        <v>592.04999999999995</v>
      </c>
      <c r="E240" s="65">
        <v>6483035</v>
      </c>
      <c r="F240" s="65" t="s">
        <v>286</v>
      </c>
      <c r="G240" s="25">
        <f t="shared" si="0"/>
        <v>-2.2802128198630145E-3</v>
      </c>
      <c r="I240" s="65">
        <v>7</v>
      </c>
      <c r="J240" s="65">
        <v>7.19</v>
      </c>
      <c r="K240" s="65">
        <v>6.99</v>
      </c>
      <c r="L240" s="65">
        <v>7.15</v>
      </c>
      <c r="M240" s="65">
        <v>58008874</v>
      </c>
      <c r="N240" s="65" t="s">
        <v>286</v>
      </c>
      <c r="O240" s="25">
        <f t="shared" si="1"/>
        <v>-2.0979020979021046E-2</v>
      </c>
      <c r="Q240" s="26"/>
      <c r="R240" s="26" t="s">
        <v>28</v>
      </c>
      <c r="S240" s="27">
        <f>AVERAGE(O192:O1447)</f>
        <v>8.1257158226939676E-4</v>
      </c>
    </row>
    <row r="241" spans="1:25" ht="13.5" customHeight="1">
      <c r="A241" s="65">
        <v>593.21</v>
      </c>
      <c r="B241" s="65">
        <v>594.32000000000005</v>
      </c>
      <c r="C241" s="65">
        <v>585.84</v>
      </c>
      <c r="D241" s="65">
        <v>586.27</v>
      </c>
      <c r="E241" s="65">
        <v>6368542</v>
      </c>
      <c r="F241" s="65" t="s">
        <v>287</v>
      </c>
      <c r="G241" s="25">
        <f t="shared" si="0"/>
        <v>1.1837549252051272E-2</v>
      </c>
      <c r="I241" s="65">
        <v>7.2</v>
      </c>
      <c r="J241" s="65">
        <v>7.33</v>
      </c>
      <c r="K241" s="65">
        <v>7.04</v>
      </c>
      <c r="L241" s="65">
        <v>7.04</v>
      </c>
      <c r="M241" s="65">
        <v>62023417</v>
      </c>
      <c r="N241" s="65" t="s">
        <v>287</v>
      </c>
      <c r="O241" s="25">
        <f t="shared" si="1"/>
        <v>2.2727272727272707E-2</v>
      </c>
      <c r="Q241" s="26"/>
      <c r="R241" s="26" t="s">
        <v>29</v>
      </c>
      <c r="S241" s="27">
        <f>MEDIAN(O192:O1447)</f>
        <v>0</v>
      </c>
    </row>
    <row r="242" spans="1:25" ht="13.5" customHeight="1">
      <c r="A242" s="65">
        <v>584.27</v>
      </c>
      <c r="B242" s="65">
        <v>586.46</v>
      </c>
      <c r="C242" s="65">
        <v>582.65</v>
      </c>
      <c r="D242" s="65">
        <v>584.92999999999995</v>
      </c>
      <c r="E242" s="65">
        <v>4807277</v>
      </c>
      <c r="F242" s="65" t="s">
        <v>288</v>
      </c>
      <c r="G242" s="25">
        <f t="shared" si="0"/>
        <v>-1.1283401432649054E-3</v>
      </c>
      <c r="I242" s="65">
        <v>7.05</v>
      </c>
      <c r="J242" s="65">
        <v>7.1199000000000003</v>
      </c>
      <c r="K242" s="65">
        <v>7.03</v>
      </c>
      <c r="L242" s="65">
        <v>7.1</v>
      </c>
      <c r="M242" s="65">
        <v>43238425</v>
      </c>
      <c r="N242" s="65" t="s">
        <v>288</v>
      </c>
      <c r="O242" s="25">
        <f t="shared" si="1"/>
        <v>-7.0422535211267512E-3</v>
      </c>
      <c r="Q242" s="26"/>
      <c r="R242" s="26" t="s">
        <v>30</v>
      </c>
      <c r="S242" s="27">
        <f>_xlfn.STDEV.P(O192:O1447)</f>
        <v>3.3109637830767556E-2</v>
      </c>
      <c r="U242" s="2"/>
    </row>
    <row r="243" spans="1:25" ht="13.5" customHeight="1">
      <c r="A243" s="65">
        <v>586.58000000000004</v>
      </c>
      <c r="B243" s="65">
        <v>588</v>
      </c>
      <c r="C243" s="65">
        <v>581.85</v>
      </c>
      <c r="D243" s="65">
        <v>587.80999999999995</v>
      </c>
      <c r="E243" s="65">
        <v>7054266</v>
      </c>
      <c r="F243" s="65" t="s">
        <v>289</v>
      </c>
      <c r="G243" s="25">
        <f t="shared" si="0"/>
        <v>-2.0925128868169995E-3</v>
      </c>
      <c r="I243" s="65">
        <v>7.16</v>
      </c>
      <c r="J243" s="65">
        <v>7.21</v>
      </c>
      <c r="K243" s="65">
        <v>6.99</v>
      </c>
      <c r="L243" s="65">
        <v>7.13</v>
      </c>
      <c r="M243" s="65">
        <v>54334539</v>
      </c>
      <c r="N243" s="65" t="s">
        <v>289</v>
      </c>
      <c r="O243" s="25">
        <f t="shared" si="1"/>
        <v>4.2075736325386526E-3</v>
      </c>
      <c r="Q243" s="26"/>
      <c r="R243" s="28" t="s">
        <v>31</v>
      </c>
      <c r="S243" s="27">
        <f>3*S242</f>
        <v>9.9328913492302662E-2</v>
      </c>
      <c r="T243" s="26"/>
      <c r="U243" s="2" t="s">
        <v>128</v>
      </c>
    </row>
    <row r="244" spans="1:25" ht="13.5" customHeight="1">
      <c r="A244" s="65">
        <v>588.13</v>
      </c>
      <c r="B244" s="65">
        <v>592.12</v>
      </c>
      <c r="C244" s="65">
        <v>586.94000000000005</v>
      </c>
      <c r="D244" s="65">
        <v>591.25</v>
      </c>
      <c r="E244" s="65">
        <v>6689596</v>
      </c>
      <c r="F244" s="65" t="s">
        <v>290</v>
      </c>
      <c r="G244" s="25">
        <f t="shared" si="0"/>
        <v>-5.2769556025370479E-3</v>
      </c>
      <c r="I244" s="65">
        <v>7.18</v>
      </c>
      <c r="J244" s="65">
        <v>7.41</v>
      </c>
      <c r="K244" s="65">
        <v>7.14</v>
      </c>
      <c r="L244" s="65">
        <v>7.39</v>
      </c>
      <c r="M244" s="65">
        <v>44935903</v>
      </c>
      <c r="N244" s="65" t="s">
        <v>290</v>
      </c>
      <c r="O244" s="25">
        <f t="shared" si="1"/>
        <v>-2.841677943166443E-2</v>
      </c>
      <c r="Q244" s="26"/>
      <c r="R244" s="28" t="s">
        <v>32</v>
      </c>
      <c r="S244" s="57">
        <f>_xlfn.COVARIANCE.P(O192:O441,G192:G441)/_xlfn.VAR.P(G192:G441)</f>
        <v>1.6882714975102819</v>
      </c>
      <c r="T244" s="26"/>
      <c r="U244" s="2" t="s">
        <v>33</v>
      </c>
    </row>
    <row r="245" spans="1:25" ht="13.5" customHeight="1">
      <c r="A245" s="65">
        <v>591.36</v>
      </c>
      <c r="B245" s="65">
        <v>592.02</v>
      </c>
      <c r="C245" s="65">
        <v>590.35</v>
      </c>
      <c r="D245" s="65">
        <v>590.98</v>
      </c>
      <c r="E245" s="65">
        <v>5311743</v>
      </c>
      <c r="F245" s="65" t="s">
        <v>291</v>
      </c>
      <c r="G245" s="25">
        <f t="shared" si="0"/>
        <v>6.4299976310544515E-4</v>
      </c>
      <c r="I245" s="65">
        <v>7.34</v>
      </c>
      <c r="J245" s="65">
        <v>7.37</v>
      </c>
      <c r="K245" s="65">
        <v>7.09</v>
      </c>
      <c r="L245" s="65">
        <v>7.14</v>
      </c>
      <c r="M245" s="65">
        <v>42926356</v>
      </c>
      <c r="N245" s="65" t="s">
        <v>291</v>
      </c>
      <c r="O245" s="25">
        <f t="shared" si="1"/>
        <v>2.801120448179284E-2</v>
      </c>
    </row>
    <row r="246" spans="1:25" ht="13.5" customHeight="1">
      <c r="A246" s="65">
        <v>591.57000000000005</v>
      </c>
      <c r="B246" s="65">
        <v>593.95000000000005</v>
      </c>
      <c r="C246" s="65">
        <v>590.66</v>
      </c>
      <c r="D246" s="65">
        <v>593.86</v>
      </c>
      <c r="E246" s="65">
        <v>7196315</v>
      </c>
      <c r="F246" s="65" t="s">
        <v>292</v>
      </c>
      <c r="G246" s="25">
        <f t="shared" si="0"/>
        <v>-3.8561277068668298E-3</v>
      </c>
      <c r="I246" s="65">
        <v>7.15</v>
      </c>
      <c r="J246" s="65">
        <v>7.3</v>
      </c>
      <c r="K246" s="65">
        <v>7.1</v>
      </c>
      <c r="L246" s="65">
        <v>7.12</v>
      </c>
      <c r="M246" s="65">
        <v>46882359</v>
      </c>
      <c r="N246" s="65" t="s">
        <v>292</v>
      </c>
      <c r="O246" s="25">
        <f t="shared" si="1"/>
        <v>4.2134831460673983E-3</v>
      </c>
      <c r="Q246" s="29" t="s">
        <v>34</v>
      </c>
      <c r="R246" s="30">
        <v>1014</v>
      </c>
    </row>
    <row r="247" spans="1:25" ht="13.5" customHeight="1" thickBot="1">
      <c r="A247" s="65">
        <v>592.85</v>
      </c>
      <c r="B247" s="65">
        <v>593.51</v>
      </c>
      <c r="C247" s="65">
        <v>590.5</v>
      </c>
      <c r="D247" s="65">
        <v>590.91999999999996</v>
      </c>
      <c r="E247" s="65">
        <v>6236666</v>
      </c>
      <c r="F247" s="65" t="s">
        <v>293</v>
      </c>
      <c r="G247" s="25">
        <f t="shared" si="0"/>
        <v>3.2660935490422816E-3</v>
      </c>
      <c r="I247" s="65">
        <v>7.08</v>
      </c>
      <c r="J247" s="65">
        <v>7.28</v>
      </c>
      <c r="K247" s="65">
        <v>7.06</v>
      </c>
      <c r="L247" s="65">
        <v>7.23</v>
      </c>
      <c r="M247" s="65">
        <v>58598103</v>
      </c>
      <c r="N247" s="65" t="s">
        <v>293</v>
      </c>
      <c r="O247" s="25">
        <f t="shared" si="1"/>
        <v>-2.0746887966805017E-2</v>
      </c>
      <c r="Q247" s="1" t="s">
        <v>35</v>
      </c>
      <c r="T247" s="1" t="s">
        <v>36</v>
      </c>
      <c r="X247" s="1" t="s">
        <v>37</v>
      </c>
    </row>
    <row r="248" spans="1:25" ht="13.5" customHeight="1">
      <c r="A248" s="65">
        <v>592.84</v>
      </c>
      <c r="B248" s="65">
        <v>594.03</v>
      </c>
      <c r="C248" s="65">
        <v>590.80999999999995</v>
      </c>
      <c r="D248" s="65">
        <v>592.86</v>
      </c>
      <c r="E248" s="65">
        <v>5392973</v>
      </c>
      <c r="F248" s="65" t="s">
        <v>294</v>
      </c>
      <c r="G248" s="25">
        <f t="shared" si="0"/>
        <v>-3.3734777181715359E-5</v>
      </c>
      <c r="I248" s="65">
        <v>7.32</v>
      </c>
      <c r="J248" s="65">
        <v>7.35</v>
      </c>
      <c r="K248" s="65">
        <v>7.2</v>
      </c>
      <c r="L248" s="65">
        <v>7.2750000000000004</v>
      </c>
      <c r="M248" s="65">
        <v>53643262</v>
      </c>
      <c r="N248" s="65" t="s">
        <v>294</v>
      </c>
      <c r="O248" s="25">
        <f t="shared" si="1"/>
        <v>6.1855670103092564E-3</v>
      </c>
      <c r="Q248" s="68" t="s">
        <v>38</v>
      </c>
      <c r="R248" s="68" t="s">
        <v>39</v>
      </c>
      <c r="T248" s="31" t="s">
        <v>40</v>
      </c>
      <c r="U248" s="32" t="s">
        <v>41</v>
      </c>
      <c r="X248" s="31" t="s">
        <v>42</v>
      </c>
      <c r="Y248" s="32" t="s">
        <v>43</v>
      </c>
    </row>
    <row r="249" spans="1:25" ht="13.5" customHeight="1">
      <c r="A249" s="65">
        <v>590.78</v>
      </c>
      <c r="B249" s="65">
        <v>590.96</v>
      </c>
      <c r="C249" s="65">
        <v>585.43499999999995</v>
      </c>
      <c r="D249" s="65">
        <v>586.75</v>
      </c>
      <c r="E249" s="65">
        <v>5874245</v>
      </c>
      <c r="F249" s="65" t="s">
        <v>295</v>
      </c>
      <c r="G249" s="25">
        <f t="shared" si="0"/>
        <v>6.8683425649764818E-3</v>
      </c>
      <c r="I249" s="65">
        <v>7.27</v>
      </c>
      <c r="J249" s="65">
        <v>7.29</v>
      </c>
      <c r="K249" s="65">
        <v>7.12</v>
      </c>
      <c r="L249" s="65">
        <v>7.28</v>
      </c>
      <c r="M249" s="65">
        <v>36671282</v>
      </c>
      <c r="N249" s="65" t="s">
        <v>295</v>
      </c>
      <c r="O249" s="25">
        <f t="shared" si="1"/>
        <v>-1.3736263736264798E-3</v>
      </c>
      <c r="Q249" s="66">
        <v>-0.10000000000000005</v>
      </c>
      <c r="R249">
        <v>3</v>
      </c>
      <c r="T249" s="56">
        <f t="shared" ref="T249:T252" si="2">T250-0.0025</f>
        <v>-0.11000000000000006</v>
      </c>
      <c r="U249" s="1">
        <f t="shared" ref="U249:U280" si="3">_xlfn.NORM.DIST(T249,$S$240,$S$242,FALSE)</f>
        <v>4.4526636558788711E-2</v>
      </c>
      <c r="W249" s="1" t="s">
        <v>119</v>
      </c>
      <c r="X249" s="56">
        <f>S240</f>
        <v>8.1257158226939676E-4</v>
      </c>
      <c r="Y249" s="1">
        <v>0</v>
      </c>
    </row>
    <row r="250" spans="1:25" ht="13.5" customHeight="1">
      <c r="A250" s="65">
        <v>584.54</v>
      </c>
      <c r="B250" s="65">
        <v>587.36</v>
      </c>
      <c r="C250" s="65">
        <v>583.44000000000005</v>
      </c>
      <c r="D250" s="65">
        <v>586.03</v>
      </c>
      <c r="E250" s="65">
        <v>5373949</v>
      </c>
      <c r="F250" s="65" t="s">
        <v>296</v>
      </c>
      <c r="G250" s="25">
        <f t="shared" si="0"/>
        <v>-2.542531952289151E-3</v>
      </c>
      <c r="I250" s="65">
        <v>7.19</v>
      </c>
      <c r="J250" s="65">
        <v>7.47</v>
      </c>
      <c r="K250" s="65">
        <v>7.16</v>
      </c>
      <c r="L250" s="65">
        <v>7.44</v>
      </c>
      <c r="M250" s="65">
        <v>51644624</v>
      </c>
      <c r="N250" s="65" t="s">
        <v>296</v>
      </c>
      <c r="O250" s="25">
        <f t="shared" si="1"/>
        <v>-3.3602150537634379E-2</v>
      </c>
      <c r="Q250" s="66">
        <v>-9.7500000000000045E-2</v>
      </c>
      <c r="R250">
        <v>0</v>
      </c>
      <c r="T250" s="56">
        <f t="shared" si="2"/>
        <v>-0.10750000000000005</v>
      </c>
      <c r="U250" s="1">
        <f t="shared" si="3"/>
        <v>5.7165218511073881E-2</v>
      </c>
      <c r="X250" s="56">
        <f>S240</f>
        <v>8.1257158226939676E-4</v>
      </c>
      <c r="Y250" s="1">
        <v>12</v>
      </c>
    </row>
    <row r="251" spans="1:25" ht="13.5" customHeight="1">
      <c r="A251" s="65">
        <v>585.74</v>
      </c>
      <c r="B251" s="65">
        <v>586.16999999999996</v>
      </c>
      <c r="C251" s="65">
        <v>582.6</v>
      </c>
      <c r="D251" s="65">
        <v>582.92999999999995</v>
      </c>
      <c r="E251" s="65">
        <v>4342341</v>
      </c>
      <c r="F251" s="65" t="s">
        <v>297</v>
      </c>
      <c r="G251" s="25">
        <f t="shared" si="0"/>
        <v>4.8204758718886076E-3</v>
      </c>
      <c r="I251" s="65">
        <v>7.41</v>
      </c>
      <c r="J251" s="65">
        <v>7.56</v>
      </c>
      <c r="K251" s="65">
        <v>7.39</v>
      </c>
      <c r="L251" s="65">
        <v>7.41</v>
      </c>
      <c r="M251" s="65">
        <v>49914993</v>
      </c>
      <c r="N251" s="65" t="s">
        <v>297</v>
      </c>
      <c r="O251" s="25">
        <f t="shared" si="1"/>
        <v>0</v>
      </c>
      <c r="Q251" s="66">
        <v>-9.5000000000000043E-2</v>
      </c>
      <c r="R251">
        <v>0</v>
      </c>
      <c r="T251" s="56">
        <f t="shared" si="2"/>
        <v>-0.10500000000000005</v>
      </c>
      <c r="U251" s="1">
        <f t="shared" si="3"/>
        <v>7.2973943741081501E-2</v>
      </c>
      <c r="W251" s="39" t="s">
        <v>120</v>
      </c>
      <c r="X251" s="56">
        <f>($S$242*-3)+$S$240</f>
        <v>-9.8516341910033264E-2</v>
      </c>
      <c r="Y251" s="1">
        <v>0</v>
      </c>
    </row>
    <row r="252" spans="1:25" ht="13.5" customHeight="1">
      <c r="A252" s="65">
        <v>581.29</v>
      </c>
      <c r="B252" s="65">
        <v>585.52</v>
      </c>
      <c r="C252" s="65">
        <v>578.31269999999995</v>
      </c>
      <c r="D252" s="65">
        <v>584.87</v>
      </c>
      <c r="E252" s="65">
        <v>4594260</v>
      </c>
      <c r="F252" s="65" t="s">
        <v>298</v>
      </c>
      <c r="G252" s="25">
        <f t="shared" si="0"/>
        <v>-6.1210183459572409E-3</v>
      </c>
      <c r="I252" s="65">
        <v>7.54</v>
      </c>
      <c r="J252" s="65">
        <v>7.94</v>
      </c>
      <c r="K252" s="65">
        <v>7.45</v>
      </c>
      <c r="L252" s="65">
        <v>7.81</v>
      </c>
      <c r="M252" s="65">
        <v>82788312</v>
      </c>
      <c r="N252" s="65" t="s">
        <v>298</v>
      </c>
      <c r="O252" s="25">
        <f t="shared" si="1"/>
        <v>-3.4571062740076819E-2</v>
      </c>
      <c r="Q252" s="66">
        <v>-9.2500000000000041E-2</v>
      </c>
      <c r="R252">
        <v>2</v>
      </c>
      <c r="T252" s="56">
        <f t="shared" si="2"/>
        <v>-0.10250000000000005</v>
      </c>
      <c r="U252" s="1">
        <f t="shared" si="3"/>
        <v>9.2624897336695627E-2</v>
      </c>
      <c r="W252" s="40"/>
      <c r="X252" s="56">
        <f>($S$242*-3)+$S$240</f>
        <v>-9.8516341910033264E-2</v>
      </c>
      <c r="Y252" s="1">
        <v>1</v>
      </c>
    </row>
    <row r="253" spans="1:25" ht="13.5" customHeight="1">
      <c r="A253" s="65">
        <v>581.64</v>
      </c>
      <c r="B253" s="65">
        <v>582.27</v>
      </c>
      <c r="C253" s="65">
        <v>577.41</v>
      </c>
      <c r="D253" s="65">
        <v>578.25</v>
      </c>
      <c r="E253" s="65">
        <v>4545015</v>
      </c>
      <c r="F253" s="65" t="s">
        <v>299</v>
      </c>
      <c r="G253" s="25">
        <f t="shared" si="0"/>
        <v>5.8625162127108332E-3</v>
      </c>
      <c r="I253" s="65">
        <v>7.78</v>
      </c>
      <c r="J253" s="65">
        <v>7.85</v>
      </c>
      <c r="K253" s="65">
        <v>7.27</v>
      </c>
      <c r="L253" s="65">
        <v>7.5</v>
      </c>
      <c r="M253" s="65">
        <v>185515342</v>
      </c>
      <c r="N253" s="65" t="s">
        <v>299</v>
      </c>
      <c r="O253" s="25">
        <f t="shared" si="1"/>
        <v>3.7333333333333441E-2</v>
      </c>
      <c r="Q253" s="66">
        <v>-9.0000000000000038E-2</v>
      </c>
      <c r="R253">
        <v>1</v>
      </c>
      <c r="T253" s="56">
        <f t="shared" ref="T253:T292" si="4">T254-0.0025</f>
        <v>-0.10000000000000005</v>
      </c>
      <c r="U253" s="1">
        <f t="shared" si="3"/>
        <v>0.1168992256050766</v>
      </c>
      <c r="W253" s="39" t="s">
        <v>121</v>
      </c>
      <c r="X253" s="56">
        <f>($S$242*-2)+$S$240</f>
        <v>-6.5406704079265715E-2</v>
      </c>
      <c r="Y253" s="1">
        <v>0</v>
      </c>
    </row>
    <row r="254" spans="1:25" ht="13.5" customHeight="1">
      <c r="A254" s="65">
        <v>577.35</v>
      </c>
      <c r="B254" s="65">
        <v>581.5</v>
      </c>
      <c r="C254" s="65">
        <v>576.4</v>
      </c>
      <c r="D254" s="65">
        <v>580.79</v>
      </c>
      <c r="E254" s="65">
        <v>4647381</v>
      </c>
      <c r="F254" s="65" t="s">
        <v>300</v>
      </c>
      <c r="G254" s="25">
        <f t="shared" si="0"/>
        <v>-5.9229669932332474E-3</v>
      </c>
      <c r="I254" s="65">
        <v>9.39</v>
      </c>
      <c r="J254" s="65">
        <v>9.5449999999999999</v>
      </c>
      <c r="K254" s="65">
        <v>9.2200000000000006</v>
      </c>
      <c r="L254" s="65">
        <v>9.49</v>
      </c>
      <c r="M254" s="65">
        <v>73950163</v>
      </c>
      <c r="N254" s="65" t="s">
        <v>300</v>
      </c>
      <c r="O254" s="25">
        <f t="shared" si="1"/>
        <v>-1.0537407797681753E-2</v>
      </c>
      <c r="Q254" s="66">
        <v>-8.7500000000000036E-2</v>
      </c>
      <c r="R254">
        <v>3</v>
      </c>
      <c r="T254" s="56">
        <f t="shared" si="4"/>
        <v>-9.7500000000000045E-2</v>
      </c>
      <c r="U254" s="1">
        <f t="shared" si="3"/>
        <v>0.14669641522569726</v>
      </c>
      <c r="W254" s="40"/>
      <c r="X254" s="56">
        <f>($S$242*-2)+$S$240</f>
        <v>-6.5406704079265715E-2</v>
      </c>
      <c r="Y254" s="1">
        <v>2</v>
      </c>
    </row>
    <row r="255" spans="1:25" ht="13.5" customHeight="1">
      <c r="A255" s="65">
        <v>580.14</v>
      </c>
      <c r="B255" s="65">
        <v>580.21</v>
      </c>
      <c r="C255" s="65">
        <v>575.08000000000004</v>
      </c>
      <c r="D255" s="65">
        <v>575.16999999999996</v>
      </c>
      <c r="E255" s="65">
        <v>6640089</v>
      </c>
      <c r="F255" s="65" t="s">
        <v>301</v>
      </c>
      <c r="G255" s="25">
        <f t="shared" si="0"/>
        <v>8.6409235530364725E-3</v>
      </c>
      <c r="I255" s="65">
        <v>9.4700000000000006</v>
      </c>
      <c r="J255" s="65">
        <v>9.5399999999999991</v>
      </c>
      <c r="K255" s="65">
        <v>9.1300000000000008</v>
      </c>
      <c r="L255" s="65">
        <v>9.1349999999999998</v>
      </c>
      <c r="M255" s="65">
        <v>42411621</v>
      </c>
      <c r="N255" s="65" t="s">
        <v>301</v>
      </c>
      <c r="O255" s="25">
        <f t="shared" si="1"/>
        <v>3.6672140120415975E-2</v>
      </c>
      <c r="Q255" s="66">
        <v>-8.5000000000000034E-2</v>
      </c>
      <c r="R255">
        <v>0</v>
      </c>
      <c r="T255" s="56">
        <f t="shared" si="4"/>
        <v>-9.5000000000000043E-2</v>
      </c>
      <c r="U255" s="1">
        <f t="shared" si="3"/>
        <v>0.18304224796998683</v>
      </c>
      <c r="W255" s="41" t="s">
        <v>122</v>
      </c>
      <c r="X255" s="56">
        <f>($S$242*-1)+$S$240</f>
        <v>-3.2297066248498159E-2</v>
      </c>
      <c r="Y255" s="1">
        <v>0</v>
      </c>
    </row>
    <row r="256" spans="1:25" ht="13.5" customHeight="1">
      <c r="A256" s="65">
        <v>571.45000000000005</v>
      </c>
      <c r="B256" s="65">
        <v>575.74</v>
      </c>
      <c r="C256" s="65">
        <v>569.29</v>
      </c>
      <c r="D256" s="65">
        <v>575.73</v>
      </c>
      <c r="E256" s="65">
        <v>8781254</v>
      </c>
      <c r="F256" s="65" t="s">
        <v>302</v>
      </c>
      <c r="G256" s="25">
        <f t="shared" ref="G256:G319" si="5">A256/D256-1</f>
        <v>-7.4340402619282875E-3</v>
      </c>
      <c r="I256" s="65">
        <v>9.0500000000000007</v>
      </c>
      <c r="J256" s="65">
        <v>9.1999999999999993</v>
      </c>
      <c r="K256" s="65">
        <v>8.8800000000000008</v>
      </c>
      <c r="L256" s="65">
        <v>9.15</v>
      </c>
      <c r="M256" s="65">
        <v>37654533</v>
      </c>
      <c r="N256" s="65" t="s">
        <v>302</v>
      </c>
      <c r="O256" s="25">
        <f t="shared" ref="O256:O319" si="6">I256/L256-1</f>
        <v>-1.0928961748633892E-2</v>
      </c>
      <c r="Q256" s="66">
        <v>-8.2500000000000032E-2</v>
      </c>
      <c r="R256">
        <v>1</v>
      </c>
      <c r="T256" s="56">
        <f t="shared" si="4"/>
        <v>-9.2500000000000041E-2</v>
      </c>
      <c r="U256" s="1">
        <f t="shared" si="3"/>
        <v>0.22709478059824642</v>
      </c>
      <c r="X256" s="56">
        <f>($S$242*-1)+$S$240</f>
        <v>-3.2297066248498159E-2</v>
      </c>
      <c r="Y256" s="1">
        <v>7</v>
      </c>
    </row>
    <row r="257" spans="1:25" ht="13.5" customHeight="1">
      <c r="A257" s="65">
        <v>581.02</v>
      </c>
      <c r="B257" s="65">
        <v>588.16139999999996</v>
      </c>
      <c r="C257" s="65">
        <v>579.84</v>
      </c>
      <c r="D257" s="65">
        <v>587.83000000000004</v>
      </c>
      <c r="E257" s="65">
        <v>7046843</v>
      </c>
      <c r="F257" s="65" t="s">
        <v>303</v>
      </c>
      <c r="G257" s="25">
        <f t="shared" si="5"/>
        <v>-1.1584982052634363E-2</v>
      </c>
      <c r="I257" s="65">
        <v>9.43</v>
      </c>
      <c r="J257" s="65">
        <v>9.77</v>
      </c>
      <c r="K257" s="65">
        <v>9.39</v>
      </c>
      <c r="L257" s="65">
        <v>9.48</v>
      </c>
      <c r="M257" s="65">
        <v>57157701</v>
      </c>
      <c r="N257" s="65" t="s">
        <v>303</v>
      </c>
      <c r="O257" s="25">
        <f t="shared" si="6"/>
        <v>-5.2742616033756295E-3</v>
      </c>
      <c r="Q257" s="66">
        <v>-8.0000000000000029E-2</v>
      </c>
      <c r="R257">
        <v>4</v>
      </c>
      <c r="T257" s="56">
        <f t="shared" si="4"/>
        <v>-9.0000000000000038E-2</v>
      </c>
      <c r="U257" s="1">
        <f t="shared" si="3"/>
        <v>0.28014762000313015</v>
      </c>
      <c r="W257" s="1" t="s">
        <v>123</v>
      </c>
      <c r="X257" s="56">
        <f>($S$242*1)+$S$240</f>
        <v>3.3922209413036954E-2</v>
      </c>
      <c r="Y257" s="1">
        <v>0</v>
      </c>
    </row>
    <row r="258" spans="1:25" ht="13.5" customHeight="1">
      <c r="A258" s="65">
        <v>583.21</v>
      </c>
      <c r="B258" s="65">
        <v>586.15</v>
      </c>
      <c r="C258" s="65">
        <v>580.54999999999995</v>
      </c>
      <c r="D258" s="65">
        <v>584.66</v>
      </c>
      <c r="E258" s="65">
        <v>6974729</v>
      </c>
      <c r="F258" s="65" t="s">
        <v>304</v>
      </c>
      <c r="G258" s="25">
        <f t="shared" si="5"/>
        <v>-2.4800738890977669E-3</v>
      </c>
      <c r="I258" s="65">
        <v>9.32</v>
      </c>
      <c r="J258" s="65">
        <v>9.43</v>
      </c>
      <c r="K258" s="65">
        <v>9.1999999999999993</v>
      </c>
      <c r="L258" s="65">
        <v>9.35</v>
      </c>
      <c r="M258" s="65">
        <v>32154328</v>
      </c>
      <c r="N258" s="65" t="s">
        <v>304</v>
      </c>
      <c r="O258" s="25">
        <f t="shared" si="6"/>
        <v>-3.2085561497325887E-3</v>
      </c>
      <c r="Q258" s="66">
        <v>-7.7500000000000027E-2</v>
      </c>
      <c r="R258">
        <v>3</v>
      </c>
      <c r="T258" s="56">
        <f t="shared" si="4"/>
        <v>-8.7500000000000036E-2</v>
      </c>
      <c r="U258" s="1">
        <f t="shared" si="3"/>
        <v>0.34362970099723689</v>
      </c>
      <c r="X258" s="56">
        <f>($S$242*1)+$S$240</f>
        <v>3.3922209413036954E-2</v>
      </c>
      <c r="Y258" s="1">
        <v>7</v>
      </c>
    </row>
    <row r="259" spans="1:25" ht="13.5" customHeight="1">
      <c r="A259" s="65">
        <v>583.91999999999996</v>
      </c>
      <c r="B259" s="65">
        <v>587.08000000000004</v>
      </c>
      <c r="C259" s="65">
        <v>583.12</v>
      </c>
      <c r="D259" s="65">
        <v>586.82000000000005</v>
      </c>
      <c r="E259" s="65">
        <v>5033308</v>
      </c>
      <c r="F259" s="65" t="s">
        <v>305</v>
      </c>
      <c r="G259" s="25">
        <f t="shared" si="5"/>
        <v>-4.9418901877920085E-3</v>
      </c>
      <c r="I259" s="65">
        <v>9.33</v>
      </c>
      <c r="J259" s="65">
        <v>9.6999999999999993</v>
      </c>
      <c r="K259" s="65">
        <v>9.31</v>
      </c>
      <c r="L259" s="65">
        <v>9.6850000000000005</v>
      </c>
      <c r="M259" s="65">
        <v>37248724</v>
      </c>
      <c r="N259" s="65" t="s">
        <v>305</v>
      </c>
      <c r="O259" s="25">
        <f t="shared" si="6"/>
        <v>-3.6654620547238004E-2</v>
      </c>
      <c r="Q259" s="66">
        <v>-7.5000000000000025E-2</v>
      </c>
      <c r="R259">
        <v>3</v>
      </c>
      <c r="T259" s="56">
        <f t="shared" si="4"/>
        <v>-8.5000000000000034E-2</v>
      </c>
      <c r="U259" s="1">
        <f t="shared" si="3"/>
        <v>0.41910073613048848</v>
      </c>
      <c r="W259" s="42" t="s">
        <v>124</v>
      </c>
      <c r="X259" s="56">
        <f>($S$242*2)+$S$240</f>
        <v>6.703184724380451E-2</v>
      </c>
      <c r="Y259" s="1">
        <v>0</v>
      </c>
    </row>
    <row r="260" spans="1:25" ht="13.5" customHeight="1">
      <c r="A260" s="65">
        <v>585.44000000000005</v>
      </c>
      <c r="B260" s="65">
        <v>586.5</v>
      </c>
      <c r="C260" s="65">
        <v>584.24</v>
      </c>
      <c r="D260" s="65">
        <v>586.04</v>
      </c>
      <c r="E260" s="65">
        <v>4169858</v>
      </c>
      <c r="F260" s="65" t="s">
        <v>306</v>
      </c>
      <c r="G260" s="25">
        <f t="shared" si="5"/>
        <v>-1.0238208995971831E-3</v>
      </c>
      <c r="I260" s="65">
        <v>9.69</v>
      </c>
      <c r="J260" s="65">
        <v>9.9</v>
      </c>
      <c r="K260" s="65">
        <v>9.56</v>
      </c>
      <c r="L260" s="65">
        <v>9.875</v>
      </c>
      <c r="M260" s="65">
        <v>51133960</v>
      </c>
      <c r="N260" s="65" t="s">
        <v>306</v>
      </c>
      <c r="O260" s="25">
        <f t="shared" si="6"/>
        <v>-1.8734177215189884E-2</v>
      </c>
      <c r="Q260" s="66">
        <v>-7.2500000000000023E-2</v>
      </c>
      <c r="R260">
        <v>3</v>
      </c>
      <c r="T260" s="56">
        <f t="shared" si="4"/>
        <v>-8.2500000000000032E-2</v>
      </c>
      <c r="U260" s="1">
        <f t="shared" si="3"/>
        <v>0.50824150172402272</v>
      </c>
      <c r="X260" s="56">
        <f>($S$242*2)+$S$240</f>
        <v>6.703184724380451E-2</v>
      </c>
      <c r="Y260" s="1">
        <v>2</v>
      </c>
    </row>
    <row r="261" spans="1:25" ht="13.5" customHeight="1">
      <c r="A261" s="65">
        <v>585.58000000000004</v>
      </c>
      <c r="B261" s="65">
        <v>586.04</v>
      </c>
      <c r="C261" s="65">
        <v>583.59</v>
      </c>
      <c r="D261" s="65">
        <v>583.80999999999995</v>
      </c>
      <c r="E261" s="65">
        <v>3189061</v>
      </c>
      <c r="F261" s="65" t="s">
        <v>307</v>
      </c>
      <c r="G261" s="25">
        <f t="shared" si="5"/>
        <v>3.0318082937943469E-3</v>
      </c>
      <c r="I261" s="65">
        <v>9.77</v>
      </c>
      <c r="J261" s="65">
        <v>9.81</v>
      </c>
      <c r="K261" s="65">
        <v>9.56</v>
      </c>
      <c r="L261" s="65">
        <v>9.77</v>
      </c>
      <c r="M261" s="65">
        <v>30438261</v>
      </c>
      <c r="N261" s="65" t="s">
        <v>307</v>
      </c>
      <c r="O261" s="25">
        <f t="shared" si="6"/>
        <v>0</v>
      </c>
      <c r="Q261" s="66">
        <v>-7.0000000000000021E-2</v>
      </c>
      <c r="R261">
        <v>3</v>
      </c>
      <c r="T261" s="56">
        <f t="shared" si="4"/>
        <v>-8.0000000000000029E-2</v>
      </c>
      <c r="U261" s="1">
        <f t="shared" si="3"/>
        <v>0.61283815996007085</v>
      </c>
      <c r="W261" s="42" t="s">
        <v>125</v>
      </c>
      <c r="X261" s="56">
        <f>($S$242*3)+$S$240</f>
        <v>0.10014148507457206</v>
      </c>
      <c r="Y261" s="1">
        <v>0</v>
      </c>
    </row>
    <row r="262" spans="1:25" ht="13.5" customHeight="1">
      <c r="A262" s="65">
        <v>583.26</v>
      </c>
      <c r="B262" s="65">
        <v>584.75</v>
      </c>
      <c r="C262" s="65">
        <v>582.72</v>
      </c>
      <c r="D262" s="65">
        <v>583.34</v>
      </c>
      <c r="E262" s="65">
        <v>3840901</v>
      </c>
      <c r="F262" s="65" t="s">
        <v>308</v>
      </c>
      <c r="G262" s="25">
        <f t="shared" si="5"/>
        <v>-1.3714128981390239E-4</v>
      </c>
      <c r="I262" s="65">
        <v>9.74</v>
      </c>
      <c r="J262" s="65">
        <v>10.08</v>
      </c>
      <c r="K262" s="65">
        <v>9.69</v>
      </c>
      <c r="L262" s="65">
        <v>10.065</v>
      </c>
      <c r="M262" s="65">
        <v>38228154</v>
      </c>
      <c r="N262" s="65" t="s">
        <v>308</v>
      </c>
      <c r="O262" s="25">
        <f t="shared" si="6"/>
        <v>-3.2290114257327307E-2</v>
      </c>
      <c r="Q262" s="66">
        <v>-6.7500000000000018E-2</v>
      </c>
      <c r="R262">
        <v>2</v>
      </c>
      <c r="T262" s="56">
        <f t="shared" si="4"/>
        <v>-7.7500000000000027E-2</v>
      </c>
      <c r="U262" s="1">
        <f t="shared" si="3"/>
        <v>0.73475990071406094</v>
      </c>
      <c r="W262" s="42"/>
      <c r="X262" s="56">
        <f>($S$242*3)+$S$240</f>
        <v>0.10014148507457206</v>
      </c>
      <c r="Y262" s="1">
        <v>1</v>
      </c>
    </row>
    <row r="263" spans="1:25" ht="13.5" customHeight="1">
      <c r="A263" s="65">
        <v>582.86</v>
      </c>
      <c r="B263" s="65">
        <v>582.96</v>
      </c>
      <c r="C263" s="65">
        <v>578.87</v>
      </c>
      <c r="D263" s="65">
        <v>580.57000000000005</v>
      </c>
      <c r="E263" s="65">
        <v>4257345</v>
      </c>
      <c r="F263" s="65" t="s">
        <v>309</v>
      </c>
      <c r="G263" s="25">
        <f t="shared" si="5"/>
        <v>3.9443994694867701E-3</v>
      </c>
      <c r="I263" s="65">
        <v>10.07</v>
      </c>
      <c r="J263" s="65">
        <v>10.37</v>
      </c>
      <c r="K263" s="65">
        <v>10.01</v>
      </c>
      <c r="L263" s="65">
        <v>10.37</v>
      </c>
      <c r="M263" s="65">
        <v>28357153</v>
      </c>
      <c r="N263" s="65" t="s">
        <v>309</v>
      </c>
      <c r="O263" s="25">
        <f t="shared" si="6"/>
        <v>-2.8929604628736616E-2</v>
      </c>
      <c r="Q263" s="66">
        <v>-6.5000000000000016E-2</v>
      </c>
      <c r="R263">
        <v>2</v>
      </c>
      <c r="T263" s="56">
        <f t="shared" si="4"/>
        <v>-7.5000000000000025E-2</v>
      </c>
      <c r="U263" s="1">
        <f t="shared" si="3"/>
        <v>0.87592932483660368</v>
      </c>
    </row>
    <row r="264" spans="1:25" ht="13.5" customHeight="1">
      <c r="A264" s="65">
        <v>577.95000000000005</v>
      </c>
      <c r="B264" s="65">
        <v>578.84</v>
      </c>
      <c r="C264" s="65">
        <v>575.64</v>
      </c>
      <c r="D264" s="65">
        <v>578.28</v>
      </c>
      <c r="E264" s="65">
        <v>4743679</v>
      </c>
      <c r="F264" s="65" t="s">
        <v>310</v>
      </c>
      <c r="G264" s="25">
        <f t="shared" si="5"/>
        <v>-5.7065781282406025E-4</v>
      </c>
      <c r="I264" s="65">
        <v>10.35</v>
      </c>
      <c r="J264" s="65">
        <v>10.41</v>
      </c>
      <c r="K264" s="65">
        <v>9.89</v>
      </c>
      <c r="L264" s="65">
        <v>9.9600000000000009</v>
      </c>
      <c r="M264" s="65">
        <v>38665049</v>
      </c>
      <c r="N264" s="65" t="s">
        <v>310</v>
      </c>
      <c r="O264" s="25">
        <f t="shared" si="6"/>
        <v>3.9156626506023917E-2</v>
      </c>
      <c r="Q264" s="66">
        <v>-6.2500000000000014E-2</v>
      </c>
      <c r="R264">
        <v>4</v>
      </c>
      <c r="T264" s="56">
        <f t="shared" si="4"/>
        <v>-7.2500000000000023E-2</v>
      </c>
      <c r="U264" s="1">
        <f t="shared" si="3"/>
        <v>1.038285186695274</v>
      </c>
    </row>
    <row r="265" spans="1:25" ht="13.5" customHeight="1">
      <c r="A265" s="65">
        <v>577.95000000000005</v>
      </c>
      <c r="B265" s="65">
        <v>580.53</v>
      </c>
      <c r="C265" s="65">
        <v>577.59</v>
      </c>
      <c r="D265" s="65">
        <v>577.98</v>
      </c>
      <c r="E265" s="65">
        <v>5892207</v>
      </c>
      <c r="F265" s="65" t="s">
        <v>311</v>
      </c>
      <c r="G265" s="25">
        <f t="shared" si="5"/>
        <v>-5.1904910204458865E-5</v>
      </c>
      <c r="I265" s="65">
        <v>9.8800000000000008</v>
      </c>
      <c r="J265" s="65">
        <v>10.3</v>
      </c>
      <c r="K265" s="65">
        <v>9.84</v>
      </c>
      <c r="L265" s="65">
        <v>10.17</v>
      </c>
      <c r="M265" s="65">
        <v>36581828</v>
      </c>
      <c r="N265" s="65" t="s">
        <v>311</v>
      </c>
      <c r="O265" s="25">
        <f t="shared" si="6"/>
        <v>-2.851524090462132E-2</v>
      </c>
      <c r="Q265" s="66">
        <v>-6.0000000000000019E-2</v>
      </c>
      <c r="R265">
        <v>7</v>
      </c>
      <c r="T265" s="56">
        <f t="shared" si="4"/>
        <v>-7.0000000000000021E-2</v>
      </c>
      <c r="U265" s="1">
        <f t="shared" si="3"/>
        <v>1.2237373690874733</v>
      </c>
    </row>
    <row r="266" spans="1:25" ht="13.5" customHeight="1">
      <c r="A266" s="65">
        <v>576.91999999999996</v>
      </c>
      <c r="B266" s="65">
        <v>578.5</v>
      </c>
      <c r="C266" s="65">
        <v>575.84</v>
      </c>
      <c r="D266" s="65">
        <v>578.47</v>
      </c>
      <c r="E266" s="65">
        <v>4244147</v>
      </c>
      <c r="F266" s="65" t="s">
        <v>312</v>
      </c>
      <c r="G266" s="25">
        <f t="shared" si="5"/>
        <v>-2.6794820820441601E-3</v>
      </c>
      <c r="I266" s="65">
        <v>10.01</v>
      </c>
      <c r="J266" s="65">
        <v>10.07</v>
      </c>
      <c r="K266" s="65">
        <v>9.85</v>
      </c>
      <c r="L266" s="65">
        <v>9.92</v>
      </c>
      <c r="M266" s="65">
        <v>27980867</v>
      </c>
      <c r="N266" s="65" t="s">
        <v>312</v>
      </c>
      <c r="O266" s="25">
        <f t="shared" si="6"/>
        <v>9.0725806451612545E-3</v>
      </c>
      <c r="Q266" s="66">
        <v>-5.7500000000000016E-2</v>
      </c>
      <c r="R266">
        <v>2</v>
      </c>
      <c r="T266" s="56">
        <f t="shared" si="4"/>
        <v>-6.7500000000000018E-2</v>
      </c>
      <c r="U266" s="1">
        <f t="shared" si="3"/>
        <v>1.434114275810304</v>
      </c>
    </row>
    <row r="267" spans="1:25" ht="13.5" customHeight="1">
      <c r="A267" s="65">
        <v>577.17999999999995</v>
      </c>
      <c r="B267" s="65">
        <v>577.65</v>
      </c>
      <c r="C267" s="65">
        <v>573.79999999999995</v>
      </c>
      <c r="D267" s="65">
        <v>574.02</v>
      </c>
      <c r="E267" s="65">
        <v>5391575</v>
      </c>
      <c r="F267" s="65" t="s">
        <v>313</v>
      </c>
      <c r="G267" s="25">
        <f t="shared" si="5"/>
        <v>5.5050346677816275E-3</v>
      </c>
      <c r="I267" s="65">
        <v>9.91</v>
      </c>
      <c r="J267" s="65">
        <v>10.1</v>
      </c>
      <c r="K267" s="65">
        <v>9.625</v>
      </c>
      <c r="L267" s="65">
        <v>9.66</v>
      </c>
      <c r="M267" s="65">
        <v>46352327</v>
      </c>
      <c r="N267" s="65" t="s">
        <v>313</v>
      </c>
      <c r="O267" s="25">
        <f t="shared" si="6"/>
        <v>2.5879917184264967E-2</v>
      </c>
      <c r="Q267" s="66">
        <v>-5.5000000000000014E-2</v>
      </c>
      <c r="R267">
        <v>4</v>
      </c>
      <c r="T267" s="56">
        <f t="shared" si="4"/>
        <v>-6.5000000000000016E-2</v>
      </c>
      <c r="U267" s="1">
        <f t="shared" si="3"/>
        <v>1.6711031899164779</v>
      </c>
    </row>
    <row r="268" spans="1:25" ht="13.5" customHeight="1">
      <c r="A268" s="65">
        <v>573.74</v>
      </c>
      <c r="B268" s="65">
        <v>574.26</v>
      </c>
      <c r="C268" s="65">
        <v>568.16999999999996</v>
      </c>
      <c r="D268" s="65">
        <v>573.4</v>
      </c>
      <c r="E268" s="65">
        <v>6119852</v>
      </c>
      <c r="F268" s="65" t="s">
        <v>314</v>
      </c>
      <c r="G268" s="25">
        <f t="shared" si="5"/>
        <v>5.9295430763861567E-4</v>
      </c>
      <c r="I268" s="65">
        <v>9.66</v>
      </c>
      <c r="J268" s="65">
        <v>9.67</v>
      </c>
      <c r="K268" s="65">
        <v>9.2200000000000006</v>
      </c>
      <c r="L268" s="65">
        <v>9.5500000000000007</v>
      </c>
      <c r="M268" s="65">
        <v>45430683</v>
      </c>
      <c r="N268" s="65" t="s">
        <v>314</v>
      </c>
      <c r="O268" s="25">
        <f t="shared" si="6"/>
        <v>1.1518324607329822E-2</v>
      </c>
      <c r="Q268" s="66">
        <v>-5.2500000000000012E-2</v>
      </c>
      <c r="R268">
        <v>6</v>
      </c>
      <c r="T268" s="56">
        <f t="shared" si="4"/>
        <v>-6.2500000000000014E-2</v>
      </c>
      <c r="U268" s="1">
        <f t="shared" si="3"/>
        <v>1.936184548367625</v>
      </c>
    </row>
    <row r="269" spans="1:25" ht="13.5" customHeight="1">
      <c r="A269" s="65">
        <v>571.86</v>
      </c>
      <c r="B269" s="65">
        <v>577.16</v>
      </c>
      <c r="C269" s="65">
        <v>571.85</v>
      </c>
      <c r="D269" s="65">
        <v>576.85</v>
      </c>
      <c r="E269" s="65">
        <v>5338268</v>
      </c>
      <c r="F269" s="65" t="s">
        <v>315</v>
      </c>
      <c r="G269" s="25">
        <f t="shared" si="5"/>
        <v>-8.6504290543468754E-3</v>
      </c>
      <c r="I269" s="65">
        <v>9.48</v>
      </c>
      <c r="J269" s="65">
        <v>9.84</v>
      </c>
      <c r="K269" s="65">
        <v>9.4700000000000006</v>
      </c>
      <c r="L269" s="65">
        <v>9.6850000000000005</v>
      </c>
      <c r="M269" s="65">
        <v>41671122</v>
      </c>
      <c r="N269" s="65" t="s">
        <v>315</v>
      </c>
      <c r="O269" s="25">
        <f t="shared" si="6"/>
        <v>-2.1166752710376824E-2</v>
      </c>
      <c r="Q269" s="66">
        <v>-5.000000000000001E-2</v>
      </c>
      <c r="R269">
        <v>10</v>
      </c>
      <c r="T269" s="56">
        <f t="shared" si="4"/>
        <v>-6.0000000000000019E-2</v>
      </c>
      <c r="U269" s="1">
        <f t="shared" si="3"/>
        <v>2.2305615113722137</v>
      </c>
    </row>
    <row r="270" spans="1:25" ht="13.5" customHeight="1">
      <c r="A270" s="65">
        <v>574.35</v>
      </c>
      <c r="B270" s="65">
        <v>574.67899999999997</v>
      </c>
      <c r="C270" s="65">
        <v>571.58000000000004</v>
      </c>
      <c r="D270" s="65">
        <v>572.85</v>
      </c>
      <c r="E270" s="65">
        <v>4719971</v>
      </c>
      <c r="F270" s="65" t="s">
        <v>316</v>
      </c>
      <c r="G270" s="25">
        <f t="shared" si="5"/>
        <v>2.6184865147944603E-3</v>
      </c>
      <c r="I270" s="65">
        <v>9.5399999999999991</v>
      </c>
      <c r="J270" s="65">
        <v>9.57</v>
      </c>
      <c r="K270" s="65">
        <v>9.0549999999999997</v>
      </c>
      <c r="L270" s="65">
        <v>9.08</v>
      </c>
      <c r="M270" s="65">
        <v>36630099</v>
      </c>
      <c r="N270" s="65" t="s">
        <v>316</v>
      </c>
      <c r="O270" s="25">
        <f t="shared" si="6"/>
        <v>5.0660792951541689E-2</v>
      </c>
      <c r="Q270" s="66">
        <v>-4.7500000000000007E-2</v>
      </c>
      <c r="R270">
        <v>13</v>
      </c>
      <c r="T270" s="56">
        <f t="shared" si="4"/>
        <v>-5.7500000000000016E-2</v>
      </c>
      <c r="U270" s="1">
        <f t="shared" si="3"/>
        <v>2.555086637918647</v>
      </c>
    </row>
    <row r="271" spans="1:25" ht="13.5" customHeight="1">
      <c r="A271" s="65">
        <v>573.22</v>
      </c>
      <c r="B271" s="65">
        <v>574.37570000000005</v>
      </c>
      <c r="C271" s="65">
        <v>571.37</v>
      </c>
      <c r="D271" s="65">
        <v>572.45000000000005</v>
      </c>
      <c r="E271" s="65">
        <v>4414258</v>
      </c>
      <c r="F271" s="65" t="s">
        <v>317</v>
      </c>
      <c r="G271" s="25">
        <f t="shared" si="5"/>
        <v>1.3450956415406168E-3</v>
      </c>
      <c r="I271" s="65">
        <v>9.11</v>
      </c>
      <c r="J271" s="65">
        <v>9.41</v>
      </c>
      <c r="K271" s="65">
        <v>9.0625</v>
      </c>
      <c r="L271" s="65">
        <v>9.2850000000000001</v>
      </c>
      <c r="M271" s="65">
        <v>24934255</v>
      </c>
      <c r="N271" s="65" t="s">
        <v>317</v>
      </c>
      <c r="O271" s="25">
        <f t="shared" si="6"/>
        <v>-1.8847603661820256E-2</v>
      </c>
      <c r="Q271" s="66">
        <v>-4.5000000000000005E-2</v>
      </c>
      <c r="R271">
        <v>10</v>
      </c>
      <c r="T271" s="56">
        <f t="shared" si="4"/>
        <v>-5.5000000000000014E-2</v>
      </c>
      <c r="U271" s="1">
        <f t="shared" si="3"/>
        <v>2.9101878950019819</v>
      </c>
    </row>
    <row r="272" spans="1:25" ht="13.5" customHeight="1">
      <c r="A272" s="65">
        <v>575.29</v>
      </c>
      <c r="B272" s="65">
        <v>576.26</v>
      </c>
      <c r="C272" s="65">
        <v>572.70000000000005</v>
      </c>
      <c r="D272" s="65">
        <v>573.78</v>
      </c>
      <c r="E272" s="65">
        <v>4920279</v>
      </c>
      <c r="F272" s="65" t="s">
        <v>318</v>
      </c>
      <c r="G272" s="25">
        <f t="shared" si="5"/>
        <v>2.6316706751716712E-3</v>
      </c>
      <c r="I272" s="65">
        <v>9.34</v>
      </c>
      <c r="J272" s="65">
        <v>9.4</v>
      </c>
      <c r="K272" s="65">
        <v>9.0299999999999994</v>
      </c>
      <c r="L272" s="65">
        <v>9.16</v>
      </c>
      <c r="M272" s="65">
        <v>39335040</v>
      </c>
      <c r="N272" s="65" t="s">
        <v>318</v>
      </c>
      <c r="O272" s="25">
        <f t="shared" si="6"/>
        <v>1.9650655021834051E-2</v>
      </c>
      <c r="Q272" s="66">
        <v>-4.2500000000000003E-2</v>
      </c>
      <c r="R272">
        <v>17</v>
      </c>
      <c r="T272" s="56">
        <f t="shared" si="4"/>
        <v>-5.2500000000000012E-2</v>
      </c>
      <c r="U272" s="1">
        <f t="shared" si="3"/>
        <v>3.2957966012008377</v>
      </c>
    </row>
    <row r="273" spans="1:21" ht="13.5" customHeight="1">
      <c r="A273" s="65">
        <v>573.61</v>
      </c>
      <c r="B273" s="65">
        <v>574.26</v>
      </c>
      <c r="C273" s="65">
        <v>570.76</v>
      </c>
      <c r="D273" s="65">
        <v>572.46</v>
      </c>
      <c r="E273" s="65">
        <v>6833139</v>
      </c>
      <c r="F273" s="65" t="s">
        <v>319</v>
      </c>
      <c r="G273" s="25">
        <f t="shared" si="5"/>
        <v>2.0088739824615232E-3</v>
      </c>
      <c r="I273" s="65">
        <v>9.1199999999999992</v>
      </c>
      <c r="J273" s="65">
        <v>9.3800000000000008</v>
      </c>
      <c r="K273" s="65">
        <v>9.0150000000000006</v>
      </c>
      <c r="L273" s="65">
        <v>9.2799999999999994</v>
      </c>
      <c r="M273" s="65">
        <v>41922303</v>
      </c>
      <c r="N273" s="65" t="s">
        <v>319</v>
      </c>
      <c r="O273" s="25">
        <f t="shared" si="6"/>
        <v>-1.7241379310344862E-2</v>
      </c>
      <c r="Q273" s="66">
        <v>-0.04</v>
      </c>
      <c r="R273">
        <v>9</v>
      </c>
      <c r="T273" s="56">
        <f t="shared" si="4"/>
        <v>-5.000000000000001E-2</v>
      </c>
      <c r="U273" s="1">
        <f t="shared" si="3"/>
        <v>3.7112802085596956</v>
      </c>
    </row>
    <row r="274" spans="1:21" ht="13.5" customHeight="1">
      <c r="A274" s="65">
        <v>570.23</v>
      </c>
      <c r="B274" s="65">
        <v>571.83000000000004</v>
      </c>
      <c r="C274" s="65">
        <v>569.48</v>
      </c>
      <c r="D274" s="65">
        <v>571.15</v>
      </c>
      <c r="E274" s="65">
        <v>6916815</v>
      </c>
      <c r="F274" s="65" t="s">
        <v>320</v>
      </c>
      <c r="G274" s="25">
        <f t="shared" si="5"/>
        <v>-1.6107852578131077E-3</v>
      </c>
      <c r="I274" s="65">
        <v>9.32</v>
      </c>
      <c r="J274" s="65">
        <v>9.35</v>
      </c>
      <c r="K274" s="65">
        <v>9.1539999999999999</v>
      </c>
      <c r="L274" s="65">
        <v>9.3000000000000007</v>
      </c>
      <c r="M274" s="65">
        <v>24430493</v>
      </c>
      <c r="N274" s="65" t="s">
        <v>320</v>
      </c>
      <c r="O274" s="25">
        <f t="shared" si="6"/>
        <v>2.1505376344086446E-3</v>
      </c>
      <c r="Q274" s="66">
        <v>-3.7499999999999999E-2</v>
      </c>
      <c r="R274">
        <v>16</v>
      </c>
      <c r="T274" s="56">
        <f t="shared" si="4"/>
        <v>-4.7500000000000007E-2</v>
      </c>
      <c r="U274" s="1">
        <f t="shared" si="3"/>
        <v>4.1553830332871993</v>
      </c>
    </row>
    <row r="275" spans="1:21" ht="13.5" customHeight="1">
      <c r="A275" s="65">
        <v>570.61</v>
      </c>
      <c r="B275" s="65">
        <v>573.59</v>
      </c>
      <c r="C275" s="65">
        <v>567.98</v>
      </c>
      <c r="D275" s="65">
        <v>573</v>
      </c>
      <c r="E275" s="65">
        <v>6347907</v>
      </c>
      <c r="F275" s="65" t="s">
        <v>321</v>
      </c>
      <c r="G275" s="25">
        <f t="shared" si="5"/>
        <v>-4.1710296684118742E-3</v>
      </c>
      <c r="I275" s="65">
        <v>9.19</v>
      </c>
      <c r="J275" s="65">
        <v>9.3299000000000003</v>
      </c>
      <c r="K275" s="65">
        <v>9.1</v>
      </c>
      <c r="L275" s="65">
        <v>9.1549999999999994</v>
      </c>
      <c r="M275" s="65">
        <v>23709612</v>
      </c>
      <c r="N275" s="65" t="s">
        <v>321</v>
      </c>
      <c r="O275" s="25">
        <f t="shared" si="6"/>
        <v>3.8230475150191623E-3</v>
      </c>
      <c r="Q275" s="66">
        <v>-3.4999999999999996E-2</v>
      </c>
      <c r="R275">
        <v>19</v>
      </c>
      <c r="T275" s="56">
        <f t="shared" si="4"/>
        <v>-4.5000000000000005E-2</v>
      </c>
      <c r="U275" s="1">
        <f t="shared" si="3"/>
        <v>4.6261781306653358</v>
      </c>
    </row>
    <row r="276" spans="1:21" ht="13.5" customHeight="1">
      <c r="A276" s="65">
        <v>575.22</v>
      </c>
      <c r="B276" s="65">
        <v>575.66999999999996</v>
      </c>
      <c r="C276" s="65">
        <v>572.13</v>
      </c>
      <c r="D276" s="65">
        <v>572.17999999999995</v>
      </c>
      <c r="E276" s="65">
        <v>4833973</v>
      </c>
      <c r="F276" s="65" t="s">
        <v>322</v>
      </c>
      <c r="G276" s="25">
        <f t="shared" si="5"/>
        <v>5.3130133873957597E-3</v>
      </c>
      <c r="I276" s="65">
        <v>9.27</v>
      </c>
      <c r="J276" s="65">
        <v>9.4600000000000009</v>
      </c>
      <c r="K276" s="65">
        <v>9.19</v>
      </c>
      <c r="L276" s="65">
        <v>9.41</v>
      </c>
      <c r="M276" s="65">
        <v>21780138</v>
      </c>
      <c r="N276" s="65" t="s">
        <v>322</v>
      </c>
      <c r="O276" s="25">
        <f t="shared" si="6"/>
        <v>-1.4877789585547307E-2</v>
      </c>
      <c r="Q276" s="66">
        <v>-3.2499999999999994E-2</v>
      </c>
      <c r="R276">
        <v>31</v>
      </c>
      <c r="T276" s="56">
        <f t="shared" si="4"/>
        <v>-4.2500000000000003E-2</v>
      </c>
      <c r="U276" s="1">
        <f t="shared" si="3"/>
        <v>5.121033451735463</v>
      </c>
    </row>
    <row r="277" spans="1:21" ht="13.5" customHeight="1">
      <c r="A277" s="65">
        <v>570.29</v>
      </c>
      <c r="B277" s="65">
        <v>570.34</v>
      </c>
      <c r="C277" s="65">
        <v>566.80999999999995</v>
      </c>
      <c r="D277" s="65">
        <v>567.37</v>
      </c>
      <c r="E277" s="65">
        <v>6134026</v>
      </c>
      <c r="F277" s="65" t="s">
        <v>323</v>
      </c>
      <c r="G277" s="25">
        <f t="shared" si="5"/>
        <v>5.1465533954913045E-3</v>
      </c>
      <c r="I277" s="65">
        <v>9.3800000000000008</v>
      </c>
      <c r="J277" s="65">
        <v>9.6199999999999992</v>
      </c>
      <c r="K277" s="65">
        <v>9.32</v>
      </c>
      <c r="L277" s="65">
        <v>9.3699999999999992</v>
      </c>
      <c r="M277" s="65">
        <v>47857819</v>
      </c>
      <c r="N277" s="65" t="s">
        <v>323</v>
      </c>
      <c r="O277" s="25">
        <f t="shared" si="6"/>
        <v>1.0672358591250486E-3</v>
      </c>
      <c r="Q277" s="66">
        <v>-2.9999999999999995E-2</v>
      </c>
      <c r="R277">
        <v>21</v>
      </c>
      <c r="T277" s="56">
        <f t="shared" si="4"/>
        <v>-0.04</v>
      </c>
      <c r="U277" s="1">
        <f t="shared" si="3"/>
        <v>5.6365952035447275</v>
      </c>
    </row>
    <row r="278" spans="1:21" ht="13.5" customHeight="1">
      <c r="A278" s="65">
        <v>567.77</v>
      </c>
      <c r="B278" s="65">
        <v>568.79999999999995</v>
      </c>
      <c r="C278" s="65">
        <v>565.79999999999995</v>
      </c>
      <c r="D278" s="65">
        <v>566.55999999999995</v>
      </c>
      <c r="E278" s="65">
        <v>7369350</v>
      </c>
      <c r="F278" s="65" t="s">
        <v>324</v>
      </c>
      <c r="G278" s="25">
        <f t="shared" si="5"/>
        <v>2.1356961310365907E-3</v>
      </c>
      <c r="I278" s="65">
        <v>9.35</v>
      </c>
      <c r="J278" s="65">
        <v>9.5299999999999994</v>
      </c>
      <c r="K278" s="65">
        <v>8.91</v>
      </c>
      <c r="L278" s="65">
        <v>9</v>
      </c>
      <c r="M278" s="65">
        <v>73840572</v>
      </c>
      <c r="N278" s="65" t="s">
        <v>324</v>
      </c>
      <c r="O278" s="25">
        <f t="shared" si="6"/>
        <v>3.8888888888888751E-2</v>
      </c>
      <c r="Q278" s="66">
        <v>-2.7499999999999997E-2</v>
      </c>
      <c r="R278">
        <v>18</v>
      </c>
      <c r="T278" s="56">
        <f t="shared" si="4"/>
        <v>-3.7499999999999999E-2</v>
      </c>
      <c r="U278" s="1">
        <f t="shared" si="3"/>
        <v>6.1687909533132572</v>
      </c>
    </row>
    <row r="279" spans="1:21" ht="13.5" customHeight="1">
      <c r="A279" s="65">
        <v>568.03</v>
      </c>
      <c r="B279" s="65">
        <v>569.15</v>
      </c>
      <c r="C279" s="65">
        <v>565.375</v>
      </c>
      <c r="D279" s="65">
        <v>567.5</v>
      </c>
      <c r="E279" s="65">
        <v>5719188</v>
      </c>
      <c r="F279" s="65" t="s">
        <v>325</v>
      </c>
      <c r="G279" s="25">
        <f t="shared" si="5"/>
        <v>9.3392070484576983E-4</v>
      </c>
      <c r="I279" s="65">
        <v>8.69</v>
      </c>
      <c r="J279" s="65">
        <v>8.86</v>
      </c>
      <c r="K279" s="65">
        <v>8.59</v>
      </c>
      <c r="L279" s="65">
        <v>8.85</v>
      </c>
      <c r="M279" s="65">
        <v>32317025</v>
      </c>
      <c r="N279" s="65" t="s">
        <v>325</v>
      </c>
      <c r="O279" s="25">
        <f t="shared" si="6"/>
        <v>-1.8079096045197751E-2</v>
      </c>
      <c r="Q279" s="66">
        <v>-2.4999999999999998E-2</v>
      </c>
      <c r="R279">
        <v>18</v>
      </c>
      <c r="T279" s="56">
        <f t="shared" si="4"/>
        <v>-3.4999999999999996E-2</v>
      </c>
      <c r="U279" s="1">
        <f t="shared" si="3"/>
        <v>6.7128544711120419</v>
      </c>
    </row>
    <row r="280" spans="1:21" ht="13.5" customHeight="1">
      <c r="A280" s="65">
        <v>566.95000000000005</v>
      </c>
      <c r="B280" s="65">
        <v>568.33000000000004</v>
      </c>
      <c r="C280" s="65">
        <v>563.21</v>
      </c>
      <c r="D280" s="65">
        <v>565.11</v>
      </c>
      <c r="E280" s="65">
        <v>6056524</v>
      </c>
      <c r="F280" s="65" t="s">
        <v>326</v>
      </c>
      <c r="G280" s="25">
        <f t="shared" si="5"/>
        <v>3.2560032560033925E-3</v>
      </c>
      <c r="I280" s="65">
        <v>8.7200000000000006</v>
      </c>
      <c r="J280" s="65">
        <v>8.9499999999999993</v>
      </c>
      <c r="K280" s="65">
        <v>8.23</v>
      </c>
      <c r="L280" s="65">
        <v>8.3000000000000007</v>
      </c>
      <c r="M280" s="65">
        <v>63313578</v>
      </c>
      <c r="N280" s="65" t="s">
        <v>326</v>
      </c>
      <c r="O280" s="25">
        <f t="shared" si="6"/>
        <v>5.0602409638554224E-2</v>
      </c>
      <c r="Q280" s="66">
        <v>-2.2499999999999999E-2</v>
      </c>
      <c r="R280">
        <v>29</v>
      </c>
      <c r="T280" s="56">
        <f t="shared" si="4"/>
        <v>-3.2499999999999994E-2</v>
      </c>
      <c r="U280" s="1">
        <f t="shared" si="3"/>
        <v>7.2633736067540076</v>
      </c>
    </row>
    <row r="281" spans="1:21" ht="13.5" customHeight="1">
      <c r="A281" s="65">
        <v>564.15</v>
      </c>
      <c r="B281" s="65">
        <v>564.54999999999995</v>
      </c>
      <c r="C281" s="65">
        <v>560.96</v>
      </c>
      <c r="D281" s="65">
        <v>561.52</v>
      </c>
      <c r="E281" s="65">
        <v>6081444</v>
      </c>
      <c r="F281" s="65" t="s">
        <v>327</v>
      </c>
      <c r="G281" s="25">
        <f t="shared" si="5"/>
        <v>4.6837156290069348E-3</v>
      </c>
      <c r="I281" s="65">
        <v>8.14</v>
      </c>
      <c r="J281" s="65">
        <v>8.19</v>
      </c>
      <c r="K281" s="65">
        <v>8.01</v>
      </c>
      <c r="L281" s="65">
        <v>8.11</v>
      </c>
      <c r="M281" s="65">
        <v>29046289</v>
      </c>
      <c r="N281" s="65" t="s">
        <v>327</v>
      </c>
      <c r="O281" s="25">
        <f t="shared" si="6"/>
        <v>3.6991368680643344E-3</v>
      </c>
      <c r="Q281" s="66">
        <v>-0.02</v>
      </c>
      <c r="R281">
        <v>36</v>
      </c>
      <c r="T281" s="56">
        <f t="shared" si="4"/>
        <v>-2.9999999999999995E-2</v>
      </c>
      <c r="U281" s="1">
        <f t="shared" ref="U281:U312" si="7">_xlfn.NORM.DIST(T281,$S$240,$S$242,FALSE)</f>
        <v>7.8143616661172253</v>
      </c>
    </row>
    <row r="282" spans="1:21" ht="13.5" customHeight="1">
      <c r="A282" s="65">
        <v>559.72</v>
      </c>
      <c r="B282" s="65">
        <v>561.02</v>
      </c>
      <c r="C282" s="65">
        <v>558.34</v>
      </c>
      <c r="D282" s="65">
        <v>560.52</v>
      </c>
      <c r="E282" s="65">
        <v>16472305</v>
      </c>
      <c r="F282" s="65" t="s">
        <v>328</v>
      </c>
      <c r="G282" s="25">
        <f t="shared" si="5"/>
        <v>-1.4272461285947946E-3</v>
      </c>
      <c r="I282" s="65">
        <v>8.0299999999999994</v>
      </c>
      <c r="J282" s="65">
        <v>8.42</v>
      </c>
      <c r="K282" s="65">
        <v>8</v>
      </c>
      <c r="L282" s="65">
        <v>8.3800000000000008</v>
      </c>
      <c r="M282" s="65">
        <v>45962241</v>
      </c>
      <c r="N282" s="65" t="s">
        <v>328</v>
      </c>
      <c r="O282" s="25">
        <f t="shared" si="6"/>
        <v>-4.1766109785203009E-2</v>
      </c>
      <c r="Q282" s="66">
        <v>-1.7500000000000002E-2</v>
      </c>
      <c r="R282">
        <v>32</v>
      </c>
      <c r="T282" s="56">
        <f t="shared" si="4"/>
        <v>-2.7499999999999997E-2</v>
      </c>
      <c r="U282" s="1">
        <f t="shared" si="7"/>
        <v>8.359351821510856</v>
      </c>
    </row>
    <row r="283" spans="1:21" ht="13.5" customHeight="1">
      <c r="A283" s="65">
        <v>559.44000000000005</v>
      </c>
      <c r="B283" s="65">
        <v>560.42999999999995</v>
      </c>
      <c r="C283" s="65">
        <v>556.37</v>
      </c>
      <c r="D283" s="65">
        <v>557.17999999999995</v>
      </c>
      <c r="E283" s="65">
        <v>6770036</v>
      </c>
      <c r="F283" s="65" t="s">
        <v>329</v>
      </c>
      <c r="G283" s="25">
        <f t="shared" si="5"/>
        <v>4.0561398470873034E-3</v>
      </c>
      <c r="I283" s="65">
        <v>8.32</v>
      </c>
      <c r="J283" s="65">
        <v>8.34</v>
      </c>
      <c r="K283" s="65">
        <v>8.0500000000000007</v>
      </c>
      <c r="L283" s="65">
        <v>8.07</v>
      </c>
      <c r="M283" s="65">
        <v>44830051</v>
      </c>
      <c r="N283" s="65" t="s">
        <v>329</v>
      </c>
      <c r="O283" s="25">
        <f t="shared" si="6"/>
        <v>3.0978934324659146E-2</v>
      </c>
      <c r="Q283" s="66">
        <v>-1.5000000000000001E-2</v>
      </c>
      <c r="R283">
        <v>42</v>
      </c>
      <c r="T283" s="56">
        <f t="shared" si="4"/>
        <v>-2.4999999999999998E-2</v>
      </c>
      <c r="U283" s="1">
        <f t="shared" si="7"/>
        <v>8.891513100302527</v>
      </c>
    </row>
    <row r="284" spans="1:21" ht="13.5" customHeight="1">
      <c r="A284" s="65">
        <v>553.36</v>
      </c>
      <c r="B284" s="65">
        <v>553.70000000000005</v>
      </c>
      <c r="C284" s="65">
        <v>545.75</v>
      </c>
      <c r="D284" s="65">
        <v>548.66</v>
      </c>
      <c r="E284" s="65">
        <v>9691151</v>
      </c>
      <c r="F284" s="65" t="s">
        <v>330</v>
      </c>
      <c r="G284" s="25">
        <f t="shared" si="5"/>
        <v>8.5663252287391245E-3</v>
      </c>
      <c r="I284" s="65">
        <v>7.91</v>
      </c>
      <c r="J284" s="65">
        <v>8.09</v>
      </c>
      <c r="K284" s="65">
        <v>7.75</v>
      </c>
      <c r="L284" s="65">
        <v>7.96</v>
      </c>
      <c r="M284" s="65">
        <v>35314924</v>
      </c>
      <c r="N284" s="65" t="s">
        <v>330</v>
      </c>
      <c r="O284" s="25">
        <f t="shared" si="6"/>
        <v>-6.2814070351758788E-3</v>
      </c>
      <c r="Q284" s="66">
        <v>-1.2500000000000001E-2</v>
      </c>
      <c r="R284">
        <v>44</v>
      </c>
      <c r="T284" s="56">
        <f t="shared" si="4"/>
        <v>-2.2499999999999999E-2</v>
      </c>
      <c r="U284" s="1">
        <f t="shared" si="7"/>
        <v>9.4037854932532099</v>
      </c>
    </row>
    <row r="285" spans="1:21" ht="13.5" customHeight="1">
      <c r="A285" s="65">
        <v>547.72</v>
      </c>
      <c r="B285" s="65">
        <v>552.72</v>
      </c>
      <c r="C285" s="65">
        <v>546.62</v>
      </c>
      <c r="D285" s="65">
        <v>551.72</v>
      </c>
      <c r="E285" s="65">
        <v>9942858</v>
      </c>
      <c r="F285" s="65" t="s">
        <v>331</v>
      </c>
      <c r="G285" s="25">
        <f t="shared" si="5"/>
        <v>-7.2500543754078217E-3</v>
      </c>
      <c r="I285" s="65">
        <v>8.01</v>
      </c>
      <c r="J285" s="65">
        <v>8.34</v>
      </c>
      <c r="K285" s="65">
        <v>8</v>
      </c>
      <c r="L285" s="65">
        <v>8.2799999999999994</v>
      </c>
      <c r="M285" s="65">
        <v>27332384</v>
      </c>
      <c r="N285" s="65" t="s">
        <v>331</v>
      </c>
      <c r="O285" s="25">
        <f t="shared" si="6"/>
        <v>-3.2608695652173836E-2</v>
      </c>
      <c r="Q285" s="66">
        <v>-0.01</v>
      </c>
      <c r="R285">
        <v>39</v>
      </c>
      <c r="T285" s="56">
        <f t="shared" si="4"/>
        <v>-0.02</v>
      </c>
      <c r="U285" s="1">
        <f t="shared" si="7"/>
        <v>9.8890307608495647</v>
      </c>
    </row>
    <row r="286" spans="1:21" ht="13.5" customHeight="1">
      <c r="A286" s="65">
        <v>549.24</v>
      </c>
      <c r="B286" s="65">
        <v>552.71</v>
      </c>
      <c r="C286" s="65">
        <v>548.39</v>
      </c>
      <c r="D286" s="65">
        <v>550.16</v>
      </c>
      <c r="E286" s="65">
        <v>4602329</v>
      </c>
      <c r="F286" s="65" t="s">
        <v>332</v>
      </c>
      <c r="G286" s="25">
        <f t="shared" si="5"/>
        <v>-1.6722408026754731E-3</v>
      </c>
      <c r="I286" s="65">
        <v>8.23</v>
      </c>
      <c r="J286" s="65">
        <v>8.32</v>
      </c>
      <c r="K286" s="65">
        <v>8.1</v>
      </c>
      <c r="L286" s="65">
        <v>8.14</v>
      </c>
      <c r="M286" s="65">
        <v>27627972</v>
      </c>
      <c r="N286" s="65" t="s">
        <v>332</v>
      </c>
      <c r="O286" s="25">
        <f t="shared" si="6"/>
        <v>1.1056511056511065E-2</v>
      </c>
      <c r="Q286" s="66">
        <v>-7.4999999999999997E-3</v>
      </c>
      <c r="R286">
        <v>43</v>
      </c>
      <c r="T286" s="56">
        <f t="shared" si="4"/>
        <v>-1.7500000000000002E-2</v>
      </c>
      <c r="U286" s="1">
        <f t="shared" si="7"/>
        <v>10.340194645987964</v>
      </c>
    </row>
    <row r="287" spans="1:21" ht="13.5" customHeight="1">
      <c r="A287" s="65">
        <v>549.35</v>
      </c>
      <c r="B287" s="65">
        <v>553.16</v>
      </c>
      <c r="C287" s="65">
        <v>548.63499999999999</v>
      </c>
      <c r="D287" s="65">
        <v>551.79</v>
      </c>
      <c r="E287" s="65">
        <v>4753344</v>
      </c>
      <c r="F287" s="65" t="s">
        <v>333</v>
      </c>
      <c r="G287" s="25">
        <f t="shared" si="5"/>
        <v>-4.4219721270771783E-3</v>
      </c>
      <c r="I287" s="65">
        <v>8.18</v>
      </c>
      <c r="J287" s="65">
        <v>8.33</v>
      </c>
      <c r="K287" s="65">
        <v>8.1150000000000002</v>
      </c>
      <c r="L287" s="65">
        <v>8.14</v>
      </c>
      <c r="M287" s="65">
        <v>20844367</v>
      </c>
      <c r="N287" s="65" t="s">
        <v>333</v>
      </c>
      <c r="O287" s="25">
        <f t="shared" si="6"/>
        <v>4.9140049140048436E-3</v>
      </c>
      <c r="Q287" s="66">
        <v>-5.0000000000000001E-3</v>
      </c>
      <c r="R287">
        <v>42</v>
      </c>
      <c r="T287" s="56">
        <f t="shared" si="4"/>
        <v>-1.5000000000000001E-2</v>
      </c>
      <c r="U287" s="1">
        <f t="shared" si="7"/>
        <v>10.750475476528965</v>
      </c>
    </row>
    <row r="288" spans="1:21" ht="13.5" customHeight="1">
      <c r="A288" s="65">
        <v>554.07000000000005</v>
      </c>
      <c r="B288" s="65">
        <v>555.69000000000005</v>
      </c>
      <c r="C288" s="65">
        <v>551.87</v>
      </c>
      <c r="D288" s="65">
        <v>551.94000000000005</v>
      </c>
      <c r="E288" s="65">
        <v>7421327</v>
      </c>
      <c r="F288" s="65" t="s">
        <v>334</v>
      </c>
      <c r="G288" s="25">
        <f t="shared" si="5"/>
        <v>3.8591151212088448E-3</v>
      </c>
      <c r="I288" s="65">
        <v>8.27</v>
      </c>
      <c r="J288" s="65">
        <v>8.2850000000000001</v>
      </c>
      <c r="K288" s="65">
        <v>7.89</v>
      </c>
      <c r="L288" s="65">
        <v>8.0399999999999991</v>
      </c>
      <c r="M288" s="65">
        <v>39534026</v>
      </c>
      <c r="N288" s="65" t="s">
        <v>334</v>
      </c>
      <c r="O288" s="25">
        <f t="shared" si="6"/>
        <v>2.8606965174129417E-2</v>
      </c>
      <c r="Q288" s="66">
        <v>-2.5000000000000001E-3</v>
      </c>
      <c r="R288">
        <v>40</v>
      </c>
      <c r="T288" s="56">
        <f t="shared" si="4"/>
        <v>-1.2500000000000001E-2</v>
      </c>
      <c r="U288" s="1">
        <f t="shared" si="7"/>
        <v>11.113493608226312</v>
      </c>
    </row>
    <row r="289" spans="1:21" ht="13.5" customHeight="1">
      <c r="A289" s="65">
        <v>548.77</v>
      </c>
      <c r="B289" s="65">
        <v>553.245</v>
      </c>
      <c r="C289" s="65">
        <v>547.41</v>
      </c>
      <c r="D289" s="65">
        <v>550.24</v>
      </c>
      <c r="E289" s="65">
        <v>7062316</v>
      </c>
      <c r="F289" s="65" t="s">
        <v>335</v>
      </c>
      <c r="G289" s="25">
        <f t="shared" si="5"/>
        <v>-2.671561500436237E-3</v>
      </c>
      <c r="I289" s="65">
        <v>7.94</v>
      </c>
      <c r="J289" s="65">
        <v>8.23</v>
      </c>
      <c r="K289" s="65">
        <v>7.9</v>
      </c>
      <c r="L289" s="65">
        <v>8.1349999999999998</v>
      </c>
      <c r="M289" s="65">
        <v>37667986</v>
      </c>
      <c r="N289" s="65" t="s">
        <v>335</v>
      </c>
      <c r="O289" s="25">
        <f t="shared" si="6"/>
        <v>-2.3970497848801453E-2</v>
      </c>
      <c r="Q289" s="66">
        <v>0</v>
      </c>
      <c r="R289">
        <v>47</v>
      </c>
      <c r="T289" s="56">
        <f t="shared" si="4"/>
        <v>-0.01</v>
      </c>
      <c r="U289" s="1">
        <f t="shared" si="7"/>
        <v>11.423455855602919</v>
      </c>
    </row>
    <row r="290" spans="1:21" ht="13.5" customHeight="1">
      <c r="A290" s="65">
        <v>554.95000000000005</v>
      </c>
      <c r="B290" s="65">
        <v>555</v>
      </c>
      <c r="C290" s="65">
        <v>551.13220000000001</v>
      </c>
      <c r="D290" s="65">
        <v>551.6</v>
      </c>
      <c r="E290" s="65">
        <v>8422943</v>
      </c>
      <c r="F290" s="65" t="s">
        <v>336</v>
      </c>
      <c r="G290" s="25">
        <f t="shared" si="5"/>
        <v>6.0732414793329692E-3</v>
      </c>
      <c r="I290" s="65">
        <v>8.3000000000000007</v>
      </c>
      <c r="J290" s="65">
        <v>8.52</v>
      </c>
      <c r="K290" s="65">
        <v>8.24</v>
      </c>
      <c r="L290" s="65">
        <v>8.4700000000000006</v>
      </c>
      <c r="M290" s="65">
        <v>30086313</v>
      </c>
      <c r="N290" s="65" t="s">
        <v>336</v>
      </c>
      <c r="O290" s="25">
        <f t="shared" si="6"/>
        <v>-2.0070838252656431E-2</v>
      </c>
      <c r="Q290" s="66">
        <v>2.5000000000000001E-3</v>
      </c>
      <c r="R290">
        <v>32</v>
      </c>
      <c r="T290" s="56">
        <f t="shared" si="4"/>
        <v>-7.4999999999999997E-3</v>
      </c>
      <c r="U290" s="1">
        <f t="shared" si="7"/>
        <v>11.675309012407483</v>
      </c>
    </row>
    <row r="291" spans="1:21" ht="13.5" customHeight="1">
      <c r="A291" s="65">
        <v>552.86</v>
      </c>
      <c r="B291" s="65">
        <v>556.22500000000002</v>
      </c>
      <c r="C291" s="65">
        <v>550.91</v>
      </c>
      <c r="D291" s="65">
        <v>555.41</v>
      </c>
      <c r="E291" s="65">
        <v>20800557</v>
      </c>
      <c r="F291" s="65" t="s">
        <v>337</v>
      </c>
      <c r="G291" s="25">
        <f t="shared" si="5"/>
        <v>-4.5912028951584638E-3</v>
      </c>
      <c r="I291" s="65">
        <v>8.57</v>
      </c>
      <c r="J291" s="65">
        <v>8.9499999999999993</v>
      </c>
      <c r="K291" s="65">
        <v>8.52</v>
      </c>
      <c r="L291" s="65">
        <v>8.5649999999999995</v>
      </c>
      <c r="M291" s="65">
        <v>31720443</v>
      </c>
      <c r="N291" s="65" t="s">
        <v>337</v>
      </c>
      <c r="O291" s="25">
        <f t="shared" si="6"/>
        <v>5.8377116170471588E-4</v>
      </c>
      <c r="Q291" s="66">
        <v>5.0000000000000001E-3</v>
      </c>
      <c r="R291">
        <v>45</v>
      </c>
      <c r="T291" s="56">
        <f t="shared" si="4"/>
        <v>-5.0000000000000001E-3</v>
      </c>
      <c r="U291" s="1">
        <f t="shared" si="7"/>
        <v>11.864876787636314</v>
      </c>
    </row>
    <row r="292" spans="1:21" ht="13.5" customHeight="1">
      <c r="A292" s="65">
        <v>554.39</v>
      </c>
      <c r="B292" s="65">
        <v>554.74</v>
      </c>
      <c r="C292" s="65">
        <v>550.74</v>
      </c>
      <c r="D292" s="65">
        <v>551.78</v>
      </c>
      <c r="E292" s="65">
        <v>5951290</v>
      </c>
      <c r="F292" s="65" t="s">
        <v>338</v>
      </c>
      <c r="G292" s="25">
        <f t="shared" si="5"/>
        <v>4.7301460727102729E-3</v>
      </c>
      <c r="I292" s="65">
        <v>8.49</v>
      </c>
      <c r="J292" s="65">
        <v>8.83</v>
      </c>
      <c r="K292" s="65">
        <v>8.35</v>
      </c>
      <c r="L292" s="65">
        <v>8.4649999999999999</v>
      </c>
      <c r="M292" s="65">
        <v>38665062</v>
      </c>
      <c r="N292" s="65" t="s">
        <v>338</v>
      </c>
      <c r="O292" s="25">
        <f t="shared" si="6"/>
        <v>2.9533372711163519E-3</v>
      </c>
      <c r="Q292" s="66">
        <v>7.4999999999999997E-3</v>
      </c>
      <c r="R292">
        <v>38</v>
      </c>
      <c r="T292" s="56">
        <f t="shared" si="4"/>
        <v>-2.5000000000000001E-3</v>
      </c>
      <c r="U292" s="1">
        <f t="shared" si="7"/>
        <v>11.988974976011747</v>
      </c>
    </row>
    <row r="293" spans="1:21" ht="13.5" customHeight="1">
      <c r="A293" s="65">
        <v>551.25</v>
      </c>
      <c r="B293" s="65">
        <v>552.70000000000005</v>
      </c>
      <c r="C293" s="65">
        <v>550.20000000000005</v>
      </c>
      <c r="D293" s="65">
        <v>551.29999999999995</v>
      </c>
      <c r="E293" s="65">
        <v>4482378</v>
      </c>
      <c r="F293" s="65" t="s">
        <v>339</v>
      </c>
      <c r="G293" s="25">
        <f t="shared" si="5"/>
        <v>-9.0694721567086134E-5</v>
      </c>
      <c r="I293" s="65">
        <v>8.5</v>
      </c>
      <c r="J293" s="65">
        <v>8.6649999999999991</v>
      </c>
      <c r="K293" s="65">
        <v>8.32</v>
      </c>
      <c r="L293" s="65">
        <v>8.35</v>
      </c>
      <c r="M293" s="65">
        <v>33797273</v>
      </c>
      <c r="N293" s="65" t="s">
        <v>339</v>
      </c>
      <c r="O293" s="25">
        <f t="shared" si="6"/>
        <v>1.7964071856287456E-2</v>
      </c>
      <c r="Q293" s="66">
        <v>0.01</v>
      </c>
      <c r="R293">
        <v>44</v>
      </c>
      <c r="T293" s="56">
        <v>0</v>
      </c>
      <c r="U293" s="1">
        <f t="shared" si="7"/>
        <v>12.045500426065413</v>
      </c>
    </row>
    <row r="294" spans="1:21" ht="13.5" customHeight="1">
      <c r="A294" s="65">
        <v>550.66</v>
      </c>
      <c r="B294" s="65">
        <v>552.32000000000005</v>
      </c>
      <c r="C294" s="65">
        <v>548.69989999999996</v>
      </c>
      <c r="D294" s="65">
        <v>550.29999999999995</v>
      </c>
      <c r="E294" s="65">
        <v>4712599</v>
      </c>
      <c r="F294" s="65" t="s">
        <v>340</v>
      </c>
      <c r="G294" s="25">
        <f t="shared" si="5"/>
        <v>6.5418862438670899E-4</v>
      </c>
      <c r="I294" s="65">
        <v>8.27</v>
      </c>
      <c r="J294" s="65">
        <v>8.375</v>
      </c>
      <c r="K294" s="65">
        <v>8.17</v>
      </c>
      <c r="L294" s="65">
        <v>8.3000000000000007</v>
      </c>
      <c r="M294" s="65">
        <v>26324408</v>
      </c>
      <c r="N294" s="65" t="s">
        <v>340</v>
      </c>
      <c r="O294" s="25">
        <f t="shared" si="6"/>
        <v>-3.6144578313254128E-3</v>
      </c>
      <c r="Q294" s="66">
        <v>1.2500000000000001E-2</v>
      </c>
      <c r="R294">
        <v>39</v>
      </c>
      <c r="T294" s="25">
        <f t="shared" ref="T294:T333" si="8">T293+0.0025</f>
        <v>2.5000000000000001E-3</v>
      </c>
      <c r="U294" s="1">
        <f t="shared" si="7"/>
        <v>12.033490332514795</v>
      </c>
    </row>
    <row r="295" spans="1:21" ht="13.5" customHeight="1">
      <c r="A295" s="65">
        <v>545.09</v>
      </c>
      <c r="B295" s="65">
        <v>550.63</v>
      </c>
      <c r="C295" s="65">
        <v>543.33749999999998</v>
      </c>
      <c r="D295" s="65">
        <v>549.48</v>
      </c>
      <c r="E295" s="65">
        <v>6334538</v>
      </c>
      <c r="F295" s="65" t="s">
        <v>341</v>
      </c>
      <c r="G295" s="25">
        <f t="shared" si="5"/>
        <v>-7.9893717696730704E-3</v>
      </c>
      <c r="I295" s="65">
        <v>8.1999999999999993</v>
      </c>
      <c r="J295" s="65">
        <v>8.5399999999999991</v>
      </c>
      <c r="K295" s="65">
        <v>8.08</v>
      </c>
      <c r="L295" s="65">
        <v>8.48</v>
      </c>
      <c r="M295" s="65">
        <v>34258066</v>
      </c>
      <c r="N295" s="65" t="s">
        <v>341</v>
      </c>
      <c r="O295" s="25">
        <f t="shared" si="6"/>
        <v>-3.3018867924528461E-2</v>
      </c>
      <c r="Q295" s="66">
        <v>1.5000000000000001E-2</v>
      </c>
      <c r="R295">
        <v>38</v>
      </c>
      <c r="T295" s="25">
        <f t="shared" si="8"/>
        <v>5.0000000000000001E-3</v>
      </c>
      <c r="U295" s="1">
        <f t="shared" si="7"/>
        <v>11.953149517160451</v>
      </c>
    </row>
    <row r="296" spans="1:21" ht="13.5" customHeight="1">
      <c r="A296" s="65">
        <v>547.65</v>
      </c>
      <c r="B296" s="65">
        <v>549.65</v>
      </c>
      <c r="C296" s="65">
        <v>547.44259999999997</v>
      </c>
      <c r="D296" s="65">
        <v>548.75</v>
      </c>
      <c r="E296" s="65">
        <v>4510272</v>
      </c>
      <c r="F296" s="65" t="s">
        <v>342</v>
      </c>
      <c r="G296" s="25">
        <f t="shared" si="5"/>
        <v>-2.0045558086561055E-3</v>
      </c>
      <c r="I296" s="65">
        <v>8.4499999999999993</v>
      </c>
      <c r="J296" s="65">
        <v>8.6300000000000008</v>
      </c>
      <c r="K296" s="65">
        <v>8.2850000000000001</v>
      </c>
      <c r="L296" s="65">
        <v>8.375</v>
      </c>
      <c r="M296" s="65">
        <v>25281378</v>
      </c>
      <c r="N296" s="65" t="s">
        <v>342</v>
      </c>
      <c r="O296" s="25">
        <f t="shared" si="6"/>
        <v>8.9552238805969964E-3</v>
      </c>
      <c r="Q296" s="66">
        <v>1.7500000000000002E-2</v>
      </c>
      <c r="R296">
        <v>46</v>
      </c>
      <c r="T296" s="25">
        <f t="shared" si="8"/>
        <v>7.4999999999999997E-3</v>
      </c>
      <c r="U296" s="1">
        <f t="shared" si="7"/>
        <v>11.805844618152081</v>
      </c>
    </row>
    <row r="297" spans="1:21" ht="13.5" customHeight="1">
      <c r="A297" s="65">
        <v>548</v>
      </c>
      <c r="B297" s="65">
        <v>548.87</v>
      </c>
      <c r="C297" s="65">
        <v>544.09</v>
      </c>
      <c r="D297" s="65">
        <v>544.53</v>
      </c>
      <c r="E297" s="65">
        <v>4968649</v>
      </c>
      <c r="F297" s="65" t="s">
        <v>343</v>
      </c>
      <c r="G297" s="25">
        <f t="shared" si="5"/>
        <v>6.3724679999266343E-3</v>
      </c>
      <c r="I297" s="65">
        <v>8.3699999999999992</v>
      </c>
      <c r="J297" s="65">
        <v>8.4350000000000005</v>
      </c>
      <c r="K297" s="65">
        <v>8.06</v>
      </c>
      <c r="L297" s="65">
        <v>8.2200000000000006</v>
      </c>
      <c r="M297" s="65">
        <v>26079906</v>
      </c>
      <c r="N297" s="65" t="s">
        <v>343</v>
      </c>
      <c r="O297" s="25">
        <f t="shared" si="6"/>
        <v>1.8248175182481674E-2</v>
      </c>
      <c r="Q297" s="66">
        <v>0.02</v>
      </c>
      <c r="R297">
        <v>31</v>
      </c>
      <c r="T297" s="25">
        <f t="shared" si="8"/>
        <v>0.01</v>
      </c>
      <c r="U297" s="1">
        <f t="shared" si="7"/>
        <v>11.594065417974893</v>
      </c>
    </row>
    <row r="298" spans="1:21" ht="13.5" customHeight="1">
      <c r="A298" s="65">
        <v>544.91</v>
      </c>
      <c r="B298" s="65">
        <v>544.91</v>
      </c>
      <c r="C298" s="65">
        <v>537.79999999999995</v>
      </c>
      <c r="D298" s="65">
        <v>540.25</v>
      </c>
      <c r="E298" s="65">
        <v>5900870</v>
      </c>
      <c r="F298" s="65" t="s">
        <v>344</v>
      </c>
      <c r="G298" s="25">
        <f t="shared" si="5"/>
        <v>8.6256362795000818E-3</v>
      </c>
      <c r="I298" s="65">
        <v>8.1999999999999993</v>
      </c>
      <c r="J298" s="65">
        <v>8.2899999999999991</v>
      </c>
      <c r="K298" s="65">
        <v>8.0534999999999997</v>
      </c>
      <c r="L298" s="65">
        <v>8.18</v>
      </c>
      <c r="M298" s="65">
        <v>20368303</v>
      </c>
      <c r="N298" s="65" t="s">
        <v>344</v>
      </c>
      <c r="O298" s="25">
        <f t="shared" si="6"/>
        <v>2.4449877750609694E-3</v>
      </c>
      <c r="Q298" s="66">
        <v>2.2499999999999999E-2</v>
      </c>
      <c r="R298">
        <v>37</v>
      </c>
      <c r="T298" s="25">
        <f t="shared" si="8"/>
        <v>1.2500000000000001E-2</v>
      </c>
      <c r="U298" s="1">
        <f t="shared" si="7"/>
        <v>11.321354839292646</v>
      </c>
    </row>
    <row r="299" spans="1:21" ht="13.5" customHeight="1">
      <c r="A299" s="65">
        <v>541.76</v>
      </c>
      <c r="B299" s="65">
        <v>543.39</v>
      </c>
      <c r="C299" s="65">
        <v>536.16</v>
      </c>
      <c r="D299" s="65">
        <v>541.35</v>
      </c>
      <c r="E299" s="65">
        <v>6160101</v>
      </c>
      <c r="F299" s="65" t="s">
        <v>345</v>
      </c>
      <c r="G299" s="25">
        <f t="shared" si="5"/>
        <v>7.5736584464758394E-4</v>
      </c>
      <c r="I299" s="65">
        <v>8.25</v>
      </c>
      <c r="J299" s="65">
        <v>8.25</v>
      </c>
      <c r="K299" s="65">
        <v>8</v>
      </c>
      <c r="L299" s="65">
        <v>8.23</v>
      </c>
      <c r="M299" s="65">
        <v>26977821</v>
      </c>
      <c r="N299" s="65" t="s">
        <v>345</v>
      </c>
      <c r="O299" s="25">
        <f t="shared" si="6"/>
        <v>2.430133657351119E-3</v>
      </c>
      <c r="Q299" s="66">
        <v>2.4999999999999998E-2</v>
      </c>
      <c r="R299">
        <v>28</v>
      </c>
      <c r="T299" s="25">
        <f t="shared" si="8"/>
        <v>1.5000000000000001E-2</v>
      </c>
      <c r="U299" s="1">
        <f t="shared" si="7"/>
        <v>10.992210358975964</v>
      </c>
    </row>
    <row r="300" spans="1:21" ht="13.5" customHeight="1">
      <c r="A300" s="65">
        <v>542.32000000000005</v>
      </c>
      <c r="B300" s="65">
        <v>545.28</v>
      </c>
      <c r="C300" s="65">
        <v>538.74</v>
      </c>
      <c r="D300" s="65">
        <v>545.15</v>
      </c>
      <c r="E300" s="65">
        <v>4668939</v>
      </c>
      <c r="F300" s="65" t="s">
        <v>346</v>
      </c>
      <c r="G300" s="25">
        <f t="shared" si="5"/>
        <v>-5.1912317710720579E-3</v>
      </c>
      <c r="I300" s="65">
        <v>8.2799999999999994</v>
      </c>
      <c r="J300" s="65">
        <v>8.48</v>
      </c>
      <c r="K300" s="65">
        <v>8.2100000000000009</v>
      </c>
      <c r="L300" s="65">
        <v>8.4649999999999999</v>
      </c>
      <c r="M300" s="65">
        <v>22364428</v>
      </c>
      <c r="N300" s="65" t="s">
        <v>346</v>
      </c>
      <c r="O300" s="25">
        <f t="shared" si="6"/>
        <v>-2.1854695806261093E-2</v>
      </c>
      <c r="Q300" s="66">
        <v>2.7499999999999997E-2</v>
      </c>
      <c r="R300">
        <v>25</v>
      </c>
      <c r="T300" s="25">
        <f t="shared" si="8"/>
        <v>1.7500000000000002E-2</v>
      </c>
      <c r="U300" s="1">
        <f t="shared" si="7"/>
        <v>10.611960673173964</v>
      </c>
    </row>
    <row r="301" spans="1:21" ht="13.5" customHeight="1">
      <c r="A301" s="65">
        <v>540.24</v>
      </c>
      <c r="B301" s="65">
        <v>544.9</v>
      </c>
      <c r="C301" s="65">
        <v>539.61</v>
      </c>
      <c r="D301" s="65">
        <v>543.79</v>
      </c>
      <c r="E301" s="65">
        <v>4806244</v>
      </c>
      <c r="F301" s="65" t="s">
        <v>347</v>
      </c>
      <c r="G301" s="25">
        <f t="shared" si="5"/>
        <v>-6.5282553927066278E-3</v>
      </c>
      <c r="I301" s="65">
        <v>8.34</v>
      </c>
      <c r="J301" s="65">
        <v>8.5</v>
      </c>
      <c r="K301" s="65">
        <v>8.3222000000000005</v>
      </c>
      <c r="L301" s="65">
        <v>8.43</v>
      </c>
      <c r="M301" s="65">
        <v>19492746</v>
      </c>
      <c r="N301" s="65" t="s">
        <v>347</v>
      </c>
      <c r="O301" s="25">
        <f t="shared" si="6"/>
        <v>-1.0676156583629859E-2</v>
      </c>
      <c r="Q301" s="66">
        <v>2.9999999999999995E-2</v>
      </c>
      <c r="R301">
        <v>25</v>
      </c>
      <c r="T301" s="25">
        <f t="shared" si="8"/>
        <v>0.02</v>
      </c>
      <c r="U301" s="1">
        <f t="shared" si="7"/>
        <v>10.18662233761075</v>
      </c>
    </row>
    <row r="302" spans="1:21" ht="13.5" customHeight="1">
      <c r="A302" s="65">
        <v>543.34</v>
      </c>
      <c r="B302" s="65">
        <v>543.52</v>
      </c>
      <c r="C302" s="65">
        <v>537.17999999999995</v>
      </c>
      <c r="D302" s="65">
        <v>538.72</v>
      </c>
      <c r="E302" s="65">
        <v>6086299</v>
      </c>
      <c r="F302" s="65" t="s">
        <v>348</v>
      </c>
      <c r="G302" s="25">
        <f t="shared" si="5"/>
        <v>8.5758835758835694E-3</v>
      </c>
      <c r="I302" s="65">
        <v>8.42</v>
      </c>
      <c r="J302" s="65">
        <v>8.4499999999999993</v>
      </c>
      <c r="K302" s="65">
        <v>8.25</v>
      </c>
      <c r="L302" s="65">
        <v>8.34</v>
      </c>
      <c r="M302" s="65">
        <v>23419471</v>
      </c>
      <c r="N302" s="65" t="s">
        <v>348</v>
      </c>
      <c r="O302" s="25">
        <f t="shared" si="6"/>
        <v>9.5923261390886694E-3</v>
      </c>
      <c r="Q302" s="66">
        <v>3.2499999999999994E-2</v>
      </c>
      <c r="R302">
        <v>32</v>
      </c>
      <c r="T302" s="25">
        <f t="shared" si="8"/>
        <v>2.2499999999999999E-2</v>
      </c>
      <c r="U302" s="1">
        <f t="shared" si="7"/>
        <v>9.7227417664985634</v>
      </c>
    </row>
    <row r="303" spans="1:21" ht="13.5" customHeight="1">
      <c r="A303" s="65">
        <v>532.4</v>
      </c>
      <c r="B303" s="65">
        <v>534.80989999999997</v>
      </c>
      <c r="C303" s="65">
        <v>529.11</v>
      </c>
      <c r="D303" s="65">
        <v>529.42999999999995</v>
      </c>
      <c r="E303" s="65">
        <v>6455875</v>
      </c>
      <c r="F303" s="65" t="s">
        <v>349</v>
      </c>
      <c r="G303" s="25">
        <f t="shared" si="5"/>
        <v>5.6098067733223456E-3</v>
      </c>
      <c r="I303" s="65">
        <v>8.23</v>
      </c>
      <c r="J303" s="65">
        <v>8.34</v>
      </c>
      <c r="K303" s="65">
        <v>8.1999999999999993</v>
      </c>
      <c r="L303" s="65">
        <v>8.24</v>
      </c>
      <c r="M303" s="65">
        <v>18213072</v>
      </c>
      <c r="N303" s="65" t="s">
        <v>349</v>
      </c>
      <c r="O303" s="25">
        <f t="shared" si="6"/>
        <v>-1.2135922330096527E-3</v>
      </c>
      <c r="Q303" s="66">
        <v>3.4999999999999996E-2</v>
      </c>
      <c r="R303">
        <v>16</v>
      </c>
      <c r="T303" s="25">
        <f t="shared" si="8"/>
        <v>2.4999999999999998E-2</v>
      </c>
      <c r="U303" s="1">
        <f t="shared" si="7"/>
        <v>9.2272283735545084</v>
      </c>
    </row>
    <row r="304" spans="1:21" ht="13.5" customHeight="1">
      <c r="A304" s="65">
        <v>536.02</v>
      </c>
      <c r="B304" s="65">
        <v>539.22500000000002</v>
      </c>
      <c r="C304" s="65">
        <v>534.44000000000005</v>
      </c>
      <c r="D304" s="65">
        <v>535.6</v>
      </c>
      <c r="E304" s="65">
        <v>5816572</v>
      </c>
      <c r="F304" s="65" t="s">
        <v>350</v>
      </c>
      <c r="G304" s="25">
        <f t="shared" si="5"/>
        <v>7.8416728902164223E-4</v>
      </c>
      <c r="I304" s="65">
        <v>8.43</v>
      </c>
      <c r="J304" s="65">
        <v>8.4700000000000006</v>
      </c>
      <c r="K304" s="65">
        <v>8.1649999999999991</v>
      </c>
      <c r="L304" s="65">
        <v>8.3049999999999997</v>
      </c>
      <c r="M304" s="65">
        <v>25250138</v>
      </c>
      <c r="N304" s="65" t="s">
        <v>350</v>
      </c>
      <c r="O304" s="25">
        <f t="shared" si="6"/>
        <v>1.5051173991571298E-2</v>
      </c>
      <c r="Q304" s="66">
        <v>3.7499999999999999E-2</v>
      </c>
      <c r="R304">
        <v>16</v>
      </c>
      <c r="T304" s="25">
        <f t="shared" si="8"/>
        <v>2.7499999999999997E-2</v>
      </c>
      <c r="U304" s="1">
        <f t="shared" si="7"/>
        <v>8.7071847677811007</v>
      </c>
    </row>
    <row r="305" spans="1:21" ht="13.5" customHeight="1">
      <c r="A305" s="65">
        <v>535.77</v>
      </c>
      <c r="B305" s="65">
        <v>544.69050000000004</v>
      </c>
      <c r="C305" s="65">
        <v>534.82000000000005</v>
      </c>
      <c r="D305" s="65">
        <v>540.91</v>
      </c>
      <c r="E305" s="65">
        <v>6339491</v>
      </c>
      <c r="F305" s="65" t="s">
        <v>351</v>
      </c>
      <c r="G305" s="25">
        <f t="shared" si="5"/>
        <v>-9.5025050378065856E-3</v>
      </c>
      <c r="I305" s="65">
        <v>8.2799999999999994</v>
      </c>
      <c r="J305" s="65">
        <v>8.58</v>
      </c>
      <c r="K305" s="65">
        <v>8.23</v>
      </c>
      <c r="L305" s="65">
        <v>8.48</v>
      </c>
      <c r="M305" s="65">
        <v>26762077</v>
      </c>
      <c r="N305" s="65" t="s">
        <v>351</v>
      </c>
      <c r="O305" s="25">
        <f t="shared" si="6"/>
        <v>-2.358490566037752E-2</v>
      </c>
      <c r="Q305" s="66">
        <v>0.04</v>
      </c>
      <c r="R305">
        <v>16</v>
      </c>
      <c r="T305" s="25">
        <f t="shared" si="8"/>
        <v>2.9999999999999995E-2</v>
      </c>
      <c r="U305" s="1">
        <f t="shared" si="7"/>
        <v>8.169739778551234</v>
      </c>
    </row>
    <row r="306" spans="1:21" ht="13.5" customHeight="1">
      <c r="A306" s="65">
        <v>544.88</v>
      </c>
      <c r="B306" s="65">
        <v>546.05999999999995</v>
      </c>
      <c r="C306" s="65">
        <v>541.99</v>
      </c>
      <c r="D306" s="65">
        <v>545.22</v>
      </c>
      <c r="E306" s="65">
        <v>7158205</v>
      </c>
      <c r="F306" s="65" t="s">
        <v>352</v>
      </c>
      <c r="G306" s="25">
        <f t="shared" si="5"/>
        <v>-6.2360148197060372E-4</v>
      </c>
      <c r="I306" s="65">
        <v>8.5299999999999994</v>
      </c>
      <c r="J306" s="65">
        <v>8.6906999999999996</v>
      </c>
      <c r="K306" s="65">
        <v>8.4350000000000005</v>
      </c>
      <c r="L306" s="65">
        <v>8.65</v>
      </c>
      <c r="M306" s="65">
        <v>28383334</v>
      </c>
      <c r="N306" s="65" t="s">
        <v>352</v>
      </c>
      <c r="O306" s="25">
        <f t="shared" si="6"/>
        <v>-1.3872832369942301E-2</v>
      </c>
      <c r="Q306" s="66">
        <v>4.2500000000000003E-2</v>
      </c>
      <c r="R306">
        <v>15</v>
      </c>
      <c r="T306" s="25">
        <f t="shared" si="8"/>
        <v>3.2499999999999994E-2</v>
      </c>
      <c r="U306" s="1">
        <f t="shared" si="7"/>
        <v>7.6218896973938222</v>
      </c>
    </row>
    <row r="307" spans="1:21" ht="13.5" customHeight="1">
      <c r="A307" s="65">
        <v>546.82000000000005</v>
      </c>
      <c r="B307" s="65">
        <v>547.45000000000005</v>
      </c>
      <c r="C307" s="65">
        <v>540.58000000000004</v>
      </c>
      <c r="D307" s="65">
        <v>540.63</v>
      </c>
      <c r="E307" s="65">
        <v>7766058</v>
      </c>
      <c r="F307" s="65" t="s">
        <v>353</v>
      </c>
      <c r="G307" s="25">
        <f t="shared" si="5"/>
        <v>1.144960509035764E-2</v>
      </c>
      <c r="I307" s="65">
        <v>8.68</v>
      </c>
      <c r="J307" s="65">
        <v>8.81</v>
      </c>
      <c r="K307" s="65">
        <v>8.4250000000000007</v>
      </c>
      <c r="L307" s="65">
        <v>8.4450000000000003</v>
      </c>
      <c r="M307" s="65">
        <v>26112390</v>
      </c>
      <c r="N307" s="65" t="s">
        <v>353</v>
      </c>
      <c r="O307" s="25">
        <f t="shared" si="6"/>
        <v>2.7827116637063387E-2</v>
      </c>
      <c r="Q307" s="66">
        <v>4.5000000000000005E-2</v>
      </c>
      <c r="R307">
        <v>11</v>
      </c>
      <c r="T307" s="25">
        <f t="shared" si="8"/>
        <v>3.4999999999999996E-2</v>
      </c>
      <c r="U307" s="1">
        <f t="shared" si="7"/>
        <v>7.07035251888421</v>
      </c>
    </row>
    <row r="308" spans="1:21" ht="13.5" customHeight="1">
      <c r="A308" s="65">
        <v>546.26</v>
      </c>
      <c r="B308" s="65">
        <v>546.47</v>
      </c>
      <c r="C308" s="65">
        <v>541.70000000000005</v>
      </c>
      <c r="D308" s="65">
        <v>543.47</v>
      </c>
      <c r="E308" s="65">
        <v>7255342</v>
      </c>
      <c r="F308" s="65" t="s">
        <v>354</v>
      </c>
      <c r="G308" s="25">
        <f t="shared" si="5"/>
        <v>5.1336780319060082E-3</v>
      </c>
      <c r="I308" s="65">
        <v>8.75</v>
      </c>
      <c r="J308" s="65">
        <v>8.7799999999999994</v>
      </c>
      <c r="K308" s="65">
        <v>8.49</v>
      </c>
      <c r="L308" s="65">
        <v>8.6199999999999992</v>
      </c>
      <c r="M308" s="65">
        <v>30985032</v>
      </c>
      <c r="N308" s="65" t="s">
        <v>354</v>
      </c>
      <c r="O308" s="25">
        <f t="shared" si="6"/>
        <v>1.5081206496519783E-2</v>
      </c>
      <c r="Q308" s="66">
        <v>4.7500000000000007E-2</v>
      </c>
      <c r="R308">
        <v>8</v>
      </c>
      <c r="T308" s="25">
        <f t="shared" si="8"/>
        <v>3.7499999999999999E-2</v>
      </c>
      <c r="U308" s="1">
        <f t="shared" si="7"/>
        <v>6.5214391817810187</v>
      </c>
    </row>
    <row r="309" spans="1:21" ht="13.5" customHeight="1">
      <c r="A309" s="65">
        <v>542.76</v>
      </c>
      <c r="B309" s="65">
        <v>543.24890000000005</v>
      </c>
      <c r="C309" s="65">
        <v>537.84</v>
      </c>
      <c r="D309" s="65">
        <v>538.26</v>
      </c>
      <c r="E309" s="65">
        <v>7362193</v>
      </c>
      <c r="F309" s="65" t="s">
        <v>355</v>
      </c>
      <c r="G309" s="25">
        <f t="shared" si="5"/>
        <v>8.360271987515322E-3</v>
      </c>
      <c r="I309" s="65">
        <v>8.58</v>
      </c>
      <c r="J309" s="65">
        <v>9.0150000000000006</v>
      </c>
      <c r="K309" s="65">
        <v>8.5449999999999999</v>
      </c>
      <c r="L309" s="65">
        <v>8.9499999999999993</v>
      </c>
      <c r="M309" s="65">
        <v>30819834</v>
      </c>
      <c r="N309" s="65" t="s">
        <v>355</v>
      </c>
      <c r="O309" s="25">
        <f t="shared" si="6"/>
        <v>-4.1340782122904929E-2</v>
      </c>
      <c r="Q309" s="66">
        <v>5.000000000000001E-2</v>
      </c>
      <c r="R309">
        <v>10</v>
      </c>
      <c r="T309" s="25">
        <f t="shared" si="8"/>
        <v>0.04</v>
      </c>
      <c r="U309" s="1">
        <f t="shared" si="7"/>
        <v>5.9809449029318156</v>
      </c>
    </row>
    <row r="310" spans="1:21" ht="13.5" customHeight="1">
      <c r="A310" s="65">
        <v>540.11</v>
      </c>
      <c r="B310" s="65">
        <v>541.41999999999996</v>
      </c>
      <c r="C310" s="65">
        <v>538.24</v>
      </c>
      <c r="D310" s="65">
        <v>540.37</v>
      </c>
      <c r="E310" s="65">
        <v>5031301</v>
      </c>
      <c r="F310" s="65" t="s">
        <v>356</v>
      </c>
      <c r="G310" s="25">
        <f t="shared" si="5"/>
        <v>-4.8115180339391994E-4</v>
      </c>
      <c r="I310" s="65">
        <v>9.0299999999999994</v>
      </c>
      <c r="J310" s="65">
        <v>9.2285000000000004</v>
      </c>
      <c r="K310" s="65">
        <v>8.94</v>
      </c>
      <c r="L310" s="65">
        <v>9.14</v>
      </c>
      <c r="M310" s="65">
        <v>29981292</v>
      </c>
      <c r="N310" s="65" t="s">
        <v>356</v>
      </c>
      <c r="O310" s="25">
        <f t="shared" si="6"/>
        <v>-1.2035010940919189E-2</v>
      </c>
      <c r="Q310" s="66">
        <v>5.2500000000000012E-2</v>
      </c>
      <c r="R310">
        <v>11</v>
      </c>
      <c r="T310" s="25">
        <f t="shared" si="8"/>
        <v>4.2500000000000003E-2</v>
      </c>
      <c r="U310" s="1">
        <f t="shared" si="7"/>
        <v>5.4540627133678266</v>
      </c>
    </row>
    <row r="311" spans="1:21" ht="13.5" customHeight="1">
      <c r="A311" s="65">
        <v>539.44000000000005</v>
      </c>
      <c r="B311" s="65">
        <v>541.48</v>
      </c>
      <c r="C311" s="65">
        <v>535.78</v>
      </c>
      <c r="D311" s="65">
        <v>536.33000000000004</v>
      </c>
      <c r="E311" s="65">
        <v>7356804</v>
      </c>
      <c r="F311" s="65" t="s">
        <v>357</v>
      </c>
      <c r="G311" s="25">
        <f t="shared" si="5"/>
        <v>5.7986687300728423E-3</v>
      </c>
      <c r="I311" s="65">
        <v>9.1</v>
      </c>
      <c r="J311" s="65">
        <v>9.2599</v>
      </c>
      <c r="K311" s="65">
        <v>9.0325000000000006</v>
      </c>
      <c r="L311" s="65">
        <v>9.1999999999999993</v>
      </c>
      <c r="M311" s="65">
        <v>33201553</v>
      </c>
      <c r="N311" s="65" t="s">
        <v>357</v>
      </c>
      <c r="O311" s="25">
        <f t="shared" si="6"/>
        <v>-1.0869565217391242E-2</v>
      </c>
      <c r="Q311" s="66">
        <v>5.5000000000000014E-2</v>
      </c>
      <c r="R311">
        <v>13</v>
      </c>
      <c r="T311" s="25">
        <f t="shared" si="8"/>
        <v>4.5000000000000005E-2</v>
      </c>
      <c r="U311" s="1">
        <f t="shared" si="7"/>
        <v>4.94532030183003</v>
      </c>
    </row>
    <row r="312" spans="1:21" ht="13.5" customHeight="1">
      <c r="A312" s="65">
        <v>535.91999999999996</v>
      </c>
      <c r="B312" s="65">
        <v>535.91999999999996</v>
      </c>
      <c r="C312" s="65">
        <v>530.39</v>
      </c>
      <c r="D312" s="65">
        <v>534.5</v>
      </c>
      <c r="E312" s="65">
        <v>7793576</v>
      </c>
      <c r="F312" s="65" t="s">
        <v>358</v>
      </c>
      <c r="G312" s="25">
        <f t="shared" si="5"/>
        <v>2.6566884939194235E-3</v>
      </c>
      <c r="I312" s="65">
        <v>9.2100000000000009</v>
      </c>
      <c r="J312" s="65">
        <v>9.2100000000000009</v>
      </c>
      <c r="K312" s="65">
        <v>8.6549999999999994</v>
      </c>
      <c r="L312" s="65">
        <v>8.8550000000000004</v>
      </c>
      <c r="M312" s="65">
        <v>53703236</v>
      </c>
      <c r="N312" s="65" t="s">
        <v>358</v>
      </c>
      <c r="O312" s="25">
        <f t="shared" si="6"/>
        <v>4.0090344438170611E-2</v>
      </c>
      <c r="Q312" s="66">
        <v>5.7500000000000016E-2</v>
      </c>
      <c r="R312">
        <v>5</v>
      </c>
      <c r="T312" s="25">
        <f t="shared" si="8"/>
        <v>4.7500000000000007E-2</v>
      </c>
      <c r="U312" s="1">
        <f t="shared" si="7"/>
        <v>4.458540296421738</v>
      </c>
    </row>
    <row r="313" spans="1:21" ht="13.5" customHeight="1">
      <c r="A313" s="65">
        <v>518.65</v>
      </c>
      <c r="B313" s="65">
        <v>521.63059999999996</v>
      </c>
      <c r="C313" s="65">
        <v>517.36</v>
      </c>
      <c r="D313" s="65">
        <v>520.69000000000005</v>
      </c>
      <c r="E313" s="65">
        <v>4739506</v>
      </c>
      <c r="F313" s="65" t="s">
        <v>359</v>
      </c>
      <c r="G313" s="25">
        <f t="shared" si="5"/>
        <v>-3.9178782000808265E-3</v>
      </c>
      <c r="I313" s="65">
        <v>8.25</v>
      </c>
      <c r="J313" s="65">
        <v>8.6300000000000008</v>
      </c>
      <c r="K313" s="65">
        <v>8.2200000000000006</v>
      </c>
      <c r="L313" s="65">
        <v>8.36</v>
      </c>
      <c r="M313" s="65">
        <v>28078505</v>
      </c>
      <c r="N313" s="65" t="s">
        <v>359</v>
      </c>
      <c r="O313" s="25">
        <f t="shared" si="6"/>
        <v>-1.3157894736842035E-2</v>
      </c>
      <c r="Q313" s="66">
        <v>6.0000000000000019E-2</v>
      </c>
      <c r="R313">
        <v>4</v>
      </c>
      <c r="T313" s="25">
        <f t="shared" si="8"/>
        <v>5.000000000000001E-2</v>
      </c>
      <c r="U313" s="1">
        <f t="shared" ref="U313:U337" si="9">_xlfn.NORM.DIST(T313,$S$240,$S$242,FALSE)</f>
        <v>3.9968232153466676</v>
      </c>
    </row>
    <row r="314" spans="1:21" ht="13.5" customHeight="1">
      <c r="A314" s="65">
        <v>519.34</v>
      </c>
      <c r="B314" s="65">
        <v>524.23</v>
      </c>
      <c r="C314" s="65">
        <v>516.34500000000003</v>
      </c>
      <c r="D314" s="65">
        <v>519.54</v>
      </c>
      <c r="E314" s="65">
        <v>5088200</v>
      </c>
      <c r="F314" s="65" t="s">
        <v>360</v>
      </c>
      <c r="G314" s="25">
        <f t="shared" si="5"/>
        <v>-3.8495592254672584E-4</v>
      </c>
      <c r="I314" s="65">
        <v>8.2200000000000006</v>
      </c>
      <c r="J314" s="65">
        <v>8.36</v>
      </c>
      <c r="K314" s="65">
        <v>8.07</v>
      </c>
      <c r="L314" s="65">
        <v>8.2899999999999991</v>
      </c>
      <c r="M314" s="65">
        <v>46129000</v>
      </c>
      <c r="N314" s="65" t="s">
        <v>360</v>
      </c>
      <c r="O314" s="25">
        <f t="shared" si="6"/>
        <v>-8.443908323280902E-3</v>
      </c>
      <c r="Q314" s="66">
        <v>6.2500000000000014E-2</v>
      </c>
      <c r="R314">
        <v>3</v>
      </c>
      <c r="T314" s="25">
        <f t="shared" si="8"/>
        <v>5.2500000000000012E-2</v>
      </c>
      <c r="U314" s="1">
        <f t="shared" si="9"/>
        <v>3.5625515301733577</v>
      </c>
    </row>
    <row r="315" spans="1:21" ht="13.5" customHeight="1">
      <c r="A315" s="65">
        <v>515.9</v>
      </c>
      <c r="B315" s="65">
        <v>518.17999999999995</v>
      </c>
      <c r="C315" s="65">
        <v>511.1</v>
      </c>
      <c r="D315" s="65">
        <v>514.91999999999996</v>
      </c>
      <c r="E315" s="65">
        <v>5467344</v>
      </c>
      <c r="F315" s="65" t="s">
        <v>361</v>
      </c>
      <c r="G315" s="25">
        <f t="shared" si="5"/>
        <v>1.9032082653616111E-3</v>
      </c>
      <c r="I315" s="65">
        <v>8.1300000000000008</v>
      </c>
      <c r="J315" s="65">
        <v>8.41</v>
      </c>
      <c r="K315" s="65">
        <v>7.92</v>
      </c>
      <c r="L315" s="65">
        <v>8.4</v>
      </c>
      <c r="M315" s="65">
        <v>34256255</v>
      </c>
      <c r="N315" s="65" t="s">
        <v>361</v>
      </c>
      <c r="O315" s="25">
        <f t="shared" si="6"/>
        <v>-3.214285714285714E-2</v>
      </c>
      <c r="Q315" s="66">
        <v>6.5000000000000016E-2</v>
      </c>
      <c r="R315">
        <v>4</v>
      </c>
      <c r="T315" s="25">
        <f t="shared" si="8"/>
        <v>5.5000000000000014E-2</v>
      </c>
      <c r="U315" s="1">
        <f t="shared" si="9"/>
        <v>3.1574126378404599</v>
      </c>
    </row>
    <row r="316" spans="1:21" ht="13.5" customHeight="1">
      <c r="A316" s="65">
        <v>513.58000000000004</v>
      </c>
      <c r="B316" s="65">
        <v>517.82500000000005</v>
      </c>
      <c r="C316" s="65">
        <v>511.94</v>
      </c>
      <c r="D316" s="65">
        <v>512.89</v>
      </c>
      <c r="E316" s="65">
        <v>4694270</v>
      </c>
      <c r="F316" s="65" t="s">
        <v>362</v>
      </c>
      <c r="G316" s="25">
        <f t="shared" si="5"/>
        <v>1.3453177094504554E-3</v>
      </c>
      <c r="I316" s="65">
        <v>8.36</v>
      </c>
      <c r="J316" s="65">
        <v>8.57</v>
      </c>
      <c r="K316" s="65">
        <v>8.34</v>
      </c>
      <c r="L316" s="65">
        <v>8.4600000000000009</v>
      </c>
      <c r="M316" s="65">
        <v>32096438</v>
      </c>
      <c r="N316" s="65" t="s">
        <v>362</v>
      </c>
      <c r="O316" s="25">
        <f t="shared" si="6"/>
        <v>-1.1820330969267268E-2</v>
      </c>
      <c r="Q316" s="66">
        <v>6.7500000000000018E-2</v>
      </c>
      <c r="R316">
        <v>4</v>
      </c>
      <c r="T316" s="25">
        <f t="shared" si="8"/>
        <v>5.7500000000000016E-2</v>
      </c>
      <c r="U316" s="1">
        <f t="shared" si="9"/>
        <v>2.782438048604241</v>
      </c>
    </row>
    <row r="317" spans="1:21" ht="13.5" customHeight="1">
      <c r="A317" s="65">
        <v>517.99</v>
      </c>
      <c r="B317" s="65">
        <v>520.85</v>
      </c>
      <c r="C317" s="65">
        <v>516.27</v>
      </c>
      <c r="D317" s="65">
        <v>517.08000000000004</v>
      </c>
      <c r="E317" s="65">
        <v>4793497</v>
      </c>
      <c r="F317" s="65" t="s">
        <v>363</v>
      </c>
      <c r="G317" s="25">
        <f t="shared" si="5"/>
        <v>1.7598824166473737E-3</v>
      </c>
      <c r="I317" s="65">
        <v>8.5500000000000007</v>
      </c>
      <c r="J317" s="65">
        <v>8.68</v>
      </c>
      <c r="K317" s="65">
        <v>8.36</v>
      </c>
      <c r="L317" s="65">
        <v>8.3699999999999992</v>
      </c>
      <c r="M317" s="65">
        <v>43996734</v>
      </c>
      <c r="N317" s="65" t="s">
        <v>363</v>
      </c>
      <c r="O317" s="25">
        <f t="shared" si="6"/>
        <v>2.1505376344086224E-2</v>
      </c>
      <c r="Q317" s="66">
        <v>7.0000000000000021E-2</v>
      </c>
      <c r="R317">
        <v>4</v>
      </c>
      <c r="T317" s="25">
        <f t="shared" si="8"/>
        <v>6.0000000000000019E-2</v>
      </c>
      <c r="U317" s="1">
        <f t="shared" si="9"/>
        <v>2.4380557740092912</v>
      </c>
    </row>
    <row r="318" spans="1:21" ht="13.5" customHeight="1">
      <c r="A318" s="65">
        <v>520.71</v>
      </c>
      <c r="B318" s="65">
        <v>522.41</v>
      </c>
      <c r="C318" s="65">
        <v>516.89</v>
      </c>
      <c r="D318" s="65">
        <v>519.12</v>
      </c>
      <c r="E318" s="65">
        <v>6285390</v>
      </c>
      <c r="F318" s="65" t="s">
        <v>364</v>
      </c>
      <c r="G318" s="25">
        <f t="shared" si="5"/>
        <v>3.0628756356911868E-3</v>
      </c>
      <c r="I318" s="65">
        <v>8.4499999999999993</v>
      </c>
      <c r="J318" s="65">
        <v>8.48</v>
      </c>
      <c r="K318" s="65">
        <v>7.84</v>
      </c>
      <c r="L318" s="65">
        <v>7.87</v>
      </c>
      <c r="M318" s="65">
        <v>79162154</v>
      </c>
      <c r="N318" s="65" t="s">
        <v>364</v>
      </c>
      <c r="O318" s="25">
        <f t="shared" si="6"/>
        <v>7.3697585768741858E-2</v>
      </c>
      <c r="Q318" s="66">
        <v>7.2500000000000023E-2</v>
      </c>
      <c r="R318">
        <v>1</v>
      </c>
      <c r="T318" s="25">
        <f t="shared" si="8"/>
        <v>6.2500000000000014E-2</v>
      </c>
      <c r="U318" s="1">
        <f t="shared" si="9"/>
        <v>2.1241527397506599</v>
      </c>
    </row>
    <row r="319" spans="1:21" ht="13.5" customHeight="1">
      <c r="A319" s="65">
        <v>513.35</v>
      </c>
      <c r="B319" s="65">
        <v>518.44000000000005</v>
      </c>
      <c r="C319" s="65">
        <v>512.77</v>
      </c>
      <c r="D319" s="65">
        <v>515.13</v>
      </c>
      <c r="E319" s="65">
        <v>5784483</v>
      </c>
      <c r="F319" s="65" t="s">
        <v>365</v>
      </c>
      <c r="G319" s="25">
        <f t="shared" si="5"/>
        <v>-3.4554384330168775E-3</v>
      </c>
      <c r="I319" s="65">
        <v>7.83</v>
      </c>
      <c r="J319" s="65">
        <v>8.1349999999999998</v>
      </c>
      <c r="K319" s="65">
        <v>7.8</v>
      </c>
      <c r="L319" s="65">
        <v>8.01</v>
      </c>
      <c r="M319" s="65">
        <v>75366773</v>
      </c>
      <c r="N319" s="65" t="s">
        <v>365</v>
      </c>
      <c r="O319" s="25">
        <f t="shared" si="6"/>
        <v>-2.2471910112359494E-2</v>
      </c>
      <c r="Q319" s="66">
        <v>7.5000000000000025E-2</v>
      </c>
      <c r="R319">
        <v>4</v>
      </c>
      <c r="T319" s="25">
        <f t="shared" si="8"/>
        <v>6.5000000000000016E-2</v>
      </c>
      <c r="U319" s="1">
        <f t="shared" si="9"/>
        <v>1.8401440424778392</v>
      </c>
    </row>
    <row r="320" spans="1:21" ht="13.5" customHeight="1">
      <c r="A320" s="65">
        <v>509.74</v>
      </c>
      <c r="B320" s="65">
        <v>511.5</v>
      </c>
      <c r="C320" s="65">
        <v>497.76</v>
      </c>
      <c r="D320" s="65">
        <v>503.26</v>
      </c>
      <c r="E320" s="65">
        <v>7873686</v>
      </c>
      <c r="F320" s="65" t="s">
        <v>366</v>
      </c>
      <c r="G320" s="25">
        <f t="shared" ref="G320:G383" si="10">A320/D320-1</f>
        <v>1.2876048165957998E-2</v>
      </c>
      <c r="I320" s="65">
        <v>7.96</v>
      </c>
      <c r="J320" s="65">
        <v>7.98</v>
      </c>
      <c r="K320" s="65">
        <v>7.47</v>
      </c>
      <c r="L320" s="65">
        <v>7.77</v>
      </c>
      <c r="M320" s="65">
        <v>151470113</v>
      </c>
      <c r="N320" s="65" t="s">
        <v>366</v>
      </c>
      <c r="O320" s="25">
        <f t="shared" ref="O320:O383" si="11">I320/L320-1</f>
        <v>2.4453024453024552E-2</v>
      </c>
      <c r="Q320" s="66">
        <v>7.7500000000000027E-2</v>
      </c>
      <c r="R320">
        <v>1</v>
      </c>
      <c r="T320" s="25">
        <f t="shared" si="8"/>
        <v>6.7500000000000018E-2</v>
      </c>
      <c r="U320" s="1">
        <f t="shared" si="9"/>
        <v>1.5850459996867323</v>
      </c>
    </row>
    <row r="321" spans="1:21" ht="13.5" customHeight="1">
      <c r="A321" s="65">
        <v>509.49</v>
      </c>
      <c r="B321" s="65">
        <v>510.54969999999997</v>
      </c>
      <c r="C321" s="65">
        <v>504.26</v>
      </c>
      <c r="D321" s="65">
        <v>504.54</v>
      </c>
      <c r="E321" s="65">
        <v>6525457</v>
      </c>
      <c r="F321" s="65" t="s">
        <v>367</v>
      </c>
      <c r="G321" s="25">
        <f t="shared" si="10"/>
        <v>9.810916874777087E-3</v>
      </c>
      <c r="I321" s="65">
        <v>9.09</v>
      </c>
      <c r="J321" s="65">
        <v>9.23</v>
      </c>
      <c r="K321" s="65">
        <v>8.82</v>
      </c>
      <c r="L321" s="65">
        <v>8.83</v>
      </c>
      <c r="M321" s="65">
        <v>105509908</v>
      </c>
      <c r="N321" s="65" t="s">
        <v>367</v>
      </c>
      <c r="O321" s="25">
        <f t="shared" si="11"/>
        <v>2.9445073612684114E-2</v>
      </c>
      <c r="Q321" s="66">
        <v>8.0000000000000029E-2</v>
      </c>
      <c r="R321">
        <v>1</v>
      </c>
      <c r="T321" s="25">
        <f t="shared" si="8"/>
        <v>7.0000000000000021E-2</v>
      </c>
      <c r="U321" s="1">
        <f t="shared" si="9"/>
        <v>1.3575501852312166</v>
      </c>
    </row>
    <row r="322" spans="1:21" ht="13.5" customHeight="1">
      <c r="A322" s="65">
        <v>506.42</v>
      </c>
      <c r="B322" s="65">
        <v>508.74</v>
      </c>
      <c r="C322" s="65">
        <v>500.96</v>
      </c>
      <c r="D322" s="65">
        <v>506.81</v>
      </c>
      <c r="E322" s="65">
        <v>4210016</v>
      </c>
      <c r="F322" s="65" t="s">
        <v>368</v>
      </c>
      <c r="G322" s="25">
        <f t="shared" si="10"/>
        <v>-7.6951914918799158E-4</v>
      </c>
      <c r="I322" s="65">
        <v>8.83</v>
      </c>
      <c r="J322" s="65">
        <v>9.01</v>
      </c>
      <c r="K322" s="65">
        <v>8.5500000000000007</v>
      </c>
      <c r="L322" s="65">
        <v>8.5500000000000007</v>
      </c>
      <c r="M322" s="65">
        <v>53515554</v>
      </c>
      <c r="N322" s="65" t="s">
        <v>368</v>
      </c>
      <c r="O322" s="25">
        <f t="shared" si="11"/>
        <v>3.274853801169586E-2</v>
      </c>
      <c r="Q322" s="66">
        <v>8.2500000000000032E-2</v>
      </c>
      <c r="R322">
        <v>1</v>
      </c>
      <c r="T322" s="25">
        <f t="shared" si="8"/>
        <v>7.2500000000000023E-2</v>
      </c>
      <c r="U322" s="1">
        <f t="shared" si="9"/>
        <v>1.1560959738330254</v>
      </c>
    </row>
    <row r="323" spans="1:21" ht="13.5" customHeight="1">
      <c r="A323" s="65">
        <v>506.11</v>
      </c>
      <c r="B323" s="65">
        <v>506.52</v>
      </c>
      <c r="C323" s="65">
        <v>499.75</v>
      </c>
      <c r="D323" s="65">
        <v>502.44</v>
      </c>
      <c r="E323" s="65">
        <v>6933423</v>
      </c>
      <c r="F323" s="65" t="s">
        <v>369</v>
      </c>
      <c r="G323" s="25">
        <f t="shared" si="10"/>
        <v>7.3043547488258476E-3</v>
      </c>
      <c r="I323" s="65">
        <v>8.5399999999999991</v>
      </c>
      <c r="J323" s="65">
        <v>8.6750000000000007</v>
      </c>
      <c r="K323" s="65">
        <v>8.4</v>
      </c>
      <c r="L323" s="65">
        <v>8.4499999999999993</v>
      </c>
      <c r="M323" s="65">
        <v>32816074</v>
      </c>
      <c r="N323" s="65" t="s">
        <v>369</v>
      </c>
      <c r="O323" s="25">
        <f t="shared" si="11"/>
        <v>1.0650887573964374E-2</v>
      </c>
      <c r="Q323" s="66">
        <v>8.5000000000000034E-2</v>
      </c>
      <c r="R323">
        <v>1</v>
      </c>
      <c r="T323" s="25">
        <f t="shared" si="8"/>
        <v>7.5000000000000025E-2</v>
      </c>
      <c r="U323" s="1">
        <f t="shared" si="9"/>
        <v>0.97893950914631422</v>
      </c>
    </row>
    <row r="324" spans="1:21" ht="13.5" customHeight="1">
      <c r="A324" s="65">
        <v>502.41</v>
      </c>
      <c r="B324" s="65">
        <v>503</v>
      </c>
      <c r="C324" s="65">
        <v>492.22309999999999</v>
      </c>
      <c r="D324" s="65">
        <v>493.26</v>
      </c>
      <c r="E324" s="65">
        <v>6184333</v>
      </c>
      <c r="F324" s="65" t="s">
        <v>370</v>
      </c>
      <c r="G324" s="25">
        <f t="shared" si="10"/>
        <v>1.8550054737866528E-2</v>
      </c>
      <c r="I324" s="65">
        <v>8.33</v>
      </c>
      <c r="J324" s="65">
        <v>8.4350000000000005</v>
      </c>
      <c r="K324" s="65">
        <v>8.0399999999999991</v>
      </c>
      <c r="L324" s="65">
        <v>8.0500000000000007</v>
      </c>
      <c r="M324" s="65">
        <v>33721641</v>
      </c>
      <c r="N324" s="65" t="s">
        <v>370</v>
      </c>
      <c r="O324" s="25">
        <f t="shared" si="11"/>
        <v>3.4782608695652195E-2</v>
      </c>
      <c r="Q324" s="66">
        <v>8.7500000000000036E-2</v>
      </c>
      <c r="R324">
        <v>1</v>
      </c>
      <c r="T324" s="25">
        <f t="shared" si="8"/>
        <v>7.7500000000000027E-2</v>
      </c>
      <c r="U324" s="1">
        <f t="shared" si="9"/>
        <v>0.82421743474851561</v>
      </c>
    </row>
    <row r="325" spans="1:21" ht="13.5" customHeight="1">
      <c r="A325" s="65">
        <v>492.07</v>
      </c>
      <c r="B325" s="65">
        <v>501.18</v>
      </c>
      <c r="C325" s="65">
        <v>490.7</v>
      </c>
      <c r="D325" s="65">
        <v>496.69</v>
      </c>
      <c r="E325" s="65">
        <v>8047601</v>
      </c>
      <c r="F325" s="65" t="s">
        <v>371</v>
      </c>
      <c r="G325" s="25">
        <f t="shared" si="10"/>
        <v>-9.3015764360063757E-3</v>
      </c>
      <c r="I325" s="65">
        <v>7.98</v>
      </c>
      <c r="J325" s="65">
        <v>8.25</v>
      </c>
      <c r="K325" s="65">
        <v>7.83</v>
      </c>
      <c r="L325" s="65">
        <v>8.1</v>
      </c>
      <c r="M325" s="65">
        <v>35707065</v>
      </c>
      <c r="N325" s="65" t="s">
        <v>371</v>
      </c>
      <c r="O325" s="25">
        <f t="shared" si="11"/>
        <v>-1.4814814814814725E-2</v>
      </c>
      <c r="Q325" s="66">
        <v>9.0000000000000038E-2</v>
      </c>
      <c r="R325">
        <v>3</v>
      </c>
      <c r="T325" s="25">
        <f t="shared" si="8"/>
        <v>8.0000000000000029E-2</v>
      </c>
      <c r="U325" s="1">
        <f t="shared" si="9"/>
        <v>0.69000416110869001</v>
      </c>
    </row>
    <row r="326" spans="1:21" ht="13.5" customHeight="1">
      <c r="A326" s="65">
        <v>484.29</v>
      </c>
      <c r="B326" s="65">
        <v>486.48</v>
      </c>
      <c r="C326" s="65">
        <v>477.19</v>
      </c>
      <c r="D326" s="65">
        <v>478.07</v>
      </c>
      <c r="E326" s="65">
        <v>6236319</v>
      </c>
      <c r="F326" s="65" t="s">
        <v>372</v>
      </c>
      <c r="G326" s="25">
        <f t="shared" si="10"/>
        <v>1.301064697638421E-2</v>
      </c>
      <c r="I326" s="65">
        <v>7.85</v>
      </c>
      <c r="J326" s="65">
        <v>7.92</v>
      </c>
      <c r="K326" s="65">
        <v>7.63</v>
      </c>
      <c r="L326" s="65">
        <v>7.66</v>
      </c>
      <c r="M326" s="65">
        <v>25279539</v>
      </c>
      <c r="N326" s="65" t="s">
        <v>372</v>
      </c>
      <c r="O326" s="25">
        <f t="shared" si="11"/>
        <v>2.4804177545691752E-2</v>
      </c>
      <c r="Q326" s="66">
        <v>9.2500000000000041E-2</v>
      </c>
      <c r="R326">
        <v>0</v>
      </c>
      <c r="T326" s="25">
        <f t="shared" si="8"/>
        <v>8.2500000000000032E-2</v>
      </c>
      <c r="U326" s="1">
        <f t="shared" si="9"/>
        <v>0.57436186243153753</v>
      </c>
    </row>
    <row r="327" spans="1:21" ht="13.5" customHeight="1">
      <c r="A327" s="65">
        <v>472.37</v>
      </c>
      <c r="B327" s="65">
        <v>479.49</v>
      </c>
      <c r="C327" s="65">
        <v>467.33</v>
      </c>
      <c r="D327" s="65">
        <v>479.02</v>
      </c>
      <c r="E327" s="65">
        <v>7762501</v>
      </c>
      <c r="F327" s="65" t="s">
        <v>373</v>
      </c>
      <c r="G327" s="25">
        <f t="shared" si="10"/>
        <v>-1.388251012483821E-2</v>
      </c>
      <c r="I327" s="65">
        <v>7.61</v>
      </c>
      <c r="J327" s="65">
        <v>7.87</v>
      </c>
      <c r="K327" s="65">
        <v>7.5</v>
      </c>
      <c r="L327" s="65">
        <v>7.76</v>
      </c>
      <c r="M327" s="65">
        <v>27528876</v>
      </c>
      <c r="N327" s="65" t="s">
        <v>373</v>
      </c>
      <c r="O327" s="25">
        <f t="shared" si="11"/>
        <v>-1.9329896907216426E-2</v>
      </c>
      <c r="Q327" s="66">
        <v>9.5000000000000043E-2</v>
      </c>
      <c r="R327">
        <v>1</v>
      </c>
      <c r="T327" s="25">
        <f t="shared" si="8"/>
        <v>8.5000000000000034E-2</v>
      </c>
      <c r="U327" s="1">
        <f t="shared" si="9"/>
        <v>0.4753827874676983</v>
      </c>
    </row>
    <row r="328" spans="1:21" ht="13.5" customHeight="1">
      <c r="A328" s="65">
        <v>483.9</v>
      </c>
      <c r="B328" s="65">
        <v>488.16</v>
      </c>
      <c r="C328" s="65">
        <v>481.5</v>
      </c>
      <c r="D328" s="65">
        <v>484.79</v>
      </c>
      <c r="E328" s="65">
        <v>5638939</v>
      </c>
      <c r="F328" s="65" t="s">
        <v>374</v>
      </c>
      <c r="G328" s="25">
        <f t="shared" si="10"/>
        <v>-1.8358464489780513E-3</v>
      </c>
      <c r="I328" s="65">
        <v>7.88</v>
      </c>
      <c r="J328" s="65">
        <v>7.95</v>
      </c>
      <c r="K328" s="65">
        <v>7.65</v>
      </c>
      <c r="L328" s="65">
        <v>7.66</v>
      </c>
      <c r="M328" s="65">
        <v>32083703</v>
      </c>
      <c r="N328" s="65" t="s">
        <v>374</v>
      </c>
      <c r="O328" s="25">
        <f t="shared" si="11"/>
        <v>2.8720626631853818E-2</v>
      </c>
      <c r="Q328" s="66">
        <v>9.7500000000000045E-2</v>
      </c>
      <c r="R328">
        <v>2</v>
      </c>
      <c r="T328" s="25">
        <f t="shared" si="8"/>
        <v>8.7500000000000036E-2</v>
      </c>
      <c r="U328" s="1">
        <f t="shared" si="9"/>
        <v>0.39122381441094062</v>
      </c>
    </row>
    <row r="329" spans="1:21" ht="13.5" customHeight="1">
      <c r="A329" s="65">
        <v>483.23</v>
      </c>
      <c r="B329" s="65">
        <v>491.76499999999999</v>
      </c>
      <c r="C329" s="65">
        <v>478.23</v>
      </c>
      <c r="D329" s="65">
        <v>488.65</v>
      </c>
      <c r="E329" s="65">
        <v>6374869</v>
      </c>
      <c r="F329" s="65" t="s">
        <v>375</v>
      </c>
      <c r="G329" s="25">
        <f t="shared" si="10"/>
        <v>-1.1091783485111972E-2</v>
      </c>
      <c r="I329" s="65">
        <v>7.74</v>
      </c>
      <c r="J329" s="65">
        <v>7.88</v>
      </c>
      <c r="K329" s="65">
        <v>7.585</v>
      </c>
      <c r="L329" s="65">
        <v>7.75</v>
      </c>
      <c r="M329" s="65">
        <v>34484170</v>
      </c>
      <c r="N329" s="65" t="s">
        <v>375</v>
      </c>
      <c r="O329" s="25">
        <f t="shared" si="11"/>
        <v>-1.290322580645098E-3</v>
      </c>
      <c r="Q329" s="66">
        <v>0.10000000000000005</v>
      </c>
      <c r="R329">
        <v>0</v>
      </c>
      <c r="T329" s="25">
        <f t="shared" si="8"/>
        <v>9.0000000000000038E-2</v>
      </c>
      <c r="U329" s="1">
        <f t="shared" si="9"/>
        <v>0.32013347277907728</v>
      </c>
    </row>
    <row r="330" spans="1:21" ht="13.5" customHeight="1" thickBot="1">
      <c r="A330" s="65">
        <v>494.09</v>
      </c>
      <c r="B330" s="65">
        <v>499.27</v>
      </c>
      <c r="C330" s="65">
        <v>493.42</v>
      </c>
      <c r="D330" s="65">
        <v>496.03</v>
      </c>
      <c r="E330" s="65">
        <v>8200583</v>
      </c>
      <c r="F330" s="65" t="s">
        <v>376</v>
      </c>
      <c r="G330" s="25">
        <f t="shared" si="10"/>
        <v>-3.911053766909256E-3</v>
      </c>
      <c r="I330" s="65">
        <v>7.87</v>
      </c>
      <c r="J330" s="65">
        <v>8.0299999999999994</v>
      </c>
      <c r="K330" s="65">
        <v>7.71</v>
      </c>
      <c r="L330" s="65">
        <v>7.9</v>
      </c>
      <c r="M330" s="65">
        <v>25136134</v>
      </c>
      <c r="N330" s="65" t="s">
        <v>376</v>
      </c>
      <c r="O330" s="25">
        <f t="shared" si="11"/>
        <v>-3.7974683544304E-3</v>
      </c>
      <c r="Q330" s="67" t="s">
        <v>1495</v>
      </c>
      <c r="R330" s="67">
        <v>11</v>
      </c>
      <c r="T330" s="25">
        <f t="shared" si="8"/>
        <v>9.2500000000000041E-2</v>
      </c>
      <c r="U330" s="1">
        <f t="shared" si="9"/>
        <v>0.26047188983601482</v>
      </c>
    </row>
    <row r="331" spans="1:21" ht="13.5" customHeight="1">
      <c r="A331" s="65">
        <v>495.48</v>
      </c>
      <c r="B331" s="65">
        <v>500.26</v>
      </c>
      <c r="C331" s="65">
        <v>490.69</v>
      </c>
      <c r="D331" s="65">
        <v>500.05</v>
      </c>
      <c r="E331" s="65">
        <v>7701488</v>
      </c>
      <c r="F331" s="65" t="s">
        <v>377</v>
      </c>
      <c r="G331" s="25">
        <f t="shared" si="10"/>
        <v>-9.1390860913908023E-3</v>
      </c>
      <c r="I331" s="65">
        <v>7.91</v>
      </c>
      <c r="J331" s="65">
        <v>8.24</v>
      </c>
      <c r="K331" s="65">
        <v>7.7649999999999997</v>
      </c>
      <c r="L331" s="65">
        <v>8.18</v>
      </c>
      <c r="M331" s="65">
        <v>26061419</v>
      </c>
      <c r="N331" s="65" t="s">
        <v>377</v>
      </c>
      <c r="O331" s="25">
        <f t="shared" si="11"/>
        <v>-3.3007334963325086E-2</v>
      </c>
      <c r="T331" s="25">
        <f t="shared" si="8"/>
        <v>9.5000000000000043E-2</v>
      </c>
      <c r="U331" s="1">
        <f t="shared" si="9"/>
        <v>0.21072429460504372</v>
      </c>
    </row>
    <row r="332" spans="1:21" ht="13.5" customHeight="1">
      <c r="A332" s="65">
        <v>490.55</v>
      </c>
      <c r="B332" s="65">
        <v>493</v>
      </c>
      <c r="C332" s="65">
        <v>478</v>
      </c>
      <c r="D332" s="65">
        <v>480.69</v>
      </c>
      <c r="E332" s="65">
        <v>11541195</v>
      </c>
      <c r="F332" s="65" t="s">
        <v>378</v>
      </c>
      <c r="G332" s="25">
        <f t="shared" si="10"/>
        <v>2.051218040733116E-2</v>
      </c>
      <c r="I332" s="65">
        <v>7.96</v>
      </c>
      <c r="J332" s="65">
        <v>8.1</v>
      </c>
      <c r="K332" s="65">
        <v>7.6700999999999997</v>
      </c>
      <c r="L332" s="65">
        <v>7.8</v>
      </c>
      <c r="M332" s="65">
        <v>28420798</v>
      </c>
      <c r="N332" s="65" t="s">
        <v>378</v>
      </c>
      <c r="O332" s="25">
        <f t="shared" si="11"/>
        <v>2.051282051282044E-2</v>
      </c>
      <c r="T332" s="25">
        <f t="shared" si="8"/>
        <v>9.7500000000000045E-2</v>
      </c>
      <c r="U332" s="1">
        <f t="shared" si="9"/>
        <v>0.16950883102111358</v>
      </c>
    </row>
    <row r="333" spans="1:21" ht="13.5" customHeight="1">
      <c r="A333" s="65">
        <v>482.06</v>
      </c>
      <c r="B333" s="65">
        <v>490.3</v>
      </c>
      <c r="C333" s="65">
        <v>468.33</v>
      </c>
      <c r="D333" s="65">
        <v>489.15</v>
      </c>
      <c r="E333" s="65">
        <v>16651303</v>
      </c>
      <c r="F333" s="65" t="s">
        <v>379</v>
      </c>
      <c r="G333" s="25">
        <f t="shared" si="10"/>
        <v>-1.4494531329857896E-2</v>
      </c>
      <c r="I333" s="65">
        <v>7.83</v>
      </c>
      <c r="J333" s="65">
        <v>8.6050000000000004</v>
      </c>
      <c r="K333" s="65">
        <v>7.74</v>
      </c>
      <c r="L333" s="65">
        <v>8.4600000000000009</v>
      </c>
      <c r="M333" s="65">
        <v>43912398</v>
      </c>
      <c r="N333" s="65" t="s">
        <v>379</v>
      </c>
      <c r="O333" s="25">
        <f t="shared" si="11"/>
        <v>-7.4468085106383031E-2</v>
      </c>
      <c r="T333" s="25">
        <f t="shared" si="8"/>
        <v>0.10000000000000005</v>
      </c>
      <c r="U333" s="1">
        <f t="shared" si="9"/>
        <v>0.13557949798675978</v>
      </c>
    </row>
    <row r="334" spans="1:21" ht="13.5" customHeight="1">
      <c r="A334" s="65">
        <v>499.1</v>
      </c>
      <c r="B334" s="65">
        <v>502.06119999999999</v>
      </c>
      <c r="C334" s="65">
        <v>453.16</v>
      </c>
      <c r="D334" s="65">
        <v>453.49</v>
      </c>
      <c r="E334" s="65">
        <v>29286594</v>
      </c>
      <c r="F334" s="65" t="s">
        <v>380</v>
      </c>
      <c r="G334" s="25">
        <f t="shared" si="10"/>
        <v>0.10057553639551031</v>
      </c>
      <c r="I334" s="65">
        <v>8.82</v>
      </c>
      <c r="J334" s="65">
        <v>8.91</v>
      </c>
      <c r="K334" s="65">
        <v>7.1050000000000004</v>
      </c>
      <c r="L334" s="65">
        <v>7.17</v>
      </c>
      <c r="M334" s="65">
        <v>68606611</v>
      </c>
      <c r="N334" s="65" t="s">
        <v>380</v>
      </c>
      <c r="O334" s="25">
        <f t="shared" si="11"/>
        <v>0.23012552301255229</v>
      </c>
      <c r="T334" s="25">
        <f t="shared" ref="T334:T337" si="12">T333+0.0025</f>
        <v>0.10250000000000005</v>
      </c>
      <c r="U334" s="1">
        <f t="shared" si="9"/>
        <v>0.10782505456921686</v>
      </c>
    </row>
    <row r="335" spans="1:21" ht="13.5" customHeight="1">
      <c r="A335" s="65">
        <v>456.74</v>
      </c>
      <c r="B335" s="65">
        <v>482.49</v>
      </c>
      <c r="C335" s="65">
        <v>449.6</v>
      </c>
      <c r="D335" s="65">
        <v>479.68</v>
      </c>
      <c r="E335" s="65">
        <v>19002684</v>
      </c>
      <c r="F335" s="65" t="s">
        <v>381</v>
      </c>
      <c r="G335" s="25">
        <f t="shared" si="10"/>
        <v>-4.7823549032688484E-2</v>
      </c>
      <c r="I335" s="65">
        <v>7.23</v>
      </c>
      <c r="J335" s="65">
        <v>8.1</v>
      </c>
      <c r="K335" s="65">
        <v>7.08</v>
      </c>
      <c r="L335" s="65">
        <v>7.97</v>
      </c>
      <c r="M335" s="65">
        <v>48519060</v>
      </c>
      <c r="N335" s="65" t="s">
        <v>381</v>
      </c>
      <c r="O335" s="25">
        <f t="shared" si="11"/>
        <v>-9.2848180677540748E-2</v>
      </c>
      <c r="T335" s="25">
        <f t="shared" si="12"/>
        <v>0.10500000000000005</v>
      </c>
      <c r="U335" s="1">
        <f t="shared" si="9"/>
        <v>8.5264710963153162E-2</v>
      </c>
    </row>
    <row r="336" spans="1:21" ht="13.5" customHeight="1">
      <c r="A336" s="65">
        <v>463.56</v>
      </c>
      <c r="B336" s="65">
        <v>480.76</v>
      </c>
      <c r="C336" s="65">
        <v>442.8</v>
      </c>
      <c r="D336" s="65">
        <v>449.54</v>
      </c>
      <c r="E336" s="65">
        <v>31285267</v>
      </c>
      <c r="F336" s="65" t="s">
        <v>382</v>
      </c>
      <c r="G336" s="25">
        <f t="shared" si="10"/>
        <v>3.1187436045735595E-2</v>
      </c>
      <c r="I336" s="65">
        <v>7.73</v>
      </c>
      <c r="J336" s="65">
        <v>8.49</v>
      </c>
      <c r="K336" s="65">
        <v>7.46</v>
      </c>
      <c r="L336" s="65">
        <v>7.79</v>
      </c>
      <c r="M336" s="65">
        <v>54810697</v>
      </c>
      <c r="N336" s="65" t="s">
        <v>382</v>
      </c>
      <c r="O336" s="25">
        <f t="shared" si="11"/>
        <v>-7.702182284980652E-3</v>
      </c>
      <c r="T336" s="25">
        <f t="shared" si="12"/>
        <v>0.10750000000000005</v>
      </c>
      <c r="U336" s="1">
        <f t="shared" si="9"/>
        <v>6.7041378284334041E-2</v>
      </c>
    </row>
    <row r="337" spans="1:21" ht="13.5" customHeight="1">
      <c r="A337" s="65">
        <v>465.52</v>
      </c>
      <c r="B337" s="65">
        <v>483.3</v>
      </c>
      <c r="C337" s="65">
        <v>464.24</v>
      </c>
      <c r="D337" s="65">
        <v>481.28</v>
      </c>
      <c r="E337" s="65">
        <v>30966508</v>
      </c>
      <c r="F337" s="65" t="s">
        <v>383</v>
      </c>
      <c r="G337" s="25">
        <f t="shared" si="10"/>
        <v>-3.2746010638297851E-2</v>
      </c>
      <c r="I337" s="65">
        <v>8.0500000000000007</v>
      </c>
      <c r="J337" s="65">
        <v>8.2899999999999991</v>
      </c>
      <c r="K337" s="65">
        <v>7.6626000000000003</v>
      </c>
      <c r="L337" s="65">
        <v>7.74</v>
      </c>
      <c r="M337" s="65">
        <v>48737580</v>
      </c>
      <c r="N337" s="65" t="s">
        <v>383</v>
      </c>
      <c r="O337" s="25">
        <f t="shared" si="11"/>
        <v>4.0051679586563305E-2</v>
      </c>
      <c r="T337" s="25">
        <f t="shared" si="12"/>
        <v>0.11000000000000006</v>
      </c>
      <c r="U337" s="1">
        <f t="shared" si="9"/>
        <v>5.2413180828876568E-2</v>
      </c>
    </row>
    <row r="338" spans="1:21" ht="13.5" customHeight="1">
      <c r="A338" s="65">
        <v>494.16</v>
      </c>
      <c r="B338" s="65">
        <v>503.66</v>
      </c>
      <c r="C338" s="65">
        <v>493.5</v>
      </c>
      <c r="D338" s="65">
        <v>501</v>
      </c>
      <c r="E338" s="65">
        <v>16226023</v>
      </c>
      <c r="F338" s="65" t="s">
        <v>384</v>
      </c>
      <c r="G338" s="25">
        <f t="shared" si="10"/>
        <v>-1.3652694610778449E-2</v>
      </c>
      <c r="I338" s="65">
        <v>8.02</v>
      </c>
      <c r="J338" s="65">
        <v>8.48</v>
      </c>
      <c r="K338" s="65">
        <v>7.97</v>
      </c>
      <c r="L338" s="65">
        <v>8.42</v>
      </c>
      <c r="M338" s="65">
        <v>50832965</v>
      </c>
      <c r="N338" s="65" t="s">
        <v>384</v>
      </c>
      <c r="O338" s="25">
        <f t="shared" si="11"/>
        <v>-4.7505938242280332E-2</v>
      </c>
    </row>
    <row r="339" spans="1:21" ht="13.5" customHeight="1">
      <c r="A339" s="65">
        <v>518.91</v>
      </c>
      <c r="B339" s="65">
        <v>521.49</v>
      </c>
      <c r="C339" s="65">
        <v>509.9298</v>
      </c>
      <c r="D339" s="65">
        <v>510.14</v>
      </c>
      <c r="E339" s="65">
        <v>6308643</v>
      </c>
      <c r="F339" s="65" t="s">
        <v>385</v>
      </c>
      <c r="G339" s="25">
        <f t="shared" si="10"/>
        <v>1.7191359234719927E-2</v>
      </c>
      <c r="I339" s="65">
        <v>8.8800000000000008</v>
      </c>
      <c r="J339" s="65">
        <v>9.11</v>
      </c>
      <c r="K339" s="65">
        <v>8.6</v>
      </c>
      <c r="L339" s="65">
        <v>8.6300000000000008</v>
      </c>
      <c r="M339" s="65">
        <v>34093864</v>
      </c>
      <c r="N339" s="65" t="s">
        <v>385</v>
      </c>
      <c r="O339" s="25">
        <f t="shared" si="11"/>
        <v>2.8968713789107703E-2</v>
      </c>
    </row>
    <row r="340" spans="1:21" ht="13.5" customHeight="1">
      <c r="A340" s="65">
        <v>515.79999999999995</v>
      </c>
      <c r="B340" s="65">
        <v>517.35</v>
      </c>
      <c r="C340" s="65">
        <v>508.88</v>
      </c>
      <c r="D340" s="65">
        <v>512.36</v>
      </c>
      <c r="E340" s="65">
        <v>7697017</v>
      </c>
      <c r="F340" s="65" t="s">
        <v>386</v>
      </c>
      <c r="G340" s="25">
        <f t="shared" si="10"/>
        <v>6.7140291982199507E-3</v>
      </c>
      <c r="I340" s="65">
        <v>8.93</v>
      </c>
      <c r="J340" s="65">
        <v>9.11</v>
      </c>
      <c r="K340" s="65">
        <v>8.6648999999999994</v>
      </c>
      <c r="L340" s="65">
        <v>8.74</v>
      </c>
      <c r="M340" s="65">
        <v>24639751</v>
      </c>
      <c r="N340" s="65" t="s">
        <v>386</v>
      </c>
      <c r="O340" s="25">
        <f t="shared" si="11"/>
        <v>2.1739130434782483E-2</v>
      </c>
    </row>
    <row r="341" spans="1:21" ht="13.5" customHeight="1">
      <c r="A341" s="65">
        <v>513.91</v>
      </c>
      <c r="B341" s="65">
        <v>515.33000000000004</v>
      </c>
      <c r="C341" s="65">
        <v>502.64</v>
      </c>
      <c r="D341" s="65">
        <v>505.31</v>
      </c>
      <c r="E341" s="65">
        <v>8196668</v>
      </c>
      <c r="F341" s="65" t="s">
        <v>387</v>
      </c>
      <c r="G341" s="25">
        <f t="shared" si="10"/>
        <v>1.7019255506520725E-2</v>
      </c>
      <c r="I341" s="65">
        <v>8.7100000000000009</v>
      </c>
      <c r="J341" s="65">
        <v>8.75</v>
      </c>
      <c r="K341" s="65">
        <v>8.31</v>
      </c>
      <c r="L341" s="65">
        <v>8.64</v>
      </c>
      <c r="M341" s="65">
        <v>23438434</v>
      </c>
      <c r="N341" s="65" t="s">
        <v>387</v>
      </c>
      <c r="O341" s="25">
        <f t="shared" si="11"/>
        <v>8.1018518518518601E-3</v>
      </c>
    </row>
    <row r="342" spans="1:21" ht="13.5" customHeight="1">
      <c r="A342" s="65">
        <v>510.8</v>
      </c>
      <c r="B342" s="65">
        <v>520.46</v>
      </c>
      <c r="C342" s="65">
        <v>510.16</v>
      </c>
      <c r="D342" s="65">
        <v>519.76</v>
      </c>
      <c r="E342" s="65">
        <v>5831793</v>
      </c>
      <c r="F342" s="65" t="s">
        <v>388</v>
      </c>
      <c r="G342" s="25">
        <f t="shared" si="10"/>
        <v>-1.7238725565645652E-2</v>
      </c>
      <c r="I342" s="65">
        <v>8.89</v>
      </c>
      <c r="J342" s="65">
        <v>9.2100000000000009</v>
      </c>
      <c r="K342" s="65">
        <v>8.81</v>
      </c>
      <c r="L342" s="65">
        <v>9.1300000000000008</v>
      </c>
      <c r="M342" s="65">
        <v>20197785</v>
      </c>
      <c r="N342" s="65" t="s">
        <v>388</v>
      </c>
      <c r="O342" s="25">
        <f t="shared" si="11"/>
        <v>-2.6286966046002225E-2</v>
      </c>
    </row>
    <row r="343" spans="1:21" ht="13.5" customHeight="1">
      <c r="A343" s="65">
        <v>521.21</v>
      </c>
      <c r="B343" s="65">
        <v>524.678</v>
      </c>
      <c r="C343" s="65">
        <v>519.23</v>
      </c>
      <c r="D343" s="65">
        <v>521.29</v>
      </c>
      <c r="E343" s="65">
        <v>5534928</v>
      </c>
      <c r="F343" s="65" t="s">
        <v>389</v>
      </c>
      <c r="G343" s="25">
        <f t="shared" si="10"/>
        <v>-1.5346544150074415E-4</v>
      </c>
      <c r="I343" s="65">
        <v>9.17</v>
      </c>
      <c r="J343" s="65">
        <v>9.34</v>
      </c>
      <c r="K343" s="65">
        <v>9.14</v>
      </c>
      <c r="L343" s="65">
        <v>9.2799999999999994</v>
      </c>
      <c r="M343" s="65">
        <v>21307310</v>
      </c>
      <c r="N343" s="65" t="s">
        <v>389</v>
      </c>
      <c r="O343" s="25">
        <f t="shared" si="11"/>
        <v>-1.1853448275861989E-2</v>
      </c>
    </row>
    <row r="344" spans="1:21" ht="13.5" customHeight="1">
      <c r="A344" s="65">
        <v>522.64789999999982</v>
      </c>
      <c r="B344" s="65">
        <v>529.57388654806823</v>
      </c>
      <c r="C344" s="65">
        <v>521.2925990351979</v>
      </c>
      <c r="D344" s="65">
        <v>528.72682344506711</v>
      </c>
      <c r="E344" s="65">
        <v>4444984.1890879134</v>
      </c>
      <c r="F344" s="65" t="s">
        <v>390</v>
      </c>
      <c r="G344" s="25">
        <f t="shared" si="10"/>
        <v>-1.1497285886610364E-2</v>
      </c>
      <c r="I344" s="65">
        <v>9.41</v>
      </c>
      <c r="J344" s="65">
        <v>9.68</v>
      </c>
      <c r="K344" s="65">
        <v>9.26</v>
      </c>
      <c r="L344" s="65">
        <v>9.66</v>
      </c>
      <c r="M344" s="65">
        <v>22389684</v>
      </c>
      <c r="N344" s="65" t="s">
        <v>390</v>
      </c>
      <c r="O344" s="25">
        <f t="shared" si="11"/>
        <v>-2.5879917184264967E-2</v>
      </c>
    </row>
    <row r="345" spans="1:21" ht="13.5" customHeight="1">
      <c r="A345" s="65">
        <v>528.81651247950253</v>
      </c>
      <c r="B345" s="65">
        <v>529.76323006520977</v>
      </c>
      <c r="C345" s="65">
        <v>527.28183344582988</v>
      </c>
      <c r="D345" s="65">
        <v>528.75671978987896</v>
      </c>
      <c r="E345" s="65">
        <v>6281904.064935497</v>
      </c>
      <c r="F345" s="65" t="s">
        <v>391</v>
      </c>
      <c r="G345" s="25">
        <f t="shared" si="10"/>
        <v>1.1308166380818996E-4</v>
      </c>
      <c r="I345" s="65">
        <v>9.6300000000000008</v>
      </c>
      <c r="J345" s="65">
        <v>9.6999999999999993</v>
      </c>
      <c r="K345" s="65">
        <v>9.42</v>
      </c>
      <c r="L345" s="65">
        <v>9.59</v>
      </c>
      <c r="M345" s="65">
        <v>20013497</v>
      </c>
      <c r="N345" s="65" t="s">
        <v>391</v>
      </c>
      <c r="O345" s="25">
        <f t="shared" si="11"/>
        <v>4.1710114702815382E-3</v>
      </c>
    </row>
    <row r="346" spans="1:21" ht="13.5" customHeight="1">
      <c r="A346" s="65">
        <v>527.56086599740661</v>
      </c>
      <c r="B346" s="65">
        <v>528.55741082446684</v>
      </c>
      <c r="C346" s="65">
        <v>524.06299365442533</v>
      </c>
      <c r="D346" s="65">
        <v>524.66092055066144</v>
      </c>
      <c r="E346" s="65">
        <v>22453848.931221198</v>
      </c>
      <c r="F346" s="65" t="s">
        <v>392</v>
      </c>
      <c r="G346" s="25">
        <f t="shared" si="10"/>
        <v>5.5272754900470566E-3</v>
      </c>
      <c r="I346" s="65">
        <v>9.5399999999999991</v>
      </c>
      <c r="J346" s="65">
        <v>9.67</v>
      </c>
      <c r="K346" s="65">
        <v>9.39</v>
      </c>
      <c r="L346" s="65">
        <v>9.5500000000000007</v>
      </c>
      <c r="M346" s="65">
        <v>21246286</v>
      </c>
      <c r="N346" s="65" t="s">
        <v>392</v>
      </c>
      <c r="O346" s="25">
        <f t="shared" si="11"/>
        <v>-1.0471204188483574E-3</v>
      </c>
    </row>
    <row r="347" spans="1:21" ht="13.5" customHeight="1">
      <c r="A347" s="65">
        <v>518.46241172634689</v>
      </c>
      <c r="B347" s="65">
        <v>519.15002765701854</v>
      </c>
      <c r="C347" s="65">
        <v>512.87677797067442</v>
      </c>
      <c r="D347" s="65">
        <v>514.00785634938768</v>
      </c>
      <c r="E347" s="65">
        <v>5076551.3628965141</v>
      </c>
      <c r="F347" s="65" t="s">
        <v>393</v>
      </c>
      <c r="G347" s="25">
        <f t="shared" si="10"/>
        <v>8.666317687431091E-3</v>
      </c>
      <c r="I347" s="65">
        <v>9.33</v>
      </c>
      <c r="J347" s="65">
        <v>9.36</v>
      </c>
      <c r="K347" s="65">
        <v>9.0950000000000006</v>
      </c>
      <c r="L347" s="65">
        <v>9.14</v>
      </c>
      <c r="M347" s="65">
        <v>37538461</v>
      </c>
      <c r="N347" s="65" t="s">
        <v>393</v>
      </c>
      <c r="O347" s="25">
        <f t="shared" si="11"/>
        <v>2.0787746170678245E-2</v>
      </c>
    </row>
    <row r="348" spans="1:21" ht="13.5" customHeight="1">
      <c r="A348" s="65">
        <v>518.33286089882904</v>
      </c>
      <c r="B348" s="65">
        <v>522.80236444819411</v>
      </c>
      <c r="C348" s="65">
        <v>515.53256993478999</v>
      </c>
      <c r="D348" s="65">
        <v>516.17035862410842</v>
      </c>
      <c r="E348" s="65">
        <v>6050643.0180241829</v>
      </c>
      <c r="F348" s="65" t="s">
        <v>394</v>
      </c>
      <c r="G348" s="25">
        <f t="shared" si="10"/>
        <v>4.1895127036835067E-3</v>
      </c>
      <c r="I348" s="65">
        <v>9.23</v>
      </c>
      <c r="J348" s="65">
        <v>9.59</v>
      </c>
      <c r="K348" s="65">
        <v>8.99</v>
      </c>
      <c r="L348" s="65">
        <v>9.02</v>
      </c>
      <c r="M348" s="65">
        <v>59659154</v>
      </c>
      <c r="N348" s="65" t="s">
        <v>394</v>
      </c>
      <c r="O348" s="25">
        <f t="shared" si="11"/>
        <v>2.3281596452328301E-2</v>
      </c>
    </row>
    <row r="349" spans="1:21" ht="13.5" customHeight="1">
      <c r="A349" s="65">
        <v>519.52871469130139</v>
      </c>
      <c r="B349" s="65">
        <v>523.14617241352994</v>
      </c>
      <c r="C349" s="65">
        <v>514.63478270009125</v>
      </c>
      <c r="D349" s="65">
        <v>515.75180979674315</v>
      </c>
      <c r="E349" s="65">
        <v>5392581.3009867659</v>
      </c>
      <c r="F349" s="65" t="s">
        <v>395</v>
      </c>
      <c r="G349" s="25">
        <f t="shared" si="10"/>
        <v>7.3231054604474544E-3</v>
      </c>
      <c r="I349" s="65">
        <v>9.0399999999999991</v>
      </c>
      <c r="J349" s="65">
        <v>9.2200000000000006</v>
      </c>
      <c r="K349" s="65">
        <v>8.75</v>
      </c>
      <c r="L349" s="65">
        <v>8.75</v>
      </c>
      <c r="M349" s="65">
        <v>37970086</v>
      </c>
      <c r="N349" s="65" t="s">
        <v>395</v>
      </c>
      <c r="O349" s="25">
        <f t="shared" si="11"/>
        <v>3.3142857142857141E-2</v>
      </c>
    </row>
    <row r="350" spans="1:21" ht="13.5" customHeight="1">
      <c r="A350" s="65">
        <v>514.12744172863495</v>
      </c>
      <c r="B350" s="65">
        <v>517.72496855432234</v>
      </c>
      <c r="C350" s="65">
        <v>512.29459648270586</v>
      </c>
      <c r="D350" s="65">
        <v>517.52565958891034</v>
      </c>
      <c r="E350" s="65">
        <v>6031437.6601914996</v>
      </c>
      <c r="F350" s="65" t="s">
        <v>396</v>
      </c>
      <c r="G350" s="25">
        <f t="shared" si="10"/>
        <v>-6.5662789802050092E-3</v>
      </c>
      <c r="I350" s="65">
        <v>8.73</v>
      </c>
      <c r="J350" s="65">
        <v>9.07</v>
      </c>
      <c r="K350" s="65">
        <v>8.66</v>
      </c>
      <c r="L350" s="65">
        <v>8.91</v>
      </c>
      <c r="M350" s="65">
        <v>25183065</v>
      </c>
      <c r="N350" s="65" t="s">
        <v>396</v>
      </c>
      <c r="O350" s="25">
        <f t="shared" si="11"/>
        <v>-2.0202020202020221E-2</v>
      </c>
    </row>
    <row r="351" spans="1:21" ht="13.5" customHeight="1">
      <c r="A351" s="65">
        <v>519.60843827746612</v>
      </c>
      <c r="B351" s="65">
        <v>522.03004220722255</v>
      </c>
      <c r="C351" s="65">
        <v>515.29339917629545</v>
      </c>
      <c r="D351" s="65">
        <v>515.66212076230772</v>
      </c>
      <c r="E351" s="65">
        <v>6291581.5021547033</v>
      </c>
      <c r="F351" s="65" t="s">
        <v>397</v>
      </c>
      <c r="G351" s="25">
        <f t="shared" si="10"/>
        <v>7.6529133249587655E-3</v>
      </c>
      <c r="I351" s="65">
        <v>8.99</v>
      </c>
      <c r="J351" s="65">
        <v>9.1</v>
      </c>
      <c r="K351" s="65">
        <v>8.6549999999999994</v>
      </c>
      <c r="L351" s="65">
        <v>8.6999999999999993</v>
      </c>
      <c r="M351" s="65">
        <v>26734875</v>
      </c>
      <c r="N351" s="65" t="s">
        <v>397</v>
      </c>
      <c r="O351" s="25">
        <f t="shared" si="11"/>
        <v>3.3333333333333437E-2</v>
      </c>
    </row>
    <row r="352" spans="1:21" ht="13.5" customHeight="1">
      <c r="A352" s="65">
        <v>515.6720862105783</v>
      </c>
      <c r="B352" s="65">
        <v>516.62876924455611</v>
      </c>
      <c r="C352" s="65">
        <v>509.07495945543968</v>
      </c>
      <c r="D352" s="65">
        <v>509.51343917934616</v>
      </c>
      <c r="E352" s="65">
        <v>7437960.4396382375</v>
      </c>
      <c r="F352" s="65" t="s">
        <v>398</v>
      </c>
      <c r="G352" s="25">
        <f t="shared" si="10"/>
        <v>1.2087310280081365E-2</v>
      </c>
      <c r="I352" s="65">
        <v>8.64</v>
      </c>
      <c r="J352" s="65">
        <v>8.68</v>
      </c>
      <c r="K352" s="65">
        <v>8.4550000000000001</v>
      </c>
      <c r="L352" s="65">
        <v>8.58</v>
      </c>
      <c r="M352" s="65">
        <v>26363234</v>
      </c>
      <c r="N352" s="65" t="s">
        <v>398</v>
      </c>
      <c r="O352" s="25">
        <f t="shared" si="11"/>
        <v>6.9930069930070893E-3</v>
      </c>
    </row>
    <row r="353" spans="1:15" ht="13.5" customHeight="1">
      <c r="A353" s="65">
        <v>505.2980545608815</v>
      </c>
      <c r="B353" s="65">
        <v>512.28383379857348</v>
      </c>
      <c r="C353" s="65">
        <v>503.67368649277336</v>
      </c>
      <c r="D353" s="65">
        <v>511.73573414369048</v>
      </c>
      <c r="E353" s="65">
        <v>21725060.842337649</v>
      </c>
      <c r="F353" s="65" t="s">
        <v>399</v>
      </c>
      <c r="G353" s="25">
        <f t="shared" si="10"/>
        <v>-1.2580086074273189E-2</v>
      </c>
      <c r="I353" s="65">
        <v>8.3699999999999992</v>
      </c>
      <c r="J353" s="65">
        <v>8.8699999999999992</v>
      </c>
      <c r="K353" s="65">
        <v>8.34</v>
      </c>
      <c r="L353" s="65">
        <v>8.85</v>
      </c>
      <c r="M353" s="65">
        <v>30348416</v>
      </c>
      <c r="N353" s="65" t="s">
        <v>399</v>
      </c>
      <c r="O353" s="25">
        <f t="shared" si="11"/>
        <v>-5.4237288135593253E-2</v>
      </c>
    </row>
    <row r="354" spans="1:15" ht="13.5" customHeight="1">
      <c r="A354" s="65">
        <v>511.98487035045554</v>
      </c>
      <c r="B354" s="65">
        <v>515.95111876215515</v>
      </c>
      <c r="C354" s="65">
        <v>507.34097145635496</v>
      </c>
      <c r="D354" s="65">
        <v>515.10405565915403</v>
      </c>
      <c r="E354" s="65">
        <v>8620339.7646867074</v>
      </c>
      <c r="F354" s="65" t="s">
        <v>400</v>
      </c>
      <c r="G354" s="25">
        <f t="shared" si="10"/>
        <v>-6.0554470003288952E-3</v>
      </c>
      <c r="I354" s="65">
        <v>8.89</v>
      </c>
      <c r="J354" s="65">
        <v>9.14</v>
      </c>
      <c r="K354" s="65">
        <v>8.7750000000000004</v>
      </c>
      <c r="L354" s="65">
        <v>9.0399999999999991</v>
      </c>
      <c r="M354" s="65">
        <v>34670336</v>
      </c>
      <c r="N354" s="65" t="s">
        <v>400</v>
      </c>
      <c r="O354" s="25">
        <f t="shared" si="11"/>
        <v>-1.6592920353982188E-2</v>
      </c>
    </row>
    <row r="355" spans="1:15" ht="13.5" customHeight="1">
      <c r="A355" s="65">
        <v>509.51343917934616</v>
      </c>
      <c r="B355" s="65">
        <v>515.74174469398986</v>
      </c>
      <c r="C355" s="65">
        <v>505.77639607787034</v>
      </c>
      <c r="D355" s="65">
        <v>512.55290090187987</v>
      </c>
      <c r="E355" s="65">
        <v>11247777.014774196</v>
      </c>
      <c r="F355" s="65" t="s">
        <v>401</v>
      </c>
      <c r="G355" s="25">
        <f t="shared" si="10"/>
        <v>-5.9300449127992483E-3</v>
      </c>
      <c r="I355" s="65">
        <v>8.86</v>
      </c>
      <c r="J355" s="65">
        <v>9.1850000000000005</v>
      </c>
      <c r="K355" s="65">
        <v>8.8201000000000001</v>
      </c>
      <c r="L355" s="65">
        <v>9</v>
      </c>
      <c r="M355" s="65">
        <v>34704323</v>
      </c>
      <c r="N355" s="65" t="s">
        <v>401</v>
      </c>
      <c r="O355" s="25">
        <f t="shared" si="11"/>
        <v>-1.5555555555555656E-2</v>
      </c>
    </row>
    <row r="356" spans="1:15" ht="13.5" customHeight="1">
      <c r="A356" s="65">
        <v>513.72882379781095</v>
      </c>
      <c r="B356" s="65">
        <v>521.89052593143413</v>
      </c>
      <c r="C356" s="65">
        <v>509.0649940071691</v>
      </c>
      <c r="D356" s="65">
        <v>520.09674524272566</v>
      </c>
      <c r="E356" s="65">
        <v>11215642.986148039</v>
      </c>
      <c r="F356" s="65" t="s">
        <v>402</v>
      </c>
      <c r="G356" s="25">
        <f t="shared" si="10"/>
        <v>-1.2243724851504045E-2</v>
      </c>
      <c r="I356" s="65">
        <v>9.08</v>
      </c>
      <c r="J356" s="65">
        <v>9.5875000000000004</v>
      </c>
      <c r="K356" s="65">
        <v>9.0500000000000007</v>
      </c>
      <c r="L356" s="65">
        <v>9.49</v>
      </c>
      <c r="M356" s="65">
        <v>25559212</v>
      </c>
      <c r="N356" s="65" t="s">
        <v>402</v>
      </c>
      <c r="O356" s="25">
        <f t="shared" si="11"/>
        <v>-4.3203371970495286E-2</v>
      </c>
    </row>
    <row r="357" spans="1:15" ht="13.5" customHeight="1">
      <c r="A357" s="65">
        <v>527.68045137665388</v>
      </c>
      <c r="B357" s="65">
        <v>529.04571778972638</v>
      </c>
      <c r="C357" s="65">
        <v>518.33286089882904</v>
      </c>
      <c r="D357" s="65">
        <v>523.08637972390625</v>
      </c>
      <c r="E357" s="65">
        <v>7333618.9216487836</v>
      </c>
      <c r="F357" s="65" t="s">
        <v>403</v>
      </c>
      <c r="G357" s="25">
        <f t="shared" si="10"/>
        <v>8.782625261954724E-3</v>
      </c>
      <c r="I357" s="65">
        <v>9.7200000000000006</v>
      </c>
      <c r="J357" s="65">
        <v>9.84</v>
      </c>
      <c r="K357" s="65">
        <v>9.36</v>
      </c>
      <c r="L357" s="65">
        <v>9.52</v>
      </c>
      <c r="M357" s="65">
        <v>22471782</v>
      </c>
      <c r="N357" s="65" t="s">
        <v>403</v>
      </c>
      <c r="O357" s="25">
        <f t="shared" si="11"/>
        <v>2.1008403361344685E-2</v>
      </c>
    </row>
    <row r="358" spans="1:15" ht="13.5" customHeight="1">
      <c r="A358" s="65">
        <v>524.85026406780287</v>
      </c>
      <c r="B358" s="65">
        <v>531.58690709872985</v>
      </c>
      <c r="C358" s="65">
        <v>522.4087292415054</v>
      </c>
      <c r="D358" s="65">
        <v>527.36155703199472</v>
      </c>
      <c r="E358" s="65">
        <v>7253989.7892252151</v>
      </c>
      <c r="F358" s="65" t="s">
        <v>404</v>
      </c>
      <c r="G358" s="25">
        <f t="shared" si="10"/>
        <v>-4.7619947466885915E-3</v>
      </c>
      <c r="I358" s="65">
        <v>9.6</v>
      </c>
      <c r="J358" s="65">
        <v>9.93</v>
      </c>
      <c r="K358" s="65">
        <v>9.52</v>
      </c>
      <c r="L358" s="65">
        <v>9.625</v>
      </c>
      <c r="M358" s="65">
        <v>22203689</v>
      </c>
      <c r="N358" s="65" t="s">
        <v>404</v>
      </c>
      <c r="O358" s="25">
        <f t="shared" si="11"/>
        <v>-2.5974025974025983E-3</v>
      </c>
    </row>
    <row r="359" spans="1:15" ht="13.5" customHeight="1">
      <c r="A359" s="65">
        <v>534.54664523509871</v>
      </c>
      <c r="B359" s="65">
        <v>535.93194219919519</v>
      </c>
      <c r="C359" s="65">
        <v>525.10936572283845</v>
      </c>
      <c r="D359" s="65">
        <v>528.41789454867842</v>
      </c>
      <c r="E359" s="65">
        <v>6243316.7390512833</v>
      </c>
      <c r="F359" s="65" t="s">
        <v>405</v>
      </c>
      <c r="G359" s="25">
        <f t="shared" si="10"/>
        <v>1.1598302687411577E-2</v>
      </c>
      <c r="I359" s="65">
        <v>9.7899999999999991</v>
      </c>
      <c r="J359" s="65">
        <v>9.84</v>
      </c>
      <c r="K359" s="65">
        <v>9.51</v>
      </c>
      <c r="L359" s="65">
        <v>9.6199999999999992</v>
      </c>
      <c r="M359" s="65">
        <v>17542239</v>
      </c>
      <c r="N359" s="65" t="s">
        <v>405</v>
      </c>
      <c r="O359" s="25">
        <f t="shared" si="11"/>
        <v>1.7671517671517645E-2</v>
      </c>
    </row>
    <row r="360" spans="1:15" ht="13.5" customHeight="1">
      <c r="A360" s="65">
        <v>528.61720351409053</v>
      </c>
      <c r="B360" s="65">
        <v>536.42004985548931</v>
      </c>
      <c r="C360" s="65">
        <v>524.34202620600217</v>
      </c>
      <c r="D360" s="65">
        <v>531.21818551271758</v>
      </c>
      <c r="E360" s="65">
        <v>10513761.865493005</v>
      </c>
      <c r="F360" s="65" t="s">
        <v>406</v>
      </c>
      <c r="G360" s="25">
        <f t="shared" si="10"/>
        <v>-4.8962593329079374E-3</v>
      </c>
      <c r="I360" s="65">
        <v>9.6</v>
      </c>
      <c r="J360" s="65">
        <v>9.8550000000000004</v>
      </c>
      <c r="K360" s="65">
        <v>9.24</v>
      </c>
      <c r="L360" s="65">
        <v>9.6</v>
      </c>
      <c r="M360" s="65">
        <v>27931817</v>
      </c>
      <c r="N360" s="65" t="s">
        <v>406</v>
      </c>
      <c r="O360" s="25">
        <f t="shared" si="11"/>
        <v>0</v>
      </c>
    </row>
    <row r="361" spans="1:15" ht="13.5" customHeight="1">
      <c r="A361" s="65">
        <v>535.06484854517009</v>
      </c>
      <c r="B361" s="65">
        <v>547.39210805590494</v>
      </c>
      <c r="C361" s="65">
        <v>531.40852557468611</v>
      </c>
      <c r="D361" s="65">
        <v>546.3058741944094</v>
      </c>
      <c r="E361" s="65">
        <v>7315273.535165838</v>
      </c>
      <c r="F361" s="65" t="s">
        <v>407</v>
      </c>
      <c r="G361" s="25">
        <f t="shared" si="10"/>
        <v>-2.0576431959139163E-2</v>
      </c>
      <c r="I361" s="65">
        <v>9.77</v>
      </c>
      <c r="J361" s="65">
        <v>10.38</v>
      </c>
      <c r="K361" s="65">
        <v>9.76</v>
      </c>
      <c r="L361" s="65">
        <v>10.32</v>
      </c>
      <c r="M361" s="65">
        <v>22076090</v>
      </c>
      <c r="N361" s="65" t="s">
        <v>407</v>
      </c>
      <c r="O361" s="25">
        <f t="shared" si="11"/>
        <v>-5.3294573643410947E-2</v>
      </c>
    </row>
    <row r="362" spans="1:15" ht="13.5" customHeight="1">
      <c r="A362" s="65">
        <v>544.44233536780678</v>
      </c>
      <c r="B362" s="65">
        <v>545.00040047096036</v>
      </c>
      <c r="C362" s="65">
        <v>533.72947847690943</v>
      </c>
      <c r="D362" s="65">
        <v>536.55966578576033</v>
      </c>
      <c r="E362" s="65">
        <v>7353458.470721879</v>
      </c>
      <c r="F362" s="65" t="s">
        <v>408</v>
      </c>
      <c r="G362" s="25">
        <f t="shared" si="10"/>
        <v>1.4691133315998917E-2</v>
      </c>
      <c r="I362" s="65">
        <v>10.25</v>
      </c>
      <c r="J362" s="65">
        <v>10.26</v>
      </c>
      <c r="K362" s="65">
        <v>9.86</v>
      </c>
      <c r="L362" s="65">
        <v>9.9700000000000006</v>
      </c>
      <c r="M362" s="65">
        <v>21464777</v>
      </c>
      <c r="N362" s="65" t="s">
        <v>408</v>
      </c>
      <c r="O362" s="25">
        <f t="shared" si="11"/>
        <v>2.8084252758274753E-2</v>
      </c>
    </row>
    <row r="363" spans="1:15" ht="13.5" customHeight="1">
      <c r="A363" s="65">
        <v>536.11122061358333</v>
      </c>
      <c r="B363" s="65">
        <v>547.98006950387048</v>
      </c>
      <c r="C363" s="65">
        <v>535.74249902757106</v>
      </c>
      <c r="D363" s="65">
        <v>546.93369743545725</v>
      </c>
      <c r="E363" s="65">
        <v>5540494.3662071563</v>
      </c>
      <c r="F363" s="65" t="s">
        <v>409</v>
      </c>
      <c r="G363" s="25">
        <f t="shared" si="10"/>
        <v>-1.9787548056775295E-2</v>
      </c>
      <c r="I363" s="65">
        <v>9.99</v>
      </c>
      <c r="J363" s="65">
        <v>10.305</v>
      </c>
      <c r="K363" s="65">
        <v>9.93</v>
      </c>
      <c r="L363" s="65">
        <v>10.199999999999999</v>
      </c>
      <c r="M363" s="65">
        <v>18277930</v>
      </c>
      <c r="N363" s="65" t="s">
        <v>409</v>
      </c>
      <c r="O363" s="25">
        <f t="shared" si="11"/>
        <v>-2.0588235294117574E-2</v>
      </c>
    </row>
    <row r="364" spans="1:15" ht="13.5" customHeight="1">
      <c r="A364" s="65">
        <v>544.86088419517193</v>
      </c>
      <c r="B364" s="65">
        <v>549.4400076755137</v>
      </c>
      <c r="C364" s="65">
        <v>542.36952212752146</v>
      </c>
      <c r="D364" s="65">
        <v>546.11653067726786</v>
      </c>
      <c r="E364" s="65">
        <v>4195298.4817886017</v>
      </c>
      <c r="F364" s="65" t="s">
        <v>410</v>
      </c>
      <c r="G364" s="25">
        <f t="shared" si="10"/>
        <v>-2.2992281162753647E-3</v>
      </c>
      <c r="I364" s="65">
        <v>10.16</v>
      </c>
      <c r="J364" s="65">
        <v>10.585000000000001</v>
      </c>
      <c r="K364" s="65">
        <v>10.1</v>
      </c>
      <c r="L364" s="65">
        <v>10.48</v>
      </c>
      <c r="M364" s="65">
        <v>23990980</v>
      </c>
      <c r="N364" s="65" t="s">
        <v>410</v>
      </c>
      <c r="O364" s="25">
        <f t="shared" si="11"/>
        <v>-3.0534351145038219E-2</v>
      </c>
    </row>
    <row r="365" spans="1:15" ht="13.5" customHeight="1">
      <c r="A365" s="65">
        <v>544.52205895397151</v>
      </c>
      <c r="B365" s="65">
        <v>547.87044957289379</v>
      </c>
      <c r="C365" s="65">
        <v>540.2951144155129</v>
      </c>
      <c r="D365" s="65">
        <v>547.28248812492825</v>
      </c>
      <c r="E365" s="65">
        <v>5510533.8474334273</v>
      </c>
      <c r="F365" s="65" t="s">
        <v>411</v>
      </c>
      <c r="G365" s="25">
        <f t="shared" si="10"/>
        <v>-5.0438836082886684E-3</v>
      </c>
      <c r="I365" s="65">
        <v>10.4</v>
      </c>
      <c r="J365" s="65">
        <v>10.52</v>
      </c>
      <c r="K365" s="65">
        <v>10.1</v>
      </c>
      <c r="L365" s="65">
        <v>10.35</v>
      </c>
      <c r="M365" s="65">
        <v>19790495</v>
      </c>
      <c r="N365" s="65" t="s">
        <v>411</v>
      </c>
      <c r="O365" s="25">
        <f t="shared" si="11"/>
        <v>4.8309178743961567E-3</v>
      </c>
    </row>
    <row r="366" spans="1:15" ht="13.5" customHeight="1">
      <c r="A366" s="65">
        <v>547.24262633184594</v>
      </c>
      <c r="B366" s="65">
        <v>552.59407205315927</v>
      </c>
      <c r="C366" s="65">
        <v>546.61809168872719</v>
      </c>
      <c r="D366" s="65">
        <v>551.69718170880503</v>
      </c>
      <c r="E366" s="65">
        <v>4788801.1360994671</v>
      </c>
      <c r="F366" s="65" t="s">
        <v>412</v>
      </c>
      <c r="G366" s="25">
        <f t="shared" si="10"/>
        <v>-8.0742761149544817E-3</v>
      </c>
      <c r="I366" s="65">
        <v>10.42</v>
      </c>
      <c r="J366" s="65">
        <v>10.55</v>
      </c>
      <c r="K366" s="65">
        <v>10.1</v>
      </c>
      <c r="L366" s="65">
        <v>10.39</v>
      </c>
      <c r="M366" s="65">
        <v>17995864</v>
      </c>
      <c r="N366" s="65" t="s">
        <v>412</v>
      </c>
      <c r="O366" s="25">
        <f t="shared" si="11"/>
        <v>2.887391722810273E-3</v>
      </c>
    </row>
    <row r="367" spans="1:15" ht="13.5" customHeight="1">
      <c r="A367" s="65">
        <v>549.8436083304731</v>
      </c>
      <c r="B367" s="65">
        <v>559.2609569461921</v>
      </c>
      <c r="C367" s="65">
        <v>549.36028408934885</v>
      </c>
      <c r="D367" s="65">
        <v>559.16130246348609</v>
      </c>
      <c r="E367" s="65">
        <v>6170012.4600902461</v>
      </c>
      <c r="F367" s="65" t="s">
        <v>413</v>
      </c>
      <c r="G367" s="25">
        <f t="shared" si="10"/>
        <v>-1.6663696310817988E-2</v>
      </c>
      <c r="I367" s="65">
        <v>10.34</v>
      </c>
      <c r="J367" s="65">
        <v>10.8</v>
      </c>
      <c r="K367" s="65">
        <v>10.33</v>
      </c>
      <c r="L367" s="65">
        <v>10.7</v>
      </c>
      <c r="M367" s="65">
        <v>17290513</v>
      </c>
      <c r="N367" s="65" t="s">
        <v>413</v>
      </c>
      <c r="O367" s="25">
        <f t="shared" si="11"/>
        <v>-3.3644859813084071E-2</v>
      </c>
    </row>
    <row r="368" spans="1:15" ht="13.5" customHeight="1">
      <c r="A368" s="65">
        <v>559.3606114288981</v>
      </c>
      <c r="B368" s="65">
        <v>560.54101877655091</v>
      </c>
      <c r="C368" s="65">
        <v>556.29125336155266</v>
      </c>
      <c r="D368" s="65">
        <v>560.44684529039375</v>
      </c>
      <c r="E368" s="65">
        <v>4462199.6715570865</v>
      </c>
      <c r="F368" s="65" t="s">
        <v>414</v>
      </c>
      <c r="G368" s="25">
        <f t="shared" si="10"/>
        <v>-1.9381567951066714E-3</v>
      </c>
      <c r="I368" s="65">
        <v>10.68</v>
      </c>
      <c r="J368" s="65">
        <v>10.83</v>
      </c>
      <c r="K368" s="65">
        <v>10.5715</v>
      </c>
      <c r="L368" s="65">
        <v>10.78</v>
      </c>
      <c r="M368" s="65">
        <v>16000276</v>
      </c>
      <c r="N368" s="65" t="s">
        <v>414</v>
      </c>
      <c r="O368" s="25">
        <f t="shared" si="11"/>
        <v>-9.2764378478663589E-3</v>
      </c>
    </row>
    <row r="369" spans="1:15" ht="13.5" customHeight="1">
      <c r="A369" s="65">
        <v>561.72242266903072</v>
      </c>
      <c r="B369" s="65">
        <v>561.97155887579584</v>
      </c>
      <c r="C369" s="65">
        <v>558.5942684568887</v>
      </c>
      <c r="D369" s="65">
        <v>559.08157887732125</v>
      </c>
      <c r="E369" s="65">
        <v>3870935.7524635624</v>
      </c>
      <c r="F369" s="65" t="s">
        <v>415</v>
      </c>
      <c r="G369" s="25">
        <f t="shared" si="10"/>
        <v>4.7235392677620336E-3</v>
      </c>
      <c r="I369" s="65">
        <v>10.78</v>
      </c>
      <c r="J369" s="65">
        <v>10.97</v>
      </c>
      <c r="K369" s="65">
        <v>10.72</v>
      </c>
      <c r="L369" s="65">
        <v>10.92</v>
      </c>
      <c r="M369" s="65">
        <v>18582731</v>
      </c>
      <c r="N369" s="65" t="s">
        <v>415</v>
      </c>
      <c r="O369" s="25">
        <f t="shared" si="11"/>
        <v>-1.2820512820512886E-2</v>
      </c>
    </row>
    <row r="370" spans="1:15" ht="13.5" customHeight="1">
      <c r="A370" s="65">
        <v>560.36712170422891</v>
      </c>
      <c r="B370" s="65">
        <v>560.36712170422891</v>
      </c>
      <c r="C370" s="65">
        <v>557.55686529191917</v>
      </c>
      <c r="D370" s="65">
        <v>559.85888384242821</v>
      </c>
      <c r="E370" s="65">
        <v>3858235.8721808712</v>
      </c>
      <c r="F370" s="65" t="s">
        <v>416</v>
      </c>
      <c r="G370" s="25">
        <f t="shared" si="10"/>
        <v>9.077963688144397E-4</v>
      </c>
      <c r="I370" s="65">
        <v>11.04</v>
      </c>
      <c r="J370" s="65">
        <v>11.045</v>
      </c>
      <c r="K370" s="65">
        <v>10.715</v>
      </c>
      <c r="L370" s="65">
        <v>10.88</v>
      </c>
      <c r="M370" s="65">
        <v>23782028</v>
      </c>
      <c r="N370" s="65" t="s">
        <v>416</v>
      </c>
      <c r="O370" s="25">
        <f t="shared" si="11"/>
        <v>1.4705882352941124E-2</v>
      </c>
    </row>
    <row r="371" spans="1:15" ht="13.5" customHeight="1">
      <c r="A371" s="65">
        <v>558.7527190843914</v>
      </c>
      <c r="B371" s="65">
        <v>559.91867653205179</v>
      </c>
      <c r="C371" s="65">
        <v>558.13486129161413</v>
      </c>
      <c r="D371" s="65">
        <v>558.96199349807398</v>
      </c>
      <c r="E371" s="65">
        <v>3392290.9519008892</v>
      </c>
      <c r="F371" s="65" t="s">
        <v>417</v>
      </c>
      <c r="G371" s="25">
        <f t="shared" si="10"/>
        <v>-3.7439828846486112E-4</v>
      </c>
      <c r="I371" s="65">
        <v>10.85</v>
      </c>
      <c r="J371" s="65">
        <v>11.2</v>
      </c>
      <c r="K371" s="65">
        <v>10.83</v>
      </c>
      <c r="L371" s="65">
        <v>11.12</v>
      </c>
      <c r="M371" s="65">
        <v>19265655</v>
      </c>
      <c r="N371" s="65" t="s">
        <v>417</v>
      </c>
      <c r="O371" s="25">
        <f t="shared" si="11"/>
        <v>-2.4280575539568305E-2</v>
      </c>
    </row>
    <row r="372" spans="1:15" ht="13.5" customHeight="1">
      <c r="A372" s="65">
        <v>558.73278818785013</v>
      </c>
      <c r="B372" s="65">
        <v>558.94206260153283</v>
      </c>
      <c r="C372" s="65">
        <v>552.7784328461654</v>
      </c>
      <c r="D372" s="65">
        <v>553.94937301796119</v>
      </c>
      <c r="E372" s="65">
        <v>3400246.4394863169</v>
      </c>
      <c r="F372" s="65" t="s">
        <v>418</v>
      </c>
      <c r="G372" s="25">
        <f t="shared" si="10"/>
        <v>8.6351125263099959E-3</v>
      </c>
      <c r="I372" s="65">
        <v>11.25</v>
      </c>
      <c r="J372" s="65">
        <v>11.26</v>
      </c>
      <c r="K372" s="65">
        <v>10.7567</v>
      </c>
      <c r="L372" s="65">
        <v>10.76</v>
      </c>
      <c r="M372" s="65">
        <v>29098965</v>
      </c>
      <c r="N372" s="65" t="s">
        <v>418</v>
      </c>
      <c r="O372" s="25">
        <f t="shared" si="11"/>
        <v>4.5539033457249189E-2</v>
      </c>
    </row>
    <row r="373" spans="1:15" ht="13.5" customHeight="1">
      <c r="A373" s="65">
        <v>552.89303550127727</v>
      </c>
      <c r="B373" s="65">
        <v>553.99421753517879</v>
      </c>
      <c r="C373" s="65">
        <v>548.48830736567118</v>
      </c>
      <c r="D373" s="65">
        <v>549.09619971017787</v>
      </c>
      <c r="E373" s="65">
        <v>3591893.6136163576</v>
      </c>
      <c r="F373" s="65" t="s">
        <v>419</v>
      </c>
      <c r="G373" s="25">
        <f t="shared" si="10"/>
        <v>6.9147005444645249E-3</v>
      </c>
      <c r="I373" s="65">
        <v>10.73</v>
      </c>
      <c r="J373" s="65">
        <v>10.92</v>
      </c>
      <c r="K373" s="65">
        <v>10.67</v>
      </c>
      <c r="L373" s="65">
        <v>10.67</v>
      </c>
      <c r="M373" s="65">
        <v>20670707</v>
      </c>
      <c r="N373" s="65" t="s">
        <v>419</v>
      </c>
      <c r="O373" s="25">
        <f t="shared" si="11"/>
        <v>5.62324273664494E-3</v>
      </c>
    </row>
    <row r="374" spans="1:15" ht="13.5" customHeight="1">
      <c r="A374" s="65">
        <v>554.72667798306804</v>
      </c>
      <c r="B374" s="65">
        <v>555.19007132765114</v>
      </c>
      <c r="C374" s="65">
        <v>552.07586874308799</v>
      </c>
      <c r="D374" s="65">
        <v>552.18548867406457</v>
      </c>
      <c r="E374" s="65">
        <v>2762467.8040034226</v>
      </c>
      <c r="F374" s="65" t="s">
        <v>420</v>
      </c>
      <c r="G374" s="25">
        <f t="shared" si="10"/>
        <v>4.6020573903626794E-3</v>
      </c>
      <c r="I374" s="65">
        <v>10.87</v>
      </c>
      <c r="J374" s="65">
        <v>10.92</v>
      </c>
      <c r="K374" s="65">
        <v>10.35</v>
      </c>
      <c r="L374" s="65">
        <v>10.44</v>
      </c>
      <c r="M374" s="65">
        <v>24892969</v>
      </c>
      <c r="N374" s="65" t="s">
        <v>420</v>
      </c>
      <c r="O374" s="25">
        <f t="shared" si="11"/>
        <v>4.1187739463601547E-2</v>
      </c>
    </row>
    <row r="375" spans="1:15" ht="13.5" customHeight="1">
      <c r="A375" s="65">
        <v>554.22840556953793</v>
      </c>
      <c r="B375" s="65">
        <v>554.85174435886415</v>
      </c>
      <c r="C375" s="65">
        <v>552.325004949853</v>
      </c>
      <c r="D375" s="65">
        <v>553.52085874232534</v>
      </c>
      <c r="E375" s="65">
        <v>3529747.8893916928</v>
      </c>
      <c r="F375" s="65" t="s">
        <v>421</v>
      </c>
      <c r="G375" s="25">
        <f t="shared" si="10"/>
        <v>1.2782658793026869E-3</v>
      </c>
      <c r="I375" s="65">
        <v>10.71</v>
      </c>
      <c r="J375" s="65">
        <v>11.09</v>
      </c>
      <c r="K375" s="65">
        <v>10.675000000000001</v>
      </c>
      <c r="L375" s="65">
        <v>10.805</v>
      </c>
      <c r="M375" s="65">
        <v>30217275</v>
      </c>
      <c r="N375" s="65" t="s">
        <v>421</v>
      </c>
      <c r="O375" s="25">
        <f t="shared" si="11"/>
        <v>-8.7922258213788407E-3</v>
      </c>
    </row>
    <row r="376" spans="1:15" ht="13.5" customHeight="1">
      <c r="A376" s="65">
        <v>550.29205350265022</v>
      </c>
      <c r="B376" s="65">
        <v>557.26786729207174</v>
      </c>
      <c r="C376" s="65">
        <v>549.8884528476907</v>
      </c>
      <c r="D376" s="65">
        <v>556.17166798230539</v>
      </c>
      <c r="E376" s="65">
        <v>10196785.657877898</v>
      </c>
      <c r="F376" s="65" t="s">
        <v>422</v>
      </c>
      <c r="G376" s="25">
        <f t="shared" si="10"/>
        <v>-1.057158215373577E-2</v>
      </c>
      <c r="I376" s="65">
        <v>10.92</v>
      </c>
      <c r="J376" s="65">
        <v>11.05</v>
      </c>
      <c r="K376" s="65">
        <v>10.6</v>
      </c>
      <c r="L376" s="65">
        <v>10.72</v>
      </c>
      <c r="M376" s="65">
        <v>31624254</v>
      </c>
      <c r="N376" s="65" t="s">
        <v>422</v>
      </c>
      <c r="O376" s="25">
        <f t="shared" si="11"/>
        <v>1.8656716417910335E-2</v>
      </c>
    </row>
    <row r="377" spans="1:15" ht="13.5" customHeight="1">
      <c r="A377" s="65">
        <v>555.69332646531655</v>
      </c>
      <c r="B377" s="65">
        <v>555.72322281012828</v>
      </c>
      <c r="C377" s="65">
        <v>552.2751777085</v>
      </c>
      <c r="D377" s="65">
        <v>555.36446667238658</v>
      </c>
      <c r="E377" s="65">
        <v>3618802.5887791775</v>
      </c>
      <c r="F377" s="65" t="s">
        <v>423</v>
      </c>
      <c r="G377" s="25">
        <f t="shared" si="10"/>
        <v>5.9215130363021728E-4</v>
      </c>
      <c r="I377" s="65">
        <v>10.69</v>
      </c>
      <c r="J377" s="65">
        <v>10.789899999999999</v>
      </c>
      <c r="K377" s="65">
        <v>10.35</v>
      </c>
      <c r="L377" s="65">
        <v>10.49</v>
      </c>
      <c r="M377" s="65">
        <v>40553416</v>
      </c>
      <c r="N377" s="65" t="s">
        <v>423</v>
      </c>
      <c r="O377" s="25">
        <f t="shared" si="11"/>
        <v>1.9065776930409895E-2</v>
      </c>
    </row>
    <row r="378" spans="1:15" ht="13.5" customHeight="1">
      <c r="A378" s="65">
        <v>553.70023681119608</v>
      </c>
      <c r="B378" s="65">
        <v>553.80985674217277</v>
      </c>
      <c r="C378" s="65">
        <v>548.50823826221233</v>
      </c>
      <c r="D378" s="65">
        <v>550.43156977843864</v>
      </c>
      <c r="E378" s="65">
        <v>3436056.1682922682</v>
      </c>
      <c r="F378" s="65" t="s">
        <v>424</v>
      </c>
      <c r="G378" s="25">
        <f t="shared" si="10"/>
        <v>5.9383712930440868E-3</v>
      </c>
      <c r="I378" s="65">
        <v>10.63</v>
      </c>
      <c r="J378" s="65">
        <v>11.57</v>
      </c>
      <c r="K378" s="65">
        <v>10.59</v>
      </c>
      <c r="L378" s="65">
        <v>11.535</v>
      </c>
      <c r="M378" s="65">
        <v>91226361</v>
      </c>
      <c r="N378" s="65" t="s">
        <v>424</v>
      </c>
      <c r="O378" s="25">
        <f t="shared" si="11"/>
        <v>-7.8456870394451594E-2</v>
      </c>
    </row>
    <row r="379" spans="1:15" ht="13.5" customHeight="1">
      <c r="A379" s="65">
        <v>551.43808005376945</v>
      </c>
      <c r="B379" s="65">
        <v>551.9164215707583</v>
      </c>
      <c r="C379" s="65">
        <v>547.33231536628136</v>
      </c>
      <c r="D379" s="65">
        <v>547.80069143499964</v>
      </c>
      <c r="E379" s="65">
        <v>4195910.5967516582</v>
      </c>
      <c r="F379" s="65" t="s">
        <v>425</v>
      </c>
      <c r="G379" s="25">
        <f t="shared" si="10"/>
        <v>6.6399854466072661E-3</v>
      </c>
      <c r="I379" s="65">
        <v>11.6</v>
      </c>
      <c r="J379" s="65">
        <v>11.71</v>
      </c>
      <c r="K379" s="65">
        <v>11.185</v>
      </c>
      <c r="L379" s="65">
        <v>11.19</v>
      </c>
      <c r="M379" s="65">
        <v>65699089</v>
      </c>
      <c r="N379" s="65" t="s">
        <v>425</v>
      </c>
      <c r="O379" s="25">
        <f t="shared" si="11"/>
        <v>3.6639857015192234E-2</v>
      </c>
    </row>
    <row r="380" spans="1:15" ht="13.5" customHeight="1">
      <c r="A380" s="65">
        <v>547.80069143499964</v>
      </c>
      <c r="B380" s="65">
        <v>550.05278308967297</v>
      </c>
      <c r="C380" s="65">
        <v>541.10391019715496</v>
      </c>
      <c r="D380" s="65">
        <v>543.106965299546</v>
      </c>
      <c r="E380" s="65">
        <v>7851164.1298472667</v>
      </c>
      <c r="F380" s="65" t="s">
        <v>426</v>
      </c>
      <c r="G380" s="25">
        <f t="shared" si="10"/>
        <v>8.6423604102827678E-3</v>
      </c>
      <c r="I380" s="65">
        <v>11.17</v>
      </c>
      <c r="J380" s="65">
        <v>11.3</v>
      </c>
      <c r="K380" s="65">
        <v>10.955</v>
      </c>
      <c r="L380" s="65">
        <v>11</v>
      </c>
      <c r="M380" s="65">
        <v>56262567</v>
      </c>
      <c r="N380" s="65" t="s">
        <v>426</v>
      </c>
      <c r="O380" s="25">
        <f t="shared" si="11"/>
        <v>1.5454545454545388E-2</v>
      </c>
    </row>
    <row r="381" spans="1:15" ht="13.5" customHeight="1">
      <c r="A381" s="65">
        <v>551.41814915722819</v>
      </c>
      <c r="B381" s="65">
        <v>558.9520280498034</v>
      </c>
      <c r="C381" s="65">
        <v>550.80029136445091</v>
      </c>
      <c r="D381" s="65">
        <v>556.68987129237678</v>
      </c>
      <c r="E381" s="65">
        <v>6264968.5498018861</v>
      </c>
      <c r="F381" s="65" t="s">
        <v>427</v>
      </c>
      <c r="G381" s="25">
        <f t="shared" si="10"/>
        <v>-9.4697647774875104E-3</v>
      </c>
      <c r="I381" s="65">
        <v>11.29</v>
      </c>
      <c r="J381" s="65">
        <v>11.73</v>
      </c>
      <c r="K381" s="65">
        <v>11.26</v>
      </c>
      <c r="L381" s="65">
        <v>11.43</v>
      </c>
      <c r="M381" s="65">
        <v>23140849</v>
      </c>
      <c r="N381" s="65" t="s">
        <v>427</v>
      </c>
      <c r="O381" s="25">
        <f t="shared" si="11"/>
        <v>-1.2248468941382429E-2</v>
      </c>
    </row>
    <row r="382" spans="1:15" ht="13.5" customHeight="1">
      <c r="A382" s="65">
        <v>554.37788729359704</v>
      </c>
      <c r="B382" s="65">
        <v>555.85277363764612</v>
      </c>
      <c r="C382" s="65">
        <v>550.47143157152095</v>
      </c>
      <c r="D382" s="65">
        <v>553.45110060443108</v>
      </c>
      <c r="E382" s="65">
        <v>4311434.7526891446</v>
      </c>
      <c r="F382" s="65" t="s">
        <v>428</v>
      </c>
      <c r="G382" s="25">
        <f t="shared" si="10"/>
        <v>1.6745593028071326E-3</v>
      </c>
      <c r="I382" s="65">
        <v>11.35</v>
      </c>
      <c r="J382" s="65">
        <v>11.664999999999999</v>
      </c>
      <c r="K382" s="65">
        <v>11.14</v>
      </c>
      <c r="L382" s="65">
        <v>11.64</v>
      </c>
      <c r="M382" s="65">
        <v>19930552</v>
      </c>
      <c r="N382" s="65" t="s">
        <v>428</v>
      </c>
      <c r="O382" s="25">
        <f t="shared" si="11"/>
        <v>-2.4914089347079171E-2</v>
      </c>
    </row>
    <row r="383" spans="1:15" ht="13.5" customHeight="1">
      <c r="A383" s="65">
        <v>551.49787274339303</v>
      </c>
      <c r="B383" s="65">
        <v>553.58065143194881</v>
      </c>
      <c r="C383" s="65">
        <v>549.06640301984885</v>
      </c>
      <c r="D383" s="65">
        <v>553.25179163901896</v>
      </c>
      <c r="E383" s="65">
        <v>4188944.5277786455</v>
      </c>
      <c r="F383" s="65" t="s">
        <v>429</v>
      </c>
      <c r="G383" s="25">
        <f t="shared" si="10"/>
        <v>-3.1702001188824713E-3</v>
      </c>
      <c r="I383" s="65">
        <v>11.63</v>
      </c>
      <c r="J383" s="65">
        <v>11.77</v>
      </c>
      <c r="K383" s="65">
        <v>11.19</v>
      </c>
      <c r="L383" s="65">
        <v>11.25</v>
      </c>
      <c r="M383" s="65">
        <v>27625268</v>
      </c>
      <c r="N383" s="65" t="s">
        <v>429</v>
      </c>
      <c r="O383" s="25">
        <f t="shared" si="11"/>
        <v>3.3777777777777906E-2</v>
      </c>
    </row>
    <row r="384" spans="1:15" ht="13.5" customHeight="1">
      <c r="A384" s="65">
        <v>553.92944212141992</v>
      </c>
      <c r="B384" s="65">
        <v>554.72667798306804</v>
      </c>
      <c r="C384" s="65">
        <v>547.32234991801079</v>
      </c>
      <c r="D384" s="65">
        <v>550.39170798535611</v>
      </c>
      <c r="E384" s="65">
        <v>4179113.5600850987</v>
      </c>
      <c r="F384" s="65" t="s">
        <v>430</v>
      </c>
      <c r="G384" s="25">
        <f t="shared" ref="G384:G447" si="13">A384/D384-1</f>
        <v>6.4276661234836663E-3</v>
      </c>
      <c r="I384" s="65">
        <v>11.19</v>
      </c>
      <c r="J384" s="65">
        <v>11.2</v>
      </c>
      <c r="K384" s="65">
        <v>10.765000000000001</v>
      </c>
      <c r="L384" s="65">
        <v>10.88</v>
      </c>
      <c r="M384" s="65">
        <v>21291538</v>
      </c>
      <c r="N384" s="65" t="s">
        <v>430</v>
      </c>
      <c r="O384" s="25">
        <f t="shared" ref="O384:O447" si="14">I384/L384-1</f>
        <v>2.8492647058823373E-2</v>
      </c>
    </row>
    <row r="385" spans="1:15" ht="13.5" customHeight="1">
      <c r="A385" s="65">
        <v>549.32540502040172</v>
      </c>
      <c r="B385" s="65">
        <v>549.48485219273141</v>
      </c>
      <c r="C385" s="65">
        <v>544.94060778133689</v>
      </c>
      <c r="D385" s="65">
        <v>545.04026226404278</v>
      </c>
      <c r="E385" s="65">
        <v>7643795.6358382031</v>
      </c>
      <c r="F385" s="65" t="s">
        <v>431</v>
      </c>
      <c r="G385" s="25">
        <f t="shared" si="13"/>
        <v>7.8620664436033216E-3</v>
      </c>
      <c r="I385" s="65">
        <v>10.85</v>
      </c>
      <c r="J385" s="65">
        <v>11.19</v>
      </c>
      <c r="K385" s="65">
        <v>10.585000000000001</v>
      </c>
      <c r="L385" s="65">
        <v>10.59</v>
      </c>
      <c r="M385" s="65">
        <v>23584434</v>
      </c>
      <c r="N385" s="65" t="s">
        <v>431</v>
      </c>
      <c r="O385" s="25">
        <f t="shared" si="14"/>
        <v>2.455146364494798E-2</v>
      </c>
    </row>
    <row r="386" spans="1:15" ht="13.5" customHeight="1">
      <c r="A386" s="65">
        <v>557.0785237749302</v>
      </c>
      <c r="B386" s="65">
        <v>559.71936756663979</v>
      </c>
      <c r="C386" s="65">
        <v>556.09194439614055</v>
      </c>
      <c r="D386" s="65">
        <v>558.82247722228556</v>
      </c>
      <c r="E386" s="65">
        <v>3624664.8438843829</v>
      </c>
      <c r="F386" s="65" t="s">
        <v>432</v>
      </c>
      <c r="G386" s="25">
        <f t="shared" si="13"/>
        <v>-3.1207646765104569E-3</v>
      </c>
      <c r="I386" s="65">
        <v>10.89</v>
      </c>
      <c r="J386" s="65">
        <v>10.9</v>
      </c>
      <c r="K386" s="65">
        <v>10.65</v>
      </c>
      <c r="L386" s="65">
        <v>10.65</v>
      </c>
      <c r="M386" s="65">
        <v>19712193</v>
      </c>
      <c r="N386" s="65" t="s">
        <v>432</v>
      </c>
      <c r="O386" s="25">
        <f t="shared" si="14"/>
        <v>2.2535211267605604E-2</v>
      </c>
    </row>
    <row r="387" spans="1:15" ht="13.5" customHeight="1">
      <c r="A387" s="65">
        <v>558.76268453266198</v>
      </c>
      <c r="B387" s="65">
        <v>558.76268453266198</v>
      </c>
      <c r="C387" s="65">
        <v>554.87615970712704</v>
      </c>
      <c r="D387" s="65">
        <v>555.11533046562158</v>
      </c>
      <c r="E387" s="65">
        <v>6239436.3315723669</v>
      </c>
      <c r="F387" s="65" t="s">
        <v>433</v>
      </c>
      <c r="G387" s="25">
        <f t="shared" si="13"/>
        <v>6.5704437742353239E-3</v>
      </c>
      <c r="I387" s="65">
        <v>10.58</v>
      </c>
      <c r="J387" s="65">
        <v>10.67</v>
      </c>
      <c r="K387" s="65">
        <v>10.4</v>
      </c>
      <c r="L387" s="65">
        <v>10.41</v>
      </c>
      <c r="M387" s="65">
        <v>19161849</v>
      </c>
      <c r="N387" s="65" t="s">
        <v>433</v>
      </c>
      <c r="O387" s="25">
        <f t="shared" si="14"/>
        <v>1.6330451488952846E-2</v>
      </c>
    </row>
    <row r="388" spans="1:15" ht="13.5" customHeight="1">
      <c r="A388" s="65">
        <v>555.68336101704597</v>
      </c>
      <c r="B388" s="65">
        <v>556.99870053428265</v>
      </c>
      <c r="C388" s="65">
        <v>554.80640156923289</v>
      </c>
      <c r="D388" s="65">
        <v>555.2648121896807</v>
      </c>
      <c r="E388" s="65">
        <v>4796609.1140134707</v>
      </c>
      <c r="F388" s="65" t="s">
        <v>434</v>
      </c>
      <c r="G388" s="25">
        <f t="shared" si="13"/>
        <v>7.5378237226075839E-4</v>
      </c>
      <c r="I388" s="65">
        <v>10.46</v>
      </c>
      <c r="J388" s="65">
        <v>10.76</v>
      </c>
      <c r="K388" s="65">
        <v>10.45</v>
      </c>
      <c r="L388" s="65">
        <v>10.68</v>
      </c>
      <c r="M388" s="65">
        <v>24284072</v>
      </c>
      <c r="N388" s="65" t="s">
        <v>434</v>
      </c>
      <c r="O388" s="25">
        <f t="shared" si="14"/>
        <v>-2.0599250936329527E-2</v>
      </c>
    </row>
    <row r="389" spans="1:15" ht="13.5" customHeight="1">
      <c r="A389" s="65">
        <v>552.54424481180627</v>
      </c>
      <c r="B389" s="65">
        <v>552.54424481180627</v>
      </c>
      <c r="C389" s="65">
        <v>548.59792729664775</v>
      </c>
      <c r="D389" s="65">
        <v>550.41163888189737</v>
      </c>
      <c r="E389" s="65">
        <v>5320059.7264047191</v>
      </c>
      <c r="F389" s="65" t="s">
        <v>435</v>
      </c>
      <c r="G389" s="25">
        <f t="shared" si="13"/>
        <v>3.8745654692933229E-3</v>
      </c>
      <c r="I389" s="65">
        <v>10.56</v>
      </c>
      <c r="J389" s="65">
        <v>10.975</v>
      </c>
      <c r="K389" s="65">
        <v>10.54</v>
      </c>
      <c r="L389" s="65">
        <v>10.92</v>
      </c>
      <c r="M389" s="65">
        <v>34096707</v>
      </c>
      <c r="N389" s="65" t="s">
        <v>435</v>
      </c>
      <c r="O389" s="25">
        <f t="shared" si="14"/>
        <v>-3.2967032967032961E-2</v>
      </c>
    </row>
    <row r="390" spans="1:15" ht="13.5" customHeight="1">
      <c r="A390" s="65">
        <v>547.56152067650521</v>
      </c>
      <c r="B390" s="65">
        <v>549.21578508942514</v>
      </c>
      <c r="C390" s="65">
        <v>545.7876708843379</v>
      </c>
      <c r="D390" s="65">
        <v>547.02338646989256</v>
      </c>
      <c r="E390" s="65">
        <v>6581390.843548785</v>
      </c>
      <c r="F390" s="65" t="s">
        <v>436</v>
      </c>
      <c r="G390" s="25">
        <f t="shared" si="13"/>
        <v>9.83749908912257E-4</v>
      </c>
      <c r="I390" s="65">
        <v>10.86</v>
      </c>
      <c r="J390" s="65">
        <v>11.6</v>
      </c>
      <c r="K390" s="65">
        <v>10.8</v>
      </c>
      <c r="L390" s="65">
        <v>11.36</v>
      </c>
      <c r="M390" s="65">
        <v>48260557</v>
      </c>
      <c r="N390" s="65" t="s">
        <v>436</v>
      </c>
      <c r="O390" s="25">
        <f t="shared" si="14"/>
        <v>-4.401408450704225E-2</v>
      </c>
    </row>
    <row r="391" spans="1:15" ht="13.5" customHeight="1">
      <c r="A391" s="65">
        <v>542.35955667925089</v>
      </c>
      <c r="B391" s="65">
        <v>544.62171343667751</v>
      </c>
      <c r="C391" s="65">
        <v>541.51249357624965</v>
      </c>
      <c r="D391" s="65">
        <v>544.46226626434793</v>
      </c>
      <c r="E391" s="65">
        <v>3645347.3053656211</v>
      </c>
      <c r="F391" s="65" t="s">
        <v>437</v>
      </c>
      <c r="G391" s="25">
        <f t="shared" si="13"/>
        <v>-3.8619932277843549E-3</v>
      </c>
      <c r="I391" s="65">
        <v>11.22</v>
      </c>
      <c r="J391" s="65">
        <v>11.65</v>
      </c>
      <c r="K391" s="65">
        <v>11.17</v>
      </c>
      <c r="L391" s="65">
        <v>11.38</v>
      </c>
      <c r="M391" s="65">
        <v>37764026</v>
      </c>
      <c r="N391" s="65" t="s">
        <v>437</v>
      </c>
      <c r="O391" s="25">
        <f t="shared" si="14"/>
        <v>-1.4059753954305809E-2</v>
      </c>
    </row>
    <row r="392" spans="1:15" ht="13.5" customHeight="1">
      <c r="A392" s="65">
        <v>543.16675798916958</v>
      </c>
      <c r="B392" s="65">
        <v>544.24302640239466</v>
      </c>
      <c r="C392" s="65">
        <v>539.88812550814146</v>
      </c>
      <c r="D392" s="65">
        <v>540.96439392136654</v>
      </c>
      <c r="E392" s="65">
        <v>5325719.2811451089</v>
      </c>
      <c r="F392" s="65" t="s">
        <v>438</v>
      </c>
      <c r="G392" s="25">
        <f t="shared" si="13"/>
        <v>4.0711811951956722E-3</v>
      </c>
      <c r="I392" s="65">
        <v>11.84</v>
      </c>
      <c r="J392" s="65">
        <v>12.35</v>
      </c>
      <c r="K392" s="65">
        <v>11.62</v>
      </c>
      <c r="L392" s="65">
        <v>11.68</v>
      </c>
      <c r="M392" s="65">
        <v>35534674</v>
      </c>
      <c r="N392" s="65" t="s">
        <v>438</v>
      </c>
      <c r="O392" s="25">
        <f t="shared" si="14"/>
        <v>1.3698630136986356E-2</v>
      </c>
    </row>
    <row r="393" spans="1:15" ht="13.5" customHeight="1">
      <c r="A393" s="65">
        <v>533.41058413225016</v>
      </c>
      <c r="B393" s="65">
        <v>536.04784036258229</v>
      </c>
      <c r="C393" s="65">
        <v>529.97738754854493</v>
      </c>
      <c r="D393" s="65">
        <v>535.46346647599421</v>
      </c>
      <c r="E393" s="65">
        <v>8850583.2959053349</v>
      </c>
      <c r="F393" s="65" t="s">
        <v>439</v>
      </c>
      <c r="G393" s="25">
        <f t="shared" si="13"/>
        <v>-3.8338420308196008E-3</v>
      </c>
      <c r="I393" s="65">
        <v>11.34</v>
      </c>
      <c r="J393" s="65">
        <v>11.81</v>
      </c>
      <c r="K393" s="65">
        <v>11.285</v>
      </c>
      <c r="L393" s="65">
        <v>11.78</v>
      </c>
      <c r="M393" s="65">
        <v>38181542</v>
      </c>
      <c r="N393" s="65" t="s">
        <v>439</v>
      </c>
      <c r="O393" s="25">
        <f t="shared" si="14"/>
        <v>-3.7351443123938788E-2</v>
      </c>
    </row>
    <row r="394" spans="1:15" ht="13.5" customHeight="1">
      <c r="A394" s="65">
        <v>532.7329336498492</v>
      </c>
      <c r="B394" s="65">
        <v>533.06179344277905</v>
      </c>
      <c r="C394" s="65">
        <v>527.19214441139434</v>
      </c>
      <c r="D394" s="65">
        <v>527.5708314456773</v>
      </c>
      <c r="E394" s="65">
        <v>5640499.9026304344</v>
      </c>
      <c r="F394" s="65" t="s">
        <v>440</v>
      </c>
      <c r="G394" s="25">
        <f t="shared" si="13"/>
        <v>9.7846618813750563E-3</v>
      </c>
      <c r="I394" s="65">
        <v>12.15</v>
      </c>
      <c r="J394" s="65">
        <v>12.45</v>
      </c>
      <c r="K394" s="65">
        <v>11.94</v>
      </c>
      <c r="L394" s="65">
        <v>12.24</v>
      </c>
      <c r="M394" s="65">
        <v>21092889</v>
      </c>
      <c r="N394" s="65" t="s">
        <v>440</v>
      </c>
      <c r="O394" s="25">
        <f t="shared" si="14"/>
        <v>-7.3529411764705621E-3</v>
      </c>
    </row>
    <row r="395" spans="1:15" ht="13.5" customHeight="1">
      <c r="A395" s="65">
        <v>532.04531771917766</v>
      </c>
      <c r="B395" s="65">
        <v>536.88852557869029</v>
      </c>
      <c r="C395" s="65">
        <v>530.16184799603388</v>
      </c>
      <c r="D395" s="65">
        <v>536.84866378560787</v>
      </c>
      <c r="E395" s="65">
        <v>7962714.5558606498</v>
      </c>
      <c r="F395" s="65" t="s">
        <v>441</v>
      </c>
      <c r="G395" s="25">
        <f t="shared" si="13"/>
        <v>-8.9473000315568596E-3</v>
      </c>
      <c r="I395" s="65">
        <v>12.47</v>
      </c>
      <c r="J395" s="65">
        <v>13.2805</v>
      </c>
      <c r="K395" s="65">
        <v>11.88</v>
      </c>
      <c r="L395" s="65">
        <v>11.99</v>
      </c>
      <c r="M395" s="65">
        <v>54521155</v>
      </c>
      <c r="N395" s="65" t="s">
        <v>441</v>
      </c>
      <c r="O395" s="25">
        <f t="shared" si="14"/>
        <v>4.0033361134278689E-2</v>
      </c>
    </row>
    <row r="396" spans="1:15" ht="13.5" customHeight="1">
      <c r="A396" s="65">
        <v>540.26681254242442</v>
      </c>
      <c r="B396" s="65">
        <v>541.12384109369623</v>
      </c>
      <c r="C396" s="65">
        <v>536.22084054456002</v>
      </c>
      <c r="D396" s="65">
        <v>539.44964578423503</v>
      </c>
      <c r="E396" s="65">
        <v>4331966.6940975003</v>
      </c>
      <c r="F396" s="65" t="s">
        <v>442</v>
      </c>
      <c r="G396" s="25">
        <f t="shared" si="13"/>
        <v>1.5148156358530951E-3</v>
      </c>
      <c r="I396" s="65">
        <v>12.04</v>
      </c>
      <c r="J396" s="65">
        <v>12.59</v>
      </c>
      <c r="K396" s="65">
        <v>11.93</v>
      </c>
      <c r="L396" s="65">
        <v>12.3</v>
      </c>
      <c r="M396" s="65">
        <v>25644808</v>
      </c>
      <c r="N396" s="65" t="s">
        <v>442</v>
      </c>
      <c r="O396" s="25">
        <f t="shared" si="14"/>
        <v>-2.1138211382113914E-2</v>
      </c>
    </row>
    <row r="397" spans="1:15" ht="13.5" customHeight="1">
      <c r="A397" s="65">
        <v>539.53933481867045</v>
      </c>
      <c r="B397" s="65">
        <v>547.70103695229363</v>
      </c>
      <c r="C397" s="65">
        <v>537.69572688860899</v>
      </c>
      <c r="D397" s="65">
        <v>547.42200440071679</v>
      </c>
      <c r="E397" s="65">
        <v>5401899.496965358</v>
      </c>
      <c r="F397" s="65" t="s">
        <v>443</v>
      </c>
      <c r="G397" s="25">
        <f t="shared" si="13"/>
        <v>-1.439962135003281E-2</v>
      </c>
      <c r="I397" s="65">
        <v>12.55</v>
      </c>
      <c r="J397" s="65">
        <v>12.87</v>
      </c>
      <c r="K397" s="65">
        <v>12.305</v>
      </c>
      <c r="L397" s="65">
        <v>12.65</v>
      </c>
      <c r="M397" s="65">
        <v>27577626</v>
      </c>
      <c r="N397" s="65" t="s">
        <v>443</v>
      </c>
      <c r="O397" s="25">
        <f t="shared" si="14"/>
        <v>-7.905138339920903E-3</v>
      </c>
    </row>
    <row r="398" spans="1:15" ht="13.5" customHeight="1">
      <c r="A398" s="65">
        <v>545.67805095336143</v>
      </c>
      <c r="B398" s="65">
        <v>549.52471398581372</v>
      </c>
      <c r="C398" s="65">
        <v>543.93409750600608</v>
      </c>
      <c r="D398" s="65">
        <v>546.38559778057413</v>
      </c>
      <c r="E398" s="65">
        <v>6004180.4819267448</v>
      </c>
      <c r="F398" s="65" t="s">
        <v>444</v>
      </c>
      <c r="G398" s="25">
        <f t="shared" si="13"/>
        <v>-1.2949587801851514E-3</v>
      </c>
      <c r="I398" s="65">
        <v>12.57</v>
      </c>
      <c r="J398" s="65">
        <v>12.59</v>
      </c>
      <c r="K398" s="65">
        <v>11.98</v>
      </c>
      <c r="L398" s="65">
        <v>12.1</v>
      </c>
      <c r="M398" s="65">
        <v>26193584</v>
      </c>
      <c r="N398" s="65" t="s">
        <v>444</v>
      </c>
      <c r="O398" s="25">
        <f t="shared" si="14"/>
        <v>3.884297520661173E-2</v>
      </c>
    </row>
    <row r="399" spans="1:15" ht="13.5" customHeight="1">
      <c r="A399" s="65">
        <v>542.51900385158046</v>
      </c>
      <c r="B399" s="65">
        <v>542.99734536856943</v>
      </c>
      <c r="C399" s="65">
        <v>537.33697075086741</v>
      </c>
      <c r="D399" s="65">
        <v>538.32355012965706</v>
      </c>
      <c r="E399" s="65">
        <v>6441920.9509499632</v>
      </c>
      <c r="F399" s="65" t="s">
        <v>445</v>
      </c>
      <c r="G399" s="25">
        <f t="shared" si="13"/>
        <v>7.7935541198466129E-3</v>
      </c>
      <c r="I399" s="65">
        <v>11.97</v>
      </c>
      <c r="J399" s="65">
        <v>12.08</v>
      </c>
      <c r="K399" s="65">
        <v>11.45</v>
      </c>
      <c r="L399" s="65">
        <v>11.46</v>
      </c>
      <c r="M399" s="65">
        <v>25565629</v>
      </c>
      <c r="N399" s="65" t="s">
        <v>445</v>
      </c>
      <c r="O399" s="25">
        <f t="shared" si="14"/>
        <v>4.4502617801047029E-2</v>
      </c>
    </row>
    <row r="400" spans="1:15" ht="13.5" customHeight="1">
      <c r="A400" s="65">
        <v>535.60298275178263</v>
      </c>
      <c r="B400" s="65">
        <v>541.66187564582594</v>
      </c>
      <c r="C400" s="65">
        <v>531.95064596060683</v>
      </c>
      <c r="D400" s="65">
        <v>540.14722716317715</v>
      </c>
      <c r="E400" s="65">
        <v>7167462.8235950079</v>
      </c>
      <c r="F400" s="65" t="s">
        <v>446</v>
      </c>
      <c r="G400" s="25">
        <f t="shared" si="13"/>
        <v>-8.4129736910075748E-3</v>
      </c>
      <c r="I400" s="65">
        <v>11.24</v>
      </c>
      <c r="J400" s="65">
        <v>11.38</v>
      </c>
      <c r="K400" s="65">
        <v>10.7803</v>
      </c>
      <c r="L400" s="65">
        <v>11</v>
      </c>
      <c r="M400" s="65">
        <v>16400459</v>
      </c>
      <c r="N400" s="65" t="s">
        <v>446</v>
      </c>
      <c r="O400" s="25">
        <f t="shared" si="14"/>
        <v>2.1818181818181737E-2</v>
      </c>
    </row>
    <row r="401" spans="1:15" ht="13.5" customHeight="1">
      <c r="A401" s="65">
        <v>536.94831826831387</v>
      </c>
      <c r="B401" s="65">
        <v>541.1887161619378</v>
      </c>
      <c r="C401" s="65">
        <v>535.54328971664165</v>
      </c>
      <c r="D401" s="65">
        <v>540.57574143881311</v>
      </c>
      <c r="E401" s="65">
        <v>6061694.2017752314</v>
      </c>
      <c r="F401" s="65" t="s">
        <v>447</v>
      </c>
      <c r="G401" s="25">
        <f t="shared" si="13"/>
        <v>-6.7102958798046508E-3</v>
      </c>
      <c r="I401" s="65">
        <v>10.77</v>
      </c>
      <c r="J401" s="65">
        <v>11</v>
      </c>
      <c r="K401" s="65">
        <v>10.75</v>
      </c>
      <c r="L401" s="65">
        <v>10.86</v>
      </c>
      <c r="M401" s="65">
        <v>14617090</v>
      </c>
      <c r="N401" s="65" t="s">
        <v>447</v>
      </c>
      <c r="O401" s="25">
        <f t="shared" si="14"/>
        <v>-8.2872928176795924E-3</v>
      </c>
    </row>
    <row r="402" spans="1:15" ht="13.5" customHeight="1">
      <c r="A402" s="65">
        <v>539.12078599130518</v>
      </c>
      <c r="B402" s="65">
        <v>542.21007495519189</v>
      </c>
      <c r="C402" s="65">
        <v>535.54319006215894</v>
      </c>
      <c r="D402" s="65">
        <v>538.69227171566922</v>
      </c>
      <c r="E402" s="65">
        <v>6527643.1359238243</v>
      </c>
      <c r="F402" s="65" t="s">
        <v>448</v>
      </c>
      <c r="G402" s="25">
        <f t="shared" si="13"/>
        <v>7.9547136303115273E-4</v>
      </c>
      <c r="I402" s="65">
        <v>10.86</v>
      </c>
      <c r="J402" s="65">
        <v>10.994999999999999</v>
      </c>
      <c r="K402" s="65">
        <v>10.565</v>
      </c>
      <c r="L402" s="65">
        <v>10.72</v>
      </c>
      <c r="M402" s="65">
        <v>28393844</v>
      </c>
      <c r="N402" s="65" t="s">
        <v>448</v>
      </c>
      <c r="O402" s="25">
        <f t="shared" si="14"/>
        <v>1.3059701492537101E-2</v>
      </c>
    </row>
    <row r="403" spans="1:15" ht="13.5" customHeight="1">
      <c r="A403" s="65">
        <v>545.1897439881019</v>
      </c>
      <c r="B403" s="65">
        <v>547.72096784883479</v>
      </c>
      <c r="C403" s="65">
        <v>541.32324971359094</v>
      </c>
      <c r="D403" s="65">
        <v>547.47183164206979</v>
      </c>
      <c r="E403" s="65">
        <v>7101672.5066722762</v>
      </c>
      <c r="F403" s="65" t="s">
        <v>449</v>
      </c>
      <c r="G403" s="25">
        <f t="shared" si="13"/>
        <v>-4.1684110890656267E-3</v>
      </c>
      <c r="I403" s="65">
        <v>10.99</v>
      </c>
      <c r="J403" s="65">
        <v>11.18</v>
      </c>
      <c r="K403" s="65">
        <v>10.77</v>
      </c>
      <c r="L403" s="65">
        <v>11.16</v>
      </c>
      <c r="M403" s="65">
        <v>22670505</v>
      </c>
      <c r="N403" s="65" t="s">
        <v>449</v>
      </c>
      <c r="O403" s="25">
        <f t="shared" si="14"/>
        <v>-1.5232974910394215E-2</v>
      </c>
    </row>
    <row r="404" spans="1:15" ht="13.5" customHeight="1">
      <c r="A404" s="65">
        <v>550.8999458471568</v>
      </c>
      <c r="B404" s="65">
        <v>552.05593784654673</v>
      </c>
      <c r="C404" s="65">
        <v>548.02003095143561</v>
      </c>
      <c r="D404" s="65">
        <v>549.29550867558999</v>
      </c>
      <c r="E404" s="65">
        <v>4511857.2470682478</v>
      </c>
      <c r="F404" s="65" t="s">
        <v>450</v>
      </c>
      <c r="G404" s="25">
        <f t="shared" si="13"/>
        <v>2.9208998548619913E-3</v>
      </c>
      <c r="I404" s="65">
        <v>11.2</v>
      </c>
      <c r="J404" s="65">
        <v>11.38</v>
      </c>
      <c r="K404" s="65">
        <v>11.07</v>
      </c>
      <c r="L404" s="65">
        <v>11.11</v>
      </c>
      <c r="M404" s="65">
        <v>12902218</v>
      </c>
      <c r="N404" s="65" t="s">
        <v>450</v>
      </c>
      <c r="O404" s="25">
        <f t="shared" si="14"/>
        <v>8.1008100810080474E-3</v>
      </c>
    </row>
    <row r="405" spans="1:15" ht="13.5" customHeight="1">
      <c r="A405" s="65">
        <v>550.90991129542749</v>
      </c>
      <c r="B405" s="65">
        <v>550.98963488159222</v>
      </c>
      <c r="C405" s="65">
        <v>545.64815460854948</v>
      </c>
      <c r="D405" s="65">
        <v>546.16635791862086</v>
      </c>
      <c r="E405" s="65">
        <v>3451174.4044126086</v>
      </c>
      <c r="F405" s="65" t="s">
        <v>451</v>
      </c>
      <c r="G405" s="25">
        <f t="shared" si="13"/>
        <v>8.6851804546947964E-3</v>
      </c>
      <c r="I405" s="65">
        <v>11.18</v>
      </c>
      <c r="J405" s="65">
        <v>11.28</v>
      </c>
      <c r="K405" s="65">
        <v>11.12</v>
      </c>
      <c r="L405" s="65">
        <v>11.27</v>
      </c>
      <c r="M405" s="65">
        <v>7892415</v>
      </c>
      <c r="N405" s="65" t="s">
        <v>451</v>
      </c>
      <c r="O405" s="25">
        <f t="shared" si="14"/>
        <v>-7.9858030168589167E-3</v>
      </c>
    </row>
    <row r="406" spans="1:15" ht="13.5" customHeight="1">
      <c r="A406" s="65">
        <v>545.29936391907859</v>
      </c>
      <c r="B406" s="65">
        <v>545.46877653967874</v>
      </c>
      <c r="C406" s="65">
        <v>538.45310095717491</v>
      </c>
      <c r="D406" s="65">
        <v>541.43276999008481</v>
      </c>
      <c r="E406" s="65">
        <v>7087844.7293101177</v>
      </c>
      <c r="F406" s="65" t="s">
        <v>452</v>
      </c>
      <c r="G406" s="25">
        <f t="shared" si="13"/>
        <v>7.1414109808398685E-3</v>
      </c>
      <c r="I406" s="65">
        <v>11.26</v>
      </c>
      <c r="J406" s="65">
        <v>11.59</v>
      </c>
      <c r="K406" s="65">
        <v>11</v>
      </c>
      <c r="L406" s="65">
        <v>11.525</v>
      </c>
      <c r="M406" s="65">
        <v>37248303</v>
      </c>
      <c r="N406" s="65" t="s">
        <v>452</v>
      </c>
      <c r="O406" s="25">
        <f t="shared" si="14"/>
        <v>-2.2993492407809124E-2</v>
      </c>
    </row>
    <row r="407" spans="1:15" ht="13.5" customHeight="1">
      <c r="A407" s="65">
        <v>541.42429935905466</v>
      </c>
      <c r="B407" s="65">
        <v>545.89444714108117</v>
      </c>
      <c r="C407" s="65">
        <v>532.29526422198273</v>
      </c>
      <c r="D407" s="65">
        <v>533.05022251405831</v>
      </c>
      <c r="E407" s="65">
        <v>9452116.6995613053</v>
      </c>
      <c r="F407" s="65" t="s">
        <v>453</v>
      </c>
      <c r="G407" s="25">
        <f t="shared" si="13"/>
        <v>1.5709733325879105E-2</v>
      </c>
      <c r="I407" s="65">
        <v>11.4</v>
      </c>
      <c r="J407" s="65">
        <v>11.63</v>
      </c>
      <c r="K407" s="65">
        <v>10.95</v>
      </c>
      <c r="L407" s="65">
        <v>11.01</v>
      </c>
      <c r="M407" s="65">
        <v>38555442</v>
      </c>
      <c r="N407" s="65" t="s">
        <v>453</v>
      </c>
      <c r="O407" s="25">
        <f t="shared" si="14"/>
        <v>3.5422343324250649E-2</v>
      </c>
    </row>
    <row r="408" spans="1:15" ht="13.5" customHeight="1">
      <c r="A408" s="65">
        <v>535.36476569897434</v>
      </c>
      <c r="B408" s="65">
        <v>541.48390132948168</v>
      </c>
      <c r="C408" s="65">
        <v>535.07668950857703</v>
      </c>
      <c r="D408" s="65">
        <v>540.08325502444677</v>
      </c>
      <c r="E408" s="65">
        <v>16904264.956033021</v>
      </c>
      <c r="F408" s="65" t="s">
        <v>454</v>
      </c>
      <c r="G408" s="25">
        <f t="shared" si="13"/>
        <v>-8.7365962221117588E-3</v>
      </c>
      <c r="I408" s="65">
        <v>11.3</v>
      </c>
      <c r="J408" s="65">
        <v>11.57</v>
      </c>
      <c r="K408" s="65">
        <v>11.14</v>
      </c>
      <c r="L408" s="65">
        <v>11.34</v>
      </c>
      <c r="M408" s="65">
        <v>26885269</v>
      </c>
      <c r="N408" s="65" t="s">
        <v>454</v>
      </c>
      <c r="O408" s="25">
        <f t="shared" si="14"/>
        <v>-3.5273368606700828E-3</v>
      </c>
    </row>
    <row r="409" spans="1:15" ht="13.5" customHeight="1">
      <c r="A409" s="65">
        <v>535.56343893373094</v>
      </c>
      <c r="B409" s="65">
        <v>553.83144286961283</v>
      </c>
      <c r="C409" s="65">
        <v>534.95748556772298</v>
      </c>
      <c r="D409" s="65">
        <v>551.61623630207521</v>
      </c>
      <c r="E409" s="65">
        <v>24749111.303395186</v>
      </c>
      <c r="F409" s="65" t="s">
        <v>455</v>
      </c>
      <c r="G409" s="25">
        <f t="shared" si="13"/>
        <v>-2.9101386637853555E-2</v>
      </c>
      <c r="I409" s="65">
        <v>11.22</v>
      </c>
      <c r="J409" s="65">
        <v>12.154999999999999</v>
      </c>
      <c r="K409" s="65">
        <v>10.855</v>
      </c>
      <c r="L409" s="65">
        <v>11.154999999999999</v>
      </c>
      <c r="M409" s="65">
        <v>49598159</v>
      </c>
      <c r="N409" s="65" t="s">
        <v>455</v>
      </c>
      <c r="O409" s="25">
        <f t="shared" si="14"/>
        <v>5.8269834155089129E-3</v>
      </c>
    </row>
    <row r="410" spans="1:15" ht="13.5" customHeight="1">
      <c r="A410" s="65">
        <v>551.76524122814283</v>
      </c>
      <c r="B410" s="65">
        <v>552.69403860063051</v>
      </c>
      <c r="C410" s="65">
        <v>550.61293646655361</v>
      </c>
      <c r="D410" s="65">
        <v>551.78510855161846</v>
      </c>
      <c r="E410" s="65">
        <v>6151689.2373373276</v>
      </c>
      <c r="F410" s="65" t="s">
        <v>456</v>
      </c>
      <c r="G410" s="25">
        <f t="shared" si="13"/>
        <v>-3.6005544853834337E-5</v>
      </c>
      <c r="I410" s="65">
        <v>11.18</v>
      </c>
      <c r="J410" s="65">
        <v>11.425599999999999</v>
      </c>
      <c r="K410" s="65">
        <v>11.115</v>
      </c>
      <c r="L410" s="65">
        <v>11.34</v>
      </c>
      <c r="M410" s="65">
        <v>19717449</v>
      </c>
      <c r="N410" s="65" t="s">
        <v>456</v>
      </c>
      <c r="O410" s="25">
        <f t="shared" si="14"/>
        <v>-1.4109347442680775E-2</v>
      </c>
    </row>
    <row r="411" spans="1:15" ht="13.5" customHeight="1">
      <c r="A411" s="65">
        <v>554.08971807479656</v>
      </c>
      <c r="B411" s="65">
        <v>555.09132918782268</v>
      </c>
      <c r="C411" s="65">
        <v>552.72383958584396</v>
      </c>
      <c r="D411" s="65">
        <v>553.43409640009929</v>
      </c>
      <c r="E411" s="65">
        <v>22999352.708959177</v>
      </c>
      <c r="F411" s="65" t="s">
        <v>457</v>
      </c>
      <c r="G411" s="25">
        <f t="shared" si="13"/>
        <v>1.1846427225243872E-3</v>
      </c>
      <c r="I411" s="65">
        <v>11.34</v>
      </c>
      <c r="J411" s="65">
        <v>11.57</v>
      </c>
      <c r="K411" s="65">
        <v>11.21</v>
      </c>
      <c r="L411" s="65">
        <v>11.36</v>
      </c>
      <c r="M411" s="65">
        <v>22364223</v>
      </c>
      <c r="N411" s="65" t="s">
        <v>457</v>
      </c>
      <c r="O411" s="25">
        <f t="shared" si="14"/>
        <v>-1.7605633802816323E-3</v>
      </c>
    </row>
    <row r="412" spans="1:15" ht="13.5" customHeight="1">
      <c r="A412" s="65">
        <v>551.92417981594815</v>
      </c>
      <c r="B412" s="65">
        <v>554.45726355909653</v>
      </c>
      <c r="C412" s="65">
        <v>550.5279043220778</v>
      </c>
      <c r="D412" s="65">
        <v>553.81157554613708</v>
      </c>
      <c r="E412" s="65">
        <v>4698028.9073304981</v>
      </c>
      <c r="F412" s="65" t="s">
        <v>458</v>
      </c>
      <c r="G412" s="25">
        <f t="shared" si="13"/>
        <v>-3.4080106186434866E-3</v>
      </c>
      <c r="I412" s="65">
        <v>11.31</v>
      </c>
      <c r="J412" s="65">
        <v>11.549099999999999</v>
      </c>
      <c r="K412" s="65">
        <v>11.08</v>
      </c>
      <c r="L412" s="65">
        <v>11.41</v>
      </c>
      <c r="M412" s="65">
        <v>17823787</v>
      </c>
      <c r="N412" s="65" t="s">
        <v>458</v>
      </c>
      <c r="O412" s="25">
        <f t="shared" si="14"/>
        <v>-8.76424189307623E-3</v>
      </c>
    </row>
    <row r="413" spans="1:15" ht="13.5" customHeight="1">
      <c r="A413" s="65">
        <v>551.96391446289942</v>
      </c>
      <c r="B413" s="65">
        <v>554.49699820604792</v>
      </c>
      <c r="C413" s="65">
        <v>551.93411347768597</v>
      </c>
      <c r="D413" s="65">
        <v>553.97051413394252</v>
      </c>
      <c r="E413" s="65">
        <v>4075639.0813863762</v>
      </c>
      <c r="F413" s="65" t="s">
        <v>459</v>
      </c>
      <c r="G413" s="25">
        <f t="shared" si="13"/>
        <v>-3.6222138540715765E-3</v>
      </c>
      <c r="I413" s="65">
        <v>11.38</v>
      </c>
      <c r="J413" s="65">
        <v>11.96</v>
      </c>
      <c r="K413" s="65">
        <v>11.37</v>
      </c>
      <c r="L413" s="65">
        <v>11.94</v>
      </c>
      <c r="M413" s="65">
        <v>23124356</v>
      </c>
      <c r="N413" s="65" t="s">
        <v>459</v>
      </c>
      <c r="O413" s="25">
        <f t="shared" si="14"/>
        <v>-4.690117252931314E-2</v>
      </c>
    </row>
    <row r="414" spans="1:15" ht="13.5" customHeight="1">
      <c r="A414" s="65">
        <v>554.8248090433965</v>
      </c>
      <c r="B414" s="65">
        <v>555.67910395285048</v>
      </c>
      <c r="C414" s="65">
        <v>552.96721429842103</v>
      </c>
      <c r="D414" s="65">
        <v>553.22548950360476</v>
      </c>
      <c r="E414" s="65">
        <v>3537886.7257114095</v>
      </c>
      <c r="F414" s="65" t="s">
        <v>460</v>
      </c>
      <c r="G414" s="25">
        <f t="shared" si="13"/>
        <v>2.8908999497234689E-3</v>
      </c>
      <c r="I414" s="65">
        <v>12</v>
      </c>
      <c r="J414" s="65">
        <v>12.74</v>
      </c>
      <c r="K414" s="65">
        <v>11.99</v>
      </c>
      <c r="L414" s="65">
        <v>12.42</v>
      </c>
      <c r="M414" s="65">
        <v>21679951</v>
      </c>
      <c r="N414" s="65" t="s">
        <v>460</v>
      </c>
      <c r="O414" s="25">
        <f t="shared" si="14"/>
        <v>-3.3816425120772986E-2</v>
      </c>
    </row>
    <row r="415" spans="1:15" ht="13.5" customHeight="1">
      <c r="A415" s="65">
        <v>550.65267111350511</v>
      </c>
      <c r="B415" s="65">
        <v>553.18575485665338</v>
      </c>
      <c r="C415" s="65">
        <v>549.89771282142954</v>
      </c>
      <c r="D415" s="65">
        <v>552.88774500451837</v>
      </c>
      <c r="E415" s="65">
        <v>4137560.8597027324</v>
      </c>
      <c r="F415" s="65" t="s">
        <v>461</v>
      </c>
      <c r="G415" s="25">
        <f t="shared" si="13"/>
        <v>-4.0425455460131321E-3</v>
      </c>
      <c r="I415" s="65">
        <v>12.41</v>
      </c>
      <c r="J415" s="65">
        <v>12.57</v>
      </c>
      <c r="K415" s="65">
        <v>11.984999999999999</v>
      </c>
      <c r="L415" s="65">
        <v>12.5</v>
      </c>
      <c r="M415" s="65">
        <v>33103183</v>
      </c>
      <c r="N415" s="65" t="s">
        <v>461</v>
      </c>
      <c r="O415" s="25">
        <f t="shared" si="14"/>
        <v>-7.1999999999999842E-3</v>
      </c>
    </row>
    <row r="416" spans="1:15" ht="13.5" customHeight="1">
      <c r="A416" s="65">
        <v>552.22218966808327</v>
      </c>
      <c r="B416" s="65">
        <v>555.15758671161404</v>
      </c>
      <c r="C416" s="65">
        <v>551.69570559597787</v>
      </c>
      <c r="D416" s="65">
        <v>555.00361495467757</v>
      </c>
      <c r="E416" s="65">
        <v>4441741.7428196585</v>
      </c>
      <c r="F416" s="65" t="s">
        <v>462</v>
      </c>
      <c r="G416" s="25">
        <f t="shared" si="13"/>
        <v>-5.0115444506094731E-3</v>
      </c>
      <c r="I416" s="65">
        <v>12.5</v>
      </c>
      <c r="J416" s="65">
        <v>12.625</v>
      </c>
      <c r="K416" s="65">
        <v>12.2</v>
      </c>
      <c r="L416" s="65">
        <v>12.5</v>
      </c>
      <c r="M416" s="65">
        <v>32176108</v>
      </c>
      <c r="N416" s="65" t="s">
        <v>462</v>
      </c>
      <c r="O416" s="25">
        <f t="shared" si="14"/>
        <v>0</v>
      </c>
    </row>
    <row r="417" spans="1:15" ht="13.5" customHeight="1">
      <c r="A417" s="65">
        <v>555.1128852337938</v>
      </c>
      <c r="B417" s="65">
        <v>556.24532267190716</v>
      </c>
      <c r="C417" s="65">
        <v>554.37779426519387</v>
      </c>
      <c r="D417" s="65">
        <v>554.76520707296947</v>
      </c>
      <c r="E417" s="65">
        <v>5169171.3846481517</v>
      </c>
      <c r="F417" s="65" t="s">
        <v>463</v>
      </c>
      <c r="G417" s="25">
        <f t="shared" si="13"/>
        <v>6.2671226744503983E-4</v>
      </c>
      <c r="I417" s="65">
        <v>12.44</v>
      </c>
      <c r="J417" s="65">
        <v>13.02</v>
      </c>
      <c r="K417" s="65">
        <v>12.22</v>
      </c>
      <c r="L417" s="65">
        <v>12.37</v>
      </c>
      <c r="M417" s="65">
        <v>58197712</v>
      </c>
      <c r="N417" s="65" t="s">
        <v>463</v>
      </c>
      <c r="O417" s="25">
        <f t="shared" si="14"/>
        <v>5.6588520614389015E-3</v>
      </c>
    </row>
    <row r="418" spans="1:15" ht="13.5" customHeight="1">
      <c r="A418" s="65">
        <v>554.0102487808939</v>
      </c>
      <c r="B418" s="65">
        <v>555.69897127632612</v>
      </c>
      <c r="C418" s="65">
        <v>553.76190723744799</v>
      </c>
      <c r="D418" s="65">
        <v>554.9241456607748</v>
      </c>
      <c r="E418" s="65">
        <v>3041739.3703784416</v>
      </c>
      <c r="F418" s="65" t="s">
        <v>464</v>
      </c>
      <c r="G418" s="25">
        <f t="shared" si="13"/>
        <v>-1.6468861321445871E-3</v>
      </c>
      <c r="I418" s="65">
        <v>12.17</v>
      </c>
      <c r="J418" s="65">
        <v>12.59</v>
      </c>
      <c r="K418" s="65">
        <v>11.715</v>
      </c>
      <c r="L418" s="65">
        <v>12.58</v>
      </c>
      <c r="M418" s="65">
        <v>49109612</v>
      </c>
      <c r="N418" s="65" t="s">
        <v>464</v>
      </c>
      <c r="O418" s="25">
        <f t="shared" si="14"/>
        <v>-3.2591414944356134E-2</v>
      </c>
    </row>
    <row r="419" spans="1:15" ht="13.5" customHeight="1">
      <c r="A419" s="65">
        <v>554.93407932251262</v>
      </c>
      <c r="B419" s="65">
        <v>555.17248720422072</v>
      </c>
      <c r="C419" s="65">
        <v>552.48145823944083</v>
      </c>
      <c r="D419" s="65">
        <v>553.13608654796428</v>
      </c>
      <c r="E419" s="65">
        <v>5526986.0650556246</v>
      </c>
      <c r="F419" s="65" t="s">
        <v>465</v>
      </c>
      <c r="G419" s="25">
        <f t="shared" si="13"/>
        <v>3.2505432537757173E-3</v>
      </c>
      <c r="I419" s="65">
        <v>12.62</v>
      </c>
      <c r="J419" s="65">
        <v>12.93</v>
      </c>
      <c r="K419" s="65">
        <v>12.58</v>
      </c>
      <c r="L419" s="65">
        <v>12.93</v>
      </c>
      <c r="M419" s="65">
        <v>15865271</v>
      </c>
      <c r="N419" s="65" t="s">
        <v>465</v>
      </c>
      <c r="O419" s="25">
        <f t="shared" si="14"/>
        <v>-2.3975251353441696E-2</v>
      </c>
    </row>
    <row r="420" spans="1:15" ht="13.5" customHeight="1">
      <c r="A420" s="65">
        <v>551.45729771426977</v>
      </c>
      <c r="B420" s="65">
        <v>551.74547324128446</v>
      </c>
      <c r="C420" s="65">
        <v>550.11625337966177</v>
      </c>
      <c r="D420" s="65">
        <v>551.11955321518337</v>
      </c>
      <c r="E420" s="65">
        <v>4230973.5432115309</v>
      </c>
      <c r="F420" s="65" t="s">
        <v>466</v>
      </c>
      <c r="G420" s="25">
        <f t="shared" si="13"/>
        <v>6.1283345349671947E-4</v>
      </c>
      <c r="I420" s="65">
        <v>12.86</v>
      </c>
      <c r="J420" s="65">
        <v>13.05</v>
      </c>
      <c r="K420" s="65">
        <v>11.9611</v>
      </c>
      <c r="L420" s="65">
        <v>12.09</v>
      </c>
      <c r="M420" s="65">
        <v>37632850</v>
      </c>
      <c r="N420" s="65" t="s">
        <v>466</v>
      </c>
      <c r="O420" s="25">
        <f t="shared" si="14"/>
        <v>6.3688999172870187E-2</v>
      </c>
    </row>
    <row r="421" spans="1:15" ht="13.5" customHeight="1">
      <c r="A421" s="65">
        <v>551.3281601116779</v>
      </c>
      <c r="B421" s="65">
        <v>551.88444516899688</v>
      </c>
      <c r="C421" s="65">
        <v>550.21558999704018</v>
      </c>
      <c r="D421" s="65">
        <v>550.68247209871856</v>
      </c>
      <c r="E421" s="65">
        <v>5477346.7665760098</v>
      </c>
      <c r="F421" s="65" t="s">
        <v>467</v>
      </c>
      <c r="G421" s="25">
        <f t="shared" si="13"/>
        <v>1.1725232700772192E-3</v>
      </c>
      <c r="I421" s="65">
        <v>12.11</v>
      </c>
      <c r="J421" s="65">
        <v>12.18</v>
      </c>
      <c r="K421" s="65">
        <v>11.59</v>
      </c>
      <c r="L421" s="65">
        <v>11.78</v>
      </c>
      <c r="M421" s="65">
        <v>28007717</v>
      </c>
      <c r="N421" s="65" t="s">
        <v>467</v>
      </c>
      <c r="O421" s="25">
        <f t="shared" si="14"/>
        <v>2.8013582342954146E-2</v>
      </c>
    </row>
    <row r="422" spans="1:15" ht="13.5" customHeight="1">
      <c r="A422" s="65">
        <v>549.77850888057549</v>
      </c>
      <c r="B422" s="65">
        <v>551.02021659780507</v>
      </c>
      <c r="C422" s="65">
        <v>547.41429738697036</v>
      </c>
      <c r="D422" s="65">
        <v>547.6328379452026</v>
      </c>
      <c r="E422" s="65">
        <v>4015364.2284870273</v>
      </c>
      <c r="F422" s="65" t="s">
        <v>468</v>
      </c>
      <c r="G422" s="25">
        <f t="shared" si="13"/>
        <v>3.9180830415936896E-3</v>
      </c>
      <c r="I422" s="65">
        <v>11.81</v>
      </c>
      <c r="J422" s="65">
        <v>12.015000000000001</v>
      </c>
      <c r="K422" s="65">
        <v>11.67</v>
      </c>
      <c r="L422" s="65">
        <v>11.7</v>
      </c>
      <c r="M422" s="65">
        <v>8966716</v>
      </c>
      <c r="N422" s="65" t="s">
        <v>468</v>
      </c>
      <c r="O422" s="25">
        <f t="shared" si="14"/>
        <v>9.4017094017095904E-3</v>
      </c>
    </row>
    <row r="423" spans="1:15" ht="13.5" customHeight="1">
      <c r="A423" s="65">
        <v>546.89774697660266</v>
      </c>
      <c r="B423" s="65">
        <v>548.71560707462686</v>
      </c>
      <c r="C423" s="65">
        <v>545.46729968635429</v>
      </c>
      <c r="D423" s="65">
        <v>548.37786257554035</v>
      </c>
      <c r="E423" s="65">
        <v>3334338.4216355425</v>
      </c>
      <c r="F423" s="65" t="s">
        <v>469</v>
      </c>
      <c r="G423" s="25">
        <f t="shared" si="13"/>
        <v>-2.6990797768278174E-3</v>
      </c>
      <c r="I423" s="65">
        <v>11.61</v>
      </c>
      <c r="J423" s="65">
        <v>11.79</v>
      </c>
      <c r="K423" s="65">
        <v>11.35</v>
      </c>
      <c r="L423" s="65">
        <v>11.68</v>
      </c>
      <c r="M423" s="65">
        <v>14145986</v>
      </c>
      <c r="N423" s="65" t="s">
        <v>469</v>
      </c>
      <c r="O423" s="25">
        <f t="shared" si="14"/>
        <v>-5.9931506849315586E-3</v>
      </c>
    </row>
    <row r="424" spans="1:15" ht="13.5" customHeight="1">
      <c r="A424" s="65">
        <v>548.64607144246202</v>
      </c>
      <c r="B424" s="65">
        <v>549.15258885447429</v>
      </c>
      <c r="C424" s="65">
        <v>546.20239065495423</v>
      </c>
      <c r="D424" s="65">
        <v>546.84807866791357</v>
      </c>
      <c r="E424" s="65">
        <v>4468215.3642233675</v>
      </c>
      <c r="F424" s="65" t="s">
        <v>470</v>
      </c>
      <c r="G424" s="25">
        <f t="shared" si="13"/>
        <v>3.2879200726612101E-3</v>
      </c>
      <c r="I424" s="65">
        <v>11.6</v>
      </c>
      <c r="J424" s="65">
        <v>11.63</v>
      </c>
      <c r="K424" s="65">
        <v>11.3</v>
      </c>
      <c r="L424" s="65">
        <v>11.55</v>
      </c>
      <c r="M424" s="65">
        <v>27809585</v>
      </c>
      <c r="N424" s="65" t="s">
        <v>470</v>
      </c>
      <c r="O424" s="25">
        <f t="shared" si="14"/>
        <v>4.3290043290042934E-3</v>
      </c>
    </row>
    <row r="425" spans="1:15" ht="13.5" customHeight="1">
      <c r="A425" s="65">
        <v>545.58650362720834</v>
      </c>
      <c r="B425" s="65">
        <v>548.71560707462686</v>
      </c>
      <c r="C425" s="65">
        <v>543.56987095781005</v>
      </c>
      <c r="D425" s="65">
        <v>547.54343498956223</v>
      </c>
      <c r="E425" s="65">
        <v>4333750.3466647081</v>
      </c>
      <c r="F425" s="65" t="s">
        <v>471</v>
      </c>
      <c r="G425" s="25">
        <f t="shared" si="13"/>
        <v>-3.5740203193034281E-3</v>
      </c>
      <c r="I425" s="65">
        <v>11.6</v>
      </c>
      <c r="J425" s="65">
        <v>12.14</v>
      </c>
      <c r="K425" s="65">
        <v>11.53</v>
      </c>
      <c r="L425" s="65">
        <v>11.55</v>
      </c>
      <c r="M425" s="65">
        <v>29295362</v>
      </c>
      <c r="N425" s="65" t="s">
        <v>471</v>
      </c>
      <c r="O425" s="25">
        <f t="shared" si="14"/>
        <v>4.3290043290042934E-3</v>
      </c>
    </row>
    <row r="426" spans="1:15" ht="13.5" customHeight="1">
      <c r="A426" s="65">
        <v>543.8381791613491</v>
      </c>
      <c r="B426" s="65">
        <v>544.41393419567407</v>
      </c>
      <c r="C426" s="65">
        <v>541.75211019640335</v>
      </c>
      <c r="D426" s="65">
        <v>542.19912497460598</v>
      </c>
      <c r="E426" s="65">
        <v>5611815.81084718</v>
      </c>
      <c r="F426" s="65" t="s">
        <v>472</v>
      </c>
      <c r="G426" s="25">
        <f t="shared" si="13"/>
        <v>3.0229746070133956E-3</v>
      </c>
      <c r="I426" s="65">
        <v>11.42</v>
      </c>
      <c r="J426" s="65">
        <v>11.47</v>
      </c>
      <c r="K426" s="65">
        <v>10.5</v>
      </c>
      <c r="L426" s="65">
        <v>10.52</v>
      </c>
      <c r="M426" s="65">
        <v>39166023</v>
      </c>
      <c r="N426" s="65" t="s">
        <v>472</v>
      </c>
      <c r="O426" s="25">
        <f t="shared" si="14"/>
        <v>8.5551330798479208E-2</v>
      </c>
    </row>
    <row r="427" spans="1:15" ht="13.5" customHeight="1">
      <c r="A427" s="65">
        <v>542.02031906332491</v>
      </c>
      <c r="B427" s="65">
        <v>543.44083269183557</v>
      </c>
      <c r="C427" s="65">
        <v>536.45746849013631</v>
      </c>
      <c r="D427" s="65">
        <v>541.96071709289788</v>
      </c>
      <c r="E427" s="65">
        <v>4560875.0524926046</v>
      </c>
      <c r="F427" s="65" t="s">
        <v>473</v>
      </c>
      <c r="G427" s="25">
        <f t="shared" si="13"/>
        <v>1.0997470581775026E-4</v>
      </c>
      <c r="I427" s="65">
        <v>10.63</v>
      </c>
      <c r="J427" s="65">
        <v>10.695</v>
      </c>
      <c r="K427" s="65">
        <v>10.4</v>
      </c>
      <c r="L427" s="65">
        <v>10.56</v>
      </c>
      <c r="M427" s="65">
        <v>21430697</v>
      </c>
      <c r="N427" s="65" t="s">
        <v>473</v>
      </c>
      <c r="O427" s="25">
        <f t="shared" si="14"/>
        <v>6.6287878787878451E-3</v>
      </c>
    </row>
    <row r="428" spans="1:15" ht="13.5" customHeight="1">
      <c r="A428" s="65">
        <v>539.29849574715763</v>
      </c>
      <c r="B428" s="65">
        <v>539.46736799670089</v>
      </c>
      <c r="C428" s="65">
        <v>533.87471643829883</v>
      </c>
      <c r="D428" s="65">
        <v>539.17929180630358</v>
      </c>
      <c r="E428" s="65">
        <v>3975432.327193358</v>
      </c>
      <c r="F428" s="65" t="s">
        <v>474</v>
      </c>
      <c r="G428" s="25">
        <f t="shared" si="13"/>
        <v>2.2108404878595778E-4</v>
      </c>
      <c r="I428" s="65">
        <v>10.59</v>
      </c>
      <c r="J428" s="65">
        <v>11</v>
      </c>
      <c r="K428" s="65">
        <v>10.462999999999999</v>
      </c>
      <c r="L428" s="65">
        <v>10.54</v>
      </c>
      <c r="M428" s="65">
        <v>17642017</v>
      </c>
      <c r="N428" s="65" t="s">
        <v>474</v>
      </c>
      <c r="O428" s="25">
        <f t="shared" si="14"/>
        <v>4.7438330170779253E-3</v>
      </c>
    </row>
    <row r="429" spans="1:15" ht="13.5" customHeight="1">
      <c r="A429" s="65">
        <v>539.09982251240092</v>
      </c>
      <c r="B429" s="65">
        <v>539.76537784883601</v>
      </c>
      <c r="C429" s="65">
        <v>533.3382987044555</v>
      </c>
      <c r="D429" s="65">
        <v>533.93431840872574</v>
      </c>
      <c r="E429" s="65">
        <v>7024975.4664181583</v>
      </c>
      <c r="F429" s="65" t="s">
        <v>475</v>
      </c>
      <c r="G429" s="25">
        <f t="shared" si="13"/>
        <v>9.674418604651347E-3</v>
      </c>
      <c r="I429" s="65">
        <v>10.51</v>
      </c>
      <c r="J429" s="65">
        <v>10.620100000000001</v>
      </c>
      <c r="K429" s="65">
        <v>10.4224</v>
      </c>
      <c r="L429" s="65">
        <v>10.425000000000001</v>
      </c>
      <c r="M429" s="65">
        <v>21393044</v>
      </c>
      <c r="N429" s="65" t="s">
        <v>475</v>
      </c>
      <c r="O429" s="25">
        <f t="shared" si="14"/>
        <v>8.1534772182252357E-3</v>
      </c>
    </row>
    <row r="430" spans="1:15" ht="13.5" customHeight="1">
      <c r="A430" s="65">
        <v>537.14289115004703</v>
      </c>
      <c r="B430" s="65">
        <v>538.33493055858742</v>
      </c>
      <c r="C430" s="65">
        <v>534.57503959081623</v>
      </c>
      <c r="D430" s="65">
        <v>535.34489837549859</v>
      </c>
      <c r="E430" s="65">
        <v>4534325.9302293137</v>
      </c>
      <c r="F430" s="65" t="s">
        <v>476</v>
      </c>
      <c r="G430" s="25">
        <f t="shared" si="13"/>
        <v>3.3585689898314453E-3</v>
      </c>
      <c r="I430" s="65">
        <v>10.55</v>
      </c>
      <c r="J430" s="65">
        <v>10.69</v>
      </c>
      <c r="K430" s="65">
        <v>10.46</v>
      </c>
      <c r="L430" s="65">
        <v>10.6</v>
      </c>
      <c r="M430" s="65">
        <v>34615890</v>
      </c>
      <c r="N430" s="65" t="s">
        <v>476</v>
      </c>
      <c r="O430" s="25">
        <f t="shared" si="14"/>
        <v>-4.7169811320754151E-3</v>
      </c>
    </row>
    <row r="431" spans="1:15" ht="13.5" customHeight="1">
      <c r="A431" s="65">
        <v>534.92768458250941</v>
      </c>
      <c r="B431" s="65">
        <v>538.97068490980905</v>
      </c>
      <c r="C431" s="65">
        <v>533.18929377838799</v>
      </c>
      <c r="D431" s="65">
        <v>538.53360379334424</v>
      </c>
      <c r="E431" s="65">
        <v>7409265.7815855956</v>
      </c>
      <c r="F431" s="65" t="s">
        <v>477</v>
      </c>
      <c r="G431" s="25">
        <f t="shared" si="13"/>
        <v>-6.6958109678492139E-3</v>
      </c>
      <c r="I431" s="65">
        <v>10.6</v>
      </c>
      <c r="J431" s="65">
        <v>10.71</v>
      </c>
      <c r="K431" s="65">
        <v>10.49</v>
      </c>
      <c r="L431" s="65">
        <v>10.71</v>
      </c>
      <c r="M431" s="65">
        <v>20919152</v>
      </c>
      <c r="N431" s="65" t="s">
        <v>477</v>
      </c>
      <c r="O431" s="25">
        <f t="shared" si="14"/>
        <v>-1.0270774976657404E-2</v>
      </c>
    </row>
    <row r="432" spans="1:15" ht="13.5" customHeight="1">
      <c r="A432" s="65">
        <v>541.92098244594649</v>
      </c>
      <c r="B432" s="65">
        <v>545.92424812629474</v>
      </c>
      <c r="C432" s="65">
        <v>541.26536077124933</v>
      </c>
      <c r="D432" s="65">
        <v>545.45736602461648</v>
      </c>
      <c r="E432" s="65">
        <v>3966595.7065879218</v>
      </c>
      <c r="F432" s="65" t="s">
        <v>478</v>
      </c>
      <c r="G432" s="25">
        <f t="shared" si="13"/>
        <v>-6.4833363686033207E-3</v>
      </c>
      <c r="I432" s="65">
        <v>10.76</v>
      </c>
      <c r="J432" s="65">
        <v>11.18</v>
      </c>
      <c r="K432" s="65">
        <v>10.7</v>
      </c>
      <c r="L432" s="65">
        <v>11.11</v>
      </c>
      <c r="M432" s="65">
        <v>32508968</v>
      </c>
      <c r="N432" s="65" t="s">
        <v>478</v>
      </c>
      <c r="O432" s="25">
        <f t="shared" si="14"/>
        <v>-3.1503150315031481E-2</v>
      </c>
    </row>
    <row r="433" spans="1:15" ht="13.5" customHeight="1">
      <c r="A433" s="65">
        <v>545.38783039245152</v>
      </c>
      <c r="B433" s="65">
        <v>547.22555781395135</v>
      </c>
      <c r="C433" s="65">
        <v>543.34149607445727</v>
      </c>
      <c r="D433" s="65">
        <v>545.51696799504339</v>
      </c>
      <c r="E433" s="65">
        <v>3726289.5573551976</v>
      </c>
      <c r="F433" s="65" t="s">
        <v>479</v>
      </c>
      <c r="G433" s="25">
        <f t="shared" si="13"/>
        <v>-2.3672518027528788E-4</v>
      </c>
      <c r="I433" s="65">
        <v>11.11</v>
      </c>
      <c r="J433" s="65">
        <v>11.385</v>
      </c>
      <c r="K433" s="65">
        <v>11.07</v>
      </c>
      <c r="L433" s="65">
        <v>11.28</v>
      </c>
      <c r="M433" s="65">
        <v>20588864</v>
      </c>
      <c r="N433" s="65" t="s">
        <v>479</v>
      </c>
      <c r="O433" s="25">
        <f t="shared" si="14"/>
        <v>-1.5070921985815611E-2</v>
      </c>
    </row>
    <row r="434" spans="1:15" ht="13.5" customHeight="1">
      <c r="A434" s="65">
        <v>545.10968786379215</v>
      </c>
      <c r="B434" s="65">
        <v>547.28515978437838</v>
      </c>
      <c r="C434" s="65">
        <v>542.80507834061393</v>
      </c>
      <c r="D434" s="65">
        <v>546.73880838879734</v>
      </c>
      <c r="E434" s="65">
        <v>4850792.3132173652</v>
      </c>
      <c r="F434" s="65" t="s">
        <v>480</v>
      </c>
      <c r="G434" s="25">
        <f t="shared" si="13"/>
        <v>-2.9797052998782325E-3</v>
      </c>
      <c r="I434" s="65">
        <v>11.26</v>
      </c>
      <c r="J434" s="65">
        <v>11.904999999999999</v>
      </c>
      <c r="K434" s="65">
        <v>11.23</v>
      </c>
      <c r="L434" s="65">
        <v>11.8</v>
      </c>
      <c r="M434" s="65">
        <v>38973884</v>
      </c>
      <c r="N434" s="65" t="s">
        <v>480</v>
      </c>
      <c r="O434" s="25">
        <f t="shared" si="14"/>
        <v>-4.5762711864406835E-2</v>
      </c>
    </row>
    <row r="435" spans="1:15" ht="13.5" customHeight="1">
      <c r="A435" s="65">
        <v>546.74874205053516</v>
      </c>
      <c r="B435" s="65">
        <v>548.06991906166752</v>
      </c>
      <c r="C435" s="65">
        <v>545.20902448117056</v>
      </c>
      <c r="D435" s="65">
        <v>547.77190920953228</v>
      </c>
      <c r="E435" s="65">
        <v>4925805.9405851793</v>
      </c>
      <c r="F435" s="65" t="s">
        <v>481</v>
      </c>
      <c r="G435" s="25">
        <f t="shared" si="13"/>
        <v>-1.8678708086247164E-3</v>
      </c>
      <c r="I435" s="65">
        <v>11.96</v>
      </c>
      <c r="J435" s="65">
        <v>12.26</v>
      </c>
      <c r="K435" s="65">
        <v>11.93</v>
      </c>
      <c r="L435" s="65">
        <v>12.1</v>
      </c>
      <c r="M435" s="65">
        <v>31883090</v>
      </c>
      <c r="N435" s="65" t="s">
        <v>481</v>
      </c>
      <c r="O435" s="25">
        <f t="shared" si="14"/>
        <v>-1.157024793388417E-2</v>
      </c>
    </row>
    <row r="436" spans="1:15" ht="13.5" customHeight="1">
      <c r="A436" s="65">
        <v>546.30172727233264</v>
      </c>
      <c r="B436" s="65">
        <v>547.5831696365135</v>
      </c>
      <c r="C436" s="65">
        <v>544.4242652038813</v>
      </c>
      <c r="D436" s="65">
        <v>544.43419886561924</v>
      </c>
      <c r="E436" s="65">
        <v>6843373.7522054855</v>
      </c>
      <c r="F436" s="65" t="s">
        <v>482</v>
      </c>
      <c r="G436" s="25">
        <f t="shared" si="13"/>
        <v>3.4302187676757967E-3</v>
      </c>
      <c r="I436" s="65">
        <v>12.01</v>
      </c>
      <c r="J436" s="65">
        <v>12.45</v>
      </c>
      <c r="K436" s="65">
        <v>11.87</v>
      </c>
      <c r="L436" s="65">
        <v>12.41</v>
      </c>
      <c r="M436" s="65">
        <v>39240040</v>
      </c>
      <c r="N436" s="65" t="s">
        <v>482</v>
      </c>
      <c r="O436" s="25">
        <f t="shared" si="14"/>
        <v>-3.2232070910556021E-2</v>
      </c>
    </row>
    <row r="437" spans="1:15" ht="13.5" customHeight="1">
      <c r="A437" s="65">
        <v>543.89778113177601</v>
      </c>
      <c r="B437" s="65">
        <v>544.83651216600163</v>
      </c>
      <c r="C437" s="65">
        <v>541.53356963817089</v>
      </c>
      <c r="D437" s="65">
        <v>541.60310527033573</v>
      </c>
      <c r="E437" s="65">
        <v>6091687.1942106001</v>
      </c>
      <c r="F437" s="65" t="s">
        <v>483</v>
      </c>
      <c r="G437" s="25">
        <f t="shared" si="13"/>
        <v>4.23682183338836E-3</v>
      </c>
      <c r="I437" s="65">
        <v>12.48</v>
      </c>
      <c r="J437" s="65">
        <v>12.59</v>
      </c>
      <c r="K437" s="65">
        <v>11.87</v>
      </c>
      <c r="L437" s="65">
        <v>11.89</v>
      </c>
      <c r="M437" s="65">
        <v>30530279</v>
      </c>
      <c r="N437" s="65" t="s">
        <v>483</v>
      </c>
      <c r="O437" s="25">
        <f t="shared" si="14"/>
        <v>4.962153069806563E-2</v>
      </c>
    </row>
    <row r="438" spans="1:15" ht="13.5" customHeight="1">
      <c r="A438" s="65">
        <v>539.69584221667105</v>
      </c>
      <c r="B438" s="65">
        <v>540.5302698026494</v>
      </c>
      <c r="C438" s="65">
        <v>534.59987374516083</v>
      </c>
      <c r="D438" s="65">
        <v>538.05678802992804</v>
      </c>
      <c r="E438" s="65">
        <v>7533311.6805219874</v>
      </c>
      <c r="F438" s="65" t="s">
        <v>484</v>
      </c>
      <c r="G438" s="25">
        <f t="shared" si="13"/>
        <v>3.0462475768484598E-3</v>
      </c>
      <c r="I438" s="65">
        <v>11.81</v>
      </c>
      <c r="J438" s="65">
        <v>12.36</v>
      </c>
      <c r="K438" s="65">
        <v>11.395</v>
      </c>
      <c r="L438" s="65">
        <v>12.16</v>
      </c>
      <c r="M438" s="65">
        <v>36562857</v>
      </c>
      <c r="N438" s="65" t="s">
        <v>484</v>
      </c>
      <c r="O438" s="25">
        <f t="shared" si="14"/>
        <v>-2.8782894736842035E-2</v>
      </c>
    </row>
    <row r="439" spans="1:15" ht="13.5" customHeight="1">
      <c r="A439" s="65">
        <v>526.58340872272663</v>
      </c>
      <c r="B439" s="65">
        <v>526.65294435489136</v>
      </c>
      <c r="C439" s="65">
        <v>521.00069082606228</v>
      </c>
      <c r="D439" s="65">
        <v>521.23909870777038</v>
      </c>
      <c r="E439" s="65">
        <v>3322318.6847901442</v>
      </c>
      <c r="F439" s="65" t="s">
        <v>485</v>
      </c>
      <c r="G439" s="25">
        <f t="shared" si="13"/>
        <v>1.0253087360878377E-2</v>
      </c>
      <c r="I439" s="65">
        <v>12.19</v>
      </c>
      <c r="J439" s="65">
        <v>12.33</v>
      </c>
      <c r="K439" s="65">
        <v>11.97</v>
      </c>
      <c r="L439" s="65">
        <v>12.21</v>
      </c>
      <c r="M439" s="65">
        <v>21860962</v>
      </c>
      <c r="N439" s="65" t="s">
        <v>485</v>
      </c>
      <c r="O439" s="25">
        <f t="shared" si="14"/>
        <v>-1.6380016380017626E-3</v>
      </c>
    </row>
    <row r="440" spans="1:15" ht="13.5" customHeight="1">
      <c r="A440" s="65">
        <v>520.32520182788937</v>
      </c>
      <c r="B440" s="65">
        <v>522.78874993887291</v>
      </c>
      <c r="C440" s="65">
        <v>518.56704303690969</v>
      </c>
      <c r="D440" s="65">
        <v>521.57684320685678</v>
      </c>
      <c r="E440" s="65">
        <v>3706046.2668841663</v>
      </c>
      <c r="F440" s="65" t="s">
        <v>486</v>
      </c>
      <c r="G440" s="25">
        <f t="shared" si="13"/>
        <v>-2.3997257456290777E-3</v>
      </c>
      <c r="I440" s="65">
        <v>12.12</v>
      </c>
      <c r="J440" s="65">
        <v>12.47</v>
      </c>
      <c r="K440" s="65">
        <v>12.06</v>
      </c>
      <c r="L440" s="65">
        <v>12.36</v>
      </c>
      <c r="M440" s="65">
        <v>29713379</v>
      </c>
      <c r="N440" s="65" t="s">
        <v>486</v>
      </c>
      <c r="O440" s="25">
        <f t="shared" si="14"/>
        <v>-1.9417475728155331E-2</v>
      </c>
    </row>
    <row r="441" spans="1:15" ht="13.5" customHeight="1">
      <c r="A441" s="65">
        <v>521.45763926600284</v>
      </c>
      <c r="B441" s="65">
        <v>525.57017522546732</v>
      </c>
      <c r="C441" s="65">
        <v>521.0603921331068</v>
      </c>
      <c r="D441" s="65">
        <v>521.67617982423519</v>
      </c>
      <c r="E441" s="65">
        <v>6147724.938870227</v>
      </c>
      <c r="F441" s="65" t="s">
        <v>487</v>
      </c>
      <c r="G441" s="25">
        <f t="shared" si="13"/>
        <v>-4.1891994820619782E-4</v>
      </c>
      <c r="I441" s="65">
        <v>12.53</v>
      </c>
      <c r="J441" s="65">
        <v>12.93</v>
      </c>
      <c r="K441" s="65">
        <v>11.97</v>
      </c>
      <c r="L441" s="65">
        <v>12.25</v>
      </c>
      <c r="M441" s="65">
        <v>49753791</v>
      </c>
      <c r="N441" s="64" t="s">
        <v>487</v>
      </c>
      <c r="O441" s="25">
        <f t="shared" si="14"/>
        <v>2.2857142857142909E-2</v>
      </c>
    </row>
    <row r="442" spans="1:15" ht="13.5" customHeight="1">
      <c r="A442" s="65">
        <v>519.20269805151383</v>
      </c>
      <c r="B442" s="65">
        <v>525.71918015153483</v>
      </c>
      <c r="C442" s="65">
        <v>519.04375946370851</v>
      </c>
      <c r="D442" s="65">
        <v>525.58010888720514</v>
      </c>
      <c r="E442" s="65">
        <v>8026017.2033361597</v>
      </c>
      <c r="F442" s="65" t="s">
        <v>488</v>
      </c>
      <c r="G442" s="25">
        <f t="shared" si="13"/>
        <v>-1.213404146742536E-2</v>
      </c>
      <c r="I442" s="65">
        <v>12.16</v>
      </c>
      <c r="J442" s="65">
        <v>12.73</v>
      </c>
      <c r="K442" s="65">
        <v>12.08</v>
      </c>
      <c r="L442" s="65">
        <v>12.57</v>
      </c>
      <c r="M442" s="65">
        <v>76348284</v>
      </c>
      <c r="N442" s="65" t="s">
        <v>488</v>
      </c>
      <c r="O442" s="25">
        <f t="shared" si="14"/>
        <v>-3.2617342879872724E-2</v>
      </c>
    </row>
    <row r="443" spans="1:15" ht="13.5" customHeight="1">
      <c r="A443" s="65">
        <v>529.62310921450455</v>
      </c>
      <c r="B443" s="65">
        <v>532.64294238280706</v>
      </c>
      <c r="C443" s="65">
        <v>529.05689049544799</v>
      </c>
      <c r="D443" s="65">
        <v>530.80521496130723</v>
      </c>
      <c r="E443" s="65">
        <v>3087496.9179974315</v>
      </c>
      <c r="F443" s="65" t="s">
        <v>489</v>
      </c>
      <c r="G443" s="25">
        <f t="shared" si="13"/>
        <v>-2.2270047721533182E-3</v>
      </c>
      <c r="I443" s="65">
        <v>12.62</v>
      </c>
      <c r="J443" s="65">
        <v>12.83</v>
      </c>
      <c r="K443" s="65">
        <v>11.41</v>
      </c>
      <c r="L443" s="65">
        <v>11.53</v>
      </c>
      <c r="M443" s="65">
        <v>102519311</v>
      </c>
      <c r="N443" s="65" t="s">
        <v>489</v>
      </c>
      <c r="O443" s="25">
        <f t="shared" si="14"/>
        <v>9.453599306157856E-2</v>
      </c>
    </row>
    <row r="444" spans="1:15" ht="13.5" customHeight="1">
      <c r="A444" s="65">
        <v>531.22242875429629</v>
      </c>
      <c r="B444" s="65">
        <v>532.26546323676928</v>
      </c>
      <c r="C444" s="65">
        <v>528.22246290946964</v>
      </c>
      <c r="D444" s="65">
        <v>529.58337456755328</v>
      </c>
      <c r="E444" s="65">
        <v>3047829.7730513616</v>
      </c>
      <c r="F444" s="65" t="s">
        <v>490</v>
      </c>
      <c r="G444" s="25">
        <f t="shared" si="13"/>
        <v>3.0949879951980286E-3</v>
      </c>
      <c r="I444" s="65">
        <v>10.89</v>
      </c>
      <c r="J444" s="65">
        <v>10.93</v>
      </c>
      <c r="K444" s="65">
        <v>10.54</v>
      </c>
      <c r="L444" s="65">
        <v>10.75</v>
      </c>
      <c r="M444" s="65">
        <v>59701115</v>
      </c>
      <c r="N444" s="65" t="s">
        <v>490</v>
      </c>
      <c r="O444" s="25">
        <f t="shared" si="14"/>
        <v>1.3023255813953583E-2</v>
      </c>
    </row>
    <row r="445" spans="1:15" ht="13.5" customHeight="1">
      <c r="A445" s="65">
        <v>530.37806750658012</v>
      </c>
      <c r="B445" s="65">
        <v>532.01712169332336</v>
      </c>
      <c r="C445" s="65">
        <v>530.13052065607326</v>
      </c>
      <c r="D445" s="65">
        <v>531.97738704637186</v>
      </c>
      <c r="E445" s="65">
        <v>3430729.8657243685</v>
      </c>
      <c r="F445" s="65" t="s">
        <v>491</v>
      </c>
      <c r="G445" s="25">
        <f t="shared" si="13"/>
        <v>-3.0063675237614884E-3</v>
      </c>
      <c r="I445" s="65">
        <v>10.71</v>
      </c>
      <c r="J445" s="65">
        <v>10.835000000000001</v>
      </c>
      <c r="K445" s="65">
        <v>10.54</v>
      </c>
      <c r="L445" s="65">
        <v>10.63</v>
      </c>
      <c r="M445" s="65">
        <v>25316257</v>
      </c>
      <c r="N445" s="65" t="s">
        <v>491</v>
      </c>
      <c r="O445" s="25">
        <f t="shared" si="14"/>
        <v>7.5258701787395132E-3</v>
      </c>
    </row>
    <row r="446" spans="1:15" ht="13.5" customHeight="1">
      <c r="A446" s="65">
        <v>528.72907965809929</v>
      </c>
      <c r="B446" s="65">
        <v>533.69600986363503</v>
      </c>
      <c r="C446" s="65">
        <v>527.88869187507828</v>
      </c>
      <c r="D446" s="65">
        <v>531.10322481344224</v>
      </c>
      <c r="E446" s="65">
        <v>4356087.5276414705</v>
      </c>
      <c r="F446" s="65" t="s">
        <v>492</v>
      </c>
      <c r="G446" s="25">
        <f t="shared" si="13"/>
        <v>-4.4702141587954491E-3</v>
      </c>
      <c r="I446" s="65">
        <v>10.45</v>
      </c>
      <c r="J446" s="65">
        <v>10.54</v>
      </c>
      <c r="K446" s="65">
        <v>10.29</v>
      </c>
      <c r="L446" s="65">
        <v>10.33</v>
      </c>
      <c r="M446" s="65">
        <v>18672513</v>
      </c>
      <c r="N446" s="65" t="s">
        <v>492</v>
      </c>
      <c r="O446" s="25">
        <f t="shared" si="14"/>
        <v>1.1616650532429773E-2</v>
      </c>
    </row>
    <row r="447" spans="1:15" ht="13.5" customHeight="1">
      <c r="A447" s="65">
        <v>528.93768655459394</v>
      </c>
      <c r="B447" s="65">
        <v>529.6429765379803</v>
      </c>
      <c r="C447" s="65">
        <v>526.52380675229949</v>
      </c>
      <c r="D447" s="65">
        <v>529.63304287624237</v>
      </c>
      <c r="E447" s="65">
        <v>4507665.0666938424</v>
      </c>
      <c r="F447" s="65" t="s">
        <v>493</v>
      </c>
      <c r="G447" s="25">
        <f t="shared" si="13"/>
        <v>-1.3129020762605581E-3</v>
      </c>
      <c r="I447" s="65">
        <v>10.27</v>
      </c>
      <c r="J447" s="65">
        <v>10.33</v>
      </c>
      <c r="K447" s="65">
        <v>10.119999999999999</v>
      </c>
      <c r="L447" s="65">
        <v>10.199999999999999</v>
      </c>
      <c r="M447" s="65">
        <v>17213108</v>
      </c>
      <c r="N447" s="65" t="s">
        <v>493</v>
      </c>
      <c r="O447" s="25">
        <f t="shared" si="14"/>
        <v>6.8627450980391913E-3</v>
      </c>
    </row>
    <row r="448" spans="1:15" ht="13.5" customHeight="1">
      <c r="A448" s="65">
        <v>527.74564714605344</v>
      </c>
      <c r="B448" s="65">
        <v>531.1727604456072</v>
      </c>
      <c r="C448" s="65">
        <v>524.51720708125652</v>
      </c>
      <c r="D448" s="65">
        <v>530.73567932914227</v>
      </c>
      <c r="E448" s="65">
        <v>5262665.6090852972</v>
      </c>
      <c r="F448" s="65" t="s">
        <v>494</v>
      </c>
      <c r="G448" s="25">
        <f t="shared" ref="G448:G511" si="15">A448/D448-1</f>
        <v>-5.6337500935838003E-3</v>
      </c>
      <c r="I448" s="65">
        <v>10.15</v>
      </c>
      <c r="J448" s="65">
        <v>10.48</v>
      </c>
      <c r="K448" s="65">
        <v>10.06</v>
      </c>
      <c r="L448" s="65">
        <v>10.210000000000001</v>
      </c>
      <c r="M448" s="65">
        <v>32444259</v>
      </c>
      <c r="N448" s="65" t="s">
        <v>494</v>
      </c>
      <c r="O448" s="25">
        <f t="shared" ref="O448:O511" si="16">I448/L448-1</f>
        <v>-5.8765915768854704E-3</v>
      </c>
    </row>
    <row r="449" spans="1:15" ht="13.5" customHeight="1">
      <c r="A449" s="65">
        <v>532.60320773585568</v>
      </c>
      <c r="B449" s="65">
        <v>533.7157778504934</v>
      </c>
      <c r="C449" s="65">
        <v>529.93105272837761</v>
      </c>
      <c r="D449" s="65">
        <v>530.56680707959913</v>
      </c>
      <c r="E449" s="65">
        <v>3389077.5515103652</v>
      </c>
      <c r="F449" s="65" t="s">
        <v>495</v>
      </c>
      <c r="G449" s="25">
        <f t="shared" si="15"/>
        <v>3.8381606785118372E-3</v>
      </c>
      <c r="I449" s="65">
        <v>9.98</v>
      </c>
      <c r="J449" s="65">
        <v>10.255000000000001</v>
      </c>
      <c r="K449" s="65">
        <v>9.94</v>
      </c>
      <c r="L449" s="65">
        <v>10.16</v>
      </c>
      <c r="M449" s="65">
        <v>28940039</v>
      </c>
      <c r="N449" s="65" t="s">
        <v>495</v>
      </c>
      <c r="O449" s="25">
        <f t="shared" si="16"/>
        <v>-1.7716535433070835E-2</v>
      </c>
    </row>
    <row r="450" spans="1:15" ht="13.5" customHeight="1">
      <c r="A450" s="65">
        <v>532.97075322015553</v>
      </c>
      <c r="B450" s="65">
        <v>534.04358868784198</v>
      </c>
      <c r="C450" s="65">
        <v>530.16946061008571</v>
      </c>
      <c r="D450" s="65">
        <v>533.15949279317454</v>
      </c>
      <c r="E450" s="65">
        <v>3695949.2852627807</v>
      </c>
      <c r="F450" s="65" t="s">
        <v>496</v>
      </c>
      <c r="G450" s="25">
        <f t="shared" si="15"/>
        <v>-3.5400208674929434E-4</v>
      </c>
      <c r="I450" s="65">
        <v>10.33</v>
      </c>
      <c r="J450" s="65">
        <v>10.56</v>
      </c>
      <c r="K450" s="65">
        <v>10.285</v>
      </c>
      <c r="L450" s="65">
        <v>10.45</v>
      </c>
      <c r="M450" s="65">
        <v>17264934</v>
      </c>
      <c r="N450" s="65" t="s">
        <v>496</v>
      </c>
      <c r="O450" s="25">
        <f t="shared" si="16"/>
        <v>-1.1483253588516651E-2</v>
      </c>
    </row>
    <row r="451" spans="1:15" ht="13.5" customHeight="1">
      <c r="A451" s="65">
        <v>533.79524714439606</v>
      </c>
      <c r="B451" s="65">
        <v>534.53033811299599</v>
      </c>
      <c r="C451" s="65">
        <v>532.00718803158543</v>
      </c>
      <c r="D451" s="65">
        <v>533.3382987044555</v>
      </c>
      <c r="E451" s="65">
        <v>5104272.8591080224</v>
      </c>
      <c r="F451" s="65" t="s">
        <v>497</v>
      </c>
      <c r="G451" s="25">
        <f t="shared" si="15"/>
        <v>8.5677034829600984E-4</v>
      </c>
      <c r="I451" s="65">
        <v>10.49</v>
      </c>
      <c r="J451" s="65">
        <v>10.645</v>
      </c>
      <c r="K451" s="65">
        <v>10.42</v>
      </c>
      <c r="L451" s="65">
        <v>10.56</v>
      </c>
      <c r="M451" s="65">
        <v>15179626</v>
      </c>
      <c r="N451" s="65" t="s">
        <v>497</v>
      </c>
      <c r="O451" s="25">
        <f t="shared" si="16"/>
        <v>-6.6287878787879562E-3</v>
      </c>
    </row>
    <row r="452" spans="1:15" ht="13.5" customHeight="1">
      <c r="A452" s="65">
        <v>531.74891282640169</v>
      </c>
      <c r="B452" s="65">
        <v>535.18595978769315</v>
      </c>
      <c r="C452" s="65">
        <v>531.59990790033407</v>
      </c>
      <c r="D452" s="65">
        <v>535.04688852336346</v>
      </c>
      <c r="E452" s="65">
        <v>3246835.945414796</v>
      </c>
      <c r="F452" s="65" t="s">
        <v>498</v>
      </c>
      <c r="G452" s="25">
        <f t="shared" si="15"/>
        <v>-6.1639003379004853E-3</v>
      </c>
      <c r="I452" s="65">
        <v>10.46</v>
      </c>
      <c r="J452" s="65">
        <v>10.69</v>
      </c>
      <c r="K452" s="65">
        <v>10.26</v>
      </c>
      <c r="L452" s="65">
        <v>10.595000000000001</v>
      </c>
      <c r="M452" s="65">
        <v>28907748</v>
      </c>
      <c r="N452" s="65" t="s">
        <v>498</v>
      </c>
      <c r="O452" s="25">
        <f t="shared" si="16"/>
        <v>-1.2741859367626174E-2</v>
      </c>
    </row>
    <row r="453" spans="1:15" ht="13.5" customHeight="1">
      <c r="A453" s="65">
        <v>531.66944353249903</v>
      </c>
      <c r="B453" s="65">
        <v>532.17606028112868</v>
      </c>
      <c r="C453" s="65">
        <v>528.68437818027905</v>
      </c>
      <c r="D453" s="65">
        <v>529.39463499453439</v>
      </c>
      <c r="E453" s="65">
        <v>3258834.5420195116</v>
      </c>
      <c r="F453" s="65" t="s">
        <v>499</v>
      </c>
      <c r="G453" s="25">
        <f t="shared" si="15"/>
        <v>4.2969996059520899E-3</v>
      </c>
      <c r="I453" s="65">
        <v>10.76</v>
      </c>
      <c r="J453" s="65">
        <v>11.1</v>
      </c>
      <c r="K453" s="65">
        <v>10.67</v>
      </c>
      <c r="L453" s="65">
        <v>11.05</v>
      </c>
      <c r="M453" s="65">
        <v>24720651</v>
      </c>
      <c r="N453" s="65" t="s">
        <v>499</v>
      </c>
      <c r="O453" s="25">
        <f t="shared" si="16"/>
        <v>-2.6244343891402844E-2</v>
      </c>
    </row>
    <row r="454" spans="1:15" ht="13.5" customHeight="1">
      <c r="A454" s="65">
        <v>529.44430330322359</v>
      </c>
      <c r="B454" s="65">
        <v>534.04358868784198</v>
      </c>
      <c r="C454" s="65">
        <v>528.2919985416346</v>
      </c>
      <c r="D454" s="65">
        <v>533.81511446787169</v>
      </c>
      <c r="E454" s="65">
        <v>4843460.6764129233</v>
      </c>
      <c r="F454" s="65" t="s">
        <v>500</v>
      </c>
      <c r="G454" s="25">
        <f t="shared" si="15"/>
        <v>-8.1878745022143651E-3</v>
      </c>
      <c r="I454" s="65">
        <v>11.04</v>
      </c>
      <c r="J454" s="65">
        <v>11.205</v>
      </c>
      <c r="K454" s="65">
        <v>10.855</v>
      </c>
      <c r="L454" s="65">
        <v>11.05</v>
      </c>
      <c r="M454" s="65">
        <v>16307461</v>
      </c>
      <c r="N454" s="65" t="s">
        <v>500</v>
      </c>
      <c r="O454" s="25">
        <f t="shared" si="16"/>
        <v>-9.0497737556571867E-4</v>
      </c>
    </row>
    <row r="455" spans="1:15" ht="13.5" customHeight="1">
      <c r="A455" s="65">
        <v>533.50717095399887</v>
      </c>
      <c r="B455" s="65">
        <v>534.41113417214194</v>
      </c>
      <c r="C455" s="65">
        <v>530.42773581526944</v>
      </c>
      <c r="D455" s="65">
        <v>530.70587834392882</v>
      </c>
      <c r="E455" s="65">
        <v>2656552.1049991744</v>
      </c>
      <c r="F455" s="65" t="s">
        <v>501</v>
      </c>
      <c r="G455" s="25">
        <f t="shared" si="15"/>
        <v>5.2784277023867343E-3</v>
      </c>
      <c r="I455" s="65">
        <v>11.05</v>
      </c>
      <c r="J455" s="65">
        <v>11.2</v>
      </c>
      <c r="K455" s="65">
        <v>10.86</v>
      </c>
      <c r="L455" s="65">
        <v>11.02</v>
      </c>
      <c r="M455" s="65">
        <v>21296660</v>
      </c>
      <c r="N455" s="65" t="s">
        <v>501</v>
      </c>
      <c r="O455" s="25">
        <f t="shared" si="16"/>
        <v>2.7223230490018846E-3</v>
      </c>
    </row>
    <row r="456" spans="1:15" ht="13.5" customHeight="1">
      <c r="A456" s="65">
        <v>529.17609443630204</v>
      </c>
      <c r="B456" s="65">
        <v>529.89131808142622</v>
      </c>
      <c r="C456" s="65">
        <v>525.87811873934015</v>
      </c>
      <c r="D456" s="65">
        <v>525.98738901845638</v>
      </c>
      <c r="E456" s="65">
        <v>5465424.6775090043</v>
      </c>
      <c r="F456" s="65" t="s">
        <v>502</v>
      </c>
      <c r="G456" s="25">
        <f t="shared" si="15"/>
        <v>6.0623229461758132E-3</v>
      </c>
      <c r="I456" s="65">
        <v>11.13</v>
      </c>
      <c r="J456" s="65">
        <v>11.19</v>
      </c>
      <c r="K456" s="65">
        <v>10.55</v>
      </c>
      <c r="L456" s="65">
        <v>10.55</v>
      </c>
      <c r="M456" s="65">
        <v>17306013</v>
      </c>
      <c r="N456" s="65" t="s">
        <v>502</v>
      </c>
      <c r="O456" s="25">
        <f t="shared" si="16"/>
        <v>5.4976303317535447E-2</v>
      </c>
    </row>
    <row r="457" spans="1:15" ht="13.5" customHeight="1">
      <c r="A457" s="65">
        <v>526.04699098888329</v>
      </c>
      <c r="B457" s="65">
        <v>527.37810166175348</v>
      </c>
      <c r="C457" s="65">
        <v>524.58674271342147</v>
      </c>
      <c r="D457" s="65">
        <v>525.7589147984861</v>
      </c>
      <c r="E457" s="65">
        <v>3661925.577900907</v>
      </c>
      <c r="F457" s="65" t="s">
        <v>503</v>
      </c>
      <c r="G457" s="25">
        <f t="shared" si="15"/>
        <v>5.4792449978258162E-4</v>
      </c>
      <c r="I457" s="65">
        <v>10.66</v>
      </c>
      <c r="J457" s="65">
        <v>10.82</v>
      </c>
      <c r="K457" s="65">
        <v>10.52</v>
      </c>
      <c r="L457" s="65">
        <v>10.54</v>
      </c>
      <c r="M457" s="65">
        <v>14692163</v>
      </c>
      <c r="N457" s="65" t="s">
        <v>503</v>
      </c>
      <c r="O457" s="25">
        <f t="shared" si="16"/>
        <v>1.1385199240986799E-2</v>
      </c>
    </row>
    <row r="458" spans="1:15" ht="13.5" customHeight="1">
      <c r="A458" s="65">
        <v>526.93108688355096</v>
      </c>
      <c r="B458" s="65">
        <v>527.50723926434534</v>
      </c>
      <c r="C458" s="65">
        <v>522.81855092408637</v>
      </c>
      <c r="D458" s="65">
        <v>523.37483598140534</v>
      </c>
      <c r="E458" s="65">
        <v>2961430.6160586346</v>
      </c>
      <c r="F458" s="65" t="s">
        <v>504</v>
      </c>
      <c r="G458" s="25">
        <f t="shared" si="15"/>
        <v>6.7948450281853923E-3</v>
      </c>
      <c r="I458" s="65">
        <v>10.68</v>
      </c>
      <c r="J458" s="65">
        <v>10.79</v>
      </c>
      <c r="K458" s="65">
        <v>10.61</v>
      </c>
      <c r="L458" s="65">
        <v>10.69</v>
      </c>
      <c r="M458" s="65">
        <v>11064589</v>
      </c>
      <c r="N458" s="65" t="s">
        <v>504</v>
      </c>
      <c r="O458" s="25">
        <f t="shared" si="16"/>
        <v>-9.3545369504210996E-4</v>
      </c>
    </row>
    <row r="459" spans="1:15" ht="13.5" customHeight="1">
      <c r="A459" s="65">
        <v>523.3549686579297</v>
      </c>
      <c r="B459" s="65">
        <v>523.88145273003499</v>
      </c>
      <c r="C459" s="65">
        <v>520.02719197575436</v>
      </c>
      <c r="D459" s="65">
        <v>520.84175223825696</v>
      </c>
      <c r="E459" s="65">
        <v>2644208.2177966391</v>
      </c>
      <c r="F459" s="65" t="s">
        <v>505</v>
      </c>
      <c r="G459" s="25">
        <f t="shared" si="15"/>
        <v>4.8252975282270238E-3</v>
      </c>
      <c r="I459" s="65">
        <v>10.67</v>
      </c>
      <c r="J459" s="65">
        <v>10.71</v>
      </c>
      <c r="K459" s="65">
        <v>10.385</v>
      </c>
      <c r="L459" s="65">
        <v>10.46</v>
      </c>
      <c r="M459" s="65">
        <v>14134438</v>
      </c>
      <c r="N459" s="65" t="s">
        <v>505</v>
      </c>
      <c r="O459" s="25">
        <f t="shared" si="16"/>
        <v>2.0076481835563875E-2</v>
      </c>
    </row>
    <row r="460" spans="1:15" ht="13.5" customHeight="1">
      <c r="A460" s="65">
        <v>518.44773975943826</v>
      </c>
      <c r="B460" s="65">
        <v>522.23256421817143</v>
      </c>
      <c r="C460" s="65">
        <v>517.35503696827618</v>
      </c>
      <c r="D460" s="65">
        <v>521.65631250075955</v>
      </c>
      <c r="E460" s="65">
        <v>3997020.5396430702</v>
      </c>
      <c r="F460" s="65" t="s">
        <v>506</v>
      </c>
      <c r="G460" s="25">
        <f t="shared" si="15"/>
        <v>-6.15074075484634E-3</v>
      </c>
      <c r="I460" s="65">
        <v>10.48</v>
      </c>
      <c r="J460" s="65">
        <v>10.89</v>
      </c>
      <c r="K460" s="65">
        <v>10.42</v>
      </c>
      <c r="L460" s="65">
        <v>10.79</v>
      </c>
      <c r="M460" s="65">
        <v>18028241</v>
      </c>
      <c r="N460" s="65" t="s">
        <v>506</v>
      </c>
      <c r="O460" s="25">
        <f t="shared" si="16"/>
        <v>-2.8730305838739478E-2</v>
      </c>
    </row>
    <row r="461" spans="1:15" ht="13.5" customHeight="1">
      <c r="A461" s="65">
        <v>523.15629542317288</v>
      </c>
      <c r="B461" s="65">
        <v>523.52384090747285</v>
      </c>
      <c r="C461" s="65">
        <v>518.83515256721387</v>
      </c>
      <c r="D461" s="65">
        <v>522.66954599801886</v>
      </c>
      <c r="E461" s="65">
        <v>5393957.5771852722</v>
      </c>
      <c r="F461" s="65" t="s">
        <v>507</v>
      </c>
      <c r="G461" s="25">
        <f t="shared" si="15"/>
        <v>9.312756575947656E-4</v>
      </c>
      <c r="I461" s="65">
        <v>10.8</v>
      </c>
      <c r="J461" s="65">
        <v>10.98</v>
      </c>
      <c r="K461" s="65">
        <v>10.615</v>
      </c>
      <c r="L461" s="65">
        <v>10.94</v>
      </c>
      <c r="M461" s="65">
        <v>15521334</v>
      </c>
      <c r="N461" s="65" t="s">
        <v>507</v>
      </c>
      <c r="O461" s="25">
        <f t="shared" si="16"/>
        <v>-1.279707495429605E-2</v>
      </c>
    </row>
    <row r="462" spans="1:15" ht="13.5" customHeight="1">
      <c r="A462" s="65">
        <v>518.37820412727342</v>
      </c>
      <c r="B462" s="65">
        <v>520.28050035006913</v>
      </c>
      <c r="C462" s="65">
        <v>516.37160445623044</v>
      </c>
      <c r="D462" s="65">
        <v>518.10006159861393</v>
      </c>
      <c r="E462" s="65">
        <v>4034717.615493123</v>
      </c>
      <c r="F462" s="65" t="s">
        <v>508</v>
      </c>
      <c r="G462" s="25">
        <f t="shared" si="15"/>
        <v>5.3685098550504406E-4</v>
      </c>
      <c r="I462" s="65">
        <v>10.74</v>
      </c>
      <c r="J462" s="65">
        <v>10.9499</v>
      </c>
      <c r="K462" s="65">
        <v>10.601100000000001</v>
      </c>
      <c r="L462" s="65">
        <v>10.63</v>
      </c>
      <c r="M462" s="65">
        <v>15138769</v>
      </c>
      <c r="N462" s="65" t="s">
        <v>508</v>
      </c>
      <c r="O462" s="25">
        <f t="shared" si="16"/>
        <v>1.0348071495766664E-2</v>
      </c>
    </row>
    <row r="463" spans="1:15" ht="13.5" customHeight="1">
      <c r="A463" s="65">
        <v>519.36163663931927</v>
      </c>
      <c r="B463" s="65">
        <v>520.37487013657858</v>
      </c>
      <c r="C463" s="65">
        <v>516.13329591113973</v>
      </c>
      <c r="D463" s="65">
        <v>518.38813778901124</v>
      </c>
      <c r="E463" s="65">
        <v>3292424.3711083229</v>
      </c>
      <c r="F463" s="65" t="s">
        <v>509</v>
      </c>
      <c r="G463" s="25">
        <f t="shared" si="15"/>
        <v>1.877934272300541E-3</v>
      </c>
      <c r="I463" s="65">
        <v>10.88</v>
      </c>
      <c r="J463" s="65">
        <v>10.91</v>
      </c>
      <c r="K463" s="65">
        <v>10.3</v>
      </c>
      <c r="L463" s="65">
        <v>10.32</v>
      </c>
      <c r="M463" s="65">
        <v>22138288</v>
      </c>
      <c r="N463" s="65" t="s">
        <v>509</v>
      </c>
      <c r="O463" s="25">
        <f t="shared" si="16"/>
        <v>5.4263565891472965E-2</v>
      </c>
    </row>
    <row r="464" spans="1:15" ht="13.5" customHeight="1">
      <c r="A464" s="65">
        <v>519.27223368367868</v>
      </c>
      <c r="B464" s="65">
        <v>523.60331020137562</v>
      </c>
      <c r="C464" s="65">
        <v>516.77888458748168</v>
      </c>
      <c r="D464" s="65">
        <v>523.54370823094848</v>
      </c>
      <c r="E464" s="65">
        <v>9260086.8066232149</v>
      </c>
      <c r="F464" s="65" t="s">
        <v>510</v>
      </c>
      <c r="G464" s="25">
        <f t="shared" si="15"/>
        <v>-8.158773527625951E-3</v>
      </c>
      <c r="I464" s="65">
        <v>10.42</v>
      </c>
      <c r="J464" s="65">
        <v>10.91</v>
      </c>
      <c r="K464" s="65">
        <v>10.4</v>
      </c>
      <c r="L464" s="65">
        <v>10.78</v>
      </c>
      <c r="M464" s="65">
        <v>19195678</v>
      </c>
      <c r="N464" s="65" t="s">
        <v>510</v>
      </c>
      <c r="O464" s="25">
        <f t="shared" si="16"/>
        <v>-3.3395176252319025E-2</v>
      </c>
    </row>
    <row r="465" spans="1:15" ht="13.5" customHeight="1">
      <c r="A465" s="65">
        <v>524.16952892043219</v>
      </c>
      <c r="B465" s="65">
        <v>524.45263827996064</v>
      </c>
      <c r="C465" s="65">
        <v>518.72588228809775</v>
      </c>
      <c r="D465" s="65">
        <v>520.84175223825696</v>
      </c>
      <c r="E465" s="65">
        <v>8070889.8808808522</v>
      </c>
      <c r="F465" s="65" t="s">
        <v>511</v>
      </c>
      <c r="G465" s="25">
        <f t="shared" si="15"/>
        <v>6.3892279523953821E-3</v>
      </c>
      <c r="I465" s="65">
        <v>10.7</v>
      </c>
      <c r="J465" s="65">
        <v>10.99</v>
      </c>
      <c r="K465" s="65">
        <v>10.680099999999999</v>
      </c>
      <c r="L465" s="65">
        <v>10.81</v>
      </c>
      <c r="M465" s="65">
        <v>22567090</v>
      </c>
      <c r="N465" s="65" t="s">
        <v>511</v>
      </c>
      <c r="O465" s="25">
        <f t="shared" si="16"/>
        <v>-1.0175763182238784E-2</v>
      </c>
    </row>
    <row r="466" spans="1:15" ht="13.5" customHeight="1">
      <c r="A466" s="65">
        <v>521.89472038246765</v>
      </c>
      <c r="B466" s="65">
        <v>524.2688655378106</v>
      </c>
      <c r="C466" s="65">
        <v>520.84175223825696</v>
      </c>
      <c r="D466" s="65">
        <v>523.59337653963769</v>
      </c>
      <c r="E466" s="65">
        <v>5635982.1259820741</v>
      </c>
      <c r="F466" s="65" t="s">
        <v>512</v>
      </c>
      <c r="G466" s="25">
        <f t="shared" si="15"/>
        <v>-3.2442277409928666E-3</v>
      </c>
      <c r="I466" s="65">
        <v>10.87</v>
      </c>
      <c r="J466" s="65">
        <v>11.07</v>
      </c>
      <c r="K466" s="65">
        <v>10.744999999999999</v>
      </c>
      <c r="L466" s="65">
        <v>10.8</v>
      </c>
      <c r="M466" s="65">
        <v>25500917</v>
      </c>
      <c r="N466" s="65" t="s">
        <v>512</v>
      </c>
      <c r="O466" s="25">
        <f t="shared" si="16"/>
        <v>6.4814814814813104E-3</v>
      </c>
    </row>
    <row r="467" spans="1:15" ht="13.5" customHeight="1">
      <c r="A467" s="65">
        <v>522.57160009328379</v>
      </c>
      <c r="B467" s="65">
        <v>524.77002524432999</v>
      </c>
      <c r="C467" s="65">
        <v>520.3830777582333</v>
      </c>
      <c r="D467" s="65">
        <v>524.52245484443733</v>
      </c>
      <c r="E467" s="65">
        <v>5325672.0131809711</v>
      </c>
      <c r="F467" s="65" t="s">
        <v>513</v>
      </c>
      <c r="G467" s="25">
        <f t="shared" si="15"/>
        <v>-3.7192969207240356E-3</v>
      </c>
      <c r="I467" s="65">
        <v>10.56</v>
      </c>
      <c r="J467" s="65">
        <v>10.93</v>
      </c>
      <c r="K467" s="65">
        <v>10.5</v>
      </c>
      <c r="L467" s="65">
        <v>10.88</v>
      </c>
      <c r="M467" s="65">
        <v>24807069</v>
      </c>
      <c r="N467" s="65" t="s">
        <v>513</v>
      </c>
      <c r="O467" s="25">
        <f t="shared" si="16"/>
        <v>-2.9411764705882359E-2</v>
      </c>
    </row>
    <row r="468" spans="1:15" ht="13.5" customHeight="1">
      <c r="A468" s="65">
        <v>520.50191155018172</v>
      </c>
      <c r="B468" s="65">
        <v>522.17548745345562</v>
      </c>
      <c r="C468" s="65">
        <v>519.55124121459414</v>
      </c>
      <c r="D468" s="65">
        <v>521.4921931497521</v>
      </c>
      <c r="E468" s="65">
        <v>35765633.750405967</v>
      </c>
      <c r="F468" s="65" t="s">
        <v>514</v>
      </c>
      <c r="G468" s="25">
        <f t="shared" si="15"/>
        <v>-1.8989384933821851E-3</v>
      </c>
      <c r="I468" s="65">
        <v>10.59</v>
      </c>
      <c r="J468" s="65">
        <v>10.8</v>
      </c>
      <c r="K468" s="65">
        <v>10.55</v>
      </c>
      <c r="L468" s="65">
        <v>10.59</v>
      </c>
      <c r="M468" s="65">
        <v>31316675</v>
      </c>
      <c r="N468" s="65" t="s">
        <v>514</v>
      </c>
      <c r="O468" s="25">
        <f t="shared" si="16"/>
        <v>0</v>
      </c>
    </row>
    <row r="469" spans="1:15" ht="13.5" customHeight="1">
      <c r="A469" s="65">
        <v>521.56151286172189</v>
      </c>
      <c r="B469" s="65">
        <v>521.71995791765323</v>
      </c>
      <c r="C469" s="65">
        <v>518.29358358313982</v>
      </c>
      <c r="D469" s="65">
        <v>520.89802419000989</v>
      </c>
      <c r="E469" s="65">
        <v>4696248.0187632013</v>
      </c>
      <c r="F469" s="65" t="s">
        <v>515</v>
      </c>
      <c r="G469" s="25">
        <f t="shared" si="15"/>
        <v>1.2737400429647661E-3</v>
      </c>
      <c r="I469" s="65">
        <v>10.57</v>
      </c>
      <c r="J469" s="65">
        <v>10.67</v>
      </c>
      <c r="K469" s="65">
        <v>10.2201</v>
      </c>
      <c r="L469" s="65">
        <v>10.4</v>
      </c>
      <c r="M469" s="65">
        <v>35147050</v>
      </c>
      <c r="N469" s="65" t="s">
        <v>515</v>
      </c>
      <c r="O469" s="25">
        <f t="shared" si="16"/>
        <v>1.6346153846153788E-2</v>
      </c>
    </row>
    <row r="470" spans="1:15" ht="13.5" customHeight="1">
      <c r="A470" s="65">
        <v>520.06618764637074</v>
      </c>
      <c r="B470" s="65">
        <v>520.71977350208726</v>
      </c>
      <c r="C470" s="65">
        <v>518.7392103029465</v>
      </c>
      <c r="D470" s="65">
        <v>519.89783977444381</v>
      </c>
      <c r="E470" s="65">
        <v>29576592.1660132</v>
      </c>
      <c r="F470" s="65" t="s">
        <v>516</v>
      </c>
      <c r="G470" s="25">
        <f t="shared" si="15"/>
        <v>3.2380952380939299E-4</v>
      </c>
      <c r="I470" s="65">
        <v>10.199999999999999</v>
      </c>
      <c r="J470" s="65">
        <v>10.28</v>
      </c>
      <c r="K470" s="65">
        <v>9.94</v>
      </c>
      <c r="L470" s="65">
        <v>10.16</v>
      </c>
      <c r="M470" s="65">
        <v>35568362</v>
      </c>
      <c r="N470" s="65" t="s">
        <v>516</v>
      </c>
      <c r="O470" s="25">
        <f t="shared" si="16"/>
        <v>3.937007874015741E-3</v>
      </c>
    </row>
    <row r="471" spans="1:15" ht="13.5" customHeight="1">
      <c r="A471" s="65">
        <v>518.78872438292501</v>
      </c>
      <c r="B471" s="65">
        <v>519.81861724647808</v>
      </c>
      <c r="C471" s="65">
        <v>516.05554716811071</v>
      </c>
      <c r="D471" s="65">
        <v>518.42232019108394</v>
      </c>
      <c r="E471" s="65">
        <v>5667759.5569129474</v>
      </c>
      <c r="F471" s="65" t="s">
        <v>517</v>
      </c>
      <c r="G471" s="25">
        <f t="shared" si="15"/>
        <v>7.0676777903000421E-4</v>
      </c>
      <c r="I471" s="65">
        <v>10.050000000000001</v>
      </c>
      <c r="J471" s="65">
        <v>10.15</v>
      </c>
      <c r="K471" s="65">
        <v>9.92</v>
      </c>
      <c r="L471" s="65">
        <v>10.02</v>
      </c>
      <c r="M471" s="65">
        <v>33630752</v>
      </c>
      <c r="N471" s="65" t="s">
        <v>517</v>
      </c>
      <c r="O471" s="25">
        <f t="shared" si="16"/>
        <v>2.9940119760480943E-3</v>
      </c>
    </row>
    <row r="472" spans="1:15" ht="13.5" customHeight="1">
      <c r="A472" s="65">
        <v>519.80871443048238</v>
      </c>
      <c r="B472" s="65">
        <v>521.4822903337564</v>
      </c>
      <c r="C472" s="65">
        <v>517.11514847965111</v>
      </c>
      <c r="D472" s="65">
        <v>519.77900598249528</v>
      </c>
      <c r="E472" s="65">
        <v>5612919.6002545981</v>
      </c>
      <c r="F472" s="65" t="s">
        <v>518</v>
      </c>
      <c r="G472" s="25">
        <f t="shared" si="15"/>
        <v>5.7155921353357897E-5</v>
      </c>
      <c r="I472" s="65">
        <v>10.07</v>
      </c>
      <c r="J472" s="65">
        <v>10.34</v>
      </c>
      <c r="K472" s="65">
        <v>9.8101000000000003</v>
      </c>
      <c r="L472" s="65">
        <v>9.99</v>
      </c>
      <c r="M472" s="65">
        <v>37009854</v>
      </c>
      <c r="N472" s="65" t="s">
        <v>518</v>
      </c>
      <c r="O472" s="25">
        <f t="shared" si="16"/>
        <v>8.0080080080080496E-3</v>
      </c>
    </row>
    <row r="473" spans="1:15" ht="13.5" customHeight="1">
      <c r="A473" s="65">
        <v>510.89618003434907</v>
      </c>
      <c r="B473" s="65">
        <v>517.64990054341911</v>
      </c>
      <c r="C473" s="65">
        <v>510.4604561305382</v>
      </c>
      <c r="D473" s="65">
        <v>513.14411926537377</v>
      </c>
      <c r="E473" s="65">
        <v>6989201.8623821521</v>
      </c>
      <c r="F473" s="65" t="s">
        <v>519</v>
      </c>
      <c r="G473" s="25">
        <f t="shared" si="15"/>
        <v>-4.3807171253231747E-3</v>
      </c>
      <c r="I473" s="65">
        <v>9.67</v>
      </c>
      <c r="J473" s="65">
        <v>9.875</v>
      </c>
      <c r="K473" s="65">
        <v>9.4001000000000001</v>
      </c>
      <c r="L473" s="65">
        <v>9.44</v>
      </c>
      <c r="M473" s="65">
        <v>32524791</v>
      </c>
      <c r="N473" s="65" t="s">
        <v>519</v>
      </c>
      <c r="O473" s="25">
        <f t="shared" si="16"/>
        <v>2.4364406779661119E-2</v>
      </c>
    </row>
    <row r="474" spans="1:15" ht="13.5" customHeight="1">
      <c r="A474" s="65">
        <v>512.55985312162738</v>
      </c>
      <c r="B474" s="65">
        <v>515.6742887522762</v>
      </c>
      <c r="C474" s="65">
        <v>510.49016457852525</v>
      </c>
      <c r="D474" s="65">
        <v>514.39187408083262</v>
      </c>
      <c r="E474" s="65">
        <v>8229938.8411698611</v>
      </c>
      <c r="F474" s="65" t="s">
        <v>520</v>
      </c>
      <c r="G474" s="25">
        <f t="shared" si="15"/>
        <v>-3.5615277991684069E-3</v>
      </c>
      <c r="I474" s="65">
        <v>9.42</v>
      </c>
      <c r="J474" s="65">
        <v>9.9600000000000009</v>
      </c>
      <c r="K474" s="65">
        <v>9.3849999999999998</v>
      </c>
      <c r="L474" s="65">
        <v>9.8000000000000007</v>
      </c>
      <c r="M474" s="65">
        <v>28486654</v>
      </c>
      <c r="N474" s="65" t="s">
        <v>520</v>
      </c>
      <c r="O474" s="25">
        <f t="shared" si="16"/>
        <v>-3.8775510204081765E-2</v>
      </c>
    </row>
    <row r="475" spans="1:15" ht="13.5" customHeight="1">
      <c r="A475" s="65">
        <v>512.32218553773043</v>
      </c>
      <c r="B475" s="65">
        <v>512.55985312162738</v>
      </c>
      <c r="C475" s="65">
        <v>509.64842521889045</v>
      </c>
      <c r="D475" s="65">
        <v>511.32200112216441</v>
      </c>
      <c r="E475" s="65">
        <v>4298022.9076724881</v>
      </c>
      <c r="F475" s="65" t="s">
        <v>521</v>
      </c>
      <c r="G475" s="25">
        <f t="shared" si="15"/>
        <v>1.9560754541581016E-3</v>
      </c>
      <c r="I475" s="65">
        <v>9.64</v>
      </c>
      <c r="J475" s="65">
        <v>9.8249999999999993</v>
      </c>
      <c r="K475" s="65">
        <v>9.0399999999999991</v>
      </c>
      <c r="L475" s="65">
        <v>9.35</v>
      </c>
      <c r="M475" s="65">
        <v>39019703</v>
      </c>
      <c r="N475" s="65" t="s">
        <v>521</v>
      </c>
      <c r="O475" s="25">
        <f t="shared" si="16"/>
        <v>3.1016042780748654E-2</v>
      </c>
    </row>
    <row r="476" spans="1:15" ht="13.5" customHeight="1">
      <c r="A476" s="65">
        <v>511.5497658900656</v>
      </c>
      <c r="B476" s="65">
        <v>512.50043622565306</v>
      </c>
      <c r="C476" s="65">
        <v>509.23250694707093</v>
      </c>
      <c r="D476" s="65">
        <v>509.4305632669849</v>
      </c>
      <c r="E476" s="65">
        <v>4459984.9193564206</v>
      </c>
      <c r="F476" s="65" t="s">
        <v>522</v>
      </c>
      <c r="G476" s="25">
        <f t="shared" si="15"/>
        <v>4.1599440157069623E-3</v>
      </c>
      <c r="I476" s="65">
        <v>9.52</v>
      </c>
      <c r="J476" s="65">
        <v>9.7899999999999991</v>
      </c>
      <c r="K476" s="65">
        <v>9.4700000000000006</v>
      </c>
      <c r="L476" s="65">
        <v>9.49</v>
      </c>
      <c r="M476" s="65">
        <v>30647688</v>
      </c>
      <c r="N476" s="65" t="s">
        <v>522</v>
      </c>
      <c r="O476" s="25">
        <f t="shared" si="16"/>
        <v>3.1612223393044925E-3</v>
      </c>
    </row>
    <row r="477" spans="1:15" ht="13.5" customHeight="1">
      <c r="A477" s="65">
        <v>508.84629712323851</v>
      </c>
      <c r="B477" s="65">
        <v>509.14318354678971</v>
      </c>
      <c r="C477" s="65">
        <v>503.12246947772172</v>
      </c>
      <c r="D477" s="65">
        <v>505.13274112484953</v>
      </c>
      <c r="E477" s="65">
        <v>4139769.9419827382</v>
      </c>
      <c r="F477" s="65" t="s">
        <v>523</v>
      </c>
      <c r="G477" s="25">
        <f t="shared" si="15"/>
        <v>7.3516438275600393E-3</v>
      </c>
      <c r="I477" s="65">
        <v>9.32</v>
      </c>
      <c r="J477" s="65">
        <v>9.44</v>
      </c>
      <c r="K477" s="65">
        <v>9</v>
      </c>
      <c r="L477" s="65">
        <v>9</v>
      </c>
      <c r="M477" s="65">
        <v>23150252</v>
      </c>
      <c r="N477" s="65" t="s">
        <v>523</v>
      </c>
      <c r="O477" s="25">
        <f t="shared" si="16"/>
        <v>3.5555555555555562E-2</v>
      </c>
    </row>
    <row r="478" spans="1:15" ht="13.5" customHeight="1">
      <c r="A478" s="65">
        <v>504.50886371712022</v>
      </c>
      <c r="B478" s="65">
        <v>505.4793396846992</v>
      </c>
      <c r="C478" s="65">
        <v>491.42724378679566</v>
      </c>
      <c r="D478" s="65">
        <v>499.40891347933285</v>
      </c>
      <c r="E478" s="65">
        <v>4994369.2805619482</v>
      </c>
      <c r="F478" s="65" t="s">
        <v>524</v>
      </c>
      <c r="G478" s="25">
        <f t="shared" si="15"/>
        <v>1.0211972794511137E-2</v>
      </c>
      <c r="I478" s="65">
        <v>9</v>
      </c>
      <c r="J478" s="65">
        <v>9</v>
      </c>
      <c r="K478" s="65">
        <v>8.68</v>
      </c>
      <c r="L478" s="65">
        <v>8.68</v>
      </c>
      <c r="M478" s="65">
        <v>27103245</v>
      </c>
      <c r="N478" s="65" t="s">
        <v>524</v>
      </c>
      <c r="O478" s="25">
        <f t="shared" si="16"/>
        <v>3.6866359447004671E-2</v>
      </c>
    </row>
    <row r="479" spans="1:15" ht="13.5" customHeight="1">
      <c r="A479" s="65">
        <v>499.39901066333715</v>
      </c>
      <c r="B479" s="65">
        <v>499.80007471116312</v>
      </c>
      <c r="C479" s="65">
        <v>494.64536190091951</v>
      </c>
      <c r="D479" s="65">
        <v>499.05241210348748</v>
      </c>
      <c r="E479" s="65">
        <v>3004584.7578010764</v>
      </c>
      <c r="F479" s="65" t="s">
        <v>525</v>
      </c>
      <c r="G479" s="25">
        <f t="shared" si="15"/>
        <v>6.9451334457792946E-4</v>
      </c>
      <c r="I479" s="65">
        <v>8.64</v>
      </c>
      <c r="J479" s="65">
        <v>8.67</v>
      </c>
      <c r="K479" s="65">
        <v>8.32</v>
      </c>
      <c r="L479" s="65">
        <v>8.5500000000000007</v>
      </c>
      <c r="M479" s="65">
        <v>22445461</v>
      </c>
      <c r="N479" s="65" t="s">
        <v>525</v>
      </c>
      <c r="O479" s="25">
        <f t="shared" si="16"/>
        <v>1.0526315789473717E-2</v>
      </c>
    </row>
    <row r="480" spans="1:15" ht="13.5" customHeight="1">
      <c r="A480" s="65">
        <v>497.34912775222648</v>
      </c>
      <c r="B480" s="65">
        <v>498.47804877573668</v>
      </c>
      <c r="C480" s="65">
        <v>493.90294778572161</v>
      </c>
      <c r="D480" s="65">
        <v>495.73496874492679</v>
      </c>
      <c r="E480" s="65">
        <v>3692683.9815932065</v>
      </c>
      <c r="F480" s="65" t="s">
        <v>526</v>
      </c>
      <c r="G480" s="25">
        <f t="shared" si="15"/>
        <v>3.2560926887734709E-3</v>
      </c>
      <c r="I480" s="65">
        <v>8.5299999999999994</v>
      </c>
      <c r="J480" s="65">
        <v>8.76</v>
      </c>
      <c r="K480" s="65">
        <v>8.42</v>
      </c>
      <c r="L480" s="65">
        <v>8.69</v>
      </c>
      <c r="M480" s="65">
        <v>26137720</v>
      </c>
      <c r="N480" s="65" t="s">
        <v>526</v>
      </c>
      <c r="O480" s="25">
        <f t="shared" si="16"/>
        <v>-1.8411967779056404E-2</v>
      </c>
    </row>
    <row r="481" spans="1:15" ht="13.5" customHeight="1">
      <c r="A481" s="65">
        <v>491.81345361062807</v>
      </c>
      <c r="B481" s="65">
        <v>502.01335408620292</v>
      </c>
      <c r="C481" s="65">
        <v>490.98161706698903</v>
      </c>
      <c r="D481" s="65">
        <v>500.42890352689028</v>
      </c>
      <c r="E481" s="65">
        <v>7484173.1919642175</v>
      </c>
      <c r="F481" s="65" t="s">
        <v>527</v>
      </c>
      <c r="G481" s="25">
        <f t="shared" si="15"/>
        <v>-1.7216131713301941E-2</v>
      </c>
      <c r="I481" s="65">
        <v>8.6199999999999992</v>
      </c>
      <c r="J481" s="65">
        <v>8.9250000000000007</v>
      </c>
      <c r="K481" s="65">
        <v>8.4600000000000009</v>
      </c>
      <c r="L481" s="65">
        <v>8.89</v>
      </c>
      <c r="M481" s="65">
        <v>24928801</v>
      </c>
      <c r="N481" s="65" t="s">
        <v>527</v>
      </c>
      <c r="O481" s="25">
        <f t="shared" si="16"/>
        <v>-3.0371203599550256E-2</v>
      </c>
    </row>
    <row r="482" spans="1:15" ht="13.5" customHeight="1">
      <c r="A482" s="65">
        <v>500.14172186301494</v>
      </c>
      <c r="B482" s="65">
        <v>503.99391728534363</v>
      </c>
      <c r="C482" s="65">
        <v>497.95319952796439</v>
      </c>
      <c r="D482" s="65">
        <v>501.43899075845212</v>
      </c>
      <c r="E482" s="65">
        <v>3459186.762115113</v>
      </c>
      <c r="F482" s="65" t="s">
        <v>528</v>
      </c>
      <c r="G482" s="25">
        <f t="shared" si="15"/>
        <v>-2.5870921873766273E-3</v>
      </c>
      <c r="I482" s="65">
        <v>8.8699999999999992</v>
      </c>
      <c r="J482" s="65">
        <v>8.98</v>
      </c>
      <c r="K482" s="65">
        <v>8.7200000000000006</v>
      </c>
      <c r="L482" s="65">
        <v>8.77</v>
      </c>
      <c r="M482" s="65">
        <v>15422885</v>
      </c>
      <c r="N482" s="65" t="s">
        <v>528</v>
      </c>
      <c r="O482" s="25">
        <f t="shared" si="16"/>
        <v>1.1402508551881407E-2</v>
      </c>
    </row>
    <row r="483" spans="1:15" ht="13.5" customHeight="1">
      <c r="A483" s="65">
        <v>501.37957386247791</v>
      </c>
      <c r="B483" s="65">
        <v>504.57818342909013</v>
      </c>
      <c r="C483" s="65">
        <v>500.11201341502777</v>
      </c>
      <c r="D483" s="65">
        <v>500.76559927074425</v>
      </c>
      <c r="E483" s="65">
        <v>3636716.0629486055</v>
      </c>
      <c r="F483" s="65" t="s">
        <v>529</v>
      </c>
      <c r="G483" s="25">
        <f t="shared" si="15"/>
        <v>1.2260718240786339E-3</v>
      </c>
      <c r="I483" s="65">
        <v>8.7899999999999991</v>
      </c>
      <c r="J483" s="65">
        <v>9.02</v>
      </c>
      <c r="K483" s="65">
        <v>8.7799999999999994</v>
      </c>
      <c r="L483" s="65">
        <v>8.81</v>
      </c>
      <c r="M483" s="65">
        <v>18958604</v>
      </c>
      <c r="N483" s="65" t="s">
        <v>529</v>
      </c>
      <c r="O483" s="25">
        <f t="shared" si="16"/>
        <v>-2.2701475595915399E-3</v>
      </c>
    </row>
    <row r="484" spans="1:15" ht="13.5" customHeight="1">
      <c r="A484" s="65">
        <v>502.62732867793653</v>
      </c>
      <c r="B484" s="65">
        <v>510.42084486655529</v>
      </c>
      <c r="C484" s="65">
        <v>500.19123594299344</v>
      </c>
      <c r="D484" s="65">
        <v>510.11385757068854</v>
      </c>
      <c r="E484" s="65">
        <v>5924012.9298021281</v>
      </c>
      <c r="F484" s="65" t="s">
        <v>530</v>
      </c>
      <c r="G484" s="25">
        <f t="shared" si="15"/>
        <v>-1.4676191955272588E-2</v>
      </c>
      <c r="I484" s="65">
        <v>8.86</v>
      </c>
      <c r="J484" s="65">
        <v>9.25</v>
      </c>
      <c r="K484" s="65">
        <v>8.81</v>
      </c>
      <c r="L484" s="65">
        <v>9.2200000000000006</v>
      </c>
      <c r="M484" s="65">
        <v>20702838</v>
      </c>
      <c r="N484" s="65" t="s">
        <v>530</v>
      </c>
      <c r="O484" s="25">
        <f t="shared" si="16"/>
        <v>-3.9045553145336309E-2</v>
      </c>
    </row>
    <row r="485" spans="1:15" ht="13.5" customHeight="1">
      <c r="A485" s="65">
        <v>513.00547984143395</v>
      </c>
      <c r="B485" s="65">
        <v>513.54023190520206</v>
      </c>
      <c r="C485" s="65">
        <v>507.14301277197745</v>
      </c>
      <c r="D485" s="65">
        <v>510.41094205055958</v>
      </c>
      <c r="E485" s="65">
        <v>5693052.3625258831</v>
      </c>
      <c r="F485" s="65" t="s">
        <v>531</v>
      </c>
      <c r="G485" s="25">
        <f t="shared" si="15"/>
        <v>5.0832330914594159E-3</v>
      </c>
      <c r="I485" s="65">
        <v>9.34</v>
      </c>
      <c r="J485" s="65">
        <v>9.42</v>
      </c>
      <c r="K485" s="65">
        <v>9.18</v>
      </c>
      <c r="L485" s="65">
        <v>9.34</v>
      </c>
      <c r="M485" s="65">
        <v>17230554</v>
      </c>
      <c r="N485" s="65" t="s">
        <v>531</v>
      </c>
      <c r="O485" s="25">
        <f t="shared" si="16"/>
        <v>0</v>
      </c>
    </row>
    <row r="486" spans="1:15" ht="13.5" customHeight="1">
      <c r="A486" s="65">
        <v>508.22241971550915</v>
      </c>
      <c r="B486" s="65">
        <v>513.05499392141257</v>
      </c>
      <c r="C486" s="65">
        <v>507.1529155879731</v>
      </c>
      <c r="D486" s="65">
        <v>509.98512096274442</v>
      </c>
      <c r="E486" s="65">
        <v>3521367.0551011832</v>
      </c>
      <c r="F486" s="65" t="s">
        <v>532</v>
      </c>
      <c r="G486" s="25">
        <f t="shared" si="15"/>
        <v>-3.4563777937436369E-3</v>
      </c>
      <c r="I486" s="65">
        <v>9.2200000000000006</v>
      </c>
      <c r="J486" s="65">
        <v>9.44</v>
      </c>
      <c r="K486" s="65">
        <v>9.16</v>
      </c>
      <c r="L486" s="65">
        <v>9.2899999999999991</v>
      </c>
      <c r="M486" s="65">
        <v>19312615</v>
      </c>
      <c r="N486" s="65" t="s">
        <v>532</v>
      </c>
      <c r="O486" s="25">
        <f t="shared" si="16"/>
        <v>-7.5349838536058478E-3</v>
      </c>
    </row>
    <row r="487" spans="1:15" ht="13.5" customHeight="1">
      <c r="A487" s="65">
        <v>508.14319718754348</v>
      </c>
      <c r="B487" s="65">
        <v>511.21307014621163</v>
      </c>
      <c r="C487" s="65">
        <v>505.2020608368195</v>
      </c>
      <c r="D487" s="65">
        <v>510.78724905839636</v>
      </c>
      <c r="E487" s="65">
        <v>3979098.4723027707</v>
      </c>
      <c r="F487" s="65" t="s">
        <v>533</v>
      </c>
      <c r="G487" s="25">
        <f t="shared" si="15"/>
        <v>-5.1764249709189691E-3</v>
      </c>
      <c r="I487" s="65">
        <v>9.18</v>
      </c>
      <c r="J487" s="65">
        <v>9.44</v>
      </c>
      <c r="K487" s="65">
        <v>9.1300000000000008</v>
      </c>
      <c r="L487" s="65">
        <v>9.3800000000000008</v>
      </c>
      <c r="M487" s="65">
        <v>17945092</v>
      </c>
      <c r="N487" s="65" t="s">
        <v>533</v>
      </c>
      <c r="O487" s="25">
        <f t="shared" si="16"/>
        <v>-2.1321961620469176E-2</v>
      </c>
    </row>
    <row r="488" spans="1:15" ht="13.5" customHeight="1">
      <c r="A488" s="65">
        <v>511.06452790627611</v>
      </c>
      <c r="B488" s="65">
        <v>511.569571522057</v>
      </c>
      <c r="C488" s="65">
        <v>508.17290563553058</v>
      </c>
      <c r="D488" s="65">
        <v>509.26221539505798</v>
      </c>
      <c r="E488" s="65">
        <v>3061531.1859932854</v>
      </c>
      <c r="F488" s="65" t="s">
        <v>534</v>
      </c>
      <c r="G488" s="25">
        <f t="shared" si="15"/>
        <v>3.5390658421812216E-3</v>
      </c>
      <c r="I488" s="65">
        <v>9.5</v>
      </c>
      <c r="J488" s="65">
        <v>9.57</v>
      </c>
      <c r="K488" s="65">
        <v>9.2799999999999994</v>
      </c>
      <c r="L488" s="65">
        <v>9.2799999999999994</v>
      </c>
      <c r="M488" s="65">
        <v>17453874</v>
      </c>
      <c r="N488" s="65" t="s">
        <v>534</v>
      </c>
      <c r="O488" s="25">
        <f t="shared" si="16"/>
        <v>2.3706896551724199E-2</v>
      </c>
    </row>
    <row r="489" spans="1:15" ht="13.5" customHeight="1">
      <c r="A489" s="65">
        <v>510.38123360257254</v>
      </c>
      <c r="B489" s="65">
        <v>513.2530502413266</v>
      </c>
      <c r="C489" s="65">
        <v>508.88095697922341</v>
      </c>
      <c r="D489" s="65">
        <v>512.60936720160589</v>
      </c>
      <c r="E489" s="65">
        <v>3431993.4869783409</v>
      </c>
      <c r="F489" s="65" t="s">
        <v>535</v>
      </c>
      <c r="G489" s="25">
        <f t="shared" si="15"/>
        <v>-4.3466501815934144E-3</v>
      </c>
      <c r="I489" s="65">
        <v>9.42</v>
      </c>
      <c r="J489" s="65">
        <v>9.6199999999999992</v>
      </c>
      <c r="K489" s="65">
        <v>9.3840000000000003</v>
      </c>
      <c r="L489" s="65">
        <v>9.4</v>
      </c>
      <c r="M489" s="65">
        <v>21843391</v>
      </c>
      <c r="N489" s="65" t="s">
        <v>535</v>
      </c>
      <c r="O489" s="25">
        <f t="shared" si="16"/>
        <v>2.1276595744681437E-3</v>
      </c>
    </row>
    <row r="490" spans="1:15" ht="13.5" customHeight="1">
      <c r="A490" s="65">
        <v>511.63889123402686</v>
      </c>
      <c r="B490" s="65">
        <v>512.52024185764446</v>
      </c>
      <c r="C490" s="65">
        <v>507.27382897128069</v>
      </c>
      <c r="D490" s="65">
        <v>509.331535107028</v>
      </c>
      <c r="E490" s="65">
        <v>5152868.6408127062</v>
      </c>
      <c r="F490" s="65" t="s">
        <v>536</v>
      </c>
      <c r="G490" s="25">
        <f t="shared" si="15"/>
        <v>4.5301654579743555E-3</v>
      </c>
      <c r="I490" s="65">
        <v>9.43</v>
      </c>
      <c r="J490" s="65">
        <v>9.49</v>
      </c>
      <c r="K490" s="65">
        <v>9.3249999999999993</v>
      </c>
      <c r="L490" s="65">
        <v>9.35</v>
      </c>
      <c r="M490" s="65">
        <v>17785943</v>
      </c>
      <c r="N490" s="65" t="s">
        <v>536</v>
      </c>
      <c r="O490" s="25">
        <f t="shared" si="16"/>
        <v>8.5561497326203106E-3</v>
      </c>
    </row>
    <row r="491" spans="1:15" ht="13.5" customHeight="1">
      <c r="A491" s="65">
        <v>506.16263398840277</v>
      </c>
      <c r="B491" s="65">
        <v>512.59946438561019</v>
      </c>
      <c r="C491" s="65">
        <v>505.14264394084529</v>
      </c>
      <c r="D491" s="65">
        <v>512.02510105785927</v>
      </c>
      <c r="E491" s="65">
        <v>3713173.1030802694</v>
      </c>
      <c r="F491" s="65" t="s">
        <v>537</v>
      </c>
      <c r="G491" s="25">
        <f t="shared" si="15"/>
        <v>-1.1449569674112592E-2</v>
      </c>
      <c r="I491" s="65">
        <v>9.25</v>
      </c>
      <c r="J491" s="65">
        <v>9.52</v>
      </c>
      <c r="K491" s="65">
        <v>9.19</v>
      </c>
      <c r="L491" s="65">
        <v>9.48</v>
      </c>
      <c r="M491" s="65">
        <v>19806645</v>
      </c>
      <c r="N491" s="65" t="s">
        <v>537</v>
      </c>
      <c r="O491" s="25">
        <f t="shared" si="16"/>
        <v>-2.4261603375527518E-2</v>
      </c>
    </row>
    <row r="492" spans="1:15" ht="13.5" customHeight="1">
      <c r="A492" s="65">
        <v>510.29210825861117</v>
      </c>
      <c r="B492" s="65">
        <v>511.63879220586693</v>
      </c>
      <c r="C492" s="65">
        <v>507.86591833966384</v>
      </c>
      <c r="D492" s="65">
        <v>509.47017453096782</v>
      </c>
      <c r="E492" s="65">
        <v>3376867.7530217734</v>
      </c>
      <c r="F492" s="65" t="s">
        <v>538</v>
      </c>
      <c r="G492" s="25">
        <f t="shared" si="15"/>
        <v>1.6133107858571361E-3</v>
      </c>
      <c r="I492" s="65">
        <v>9.48</v>
      </c>
      <c r="J492" s="65">
        <v>9.5399999999999991</v>
      </c>
      <c r="K492" s="65">
        <v>9.35</v>
      </c>
      <c r="L492" s="65">
        <v>9.5197000000000003</v>
      </c>
      <c r="M492" s="65">
        <v>17946341</v>
      </c>
      <c r="N492" s="65" t="s">
        <v>538</v>
      </c>
      <c r="O492" s="25">
        <f t="shared" si="16"/>
        <v>-4.1702994842274244E-3</v>
      </c>
    </row>
    <row r="493" spans="1:15" ht="13.5" customHeight="1">
      <c r="A493" s="65">
        <v>508.50960137938455</v>
      </c>
      <c r="B493" s="65">
        <v>510.47025991837393</v>
      </c>
      <c r="C493" s="65">
        <v>507.27174937992157</v>
      </c>
      <c r="D493" s="65">
        <v>508.92551965120407</v>
      </c>
      <c r="E493" s="65">
        <v>3186953.0862425533</v>
      </c>
      <c r="F493" s="65" t="s">
        <v>539</v>
      </c>
      <c r="G493" s="25">
        <f t="shared" si="15"/>
        <v>-8.1724782067238433E-4</v>
      </c>
      <c r="I493" s="65">
        <v>9.4700000000000006</v>
      </c>
      <c r="J493" s="65">
        <v>9.61</v>
      </c>
      <c r="K493" s="65">
        <v>9.36</v>
      </c>
      <c r="L493" s="65">
        <v>9.44</v>
      </c>
      <c r="M493" s="65">
        <v>16353355</v>
      </c>
      <c r="N493" s="65" t="s">
        <v>539</v>
      </c>
      <c r="O493" s="25">
        <f t="shared" si="16"/>
        <v>3.1779661016950733E-3</v>
      </c>
    </row>
    <row r="494" spans="1:15" ht="13.5" customHeight="1">
      <c r="A494" s="65">
        <v>509.35134073901935</v>
      </c>
      <c r="B494" s="65">
        <v>509.35134073901935</v>
      </c>
      <c r="C494" s="65">
        <v>504.1127510772921</v>
      </c>
      <c r="D494" s="65">
        <v>504.9049763569484</v>
      </c>
      <c r="E494" s="65">
        <v>3841647.6703702165</v>
      </c>
      <c r="F494" s="65" t="s">
        <v>540</v>
      </c>
      <c r="G494" s="25">
        <f t="shared" si="15"/>
        <v>8.8063389950181481E-3</v>
      </c>
      <c r="I494" s="65">
        <v>9.5</v>
      </c>
      <c r="J494" s="65">
        <v>9.52</v>
      </c>
      <c r="K494" s="65">
        <v>9.25</v>
      </c>
      <c r="L494" s="65">
        <v>9.2799999999999994</v>
      </c>
      <c r="M494" s="65">
        <v>17486088</v>
      </c>
      <c r="N494" s="65" t="s">
        <v>540</v>
      </c>
      <c r="O494" s="25">
        <f t="shared" si="16"/>
        <v>2.3706896551724199E-2</v>
      </c>
    </row>
    <row r="495" spans="1:15" ht="13.5" customHeight="1">
      <c r="A495" s="65">
        <v>504.49896090112452</v>
      </c>
      <c r="B495" s="65">
        <v>505.15254675684099</v>
      </c>
      <c r="C495" s="65">
        <v>501.72617242232747</v>
      </c>
      <c r="D495" s="65">
        <v>501.91432592624585</v>
      </c>
      <c r="E495" s="65">
        <v>3483136.5154078021</v>
      </c>
      <c r="F495" s="65" t="s">
        <v>541</v>
      </c>
      <c r="G495" s="25">
        <f t="shared" si="15"/>
        <v>5.149554099913134E-3</v>
      </c>
      <c r="I495" s="65">
        <v>9.23</v>
      </c>
      <c r="J495" s="65">
        <v>9.2850000000000001</v>
      </c>
      <c r="K495" s="65">
        <v>9.0299999999999994</v>
      </c>
      <c r="L495" s="65">
        <v>9.19</v>
      </c>
      <c r="M495" s="65">
        <v>28183360</v>
      </c>
      <c r="N495" s="65" t="s">
        <v>541</v>
      </c>
      <c r="O495" s="25">
        <f t="shared" si="16"/>
        <v>4.3525571273124175E-3</v>
      </c>
    </row>
    <row r="496" spans="1:15" ht="13.5" customHeight="1">
      <c r="A496" s="65">
        <v>503.43935958958423</v>
      </c>
      <c r="B496" s="65">
        <v>503.64731872549402</v>
      </c>
      <c r="C496" s="65">
        <v>499.58290595637737</v>
      </c>
      <c r="D496" s="65">
        <v>500.18133312699769</v>
      </c>
      <c r="E496" s="65">
        <v>4320945.680356387</v>
      </c>
      <c r="F496" s="65" t="s">
        <v>542</v>
      </c>
      <c r="G496" s="25">
        <f t="shared" si="15"/>
        <v>6.5136906293927765E-3</v>
      </c>
      <c r="I496" s="65">
        <v>9.3000000000000007</v>
      </c>
      <c r="J496" s="65">
        <v>9.43</v>
      </c>
      <c r="K496" s="65">
        <v>9.14</v>
      </c>
      <c r="L496" s="65">
        <v>9.18</v>
      </c>
      <c r="M496" s="65">
        <v>20618175</v>
      </c>
      <c r="N496" s="65" t="s">
        <v>542</v>
      </c>
      <c r="O496" s="25">
        <f t="shared" si="16"/>
        <v>1.3071895424836777E-2</v>
      </c>
    </row>
    <row r="497" spans="1:15" ht="13.5" customHeight="1">
      <c r="A497" s="65">
        <v>494.9427434652705</v>
      </c>
      <c r="B497" s="65">
        <v>495.98253914481938</v>
      </c>
      <c r="C497" s="65">
        <v>491.65302799149771</v>
      </c>
      <c r="D497" s="65">
        <v>494.07129565764859</v>
      </c>
      <c r="E497" s="65">
        <v>3736818.9024267974</v>
      </c>
      <c r="F497" s="65" t="s">
        <v>543</v>
      </c>
      <c r="G497" s="25">
        <f t="shared" si="15"/>
        <v>1.7638098292311888E-3</v>
      </c>
      <c r="I497" s="65">
        <v>9.0299999999999994</v>
      </c>
      <c r="J497" s="65">
        <v>9.4</v>
      </c>
      <c r="K497" s="65">
        <v>8.9350000000000005</v>
      </c>
      <c r="L497" s="65">
        <v>9.36</v>
      </c>
      <c r="M497" s="65">
        <v>22886013</v>
      </c>
      <c r="N497" s="65" t="s">
        <v>543</v>
      </c>
      <c r="O497" s="25">
        <f t="shared" si="16"/>
        <v>-3.5256410256410242E-2</v>
      </c>
    </row>
    <row r="498" spans="1:15" ht="13.5" customHeight="1">
      <c r="A498" s="65">
        <v>493.36819572195355</v>
      </c>
      <c r="B498" s="65">
        <v>493.53654359388054</v>
      </c>
      <c r="C498" s="65">
        <v>488.12960606022637</v>
      </c>
      <c r="D498" s="65">
        <v>488.3474680121318</v>
      </c>
      <c r="E498" s="65">
        <v>3279761.0310128825</v>
      </c>
      <c r="F498" s="65" t="s">
        <v>544</v>
      </c>
      <c r="G498" s="25">
        <f t="shared" si="15"/>
        <v>1.0281056089548546E-2</v>
      </c>
      <c r="I498" s="65">
        <v>9.23</v>
      </c>
      <c r="J498" s="65">
        <v>9.5399999999999991</v>
      </c>
      <c r="K498" s="65">
        <v>9.08</v>
      </c>
      <c r="L498" s="65">
        <v>9.08</v>
      </c>
      <c r="M498" s="65">
        <v>21013837</v>
      </c>
      <c r="N498" s="65" t="s">
        <v>544</v>
      </c>
      <c r="O498" s="25">
        <f t="shared" si="16"/>
        <v>1.6519823788546217E-2</v>
      </c>
    </row>
    <row r="499" spans="1:15" ht="13.5" customHeight="1">
      <c r="A499" s="65">
        <v>485.3073035014508</v>
      </c>
      <c r="B499" s="65">
        <v>487.56514554847126</v>
      </c>
      <c r="C499" s="65">
        <v>483.23761495834873</v>
      </c>
      <c r="D499" s="65">
        <v>486.16884849307701</v>
      </c>
      <c r="E499" s="65">
        <v>3613249.0006401851</v>
      </c>
      <c r="F499" s="65" t="s">
        <v>545</v>
      </c>
      <c r="G499" s="25">
        <f t="shared" si="15"/>
        <v>-1.7721106448852497E-3</v>
      </c>
      <c r="I499" s="65">
        <v>9.02</v>
      </c>
      <c r="J499" s="65">
        <v>9.24</v>
      </c>
      <c r="K499" s="65">
        <v>8.9499999999999993</v>
      </c>
      <c r="L499" s="65">
        <v>9.06</v>
      </c>
      <c r="M499" s="65">
        <v>15243063</v>
      </c>
      <c r="N499" s="65" t="s">
        <v>545</v>
      </c>
      <c r="O499" s="25">
        <f t="shared" si="16"/>
        <v>-4.4150110375277274E-3</v>
      </c>
    </row>
    <row r="500" spans="1:15" ht="13.5" customHeight="1">
      <c r="A500" s="65">
        <v>485.05973310155821</v>
      </c>
      <c r="B500" s="65">
        <v>486.43622452496101</v>
      </c>
      <c r="C500" s="65">
        <v>481.09860670327669</v>
      </c>
      <c r="D500" s="65">
        <v>482.19781927879984</v>
      </c>
      <c r="E500" s="65">
        <v>7736517.5757318391</v>
      </c>
      <c r="F500" s="65" t="s">
        <v>546</v>
      </c>
      <c r="G500" s="25">
        <f t="shared" si="15"/>
        <v>5.9351446819870812E-3</v>
      </c>
      <c r="I500" s="65">
        <v>9.0500000000000007</v>
      </c>
      <c r="J500" s="65">
        <v>9.11</v>
      </c>
      <c r="K500" s="65">
        <v>8.83</v>
      </c>
      <c r="L500" s="65">
        <v>8.92</v>
      </c>
      <c r="M500" s="65">
        <v>26475850</v>
      </c>
      <c r="N500" s="65" t="s">
        <v>546</v>
      </c>
      <c r="O500" s="25">
        <f t="shared" si="16"/>
        <v>1.4573991031390232E-2</v>
      </c>
    </row>
    <row r="501" spans="1:15" ht="13.5" customHeight="1">
      <c r="A501" s="65">
        <v>482.99004455845613</v>
      </c>
      <c r="B501" s="65">
        <v>483.52479662222407</v>
      </c>
      <c r="C501" s="65">
        <v>474.97866641793183</v>
      </c>
      <c r="D501" s="65">
        <v>476.81068737713701</v>
      </c>
      <c r="E501" s="65">
        <v>4218228.4330157014</v>
      </c>
      <c r="F501" s="65" t="s">
        <v>547</v>
      </c>
      <c r="G501" s="25">
        <f t="shared" si="15"/>
        <v>1.295977071174903E-2</v>
      </c>
      <c r="I501" s="65">
        <v>8.94</v>
      </c>
      <c r="J501" s="65">
        <v>9.01</v>
      </c>
      <c r="K501" s="65">
        <v>8.35</v>
      </c>
      <c r="L501" s="65">
        <v>8.43</v>
      </c>
      <c r="M501" s="65">
        <v>30984569</v>
      </c>
      <c r="N501" s="65" t="s">
        <v>547</v>
      </c>
      <c r="O501" s="25">
        <f t="shared" si="16"/>
        <v>6.0498220640569311E-2</v>
      </c>
    </row>
    <row r="502" spans="1:15" ht="13.5" customHeight="1">
      <c r="A502" s="65">
        <v>471.97811317123364</v>
      </c>
      <c r="B502" s="65">
        <v>483.80207547010383</v>
      </c>
      <c r="C502" s="65">
        <v>471.48297237144845</v>
      </c>
      <c r="D502" s="65">
        <v>480.97977291132827</v>
      </c>
      <c r="E502" s="65">
        <v>6035001.5617707362</v>
      </c>
      <c r="F502" s="65" t="s">
        <v>548</v>
      </c>
      <c r="G502" s="25">
        <f t="shared" si="15"/>
        <v>-1.8715256331068519E-2</v>
      </c>
      <c r="I502" s="65">
        <v>8.2899999999999991</v>
      </c>
      <c r="J502" s="65">
        <v>9.0500000000000007</v>
      </c>
      <c r="K502" s="65">
        <v>8.2899999999999991</v>
      </c>
      <c r="L502" s="65">
        <v>8.74</v>
      </c>
      <c r="M502" s="65">
        <v>37159119</v>
      </c>
      <c r="N502" s="65" t="s">
        <v>548</v>
      </c>
      <c r="O502" s="25">
        <f t="shared" si="16"/>
        <v>-5.1487414187643132E-2</v>
      </c>
    </row>
    <row r="503" spans="1:15" ht="13.5" customHeight="1">
      <c r="A503" s="65">
        <v>475.27575089780294</v>
      </c>
      <c r="B503" s="65">
        <v>482.12849956682993</v>
      </c>
      <c r="C503" s="65">
        <v>471.31462449952147</v>
      </c>
      <c r="D503" s="65">
        <v>472.75053281889848</v>
      </c>
      <c r="E503" s="65">
        <v>8336053.1020483728</v>
      </c>
      <c r="F503" s="65" t="s">
        <v>549</v>
      </c>
      <c r="G503" s="25">
        <f t="shared" si="15"/>
        <v>5.3415446490290286E-3</v>
      </c>
      <c r="I503" s="65">
        <v>8.64</v>
      </c>
      <c r="J503" s="65">
        <v>9.01</v>
      </c>
      <c r="K503" s="65">
        <v>8.52</v>
      </c>
      <c r="L503" s="65">
        <v>9</v>
      </c>
      <c r="M503" s="65">
        <v>47097413</v>
      </c>
      <c r="N503" s="65" t="s">
        <v>549</v>
      </c>
      <c r="O503" s="25">
        <f t="shared" si="16"/>
        <v>-3.9999999999999925E-2</v>
      </c>
    </row>
    <row r="504" spans="1:15" ht="13.5" customHeight="1">
      <c r="A504" s="65">
        <v>470.58181611583939</v>
      </c>
      <c r="B504" s="65">
        <v>476.50370008127021</v>
      </c>
      <c r="C504" s="65">
        <v>464.33313922255036</v>
      </c>
      <c r="D504" s="65">
        <v>465.60069967000044</v>
      </c>
      <c r="E504" s="65">
        <v>15393879.888926227</v>
      </c>
      <c r="F504" s="65" t="s">
        <v>550</v>
      </c>
      <c r="G504" s="25">
        <f t="shared" si="15"/>
        <v>1.0698258076865752E-2</v>
      </c>
      <c r="I504" s="65">
        <v>8.7100000000000009</v>
      </c>
      <c r="J504" s="65">
        <v>8.9700000000000006</v>
      </c>
      <c r="K504" s="65">
        <v>8.3000000000000007</v>
      </c>
      <c r="L504" s="65">
        <v>8.51</v>
      </c>
      <c r="M504" s="65">
        <v>52149372</v>
      </c>
      <c r="N504" s="65" t="s">
        <v>550</v>
      </c>
      <c r="O504" s="25">
        <f t="shared" si="16"/>
        <v>2.3501762632197609E-2</v>
      </c>
    </row>
    <row r="505" spans="1:15" ht="13.5" customHeight="1">
      <c r="A505" s="65">
        <v>485.14885844551952</v>
      </c>
      <c r="B505" s="65">
        <v>488.72377501996851</v>
      </c>
      <c r="C505" s="65">
        <v>481.07880107128534</v>
      </c>
      <c r="D505" s="65">
        <v>487.62456244444547</v>
      </c>
      <c r="E505" s="65">
        <v>8645183.3536180388</v>
      </c>
      <c r="F505" s="65" t="s">
        <v>551</v>
      </c>
      <c r="G505" s="25">
        <f t="shared" si="15"/>
        <v>-5.0770699214069959E-3</v>
      </c>
      <c r="I505" s="65">
        <v>9.36</v>
      </c>
      <c r="J505" s="65">
        <v>10.42</v>
      </c>
      <c r="K505" s="65">
        <v>9.3000000000000007</v>
      </c>
      <c r="L505" s="65">
        <v>10.130000000000001</v>
      </c>
      <c r="M505" s="65">
        <v>124970577</v>
      </c>
      <c r="N505" s="65" t="s">
        <v>551</v>
      </c>
      <c r="O505" s="25">
        <f t="shared" si="16"/>
        <v>-7.6011846001974415E-2</v>
      </c>
    </row>
    <row r="506" spans="1:15" ht="13.5" customHeight="1">
      <c r="A506" s="65">
        <v>494.18022663360125</v>
      </c>
      <c r="B506" s="65">
        <v>504.9445876209312</v>
      </c>
      <c r="C506" s="65">
        <v>490.93210298701047</v>
      </c>
      <c r="D506" s="65">
        <v>502.90460752581623</v>
      </c>
      <c r="E506" s="65">
        <v>7007316.9116850803</v>
      </c>
      <c r="F506" s="65" t="s">
        <v>552</v>
      </c>
      <c r="G506" s="25">
        <f t="shared" si="15"/>
        <v>-1.7347983616887275E-2</v>
      </c>
      <c r="I506" s="65">
        <v>12.81</v>
      </c>
      <c r="J506" s="65">
        <v>13.95</v>
      </c>
      <c r="K506" s="65">
        <v>12.71</v>
      </c>
      <c r="L506" s="65">
        <v>13.81</v>
      </c>
      <c r="M506" s="65">
        <v>62367527</v>
      </c>
      <c r="N506" s="65" t="s">
        <v>552</v>
      </c>
      <c r="O506" s="25">
        <f t="shared" si="16"/>
        <v>-7.2411296162201322E-2</v>
      </c>
    </row>
    <row r="507" spans="1:15" ht="13.5" customHeight="1">
      <c r="A507" s="65">
        <v>501.01316967063684</v>
      </c>
      <c r="B507" s="65">
        <v>503.7099045225869</v>
      </c>
      <c r="C507" s="65">
        <v>498.41368047176462</v>
      </c>
      <c r="D507" s="65">
        <v>499.57726135125984</v>
      </c>
      <c r="E507" s="65">
        <v>5420263.289077281</v>
      </c>
      <c r="F507" s="65" t="s">
        <v>553</v>
      </c>
      <c r="G507" s="25">
        <f t="shared" si="15"/>
        <v>2.8742467491278401E-3</v>
      </c>
      <c r="I507" s="65">
        <v>13.32</v>
      </c>
      <c r="J507" s="65">
        <v>13.6</v>
      </c>
      <c r="K507" s="65">
        <v>13.055</v>
      </c>
      <c r="L507" s="65">
        <v>13.15</v>
      </c>
      <c r="M507" s="65">
        <v>27560980</v>
      </c>
      <c r="N507" s="65" t="s">
        <v>553</v>
      </c>
      <c r="O507" s="25">
        <f t="shared" si="16"/>
        <v>1.2927756653992484E-2</v>
      </c>
    </row>
    <row r="508" spans="1:15" ht="13.5" customHeight="1">
      <c r="A508" s="65">
        <v>493.23945911400943</v>
      </c>
      <c r="B508" s="65">
        <v>498.12154739989137</v>
      </c>
      <c r="C508" s="65">
        <v>490.10521785136922</v>
      </c>
      <c r="D508" s="65">
        <v>497.1708770643038</v>
      </c>
      <c r="E508" s="65">
        <v>3855267.0287485314</v>
      </c>
      <c r="F508" s="65" t="s">
        <v>554</v>
      </c>
      <c r="G508" s="25">
        <f t="shared" si="15"/>
        <v>-7.9075789264017038E-3</v>
      </c>
      <c r="I508" s="65">
        <v>13.09</v>
      </c>
      <c r="J508" s="65">
        <v>13.34</v>
      </c>
      <c r="K508" s="65">
        <v>12.83</v>
      </c>
      <c r="L508" s="65">
        <v>13.31</v>
      </c>
      <c r="M508" s="65">
        <v>29735841</v>
      </c>
      <c r="N508" s="65" t="s">
        <v>554</v>
      </c>
      <c r="O508" s="25">
        <f t="shared" si="16"/>
        <v>-1.6528925619834767E-2</v>
      </c>
    </row>
    <row r="509" spans="1:15" ht="13.5" customHeight="1">
      <c r="A509" s="65">
        <v>495.8339969048838</v>
      </c>
      <c r="B509" s="65">
        <v>497.87892840799663</v>
      </c>
      <c r="C509" s="65">
        <v>493.92730871307106</v>
      </c>
      <c r="D509" s="65">
        <v>496.9431122964026</v>
      </c>
      <c r="E509" s="65">
        <v>3126563.1930788858</v>
      </c>
      <c r="F509" s="65" t="s">
        <v>555</v>
      </c>
      <c r="G509" s="25">
        <f t="shared" si="15"/>
        <v>-2.2318759714637926E-3</v>
      </c>
      <c r="I509" s="65">
        <v>13.35</v>
      </c>
      <c r="J509" s="65">
        <v>13.55</v>
      </c>
      <c r="K509" s="65">
        <v>13.2</v>
      </c>
      <c r="L509" s="65">
        <v>13.5</v>
      </c>
      <c r="M509" s="65">
        <v>17491461</v>
      </c>
      <c r="N509" s="65" t="s">
        <v>555</v>
      </c>
      <c r="O509" s="25">
        <f t="shared" si="16"/>
        <v>-1.1111111111111183E-2</v>
      </c>
    </row>
    <row r="510" spans="1:15" ht="13.5" customHeight="1">
      <c r="A510" s="65">
        <v>495.46759271304273</v>
      </c>
      <c r="B510" s="65">
        <v>497.99776219994504</v>
      </c>
      <c r="C510" s="65">
        <v>492.83344365818562</v>
      </c>
      <c r="D510" s="65">
        <v>493.51673796188913</v>
      </c>
      <c r="E510" s="65">
        <v>3671666.7275020173</v>
      </c>
      <c r="F510" s="65" t="s">
        <v>556</v>
      </c>
      <c r="G510" s="25">
        <f t="shared" si="15"/>
        <v>3.9529657275865215E-3</v>
      </c>
      <c r="I510" s="65">
        <v>13.33</v>
      </c>
      <c r="J510" s="65">
        <v>13.72</v>
      </c>
      <c r="K510" s="65">
        <v>13.244999999999999</v>
      </c>
      <c r="L510" s="65">
        <v>13.65</v>
      </c>
      <c r="M510" s="65">
        <v>18301720</v>
      </c>
      <c r="N510" s="65" t="s">
        <v>556</v>
      </c>
      <c r="O510" s="25">
        <f t="shared" si="16"/>
        <v>-2.3443223443223471E-2</v>
      </c>
    </row>
    <row r="511" spans="1:15" ht="13.5" customHeight="1">
      <c r="A511" s="65">
        <v>489.97152983542719</v>
      </c>
      <c r="B511" s="65">
        <v>498.25028400783549</v>
      </c>
      <c r="C511" s="65">
        <v>489.11988765979675</v>
      </c>
      <c r="D511" s="65">
        <v>492.71460986623714</v>
      </c>
      <c r="E511" s="65">
        <v>5702015.4695894197</v>
      </c>
      <c r="F511" s="65" t="s">
        <v>557</v>
      </c>
      <c r="G511" s="25">
        <f t="shared" si="15"/>
        <v>-5.5672796703849503E-3</v>
      </c>
      <c r="I511" s="65">
        <v>13.45</v>
      </c>
      <c r="J511" s="65">
        <v>13.78</v>
      </c>
      <c r="K511" s="65">
        <v>13.08</v>
      </c>
      <c r="L511" s="65">
        <v>13.57</v>
      </c>
      <c r="M511" s="65">
        <v>18876310</v>
      </c>
      <c r="N511" s="65" t="s">
        <v>557</v>
      </c>
      <c r="O511" s="25">
        <f t="shared" si="16"/>
        <v>-8.8430361090642284E-3</v>
      </c>
    </row>
    <row r="512" spans="1:15" ht="13.5" customHeight="1">
      <c r="A512" s="65">
        <v>492.45713665034884</v>
      </c>
      <c r="B512" s="65">
        <v>499.79512330316527</v>
      </c>
      <c r="C512" s="65">
        <v>491.71937685866897</v>
      </c>
      <c r="D512" s="65">
        <v>499.52774727128127</v>
      </c>
      <c r="E512" s="65">
        <v>6217829.3554796651</v>
      </c>
      <c r="F512" s="65" t="s">
        <v>558</v>
      </c>
      <c r="G512" s="25">
        <f t="shared" ref="G512:G575" si="17">A512/D512-1</f>
        <v>-1.4154590329679029E-2</v>
      </c>
      <c r="I512" s="65">
        <v>13.58</v>
      </c>
      <c r="J512" s="65">
        <v>13.99</v>
      </c>
      <c r="K512" s="65">
        <v>13.49</v>
      </c>
      <c r="L512" s="65">
        <v>13.99</v>
      </c>
      <c r="M512" s="65">
        <v>19952184</v>
      </c>
      <c r="N512" s="65" t="s">
        <v>558</v>
      </c>
      <c r="O512" s="25">
        <f t="shared" ref="O512:O575" si="18">I512/L512-1</f>
        <v>-2.9306647605432445E-2</v>
      </c>
    </row>
    <row r="513" spans="1:15" ht="13.5" customHeight="1">
      <c r="A513" s="65">
        <v>503.99391728534363</v>
      </c>
      <c r="B513" s="65">
        <v>506.67758042017931</v>
      </c>
      <c r="C513" s="65">
        <v>503.548290565537</v>
      </c>
      <c r="D513" s="65">
        <v>504.70692003703437</v>
      </c>
      <c r="E513" s="65">
        <v>3146625.1633392838</v>
      </c>
      <c r="F513" s="65" t="s">
        <v>559</v>
      </c>
      <c r="G513" s="25">
        <f t="shared" si="17"/>
        <v>-1.4127065102226277E-3</v>
      </c>
      <c r="I513" s="65">
        <v>14.33</v>
      </c>
      <c r="J513" s="65">
        <v>15.35</v>
      </c>
      <c r="K513" s="65">
        <v>14.31</v>
      </c>
      <c r="L513" s="65">
        <v>15.16</v>
      </c>
      <c r="M513" s="65">
        <v>22477921</v>
      </c>
      <c r="N513" s="65" t="s">
        <v>559</v>
      </c>
      <c r="O513" s="25">
        <f t="shared" si="18"/>
        <v>-5.4749340369393162E-2</v>
      </c>
    </row>
    <row r="514" spans="1:15" ht="13.5" customHeight="1">
      <c r="A514" s="65">
        <v>504.83565664497849</v>
      </c>
      <c r="B514" s="65">
        <v>505.36050589275072</v>
      </c>
      <c r="C514" s="65">
        <v>501.51821328641773</v>
      </c>
      <c r="D514" s="65">
        <v>503.33042861363151</v>
      </c>
      <c r="E514" s="65">
        <v>4385549.5264015486</v>
      </c>
      <c r="F514" s="65" t="s">
        <v>560</v>
      </c>
      <c r="G514" s="25">
        <f t="shared" si="17"/>
        <v>2.9905365258622307E-3</v>
      </c>
      <c r="I514" s="65">
        <v>14.78</v>
      </c>
      <c r="J514" s="65">
        <v>14.91</v>
      </c>
      <c r="K514" s="65">
        <v>14.56</v>
      </c>
      <c r="L514" s="65">
        <v>14.59</v>
      </c>
      <c r="M514" s="65">
        <v>10957532</v>
      </c>
      <c r="N514" s="65" t="s">
        <v>560</v>
      </c>
      <c r="O514" s="25">
        <f t="shared" si="18"/>
        <v>1.3022618231665506E-2</v>
      </c>
    </row>
    <row r="515" spans="1:15" ht="13.5" customHeight="1">
      <c r="A515" s="65">
        <v>499.64658106322975</v>
      </c>
      <c r="B515" s="65">
        <v>504.25139050123192</v>
      </c>
      <c r="C515" s="65">
        <v>498.66620227965507</v>
      </c>
      <c r="D515" s="65">
        <v>502.70655120590214</v>
      </c>
      <c r="E515" s="65">
        <v>4079079.1243142341</v>
      </c>
      <c r="F515" s="65" t="s">
        <v>561</v>
      </c>
      <c r="G515" s="25">
        <f t="shared" si="17"/>
        <v>-6.0869907808682733E-3</v>
      </c>
      <c r="I515" s="65">
        <v>14.4</v>
      </c>
      <c r="J515" s="65">
        <v>14.7399</v>
      </c>
      <c r="K515" s="65">
        <v>14.36</v>
      </c>
      <c r="L515" s="65">
        <v>14.51</v>
      </c>
      <c r="M515" s="65">
        <v>12221198</v>
      </c>
      <c r="N515" s="65" t="s">
        <v>561</v>
      </c>
      <c r="O515" s="25">
        <f t="shared" si="18"/>
        <v>-7.5809786354238407E-3</v>
      </c>
    </row>
    <row r="516" spans="1:15" ht="13.5" customHeight="1">
      <c r="A516" s="65">
        <v>503.0036356857733</v>
      </c>
      <c r="B516" s="65">
        <v>509.19289568308812</v>
      </c>
      <c r="C516" s="65">
        <v>500.95474305626215</v>
      </c>
      <c r="D516" s="65">
        <v>508.26203097949195</v>
      </c>
      <c r="E516" s="65">
        <v>5105466.9724182151</v>
      </c>
      <c r="F516" s="65" t="s">
        <v>562</v>
      </c>
      <c r="G516" s="25">
        <f t="shared" si="17"/>
        <v>-1.0345835362883582E-2</v>
      </c>
      <c r="I516" s="65">
        <v>14.57</v>
      </c>
      <c r="J516" s="65">
        <v>14.9079</v>
      </c>
      <c r="K516" s="65">
        <v>14.34</v>
      </c>
      <c r="L516" s="65">
        <v>14.76</v>
      </c>
      <c r="M516" s="65">
        <v>14723733</v>
      </c>
      <c r="N516" s="65" t="s">
        <v>562</v>
      </c>
      <c r="O516" s="25">
        <f t="shared" si="18"/>
        <v>-1.287262872628725E-2</v>
      </c>
    </row>
    <row r="517" spans="1:15" ht="13.5" customHeight="1">
      <c r="A517" s="65">
        <v>506.81621984411925</v>
      </c>
      <c r="B517" s="65">
        <v>510.10395475469284</v>
      </c>
      <c r="C517" s="65">
        <v>506.588455076218</v>
      </c>
      <c r="D517" s="65">
        <v>508.5690182753587</v>
      </c>
      <c r="E517" s="65">
        <v>5033220.8557267217</v>
      </c>
      <c r="F517" s="65" t="s">
        <v>563</v>
      </c>
      <c r="G517" s="25">
        <f t="shared" si="17"/>
        <v>-3.4465301035904172E-3</v>
      </c>
      <c r="I517" s="65">
        <v>14.57</v>
      </c>
      <c r="J517" s="65">
        <v>15.75</v>
      </c>
      <c r="K517" s="65">
        <v>14.35</v>
      </c>
      <c r="L517" s="65">
        <v>15.74</v>
      </c>
      <c r="M517" s="65">
        <v>36770413</v>
      </c>
      <c r="N517" s="65" t="s">
        <v>563</v>
      </c>
      <c r="O517" s="25">
        <f t="shared" si="18"/>
        <v>-7.4332909783989876E-2</v>
      </c>
    </row>
    <row r="518" spans="1:15" ht="13.5" customHeight="1">
      <c r="A518" s="65">
        <v>513.99576144100433</v>
      </c>
      <c r="B518" s="65">
        <v>514.3522628168497</v>
      </c>
      <c r="C518" s="65">
        <v>511.57947433805271</v>
      </c>
      <c r="D518" s="65">
        <v>512.30237990573903</v>
      </c>
      <c r="E518" s="65">
        <v>4205167.5016547516</v>
      </c>
      <c r="F518" s="65" t="s">
        <v>564</v>
      </c>
      <c r="G518" s="25">
        <f t="shared" si="17"/>
        <v>3.3054336690312436E-3</v>
      </c>
      <c r="I518" s="65">
        <v>16.14</v>
      </c>
      <c r="J518" s="65">
        <v>16.47</v>
      </c>
      <c r="K518" s="65">
        <v>15.68</v>
      </c>
      <c r="L518" s="65">
        <v>16.36</v>
      </c>
      <c r="M518" s="65">
        <v>21440874</v>
      </c>
      <c r="N518" s="65" t="s">
        <v>564</v>
      </c>
      <c r="O518" s="25">
        <f t="shared" si="18"/>
        <v>-1.3447432762836109E-2</v>
      </c>
    </row>
    <row r="519" spans="1:15" ht="13.5" customHeight="1">
      <c r="A519" s="65">
        <v>511.09423635426322</v>
      </c>
      <c r="B519" s="65">
        <v>514.07498396897006</v>
      </c>
      <c r="C519" s="65">
        <v>509.34143792302365</v>
      </c>
      <c r="D519" s="65">
        <v>511.5596687060613</v>
      </c>
      <c r="E519" s="65">
        <v>7847791.9849986648</v>
      </c>
      <c r="F519" s="65" t="s">
        <v>565</v>
      </c>
      <c r="G519" s="25">
        <f t="shared" si="17"/>
        <v>-9.0983003600608736E-4</v>
      </c>
      <c r="I519" s="65">
        <v>16.21</v>
      </c>
      <c r="J519" s="65">
        <v>16.515000000000001</v>
      </c>
      <c r="K519" s="65">
        <v>15.984999999999999</v>
      </c>
      <c r="L519" s="65">
        <v>16.420000000000002</v>
      </c>
      <c r="M519" s="65">
        <v>12002019</v>
      </c>
      <c r="N519" s="65" t="s">
        <v>565</v>
      </c>
      <c r="O519" s="25">
        <f t="shared" si="18"/>
        <v>-1.2789281364190108E-2</v>
      </c>
    </row>
    <row r="520" spans="1:15" ht="13.5" customHeight="1">
      <c r="A520" s="65">
        <v>509.54939705893338</v>
      </c>
      <c r="B520" s="65">
        <v>512.99557702543825</v>
      </c>
      <c r="C520" s="65">
        <v>507.1925268519559</v>
      </c>
      <c r="D520" s="65">
        <v>507.50941696381847</v>
      </c>
      <c r="E520" s="65">
        <v>5289576.2198071387</v>
      </c>
      <c r="F520" s="65" t="s">
        <v>566</v>
      </c>
      <c r="G520" s="25">
        <f t="shared" si="17"/>
        <v>4.0195906261584202E-3</v>
      </c>
      <c r="I520" s="65">
        <v>16.18</v>
      </c>
      <c r="J520" s="65">
        <v>16.38</v>
      </c>
      <c r="K520" s="65">
        <v>15.66</v>
      </c>
      <c r="L520" s="65">
        <v>16.18</v>
      </c>
      <c r="M520" s="65">
        <v>14584701</v>
      </c>
      <c r="N520" s="65" t="s">
        <v>566</v>
      </c>
      <c r="O520" s="25">
        <f t="shared" si="18"/>
        <v>0</v>
      </c>
    </row>
    <row r="521" spans="1:15" ht="13.5" customHeight="1">
      <c r="A521" s="65">
        <v>506.42010720429101</v>
      </c>
      <c r="B521" s="65">
        <v>511.76762784197103</v>
      </c>
      <c r="C521" s="65">
        <v>505.86059810053376</v>
      </c>
      <c r="D521" s="65">
        <v>510.98530537831044</v>
      </c>
      <c r="E521" s="65">
        <v>5600738.2166913431</v>
      </c>
      <c r="F521" s="65" t="s">
        <v>567</v>
      </c>
      <c r="G521" s="25">
        <f t="shared" si="17"/>
        <v>-8.9341085271318343E-3</v>
      </c>
      <c r="I521" s="65">
        <v>16.37</v>
      </c>
      <c r="J521" s="65">
        <v>17.329999999999998</v>
      </c>
      <c r="K521" s="65">
        <v>16.11</v>
      </c>
      <c r="L521" s="65">
        <v>16.88</v>
      </c>
      <c r="M521" s="65">
        <v>23400895</v>
      </c>
      <c r="N521" s="65" t="s">
        <v>567</v>
      </c>
      <c r="O521" s="25">
        <f t="shared" si="18"/>
        <v>-3.0213270142180004E-2</v>
      </c>
    </row>
    <row r="522" spans="1:15" ht="13.5" customHeight="1">
      <c r="A522" s="65">
        <v>510.79715187439206</v>
      </c>
      <c r="B522" s="65">
        <v>511.16850747423092</v>
      </c>
      <c r="C522" s="65">
        <v>506.71719168416217</v>
      </c>
      <c r="D522" s="65">
        <v>507.00437334803757</v>
      </c>
      <c r="E522" s="65">
        <v>3480750.3254583725</v>
      </c>
      <c r="F522" s="65" t="s">
        <v>568</v>
      </c>
      <c r="G522" s="25">
        <f t="shared" si="17"/>
        <v>7.480760967225164E-3</v>
      </c>
      <c r="I522" s="65">
        <v>16.84</v>
      </c>
      <c r="J522" s="65">
        <v>17.32</v>
      </c>
      <c r="K522" s="65">
        <v>16.55</v>
      </c>
      <c r="L522" s="65">
        <v>16.78</v>
      </c>
      <c r="M522" s="65">
        <v>24202957</v>
      </c>
      <c r="N522" s="65" t="s">
        <v>568</v>
      </c>
      <c r="O522" s="25">
        <f t="shared" si="18"/>
        <v>3.5756853396899935E-3</v>
      </c>
    </row>
    <row r="523" spans="1:15" ht="13.5" customHeight="1">
      <c r="A523" s="65">
        <v>505.92496640450588</v>
      </c>
      <c r="B523" s="65">
        <v>507.03408179602468</v>
      </c>
      <c r="C523" s="65">
        <v>505.57836784465627</v>
      </c>
      <c r="D523" s="65">
        <v>506.24185651636839</v>
      </c>
      <c r="E523" s="65">
        <v>3176695.3979199519</v>
      </c>
      <c r="F523" s="65" t="s">
        <v>569</v>
      </c>
      <c r="G523" s="25">
        <f t="shared" si="17"/>
        <v>-6.2596584573848535E-4</v>
      </c>
      <c r="I523" s="65">
        <v>16.75</v>
      </c>
      <c r="J523" s="65">
        <v>16.87</v>
      </c>
      <c r="K523" s="65">
        <v>16.45</v>
      </c>
      <c r="L523" s="65">
        <v>16.5</v>
      </c>
      <c r="M523" s="65">
        <v>12049768</v>
      </c>
      <c r="N523" s="65" t="s">
        <v>569</v>
      </c>
      <c r="O523" s="25">
        <f t="shared" si="18"/>
        <v>1.5151515151515138E-2</v>
      </c>
    </row>
    <row r="524" spans="1:15" ht="13.5" customHeight="1">
      <c r="A524" s="65">
        <v>505.37040870874642</v>
      </c>
      <c r="B524" s="65">
        <v>506.23690510837054</v>
      </c>
      <c r="C524" s="65">
        <v>504.3702242931804</v>
      </c>
      <c r="D524" s="65">
        <v>505.53875658067341</v>
      </c>
      <c r="E524" s="65">
        <v>3174227.4130547778</v>
      </c>
      <c r="F524" s="65" t="s">
        <v>570</v>
      </c>
      <c r="G524" s="25">
        <f t="shared" si="17"/>
        <v>-3.330068560235544E-4</v>
      </c>
      <c r="I524" s="65">
        <v>16.5</v>
      </c>
      <c r="J524" s="65">
        <v>16.558399999999999</v>
      </c>
      <c r="K524" s="65">
        <v>16.059999999999999</v>
      </c>
      <c r="L524" s="65">
        <v>16.440000000000001</v>
      </c>
      <c r="M524" s="65">
        <v>11438927</v>
      </c>
      <c r="N524" s="65" t="s">
        <v>570</v>
      </c>
      <c r="O524" s="25">
        <f t="shared" si="18"/>
        <v>3.6496350364962904E-3</v>
      </c>
    </row>
    <row r="525" spans="1:15" ht="13.5" customHeight="1">
      <c r="A525" s="65">
        <v>504.88517072495694</v>
      </c>
      <c r="B525" s="65">
        <v>505.14264394084529</v>
      </c>
      <c r="C525" s="65">
        <v>501.56772736639624</v>
      </c>
      <c r="D525" s="65">
        <v>502.20150759012125</v>
      </c>
      <c r="E525" s="65">
        <v>3187903.3210044717</v>
      </c>
      <c r="F525" s="65" t="s">
        <v>571</v>
      </c>
      <c r="G525" s="25">
        <f t="shared" si="17"/>
        <v>5.3437974483860895E-3</v>
      </c>
      <c r="I525" s="65">
        <v>16.38</v>
      </c>
      <c r="J525" s="65">
        <v>16.420000000000002</v>
      </c>
      <c r="K525" s="65">
        <v>15.57</v>
      </c>
      <c r="L525" s="65">
        <v>15.72</v>
      </c>
      <c r="M525" s="65">
        <v>14257116</v>
      </c>
      <c r="N525" s="65" t="s">
        <v>571</v>
      </c>
      <c r="O525" s="25">
        <f t="shared" si="18"/>
        <v>4.1984732824427384E-2</v>
      </c>
    </row>
    <row r="526" spans="1:15" ht="13.5" customHeight="1">
      <c r="A526" s="65">
        <v>501.88461747825875</v>
      </c>
      <c r="B526" s="65">
        <v>502.21141040611695</v>
      </c>
      <c r="C526" s="65">
        <v>499.31978813537154</v>
      </c>
      <c r="D526" s="65">
        <v>499.31978813537154</v>
      </c>
      <c r="E526" s="65">
        <v>2151999.9977022349</v>
      </c>
      <c r="F526" s="65" t="s">
        <v>572</v>
      </c>
      <c r="G526" s="25">
        <f t="shared" si="17"/>
        <v>5.1366467018363338E-3</v>
      </c>
      <c r="I526" s="65">
        <v>15.75</v>
      </c>
      <c r="J526" s="65">
        <v>16.399999999999999</v>
      </c>
      <c r="K526" s="65">
        <v>15.57</v>
      </c>
      <c r="L526" s="65">
        <v>16.25</v>
      </c>
      <c r="M526" s="65">
        <v>11493237</v>
      </c>
      <c r="N526" s="65" t="s">
        <v>572</v>
      </c>
      <c r="O526" s="25">
        <f t="shared" si="18"/>
        <v>-3.0769230769230771E-2</v>
      </c>
    </row>
    <row r="527" spans="1:15" ht="13.5" customHeight="1">
      <c r="A527" s="65">
        <v>499.62677543123829</v>
      </c>
      <c r="B527" s="65">
        <v>499.70599795920396</v>
      </c>
      <c r="C527" s="65">
        <v>494.75458996135211</v>
      </c>
      <c r="D527" s="65">
        <v>494.83381248931772</v>
      </c>
      <c r="E527" s="65">
        <v>4251399.8056982309</v>
      </c>
      <c r="F527" s="65" t="s">
        <v>573</v>
      </c>
      <c r="G527" s="25">
        <f t="shared" si="17"/>
        <v>9.6860053233003285E-3</v>
      </c>
      <c r="I527" s="65">
        <v>16.260000000000002</v>
      </c>
      <c r="J527" s="65">
        <v>16.36</v>
      </c>
      <c r="K527" s="65">
        <v>15.7</v>
      </c>
      <c r="L527" s="65">
        <v>16.059999999999999</v>
      </c>
      <c r="M527" s="65">
        <v>11636797</v>
      </c>
      <c r="N527" s="65" t="s">
        <v>573</v>
      </c>
      <c r="O527" s="25">
        <f t="shared" si="18"/>
        <v>1.2453300124533273E-2</v>
      </c>
    </row>
    <row r="528" spans="1:15" ht="13.5" customHeight="1">
      <c r="A528" s="65">
        <v>496.40836023263461</v>
      </c>
      <c r="B528" s="65">
        <v>496.8043738443028</v>
      </c>
      <c r="C528" s="65">
        <v>493.75440554578603</v>
      </c>
      <c r="D528" s="65">
        <v>496.6163193685444</v>
      </c>
      <c r="E528" s="65">
        <v>4411397.7295905249</v>
      </c>
      <c r="F528" s="65" t="s">
        <v>574</v>
      </c>
      <c r="G528" s="25">
        <f t="shared" si="17"/>
        <v>-4.1875211868636075E-4</v>
      </c>
      <c r="I528" s="65">
        <v>16.02</v>
      </c>
      <c r="J528" s="65">
        <v>16.53</v>
      </c>
      <c r="K528" s="65">
        <v>15.63</v>
      </c>
      <c r="L528" s="65">
        <v>16.43</v>
      </c>
      <c r="M528" s="65">
        <v>17432472</v>
      </c>
      <c r="N528" s="65" t="s">
        <v>574</v>
      </c>
      <c r="O528" s="25">
        <f t="shared" si="18"/>
        <v>-2.4954351795496099E-2</v>
      </c>
    </row>
    <row r="529" spans="1:15" ht="13.5" customHeight="1">
      <c r="A529" s="65">
        <v>495.2695363931287</v>
      </c>
      <c r="B529" s="65">
        <v>500.81511335072275</v>
      </c>
      <c r="C529" s="65">
        <v>494.16042100160985</v>
      </c>
      <c r="D529" s="65">
        <v>498.08193613590856</v>
      </c>
      <c r="E529" s="65">
        <v>5653514.1139943674</v>
      </c>
      <c r="F529" s="65" t="s">
        <v>575</v>
      </c>
      <c r="G529" s="25">
        <f t="shared" si="17"/>
        <v>-5.6464600274370724E-3</v>
      </c>
      <c r="I529" s="65">
        <v>16.61</v>
      </c>
      <c r="J529" s="65">
        <v>16.760000000000002</v>
      </c>
      <c r="K529" s="65">
        <v>16.329999999999998</v>
      </c>
      <c r="L529" s="65">
        <v>16.5</v>
      </c>
      <c r="M529" s="65">
        <v>19872004</v>
      </c>
      <c r="N529" s="65" t="s">
        <v>575</v>
      </c>
      <c r="O529" s="25">
        <f t="shared" si="18"/>
        <v>6.6666666666665986E-3</v>
      </c>
    </row>
    <row r="530" spans="1:15" ht="13.5" customHeight="1">
      <c r="A530" s="65">
        <v>497.18721671069676</v>
      </c>
      <c r="B530" s="65">
        <v>497.80888575213316</v>
      </c>
      <c r="C530" s="65">
        <v>495.67744903863684</v>
      </c>
      <c r="D530" s="65">
        <v>496.34845689288568</v>
      </c>
      <c r="E530" s="65">
        <v>3668161.832107625</v>
      </c>
      <c r="F530" s="65" t="s">
        <v>576</v>
      </c>
      <c r="G530" s="25">
        <f t="shared" si="17"/>
        <v>1.6898608349902311E-3</v>
      </c>
      <c r="I530" s="65">
        <v>16.57</v>
      </c>
      <c r="J530" s="65">
        <v>17.03</v>
      </c>
      <c r="K530" s="65">
        <v>16.559999999999999</v>
      </c>
      <c r="L530" s="65">
        <v>16.88</v>
      </c>
      <c r="M530" s="65">
        <v>12048443</v>
      </c>
      <c r="N530" s="65" t="s">
        <v>576</v>
      </c>
      <c r="O530" s="25">
        <f t="shared" si="18"/>
        <v>-1.836492890995256E-2</v>
      </c>
    </row>
    <row r="531" spans="1:15" ht="13.5" customHeight="1">
      <c r="A531" s="65">
        <v>496.41753123082304</v>
      </c>
      <c r="B531" s="65">
        <v>497.10827461019687</v>
      </c>
      <c r="C531" s="65">
        <v>494.26635899220179</v>
      </c>
      <c r="D531" s="65">
        <v>494.83868922082587</v>
      </c>
      <c r="E531" s="65">
        <v>3245619.2371071526</v>
      </c>
      <c r="F531" s="65" t="s">
        <v>577</v>
      </c>
      <c r="G531" s="25">
        <f t="shared" si="17"/>
        <v>3.1906195784392466E-3</v>
      </c>
      <c r="I531" s="65">
        <v>16.77</v>
      </c>
      <c r="J531" s="65">
        <v>16.850000000000001</v>
      </c>
      <c r="K531" s="65">
        <v>16.309999999999999</v>
      </c>
      <c r="L531" s="65">
        <v>16.46</v>
      </c>
      <c r="M531" s="65">
        <v>12905882</v>
      </c>
      <c r="N531" s="65" t="s">
        <v>577</v>
      </c>
      <c r="O531" s="25">
        <f t="shared" si="18"/>
        <v>1.8833535844471339E-2</v>
      </c>
    </row>
    <row r="532" spans="1:15" ht="13.5" customHeight="1">
      <c r="A532" s="65">
        <v>495.86493652732401</v>
      </c>
      <c r="B532" s="65">
        <v>496.18070492932344</v>
      </c>
      <c r="C532" s="65">
        <v>493.70389652614028</v>
      </c>
      <c r="D532" s="65">
        <v>495.07551552232536</v>
      </c>
      <c r="E532" s="65">
        <v>6421642.1502602752</v>
      </c>
      <c r="F532" s="65" t="s">
        <v>578</v>
      </c>
      <c r="G532" s="25">
        <f t="shared" si="17"/>
        <v>1.5945466504554417E-3</v>
      </c>
      <c r="I532" s="65">
        <v>16.71</v>
      </c>
      <c r="J532" s="65">
        <v>16.77</v>
      </c>
      <c r="K532" s="65">
        <v>15.68</v>
      </c>
      <c r="L532" s="65">
        <v>15.92</v>
      </c>
      <c r="M532" s="65">
        <v>24567176</v>
      </c>
      <c r="N532" s="65" t="s">
        <v>578</v>
      </c>
      <c r="O532" s="25">
        <f t="shared" si="18"/>
        <v>4.9623115577889454E-2</v>
      </c>
    </row>
    <row r="533" spans="1:15" ht="13.5" customHeight="1">
      <c r="A533" s="65">
        <v>493.81244191432762</v>
      </c>
      <c r="B533" s="65">
        <v>497.76892131375513</v>
      </c>
      <c r="C533" s="65">
        <v>493.81244191432762</v>
      </c>
      <c r="D533" s="65">
        <v>495.39128392432485</v>
      </c>
      <c r="E533" s="65">
        <v>7116956.8131896658</v>
      </c>
      <c r="F533" s="65" t="s">
        <v>579</v>
      </c>
      <c r="G533" s="25">
        <f t="shared" si="17"/>
        <v>-3.1870605342310121E-3</v>
      </c>
      <c r="I533" s="65">
        <v>15.67</v>
      </c>
      <c r="J533" s="65">
        <v>15.79</v>
      </c>
      <c r="K533" s="65">
        <v>15.46</v>
      </c>
      <c r="L533" s="65">
        <v>15.51</v>
      </c>
      <c r="M533" s="65">
        <v>21115185</v>
      </c>
      <c r="N533" s="65" t="s">
        <v>579</v>
      </c>
      <c r="O533" s="25">
        <f t="shared" si="18"/>
        <v>1.0315925209542165E-2</v>
      </c>
    </row>
    <row r="534" spans="1:15" ht="13.5" customHeight="1">
      <c r="A534" s="65">
        <v>495.14458986026278</v>
      </c>
      <c r="B534" s="65">
        <v>496.56130453135847</v>
      </c>
      <c r="C534" s="65">
        <v>494.22688794195193</v>
      </c>
      <c r="D534" s="65">
        <v>495.46035826226228</v>
      </c>
      <c r="E534" s="65">
        <v>4406103.1793878563</v>
      </c>
      <c r="F534" s="65" t="s">
        <v>580</v>
      </c>
      <c r="G534" s="25">
        <f t="shared" si="17"/>
        <v>-6.3732324238208182E-4</v>
      </c>
      <c r="I534" s="65">
        <v>15.51</v>
      </c>
      <c r="J534" s="65">
        <v>15.595000000000001</v>
      </c>
      <c r="K534" s="65">
        <v>15.25</v>
      </c>
      <c r="L534" s="65">
        <v>15.38</v>
      </c>
      <c r="M534" s="65">
        <v>27673879</v>
      </c>
      <c r="N534" s="65" t="s">
        <v>580</v>
      </c>
      <c r="O534" s="25">
        <f t="shared" si="18"/>
        <v>8.4525357607281304E-3</v>
      </c>
    </row>
    <row r="535" spans="1:15" ht="13.5" customHeight="1">
      <c r="A535" s="65">
        <v>496.23004374213588</v>
      </c>
      <c r="B535" s="65">
        <v>499.05222383500598</v>
      </c>
      <c r="C535" s="65">
        <v>494.56239186907629</v>
      </c>
      <c r="D535" s="65">
        <v>498.46015808125702</v>
      </c>
      <c r="E535" s="65">
        <v>4875337.2099678321</v>
      </c>
      <c r="F535" s="65" t="s">
        <v>581</v>
      </c>
      <c r="G535" s="25">
        <f t="shared" si="17"/>
        <v>-4.4740072059231695E-3</v>
      </c>
      <c r="I535" s="65">
        <v>15.39</v>
      </c>
      <c r="J535" s="65">
        <v>15.82</v>
      </c>
      <c r="K535" s="65">
        <v>15.17</v>
      </c>
      <c r="L535" s="65">
        <v>15.76</v>
      </c>
      <c r="M535" s="65">
        <v>17256560</v>
      </c>
      <c r="N535" s="65" t="s">
        <v>581</v>
      </c>
      <c r="O535" s="25">
        <f t="shared" si="18"/>
        <v>-2.3477157360406009E-2</v>
      </c>
    </row>
    <row r="536" spans="1:15" ht="13.5" customHeight="1">
      <c r="A536" s="65">
        <v>497.61153050088348</v>
      </c>
      <c r="B536" s="65">
        <v>497.68573607535336</v>
      </c>
      <c r="C536" s="65">
        <v>495.98334967807381</v>
      </c>
      <c r="D536" s="65">
        <v>496.39779570569812</v>
      </c>
      <c r="E536" s="65">
        <v>3477652.5866635391</v>
      </c>
      <c r="F536" s="65" t="s">
        <v>582</v>
      </c>
      <c r="G536" s="25">
        <f t="shared" si="17"/>
        <v>2.4450849816122222E-3</v>
      </c>
      <c r="I536" s="65">
        <v>15.8</v>
      </c>
      <c r="J536" s="65">
        <v>16.04</v>
      </c>
      <c r="K536" s="65">
        <v>15.49</v>
      </c>
      <c r="L536" s="65">
        <v>15.7</v>
      </c>
      <c r="M536" s="65">
        <v>16584117</v>
      </c>
      <c r="N536" s="65" t="s">
        <v>582</v>
      </c>
      <c r="O536" s="25">
        <f t="shared" si="18"/>
        <v>6.3694267515923553E-3</v>
      </c>
    </row>
    <row r="537" spans="1:15" ht="13.5" customHeight="1">
      <c r="A537" s="65">
        <v>496.28925031751078</v>
      </c>
      <c r="B537" s="65">
        <v>497.51285287525866</v>
      </c>
      <c r="C537" s="65">
        <v>491.32576574858194</v>
      </c>
      <c r="D537" s="65">
        <v>491.88822821464345</v>
      </c>
      <c r="E537" s="65">
        <v>4671311.2225920837</v>
      </c>
      <c r="F537" s="65" t="s">
        <v>583</v>
      </c>
      <c r="G537" s="25">
        <f t="shared" si="17"/>
        <v>8.9471994864387394E-3</v>
      </c>
      <c r="I537" s="65">
        <v>15.84</v>
      </c>
      <c r="J537" s="65">
        <v>16.05</v>
      </c>
      <c r="K537" s="65">
        <v>15.22</v>
      </c>
      <c r="L537" s="65">
        <v>15.49</v>
      </c>
      <c r="M537" s="65">
        <v>21176087</v>
      </c>
      <c r="N537" s="65" t="s">
        <v>583</v>
      </c>
      <c r="O537" s="25">
        <f t="shared" si="18"/>
        <v>2.2595222724338226E-2</v>
      </c>
    </row>
    <row r="538" spans="1:15" ht="13.5" customHeight="1">
      <c r="A538" s="65">
        <v>492.38161634276764</v>
      </c>
      <c r="B538" s="65">
        <v>492.44082291814249</v>
      </c>
      <c r="C538" s="65">
        <v>489.72718821345973</v>
      </c>
      <c r="D538" s="65">
        <v>490.68436118202055</v>
      </c>
      <c r="E538" s="65">
        <v>5889932.9642338268</v>
      </c>
      <c r="F538" s="65" t="s">
        <v>584</v>
      </c>
      <c r="G538" s="25">
        <f t="shared" si="17"/>
        <v>3.4589550738044483E-3</v>
      </c>
      <c r="I538" s="65">
        <v>15.59</v>
      </c>
      <c r="J538" s="65">
        <v>15.69</v>
      </c>
      <c r="K538" s="65">
        <v>15.33</v>
      </c>
      <c r="L538" s="65">
        <v>15.51</v>
      </c>
      <c r="M538" s="65">
        <v>8575941</v>
      </c>
      <c r="N538" s="65" t="s">
        <v>584</v>
      </c>
      <c r="O538" s="25">
        <f t="shared" si="18"/>
        <v>5.1579626047710825E-3</v>
      </c>
    </row>
    <row r="539" spans="1:15" ht="13.5" customHeight="1">
      <c r="A539" s="65">
        <v>491.98690584026826</v>
      </c>
      <c r="B539" s="65">
        <v>492.84540118320427</v>
      </c>
      <c r="C539" s="65">
        <v>489.50022967452264</v>
      </c>
      <c r="D539" s="65">
        <v>492.69738474476708</v>
      </c>
      <c r="E539" s="65">
        <v>8926926.3870325722</v>
      </c>
      <c r="F539" s="65" t="s">
        <v>585</v>
      </c>
      <c r="G539" s="25">
        <f t="shared" si="17"/>
        <v>-1.4420188263569722E-3</v>
      </c>
      <c r="I539" s="65">
        <v>15.61</v>
      </c>
      <c r="J539" s="65">
        <v>15.95</v>
      </c>
      <c r="K539" s="65">
        <v>15.46</v>
      </c>
      <c r="L539" s="65">
        <v>15.85</v>
      </c>
      <c r="M539" s="65">
        <v>14274589</v>
      </c>
      <c r="N539" s="65" t="s">
        <v>585</v>
      </c>
      <c r="O539" s="25">
        <f t="shared" si="18"/>
        <v>-1.5141955835962118E-2</v>
      </c>
    </row>
    <row r="540" spans="1:15" ht="13.5" customHeight="1">
      <c r="A540" s="65">
        <v>491.05933615939489</v>
      </c>
      <c r="B540" s="65">
        <v>493.53614456257804</v>
      </c>
      <c r="C540" s="65">
        <v>490.14163424108398</v>
      </c>
      <c r="D540" s="65">
        <v>491.34550127370693</v>
      </c>
      <c r="E540" s="65">
        <v>3748354.2764423308</v>
      </c>
      <c r="F540" s="65" t="s">
        <v>586</v>
      </c>
      <c r="G540" s="25">
        <f t="shared" si="17"/>
        <v>-5.8241118229473976E-4</v>
      </c>
      <c r="I540" s="65">
        <v>15.87</v>
      </c>
      <c r="J540" s="65">
        <v>16.172999999999998</v>
      </c>
      <c r="K540" s="65">
        <v>15.7</v>
      </c>
      <c r="L540" s="65">
        <v>15.8</v>
      </c>
      <c r="M540" s="65">
        <v>16021620</v>
      </c>
      <c r="N540" s="65" t="s">
        <v>586</v>
      </c>
      <c r="O540" s="25">
        <f t="shared" si="18"/>
        <v>4.4303797468352446E-3</v>
      </c>
    </row>
    <row r="541" spans="1:15" ht="13.5" customHeight="1">
      <c r="A541" s="65">
        <v>487.00368574621444</v>
      </c>
      <c r="B541" s="65">
        <v>487.13196665952677</v>
      </c>
      <c r="C541" s="65">
        <v>482.64114791734079</v>
      </c>
      <c r="D541" s="65">
        <v>484.49727405534384</v>
      </c>
      <c r="E541" s="65">
        <v>4082407.7134932731</v>
      </c>
      <c r="F541" s="65" t="s">
        <v>587</v>
      </c>
      <c r="G541" s="25">
        <f t="shared" si="17"/>
        <v>5.1732214505386676E-3</v>
      </c>
      <c r="I541" s="65">
        <v>15.6</v>
      </c>
      <c r="J541" s="65">
        <v>15.6</v>
      </c>
      <c r="K541" s="65">
        <v>15.0002</v>
      </c>
      <c r="L541" s="65">
        <v>15.13</v>
      </c>
      <c r="M541" s="65">
        <v>20771947</v>
      </c>
      <c r="N541" s="65" t="s">
        <v>587</v>
      </c>
      <c r="O541" s="25">
        <f t="shared" si="18"/>
        <v>3.1064111037673481E-2</v>
      </c>
    </row>
    <row r="542" spans="1:15" ht="13.5" customHeight="1">
      <c r="A542" s="65">
        <v>485.89849633921642</v>
      </c>
      <c r="B542" s="65">
        <v>486.17479369096588</v>
      </c>
      <c r="C542" s="65">
        <v>483.08618400890879</v>
      </c>
      <c r="D542" s="65">
        <v>483.68811752522026</v>
      </c>
      <c r="E542" s="65">
        <v>3511659.2824950577</v>
      </c>
      <c r="F542" s="65" t="s">
        <v>588</v>
      </c>
      <c r="G542" s="25">
        <f t="shared" si="17"/>
        <v>4.5698431156537822E-3</v>
      </c>
      <c r="I542" s="65">
        <v>15.19</v>
      </c>
      <c r="J542" s="65">
        <v>15.574999999999999</v>
      </c>
      <c r="K542" s="65">
        <v>15.05</v>
      </c>
      <c r="L542" s="65">
        <v>15.39</v>
      </c>
      <c r="M542" s="65">
        <v>19258326</v>
      </c>
      <c r="N542" s="65" t="s">
        <v>588</v>
      </c>
      <c r="O542" s="25">
        <f t="shared" si="18"/>
        <v>-1.299545159194293E-2</v>
      </c>
    </row>
    <row r="543" spans="1:15" ht="13.5" customHeight="1">
      <c r="A543" s="65">
        <v>484.30978656665667</v>
      </c>
      <c r="B543" s="65">
        <v>487.00368574621444</v>
      </c>
      <c r="C543" s="65">
        <v>483.06644848378386</v>
      </c>
      <c r="D543" s="65">
        <v>484.0630925025946</v>
      </c>
      <c r="E543" s="65">
        <v>3104641.9901181473</v>
      </c>
      <c r="F543" s="65" t="s">
        <v>589</v>
      </c>
      <c r="G543" s="25">
        <f t="shared" si="17"/>
        <v>5.0963204566301101E-4</v>
      </c>
      <c r="I543" s="65">
        <v>15.59</v>
      </c>
      <c r="J543" s="65">
        <v>15.61</v>
      </c>
      <c r="K543" s="65">
        <v>14.95</v>
      </c>
      <c r="L543" s="65">
        <v>15.2</v>
      </c>
      <c r="M543" s="65">
        <v>27041466</v>
      </c>
      <c r="N543" s="65" t="s">
        <v>589</v>
      </c>
      <c r="O543" s="25">
        <f t="shared" si="18"/>
        <v>2.5657894736842213E-2</v>
      </c>
    </row>
    <row r="544" spans="1:15" ht="13.5" customHeight="1">
      <c r="A544" s="65">
        <v>484.94132337065554</v>
      </c>
      <c r="B544" s="65">
        <v>485.67153780027928</v>
      </c>
      <c r="C544" s="65">
        <v>483.16522478703428</v>
      </c>
      <c r="D544" s="65">
        <v>485.33603387315486</v>
      </c>
      <c r="E544" s="65">
        <v>21629993.491280023</v>
      </c>
      <c r="F544" s="65" t="s">
        <v>590</v>
      </c>
      <c r="G544" s="25">
        <f t="shared" si="17"/>
        <v>-8.1327260897856579E-4</v>
      </c>
      <c r="I544" s="65">
        <v>15.2</v>
      </c>
      <c r="J544" s="65">
        <v>15.4</v>
      </c>
      <c r="K544" s="65">
        <v>14.94</v>
      </c>
      <c r="L544" s="65">
        <v>15.1</v>
      </c>
      <c r="M544" s="65">
        <v>14519176</v>
      </c>
      <c r="N544" s="65" t="s">
        <v>590</v>
      </c>
      <c r="O544" s="25">
        <f t="shared" si="18"/>
        <v>6.6225165562914245E-3</v>
      </c>
    </row>
    <row r="545" spans="1:15" ht="13.5" customHeight="1">
      <c r="A545" s="65">
        <v>485.04986875884288</v>
      </c>
      <c r="B545" s="65">
        <v>485.04986875884288</v>
      </c>
      <c r="C545" s="65">
        <v>479.63246711203982</v>
      </c>
      <c r="D545" s="65">
        <v>481.4185321358492</v>
      </c>
      <c r="E545" s="65">
        <v>3066699.244979193</v>
      </c>
      <c r="F545" s="65" t="s">
        <v>591</v>
      </c>
      <c r="G545" s="25">
        <f t="shared" si="17"/>
        <v>7.5429930104331522E-3</v>
      </c>
      <c r="I545" s="65">
        <v>15.2</v>
      </c>
      <c r="J545" s="65">
        <v>15.38</v>
      </c>
      <c r="K545" s="65">
        <v>15.074999999999999</v>
      </c>
      <c r="L545" s="65">
        <v>15.125</v>
      </c>
      <c r="M545" s="65">
        <v>21285672</v>
      </c>
      <c r="N545" s="65" t="s">
        <v>591</v>
      </c>
      <c r="O545" s="25">
        <f t="shared" si="18"/>
        <v>4.9586776859502635E-3</v>
      </c>
    </row>
    <row r="546" spans="1:15" ht="13.5" customHeight="1">
      <c r="A546" s="65">
        <v>479.31669871004038</v>
      </c>
      <c r="B546" s="65">
        <v>479.9778388017267</v>
      </c>
      <c r="C546" s="65">
        <v>476.17875021517079</v>
      </c>
      <c r="D546" s="65">
        <v>477.59970802416836</v>
      </c>
      <c r="E546" s="65">
        <v>2594579.0484806858</v>
      </c>
      <c r="F546" s="65" t="s">
        <v>592</v>
      </c>
      <c r="G546" s="25">
        <f t="shared" si="17"/>
        <v>3.5950413223140298E-3</v>
      </c>
      <c r="I546" s="65">
        <v>14.89</v>
      </c>
      <c r="J546" s="65">
        <v>15.32</v>
      </c>
      <c r="K546" s="65">
        <v>14.79</v>
      </c>
      <c r="L546" s="65">
        <v>15.15</v>
      </c>
      <c r="M546" s="65">
        <v>16105053</v>
      </c>
      <c r="N546" s="65" t="s">
        <v>592</v>
      </c>
      <c r="O546" s="25">
        <f t="shared" si="18"/>
        <v>-1.7161716171617103E-2</v>
      </c>
    </row>
    <row r="547" spans="1:15" ht="13.5" customHeight="1">
      <c r="A547" s="65">
        <v>478.73450071885384</v>
      </c>
      <c r="B547" s="65">
        <v>479.9778388017267</v>
      </c>
      <c r="C547" s="65">
        <v>474.04731350167452</v>
      </c>
      <c r="D547" s="65">
        <v>479.86929341353942</v>
      </c>
      <c r="E547" s="65">
        <v>4267690.8502147933</v>
      </c>
      <c r="F547" s="65" t="s">
        <v>593</v>
      </c>
      <c r="G547" s="25">
        <f t="shared" si="17"/>
        <v>-2.3647953937899757E-3</v>
      </c>
      <c r="I547" s="65">
        <v>15.32</v>
      </c>
      <c r="J547" s="65">
        <v>15.44</v>
      </c>
      <c r="K547" s="65">
        <v>15.11</v>
      </c>
      <c r="L547" s="65">
        <v>15.37</v>
      </c>
      <c r="M547" s="65">
        <v>18039003</v>
      </c>
      <c r="N547" s="65" t="s">
        <v>593</v>
      </c>
      <c r="O547" s="25">
        <f t="shared" si="18"/>
        <v>-3.2530904359140411E-3</v>
      </c>
    </row>
    <row r="548" spans="1:15" ht="13.5" customHeight="1">
      <c r="A548" s="65">
        <v>478.21150930304231</v>
      </c>
      <c r="B548" s="65">
        <v>478.49767441735429</v>
      </c>
      <c r="C548" s="65">
        <v>470.17421669590004</v>
      </c>
      <c r="D548" s="65">
        <v>474.87620555692308</v>
      </c>
      <c r="E548" s="65">
        <v>5405451.3028918337</v>
      </c>
      <c r="F548" s="65" t="s">
        <v>594</v>
      </c>
      <c r="G548" s="25">
        <f t="shared" si="17"/>
        <v>7.0235225667028001E-3</v>
      </c>
      <c r="I548" s="65">
        <v>15.02</v>
      </c>
      <c r="J548" s="65">
        <v>15.34</v>
      </c>
      <c r="K548" s="65">
        <v>14.9</v>
      </c>
      <c r="L548" s="65">
        <v>15.32</v>
      </c>
      <c r="M548" s="65">
        <v>20044017</v>
      </c>
      <c r="N548" s="65" t="s">
        <v>594</v>
      </c>
      <c r="O548" s="25">
        <f t="shared" si="18"/>
        <v>-1.9582245430809442E-2</v>
      </c>
    </row>
    <row r="549" spans="1:15" ht="13.5" customHeight="1">
      <c r="A549" s="65">
        <v>474.08678455192444</v>
      </c>
      <c r="B549" s="65">
        <v>476.36663241436048</v>
      </c>
      <c r="C549" s="65">
        <v>472.86318199417656</v>
      </c>
      <c r="D549" s="65">
        <v>475.74456866242156</v>
      </c>
      <c r="E549" s="65">
        <v>3439066.3319184515</v>
      </c>
      <c r="F549" s="65" t="s">
        <v>595</v>
      </c>
      <c r="G549" s="25">
        <f t="shared" si="17"/>
        <v>-3.4846096407533667E-3</v>
      </c>
      <c r="I549" s="65">
        <v>15.17</v>
      </c>
      <c r="J549" s="65">
        <v>15.39</v>
      </c>
      <c r="K549" s="65">
        <v>14.81</v>
      </c>
      <c r="L549" s="65">
        <v>15.15</v>
      </c>
      <c r="M549" s="65">
        <v>14760927</v>
      </c>
      <c r="N549" s="65" t="s">
        <v>595</v>
      </c>
      <c r="O549" s="25">
        <f t="shared" si="18"/>
        <v>1.3201320132012473E-3</v>
      </c>
    </row>
    <row r="550" spans="1:15" ht="13.5" customHeight="1">
      <c r="A550" s="65">
        <v>477.29380738473139</v>
      </c>
      <c r="B550" s="65">
        <v>478.27071587841715</v>
      </c>
      <c r="C550" s="65">
        <v>476.57346071767012</v>
      </c>
      <c r="D550" s="65">
        <v>476.80041925660726</v>
      </c>
      <c r="E550" s="65">
        <v>5680072.8275627885</v>
      </c>
      <c r="F550" s="65" t="s">
        <v>596</v>
      </c>
      <c r="G550" s="25">
        <f t="shared" si="17"/>
        <v>1.0347896272686619E-3</v>
      </c>
      <c r="I550" s="65">
        <v>15.16</v>
      </c>
      <c r="J550" s="65">
        <v>15.404999999999999</v>
      </c>
      <c r="K550" s="65">
        <v>14.92</v>
      </c>
      <c r="L550" s="65">
        <v>15.03</v>
      </c>
      <c r="M550" s="65">
        <v>13769730</v>
      </c>
      <c r="N550" s="65" t="s">
        <v>596</v>
      </c>
      <c r="O550" s="25">
        <f t="shared" si="18"/>
        <v>8.6493679308050631E-3</v>
      </c>
    </row>
    <row r="551" spans="1:15" ht="13.5" customHeight="1">
      <c r="A551" s="65">
        <v>480.678449943663</v>
      </c>
      <c r="B551" s="65">
        <v>481.19650747819333</v>
      </c>
      <c r="C551" s="65">
        <v>478.11776555869864</v>
      </c>
      <c r="D551" s="65">
        <v>480.95474729541246</v>
      </c>
      <c r="E551" s="65">
        <v>4088785.0457001971</v>
      </c>
      <c r="F551" s="65" t="s">
        <v>597</v>
      </c>
      <c r="G551" s="25">
        <f t="shared" si="17"/>
        <v>-5.7447681575695242E-4</v>
      </c>
      <c r="I551" s="65">
        <v>15.32</v>
      </c>
      <c r="J551" s="65">
        <v>15.48</v>
      </c>
      <c r="K551" s="65">
        <v>15.1738</v>
      </c>
      <c r="L551" s="65">
        <v>15.25</v>
      </c>
      <c r="M551" s="65">
        <v>13320758</v>
      </c>
      <c r="N551" s="65" t="s">
        <v>597</v>
      </c>
      <c r="O551" s="25">
        <f t="shared" si="18"/>
        <v>4.5901639344263501E-3</v>
      </c>
    </row>
    <row r="552" spans="1:15" ht="13.5" customHeight="1">
      <c r="A552" s="65">
        <v>480.29360720372614</v>
      </c>
      <c r="B552" s="65">
        <v>480.95474729541246</v>
      </c>
      <c r="C552" s="65">
        <v>477.92534418873026</v>
      </c>
      <c r="D552" s="65">
        <v>478.76410400654134</v>
      </c>
      <c r="E552" s="65">
        <v>2589483.6684812554</v>
      </c>
      <c r="F552" s="65" t="s">
        <v>598</v>
      </c>
      <c r="G552" s="25">
        <f t="shared" si="17"/>
        <v>3.1946906302815492E-3</v>
      </c>
      <c r="I552" s="65">
        <v>15.22</v>
      </c>
      <c r="J552" s="65">
        <v>15.489699999999999</v>
      </c>
      <c r="K552" s="65">
        <v>15.15</v>
      </c>
      <c r="L552" s="65">
        <v>15.33</v>
      </c>
      <c r="M552" s="65">
        <v>9988932</v>
      </c>
      <c r="N552" s="65" t="s">
        <v>598</v>
      </c>
      <c r="O552" s="25">
        <f t="shared" si="18"/>
        <v>-7.1754729288975305E-3</v>
      </c>
    </row>
    <row r="553" spans="1:15" ht="13.5" customHeight="1">
      <c r="A553" s="65">
        <v>477.04711332066933</v>
      </c>
      <c r="B553" s="65">
        <v>483.51049779909556</v>
      </c>
      <c r="C553" s="65">
        <v>475.9123206259838</v>
      </c>
      <c r="D553" s="65">
        <v>483.43155569859573</v>
      </c>
      <c r="E553" s="65">
        <v>3862382.1518472382</v>
      </c>
      <c r="F553" s="65" t="s">
        <v>599</v>
      </c>
      <c r="G553" s="25">
        <f t="shared" si="17"/>
        <v>-1.320650731767059E-2</v>
      </c>
      <c r="I553" s="65">
        <v>15.18</v>
      </c>
      <c r="J553" s="65">
        <v>15.97</v>
      </c>
      <c r="K553" s="65">
        <v>15.12</v>
      </c>
      <c r="L553" s="65">
        <v>15.96</v>
      </c>
      <c r="M553" s="65">
        <v>16728675</v>
      </c>
      <c r="N553" s="65" t="s">
        <v>599</v>
      </c>
      <c r="O553" s="25">
        <f t="shared" si="18"/>
        <v>-4.8872180451127845E-2</v>
      </c>
    </row>
    <row r="554" spans="1:15" ht="13.5" customHeight="1">
      <c r="A554" s="65">
        <v>480.6192433682881</v>
      </c>
      <c r="B554" s="65">
        <v>481.97112683934824</v>
      </c>
      <c r="C554" s="65">
        <v>478.52727770504174</v>
      </c>
      <c r="D554" s="65">
        <v>481.33959003534937</v>
      </c>
      <c r="E554" s="65">
        <v>3294141.8882115106</v>
      </c>
      <c r="F554" s="65" t="s">
        <v>600</v>
      </c>
      <c r="G554" s="25">
        <f t="shared" si="17"/>
        <v>-1.4965456446421888E-3</v>
      </c>
      <c r="I554" s="65">
        <v>15.91</v>
      </c>
      <c r="J554" s="65">
        <v>15.92</v>
      </c>
      <c r="K554" s="65">
        <v>15.5512</v>
      </c>
      <c r="L554" s="65">
        <v>15.66</v>
      </c>
      <c r="M554" s="65">
        <v>12894445</v>
      </c>
      <c r="N554" s="65" t="s">
        <v>600</v>
      </c>
      <c r="O554" s="25">
        <f t="shared" si="18"/>
        <v>1.5964240102171123E-2</v>
      </c>
    </row>
    <row r="555" spans="1:15" ht="13.5" customHeight="1">
      <c r="A555" s="65">
        <v>482.02046565216068</v>
      </c>
      <c r="B555" s="65">
        <v>482.11914327778544</v>
      </c>
      <c r="C555" s="65">
        <v>479.9186322263518</v>
      </c>
      <c r="D555" s="65">
        <v>480.09625195247645</v>
      </c>
      <c r="E555" s="65">
        <v>2486456.2604378862</v>
      </c>
      <c r="F555" s="65" t="s">
        <v>601</v>
      </c>
      <c r="G555" s="25">
        <f t="shared" si="17"/>
        <v>4.0079748422503503E-3</v>
      </c>
      <c r="I555" s="65">
        <v>15.63</v>
      </c>
      <c r="J555" s="65">
        <v>16.251999999999999</v>
      </c>
      <c r="K555" s="65">
        <v>15.52</v>
      </c>
      <c r="L555" s="65">
        <v>16.25</v>
      </c>
      <c r="M555" s="65">
        <v>19987384</v>
      </c>
      <c r="N555" s="65" t="s">
        <v>601</v>
      </c>
      <c r="O555" s="25">
        <f t="shared" si="18"/>
        <v>-3.8153846153846094E-2</v>
      </c>
    </row>
    <row r="556" spans="1:15" ht="13.5" customHeight="1">
      <c r="A556" s="65">
        <v>480.72778875647543</v>
      </c>
      <c r="B556" s="65">
        <v>482.14864788784729</v>
      </c>
      <c r="C556" s="65">
        <v>480.01730985197662</v>
      </c>
      <c r="D556" s="65">
        <v>480.34294601653852</v>
      </c>
      <c r="E556" s="65">
        <v>2634421.9204094037</v>
      </c>
      <c r="F556" s="65" t="s">
        <v>602</v>
      </c>
      <c r="G556" s="25">
        <f t="shared" si="17"/>
        <v>8.0118328608413947E-4</v>
      </c>
      <c r="I556" s="65">
        <v>16.43</v>
      </c>
      <c r="J556" s="65">
        <v>16.649999999999999</v>
      </c>
      <c r="K556" s="65">
        <v>16.170000000000002</v>
      </c>
      <c r="L556" s="65">
        <v>16.170000000000002</v>
      </c>
      <c r="M556" s="65">
        <v>22173591</v>
      </c>
      <c r="N556" s="65" t="s">
        <v>602</v>
      </c>
      <c r="O556" s="25">
        <f t="shared" si="18"/>
        <v>1.607915893630163E-2</v>
      </c>
    </row>
    <row r="557" spans="1:15" ht="13.5" customHeight="1">
      <c r="A557" s="65">
        <v>480.25413615347622</v>
      </c>
      <c r="B557" s="65">
        <v>480.29360720372614</v>
      </c>
      <c r="C557" s="65">
        <v>478.29045140354214</v>
      </c>
      <c r="D557" s="65">
        <v>479.66207039972721</v>
      </c>
      <c r="E557" s="65">
        <v>3317910.1941993055</v>
      </c>
      <c r="F557" s="65" t="s">
        <v>603</v>
      </c>
      <c r="G557" s="25">
        <f t="shared" si="17"/>
        <v>1.2343393198790409E-3</v>
      </c>
      <c r="I557" s="65">
        <v>16.05</v>
      </c>
      <c r="J557" s="65">
        <v>16.254999999999999</v>
      </c>
      <c r="K557" s="65">
        <v>15.93</v>
      </c>
      <c r="L557" s="65">
        <v>16.010000000000002</v>
      </c>
      <c r="M557" s="65">
        <v>12200017</v>
      </c>
      <c r="N557" s="65" t="s">
        <v>603</v>
      </c>
      <c r="O557" s="25">
        <f t="shared" si="18"/>
        <v>2.4984384759525469E-3</v>
      </c>
    </row>
    <row r="558" spans="1:15" ht="13.5" customHeight="1">
      <c r="A558" s="65">
        <v>479.54365724897747</v>
      </c>
      <c r="B558" s="65">
        <v>482.10927551522298</v>
      </c>
      <c r="C558" s="65">
        <v>479.40550857310268</v>
      </c>
      <c r="D558" s="65">
        <v>480.60937560572563</v>
      </c>
      <c r="E558" s="65">
        <v>3392239.1006110399</v>
      </c>
      <c r="F558" s="65" t="s">
        <v>604</v>
      </c>
      <c r="G558" s="25">
        <f t="shared" si="17"/>
        <v>-2.2174314752079205E-3</v>
      </c>
      <c r="I558" s="65">
        <v>16.02</v>
      </c>
      <c r="J558" s="65">
        <v>16.175000000000001</v>
      </c>
      <c r="K558" s="65">
        <v>15.75</v>
      </c>
      <c r="L558" s="65">
        <v>16.03</v>
      </c>
      <c r="M558" s="65">
        <v>21863050</v>
      </c>
      <c r="N558" s="65" t="s">
        <v>604</v>
      </c>
      <c r="O558" s="25">
        <f t="shared" si="18"/>
        <v>-6.2383031815360646E-4</v>
      </c>
    </row>
    <row r="559" spans="1:15" ht="13.5" customHeight="1">
      <c r="A559" s="65">
        <v>480.46135916728832</v>
      </c>
      <c r="B559" s="65">
        <v>480.78699533185028</v>
      </c>
      <c r="C559" s="65">
        <v>476.35143606001429</v>
      </c>
      <c r="D559" s="65">
        <v>476.94843569504445</v>
      </c>
      <c r="E559" s="65">
        <v>4458442.2984870141</v>
      </c>
      <c r="F559" s="65" t="s">
        <v>605</v>
      </c>
      <c r="G559" s="25">
        <f t="shared" si="17"/>
        <v>7.3654156494393774E-3</v>
      </c>
      <c r="I559" s="65">
        <v>16.21</v>
      </c>
      <c r="J559" s="65">
        <v>16.274999999999999</v>
      </c>
      <c r="K559" s="65">
        <v>15.53</v>
      </c>
      <c r="L559" s="65">
        <v>15.975</v>
      </c>
      <c r="M559" s="65">
        <v>27499591</v>
      </c>
      <c r="N559" s="65" t="s">
        <v>605</v>
      </c>
      <c r="O559" s="25">
        <f t="shared" si="18"/>
        <v>1.4710485133020423E-2</v>
      </c>
    </row>
    <row r="560" spans="1:15" ht="13.5" customHeight="1">
      <c r="A560" s="65">
        <v>474.67885030567345</v>
      </c>
      <c r="B560" s="65">
        <v>475.10316409586022</v>
      </c>
      <c r="C560" s="65">
        <v>472.15270308967786</v>
      </c>
      <c r="D560" s="65">
        <v>472.646091217802</v>
      </c>
      <c r="E560" s="65">
        <v>3301380.6112297941</v>
      </c>
      <c r="F560" s="65" t="s">
        <v>606</v>
      </c>
      <c r="G560" s="25">
        <f t="shared" si="17"/>
        <v>4.3008058791598192E-3</v>
      </c>
      <c r="I560" s="65">
        <v>15.62</v>
      </c>
      <c r="J560" s="65">
        <v>15.89</v>
      </c>
      <c r="K560" s="65">
        <v>15.38</v>
      </c>
      <c r="L560" s="65">
        <v>15.71</v>
      </c>
      <c r="M560" s="65">
        <v>29917469</v>
      </c>
      <c r="N560" s="65" t="s">
        <v>606</v>
      </c>
      <c r="O560" s="25">
        <f t="shared" si="18"/>
        <v>-5.7288351368556256E-3</v>
      </c>
    </row>
    <row r="561" spans="1:15" ht="13.5" customHeight="1">
      <c r="A561" s="65">
        <v>472.43886820398978</v>
      </c>
      <c r="B561" s="65">
        <v>474.06704902679951</v>
      </c>
      <c r="C561" s="65">
        <v>471.41262089749165</v>
      </c>
      <c r="D561" s="65">
        <v>473.99797468886214</v>
      </c>
      <c r="E561" s="65">
        <v>3150098.0899340655</v>
      </c>
      <c r="F561" s="65" t="s">
        <v>607</v>
      </c>
      <c r="G561" s="25">
        <f t="shared" si="17"/>
        <v>-3.2892682419071173E-3</v>
      </c>
      <c r="I561" s="65">
        <v>15.76</v>
      </c>
      <c r="J561" s="65">
        <v>16.079999999999998</v>
      </c>
      <c r="K561" s="65">
        <v>15.66</v>
      </c>
      <c r="L561" s="65">
        <v>15.98</v>
      </c>
      <c r="M561" s="65">
        <v>28884245</v>
      </c>
      <c r="N561" s="65" t="s">
        <v>607</v>
      </c>
      <c r="O561" s="25">
        <f t="shared" si="18"/>
        <v>-1.3767209011264159E-2</v>
      </c>
    </row>
    <row r="562" spans="1:15" ht="13.5" customHeight="1">
      <c r="A562" s="65">
        <v>472.40926491630239</v>
      </c>
      <c r="B562" s="65">
        <v>474.037445739112</v>
      </c>
      <c r="C562" s="65">
        <v>471.2744722216168</v>
      </c>
      <c r="D562" s="65">
        <v>473.34670235973823</v>
      </c>
      <c r="E562" s="65">
        <v>3392014.1255991319</v>
      </c>
      <c r="F562" s="65" t="s">
        <v>608</v>
      </c>
      <c r="G562" s="25">
        <f t="shared" si="17"/>
        <v>-1.9804457045174972E-3</v>
      </c>
      <c r="I562" s="65">
        <v>16.010000000000002</v>
      </c>
      <c r="J562" s="65">
        <v>16.600000000000001</v>
      </c>
      <c r="K562" s="65">
        <v>15.84</v>
      </c>
      <c r="L562" s="65">
        <v>16.579999999999998</v>
      </c>
      <c r="M562" s="65">
        <v>26519469</v>
      </c>
      <c r="N562" s="65" t="s">
        <v>608</v>
      </c>
      <c r="O562" s="25">
        <f t="shared" si="18"/>
        <v>-3.4378769601929871E-2</v>
      </c>
    </row>
    <row r="563" spans="1:15" ht="13.5" customHeight="1">
      <c r="A563" s="65">
        <v>471.82706692511584</v>
      </c>
      <c r="B563" s="65">
        <v>471.82706692511584</v>
      </c>
      <c r="C563" s="65">
        <v>468.65951514255892</v>
      </c>
      <c r="D563" s="65">
        <v>469.30091970912025</v>
      </c>
      <c r="E563" s="65">
        <v>3532765.3841752745</v>
      </c>
      <c r="F563" s="65" t="s">
        <v>609</v>
      </c>
      <c r="G563" s="25">
        <f t="shared" si="17"/>
        <v>5.382787695283664E-3</v>
      </c>
      <c r="I563" s="65">
        <v>16.55</v>
      </c>
      <c r="J563" s="65">
        <v>16.760000000000002</v>
      </c>
      <c r="K563" s="65">
        <v>16.114999999999998</v>
      </c>
      <c r="L563" s="65">
        <v>16.71</v>
      </c>
      <c r="M563" s="65">
        <v>36751751</v>
      </c>
      <c r="N563" s="65" t="s">
        <v>609</v>
      </c>
      <c r="O563" s="25">
        <f t="shared" si="18"/>
        <v>-9.5751047277079504E-3</v>
      </c>
    </row>
    <row r="564" spans="1:15" ht="13.5" customHeight="1">
      <c r="A564" s="65">
        <v>469.13316774555813</v>
      </c>
      <c r="B564" s="65">
        <v>469.56734929830736</v>
      </c>
      <c r="C564" s="65">
        <v>467.2385573335614</v>
      </c>
      <c r="D564" s="65">
        <v>467.3273671966237</v>
      </c>
      <c r="E564" s="65">
        <v>3257960.4339315477</v>
      </c>
      <c r="F564" s="65" t="s">
        <v>610</v>
      </c>
      <c r="G564" s="25">
        <f t="shared" si="17"/>
        <v>3.8641018602589838E-3</v>
      </c>
      <c r="I564" s="65">
        <v>16.739999999999998</v>
      </c>
      <c r="J564" s="65">
        <v>16.98</v>
      </c>
      <c r="K564" s="65">
        <v>16.329999999999998</v>
      </c>
      <c r="L564" s="65">
        <v>16.39</v>
      </c>
      <c r="M564" s="65">
        <v>31749037</v>
      </c>
      <c r="N564" s="65" t="s">
        <v>610</v>
      </c>
      <c r="O564" s="25">
        <f t="shared" si="18"/>
        <v>2.1354484441732602E-2</v>
      </c>
    </row>
    <row r="565" spans="1:15" ht="13.5" customHeight="1">
      <c r="A565" s="65">
        <v>469.11343222043308</v>
      </c>
      <c r="B565" s="65">
        <v>470.33703477818096</v>
      </c>
      <c r="C565" s="65">
        <v>468.43255660362178</v>
      </c>
      <c r="D565" s="65">
        <v>469.40946509730759</v>
      </c>
      <c r="E565" s="65">
        <v>3497552.7412078525</v>
      </c>
      <c r="F565" s="65" t="s">
        <v>611</v>
      </c>
      <c r="G565" s="25">
        <f t="shared" si="17"/>
        <v>-6.3064956905611869E-4</v>
      </c>
      <c r="I565" s="65">
        <v>17.14</v>
      </c>
      <c r="J565" s="65">
        <v>17.29</v>
      </c>
      <c r="K565" s="65">
        <v>16.734999999999999</v>
      </c>
      <c r="L565" s="65">
        <v>16.78</v>
      </c>
      <c r="M565" s="65">
        <v>24966211</v>
      </c>
      <c r="N565" s="65" t="s">
        <v>611</v>
      </c>
      <c r="O565" s="25">
        <f t="shared" si="18"/>
        <v>2.1454112038140627E-2</v>
      </c>
    </row>
    <row r="566" spans="1:15" ht="13.5" customHeight="1">
      <c r="A566" s="65">
        <v>468.4424243661843</v>
      </c>
      <c r="B566" s="65">
        <v>468.53123422924665</v>
      </c>
      <c r="C566" s="65">
        <v>465.58077322306428</v>
      </c>
      <c r="D566" s="65">
        <v>465.97548372556361</v>
      </c>
      <c r="E566" s="65">
        <v>4846632.6279304698</v>
      </c>
      <c r="F566" s="65" t="s">
        <v>612</v>
      </c>
      <c r="G566" s="25">
        <f t="shared" si="17"/>
        <v>5.2941425606709558E-3</v>
      </c>
      <c r="I566" s="65">
        <v>16.84</v>
      </c>
      <c r="J566" s="65">
        <v>16.97</v>
      </c>
      <c r="K566" s="65">
        <v>16.09</v>
      </c>
      <c r="L566" s="65">
        <v>16.39</v>
      </c>
      <c r="M566" s="65">
        <v>32504082</v>
      </c>
      <c r="N566" s="65" t="s">
        <v>612</v>
      </c>
      <c r="O566" s="25">
        <f t="shared" si="18"/>
        <v>2.7455765710799218E-2</v>
      </c>
    </row>
    <row r="567" spans="1:15" ht="13.5" customHeight="1">
      <c r="A567" s="65">
        <v>463.76510491156745</v>
      </c>
      <c r="B567" s="65">
        <v>464.77161669294065</v>
      </c>
      <c r="C567" s="65">
        <v>461.25879189832239</v>
      </c>
      <c r="D567" s="65">
        <v>463.54801413519277</v>
      </c>
      <c r="E567" s="65">
        <v>4648327.2889431035</v>
      </c>
      <c r="F567" s="65" t="s">
        <v>613</v>
      </c>
      <c r="G567" s="25">
        <f t="shared" si="17"/>
        <v>4.6832425068132899E-4</v>
      </c>
      <c r="I567" s="65">
        <v>16.25</v>
      </c>
      <c r="J567" s="65">
        <v>16.53</v>
      </c>
      <c r="K567" s="65">
        <v>16.04</v>
      </c>
      <c r="L567" s="65">
        <v>16.53</v>
      </c>
      <c r="M567" s="65">
        <v>23896834</v>
      </c>
      <c r="N567" s="65" t="s">
        <v>613</v>
      </c>
      <c r="O567" s="25">
        <f t="shared" si="18"/>
        <v>-1.6938898971566863E-2</v>
      </c>
    </row>
    <row r="568" spans="1:15" ht="13.5" customHeight="1">
      <c r="A568" s="65">
        <v>458.08127367557734</v>
      </c>
      <c r="B568" s="65">
        <v>458.80162034263856</v>
      </c>
      <c r="C568" s="65">
        <v>453.08818581896105</v>
      </c>
      <c r="D568" s="65">
        <v>457.23264609520379</v>
      </c>
      <c r="E568" s="65">
        <v>4025658.2734399545</v>
      </c>
      <c r="F568" s="65" t="s">
        <v>614</v>
      </c>
      <c r="G568" s="25">
        <f t="shared" si="17"/>
        <v>1.8560082872929318E-3</v>
      </c>
      <c r="I568" s="65">
        <v>16.3</v>
      </c>
      <c r="J568" s="65">
        <v>16.309999999999999</v>
      </c>
      <c r="K568" s="65">
        <v>15.71</v>
      </c>
      <c r="L568" s="65">
        <v>16.02</v>
      </c>
      <c r="M568" s="65">
        <v>28833549</v>
      </c>
      <c r="N568" s="65" t="s">
        <v>614</v>
      </c>
      <c r="O568" s="25">
        <f t="shared" si="18"/>
        <v>1.7478152309613026E-2</v>
      </c>
    </row>
    <row r="569" spans="1:15" ht="13.5" customHeight="1">
      <c r="A569" s="65">
        <v>453.84800353627219</v>
      </c>
      <c r="B569" s="65">
        <v>460.89358600588491</v>
      </c>
      <c r="C569" s="65">
        <v>453.36448317071051</v>
      </c>
      <c r="D569" s="65">
        <v>454.67689559152075</v>
      </c>
      <c r="E569" s="65">
        <v>6197328.889175579</v>
      </c>
      <c r="F569" s="65" t="s">
        <v>615</v>
      </c>
      <c r="G569" s="25">
        <f t="shared" si="17"/>
        <v>-1.8230353538641886E-3</v>
      </c>
      <c r="I569" s="65">
        <v>15.86</v>
      </c>
      <c r="J569" s="65">
        <v>16.198799999999999</v>
      </c>
      <c r="K569" s="65">
        <v>14.93</v>
      </c>
      <c r="L569" s="65">
        <v>15.1</v>
      </c>
      <c r="M569" s="65">
        <v>46923032</v>
      </c>
      <c r="N569" s="65" t="s">
        <v>615</v>
      </c>
      <c r="O569" s="25">
        <f t="shared" si="18"/>
        <v>5.0331125827814516E-2</v>
      </c>
    </row>
    <row r="570" spans="1:15" ht="13.5" customHeight="1">
      <c r="A570" s="65">
        <v>455.3281679206446</v>
      </c>
      <c r="B570" s="65">
        <v>462.14679185132024</v>
      </c>
      <c r="C570" s="65">
        <v>455.25909358270724</v>
      </c>
      <c r="D570" s="65">
        <v>461.23895769557186</v>
      </c>
      <c r="E570" s="65">
        <v>4423328.9688131372</v>
      </c>
      <c r="F570" s="65" t="s">
        <v>616</v>
      </c>
      <c r="G570" s="25">
        <f t="shared" si="17"/>
        <v>-1.2815027170424931E-2</v>
      </c>
      <c r="I570" s="65">
        <v>15.05</v>
      </c>
      <c r="J570" s="65">
        <v>15.36</v>
      </c>
      <c r="K570" s="65">
        <v>14.380699999999999</v>
      </c>
      <c r="L570" s="65">
        <v>14.48</v>
      </c>
      <c r="M570" s="65">
        <v>56020022</v>
      </c>
      <c r="N570" s="65" t="s">
        <v>616</v>
      </c>
      <c r="O570" s="25">
        <f t="shared" si="18"/>
        <v>3.9364640883977842E-2</v>
      </c>
    </row>
    <row r="571" spans="1:15" ht="13.5" customHeight="1">
      <c r="A571" s="65">
        <v>462.64017997944438</v>
      </c>
      <c r="B571" s="65">
        <v>463.21251020806841</v>
      </c>
      <c r="C571" s="65">
        <v>460.04495842551137</v>
      </c>
      <c r="D571" s="65">
        <v>462.64017997944438</v>
      </c>
      <c r="E571" s="65">
        <v>3296801.0523162251</v>
      </c>
      <c r="F571" s="65" t="s">
        <v>617</v>
      </c>
      <c r="G571" s="25">
        <f t="shared" si="17"/>
        <v>0</v>
      </c>
      <c r="I571" s="65">
        <v>14.49</v>
      </c>
      <c r="J571" s="65">
        <v>14.87</v>
      </c>
      <c r="K571" s="65">
        <v>14.03</v>
      </c>
      <c r="L571" s="65">
        <v>14.35</v>
      </c>
      <c r="M571" s="65">
        <v>54071594</v>
      </c>
      <c r="N571" s="65" t="s">
        <v>617</v>
      </c>
      <c r="O571" s="25">
        <f t="shared" si="18"/>
        <v>9.7560975609756184E-3</v>
      </c>
    </row>
    <row r="572" spans="1:15" ht="13.5" customHeight="1">
      <c r="A572" s="65">
        <v>461.03173468175964</v>
      </c>
      <c r="B572" s="65">
        <v>462.43295696563223</v>
      </c>
      <c r="C572" s="65">
        <v>458.66347166676383</v>
      </c>
      <c r="D572" s="65">
        <v>459.17659532001289</v>
      </c>
      <c r="E572" s="65">
        <v>4972872.9982385458</v>
      </c>
      <c r="F572" s="65" t="s">
        <v>618</v>
      </c>
      <c r="G572" s="25">
        <f t="shared" si="17"/>
        <v>4.0401435540369235E-3</v>
      </c>
      <c r="I572" s="65">
        <v>14.55</v>
      </c>
      <c r="J572" s="65">
        <v>14.94</v>
      </c>
      <c r="K572" s="65">
        <v>13.78</v>
      </c>
      <c r="L572" s="65">
        <v>14.48</v>
      </c>
      <c r="M572" s="65">
        <v>159811902</v>
      </c>
      <c r="N572" s="65" t="s">
        <v>618</v>
      </c>
      <c r="O572" s="25">
        <f t="shared" si="18"/>
        <v>4.8342541436463549E-3</v>
      </c>
    </row>
    <row r="573" spans="1:15" ht="13.5" customHeight="1">
      <c r="A573" s="65">
        <v>456.46296061533013</v>
      </c>
      <c r="B573" s="65">
        <v>457.33132372082861</v>
      </c>
      <c r="C573" s="65">
        <v>451.21331093208926</v>
      </c>
      <c r="D573" s="65">
        <v>452.70334307902419</v>
      </c>
      <c r="E573" s="65">
        <v>4941574.1097575594</v>
      </c>
      <c r="F573" s="65" t="s">
        <v>619</v>
      </c>
      <c r="G573" s="25">
        <f t="shared" si="17"/>
        <v>8.3048150489350991E-3</v>
      </c>
      <c r="I573" s="65">
        <v>11.4</v>
      </c>
      <c r="J573" s="65">
        <v>11.545</v>
      </c>
      <c r="K573" s="65">
        <v>10.54</v>
      </c>
      <c r="L573" s="65">
        <v>10.63</v>
      </c>
      <c r="M573" s="65">
        <v>75962215</v>
      </c>
      <c r="N573" s="65" t="s">
        <v>619</v>
      </c>
      <c r="O573" s="25">
        <f t="shared" si="18"/>
        <v>7.2436500470366871E-2</v>
      </c>
    </row>
    <row r="574" spans="1:15" ht="13.5" customHeight="1">
      <c r="A574" s="65">
        <v>458.35757102732686</v>
      </c>
      <c r="B574" s="65">
        <v>460.14363605113624</v>
      </c>
      <c r="C574" s="65">
        <v>456.3248119394554</v>
      </c>
      <c r="D574" s="65">
        <v>459.4134216215125</v>
      </c>
      <c r="E574" s="65">
        <v>7790861.3541524773</v>
      </c>
      <c r="F574" s="65" t="s">
        <v>620</v>
      </c>
      <c r="G574" s="25">
        <f t="shared" si="17"/>
        <v>-2.298258049272861E-3</v>
      </c>
      <c r="I574" s="65">
        <v>11.08</v>
      </c>
      <c r="J574" s="65">
        <v>11.48</v>
      </c>
      <c r="K574" s="65">
        <v>10.96</v>
      </c>
      <c r="L574" s="65">
        <v>11.324999999999999</v>
      </c>
      <c r="M574" s="65">
        <v>32755892</v>
      </c>
      <c r="N574" s="65" t="s">
        <v>620</v>
      </c>
      <c r="O574" s="25">
        <f t="shared" si="18"/>
        <v>-2.163355408388512E-2</v>
      </c>
    </row>
    <row r="575" spans="1:15" ht="13.5" customHeight="1">
      <c r="A575" s="65">
        <v>458.69307495445122</v>
      </c>
      <c r="B575" s="65">
        <v>458.97924006876326</v>
      </c>
      <c r="C575" s="65">
        <v>454.57821796589593</v>
      </c>
      <c r="D575" s="65">
        <v>455.08147385658253</v>
      </c>
      <c r="E575" s="65">
        <v>4314453.2238611141</v>
      </c>
      <c r="F575" s="65" t="s">
        <v>621</v>
      </c>
      <c r="G575" s="25">
        <f t="shared" si="17"/>
        <v>7.9361637538488683E-3</v>
      </c>
      <c r="I575" s="65">
        <v>11.39</v>
      </c>
      <c r="J575" s="65">
        <v>11.685</v>
      </c>
      <c r="K575" s="65">
        <v>11.14</v>
      </c>
      <c r="L575" s="65">
        <v>11.29</v>
      </c>
      <c r="M575" s="65">
        <v>26017908</v>
      </c>
      <c r="N575" s="65" t="s">
        <v>621</v>
      </c>
      <c r="O575" s="25">
        <f t="shared" si="18"/>
        <v>8.8573959255979773E-3</v>
      </c>
    </row>
    <row r="576" spans="1:15" ht="13.5" customHeight="1">
      <c r="A576" s="65">
        <v>452.97964043077371</v>
      </c>
      <c r="B576" s="65">
        <v>455.62410211989345</v>
      </c>
      <c r="C576" s="65">
        <v>449.32856828265511</v>
      </c>
      <c r="D576" s="65">
        <v>451.4994760464013</v>
      </c>
      <c r="E576" s="65">
        <v>5896055.932801161</v>
      </c>
      <c r="F576" s="65" t="s">
        <v>622</v>
      </c>
      <c r="G576" s="25">
        <f t="shared" ref="G576:G639" si="19">A576/D576-1</f>
        <v>3.2783302371326428E-3</v>
      </c>
      <c r="I576" s="65">
        <v>11.14</v>
      </c>
      <c r="J576" s="65">
        <v>11.75</v>
      </c>
      <c r="K576" s="65">
        <v>10.875</v>
      </c>
      <c r="L576" s="65">
        <v>11.53</v>
      </c>
      <c r="M576" s="65">
        <v>24949752</v>
      </c>
      <c r="N576" s="65" t="s">
        <v>622</v>
      </c>
      <c r="O576" s="25">
        <f t="shared" ref="O576:O639" si="20">I576/L576-1</f>
        <v>-3.3824804856894986E-2</v>
      </c>
    </row>
    <row r="577" spans="1:15" ht="13.5" customHeight="1">
      <c r="A577" s="65">
        <v>449.08187421859304</v>
      </c>
      <c r="B577" s="65">
        <v>453.85787129883465</v>
      </c>
      <c r="C577" s="65">
        <v>447.89774271109502</v>
      </c>
      <c r="D577" s="65">
        <v>452.92043385539881</v>
      </c>
      <c r="E577" s="65">
        <v>9918615.2261221297</v>
      </c>
      <c r="F577" s="65" t="s">
        <v>623</v>
      </c>
      <c r="G577" s="25">
        <f t="shared" si="19"/>
        <v>-8.4751301771279763E-3</v>
      </c>
      <c r="I577" s="65">
        <v>11.16</v>
      </c>
      <c r="J577" s="65">
        <v>11.88</v>
      </c>
      <c r="K577" s="65">
        <v>11.115</v>
      </c>
      <c r="L577" s="65">
        <v>11.65</v>
      </c>
      <c r="M577" s="65">
        <v>30405552</v>
      </c>
      <c r="N577" s="65" t="s">
        <v>623</v>
      </c>
      <c r="O577" s="25">
        <f t="shared" si="20"/>
        <v>-4.20600858369099E-2</v>
      </c>
    </row>
    <row r="578" spans="1:15" ht="13.5" customHeight="1">
      <c r="A578" s="65">
        <v>452.87109504258638</v>
      </c>
      <c r="B578" s="65">
        <v>457.17343951982895</v>
      </c>
      <c r="C578" s="65">
        <v>452.15074837552515</v>
      </c>
      <c r="D578" s="65">
        <v>455.25909358270724</v>
      </c>
      <c r="E578" s="65">
        <v>5712831.0134183131</v>
      </c>
      <c r="F578" s="65" t="s">
        <v>624</v>
      </c>
      <c r="G578" s="25">
        <f t="shared" si="19"/>
        <v>-5.245361539795379E-3</v>
      </c>
      <c r="I578" s="65">
        <v>11.63</v>
      </c>
      <c r="J578" s="65">
        <v>11.78</v>
      </c>
      <c r="K578" s="65">
        <v>11.07</v>
      </c>
      <c r="L578" s="65">
        <v>11.17</v>
      </c>
      <c r="M578" s="65">
        <v>55108232</v>
      </c>
      <c r="N578" s="65" t="s">
        <v>624</v>
      </c>
      <c r="O578" s="25">
        <f t="shared" si="20"/>
        <v>4.1181736794986712E-2</v>
      </c>
    </row>
    <row r="579" spans="1:15" ht="13.5" customHeight="1">
      <c r="A579" s="65">
        <v>453.90721011164709</v>
      </c>
      <c r="B579" s="65">
        <v>459.0877854569506</v>
      </c>
      <c r="C579" s="65">
        <v>452.66387202877428</v>
      </c>
      <c r="D579" s="65">
        <v>458.95950454363833</v>
      </c>
      <c r="E579" s="65">
        <v>7252129.2995110629</v>
      </c>
      <c r="F579" s="65" t="s">
        <v>625</v>
      </c>
      <c r="G579" s="25">
        <f t="shared" si="19"/>
        <v>-1.1008148610006319E-2</v>
      </c>
      <c r="I579" s="65">
        <v>10.9</v>
      </c>
      <c r="J579" s="65">
        <v>11.45</v>
      </c>
      <c r="K579" s="65">
        <v>10.4316</v>
      </c>
      <c r="L579" s="65">
        <v>10.49</v>
      </c>
      <c r="M579" s="65">
        <v>54242152</v>
      </c>
      <c r="N579" s="65" t="s">
        <v>625</v>
      </c>
      <c r="O579" s="25">
        <f t="shared" si="20"/>
        <v>3.908484270734025E-2</v>
      </c>
    </row>
    <row r="580" spans="1:15" ht="13.5" customHeight="1">
      <c r="A580" s="65">
        <v>456.66031586657977</v>
      </c>
      <c r="B580" s="65">
        <v>459.3542150461376</v>
      </c>
      <c r="C580" s="65">
        <v>455.48605212164432</v>
      </c>
      <c r="D580" s="65">
        <v>457.91352171201515</v>
      </c>
      <c r="E580" s="65">
        <v>6852028.4686488919</v>
      </c>
      <c r="F580" s="65" t="s">
        <v>626</v>
      </c>
      <c r="G580" s="25">
        <f t="shared" si="19"/>
        <v>-2.736774054520108E-3</v>
      </c>
      <c r="I580" s="65">
        <v>10.41</v>
      </c>
      <c r="J580" s="65">
        <v>10.43</v>
      </c>
      <c r="K580" s="65">
        <v>10.0825</v>
      </c>
      <c r="L580" s="65">
        <v>10.28</v>
      </c>
      <c r="M580" s="65">
        <v>24221438</v>
      </c>
      <c r="N580" s="65" t="s">
        <v>626</v>
      </c>
      <c r="O580" s="25">
        <f t="shared" si="20"/>
        <v>1.2645914396887337E-2</v>
      </c>
    </row>
    <row r="581" spans="1:15" ht="13.5" customHeight="1">
      <c r="A581" s="65">
        <v>457.47934015926592</v>
      </c>
      <c r="B581" s="65">
        <v>467.3273671966237</v>
      </c>
      <c r="C581" s="65">
        <v>456.72939020451719</v>
      </c>
      <c r="D581" s="65">
        <v>467.20895404587395</v>
      </c>
      <c r="E581" s="65">
        <v>9657755.6864138376</v>
      </c>
      <c r="F581" s="65" t="s">
        <v>627</v>
      </c>
      <c r="G581" s="25">
        <f t="shared" si="19"/>
        <v>-2.0824973071155495E-2</v>
      </c>
      <c r="I581" s="65">
        <v>10.34</v>
      </c>
      <c r="J581" s="65">
        <v>10.87</v>
      </c>
      <c r="K581" s="65">
        <v>10.27</v>
      </c>
      <c r="L581" s="65">
        <v>10.86</v>
      </c>
      <c r="M581" s="65">
        <v>24598617</v>
      </c>
      <c r="N581" s="65" t="s">
        <v>627</v>
      </c>
      <c r="O581" s="25">
        <f t="shared" si="20"/>
        <v>-4.7882136279926324E-2</v>
      </c>
    </row>
    <row r="582" spans="1:15" ht="13.5" customHeight="1">
      <c r="A582" s="65">
        <v>463.3605266465056</v>
      </c>
      <c r="B582" s="65">
        <v>467.78128427449792</v>
      </c>
      <c r="C582" s="65">
        <v>461.72247806113353</v>
      </c>
      <c r="D582" s="65">
        <v>466.51821066650012</v>
      </c>
      <c r="E582" s="65">
        <v>7052989.9315381097</v>
      </c>
      <c r="F582" s="65" t="s">
        <v>628</v>
      </c>
      <c r="G582" s="25">
        <f t="shared" si="19"/>
        <v>-6.7686189902066429E-3</v>
      </c>
      <c r="I582" s="65">
        <v>10.85</v>
      </c>
      <c r="J582" s="65">
        <v>11.23</v>
      </c>
      <c r="K582" s="65">
        <v>10.83</v>
      </c>
      <c r="L582" s="65">
        <v>11.18</v>
      </c>
      <c r="M582" s="65">
        <v>22041048</v>
      </c>
      <c r="N582" s="65" t="s">
        <v>628</v>
      </c>
      <c r="O582" s="25">
        <f t="shared" si="20"/>
        <v>-2.951699463327373E-2</v>
      </c>
    </row>
    <row r="583" spans="1:15" ht="13.5" customHeight="1">
      <c r="A583" s="65">
        <v>469.764704549557</v>
      </c>
      <c r="B583" s="65">
        <v>471.11658802061714</v>
      </c>
      <c r="C583" s="65">
        <v>464.44598052837875</v>
      </c>
      <c r="D583" s="65">
        <v>467.71220993656055</v>
      </c>
      <c r="E583" s="65">
        <v>5178378.5510079227</v>
      </c>
      <c r="F583" s="65" t="s">
        <v>629</v>
      </c>
      <c r="G583" s="25">
        <f t="shared" si="19"/>
        <v>4.3883708173340086E-3</v>
      </c>
      <c r="I583" s="65">
        <v>11.36</v>
      </c>
      <c r="J583" s="65">
        <v>11.414999999999999</v>
      </c>
      <c r="K583" s="65">
        <v>10.85</v>
      </c>
      <c r="L583" s="65">
        <v>11.01</v>
      </c>
      <c r="M583" s="65">
        <v>24554896</v>
      </c>
      <c r="N583" s="65" t="s">
        <v>629</v>
      </c>
      <c r="O583" s="25">
        <f t="shared" si="20"/>
        <v>3.1789282470481295E-2</v>
      </c>
    </row>
    <row r="584" spans="1:15" ht="13.5" customHeight="1">
      <c r="A584" s="65">
        <v>466.39979751575032</v>
      </c>
      <c r="B584" s="65">
        <v>468.11678820162234</v>
      </c>
      <c r="C584" s="65">
        <v>464.44598052837875</v>
      </c>
      <c r="D584" s="65">
        <v>465.66958308612664</v>
      </c>
      <c r="E584" s="65">
        <v>7026302.0174002824</v>
      </c>
      <c r="F584" s="65" t="s">
        <v>630</v>
      </c>
      <c r="G584" s="25">
        <f t="shared" si="19"/>
        <v>1.5680956114512146E-3</v>
      </c>
      <c r="I584" s="65">
        <v>10.88</v>
      </c>
      <c r="J584" s="65">
        <v>11.19</v>
      </c>
      <c r="K584" s="65">
        <v>10.86</v>
      </c>
      <c r="L584" s="65">
        <v>11.02</v>
      </c>
      <c r="M584" s="65">
        <v>20732542</v>
      </c>
      <c r="N584" s="65" t="s">
        <v>630</v>
      </c>
      <c r="O584" s="25">
        <f t="shared" si="20"/>
        <v>-1.270417422867498E-2</v>
      </c>
    </row>
    <row r="585" spans="1:15" ht="13.5" customHeight="1">
      <c r="A585" s="65">
        <v>470.95870381961737</v>
      </c>
      <c r="B585" s="65">
        <v>472.27111624042766</v>
      </c>
      <c r="C585" s="65">
        <v>466.48860737881267</v>
      </c>
      <c r="D585" s="65">
        <v>472.05402546405298</v>
      </c>
      <c r="E585" s="65">
        <v>5324602.174738585</v>
      </c>
      <c r="F585" s="65" t="s">
        <v>631</v>
      </c>
      <c r="G585" s="25">
        <f t="shared" si="19"/>
        <v>-2.3203311175217234E-3</v>
      </c>
      <c r="I585" s="65">
        <v>11.23</v>
      </c>
      <c r="J585" s="65">
        <v>11.29</v>
      </c>
      <c r="K585" s="65">
        <v>11.1</v>
      </c>
      <c r="L585" s="65">
        <v>11.11</v>
      </c>
      <c r="M585" s="65">
        <v>12714136</v>
      </c>
      <c r="N585" s="65" t="s">
        <v>631</v>
      </c>
      <c r="O585" s="25">
        <f t="shared" si="20"/>
        <v>1.0801080108010952E-2</v>
      </c>
    </row>
    <row r="586" spans="1:15" ht="13.5" customHeight="1">
      <c r="A586" s="65">
        <v>470.37650582843094</v>
      </c>
      <c r="B586" s="65">
        <v>471.74812482461601</v>
      </c>
      <c r="C586" s="65">
        <v>469.67589468649464</v>
      </c>
      <c r="D586" s="65">
        <v>470.84029066886757</v>
      </c>
      <c r="E586" s="65">
        <v>4800255.3466468742</v>
      </c>
      <c r="F586" s="65" t="s">
        <v>632</v>
      </c>
      <c r="G586" s="25">
        <f t="shared" si="19"/>
        <v>-9.8501519438320972E-4</v>
      </c>
      <c r="I586" s="65">
        <v>11.11</v>
      </c>
      <c r="J586" s="65">
        <v>11.36</v>
      </c>
      <c r="K586" s="65">
        <v>11.02</v>
      </c>
      <c r="L586" s="65">
        <v>11.06</v>
      </c>
      <c r="M586" s="65">
        <v>14688935</v>
      </c>
      <c r="N586" s="65" t="s">
        <v>632</v>
      </c>
      <c r="O586" s="25">
        <f t="shared" si="20"/>
        <v>4.5207956600361587E-3</v>
      </c>
    </row>
    <row r="587" spans="1:15" ht="13.5" customHeight="1">
      <c r="A587" s="65">
        <v>470.18901833974377</v>
      </c>
      <c r="B587" s="65">
        <v>472.00468665124055</v>
      </c>
      <c r="C587" s="65">
        <v>466.17283897681324</v>
      </c>
      <c r="D587" s="65">
        <v>466.59715276700001</v>
      </c>
      <c r="E587" s="65">
        <v>5663046.6781255519</v>
      </c>
      <c r="F587" s="65" t="s">
        <v>633</v>
      </c>
      <c r="G587" s="25">
        <f t="shared" si="19"/>
        <v>7.6980014803849084E-3</v>
      </c>
      <c r="I587" s="65">
        <v>11</v>
      </c>
      <c r="J587" s="65">
        <v>11.15</v>
      </c>
      <c r="K587" s="65">
        <v>10.89</v>
      </c>
      <c r="L587" s="65">
        <v>10.9</v>
      </c>
      <c r="M587" s="65">
        <v>14656723</v>
      </c>
      <c r="N587" s="65" t="s">
        <v>633</v>
      </c>
      <c r="O587" s="25">
        <f t="shared" si="20"/>
        <v>9.1743119266054496E-3</v>
      </c>
    </row>
    <row r="588" spans="1:15" ht="13.5" customHeight="1">
      <c r="A588" s="65">
        <v>465.24526929593986</v>
      </c>
      <c r="B588" s="65">
        <v>475.11303185842269</v>
      </c>
      <c r="C588" s="65">
        <v>465.03804628212771</v>
      </c>
      <c r="D588" s="65">
        <v>474.83673450667311</v>
      </c>
      <c r="E588" s="65">
        <v>6963270.5048297672</v>
      </c>
      <c r="F588" s="65" t="s">
        <v>634</v>
      </c>
      <c r="G588" s="25">
        <f t="shared" si="19"/>
        <v>-2.0199501246882634E-2</v>
      </c>
      <c r="I588" s="65">
        <v>11.02</v>
      </c>
      <c r="J588" s="65">
        <v>11.38</v>
      </c>
      <c r="K588" s="65">
        <v>10.98</v>
      </c>
      <c r="L588" s="65">
        <v>11.22</v>
      </c>
      <c r="M588" s="65">
        <v>15077811</v>
      </c>
      <c r="N588" s="65" t="s">
        <v>634</v>
      </c>
      <c r="O588" s="25">
        <f t="shared" si="20"/>
        <v>-1.782531194295911E-2</v>
      </c>
    </row>
    <row r="589" spans="1:15" ht="13.5" customHeight="1">
      <c r="A589" s="65">
        <v>471.04751368267978</v>
      </c>
      <c r="B589" s="65">
        <v>472.47044504418977</v>
      </c>
      <c r="C589" s="65">
        <v>469.49827496036994</v>
      </c>
      <c r="D589" s="65">
        <v>469.54761377318232</v>
      </c>
      <c r="E589" s="65">
        <v>6308230.4226357285</v>
      </c>
      <c r="F589" s="65" t="s">
        <v>635</v>
      </c>
      <c r="G589" s="25">
        <f t="shared" si="19"/>
        <v>3.194351042367316E-3</v>
      </c>
      <c r="I589" s="65">
        <v>11.15</v>
      </c>
      <c r="J589" s="65">
        <v>11.27</v>
      </c>
      <c r="K589" s="65">
        <v>10.975</v>
      </c>
      <c r="L589" s="65">
        <v>10.99</v>
      </c>
      <c r="M589" s="65">
        <v>10552516</v>
      </c>
      <c r="N589" s="65" t="s">
        <v>635</v>
      </c>
      <c r="O589" s="25">
        <f t="shared" si="20"/>
        <v>1.455868971792551E-2</v>
      </c>
    </row>
    <row r="590" spans="1:15" ht="13.5" customHeight="1">
      <c r="A590" s="65">
        <v>470.62319989249301</v>
      </c>
      <c r="B590" s="65">
        <v>470.68240646786791</v>
      </c>
      <c r="C590" s="65">
        <v>468.43255660362178</v>
      </c>
      <c r="D590" s="65">
        <v>470.03113413874399</v>
      </c>
      <c r="E590" s="65">
        <v>4882385.4136066614</v>
      </c>
      <c r="F590" s="65" t="s">
        <v>636</v>
      </c>
      <c r="G590" s="25">
        <f t="shared" si="19"/>
        <v>1.259630928138078E-3</v>
      </c>
      <c r="I590" s="65">
        <v>11.08</v>
      </c>
      <c r="J590" s="65">
        <v>11.14</v>
      </c>
      <c r="K590" s="65">
        <v>10.721500000000001</v>
      </c>
      <c r="L590" s="65">
        <v>11</v>
      </c>
      <c r="M590" s="65">
        <v>14452653</v>
      </c>
      <c r="N590" s="65" t="s">
        <v>636</v>
      </c>
      <c r="O590" s="25">
        <f t="shared" si="20"/>
        <v>7.2727272727273196E-3</v>
      </c>
    </row>
    <row r="591" spans="1:15" ht="13.5" customHeight="1">
      <c r="A591" s="65">
        <v>473.72167733711257</v>
      </c>
      <c r="B591" s="65">
        <v>475.58668446142184</v>
      </c>
      <c r="C591" s="65">
        <v>472.49807477936469</v>
      </c>
      <c r="D591" s="65">
        <v>475.07356080817272</v>
      </c>
      <c r="E591" s="65">
        <v>5810800.5372975701</v>
      </c>
      <c r="F591" s="65" t="s">
        <v>637</v>
      </c>
      <c r="G591" s="25">
        <f t="shared" si="19"/>
        <v>-2.8456297773347128E-3</v>
      </c>
      <c r="I591" s="65">
        <v>11.25</v>
      </c>
      <c r="J591" s="65">
        <v>11.61</v>
      </c>
      <c r="K591" s="65">
        <v>11.2</v>
      </c>
      <c r="L591" s="65">
        <v>11.48</v>
      </c>
      <c r="M591" s="65">
        <v>13156637</v>
      </c>
      <c r="N591" s="65" t="s">
        <v>637</v>
      </c>
      <c r="O591" s="25">
        <f t="shared" si="20"/>
        <v>-2.0034843205574915E-2</v>
      </c>
    </row>
    <row r="592" spans="1:15" ht="13.5" customHeight="1">
      <c r="A592" s="65">
        <v>474.34334637854897</v>
      </c>
      <c r="B592" s="65">
        <v>475.78384235742027</v>
      </c>
      <c r="C592" s="65">
        <v>474.14934616657058</v>
      </c>
      <c r="D592" s="65">
        <v>474.51109834211121</v>
      </c>
      <c r="E592" s="65">
        <v>4119493.1214246862</v>
      </c>
      <c r="F592" s="65" t="s">
        <v>638</v>
      </c>
      <c r="G592" s="25">
        <f t="shared" si="19"/>
        <v>-3.5352590097126324E-4</v>
      </c>
      <c r="I592" s="65">
        <v>11.48</v>
      </c>
      <c r="J592" s="65">
        <v>11.68</v>
      </c>
      <c r="K592" s="65">
        <v>11.35</v>
      </c>
      <c r="L592" s="65">
        <v>11.4</v>
      </c>
      <c r="M592" s="65">
        <v>15281011</v>
      </c>
      <c r="N592" s="65" t="s">
        <v>638</v>
      </c>
      <c r="O592" s="25">
        <f t="shared" si="20"/>
        <v>7.0175438596491446E-3</v>
      </c>
    </row>
    <row r="593" spans="1:15" ht="13.5" customHeight="1">
      <c r="A593" s="65">
        <v>474.40255295392387</v>
      </c>
      <c r="B593" s="65">
        <v>474.51109834211121</v>
      </c>
      <c r="C593" s="65">
        <v>471.13632354574207</v>
      </c>
      <c r="D593" s="65">
        <v>473.16908263361353</v>
      </c>
      <c r="E593" s="65">
        <v>5017782.8749399669</v>
      </c>
      <c r="F593" s="65" t="s">
        <v>639</v>
      </c>
      <c r="G593" s="25">
        <f t="shared" si="19"/>
        <v>2.6068278033826164E-3</v>
      </c>
      <c r="I593" s="65">
        <v>11.45</v>
      </c>
      <c r="J593" s="65">
        <v>11.465</v>
      </c>
      <c r="K593" s="65">
        <v>11.24</v>
      </c>
      <c r="L593" s="65">
        <v>11.38</v>
      </c>
      <c r="M593" s="65">
        <v>13357974</v>
      </c>
      <c r="N593" s="65" t="s">
        <v>639</v>
      </c>
      <c r="O593" s="25">
        <f t="shared" si="20"/>
        <v>6.1511423550086874E-3</v>
      </c>
    </row>
    <row r="594" spans="1:15" ht="13.5" customHeight="1">
      <c r="A594" s="65">
        <v>470.29756372793105</v>
      </c>
      <c r="B594" s="65">
        <v>473.0309339577388</v>
      </c>
      <c r="C594" s="65">
        <v>470.12981176436887</v>
      </c>
      <c r="D594" s="65">
        <v>472.72503331830183</v>
      </c>
      <c r="E594" s="65">
        <v>8181694.6332853744</v>
      </c>
      <c r="F594" s="65" t="s">
        <v>640</v>
      </c>
      <c r="G594" s="25">
        <f t="shared" si="19"/>
        <v>-5.1350561516302351E-3</v>
      </c>
      <c r="I594" s="65">
        <v>11.31</v>
      </c>
      <c r="J594" s="65">
        <v>11.7475</v>
      </c>
      <c r="K594" s="65">
        <v>11.31</v>
      </c>
      <c r="L594" s="65">
        <v>11.4</v>
      </c>
      <c r="M594" s="65">
        <v>20825692</v>
      </c>
      <c r="N594" s="65" t="s">
        <v>640</v>
      </c>
      <c r="O594" s="25">
        <f t="shared" si="20"/>
        <v>-7.8947368421052877E-3</v>
      </c>
    </row>
    <row r="595" spans="1:15" ht="13.5" customHeight="1">
      <c r="A595" s="65">
        <v>471.61984391130375</v>
      </c>
      <c r="B595" s="65">
        <v>472.45860372911483</v>
      </c>
      <c r="C595" s="65">
        <v>471.23500117136695</v>
      </c>
      <c r="D595" s="65">
        <v>471.41262089749165</v>
      </c>
      <c r="E595" s="65">
        <v>6162771.9166257447</v>
      </c>
      <c r="F595" s="65" t="s">
        <v>641</v>
      </c>
      <c r="G595" s="25">
        <f t="shared" si="19"/>
        <v>4.3957884160494842E-4</v>
      </c>
      <c r="I595" s="65">
        <v>11.26</v>
      </c>
      <c r="J595" s="65">
        <v>11.52</v>
      </c>
      <c r="K595" s="65">
        <v>11.24</v>
      </c>
      <c r="L595" s="65">
        <v>11.38</v>
      </c>
      <c r="M595" s="65">
        <v>20246938</v>
      </c>
      <c r="N595" s="65" t="s">
        <v>641</v>
      </c>
      <c r="O595" s="25">
        <f t="shared" si="20"/>
        <v>-1.0544815465729385E-2</v>
      </c>
    </row>
    <row r="596" spans="1:15" ht="13.5" customHeight="1">
      <c r="A596" s="65">
        <v>472.84344646905163</v>
      </c>
      <c r="B596" s="65">
        <v>473.96837140117464</v>
      </c>
      <c r="C596" s="65">
        <v>472.48820701680222</v>
      </c>
      <c r="D596" s="65">
        <v>473.52432208586293</v>
      </c>
      <c r="E596" s="65">
        <v>5960320.7543333527</v>
      </c>
      <c r="F596" s="65" t="s">
        <v>642</v>
      </c>
      <c r="G596" s="25">
        <f t="shared" si="19"/>
        <v>-1.4378894283868515E-3</v>
      </c>
      <c r="I596" s="65">
        <v>11.4</v>
      </c>
      <c r="J596" s="65">
        <v>11.43</v>
      </c>
      <c r="K596" s="65">
        <v>11.063000000000001</v>
      </c>
      <c r="L596" s="65">
        <v>11.15</v>
      </c>
      <c r="M596" s="65">
        <v>25195772</v>
      </c>
      <c r="N596" s="65" t="s">
        <v>642</v>
      </c>
      <c r="O596" s="25">
        <f t="shared" si="20"/>
        <v>2.2421524663677195E-2</v>
      </c>
    </row>
    <row r="597" spans="1:15" ht="13.5" customHeight="1">
      <c r="A597" s="65">
        <v>473.46225385934514</v>
      </c>
      <c r="B597" s="65">
        <v>475.31636489814201</v>
      </c>
      <c r="C597" s="65">
        <v>473.32454799969969</v>
      </c>
      <c r="D597" s="65">
        <v>474.71144272898545</v>
      </c>
      <c r="E597" s="65">
        <v>5128722.9303001203</v>
      </c>
      <c r="F597" s="65" t="s">
        <v>643</v>
      </c>
      <c r="G597" s="25">
        <f t="shared" si="19"/>
        <v>-2.6314698934979397E-3</v>
      </c>
      <c r="I597" s="65">
        <v>11.16</v>
      </c>
      <c r="J597" s="65">
        <v>11.51</v>
      </c>
      <c r="K597" s="65">
        <v>11.13</v>
      </c>
      <c r="L597" s="65">
        <v>11.26</v>
      </c>
      <c r="M597" s="65">
        <v>22605057</v>
      </c>
      <c r="N597" s="65" t="s">
        <v>643</v>
      </c>
      <c r="O597" s="25">
        <f t="shared" si="20"/>
        <v>-8.8809946714031307E-3</v>
      </c>
    </row>
    <row r="598" spans="1:15" ht="13.5" customHeight="1">
      <c r="A598" s="65">
        <v>471.88847260625494</v>
      </c>
      <c r="B598" s="65">
        <v>472.1540481927139</v>
      </c>
      <c r="C598" s="65">
        <v>467.14745658132085</v>
      </c>
      <c r="D598" s="65">
        <v>467.74746068406148</v>
      </c>
      <c r="E598" s="65">
        <v>6282302.3089051498</v>
      </c>
      <c r="F598" s="65" t="s">
        <v>644</v>
      </c>
      <c r="G598" s="25">
        <f t="shared" si="19"/>
        <v>8.8530933254824529E-3</v>
      </c>
      <c r="I598" s="65">
        <v>11.2</v>
      </c>
      <c r="J598" s="65">
        <v>11.38</v>
      </c>
      <c r="K598" s="65">
        <v>10.97</v>
      </c>
      <c r="L598" s="65">
        <v>11.03</v>
      </c>
      <c r="M598" s="65">
        <v>28666791</v>
      </c>
      <c r="N598" s="65" t="s">
        <v>644</v>
      </c>
      <c r="O598" s="25">
        <f t="shared" si="20"/>
        <v>1.5412511332728807E-2</v>
      </c>
    </row>
    <row r="599" spans="1:15" ht="13.5" customHeight="1">
      <c r="A599" s="65">
        <v>467.80647748105235</v>
      </c>
      <c r="B599" s="65">
        <v>467.94418334069775</v>
      </c>
      <c r="C599" s="65">
        <v>463.56710423054074</v>
      </c>
      <c r="D599" s="65">
        <v>464.46219231823574</v>
      </c>
      <c r="E599" s="65">
        <v>4626053.8341683242</v>
      </c>
      <c r="F599" s="65" t="s">
        <v>645</v>
      </c>
      <c r="G599" s="25">
        <f t="shared" si="19"/>
        <v>7.2003388394747958E-3</v>
      </c>
      <c r="I599" s="65">
        <v>11.05</v>
      </c>
      <c r="J599" s="65">
        <v>11.17</v>
      </c>
      <c r="K599" s="65">
        <v>10.78</v>
      </c>
      <c r="L599" s="65">
        <v>10.96</v>
      </c>
      <c r="M599" s="65">
        <v>25976825</v>
      </c>
      <c r="N599" s="65" t="s">
        <v>645</v>
      </c>
      <c r="O599" s="25">
        <f t="shared" si="20"/>
        <v>8.2116788321167089E-3</v>
      </c>
    </row>
    <row r="600" spans="1:15" ht="13.5" customHeight="1">
      <c r="A600" s="65">
        <v>465.1999022806217</v>
      </c>
      <c r="B600" s="65">
        <v>467.49073761715113</v>
      </c>
      <c r="C600" s="65">
        <v>464.75727630319011</v>
      </c>
      <c r="D600" s="65">
        <v>466.1835155638031</v>
      </c>
      <c r="E600" s="65">
        <v>4004729.366056887</v>
      </c>
      <c r="F600" s="65" t="s">
        <v>646</v>
      </c>
      <c r="G600" s="25">
        <f t="shared" si="19"/>
        <v>-2.1099272075114639E-3</v>
      </c>
      <c r="I600" s="65">
        <v>11.06</v>
      </c>
      <c r="J600" s="65">
        <v>11.33</v>
      </c>
      <c r="K600" s="65">
        <v>10.93</v>
      </c>
      <c r="L600" s="65">
        <v>11.24</v>
      </c>
      <c r="M600" s="65">
        <v>28446181</v>
      </c>
      <c r="N600" s="65" t="s">
        <v>646</v>
      </c>
      <c r="O600" s="25">
        <f t="shared" si="20"/>
        <v>-1.6014234875444844E-2</v>
      </c>
    </row>
    <row r="601" spans="1:15" ht="13.5" customHeight="1">
      <c r="A601" s="65">
        <v>462.30807922806855</v>
      </c>
      <c r="B601" s="65">
        <v>464.05045179789602</v>
      </c>
      <c r="C601" s="65">
        <v>461.03931645409295</v>
      </c>
      <c r="D601" s="65">
        <v>462.70152454134114</v>
      </c>
      <c r="E601" s="65">
        <v>6920491.128366488</v>
      </c>
      <c r="F601" s="65" t="s">
        <v>647</v>
      </c>
      <c r="G601" s="25">
        <f t="shared" si="19"/>
        <v>-8.5032205948010198E-4</v>
      </c>
      <c r="I601" s="65">
        <v>11.19</v>
      </c>
      <c r="J601" s="65">
        <v>11.571999999999999</v>
      </c>
      <c r="K601" s="65">
        <v>11.09</v>
      </c>
      <c r="L601" s="65">
        <v>11.44</v>
      </c>
      <c r="M601" s="65">
        <v>26649901</v>
      </c>
      <c r="N601" s="65" t="s">
        <v>647</v>
      </c>
      <c r="O601" s="25">
        <f t="shared" si="20"/>
        <v>-2.1853146853146876E-2</v>
      </c>
    </row>
    <row r="602" spans="1:15" ht="13.5" customHeight="1">
      <c r="A602" s="65">
        <v>465.51465853123977</v>
      </c>
      <c r="B602" s="65">
        <v>467.53598382817745</v>
      </c>
      <c r="C602" s="65">
        <v>462.74086907266832</v>
      </c>
      <c r="D602" s="65">
        <v>467.37368763645253</v>
      </c>
      <c r="E602" s="65">
        <v>5238827.1774181742</v>
      </c>
      <c r="F602" s="65" t="s">
        <v>648</v>
      </c>
      <c r="G602" s="25">
        <f t="shared" si="19"/>
        <v>-3.9776075427224722E-3</v>
      </c>
      <c r="I602" s="65">
        <v>11.39</v>
      </c>
      <c r="J602" s="65">
        <v>11.89</v>
      </c>
      <c r="K602" s="65">
        <v>11.34</v>
      </c>
      <c r="L602" s="65">
        <v>11.86</v>
      </c>
      <c r="M602" s="65">
        <v>21971798</v>
      </c>
      <c r="N602" s="65" t="s">
        <v>648</v>
      </c>
      <c r="O602" s="25">
        <f t="shared" si="20"/>
        <v>-3.9629005059021782E-2</v>
      </c>
    </row>
    <row r="603" spans="1:15" ht="13.5" customHeight="1">
      <c r="A603" s="65">
        <v>466.5376163457484</v>
      </c>
      <c r="B603" s="65">
        <v>467.67860775423878</v>
      </c>
      <c r="C603" s="65">
        <v>465.15072161646265</v>
      </c>
      <c r="D603" s="65">
        <v>467.52122962892975</v>
      </c>
      <c r="E603" s="65">
        <v>3603576.792431822</v>
      </c>
      <c r="F603" s="65" t="s">
        <v>649</v>
      </c>
      <c r="G603" s="25">
        <f t="shared" si="19"/>
        <v>-2.1038900927815574E-3</v>
      </c>
      <c r="I603" s="65">
        <v>11.9</v>
      </c>
      <c r="J603" s="65">
        <v>12.35</v>
      </c>
      <c r="K603" s="65">
        <v>11.69</v>
      </c>
      <c r="L603" s="65">
        <v>11.71</v>
      </c>
      <c r="M603" s="65">
        <v>29908928</v>
      </c>
      <c r="N603" s="65" t="s">
        <v>649</v>
      </c>
      <c r="O603" s="25">
        <f t="shared" si="20"/>
        <v>1.6225448334756587E-2</v>
      </c>
    </row>
    <row r="604" spans="1:15" ht="13.5" customHeight="1">
      <c r="A604" s="65">
        <v>467.2458179096389</v>
      </c>
      <c r="B604" s="65">
        <v>467.75729681689324</v>
      </c>
      <c r="C604" s="65">
        <v>461.87528938346873</v>
      </c>
      <c r="D604" s="65">
        <v>464.18678059894495</v>
      </c>
      <c r="E604" s="65">
        <v>4891186.4878841415</v>
      </c>
      <c r="F604" s="65" t="s">
        <v>650</v>
      </c>
      <c r="G604" s="25">
        <f t="shared" si="19"/>
        <v>6.5901000169519275E-3</v>
      </c>
      <c r="I604" s="65">
        <v>11.77</v>
      </c>
      <c r="J604" s="65">
        <v>12.13</v>
      </c>
      <c r="K604" s="65">
        <v>11.7</v>
      </c>
      <c r="L604" s="65">
        <v>11.95</v>
      </c>
      <c r="M604" s="65">
        <v>17197055</v>
      </c>
      <c r="N604" s="65" t="s">
        <v>650</v>
      </c>
      <c r="O604" s="25">
        <f t="shared" si="20"/>
        <v>-1.5062761506276168E-2</v>
      </c>
    </row>
    <row r="605" spans="1:15" ht="13.5" customHeight="1">
      <c r="A605" s="65">
        <v>462.29824309523673</v>
      </c>
      <c r="B605" s="65">
        <v>462.74578713908426</v>
      </c>
      <c r="C605" s="65">
        <v>459.73101242613342</v>
      </c>
      <c r="D605" s="65">
        <v>461.51135246869165</v>
      </c>
      <c r="E605" s="65">
        <v>5412560.0894497139</v>
      </c>
      <c r="F605" s="65" t="s">
        <v>651</v>
      </c>
      <c r="G605" s="25">
        <f t="shared" si="19"/>
        <v>1.7050298380221207E-3</v>
      </c>
      <c r="I605" s="65">
        <v>11.87</v>
      </c>
      <c r="J605" s="65">
        <v>12.26</v>
      </c>
      <c r="K605" s="65">
        <v>11.8</v>
      </c>
      <c r="L605" s="65">
        <v>12.25</v>
      </c>
      <c r="M605" s="65">
        <v>23993620</v>
      </c>
      <c r="N605" s="65" t="s">
        <v>651</v>
      </c>
      <c r="O605" s="25">
        <f t="shared" si="20"/>
        <v>-3.1020408163265345E-2</v>
      </c>
    </row>
    <row r="606" spans="1:15" ht="13.5" customHeight="1">
      <c r="A606" s="65">
        <v>462.68185227567744</v>
      </c>
      <c r="B606" s="65">
        <v>468.49441661130936</v>
      </c>
      <c r="C606" s="65">
        <v>462.1211927042641</v>
      </c>
      <c r="D606" s="65">
        <v>466.00646517283042</v>
      </c>
      <c r="E606" s="65">
        <v>6390341.7201423468</v>
      </c>
      <c r="F606" s="65" t="s">
        <v>652</v>
      </c>
      <c r="G606" s="25">
        <f t="shared" si="19"/>
        <v>-7.1342634611731848E-3</v>
      </c>
      <c r="I606" s="65">
        <v>12.39</v>
      </c>
      <c r="J606" s="65">
        <v>12.645</v>
      </c>
      <c r="K606" s="65">
        <v>11.99</v>
      </c>
      <c r="L606" s="65">
        <v>12</v>
      </c>
      <c r="M606" s="65">
        <v>43593463</v>
      </c>
      <c r="N606" s="65" t="s">
        <v>652</v>
      </c>
      <c r="O606" s="25">
        <f t="shared" si="20"/>
        <v>3.2499999999999973E-2</v>
      </c>
    </row>
    <row r="607" spans="1:15" ht="13.5" customHeight="1">
      <c r="A607" s="65">
        <v>465.50482239840795</v>
      </c>
      <c r="B607" s="65">
        <v>466.4195827517666</v>
      </c>
      <c r="C607" s="65">
        <v>463.06546145611816</v>
      </c>
      <c r="D607" s="65">
        <v>463.90153274682234</v>
      </c>
      <c r="E607" s="65">
        <v>7268915.6625406686</v>
      </c>
      <c r="F607" s="65" t="s">
        <v>653</v>
      </c>
      <c r="G607" s="25">
        <f t="shared" si="19"/>
        <v>3.4560990607044317E-3</v>
      </c>
      <c r="I607" s="65">
        <v>11.85</v>
      </c>
      <c r="J607" s="65">
        <v>12.02</v>
      </c>
      <c r="K607" s="65">
        <v>11.45</v>
      </c>
      <c r="L607" s="65">
        <v>11.45</v>
      </c>
      <c r="M607" s="65">
        <v>45365259</v>
      </c>
      <c r="N607" s="65" t="s">
        <v>653</v>
      </c>
      <c r="O607" s="25">
        <f t="shared" si="20"/>
        <v>3.4934497816593968E-2</v>
      </c>
    </row>
    <row r="608" spans="1:15" ht="13.5" customHeight="1">
      <c r="A608" s="65">
        <v>460.94085676444649</v>
      </c>
      <c r="B608" s="65">
        <v>462.94742786213646</v>
      </c>
      <c r="C608" s="65">
        <v>459.66206113498242</v>
      </c>
      <c r="D608" s="65">
        <v>461.56053313285071</v>
      </c>
      <c r="E608" s="65">
        <v>5413763.8145520939</v>
      </c>
      <c r="F608" s="65" t="s">
        <v>654</v>
      </c>
      <c r="G608" s="25">
        <f t="shared" si="19"/>
        <v>-1.3425679275438362E-3</v>
      </c>
      <c r="I608" s="65">
        <v>11.16</v>
      </c>
      <c r="J608" s="65">
        <v>11.63</v>
      </c>
      <c r="K608" s="65">
        <v>11.105</v>
      </c>
      <c r="L608" s="65">
        <v>11.6</v>
      </c>
      <c r="M608" s="65">
        <v>27088255</v>
      </c>
      <c r="N608" s="65" t="s">
        <v>654</v>
      </c>
      <c r="O608" s="25">
        <f t="shared" si="20"/>
        <v>-3.7931034482758585E-2</v>
      </c>
    </row>
    <row r="609" spans="1:15" ht="13.5" customHeight="1">
      <c r="A609" s="65">
        <v>458.51133195498852</v>
      </c>
      <c r="B609" s="65">
        <v>461.68840285966428</v>
      </c>
      <c r="C609" s="65">
        <v>456.4555801931395</v>
      </c>
      <c r="D609" s="65">
        <v>461.26544914789633</v>
      </c>
      <c r="E609" s="65">
        <v>4693412.6235755878</v>
      </c>
      <c r="F609" s="65" t="s">
        <v>655</v>
      </c>
      <c r="G609" s="25">
        <f t="shared" si="19"/>
        <v>-5.9707857980595413E-3</v>
      </c>
      <c r="I609" s="65">
        <v>11.43</v>
      </c>
      <c r="J609" s="65">
        <v>11.65</v>
      </c>
      <c r="K609" s="65">
        <v>10.75</v>
      </c>
      <c r="L609" s="65">
        <v>10.85</v>
      </c>
      <c r="M609" s="65">
        <v>42821196</v>
      </c>
      <c r="N609" s="65" t="s">
        <v>655</v>
      </c>
      <c r="O609" s="25">
        <f t="shared" si="20"/>
        <v>5.3456221198156628E-2</v>
      </c>
    </row>
    <row r="610" spans="1:15" ht="13.5" customHeight="1">
      <c r="A610" s="65">
        <v>463.1539866516045</v>
      </c>
      <c r="B610" s="65">
        <v>464.85563763150827</v>
      </c>
      <c r="C610" s="65">
        <v>462.88841106514559</v>
      </c>
      <c r="D610" s="65">
        <v>462.89824719797735</v>
      </c>
      <c r="E610" s="65">
        <v>4036385.0995981134</v>
      </c>
      <c r="F610" s="65" t="s">
        <v>656</v>
      </c>
      <c r="G610" s="25">
        <f t="shared" si="19"/>
        <v>5.5247444805672785E-4</v>
      </c>
      <c r="I610" s="65">
        <v>11.03</v>
      </c>
      <c r="J610" s="65">
        <v>11.27</v>
      </c>
      <c r="K610" s="65">
        <v>10.7</v>
      </c>
      <c r="L610" s="65">
        <v>11.26</v>
      </c>
      <c r="M610" s="65">
        <v>21544939</v>
      </c>
      <c r="N610" s="65" t="s">
        <v>656</v>
      </c>
      <c r="O610" s="25">
        <f t="shared" si="20"/>
        <v>-2.0426287744227389E-2</v>
      </c>
    </row>
    <row r="611" spans="1:15" ht="13.5" customHeight="1">
      <c r="A611" s="65">
        <v>463.70481009018607</v>
      </c>
      <c r="B611" s="65">
        <v>464.03923860646773</v>
      </c>
      <c r="C611" s="65">
        <v>459.77035695746065</v>
      </c>
      <c r="D611" s="65">
        <v>460.16380227073319</v>
      </c>
      <c r="E611" s="65">
        <v>4920044.3738901056</v>
      </c>
      <c r="F611" s="65" t="s">
        <v>657</v>
      </c>
      <c r="G611" s="25">
        <f t="shared" si="19"/>
        <v>7.6951029220015954E-3</v>
      </c>
      <c r="I611" s="65">
        <v>11.25</v>
      </c>
      <c r="J611" s="65">
        <v>11.28</v>
      </c>
      <c r="K611" s="65">
        <v>11</v>
      </c>
      <c r="L611" s="65">
        <v>11.05</v>
      </c>
      <c r="M611" s="65">
        <v>20749826</v>
      </c>
      <c r="N611" s="65" t="s">
        <v>657</v>
      </c>
      <c r="O611" s="25">
        <f t="shared" si="20"/>
        <v>1.8099547511312153E-2</v>
      </c>
    </row>
    <row r="612" spans="1:15" ht="13.5" customHeight="1">
      <c r="A612" s="65">
        <v>459.27855031587001</v>
      </c>
      <c r="B612" s="65">
        <v>460.81298703763292</v>
      </c>
      <c r="C612" s="65">
        <v>456.85886163924386</v>
      </c>
      <c r="D612" s="65">
        <v>459.31789484719724</v>
      </c>
      <c r="E612" s="65">
        <v>7455085.3728639456</v>
      </c>
      <c r="F612" s="65" t="s">
        <v>658</v>
      </c>
      <c r="G612" s="25">
        <f t="shared" si="19"/>
        <v>-8.5658607619332194E-5</v>
      </c>
      <c r="I612" s="65">
        <v>11.02</v>
      </c>
      <c r="J612" s="65">
        <v>11.196</v>
      </c>
      <c r="K612" s="65">
        <v>10.94</v>
      </c>
      <c r="L612" s="65">
        <v>11.05</v>
      </c>
      <c r="M612" s="65">
        <v>19719296</v>
      </c>
      <c r="N612" s="65" t="s">
        <v>658</v>
      </c>
      <c r="O612" s="25">
        <f t="shared" si="20"/>
        <v>-2.714932126696934E-3</v>
      </c>
    </row>
    <row r="613" spans="1:15" ht="13.5" customHeight="1">
      <c r="A613" s="65">
        <v>457.58673546879805</v>
      </c>
      <c r="B613" s="65">
        <v>458.1965757043705</v>
      </c>
      <c r="C613" s="65">
        <v>456.50476085729855</v>
      </c>
      <c r="D613" s="65">
        <v>456.8785339049075</v>
      </c>
      <c r="E613" s="65">
        <v>2847259.2307231338</v>
      </c>
      <c r="F613" s="65" t="s">
        <v>659</v>
      </c>
      <c r="G613" s="25">
        <f t="shared" si="19"/>
        <v>1.55008719240457E-3</v>
      </c>
      <c r="I613" s="65">
        <v>11</v>
      </c>
      <c r="J613" s="65">
        <v>11.14</v>
      </c>
      <c r="K613" s="65">
        <v>10.75</v>
      </c>
      <c r="L613" s="65">
        <v>10.75</v>
      </c>
      <c r="M613" s="65">
        <v>17656008</v>
      </c>
      <c r="N613" s="65" t="s">
        <v>659</v>
      </c>
      <c r="O613" s="25">
        <f t="shared" si="20"/>
        <v>2.3255813953488413E-2</v>
      </c>
    </row>
    <row r="614" spans="1:15" ht="13.5" customHeight="1">
      <c r="A614" s="65">
        <v>458.29493703268861</v>
      </c>
      <c r="B614" s="65">
        <v>458.48182355649311</v>
      </c>
      <c r="C614" s="65">
        <v>456.30803820066234</v>
      </c>
      <c r="D614" s="65">
        <v>458.0785421103887</v>
      </c>
      <c r="E614" s="65">
        <v>3646700.4475565357</v>
      </c>
      <c r="F614" s="65" t="s">
        <v>660</v>
      </c>
      <c r="G614" s="25">
        <f t="shared" si="19"/>
        <v>4.7239698524825791E-4</v>
      </c>
      <c r="I614" s="65">
        <v>10.9</v>
      </c>
      <c r="J614" s="65">
        <v>11.05</v>
      </c>
      <c r="K614" s="65">
        <v>10.75</v>
      </c>
      <c r="L614" s="65">
        <v>10.8</v>
      </c>
      <c r="M614" s="65">
        <v>18059774</v>
      </c>
      <c r="N614" s="65" t="s">
        <v>660</v>
      </c>
      <c r="O614" s="25">
        <f t="shared" si="20"/>
        <v>9.2592592592593004E-3</v>
      </c>
    </row>
    <row r="615" spans="1:15" ht="13.5" customHeight="1">
      <c r="A615" s="65">
        <v>457.44902960915266</v>
      </c>
      <c r="B615" s="65">
        <v>459.92773508276963</v>
      </c>
      <c r="C615" s="65">
        <v>457.32115988233909</v>
      </c>
      <c r="D615" s="65">
        <v>459.53428976949715</v>
      </c>
      <c r="E615" s="65">
        <v>3508293.4106368246</v>
      </c>
      <c r="F615" s="65" t="s">
        <v>661</v>
      </c>
      <c r="G615" s="25">
        <f t="shared" si="19"/>
        <v>-4.5377683597680463E-3</v>
      </c>
      <c r="I615" s="65">
        <v>10.72</v>
      </c>
      <c r="J615" s="65">
        <v>10.87</v>
      </c>
      <c r="K615" s="65">
        <v>10.574999999999999</v>
      </c>
      <c r="L615" s="65">
        <v>10.66</v>
      </c>
      <c r="M615" s="65">
        <v>19388195</v>
      </c>
      <c r="N615" s="65" t="s">
        <v>661</v>
      </c>
      <c r="O615" s="25">
        <f t="shared" si="20"/>
        <v>5.6285178236397115E-3</v>
      </c>
    </row>
    <row r="616" spans="1:15" ht="13.5" customHeight="1">
      <c r="A616" s="65">
        <v>459.13100832339273</v>
      </c>
      <c r="B616" s="65">
        <v>461.18676008524181</v>
      </c>
      <c r="C616" s="65">
        <v>458.4530036872959</v>
      </c>
      <c r="D616" s="65">
        <v>460.41954172436033</v>
      </c>
      <c r="E616" s="65">
        <v>4118103.1908178921</v>
      </c>
      <c r="F616" s="65" t="s">
        <v>662</v>
      </c>
      <c r="G616" s="25">
        <f t="shared" si="19"/>
        <v>-2.7986071054711958E-3</v>
      </c>
      <c r="I616" s="65">
        <v>10.8</v>
      </c>
      <c r="J616" s="65">
        <v>10.89</v>
      </c>
      <c r="K616" s="65">
        <v>10.49</v>
      </c>
      <c r="L616" s="65">
        <v>10.75</v>
      </c>
      <c r="M616" s="65">
        <v>22975441</v>
      </c>
      <c r="N616" s="65" t="s">
        <v>662</v>
      </c>
      <c r="O616" s="25">
        <f t="shared" si="20"/>
        <v>4.6511627906977715E-3</v>
      </c>
    </row>
    <row r="617" spans="1:15" ht="13.5" customHeight="1">
      <c r="A617" s="65">
        <v>458.9244495339247</v>
      </c>
      <c r="B617" s="65">
        <v>459.67199562914249</v>
      </c>
      <c r="C617" s="65">
        <v>454.73917501398802</v>
      </c>
      <c r="D617" s="65">
        <v>455.62934503526719</v>
      </c>
      <c r="E617" s="65">
        <v>4400648.1754699135</v>
      </c>
      <c r="F617" s="65" t="s">
        <v>663</v>
      </c>
      <c r="G617" s="25">
        <f t="shared" si="19"/>
        <v>7.2319848020379052E-3</v>
      </c>
      <c r="I617" s="65">
        <v>10.73</v>
      </c>
      <c r="J617" s="65">
        <v>11.04</v>
      </c>
      <c r="K617" s="65">
        <v>10.72</v>
      </c>
      <c r="L617" s="65">
        <v>10.85</v>
      </c>
      <c r="M617" s="65">
        <v>46990035</v>
      </c>
      <c r="N617" s="65" t="s">
        <v>663</v>
      </c>
      <c r="O617" s="25">
        <f t="shared" si="20"/>
        <v>-1.1059907834101268E-2</v>
      </c>
    </row>
    <row r="618" spans="1:15" ht="13.5" customHeight="1">
      <c r="A618" s="65">
        <v>449.48176201538371</v>
      </c>
      <c r="B618" s="65">
        <v>449.62930400786092</v>
      </c>
      <c r="C618" s="65">
        <v>446.16698525106256</v>
      </c>
      <c r="D618" s="65">
        <v>447.85880009813445</v>
      </c>
      <c r="E618" s="65">
        <v>4293433.275261458</v>
      </c>
      <c r="F618" s="65" t="s">
        <v>664</v>
      </c>
      <c r="G618" s="25">
        <f t="shared" si="19"/>
        <v>3.6238250021962681E-3</v>
      </c>
      <c r="I618" s="65">
        <v>10.74</v>
      </c>
      <c r="J618" s="65">
        <v>10.96</v>
      </c>
      <c r="K618" s="65">
        <v>10.69</v>
      </c>
      <c r="L618" s="65">
        <v>10.83</v>
      </c>
      <c r="M618" s="65">
        <v>25625983</v>
      </c>
      <c r="N618" s="65" t="s">
        <v>664</v>
      </c>
      <c r="O618" s="25">
        <f t="shared" si="20"/>
        <v>-8.3102493074792561E-3</v>
      </c>
    </row>
    <row r="619" spans="1:15" ht="13.5" customHeight="1">
      <c r="A619" s="65">
        <v>449.02929990512024</v>
      </c>
      <c r="B619" s="65">
        <v>450.55390049405139</v>
      </c>
      <c r="C619" s="65">
        <v>446.98338427610304</v>
      </c>
      <c r="D619" s="65">
        <v>449.94406025847894</v>
      </c>
      <c r="E619" s="65">
        <v>5395193.508200678</v>
      </c>
      <c r="F619" s="65" t="s">
        <v>665</v>
      </c>
      <c r="G619" s="25">
        <f t="shared" si="19"/>
        <v>-2.0330535152152107E-3</v>
      </c>
      <c r="I619" s="65">
        <v>10.95</v>
      </c>
      <c r="J619" s="65">
        <v>11.14</v>
      </c>
      <c r="K619" s="65">
        <v>10.87</v>
      </c>
      <c r="L619" s="65">
        <v>11</v>
      </c>
      <c r="M619" s="65">
        <v>37406099</v>
      </c>
      <c r="N619" s="65" t="s">
        <v>665</v>
      </c>
      <c r="O619" s="25">
        <f t="shared" si="20"/>
        <v>-4.5454545454546302E-3</v>
      </c>
    </row>
    <row r="620" spans="1:15" ht="13.5" customHeight="1">
      <c r="A620" s="65">
        <v>451.50800537873727</v>
      </c>
      <c r="B620" s="65">
        <v>454.5768788222631</v>
      </c>
      <c r="C620" s="65">
        <v>450.888329010333</v>
      </c>
      <c r="D620" s="65">
        <v>453.52441260925906</v>
      </c>
      <c r="E620" s="65">
        <v>5619986.1210910352</v>
      </c>
      <c r="F620" s="65" t="s">
        <v>666</v>
      </c>
      <c r="G620" s="25">
        <f t="shared" si="19"/>
        <v>-4.4460831092218989E-3</v>
      </c>
      <c r="I620" s="65">
        <v>11.17</v>
      </c>
      <c r="J620" s="65">
        <v>11.44</v>
      </c>
      <c r="K620" s="65">
        <v>10.99</v>
      </c>
      <c r="L620" s="65">
        <v>11.34</v>
      </c>
      <c r="M620" s="65">
        <v>43404147</v>
      </c>
      <c r="N620" s="65" t="s">
        <v>666</v>
      </c>
      <c r="O620" s="25">
        <f t="shared" si="20"/>
        <v>-1.4991181657848296E-2</v>
      </c>
    </row>
    <row r="621" spans="1:15" ht="13.5" customHeight="1">
      <c r="A621" s="65">
        <v>453.82933272704526</v>
      </c>
      <c r="B621" s="65">
        <v>453.97687471952253</v>
      </c>
      <c r="C621" s="65">
        <v>450.91783740882846</v>
      </c>
      <c r="D621" s="65">
        <v>451.38013565192369</v>
      </c>
      <c r="E621" s="65">
        <v>5790599.9211174203</v>
      </c>
      <c r="F621" s="65" t="s">
        <v>667</v>
      </c>
      <c r="G621" s="25">
        <f t="shared" si="19"/>
        <v>5.4260187404662208E-3</v>
      </c>
      <c r="I621" s="65">
        <v>11.6</v>
      </c>
      <c r="J621" s="65">
        <v>11.8</v>
      </c>
      <c r="K621" s="65">
        <v>11.38</v>
      </c>
      <c r="L621" s="65">
        <v>11.42</v>
      </c>
      <c r="M621" s="65">
        <v>24335852</v>
      </c>
      <c r="N621" s="65" t="s">
        <v>667</v>
      </c>
      <c r="O621" s="25">
        <f t="shared" si="20"/>
        <v>1.5761821366024442E-2</v>
      </c>
    </row>
    <row r="622" spans="1:15" ht="13.5" customHeight="1">
      <c r="A622" s="65">
        <v>450.78013154918312</v>
      </c>
      <c r="B622" s="65">
        <v>451.15390459679202</v>
      </c>
      <c r="C622" s="65">
        <v>446.95387587760757</v>
      </c>
      <c r="D622" s="65">
        <v>449.09323476852705</v>
      </c>
      <c r="E622" s="65">
        <v>5717703.3862433787</v>
      </c>
      <c r="F622" s="65" t="s">
        <v>668</v>
      </c>
      <c r="G622" s="25">
        <f t="shared" si="19"/>
        <v>3.7562284400154411E-3</v>
      </c>
      <c r="I622" s="65">
        <v>11.4</v>
      </c>
      <c r="J622" s="65">
        <v>11.45</v>
      </c>
      <c r="K622" s="65">
        <v>11.18</v>
      </c>
      <c r="L622" s="65">
        <v>11.34</v>
      </c>
      <c r="M622" s="65">
        <v>24167931</v>
      </c>
      <c r="N622" s="65" t="s">
        <v>668</v>
      </c>
      <c r="O622" s="25">
        <f t="shared" si="20"/>
        <v>5.2910052910053462E-3</v>
      </c>
    </row>
    <row r="623" spans="1:15" ht="13.5" customHeight="1">
      <c r="A623" s="65">
        <v>446.53092216583963</v>
      </c>
      <c r="B623" s="65">
        <v>448.23257314574334</v>
      </c>
      <c r="C623" s="65">
        <v>443.60467264837507</v>
      </c>
      <c r="D623" s="65">
        <v>447.03256494026215</v>
      </c>
      <c r="E623" s="65">
        <v>8288056.0270930398</v>
      </c>
      <c r="F623" s="65" t="s">
        <v>669</v>
      </c>
      <c r="G623" s="25">
        <f t="shared" si="19"/>
        <v>-1.1221615912692107E-3</v>
      </c>
      <c r="I623" s="65">
        <v>11.14</v>
      </c>
      <c r="J623" s="65">
        <v>11.62</v>
      </c>
      <c r="K623" s="65">
        <v>11.015000000000001</v>
      </c>
      <c r="L623" s="65">
        <v>11.24</v>
      </c>
      <c r="M623" s="65">
        <v>40428105</v>
      </c>
      <c r="N623" s="65" t="s">
        <v>669</v>
      </c>
      <c r="O623" s="25">
        <f t="shared" si="20"/>
        <v>-8.8967971530248269E-3</v>
      </c>
    </row>
    <row r="624" spans="1:15" ht="13.5" customHeight="1">
      <c r="A624" s="65">
        <v>452.91457237368661</v>
      </c>
      <c r="B624" s="65">
        <v>455.15721065934014</v>
      </c>
      <c r="C624" s="65">
        <v>452.21620694262788</v>
      </c>
      <c r="D624" s="65">
        <v>453.06211436616383</v>
      </c>
      <c r="E624" s="65">
        <v>4640271.8202804755</v>
      </c>
      <c r="F624" s="65" t="s">
        <v>670</v>
      </c>
      <c r="G624" s="25">
        <f t="shared" si="19"/>
        <v>-3.2565510952864418E-4</v>
      </c>
      <c r="I624" s="65">
        <v>11.64</v>
      </c>
      <c r="J624" s="65">
        <v>12.08</v>
      </c>
      <c r="K624" s="65">
        <v>11.2</v>
      </c>
      <c r="L624" s="65">
        <v>11.28</v>
      </c>
      <c r="M624" s="65">
        <v>65823298</v>
      </c>
      <c r="N624" s="65" t="s">
        <v>670</v>
      </c>
      <c r="O624" s="25">
        <f t="shared" si="20"/>
        <v>3.1914893617021489E-2</v>
      </c>
    </row>
    <row r="625" spans="1:15" ht="13.5" customHeight="1">
      <c r="A625" s="65">
        <v>453.1211311631547</v>
      </c>
      <c r="B625" s="65">
        <v>453.47523194509995</v>
      </c>
      <c r="C625" s="65">
        <v>450.66209795520132</v>
      </c>
      <c r="D625" s="65">
        <v>451.02603486997845</v>
      </c>
      <c r="E625" s="65">
        <v>4069276.0746928803</v>
      </c>
      <c r="F625" s="65" t="s">
        <v>671</v>
      </c>
      <c r="G625" s="25">
        <f t="shared" si="19"/>
        <v>4.6451781742049558E-3</v>
      </c>
      <c r="I625" s="65">
        <v>11.11</v>
      </c>
      <c r="J625" s="65">
        <v>11.28</v>
      </c>
      <c r="K625" s="65">
        <v>10.93</v>
      </c>
      <c r="L625" s="65">
        <v>11.26</v>
      </c>
      <c r="M625" s="65">
        <v>54218116</v>
      </c>
      <c r="N625" s="65" t="s">
        <v>671</v>
      </c>
      <c r="O625" s="25">
        <f t="shared" si="20"/>
        <v>-1.3321492007104863E-2</v>
      </c>
    </row>
    <row r="626" spans="1:15" ht="13.5" customHeight="1">
      <c r="A626" s="65">
        <v>450.56373662688316</v>
      </c>
      <c r="B626" s="65">
        <v>450.8194760805103</v>
      </c>
      <c r="C626" s="65">
        <v>449.54077881237453</v>
      </c>
      <c r="D626" s="65">
        <v>450.30799717325601</v>
      </c>
      <c r="E626" s="65">
        <v>4254306.1094758129</v>
      </c>
      <c r="F626" s="65" t="s">
        <v>672</v>
      </c>
      <c r="G626" s="25">
        <f t="shared" si="19"/>
        <v>5.6792119001336516E-4</v>
      </c>
      <c r="I626" s="65">
        <v>11.1</v>
      </c>
      <c r="J626" s="65">
        <v>11.5</v>
      </c>
      <c r="K626" s="65">
        <v>10.82</v>
      </c>
      <c r="L626" s="65">
        <v>11.29</v>
      </c>
      <c r="M626" s="65">
        <v>87847261</v>
      </c>
      <c r="N626" s="65" t="s">
        <v>672</v>
      </c>
      <c r="O626" s="25">
        <f t="shared" si="20"/>
        <v>-1.6829052258635957E-2</v>
      </c>
    </row>
    <row r="627" spans="1:15" ht="13.5" customHeight="1">
      <c r="A627" s="65">
        <v>450.25881650909696</v>
      </c>
      <c r="B627" s="65">
        <v>450.67193408803314</v>
      </c>
      <c r="C627" s="65">
        <v>447.80961943397534</v>
      </c>
      <c r="D627" s="65">
        <v>448.67519912317493</v>
      </c>
      <c r="E627" s="65">
        <v>6876091.5652996404</v>
      </c>
      <c r="F627" s="65" t="s">
        <v>673</v>
      </c>
      <c r="G627" s="25">
        <f t="shared" si="19"/>
        <v>3.5295407212541097E-3</v>
      </c>
      <c r="I627" s="65">
        <v>11.41</v>
      </c>
      <c r="J627" s="65">
        <v>12.39</v>
      </c>
      <c r="K627" s="65">
        <v>11.081200000000001</v>
      </c>
      <c r="L627" s="65">
        <v>12.03</v>
      </c>
      <c r="M627" s="65">
        <v>185977645</v>
      </c>
      <c r="N627" s="65" t="s">
        <v>673</v>
      </c>
      <c r="O627" s="25">
        <f t="shared" si="20"/>
        <v>-5.1537822111388132E-2</v>
      </c>
    </row>
    <row r="628" spans="1:15" ht="13.5" customHeight="1">
      <c r="A628" s="65">
        <v>446.5899389628305</v>
      </c>
      <c r="B628" s="65">
        <v>446.8456784164577</v>
      </c>
      <c r="C628" s="65">
        <v>444.79976278744044</v>
      </c>
      <c r="D628" s="65">
        <v>446.14731298539886</v>
      </c>
      <c r="E628" s="65">
        <v>4456630.5426680259</v>
      </c>
      <c r="F628" s="65" t="s">
        <v>674</v>
      </c>
      <c r="G628" s="25">
        <f t="shared" si="19"/>
        <v>9.9210723576881321E-4</v>
      </c>
      <c r="I628" s="65">
        <v>17.45</v>
      </c>
      <c r="J628" s="65">
        <v>17.5</v>
      </c>
      <c r="K628" s="65">
        <v>16.77</v>
      </c>
      <c r="L628" s="65">
        <v>16.78</v>
      </c>
      <c r="M628" s="65">
        <v>92636378</v>
      </c>
      <c r="N628" s="65" t="s">
        <v>674</v>
      </c>
      <c r="O628" s="25">
        <f t="shared" si="20"/>
        <v>3.9928486293206111E-2</v>
      </c>
    </row>
    <row r="629" spans="1:15" ht="13.5" customHeight="1">
      <c r="A629" s="65">
        <v>445.2030442335448</v>
      </c>
      <c r="B629" s="65">
        <v>446.70797255681225</v>
      </c>
      <c r="C629" s="65">
        <v>443.1571286045276</v>
      </c>
      <c r="D629" s="65">
        <v>446.29485497787613</v>
      </c>
      <c r="E629" s="65">
        <v>7220171.9125122745</v>
      </c>
      <c r="F629" s="65" t="s">
        <v>675</v>
      </c>
      <c r="G629" s="25">
        <f t="shared" si="19"/>
        <v>-2.4463888215459084E-3</v>
      </c>
      <c r="I629" s="65">
        <v>16.75</v>
      </c>
      <c r="J629" s="65">
        <v>17.495000000000001</v>
      </c>
      <c r="K629" s="65">
        <v>16.3</v>
      </c>
      <c r="L629" s="65">
        <v>17.2</v>
      </c>
      <c r="M629" s="65">
        <v>37737679</v>
      </c>
      <c r="N629" s="65" t="s">
        <v>675</v>
      </c>
      <c r="O629" s="25">
        <f t="shared" si="20"/>
        <v>-2.6162790697674354E-2</v>
      </c>
    </row>
    <row r="630" spans="1:15" ht="13.5" customHeight="1">
      <c r="A630" s="65">
        <v>446.83584228362582</v>
      </c>
      <c r="B630" s="65">
        <v>448.40962353671603</v>
      </c>
      <c r="C630" s="65">
        <v>442.32105731382342</v>
      </c>
      <c r="D630" s="65">
        <v>442.63581356444143</v>
      </c>
      <c r="E630" s="65">
        <v>6357663.2269279826</v>
      </c>
      <c r="F630" s="65" t="s">
        <v>676</v>
      </c>
      <c r="G630" s="25">
        <f t="shared" si="19"/>
        <v>9.488678029377029E-3</v>
      </c>
      <c r="I630" s="65">
        <v>17.05</v>
      </c>
      <c r="J630" s="65">
        <v>17.11</v>
      </c>
      <c r="K630" s="65">
        <v>16.11</v>
      </c>
      <c r="L630" s="65">
        <v>16.675000000000001</v>
      </c>
      <c r="M630" s="65">
        <v>35712570</v>
      </c>
      <c r="N630" s="65" t="s">
        <v>676</v>
      </c>
      <c r="O630" s="25">
        <f t="shared" si="20"/>
        <v>2.2488755622188883E-2</v>
      </c>
    </row>
    <row r="631" spans="1:15" ht="13.5" customHeight="1">
      <c r="A631" s="65">
        <v>442.29154891532801</v>
      </c>
      <c r="B631" s="65">
        <v>442.29154891532801</v>
      </c>
      <c r="C631" s="65">
        <v>437.36384308924602</v>
      </c>
      <c r="D631" s="65">
        <v>438.05217566481639</v>
      </c>
      <c r="E631" s="65">
        <v>6240623.3272352358</v>
      </c>
      <c r="F631" s="65" t="s">
        <v>677</v>
      </c>
      <c r="G631" s="25">
        <f t="shared" si="19"/>
        <v>9.6777815201527506E-3</v>
      </c>
      <c r="I631" s="65">
        <v>15.87</v>
      </c>
      <c r="J631" s="65">
        <v>16.11</v>
      </c>
      <c r="K631" s="65">
        <v>15.77</v>
      </c>
      <c r="L631" s="65">
        <v>16.09</v>
      </c>
      <c r="M631" s="65">
        <v>16179134</v>
      </c>
      <c r="N631" s="65" t="s">
        <v>677</v>
      </c>
      <c r="O631" s="25">
        <f t="shared" si="20"/>
        <v>-1.3673088875077677E-2</v>
      </c>
    </row>
    <row r="632" spans="1:15" ht="13.5" customHeight="1">
      <c r="A632" s="65">
        <v>436.54724734154888</v>
      </c>
      <c r="B632" s="65">
        <v>442.09974432510762</v>
      </c>
      <c r="C632" s="65">
        <v>436.47839441172619</v>
      </c>
      <c r="D632" s="65">
        <v>441.68170867975556</v>
      </c>
      <c r="E632" s="65">
        <v>7226460.9695083257</v>
      </c>
      <c r="F632" s="65" t="s">
        <v>678</v>
      </c>
      <c r="G632" s="25">
        <f t="shared" si="19"/>
        <v>-1.1624799572421129E-2</v>
      </c>
      <c r="I632" s="65">
        <v>15.89</v>
      </c>
      <c r="J632" s="65">
        <v>16.600000000000001</v>
      </c>
      <c r="K632" s="65">
        <v>15.82</v>
      </c>
      <c r="L632" s="65">
        <v>16.03</v>
      </c>
      <c r="M632" s="65">
        <v>14822076</v>
      </c>
      <c r="N632" s="65" t="s">
        <v>678</v>
      </c>
      <c r="O632" s="25">
        <f t="shared" si="20"/>
        <v>-8.733624454148492E-3</v>
      </c>
    </row>
    <row r="633" spans="1:15" ht="13.5" customHeight="1">
      <c r="A633" s="65">
        <v>443.77680497293187</v>
      </c>
      <c r="B633" s="65">
        <v>444.40631747416791</v>
      </c>
      <c r="C633" s="65">
        <v>443.05876727620944</v>
      </c>
      <c r="D633" s="65">
        <v>443.45221258948197</v>
      </c>
      <c r="E633" s="65">
        <v>3466761.8446255634</v>
      </c>
      <c r="F633" s="65" t="s">
        <v>679</v>
      </c>
      <c r="G633" s="25">
        <f t="shared" si="19"/>
        <v>7.3196699494282313E-4</v>
      </c>
      <c r="I633" s="65">
        <v>16.47</v>
      </c>
      <c r="J633" s="65">
        <v>16.844999999999999</v>
      </c>
      <c r="K633" s="65">
        <v>16.329999999999998</v>
      </c>
      <c r="L633" s="65">
        <v>16.7</v>
      </c>
      <c r="M633" s="65">
        <v>36009370</v>
      </c>
      <c r="N633" s="65" t="s">
        <v>679</v>
      </c>
      <c r="O633" s="25">
        <f t="shared" si="20"/>
        <v>-1.377245508982039E-2</v>
      </c>
    </row>
    <row r="634" spans="1:15" ht="13.5" customHeight="1">
      <c r="A634" s="65">
        <v>444.09156122354989</v>
      </c>
      <c r="B634" s="65">
        <v>444.20939809487498</v>
      </c>
      <c r="C634" s="65">
        <v>440.37468334906418</v>
      </c>
      <c r="D634" s="65">
        <v>440.88498192037866</v>
      </c>
      <c r="E634" s="65">
        <v>4618941.2828032468</v>
      </c>
      <c r="F634" s="65" t="s">
        <v>680</v>
      </c>
      <c r="G634" s="25">
        <f t="shared" si="19"/>
        <v>7.2730517814514339E-3</v>
      </c>
      <c r="I634" s="65">
        <v>16.89</v>
      </c>
      <c r="J634" s="65">
        <v>16.899999999999999</v>
      </c>
      <c r="K634" s="65">
        <v>16.094999999999999</v>
      </c>
      <c r="L634" s="65">
        <v>16.3</v>
      </c>
      <c r="M634" s="65">
        <v>18698264</v>
      </c>
      <c r="N634" s="65" t="s">
        <v>680</v>
      </c>
      <c r="O634" s="25">
        <f t="shared" si="20"/>
        <v>3.6196319018404921E-2</v>
      </c>
    </row>
    <row r="635" spans="1:15" ht="13.5" customHeight="1">
      <c r="A635" s="65">
        <v>440.88498192037866</v>
      </c>
      <c r="B635" s="65">
        <v>442.14400692285079</v>
      </c>
      <c r="C635" s="65">
        <v>439.83251570737463</v>
      </c>
      <c r="D635" s="65">
        <v>440.75711219356509</v>
      </c>
      <c r="E635" s="65">
        <v>6510712.1970609371</v>
      </c>
      <c r="F635" s="65" t="s">
        <v>681</v>
      </c>
      <c r="G635" s="25">
        <f t="shared" si="19"/>
        <v>2.9011381388088786E-4</v>
      </c>
      <c r="I635" s="65">
        <v>16.25</v>
      </c>
      <c r="J635" s="65">
        <v>16.989999999999998</v>
      </c>
      <c r="K635" s="65">
        <v>16.239999999999998</v>
      </c>
      <c r="L635" s="65">
        <v>16.98</v>
      </c>
      <c r="M635" s="65">
        <v>27636353</v>
      </c>
      <c r="N635" s="65" t="s">
        <v>681</v>
      </c>
      <c r="O635" s="25">
        <f t="shared" si="20"/>
        <v>-4.2991755005889254E-2</v>
      </c>
    </row>
    <row r="636" spans="1:15" ht="13.5" customHeight="1">
      <c r="A636" s="65">
        <v>441.15055750683763</v>
      </c>
      <c r="B636" s="65">
        <v>441.40629696046477</v>
      </c>
      <c r="C636" s="65">
        <v>438.79972176003417</v>
      </c>
      <c r="D636" s="65">
        <v>440.79645672489232</v>
      </c>
      <c r="E636" s="65">
        <v>4236476.9480565209</v>
      </c>
      <c r="F636" s="65" t="s">
        <v>682</v>
      </c>
      <c r="G636" s="25">
        <f t="shared" si="19"/>
        <v>8.033203909492137E-4</v>
      </c>
      <c r="I636" s="65">
        <v>16.29</v>
      </c>
      <c r="J636" s="65">
        <v>16.510000000000002</v>
      </c>
      <c r="K636" s="65">
        <v>16.204999999999998</v>
      </c>
      <c r="L636" s="65">
        <v>16.47</v>
      </c>
      <c r="M636" s="65">
        <v>14223020</v>
      </c>
      <c r="N636" s="65" t="s">
        <v>682</v>
      </c>
      <c r="O636" s="25">
        <f t="shared" si="20"/>
        <v>-1.0928961748633892E-2</v>
      </c>
    </row>
    <row r="637" spans="1:15" ht="13.5" customHeight="1">
      <c r="A637" s="65">
        <v>438.68168816605242</v>
      </c>
      <c r="B637" s="65">
        <v>441.82885722691947</v>
      </c>
      <c r="C637" s="65">
        <v>438.44562097808887</v>
      </c>
      <c r="D637" s="65">
        <v>440.97350711586495</v>
      </c>
      <c r="E637" s="65">
        <v>4644308.9760081377</v>
      </c>
      <c r="F637" s="65" t="s">
        <v>683</v>
      </c>
      <c r="G637" s="25">
        <f t="shared" si="19"/>
        <v>-5.1971805852961683E-3</v>
      </c>
      <c r="I637" s="65">
        <v>16.32</v>
      </c>
      <c r="J637" s="65">
        <v>16.72</v>
      </c>
      <c r="K637" s="65">
        <v>16.22</v>
      </c>
      <c r="L637" s="65">
        <v>16.670000000000002</v>
      </c>
      <c r="M637" s="65">
        <v>17403943</v>
      </c>
      <c r="N637" s="65" t="s">
        <v>683</v>
      </c>
      <c r="O637" s="25">
        <f t="shared" si="20"/>
        <v>-2.0995800839832102E-2</v>
      </c>
    </row>
    <row r="638" spans="1:15" ht="13.5" customHeight="1">
      <c r="A638" s="65">
        <v>438.3177512512753</v>
      </c>
      <c r="B638" s="65">
        <v>438.51447390791157</v>
      </c>
      <c r="C638" s="65">
        <v>436.50790281022159</v>
      </c>
      <c r="D638" s="65">
        <v>437.54069675756205</v>
      </c>
      <c r="E638" s="65">
        <v>3305756.4955642079</v>
      </c>
      <c r="F638" s="65" t="s">
        <v>684</v>
      </c>
      <c r="G638" s="25">
        <f t="shared" si="19"/>
        <v>1.7759593552593156E-3</v>
      </c>
      <c r="I638" s="65">
        <v>16.329999999999998</v>
      </c>
      <c r="J638" s="65">
        <v>16.64</v>
      </c>
      <c r="K638" s="65">
        <v>16.170000000000002</v>
      </c>
      <c r="L638" s="65">
        <v>16.64</v>
      </c>
      <c r="M638" s="65">
        <v>17034476</v>
      </c>
      <c r="N638" s="65" t="s">
        <v>684</v>
      </c>
      <c r="O638" s="25">
        <f t="shared" si="20"/>
        <v>-1.862980769230782E-2</v>
      </c>
    </row>
    <row r="639" spans="1:15" ht="13.5" customHeight="1">
      <c r="A639" s="65">
        <v>437.01938171747594</v>
      </c>
      <c r="B639" s="65">
        <v>438.61283523622973</v>
      </c>
      <c r="C639" s="65">
        <v>436.40954148190349</v>
      </c>
      <c r="D639" s="65">
        <v>437.48167996057117</v>
      </c>
      <c r="E639" s="65">
        <v>5968211.3899611058</v>
      </c>
      <c r="F639" s="65" t="s">
        <v>685</v>
      </c>
      <c r="G639" s="25">
        <f t="shared" si="19"/>
        <v>-1.0567259482429092E-3</v>
      </c>
      <c r="I639" s="65">
        <v>16.61</v>
      </c>
      <c r="J639" s="65">
        <v>17.14</v>
      </c>
      <c r="K639" s="65">
        <v>16.445</v>
      </c>
      <c r="L639" s="65">
        <v>16.59</v>
      </c>
      <c r="M639" s="65">
        <v>19540623</v>
      </c>
      <c r="N639" s="65" t="s">
        <v>685</v>
      </c>
      <c r="O639" s="25">
        <f t="shared" si="20"/>
        <v>1.2055455093429313E-3</v>
      </c>
    </row>
    <row r="640" spans="1:15" ht="13.5" customHeight="1">
      <c r="A640" s="65">
        <v>436.02593230146277</v>
      </c>
      <c r="B640" s="65">
        <v>436.34068855208079</v>
      </c>
      <c r="C640" s="65">
        <v>431.1275381512196</v>
      </c>
      <c r="D640" s="65">
        <v>431.80623131661474</v>
      </c>
      <c r="E640" s="65">
        <v>4917381.7420969186</v>
      </c>
      <c r="F640" s="65" t="s">
        <v>686</v>
      </c>
      <c r="G640" s="25">
        <f t="shared" ref="G640:G703" si="21">A640/D640-1</f>
        <v>9.7722095671981535E-3</v>
      </c>
      <c r="I640" s="65">
        <v>16.420000000000002</v>
      </c>
      <c r="J640" s="65">
        <v>16.57</v>
      </c>
      <c r="K640" s="65">
        <v>16.170000000000002</v>
      </c>
      <c r="L640" s="65">
        <v>16.399999999999999</v>
      </c>
      <c r="M640" s="65">
        <v>15300280</v>
      </c>
      <c r="N640" s="65" t="s">
        <v>686</v>
      </c>
      <c r="O640" s="25">
        <f t="shared" ref="O640:O703" si="22">I640/L640-1</f>
        <v>1.2195121951221743E-3</v>
      </c>
    </row>
    <row r="641" spans="1:15" ht="13.5" customHeight="1">
      <c r="A641" s="65">
        <v>430.7537651036107</v>
      </c>
      <c r="B641" s="65">
        <v>431.20622721387412</v>
      </c>
      <c r="C641" s="65">
        <v>427.04554302601701</v>
      </c>
      <c r="D641" s="65">
        <v>428.44227388813448</v>
      </c>
      <c r="E641" s="65">
        <v>4403442.9730260307</v>
      </c>
      <c r="F641" s="65" t="s">
        <v>687</v>
      </c>
      <c r="G641" s="25">
        <f t="shared" si="21"/>
        <v>5.395105376739151E-3</v>
      </c>
      <c r="I641" s="65">
        <v>16.21</v>
      </c>
      <c r="J641" s="65">
        <v>16.269200000000001</v>
      </c>
      <c r="K641" s="65">
        <v>15.5</v>
      </c>
      <c r="L641" s="65">
        <v>15.63</v>
      </c>
      <c r="M641" s="65">
        <v>21257560</v>
      </c>
      <c r="N641" s="65" t="s">
        <v>687</v>
      </c>
      <c r="O641" s="25">
        <f t="shared" si="22"/>
        <v>3.7108125399871961E-2</v>
      </c>
    </row>
    <row r="642" spans="1:15" ht="13.5" customHeight="1">
      <c r="A642" s="65">
        <v>426.95701783053067</v>
      </c>
      <c r="B642" s="65">
        <v>427.36029927663503</v>
      </c>
      <c r="C642" s="65">
        <v>424.73405181054079</v>
      </c>
      <c r="D642" s="65">
        <v>426.49471958743544</v>
      </c>
      <c r="E642" s="65">
        <v>6145312.4956279369</v>
      </c>
      <c r="F642" s="65" t="s">
        <v>688</v>
      </c>
      <c r="G642" s="25">
        <f t="shared" si="21"/>
        <v>1.0839483394833316E-3</v>
      </c>
      <c r="I642" s="65">
        <v>15.5</v>
      </c>
      <c r="J642" s="65">
        <v>15.59</v>
      </c>
      <c r="K642" s="65">
        <v>15.18</v>
      </c>
      <c r="L642" s="65">
        <v>15.53</v>
      </c>
      <c r="M642" s="65">
        <v>20971523</v>
      </c>
      <c r="N642" s="65" t="s">
        <v>688</v>
      </c>
      <c r="O642" s="25">
        <f t="shared" si="22"/>
        <v>-1.9317450096586475E-3</v>
      </c>
    </row>
    <row r="643" spans="1:15" ht="13.5" customHeight="1">
      <c r="A643" s="65">
        <v>429.34719810866136</v>
      </c>
      <c r="B643" s="65">
        <v>430.80294576776976</v>
      </c>
      <c r="C643" s="65">
        <v>427.61603873026218</v>
      </c>
      <c r="D643" s="65">
        <v>429.63244596078397</v>
      </c>
      <c r="E643" s="65">
        <v>5826313.1435806062</v>
      </c>
      <c r="F643" s="65" t="s">
        <v>689</v>
      </c>
      <c r="G643" s="25">
        <f t="shared" si="21"/>
        <v>-6.6393461388769559E-4</v>
      </c>
      <c r="I643" s="65">
        <v>15.54</v>
      </c>
      <c r="J643" s="65">
        <v>16.21</v>
      </c>
      <c r="K643" s="65">
        <v>15.43</v>
      </c>
      <c r="L643" s="65">
        <v>16.21</v>
      </c>
      <c r="M643" s="65">
        <v>35778120</v>
      </c>
      <c r="N643" s="65" t="s">
        <v>689</v>
      </c>
      <c r="O643" s="25">
        <f t="shared" si="22"/>
        <v>-4.1332510795805133E-2</v>
      </c>
    </row>
    <row r="644" spans="1:15" ht="13.5" customHeight="1">
      <c r="A644" s="65">
        <v>430.81278190060158</v>
      </c>
      <c r="B644" s="65">
        <v>432.59312194315982</v>
      </c>
      <c r="C644" s="65">
        <v>429.57342916379309</v>
      </c>
      <c r="D644" s="65">
        <v>431.91442877776473</v>
      </c>
      <c r="E644" s="65">
        <v>5269010.787692301</v>
      </c>
      <c r="F644" s="65" t="s">
        <v>690</v>
      </c>
      <c r="G644" s="25">
        <f t="shared" si="21"/>
        <v>-2.5506137414316177E-3</v>
      </c>
      <c r="I644" s="65">
        <v>16.43</v>
      </c>
      <c r="J644" s="65">
        <v>17.010000000000002</v>
      </c>
      <c r="K644" s="65">
        <v>16.370699999999999</v>
      </c>
      <c r="L644" s="65">
        <v>17</v>
      </c>
      <c r="M644" s="65">
        <v>19056420</v>
      </c>
      <c r="N644" s="65" t="s">
        <v>690</v>
      </c>
      <c r="O644" s="25">
        <f t="shared" si="22"/>
        <v>-3.3529411764705919E-2</v>
      </c>
    </row>
    <row r="645" spans="1:15" ht="13.5" customHeight="1">
      <c r="A645" s="65">
        <v>430.61605924396531</v>
      </c>
      <c r="B645" s="65">
        <v>432.15541403214417</v>
      </c>
      <c r="C645" s="65">
        <v>426.88816490070798</v>
      </c>
      <c r="D645" s="65">
        <v>431.74721451962387</v>
      </c>
      <c r="E645" s="65">
        <v>4876496.7716643009</v>
      </c>
      <c r="F645" s="65" t="s">
        <v>691</v>
      </c>
      <c r="G645" s="25">
        <f t="shared" si="21"/>
        <v>-2.6199480566819755E-3</v>
      </c>
      <c r="I645" s="65">
        <v>17.09</v>
      </c>
      <c r="J645" s="65">
        <v>17.62</v>
      </c>
      <c r="K645" s="65">
        <v>16.809999999999999</v>
      </c>
      <c r="L645" s="65">
        <v>17.3</v>
      </c>
      <c r="M645" s="65">
        <v>22803644</v>
      </c>
      <c r="N645" s="65" t="s">
        <v>691</v>
      </c>
      <c r="O645" s="25">
        <f t="shared" si="22"/>
        <v>-1.2138728323699444E-2</v>
      </c>
    </row>
    <row r="646" spans="1:15" ht="13.5" customHeight="1">
      <c r="A646" s="65">
        <v>430.76360123644253</v>
      </c>
      <c r="B646" s="65">
        <v>431.54557379657172</v>
      </c>
      <c r="C646" s="65">
        <v>428.34391255981637</v>
      </c>
      <c r="D646" s="65">
        <v>428.62916041193893</v>
      </c>
      <c r="E646" s="65">
        <v>4350125.2709405348</v>
      </c>
      <c r="F646" s="65" t="s">
        <v>692</v>
      </c>
      <c r="G646" s="25">
        <f t="shared" si="21"/>
        <v>4.9796911214632367E-3</v>
      </c>
      <c r="I646" s="65">
        <v>17.37</v>
      </c>
      <c r="J646" s="65">
        <v>17.45</v>
      </c>
      <c r="K646" s="65">
        <v>16.82</v>
      </c>
      <c r="L646" s="65">
        <v>17.18</v>
      </c>
      <c r="M646" s="65">
        <v>19372639</v>
      </c>
      <c r="N646" s="65" t="s">
        <v>692</v>
      </c>
      <c r="O646" s="25">
        <f t="shared" si="22"/>
        <v>1.1059371362049042E-2</v>
      </c>
    </row>
    <row r="647" spans="1:15" ht="13.5" customHeight="1">
      <c r="A647" s="65">
        <v>427.94063111371202</v>
      </c>
      <c r="B647" s="65">
        <v>429.27834517883866</v>
      </c>
      <c r="C647" s="65">
        <v>426.06517566667014</v>
      </c>
      <c r="D647" s="65">
        <v>426.51439185309908</v>
      </c>
      <c r="E647" s="65">
        <v>8071837.922237711</v>
      </c>
      <c r="F647" s="65" t="s">
        <v>693</v>
      </c>
      <c r="G647" s="25">
        <f t="shared" si="21"/>
        <v>3.3439417001059901E-3</v>
      </c>
      <c r="I647" s="65">
        <v>17.05</v>
      </c>
      <c r="J647" s="65">
        <v>17.75</v>
      </c>
      <c r="K647" s="65">
        <v>16.97</v>
      </c>
      <c r="L647" s="65">
        <v>17.38</v>
      </c>
      <c r="M647" s="65">
        <v>35649029</v>
      </c>
      <c r="N647" s="65" t="s">
        <v>693</v>
      </c>
      <c r="O647" s="25">
        <f t="shared" si="22"/>
        <v>-1.8987341772151778E-2</v>
      </c>
    </row>
    <row r="648" spans="1:15" ht="13.5" customHeight="1">
      <c r="A648" s="65">
        <v>428.98326119388423</v>
      </c>
      <c r="B648" s="65">
        <v>429.12096705352963</v>
      </c>
      <c r="C648" s="65">
        <v>423.31764868275968</v>
      </c>
      <c r="D648" s="65">
        <v>423.39633774541414</v>
      </c>
      <c r="E648" s="65">
        <v>7342684.4914500499</v>
      </c>
      <c r="F648" s="65" t="s">
        <v>694</v>
      </c>
      <c r="G648" s="25">
        <f t="shared" si="21"/>
        <v>1.3195493088628218E-2</v>
      </c>
      <c r="I648" s="65">
        <v>17.309999999999999</v>
      </c>
      <c r="J648" s="65">
        <v>17.329999999999998</v>
      </c>
      <c r="K648" s="65">
        <v>16.46</v>
      </c>
      <c r="L648" s="65">
        <v>16.670000000000002</v>
      </c>
      <c r="M648" s="65">
        <v>20267486</v>
      </c>
      <c r="N648" s="65" t="s">
        <v>694</v>
      </c>
      <c r="O648" s="25">
        <f t="shared" si="22"/>
        <v>3.8392321535692719E-2</v>
      </c>
    </row>
    <row r="649" spans="1:15" ht="13.5" customHeight="1">
      <c r="A649" s="65">
        <v>422.93403950231897</v>
      </c>
      <c r="B649" s="65">
        <v>425.21602231929967</v>
      </c>
      <c r="C649" s="65">
        <v>421.61599770285591</v>
      </c>
      <c r="D649" s="65">
        <v>422.5504303218782</v>
      </c>
      <c r="E649" s="65">
        <v>5819978.3368973872</v>
      </c>
      <c r="F649" s="65" t="s">
        <v>695</v>
      </c>
      <c r="G649" s="25">
        <f t="shared" si="21"/>
        <v>9.0784236132135376E-4</v>
      </c>
      <c r="I649" s="65">
        <v>16.55</v>
      </c>
      <c r="J649" s="65">
        <v>16.677499999999998</v>
      </c>
      <c r="K649" s="65">
        <v>16.102</v>
      </c>
      <c r="L649" s="65">
        <v>16.12</v>
      </c>
      <c r="M649" s="65">
        <v>21581021</v>
      </c>
      <c r="N649" s="65" t="s">
        <v>695</v>
      </c>
      <c r="O649" s="25">
        <f t="shared" si="22"/>
        <v>2.6674937965260437E-2</v>
      </c>
    </row>
    <row r="650" spans="1:15" ht="13.5" customHeight="1">
      <c r="A650" s="65">
        <v>422.39305219656916</v>
      </c>
      <c r="B650" s="65">
        <v>425.68815669522667</v>
      </c>
      <c r="C650" s="65">
        <v>422.17665727426925</v>
      </c>
      <c r="D650" s="65">
        <v>423.27830415143239</v>
      </c>
      <c r="E650" s="65">
        <v>4010985.8899420621</v>
      </c>
      <c r="F650" s="65" t="s">
        <v>696</v>
      </c>
      <c r="G650" s="25">
        <f t="shared" si="21"/>
        <v>-2.0914182139288862E-3</v>
      </c>
      <c r="I650" s="65">
        <v>16.2</v>
      </c>
      <c r="J650" s="65">
        <v>16.28</v>
      </c>
      <c r="K650" s="65">
        <v>15.685</v>
      </c>
      <c r="L650" s="65">
        <v>15.75</v>
      </c>
      <c r="M650" s="65">
        <v>15922935</v>
      </c>
      <c r="N650" s="65" t="s">
        <v>696</v>
      </c>
      <c r="O650" s="25">
        <f t="shared" si="22"/>
        <v>2.857142857142847E-2</v>
      </c>
    </row>
    <row r="651" spans="1:15" ht="13.5" customHeight="1">
      <c r="A651" s="65">
        <v>423.73076626169586</v>
      </c>
      <c r="B651" s="65">
        <v>425.90455161752664</v>
      </c>
      <c r="C651" s="65">
        <v>423.19961508877788</v>
      </c>
      <c r="D651" s="65">
        <v>425.23569458496331</v>
      </c>
      <c r="E651" s="65">
        <v>4885099.7461713459</v>
      </c>
      <c r="F651" s="65" t="s">
        <v>697</v>
      </c>
      <c r="G651" s="25">
        <f t="shared" si="21"/>
        <v>-3.5390451517394172E-3</v>
      </c>
      <c r="I651" s="65">
        <v>15.78</v>
      </c>
      <c r="J651" s="65">
        <v>16.04</v>
      </c>
      <c r="K651" s="65">
        <v>15.27</v>
      </c>
      <c r="L651" s="65">
        <v>15.52</v>
      </c>
      <c r="M651" s="65">
        <v>28496087</v>
      </c>
      <c r="N651" s="65" t="s">
        <v>697</v>
      </c>
      <c r="O651" s="25">
        <f t="shared" si="22"/>
        <v>1.6752577319587569E-2</v>
      </c>
    </row>
    <row r="652" spans="1:15" ht="13.5" customHeight="1">
      <c r="A652" s="65">
        <v>426.8980010335398</v>
      </c>
      <c r="B652" s="65">
        <v>428.13735377034828</v>
      </c>
      <c r="C652" s="65">
        <v>425.27503911629054</v>
      </c>
      <c r="D652" s="65">
        <v>426.79963970522169</v>
      </c>
      <c r="E652" s="65">
        <v>9227245.2550100368</v>
      </c>
      <c r="F652" s="65" t="s">
        <v>698</v>
      </c>
      <c r="G652" s="25">
        <f t="shared" si="21"/>
        <v>2.3046253831426888E-4</v>
      </c>
      <c r="I652" s="65">
        <v>16.14</v>
      </c>
      <c r="J652" s="65">
        <v>16.555</v>
      </c>
      <c r="K652" s="65">
        <v>15.93</v>
      </c>
      <c r="L652" s="65">
        <v>16.52</v>
      </c>
      <c r="M652" s="65">
        <v>29687041</v>
      </c>
      <c r="N652" s="65" t="s">
        <v>698</v>
      </c>
      <c r="O652" s="25">
        <f t="shared" si="22"/>
        <v>-2.300242130750596E-2</v>
      </c>
    </row>
    <row r="653" spans="1:15" ht="13.5" customHeight="1">
      <c r="A653" s="65">
        <v>429.64228209361579</v>
      </c>
      <c r="B653" s="65">
        <v>431.15704654971501</v>
      </c>
      <c r="C653" s="65">
        <v>427.81276138689844</v>
      </c>
      <c r="D653" s="65">
        <v>430.69474830661983</v>
      </c>
      <c r="E653" s="65">
        <v>4449802.6560231056</v>
      </c>
      <c r="F653" s="65" t="s">
        <v>699</v>
      </c>
      <c r="G653" s="25">
        <f t="shared" si="21"/>
        <v>-2.4436476579806632E-3</v>
      </c>
      <c r="I653" s="65">
        <v>16.93</v>
      </c>
      <c r="J653" s="65">
        <v>17.21</v>
      </c>
      <c r="K653" s="65">
        <v>16.829999999999998</v>
      </c>
      <c r="L653" s="65">
        <v>17.03</v>
      </c>
      <c r="M653" s="65">
        <v>16693464</v>
      </c>
      <c r="N653" s="65" t="s">
        <v>699</v>
      </c>
      <c r="O653" s="25">
        <f t="shared" si="22"/>
        <v>-5.871990604815136E-3</v>
      </c>
    </row>
    <row r="654" spans="1:15" ht="13.5" customHeight="1">
      <c r="A654" s="65">
        <v>430.79310963493799</v>
      </c>
      <c r="B654" s="65">
        <v>431.6488531913057</v>
      </c>
      <c r="C654" s="65">
        <v>430.48818951715174</v>
      </c>
      <c r="D654" s="65">
        <v>431.06852135422872</v>
      </c>
      <c r="E654" s="65">
        <v>4782016.5510440329</v>
      </c>
      <c r="F654" s="65" t="s">
        <v>700</v>
      </c>
      <c r="G654" s="25">
        <f t="shared" si="21"/>
        <v>-6.3890473474037535E-4</v>
      </c>
      <c r="I654" s="65">
        <v>17.05</v>
      </c>
      <c r="J654" s="65">
        <v>17.2</v>
      </c>
      <c r="K654" s="65">
        <v>16.82</v>
      </c>
      <c r="L654" s="65">
        <v>16.920000000000002</v>
      </c>
      <c r="M654" s="65">
        <v>13845160</v>
      </c>
      <c r="N654" s="65" t="s">
        <v>700</v>
      </c>
      <c r="O654" s="25">
        <f t="shared" si="22"/>
        <v>7.6832151300236795E-3</v>
      </c>
    </row>
    <row r="655" spans="1:15" ht="13.5" customHeight="1">
      <c r="A655" s="65">
        <v>430.72425670511524</v>
      </c>
      <c r="B655" s="65">
        <v>430.84229029909699</v>
      </c>
      <c r="C655" s="65">
        <v>429.26850904600684</v>
      </c>
      <c r="D655" s="65">
        <v>429.73572535551796</v>
      </c>
      <c r="E655" s="65">
        <v>4342162.7920538438</v>
      </c>
      <c r="F655" s="65" t="s">
        <v>701</v>
      </c>
      <c r="G655" s="25">
        <f t="shared" si="21"/>
        <v>2.3003238764462974E-3</v>
      </c>
      <c r="I655" s="65">
        <v>16.95</v>
      </c>
      <c r="J655" s="65">
        <v>16.989999999999998</v>
      </c>
      <c r="K655" s="65">
        <v>16.68</v>
      </c>
      <c r="L655" s="65">
        <v>16.73</v>
      </c>
      <c r="M655" s="65">
        <v>15975366</v>
      </c>
      <c r="N655" s="65" t="s">
        <v>701</v>
      </c>
      <c r="O655" s="25">
        <f t="shared" si="22"/>
        <v>1.3150029886431547E-2</v>
      </c>
    </row>
    <row r="656" spans="1:15" ht="13.5" customHeight="1">
      <c r="A656" s="65">
        <v>429.93736607857016</v>
      </c>
      <c r="B656" s="65">
        <v>430.74392897077888</v>
      </c>
      <c r="C656" s="65">
        <v>428.44227388813448</v>
      </c>
      <c r="D656" s="65">
        <v>428.52647118517484</v>
      </c>
      <c r="E656" s="65">
        <v>3899740.9506239491</v>
      </c>
      <c r="F656" s="65" t="s">
        <v>702</v>
      </c>
      <c r="G656" s="25">
        <f t="shared" si="21"/>
        <v>3.2924334627291163E-3</v>
      </c>
      <c r="I656" s="65">
        <v>16.78</v>
      </c>
      <c r="J656" s="65">
        <v>17.100000000000001</v>
      </c>
      <c r="K656" s="65">
        <v>16.68</v>
      </c>
      <c r="L656" s="65">
        <v>17.059999999999999</v>
      </c>
      <c r="M656" s="65">
        <v>13944254</v>
      </c>
      <c r="N656" s="65" t="s">
        <v>702</v>
      </c>
      <c r="O656" s="25">
        <f t="shared" si="22"/>
        <v>-1.6412661195779443E-2</v>
      </c>
    </row>
    <row r="657" spans="1:15" ht="13.5" customHeight="1">
      <c r="A657" s="65">
        <v>428.15702603601193</v>
      </c>
      <c r="B657" s="65">
        <v>429.67965939837666</v>
      </c>
      <c r="C657" s="65">
        <v>426.37668599345369</v>
      </c>
      <c r="D657" s="65">
        <v>428.32424029415273</v>
      </c>
      <c r="E657" s="65">
        <v>4105098.0797455548</v>
      </c>
      <c r="F657" s="65" t="s">
        <v>703</v>
      </c>
      <c r="G657" s="25">
        <f t="shared" si="21"/>
        <v>-3.9039176962285538E-4</v>
      </c>
      <c r="I657" s="65">
        <v>17.05</v>
      </c>
      <c r="J657" s="65">
        <v>17.32</v>
      </c>
      <c r="K657" s="65">
        <v>16.89</v>
      </c>
      <c r="L657" s="65">
        <v>17.2</v>
      </c>
      <c r="M657" s="65">
        <v>21576677</v>
      </c>
      <c r="N657" s="65" t="s">
        <v>703</v>
      </c>
      <c r="O657" s="25">
        <f t="shared" si="22"/>
        <v>-8.720930232558044E-3</v>
      </c>
    </row>
    <row r="658" spans="1:15" ht="13.5" customHeight="1">
      <c r="A658" s="65">
        <v>427.16357661999871</v>
      </c>
      <c r="B658" s="65">
        <v>427.51767740194401</v>
      </c>
      <c r="C658" s="65">
        <v>423.79489784775927</v>
      </c>
      <c r="D658" s="65">
        <v>426.03242134434021</v>
      </c>
      <c r="E658" s="65">
        <v>4698600.6381004583</v>
      </c>
      <c r="F658" s="65" t="s">
        <v>704</v>
      </c>
      <c r="G658" s="25">
        <f t="shared" si="21"/>
        <v>2.6550920047097026E-3</v>
      </c>
      <c r="I658" s="65">
        <v>17.23</v>
      </c>
      <c r="J658" s="65">
        <v>17.29</v>
      </c>
      <c r="K658" s="65">
        <v>16.7</v>
      </c>
      <c r="L658" s="65">
        <v>16.940000000000001</v>
      </c>
      <c r="M658" s="65">
        <v>34281572</v>
      </c>
      <c r="N658" s="65" t="s">
        <v>704</v>
      </c>
      <c r="O658" s="25">
        <f t="shared" si="22"/>
        <v>1.7119244391971655E-2</v>
      </c>
    </row>
    <row r="659" spans="1:15" ht="13.5" customHeight="1">
      <c r="A659" s="65">
        <v>423.04223696346884</v>
      </c>
      <c r="B659" s="65">
        <v>430.13900680162237</v>
      </c>
      <c r="C659" s="65">
        <v>422.85535043966439</v>
      </c>
      <c r="D659" s="65">
        <v>428.37342095831178</v>
      </c>
      <c r="E659" s="65">
        <v>5879581.0293400744</v>
      </c>
      <c r="F659" s="65" t="s">
        <v>705</v>
      </c>
      <c r="G659" s="25">
        <f t="shared" si="21"/>
        <v>-1.2445179215173074E-2</v>
      </c>
      <c r="I659" s="65">
        <v>16.600000000000001</v>
      </c>
      <c r="J659" s="65">
        <v>17.3</v>
      </c>
      <c r="K659" s="65">
        <v>16.59</v>
      </c>
      <c r="L659" s="65">
        <v>16.98</v>
      </c>
      <c r="M659" s="65">
        <v>28279678</v>
      </c>
      <c r="N659" s="65" t="s">
        <v>705</v>
      </c>
      <c r="O659" s="25">
        <f t="shared" si="22"/>
        <v>-2.2379269729092988E-2</v>
      </c>
    </row>
    <row r="660" spans="1:15" ht="13.5" customHeight="1">
      <c r="A660" s="65">
        <v>429.23791867290009</v>
      </c>
      <c r="B660" s="65">
        <v>429.2673057825105</v>
      </c>
      <c r="C660" s="65">
        <v>427.04368115532253</v>
      </c>
      <c r="D660" s="65">
        <v>427.13184248415382</v>
      </c>
      <c r="E660" s="65">
        <v>4146213.8201173837</v>
      </c>
      <c r="F660" s="65" t="s">
        <v>706</v>
      </c>
      <c r="G660" s="25">
        <f t="shared" si="21"/>
        <v>4.9307402990550475E-3</v>
      </c>
      <c r="I660" s="65">
        <v>17.18</v>
      </c>
      <c r="J660" s="65">
        <v>17.254999999999999</v>
      </c>
      <c r="K660" s="65">
        <v>16.170000000000002</v>
      </c>
      <c r="L660" s="65">
        <v>16.54</v>
      </c>
      <c r="M660" s="65">
        <v>52580594</v>
      </c>
      <c r="N660" s="65" t="s">
        <v>706</v>
      </c>
      <c r="O660" s="25">
        <f t="shared" si="22"/>
        <v>3.8694074969770398E-2</v>
      </c>
    </row>
    <row r="661" spans="1:15" ht="13.5" customHeight="1">
      <c r="A661" s="65">
        <v>426.64205732398028</v>
      </c>
      <c r="B661" s="65">
        <v>427.48448779947876</v>
      </c>
      <c r="C661" s="65">
        <v>425.57432567480186</v>
      </c>
      <c r="D661" s="65">
        <v>425.76044403566783</v>
      </c>
      <c r="E661" s="65">
        <v>4369747.5424563875</v>
      </c>
      <c r="F661" s="65" t="s">
        <v>707</v>
      </c>
      <c r="G661" s="25">
        <f t="shared" si="21"/>
        <v>2.0706791827720394E-3</v>
      </c>
      <c r="I661" s="65">
        <v>17.02</v>
      </c>
      <c r="J661" s="65">
        <v>17.899999999999999</v>
      </c>
      <c r="K661" s="65">
        <v>16.8</v>
      </c>
      <c r="L661" s="65">
        <v>17.440000000000001</v>
      </c>
      <c r="M661" s="65">
        <v>49763573</v>
      </c>
      <c r="N661" s="65" t="s">
        <v>707</v>
      </c>
      <c r="O661" s="25">
        <f t="shared" si="22"/>
        <v>-2.4082568807339499E-2</v>
      </c>
    </row>
    <row r="662" spans="1:15" ht="13.5" customHeight="1">
      <c r="A662" s="65">
        <v>424.24211003912978</v>
      </c>
      <c r="B662" s="65">
        <v>425.37841161073248</v>
      </c>
      <c r="C662" s="65">
        <v>423.40947526683476</v>
      </c>
      <c r="D662" s="65">
        <v>424.34006707116453</v>
      </c>
      <c r="E662" s="65">
        <v>5437119.6119056791</v>
      </c>
      <c r="F662" s="65" t="s">
        <v>708</v>
      </c>
      <c r="G662" s="25">
        <f t="shared" si="21"/>
        <v>-2.3084558738661887E-4</v>
      </c>
      <c r="I662" s="65">
        <v>16.920000000000002</v>
      </c>
      <c r="J662" s="65">
        <v>17.22</v>
      </c>
      <c r="K662" s="65">
        <v>16.53</v>
      </c>
      <c r="L662" s="65">
        <v>17.04</v>
      </c>
      <c r="M662" s="65">
        <v>35572627</v>
      </c>
      <c r="N662" s="65" t="s">
        <v>708</v>
      </c>
      <c r="O662" s="25">
        <f t="shared" si="22"/>
        <v>-7.0422535211266402E-3</v>
      </c>
    </row>
    <row r="663" spans="1:15" ht="13.5" customHeight="1">
      <c r="A663" s="65">
        <v>424.88862645055889</v>
      </c>
      <c r="B663" s="65">
        <v>426.46984886166319</v>
      </c>
      <c r="C663" s="65">
        <v>422.42990494648768</v>
      </c>
      <c r="D663" s="65">
        <v>425.34902450112207</v>
      </c>
      <c r="E663" s="65">
        <v>8523270.6897872202</v>
      </c>
      <c r="F663" s="65" t="s">
        <v>709</v>
      </c>
      <c r="G663" s="25">
        <f t="shared" si="21"/>
        <v>-1.082400626410629E-3</v>
      </c>
      <c r="I663" s="65">
        <v>16.940000000000001</v>
      </c>
      <c r="J663" s="65">
        <v>17.23</v>
      </c>
      <c r="K663" s="65">
        <v>16.57</v>
      </c>
      <c r="L663" s="65">
        <v>16.670000000000002</v>
      </c>
      <c r="M663" s="65">
        <v>39763749</v>
      </c>
      <c r="N663" s="65" t="s">
        <v>709</v>
      </c>
      <c r="O663" s="25">
        <f t="shared" si="22"/>
        <v>1.6196760647870345E-2</v>
      </c>
    </row>
    <row r="664" spans="1:15" ht="13.5" customHeight="1">
      <c r="A664" s="65">
        <v>423.64457214371811</v>
      </c>
      <c r="B664" s="65">
        <v>423.7719162853632</v>
      </c>
      <c r="C664" s="65">
        <v>417.79653733124582</v>
      </c>
      <c r="D664" s="65">
        <v>418.15897834977426</v>
      </c>
      <c r="E664" s="65">
        <v>8839708.4110629745</v>
      </c>
      <c r="F664" s="65" t="s">
        <v>710</v>
      </c>
      <c r="G664" s="25">
        <f t="shared" si="21"/>
        <v>1.311844077961033E-2</v>
      </c>
      <c r="I664" s="65">
        <v>16.45</v>
      </c>
      <c r="J664" s="65">
        <v>16.54</v>
      </c>
      <c r="K664" s="65">
        <v>15.84</v>
      </c>
      <c r="L664" s="65">
        <v>16</v>
      </c>
      <c r="M664" s="65">
        <v>26639282</v>
      </c>
      <c r="N664" s="65" t="s">
        <v>710</v>
      </c>
      <c r="O664" s="25">
        <f t="shared" si="22"/>
        <v>2.8124999999999956E-2</v>
      </c>
    </row>
    <row r="665" spans="1:15" ht="13.5" customHeight="1">
      <c r="A665" s="65">
        <v>417.95326858250138</v>
      </c>
      <c r="B665" s="65">
        <v>417.95326858250138</v>
      </c>
      <c r="C665" s="65">
        <v>414.62654981757061</v>
      </c>
      <c r="D665" s="65">
        <v>415.553321297651</v>
      </c>
      <c r="E665" s="65">
        <v>6107327.7494566049</v>
      </c>
      <c r="F665" s="65" t="s">
        <v>711</v>
      </c>
      <c r="G665" s="25">
        <f t="shared" si="21"/>
        <v>5.7753052661353443E-3</v>
      </c>
      <c r="I665" s="65">
        <v>15.85</v>
      </c>
      <c r="J665" s="65">
        <v>16.059999999999999</v>
      </c>
      <c r="K665" s="65">
        <v>15.445</v>
      </c>
      <c r="L665" s="65">
        <v>15.63</v>
      </c>
      <c r="M665" s="65">
        <v>27396345</v>
      </c>
      <c r="N665" s="65" t="s">
        <v>711</v>
      </c>
      <c r="O665" s="25">
        <f t="shared" si="22"/>
        <v>1.4075495841330721E-2</v>
      </c>
    </row>
    <row r="666" spans="1:15" ht="13.5" customHeight="1">
      <c r="A666" s="65">
        <v>415.88637520656897</v>
      </c>
      <c r="B666" s="65">
        <v>416.03331075462103</v>
      </c>
      <c r="C666" s="65">
        <v>413.59418065695678</v>
      </c>
      <c r="D666" s="65">
        <v>413.7802990178227</v>
      </c>
      <c r="E666" s="65">
        <v>5356517.9456853075</v>
      </c>
      <c r="F666" s="65" t="s">
        <v>712</v>
      </c>
      <c r="G666" s="25">
        <f t="shared" si="21"/>
        <v>5.0898416230675814E-3</v>
      </c>
      <c r="I666" s="65">
        <v>15.75</v>
      </c>
      <c r="J666" s="65">
        <v>15.95</v>
      </c>
      <c r="K666" s="65">
        <v>15.52</v>
      </c>
      <c r="L666" s="65">
        <v>15.82</v>
      </c>
      <c r="M666" s="65">
        <v>32187067</v>
      </c>
      <c r="N666" s="65" t="s">
        <v>712</v>
      </c>
      <c r="O666" s="25">
        <f t="shared" si="22"/>
        <v>-4.4247787610619538E-3</v>
      </c>
    </row>
    <row r="667" spans="1:15" ht="13.5" customHeight="1">
      <c r="A667" s="65">
        <v>414.27987988119975</v>
      </c>
      <c r="B667" s="65">
        <v>414.72068652535592</v>
      </c>
      <c r="C667" s="65">
        <v>411.56647009383818</v>
      </c>
      <c r="D667" s="65">
        <v>411.78197556431456</v>
      </c>
      <c r="E667" s="65">
        <v>5232169.5477501424</v>
      </c>
      <c r="F667" s="65" t="s">
        <v>713</v>
      </c>
      <c r="G667" s="25">
        <f t="shared" si="21"/>
        <v>6.0660846397222468E-3</v>
      </c>
      <c r="I667" s="65">
        <v>15.09</v>
      </c>
      <c r="J667" s="65">
        <v>15.305</v>
      </c>
      <c r="K667" s="65">
        <v>14.68</v>
      </c>
      <c r="L667" s="65">
        <v>14.7</v>
      </c>
      <c r="M667" s="65">
        <v>20718265</v>
      </c>
      <c r="N667" s="65" t="s">
        <v>713</v>
      </c>
      <c r="O667" s="25">
        <f t="shared" si="22"/>
        <v>2.6530612244898055E-2</v>
      </c>
    </row>
    <row r="668" spans="1:15" ht="13.5" customHeight="1">
      <c r="A668" s="65">
        <v>412.52644900777841</v>
      </c>
      <c r="B668" s="65">
        <v>413.05541698076587</v>
      </c>
      <c r="C668" s="65">
        <v>410.71424391513619</v>
      </c>
      <c r="D668" s="65">
        <v>411.2334161849202</v>
      </c>
      <c r="E668" s="65">
        <v>3315995.7305045594</v>
      </c>
      <c r="F668" s="65" t="s">
        <v>714</v>
      </c>
      <c r="G668" s="25">
        <f t="shared" si="21"/>
        <v>3.1442795550369329E-3</v>
      </c>
      <c r="I668" s="65">
        <v>14.76</v>
      </c>
      <c r="J668" s="65">
        <v>14.85</v>
      </c>
      <c r="K668" s="65">
        <v>14.54</v>
      </c>
      <c r="L668" s="65">
        <v>14.74</v>
      </c>
      <c r="M668" s="65">
        <v>15148786</v>
      </c>
      <c r="N668" s="65" t="s">
        <v>714</v>
      </c>
      <c r="O668" s="25">
        <f t="shared" si="22"/>
        <v>1.3568521031206426E-3</v>
      </c>
    </row>
    <row r="669" spans="1:15" ht="13.5" customHeight="1">
      <c r="A669" s="65">
        <v>409.32325406024336</v>
      </c>
      <c r="B669" s="65">
        <v>413.05541698076587</v>
      </c>
      <c r="C669" s="65">
        <v>408.9314259321045</v>
      </c>
      <c r="D669" s="65">
        <v>412.99664276154499</v>
      </c>
      <c r="E669" s="65">
        <v>4289432.7367034713</v>
      </c>
      <c r="F669" s="65" t="s">
        <v>715</v>
      </c>
      <c r="G669" s="25">
        <f t="shared" si="21"/>
        <v>-8.8944759374777194E-3</v>
      </c>
      <c r="I669" s="65">
        <v>14.77</v>
      </c>
      <c r="J669" s="65">
        <v>15.36</v>
      </c>
      <c r="K669" s="65">
        <v>14.77</v>
      </c>
      <c r="L669" s="65">
        <v>14.83</v>
      </c>
      <c r="M669" s="65">
        <v>27154523</v>
      </c>
      <c r="N669" s="65" t="s">
        <v>715</v>
      </c>
      <c r="O669" s="25">
        <f t="shared" si="22"/>
        <v>-4.0458530006743931E-3</v>
      </c>
    </row>
    <row r="670" spans="1:15" ht="13.5" customHeight="1">
      <c r="A670" s="65">
        <v>411.03750212085077</v>
      </c>
      <c r="B670" s="65">
        <v>411.87993259634931</v>
      </c>
      <c r="C670" s="65">
        <v>409.46039390509196</v>
      </c>
      <c r="D670" s="65">
        <v>409.79344781400994</v>
      </c>
      <c r="E670" s="65">
        <v>3490594.7321764301</v>
      </c>
      <c r="F670" s="65" t="s">
        <v>716</v>
      </c>
      <c r="G670" s="25">
        <f t="shared" si="21"/>
        <v>3.0358081942918336E-3</v>
      </c>
      <c r="I670" s="65">
        <v>14.6</v>
      </c>
      <c r="J670" s="65">
        <v>14.66</v>
      </c>
      <c r="K670" s="65">
        <v>14.110099999999999</v>
      </c>
      <c r="L670" s="65">
        <v>14.16</v>
      </c>
      <c r="M670" s="65">
        <v>18141110</v>
      </c>
      <c r="N670" s="65" t="s">
        <v>716</v>
      </c>
      <c r="O670" s="25">
        <f t="shared" si="22"/>
        <v>3.1073446327683607E-2</v>
      </c>
    </row>
    <row r="671" spans="1:15" ht="13.5" customHeight="1">
      <c r="A671" s="65">
        <v>411.16484626249593</v>
      </c>
      <c r="B671" s="65">
        <v>411.29219040414102</v>
      </c>
      <c r="C671" s="65">
        <v>408.97060874491837</v>
      </c>
      <c r="D671" s="65">
        <v>410.09711461331756</v>
      </c>
      <c r="E671" s="65">
        <v>5927169.1673371857</v>
      </c>
      <c r="F671" s="65" t="s">
        <v>717</v>
      </c>
      <c r="G671" s="25">
        <f t="shared" si="21"/>
        <v>2.6036068314820859E-3</v>
      </c>
      <c r="I671" s="65">
        <v>14.3</v>
      </c>
      <c r="J671" s="65">
        <v>14.38</v>
      </c>
      <c r="K671" s="65">
        <v>13.965</v>
      </c>
      <c r="L671" s="65">
        <v>14.06</v>
      </c>
      <c r="M671" s="65">
        <v>21274367</v>
      </c>
      <c r="N671" s="65" t="s">
        <v>717</v>
      </c>
      <c r="O671" s="25">
        <f t="shared" si="22"/>
        <v>1.7069701280227667E-2</v>
      </c>
    </row>
    <row r="672" spans="1:15" ht="13.5" customHeight="1">
      <c r="A672" s="65">
        <v>413.24153534163179</v>
      </c>
      <c r="B672" s="65">
        <v>413.74111620500884</v>
      </c>
      <c r="C672" s="65">
        <v>409.7052864851787</v>
      </c>
      <c r="D672" s="65">
        <v>410.27343727098003</v>
      </c>
      <c r="E672" s="65">
        <v>5077353.7097751191</v>
      </c>
      <c r="F672" s="65" t="s">
        <v>718</v>
      </c>
      <c r="G672" s="25">
        <f t="shared" si="21"/>
        <v>7.2344387937828269E-3</v>
      </c>
      <c r="I672" s="65">
        <v>14.14</v>
      </c>
      <c r="J672" s="65">
        <v>14.24</v>
      </c>
      <c r="K672" s="65">
        <v>13.615</v>
      </c>
      <c r="L672" s="65">
        <v>13.75</v>
      </c>
      <c r="M672" s="65">
        <v>23416250</v>
      </c>
      <c r="N672" s="65" t="s">
        <v>718</v>
      </c>
      <c r="O672" s="25">
        <f t="shared" si="22"/>
        <v>2.8363636363636369E-2</v>
      </c>
    </row>
    <row r="673" spans="1:15" ht="13.5" customHeight="1">
      <c r="A673" s="65">
        <v>410.83179235357784</v>
      </c>
      <c r="B673" s="65">
        <v>411.12566344968201</v>
      </c>
      <c r="C673" s="65">
        <v>408.05960834699556</v>
      </c>
      <c r="D673" s="65">
        <v>409.98936187807942</v>
      </c>
      <c r="E673" s="65">
        <v>4497573.9959524777</v>
      </c>
      <c r="F673" s="65" t="s">
        <v>719</v>
      </c>
      <c r="G673" s="25">
        <f t="shared" si="21"/>
        <v>2.0547617909874027E-3</v>
      </c>
      <c r="I673" s="65">
        <v>13.83</v>
      </c>
      <c r="J673" s="65">
        <v>14.23</v>
      </c>
      <c r="K673" s="65">
        <v>13.484999999999999</v>
      </c>
      <c r="L673" s="65">
        <v>13.49</v>
      </c>
      <c r="M673" s="65">
        <v>51167402</v>
      </c>
      <c r="N673" s="65" t="s">
        <v>719</v>
      </c>
      <c r="O673" s="25">
        <f t="shared" si="22"/>
        <v>2.5203854707190443E-2</v>
      </c>
    </row>
    <row r="674" spans="1:15" ht="13.5" customHeight="1">
      <c r="A674" s="65">
        <v>409.24488843461552</v>
      </c>
      <c r="B674" s="65">
        <v>412.5166533045749</v>
      </c>
      <c r="C674" s="65">
        <v>408.83836675167151</v>
      </c>
      <c r="D674" s="65">
        <v>411.47772102281476</v>
      </c>
      <c r="E674" s="65">
        <v>4177972.6426886683</v>
      </c>
      <c r="F674" s="65" t="s">
        <v>720</v>
      </c>
      <c r="G674" s="25">
        <f t="shared" si="21"/>
        <v>-5.4263754126203656E-3</v>
      </c>
      <c r="I674" s="65">
        <v>12.98</v>
      </c>
      <c r="J674" s="65">
        <v>13.085000000000001</v>
      </c>
      <c r="K674" s="65">
        <v>12.82</v>
      </c>
      <c r="L674" s="65">
        <v>12.94</v>
      </c>
      <c r="M674" s="65">
        <v>15299958</v>
      </c>
      <c r="N674" s="65" t="s">
        <v>720</v>
      </c>
      <c r="O674" s="25">
        <f t="shared" si="22"/>
        <v>3.0911901081918103E-3</v>
      </c>
    </row>
    <row r="675" spans="1:15" ht="13.5" customHeight="1">
      <c r="A675" s="65">
        <v>409.50937242110928</v>
      </c>
      <c r="B675" s="65">
        <v>410.68485680552584</v>
      </c>
      <c r="C675" s="65">
        <v>408.19674819184416</v>
      </c>
      <c r="D675" s="65">
        <v>408.72571616483162</v>
      </c>
      <c r="E675" s="65">
        <v>3452985.3852671185</v>
      </c>
      <c r="F675" s="65" t="s">
        <v>721</v>
      </c>
      <c r="G675" s="25">
        <f t="shared" si="21"/>
        <v>1.9173157579388533E-3</v>
      </c>
      <c r="I675" s="65">
        <v>12.84</v>
      </c>
      <c r="J675" s="65">
        <v>12.87</v>
      </c>
      <c r="K675" s="65">
        <v>12.58</v>
      </c>
      <c r="L675" s="65">
        <v>12.605</v>
      </c>
      <c r="M675" s="65">
        <v>14906997</v>
      </c>
      <c r="N675" s="65" t="s">
        <v>721</v>
      </c>
      <c r="O675" s="25">
        <f t="shared" si="22"/>
        <v>1.864339547798477E-2</v>
      </c>
    </row>
    <row r="676" spans="1:15" ht="13.5" customHeight="1">
      <c r="A676" s="65">
        <v>409.10774858976697</v>
      </c>
      <c r="B676" s="65">
        <v>409.97692133501101</v>
      </c>
      <c r="C676" s="65">
        <v>408.70612475842466</v>
      </c>
      <c r="D676" s="65">
        <v>409.25468413781908</v>
      </c>
      <c r="E676" s="65">
        <v>3708311.6184173571</v>
      </c>
      <c r="F676" s="65" t="s">
        <v>722</v>
      </c>
      <c r="G676" s="25">
        <f t="shared" si="21"/>
        <v>-3.5903204959442103E-4</v>
      </c>
      <c r="I676" s="65">
        <v>12.68</v>
      </c>
      <c r="J676" s="65">
        <v>12.8</v>
      </c>
      <c r="K676" s="65">
        <v>12.41</v>
      </c>
      <c r="L676" s="65">
        <v>12.41</v>
      </c>
      <c r="M676" s="65">
        <v>16203023</v>
      </c>
      <c r="N676" s="65" t="s">
        <v>722</v>
      </c>
      <c r="O676" s="25">
        <f t="shared" si="22"/>
        <v>2.1756647864625167E-2</v>
      </c>
    </row>
    <row r="677" spans="1:15" ht="13.5" customHeight="1">
      <c r="A677" s="65">
        <v>409.82283492362035</v>
      </c>
      <c r="B677" s="65">
        <v>409.94038336206205</v>
      </c>
      <c r="C677" s="65">
        <v>409.3036626538364</v>
      </c>
      <c r="D677" s="65">
        <v>409.64651226595788</v>
      </c>
      <c r="E677" s="65">
        <v>1379453.7992139023</v>
      </c>
      <c r="F677" s="65" t="s">
        <v>723</v>
      </c>
      <c r="G677" s="25">
        <f t="shared" si="21"/>
        <v>4.304263612233683E-4</v>
      </c>
      <c r="I677" s="65">
        <v>12.52</v>
      </c>
      <c r="J677" s="65">
        <v>12.56</v>
      </c>
      <c r="K677" s="65">
        <v>12.24</v>
      </c>
      <c r="L677" s="65">
        <v>12.24</v>
      </c>
      <c r="M677" s="65">
        <v>10797731</v>
      </c>
      <c r="N677" s="65" t="s">
        <v>723</v>
      </c>
      <c r="O677" s="25">
        <f t="shared" si="22"/>
        <v>2.2875816993463971E-2</v>
      </c>
    </row>
    <row r="678" spans="1:15" ht="13.5" customHeight="1">
      <c r="A678" s="65">
        <v>409.59753374994051</v>
      </c>
      <c r="B678" s="65">
        <v>410.74363102474666</v>
      </c>
      <c r="C678" s="65">
        <v>408.53959780396565</v>
      </c>
      <c r="D678" s="65">
        <v>409.52896382751624</v>
      </c>
      <c r="E678" s="65">
        <v>3771106.4976846292</v>
      </c>
      <c r="F678" s="65" t="s">
        <v>724</v>
      </c>
      <c r="G678" s="25">
        <f t="shared" si="21"/>
        <v>1.6743607529834392E-4</v>
      </c>
      <c r="I678" s="65">
        <v>12.31</v>
      </c>
      <c r="J678" s="65">
        <v>12.32</v>
      </c>
      <c r="K678" s="65">
        <v>12.03</v>
      </c>
      <c r="L678" s="65">
        <v>12.17</v>
      </c>
      <c r="M678" s="65">
        <v>10119851</v>
      </c>
      <c r="N678" s="65" t="s">
        <v>724</v>
      </c>
      <c r="O678" s="25">
        <f t="shared" si="22"/>
        <v>1.1503697617091246E-2</v>
      </c>
    </row>
    <row r="679" spans="1:15" ht="13.5" customHeight="1">
      <c r="A679" s="65">
        <v>407.83430717331572</v>
      </c>
      <c r="B679" s="65">
        <v>408.32409233348926</v>
      </c>
      <c r="C679" s="65">
        <v>406.81555404015472</v>
      </c>
      <c r="D679" s="65">
        <v>407.89308139253654</v>
      </c>
      <c r="E679" s="65">
        <v>5357641.9078727392</v>
      </c>
      <c r="F679" s="65" t="s">
        <v>725</v>
      </c>
      <c r="G679" s="25">
        <f t="shared" si="21"/>
        <v>-1.4409221902011993E-4</v>
      </c>
      <c r="I679" s="65">
        <v>12.06</v>
      </c>
      <c r="J679" s="65">
        <v>12.15</v>
      </c>
      <c r="K679" s="65">
        <v>11.89</v>
      </c>
      <c r="L679" s="65">
        <v>11.98</v>
      </c>
      <c r="M679" s="65">
        <v>10266426</v>
      </c>
      <c r="N679" s="65" t="s">
        <v>725</v>
      </c>
      <c r="O679" s="25">
        <f t="shared" si="22"/>
        <v>6.6777963272119933E-3</v>
      </c>
    </row>
    <row r="680" spans="1:15" ht="13.5" customHeight="1">
      <c r="A680" s="65">
        <v>408.90203882249409</v>
      </c>
      <c r="B680" s="65">
        <v>409.65630796916133</v>
      </c>
      <c r="C680" s="65">
        <v>405.52242326026453</v>
      </c>
      <c r="D680" s="65">
        <v>405.53231692050002</v>
      </c>
      <c r="E680" s="65">
        <v>3597916.2769561326</v>
      </c>
      <c r="F680" s="65" t="s">
        <v>726</v>
      </c>
      <c r="G680" s="25">
        <f t="shared" si="21"/>
        <v>8.3093794536099885E-3</v>
      </c>
      <c r="I680" s="65">
        <v>12.15</v>
      </c>
      <c r="J680" s="65">
        <v>12.3</v>
      </c>
      <c r="K680" s="65">
        <v>11.87</v>
      </c>
      <c r="L680" s="65">
        <v>11.88</v>
      </c>
      <c r="M680" s="65">
        <v>14560749</v>
      </c>
      <c r="N680" s="65" t="s">
        <v>726</v>
      </c>
      <c r="O680" s="25">
        <f t="shared" si="22"/>
        <v>2.2727272727272707E-2</v>
      </c>
    </row>
    <row r="681" spans="1:15" ht="13.5" customHeight="1">
      <c r="A681" s="65">
        <v>405.84577942301109</v>
      </c>
      <c r="B681" s="65">
        <v>406.31597317677773</v>
      </c>
      <c r="C681" s="65">
        <v>404.43519816171124</v>
      </c>
      <c r="D681" s="65">
        <v>405.48333840448265</v>
      </c>
      <c r="E681" s="65">
        <v>4798163.9524710281</v>
      </c>
      <c r="F681" s="65" t="s">
        <v>727</v>
      </c>
      <c r="G681" s="25">
        <f t="shared" si="21"/>
        <v>8.9384935014735767E-4</v>
      </c>
      <c r="I681" s="65">
        <v>11.89</v>
      </c>
      <c r="J681" s="65">
        <v>11.994999999999999</v>
      </c>
      <c r="K681" s="65">
        <v>11.5</v>
      </c>
      <c r="L681" s="65">
        <v>11.91</v>
      </c>
      <c r="M681" s="65">
        <v>22116402</v>
      </c>
      <c r="N681" s="65" t="s">
        <v>727</v>
      </c>
      <c r="O681" s="25">
        <f t="shared" si="22"/>
        <v>-1.6792611251049694E-3</v>
      </c>
    </row>
    <row r="682" spans="1:15" ht="13.5" customHeight="1">
      <c r="A682" s="65">
        <v>405.24824152759936</v>
      </c>
      <c r="B682" s="65">
        <v>405.4931341076861</v>
      </c>
      <c r="C682" s="65">
        <v>403.33807940292252</v>
      </c>
      <c r="D682" s="65">
        <v>404.30785402006615</v>
      </c>
      <c r="E682" s="65">
        <v>3878117.7023144872</v>
      </c>
      <c r="F682" s="65" t="s">
        <v>728</v>
      </c>
      <c r="G682" s="25">
        <f t="shared" si="21"/>
        <v>2.3259194650384618E-3</v>
      </c>
      <c r="I682" s="65">
        <v>12.07</v>
      </c>
      <c r="J682" s="65">
        <v>12.34</v>
      </c>
      <c r="K682" s="65">
        <v>11.8</v>
      </c>
      <c r="L682" s="65">
        <v>12.13</v>
      </c>
      <c r="M682" s="65">
        <v>22969636</v>
      </c>
      <c r="N682" s="65" t="s">
        <v>728</v>
      </c>
      <c r="O682" s="25">
        <f t="shared" si="22"/>
        <v>-4.9464138499588639E-3</v>
      </c>
    </row>
    <row r="683" spans="1:15" ht="13.5" customHeight="1">
      <c r="A683" s="65">
        <v>404.68009074179804</v>
      </c>
      <c r="B683" s="65">
        <v>406.24740325435346</v>
      </c>
      <c r="C683" s="65">
        <v>403.9454130015377</v>
      </c>
      <c r="D683" s="65">
        <v>405.09151027634385</v>
      </c>
      <c r="E683" s="65">
        <v>4506881.1378805526</v>
      </c>
      <c r="F683" s="65" t="s">
        <v>729</v>
      </c>
      <c r="G683" s="25">
        <f t="shared" si="21"/>
        <v>-1.0156212216473337E-3</v>
      </c>
      <c r="I683" s="65">
        <v>12.2</v>
      </c>
      <c r="J683" s="65">
        <v>12.32</v>
      </c>
      <c r="K683" s="65">
        <v>11.94</v>
      </c>
      <c r="L683" s="65">
        <v>12.12</v>
      </c>
      <c r="M683" s="65">
        <v>21312715</v>
      </c>
      <c r="N683" s="65" t="s">
        <v>729</v>
      </c>
      <c r="O683" s="25">
        <f t="shared" si="22"/>
        <v>6.6006600660066805E-3</v>
      </c>
    </row>
    <row r="684" spans="1:15" ht="13.5" customHeight="1">
      <c r="A684" s="65">
        <v>403.79847745348565</v>
      </c>
      <c r="B684" s="65">
        <v>405.06212316673339</v>
      </c>
      <c r="C684" s="65">
        <v>401.51176849766733</v>
      </c>
      <c r="D684" s="65">
        <v>401.66301415512896</v>
      </c>
      <c r="E684" s="65">
        <v>7118544.5854760921</v>
      </c>
      <c r="F684" s="65" t="s">
        <v>730</v>
      </c>
      <c r="G684" s="25">
        <f t="shared" si="21"/>
        <v>5.3165544824895772E-3</v>
      </c>
      <c r="I684" s="65">
        <v>12.15</v>
      </c>
      <c r="J684" s="65">
        <v>12.425000000000001</v>
      </c>
      <c r="K684" s="65">
        <v>12.04</v>
      </c>
      <c r="L684" s="65">
        <v>12.05</v>
      </c>
      <c r="M684" s="65">
        <v>38147375</v>
      </c>
      <c r="N684" s="65" t="s">
        <v>730</v>
      </c>
      <c r="O684" s="25">
        <f t="shared" si="22"/>
        <v>8.2987551867219622E-3</v>
      </c>
    </row>
    <row r="685" spans="1:15" ht="13.5" customHeight="1">
      <c r="A685" s="65">
        <v>396.18721606438856</v>
      </c>
      <c r="B685" s="65">
        <v>397.20596919754962</v>
      </c>
      <c r="C685" s="65">
        <v>394.59051644222279</v>
      </c>
      <c r="D685" s="65">
        <v>395.34478558889003</v>
      </c>
      <c r="E685" s="65">
        <v>2932858.3566945717</v>
      </c>
      <c r="F685" s="65" t="s">
        <v>731</v>
      </c>
      <c r="G685" s="25">
        <f t="shared" si="21"/>
        <v>2.1308753933446667E-3</v>
      </c>
      <c r="I685" s="65">
        <v>11.3</v>
      </c>
      <c r="J685" s="65">
        <v>11.435</v>
      </c>
      <c r="K685" s="65">
        <v>11.15</v>
      </c>
      <c r="L685" s="65">
        <v>11.33</v>
      </c>
      <c r="M685" s="65">
        <v>12118745</v>
      </c>
      <c r="N685" s="65" t="s">
        <v>731</v>
      </c>
      <c r="O685" s="25">
        <f t="shared" si="22"/>
        <v>-2.6478375992938785E-3</v>
      </c>
    </row>
    <row r="686" spans="1:15" ht="13.5" customHeight="1">
      <c r="A686" s="65">
        <v>396.58883989573093</v>
      </c>
      <c r="B686" s="65">
        <v>396.83275290549733</v>
      </c>
      <c r="C686" s="65">
        <v>390.98569766334543</v>
      </c>
      <c r="D686" s="65">
        <v>392.40607462784874</v>
      </c>
      <c r="E686" s="65">
        <v>4077746.0454136403</v>
      </c>
      <c r="F686" s="65" t="s">
        <v>732</v>
      </c>
      <c r="G686" s="25">
        <f t="shared" si="21"/>
        <v>1.065927756559093E-2</v>
      </c>
      <c r="I686" s="65">
        <v>11.32</v>
      </c>
      <c r="J686" s="65">
        <v>11.37</v>
      </c>
      <c r="K686" s="65">
        <v>10.92</v>
      </c>
      <c r="L686" s="65">
        <v>10.95</v>
      </c>
      <c r="M686" s="65">
        <v>19159965</v>
      </c>
      <c r="N686" s="65" t="s">
        <v>732</v>
      </c>
      <c r="O686" s="25">
        <f t="shared" si="22"/>
        <v>3.3789954337899664E-2</v>
      </c>
    </row>
    <row r="687" spans="1:15" ht="13.5" customHeight="1">
      <c r="A687" s="65">
        <v>390.49591250317189</v>
      </c>
      <c r="B687" s="65">
        <v>394.64929066144362</v>
      </c>
      <c r="C687" s="65">
        <v>390.07469726542263</v>
      </c>
      <c r="D687" s="65">
        <v>394.58072073901934</v>
      </c>
      <c r="E687" s="65">
        <v>4232074.935193019</v>
      </c>
      <c r="F687" s="65" t="s">
        <v>733</v>
      </c>
      <c r="G687" s="25">
        <f t="shared" si="21"/>
        <v>-1.0352275266254596E-2</v>
      </c>
      <c r="I687" s="65">
        <v>11.24</v>
      </c>
      <c r="J687" s="65">
        <v>11.73</v>
      </c>
      <c r="K687" s="65">
        <v>11.18</v>
      </c>
      <c r="L687" s="65">
        <v>11.22</v>
      </c>
      <c r="M687" s="65">
        <v>26971492</v>
      </c>
      <c r="N687" s="65" t="s">
        <v>733</v>
      </c>
      <c r="O687" s="25">
        <f t="shared" si="22"/>
        <v>1.7825311942958333E-3</v>
      </c>
    </row>
    <row r="688" spans="1:15" ht="13.5" customHeight="1">
      <c r="A688" s="65">
        <v>393.46401057382366</v>
      </c>
      <c r="B688" s="65">
        <v>394.27960082254458</v>
      </c>
      <c r="C688" s="65">
        <v>391.39711719789125</v>
      </c>
      <c r="D688" s="65">
        <v>393.77747307633473</v>
      </c>
      <c r="E688" s="65">
        <v>3809688.7201294741</v>
      </c>
      <c r="F688" s="65" t="s">
        <v>734</v>
      </c>
      <c r="G688" s="25">
        <f t="shared" si="21"/>
        <v>-7.9603970248010025E-4</v>
      </c>
      <c r="I688" s="65">
        <v>11.23</v>
      </c>
      <c r="J688" s="65">
        <v>11.25</v>
      </c>
      <c r="K688" s="65">
        <v>10.860300000000001</v>
      </c>
      <c r="L688" s="65">
        <v>11.04</v>
      </c>
      <c r="M688" s="65">
        <v>21448623</v>
      </c>
      <c r="N688" s="65" t="s">
        <v>734</v>
      </c>
      <c r="O688" s="25">
        <f t="shared" si="22"/>
        <v>1.7210144927536364E-2</v>
      </c>
    </row>
    <row r="689" spans="1:15" ht="13.5" customHeight="1">
      <c r="A689" s="65">
        <v>393.14075236810908</v>
      </c>
      <c r="B689" s="65">
        <v>393.8264515923521</v>
      </c>
      <c r="C689" s="65">
        <v>391.07385899217672</v>
      </c>
      <c r="D689" s="65">
        <v>392.08281642213421</v>
      </c>
      <c r="E689" s="65">
        <v>3428623.6835043048</v>
      </c>
      <c r="F689" s="65" t="s">
        <v>735</v>
      </c>
      <c r="G689" s="25">
        <f t="shared" si="21"/>
        <v>2.6982461400089086E-3</v>
      </c>
      <c r="I689" s="65">
        <v>10.96</v>
      </c>
      <c r="J689" s="65">
        <v>11.02</v>
      </c>
      <c r="K689" s="65">
        <v>10.68</v>
      </c>
      <c r="L689" s="65">
        <v>10.72</v>
      </c>
      <c r="M689" s="65">
        <v>15836857</v>
      </c>
      <c r="N689" s="65" t="s">
        <v>735</v>
      </c>
      <c r="O689" s="25">
        <f t="shared" si="22"/>
        <v>2.2388059701492491E-2</v>
      </c>
    </row>
    <row r="690" spans="1:15" ht="13.5" customHeight="1">
      <c r="A690" s="65">
        <v>392.03383790611684</v>
      </c>
      <c r="B690" s="65">
        <v>392.54615318365842</v>
      </c>
      <c r="C690" s="65">
        <v>390.31958984550937</v>
      </c>
      <c r="D690" s="65">
        <v>391.94567657728561</v>
      </c>
      <c r="E690" s="65">
        <v>4090676.2044200012</v>
      </c>
      <c r="F690" s="65" t="s">
        <v>736</v>
      </c>
      <c r="G690" s="25">
        <f t="shared" si="21"/>
        <v>2.2493252024391452E-4</v>
      </c>
      <c r="I690" s="65">
        <v>10.73</v>
      </c>
      <c r="J690" s="65">
        <v>10.87</v>
      </c>
      <c r="K690" s="65">
        <v>10.62</v>
      </c>
      <c r="L690" s="65">
        <v>10.74</v>
      </c>
      <c r="M690" s="65">
        <v>18754926</v>
      </c>
      <c r="N690" s="65" t="s">
        <v>736</v>
      </c>
      <c r="O690" s="25">
        <f t="shared" si="22"/>
        <v>-9.3109869646179622E-4</v>
      </c>
    </row>
    <row r="691" spans="1:15" ht="13.5" customHeight="1">
      <c r="A691" s="65">
        <v>391.27956875944955</v>
      </c>
      <c r="B691" s="65">
        <v>392.66076291113905</v>
      </c>
      <c r="C691" s="65">
        <v>389.71225624689419</v>
      </c>
      <c r="D691" s="65">
        <v>389.79062187252197</v>
      </c>
      <c r="E691" s="65">
        <v>6106182.3492982965</v>
      </c>
      <c r="F691" s="65" t="s">
        <v>737</v>
      </c>
      <c r="G691" s="25">
        <f t="shared" si="21"/>
        <v>3.8198632891033313E-3</v>
      </c>
      <c r="I691" s="65">
        <v>10.72</v>
      </c>
      <c r="J691" s="65">
        <v>10.914999999999999</v>
      </c>
      <c r="K691" s="65">
        <v>10.52</v>
      </c>
      <c r="L691" s="65">
        <v>10.52</v>
      </c>
      <c r="M691" s="65">
        <v>22876555</v>
      </c>
      <c r="N691" s="65" t="s">
        <v>737</v>
      </c>
      <c r="O691" s="25">
        <f t="shared" si="22"/>
        <v>1.9011406844106515E-2</v>
      </c>
    </row>
    <row r="692" spans="1:15" ht="13.5" customHeight="1">
      <c r="A692" s="65">
        <v>387.69434138697915</v>
      </c>
      <c r="B692" s="65">
        <v>387.82129370049614</v>
      </c>
      <c r="C692" s="65">
        <v>383.91319995043932</v>
      </c>
      <c r="D692" s="65">
        <v>383.92299565364277</v>
      </c>
      <c r="E692" s="65">
        <v>4851273.9731804803</v>
      </c>
      <c r="F692" s="65" t="s">
        <v>738</v>
      </c>
      <c r="G692" s="25">
        <f t="shared" si="21"/>
        <v>9.8231827111985304E-3</v>
      </c>
      <c r="I692" s="65">
        <v>10.43</v>
      </c>
      <c r="J692" s="65">
        <v>10.59</v>
      </c>
      <c r="K692" s="65">
        <v>10.1</v>
      </c>
      <c r="L692" s="65">
        <v>10.14</v>
      </c>
      <c r="M692" s="65">
        <v>30659333</v>
      </c>
      <c r="N692" s="65" t="s">
        <v>738</v>
      </c>
      <c r="O692" s="25">
        <f t="shared" si="22"/>
        <v>2.8599605522682259E-2</v>
      </c>
    </row>
    <row r="693" spans="1:15" ht="13.5" customHeight="1">
      <c r="A693" s="65">
        <v>380.46511242281747</v>
      </c>
      <c r="B693" s="65">
        <v>381.13122024065348</v>
      </c>
      <c r="C693" s="65">
        <v>376.76233661190543</v>
      </c>
      <c r="D693" s="65">
        <v>377.2227346624685</v>
      </c>
      <c r="E693" s="65">
        <v>5664890.9064881224</v>
      </c>
      <c r="F693" s="65" t="s">
        <v>739</v>
      </c>
      <c r="G693" s="25">
        <f t="shared" si="21"/>
        <v>8.5953932846867254E-3</v>
      </c>
      <c r="I693" s="65">
        <v>9.99</v>
      </c>
      <c r="J693" s="65">
        <v>10.0799</v>
      </c>
      <c r="K693" s="65">
        <v>9.81</v>
      </c>
      <c r="L693" s="65">
        <v>9.9499999999999993</v>
      </c>
      <c r="M693" s="65">
        <v>19548138</v>
      </c>
      <c r="N693" s="65" t="s">
        <v>739</v>
      </c>
      <c r="O693" s="25">
        <f t="shared" si="22"/>
        <v>4.020100502512669E-3</v>
      </c>
    </row>
    <row r="694" spans="1:15" ht="13.5" customHeight="1">
      <c r="A694" s="65">
        <v>376.3215299677492</v>
      </c>
      <c r="B694" s="65">
        <v>376.62519676705682</v>
      </c>
      <c r="C694" s="65">
        <v>372.78528111129611</v>
      </c>
      <c r="D694" s="65">
        <v>374.53871198471751</v>
      </c>
      <c r="E694" s="65">
        <v>4617493.921617819</v>
      </c>
      <c r="F694" s="65" t="s">
        <v>740</v>
      </c>
      <c r="G694" s="25">
        <f t="shared" si="21"/>
        <v>4.7600366156661522E-3</v>
      </c>
      <c r="I694" s="65">
        <v>10.01</v>
      </c>
      <c r="J694" s="65">
        <v>10.055</v>
      </c>
      <c r="K694" s="65">
        <v>9.6</v>
      </c>
      <c r="L694" s="65">
        <v>9.7899999999999991</v>
      </c>
      <c r="M694" s="65">
        <v>28796700</v>
      </c>
      <c r="N694" s="65" t="s">
        <v>740</v>
      </c>
      <c r="O694" s="25">
        <f t="shared" si="22"/>
        <v>2.2471910112359605E-2</v>
      </c>
    </row>
    <row r="695" spans="1:15" ht="13.5" customHeight="1">
      <c r="A695" s="65">
        <v>374.05872252774742</v>
      </c>
      <c r="B695" s="65">
        <v>374.97951862887368</v>
      </c>
      <c r="C695" s="65">
        <v>370.97307601865396</v>
      </c>
      <c r="D695" s="65">
        <v>372.14856040307052</v>
      </c>
      <c r="E695" s="65">
        <v>5916635.9776460733</v>
      </c>
      <c r="F695" s="65" t="s">
        <v>741</v>
      </c>
      <c r="G695" s="25">
        <f t="shared" si="21"/>
        <v>5.1327946092496468E-3</v>
      </c>
      <c r="I695" s="65">
        <v>9.6999999999999993</v>
      </c>
      <c r="J695" s="65">
        <v>9.81</v>
      </c>
      <c r="K695" s="65">
        <v>9.2899999999999991</v>
      </c>
      <c r="L695" s="65">
        <v>9.34</v>
      </c>
      <c r="M695" s="65">
        <v>25083930</v>
      </c>
      <c r="N695" s="65" t="s">
        <v>741</v>
      </c>
      <c r="O695" s="25">
        <f t="shared" si="22"/>
        <v>3.8543897216273937E-2</v>
      </c>
    </row>
    <row r="696" spans="1:15" ht="13.5" customHeight="1">
      <c r="A696" s="65">
        <v>369.61147327337147</v>
      </c>
      <c r="B696" s="65">
        <v>373.1085393170107</v>
      </c>
      <c r="C696" s="65">
        <v>368.2645640828942</v>
      </c>
      <c r="D696" s="65">
        <v>372.7558940016857</v>
      </c>
      <c r="E696" s="65">
        <v>5756352.4362415485</v>
      </c>
      <c r="F696" s="65" t="s">
        <v>742</v>
      </c>
      <c r="G696" s="25">
        <f t="shared" si="21"/>
        <v>-8.4356029747982841E-3</v>
      </c>
      <c r="I696" s="65">
        <v>9.3000000000000007</v>
      </c>
      <c r="J696" s="65">
        <v>9.5500000000000007</v>
      </c>
      <c r="K696" s="65">
        <v>9.18</v>
      </c>
      <c r="L696" s="65">
        <v>9.33</v>
      </c>
      <c r="M696" s="65">
        <v>24606549</v>
      </c>
      <c r="N696" s="65" t="s">
        <v>742</v>
      </c>
      <c r="O696" s="25">
        <f t="shared" si="22"/>
        <v>-3.215434083601254E-3</v>
      </c>
    </row>
    <row r="697" spans="1:15" ht="13.5" customHeight="1">
      <c r="A697" s="65">
        <v>371.25715141155467</v>
      </c>
      <c r="B697" s="65">
        <v>375.56442006715292</v>
      </c>
      <c r="C697" s="65">
        <v>370.42451663925959</v>
      </c>
      <c r="D697" s="65">
        <v>374.81299167441466</v>
      </c>
      <c r="E697" s="65">
        <v>7104544.5696373712</v>
      </c>
      <c r="F697" s="65" t="s">
        <v>743</v>
      </c>
      <c r="G697" s="25">
        <f t="shared" si="21"/>
        <v>-9.4869717481639304E-3</v>
      </c>
      <c r="I697" s="65">
        <v>9.3000000000000007</v>
      </c>
      <c r="J697" s="65">
        <v>9.52</v>
      </c>
      <c r="K697" s="65">
        <v>8.91</v>
      </c>
      <c r="L697" s="65">
        <v>9.11</v>
      </c>
      <c r="M697" s="65">
        <v>42454185</v>
      </c>
      <c r="N697" s="65" t="s">
        <v>743</v>
      </c>
      <c r="O697" s="25">
        <f t="shared" si="22"/>
        <v>2.0856201975850919E-2</v>
      </c>
    </row>
    <row r="698" spans="1:15" ht="13.5" customHeight="1">
      <c r="A698" s="65">
        <v>375.87092762038952</v>
      </c>
      <c r="B698" s="65">
        <v>379.75982179216754</v>
      </c>
      <c r="C698" s="65">
        <v>375.29298113138475</v>
      </c>
      <c r="D698" s="65">
        <v>379.68145616653982</v>
      </c>
      <c r="E698" s="65">
        <v>5585320.3045813804</v>
      </c>
      <c r="F698" s="65" t="s">
        <v>744</v>
      </c>
      <c r="G698" s="25">
        <f t="shared" si="21"/>
        <v>-1.0036119711042457E-2</v>
      </c>
      <c r="I698" s="65">
        <v>9.19</v>
      </c>
      <c r="J698" s="65">
        <v>10.87</v>
      </c>
      <c r="K698" s="65">
        <v>9.1</v>
      </c>
      <c r="L698" s="65">
        <v>10.37</v>
      </c>
      <c r="M698" s="65">
        <v>94403233</v>
      </c>
      <c r="N698" s="65" t="s">
        <v>744</v>
      </c>
      <c r="O698" s="25">
        <f t="shared" si="22"/>
        <v>-0.11378977820636449</v>
      </c>
    </row>
    <row r="699" spans="1:15" ht="13.5" customHeight="1">
      <c r="A699" s="65">
        <v>381.24876867909518</v>
      </c>
      <c r="B699" s="65">
        <v>382.28711321866308</v>
      </c>
      <c r="C699" s="65">
        <v>378.65290733017537</v>
      </c>
      <c r="D699" s="65">
        <v>380.34756398437582</v>
      </c>
      <c r="E699" s="65">
        <v>4544352.6692627948</v>
      </c>
      <c r="F699" s="65" t="s">
        <v>745</v>
      </c>
      <c r="G699" s="25">
        <f t="shared" si="21"/>
        <v>2.3694241269187621E-3</v>
      </c>
      <c r="I699" s="65">
        <v>9.7100000000000009</v>
      </c>
      <c r="J699" s="65">
        <v>9.98</v>
      </c>
      <c r="K699" s="65">
        <v>9.58</v>
      </c>
      <c r="L699" s="65">
        <v>9.6300000000000008</v>
      </c>
      <c r="M699" s="65">
        <v>71921441</v>
      </c>
      <c r="N699" s="65" t="s">
        <v>745</v>
      </c>
      <c r="O699" s="25">
        <f t="shared" si="22"/>
        <v>8.3073727933540287E-3</v>
      </c>
    </row>
    <row r="700" spans="1:15" ht="13.5" customHeight="1">
      <c r="A700" s="65">
        <v>378.41781045329202</v>
      </c>
      <c r="B700" s="65">
        <v>381.97365071615201</v>
      </c>
      <c r="C700" s="65">
        <v>376.00806746523813</v>
      </c>
      <c r="D700" s="65">
        <v>377.60476708740396</v>
      </c>
      <c r="E700" s="65">
        <v>5652612.0534541337</v>
      </c>
      <c r="F700" s="65" t="s">
        <v>746</v>
      </c>
      <c r="G700" s="25">
        <f t="shared" si="21"/>
        <v>2.1531596970010281E-3</v>
      </c>
      <c r="I700" s="65">
        <v>9.49</v>
      </c>
      <c r="J700" s="65">
        <v>9.8800000000000008</v>
      </c>
      <c r="K700" s="65">
        <v>9.3000000000000007</v>
      </c>
      <c r="L700" s="65">
        <v>9.35</v>
      </c>
      <c r="M700" s="65">
        <v>37569211</v>
      </c>
      <c r="N700" s="65" t="s">
        <v>746</v>
      </c>
      <c r="O700" s="25">
        <f t="shared" si="22"/>
        <v>1.497326203208571E-2</v>
      </c>
    </row>
    <row r="701" spans="1:15" ht="13.5" customHeight="1">
      <c r="A701" s="65">
        <v>379.08391827112808</v>
      </c>
      <c r="B701" s="65">
        <v>383.81524291840458</v>
      </c>
      <c r="C701" s="65">
        <v>378.93698272307597</v>
      </c>
      <c r="D701" s="65">
        <v>383.38423197745186</v>
      </c>
      <c r="E701" s="65">
        <v>7707066.9079937013</v>
      </c>
      <c r="F701" s="65" t="s">
        <v>747</v>
      </c>
      <c r="G701" s="25">
        <f t="shared" si="21"/>
        <v>-1.1216720322959728E-2</v>
      </c>
      <c r="I701" s="65">
        <v>9.44</v>
      </c>
      <c r="J701" s="65">
        <v>9.67</v>
      </c>
      <c r="K701" s="65">
        <v>9.31</v>
      </c>
      <c r="L701" s="65">
        <v>9.6</v>
      </c>
      <c r="M701" s="65">
        <v>29382635</v>
      </c>
      <c r="N701" s="65" t="s">
        <v>747</v>
      </c>
      <c r="O701" s="25">
        <f t="shared" si="22"/>
        <v>-1.6666666666666718E-2</v>
      </c>
    </row>
    <row r="702" spans="1:15" ht="13.5" customHeight="1">
      <c r="A702" s="65">
        <v>383.86422143442195</v>
      </c>
      <c r="B702" s="65">
        <v>389.4771593700109</v>
      </c>
      <c r="C702" s="65">
        <v>383.14423724896682</v>
      </c>
      <c r="D702" s="65">
        <v>387.88045974784512</v>
      </c>
      <c r="E702" s="65">
        <v>6848822.2444537785</v>
      </c>
      <c r="F702" s="65" t="s">
        <v>748</v>
      </c>
      <c r="G702" s="25">
        <f t="shared" si="21"/>
        <v>-1.0354319771699982E-2</v>
      </c>
      <c r="I702" s="65">
        <v>9.65</v>
      </c>
      <c r="J702" s="65">
        <v>9.8699999999999992</v>
      </c>
      <c r="K702" s="65">
        <v>9.4600000000000009</v>
      </c>
      <c r="L702" s="65">
        <v>9.5500000000000007</v>
      </c>
      <c r="M702" s="65">
        <v>21177197</v>
      </c>
      <c r="N702" s="65" t="s">
        <v>748</v>
      </c>
      <c r="O702" s="25">
        <f t="shared" si="22"/>
        <v>1.0471204188481575E-2</v>
      </c>
    </row>
    <row r="703" spans="1:15" ht="13.5" customHeight="1">
      <c r="A703" s="65">
        <v>387.14578200758478</v>
      </c>
      <c r="B703" s="65">
        <v>391.64200977797799</v>
      </c>
      <c r="C703" s="65">
        <v>386.16621168723771</v>
      </c>
      <c r="D703" s="65">
        <v>390.74080508325864</v>
      </c>
      <c r="E703" s="65">
        <v>7482118.2795767868</v>
      </c>
      <c r="F703" s="65" t="s">
        <v>749</v>
      </c>
      <c r="G703" s="25">
        <f t="shared" si="21"/>
        <v>-9.2005314748425659E-3</v>
      </c>
      <c r="I703" s="65">
        <v>9.6</v>
      </c>
      <c r="J703" s="65">
        <v>9.76</v>
      </c>
      <c r="K703" s="65">
        <v>9.51</v>
      </c>
      <c r="L703" s="65">
        <v>9.6</v>
      </c>
      <c r="M703" s="65">
        <v>19250446</v>
      </c>
      <c r="N703" s="65" t="s">
        <v>749</v>
      </c>
      <c r="O703" s="25">
        <f t="shared" si="22"/>
        <v>0</v>
      </c>
    </row>
    <row r="704" spans="1:15" ht="13.5" customHeight="1">
      <c r="A704" s="65">
        <v>392.39627892464529</v>
      </c>
      <c r="B704" s="65">
        <v>394.27705393971172</v>
      </c>
      <c r="C704" s="65">
        <v>389.19063505130936</v>
      </c>
      <c r="D704" s="65">
        <v>389.50654647962131</v>
      </c>
      <c r="E704" s="65">
        <v>4302507.8572271941</v>
      </c>
      <c r="F704" s="65" t="s">
        <v>750</v>
      </c>
      <c r="G704" s="25">
        <f t="shared" ref="G704:G767" si="23">A704/D704-1</f>
        <v>7.4189573221337124E-3</v>
      </c>
      <c r="I704" s="65">
        <v>9.69</v>
      </c>
      <c r="J704" s="65">
        <v>9.77</v>
      </c>
      <c r="K704" s="65">
        <v>9.5399999999999991</v>
      </c>
      <c r="L704" s="65">
        <v>9.56</v>
      </c>
      <c r="M704" s="65">
        <v>24836029</v>
      </c>
      <c r="N704" s="65" t="s">
        <v>750</v>
      </c>
      <c r="O704" s="25">
        <f t="shared" ref="O704:O767" si="24">I704/L704-1</f>
        <v>1.3598326359832491E-2</v>
      </c>
    </row>
    <row r="705" spans="1:15" ht="13.5" customHeight="1">
      <c r="A705" s="65">
        <v>392.38648322144178</v>
      </c>
      <c r="B705" s="65">
        <v>393.39544065139933</v>
      </c>
      <c r="C705" s="65">
        <v>390.20204140706772</v>
      </c>
      <c r="D705" s="65">
        <v>390.42734258074756</v>
      </c>
      <c r="E705" s="65">
        <v>5258367.7690181229</v>
      </c>
      <c r="F705" s="65" t="s">
        <v>751</v>
      </c>
      <c r="G705" s="25">
        <f t="shared" si="23"/>
        <v>5.0179391323983413E-3</v>
      </c>
      <c r="I705" s="65">
        <v>9.7200000000000006</v>
      </c>
      <c r="J705" s="65">
        <v>9.75</v>
      </c>
      <c r="K705" s="65">
        <v>8.9600000000000009</v>
      </c>
      <c r="L705" s="65">
        <v>9.02</v>
      </c>
      <c r="M705" s="65">
        <v>56297832</v>
      </c>
      <c r="N705" s="65" t="s">
        <v>751</v>
      </c>
      <c r="O705" s="25">
        <f t="shared" si="24"/>
        <v>7.7605321507760561E-2</v>
      </c>
    </row>
    <row r="706" spans="1:15" ht="13.5" customHeight="1">
      <c r="A706" s="65">
        <v>388.32126639200129</v>
      </c>
      <c r="B706" s="65">
        <v>392.76851564637718</v>
      </c>
      <c r="C706" s="65">
        <v>386.89109372429448</v>
      </c>
      <c r="D706" s="65">
        <v>391.64200977797799</v>
      </c>
      <c r="E706" s="65">
        <v>3850891.479300146</v>
      </c>
      <c r="F706" s="65" t="s">
        <v>752</v>
      </c>
      <c r="G706" s="25">
        <f t="shared" si="23"/>
        <v>-8.4790275380806079E-3</v>
      </c>
      <c r="I706" s="65">
        <v>8.68</v>
      </c>
      <c r="J706" s="65">
        <v>9.14</v>
      </c>
      <c r="K706" s="65">
        <v>8.67</v>
      </c>
      <c r="L706" s="65">
        <v>9.1</v>
      </c>
      <c r="M706" s="65">
        <v>27922226</v>
      </c>
      <c r="N706" s="65" t="s">
        <v>752</v>
      </c>
      <c r="O706" s="25">
        <f t="shared" si="24"/>
        <v>-4.6153846153846101E-2</v>
      </c>
    </row>
    <row r="707" spans="1:15" ht="13.5" customHeight="1">
      <c r="A707" s="65">
        <v>390.37836406473019</v>
      </c>
      <c r="B707" s="65">
        <v>393.59135471546875</v>
      </c>
      <c r="C707" s="65">
        <v>388.1057609215249</v>
      </c>
      <c r="D707" s="65">
        <v>393.27789221295768</v>
      </c>
      <c r="E707" s="65">
        <v>3953701.8624937828</v>
      </c>
      <c r="F707" s="65" t="s">
        <v>753</v>
      </c>
      <c r="G707" s="25">
        <f t="shared" si="23"/>
        <v>-7.3727209325497034E-3</v>
      </c>
      <c r="I707" s="65">
        <v>9.11</v>
      </c>
      <c r="J707" s="65">
        <v>9.33</v>
      </c>
      <c r="K707" s="65">
        <v>9.01</v>
      </c>
      <c r="L707" s="65">
        <v>9.06</v>
      </c>
      <c r="M707" s="65">
        <v>29718224</v>
      </c>
      <c r="N707" s="65" t="s">
        <v>753</v>
      </c>
      <c r="O707" s="25">
        <f t="shared" si="24"/>
        <v>5.5187637969094094E-3</v>
      </c>
    </row>
    <row r="708" spans="1:15" ht="13.5" customHeight="1">
      <c r="A708" s="65">
        <v>392.73912853676677</v>
      </c>
      <c r="B708" s="65">
        <v>392.89585978802228</v>
      </c>
      <c r="C708" s="65">
        <v>389.8591917949463</v>
      </c>
      <c r="D708" s="65">
        <v>392.09261212533767</v>
      </c>
      <c r="E708" s="65">
        <v>4268998.2670342531</v>
      </c>
      <c r="F708" s="65" t="s">
        <v>754</v>
      </c>
      <c r="G708" s="25">
        <f t="shared" si="23"/>
        <v>1.6488870012740797E-3</v>
      </c>
      <c r="I708" s="65">
        <v>9.11</v>
      </c>
      <c r="J708" s="65">
        <v>9.1300000000000008</v>
      </c>
      <c r="K708" s="65">
        <v>8.82</v>
      </c>
      <c r="L708" s="65">
        <v>8.85</v>
      </c>
      <c r="M708" s="65">
        <v>18773808</v>
      </c>
      <c r="N708" s="65" t="s">
        <v>754</v>
      </c>
      <c r="O708" s="25">
        <f t="shared" si="24"/>
        <v>2.9378531073446235E-2</v>
      </c>
    </row>
    <row r="709" spans="1:15" ht="13.5" customHeight="1">
      <c r="A709" s="65">
        <v>391.08365469538018</v>
      </c>
      <c r="B709" s="65">
        <v>393.47380627702711</v>
      </c>
      <c r="C709" s="65">
        <v>389.26900067693714</v>
      </c>
      <c r="D709" s="65">
        <v>389.64368632446991</v>
      </c>
      <c r="E709" s="65">
        <v>3358247.9293924696</v>
      </c>
      <c r="F709" s="65" t="s">
        <v>755</v>
      </c>
      <c r="G709" s="25">
        <f t="shared" si="23"/>
        <v>3.6956029866506146E-3</v>
      </c>
      <c r="I709" s="65">
        <v>8.82</v>
      </c>
      <c r="J709" s="65">
        <v>9.11</v>
      </c>
      <c r="K709" s="65">
        <v>8.66</v>
      </c>
      <c r="L709" s="65">
        <v>8.6999999999999993</v>
      </c>
      <c r="M709" s="65">
        <v>22342581</v>
      </c>
      <c r="N709" s="65" t="s">
        <v>755</v>
      </c>
      <c r="O709" s="25">
        <f t="shared" si="24"/>
        <v>1.379310344827589E-2</v>
      </c>
    </row>
    <row r="710" spans="1:15" ht="13.5" customHeight="1">
      <c r="A710" s="65">
        <v>389.07553553866859</v>
      </c>
      <c r="B710" s="65">
        <v>389.56532069884213</v>
      </c>
      <c r="C710" s="65">
        <v>384.29523237537467</v>
      </c>
      <c r="D710" s="65">
        <v>384.77522183234476</v>
      </c>
      <c r="E710" s="65">
        <v>3021224.6517955987</v>
      </c>
      <c r="F710" s="65" t="s">
        <v>756</v>
      </c>
      <c r="G710" s="25">
        <f t="shared" si="23"/>
        <v>1.1176171079429809E-2</v>
      </c>
      <c r="I710" s="65">
        <v>8.61</v>
      </c>
      <c r="J710" s="65">
        <v>8.68</v>
      </c>
      <c r="K710" s="65">
        <v>8.5</v>
      </c>
      <c r="L710" s="65">
        <v>8.5399999999999991</v>
      </c>
      <c r="M710" s="65">
        <v>13059803</v>
      </c>
      <c r="N710" s="65" t="s">
        <v>756</v>
      </c>
      <c r="O710" s="25">
        <f t="shared" si="24"/>
        <v>8.19672131147553E-3</v>
      </c>
    </row>
    <row r="711" spans="1:15" ht="13.5" customHeight="1">
      <c r="A711" s="65">
        <v>386.49926559615568</v>
      </c>
      <c r="B711" s="65">
        <v>387.99311033468501</v>
      </c>
      <c r="C711" s="65">
        <v>378.51615931345486</v>
      </c>
      <c r="D711" s="65">
        <v>379.76961749537105</v>
      </c>
      <c r="E711" s="65">
        <v>4999354.2048769658</v>
      </c>
      <c r="F711" s="65" t="s">
        <v>757</v>
      </c>
      <c r="G711" s="25">
        <f t="shared" si="23"/>
        <v>1.7720343573473629E-2</v>
      </c>
      <c r="I711" s="65">
        <v>8.6300000000000008</v>
      </c>
      <c r="J711" s="65">
        <v>8.64</v>
      </c>
      <c r="K711" s="65">
        <v>8.3949999999999996</v>
      </c>
      <c r="L711" s="65">
        <v>8.57</v>
      </c>
      <c r="M711" s="65">
        <v>22566860</v>
      </c>
      <c r="N711" s="65" t="s">
        <v>757</v>
      </c>
      <c r="O711" s="25">
        <f t="shared" si="24"/>
        <v>7.001166861143604E-3</v>
      </c>
    </row>
    <row r="712" spans="1:15" ht="13.5" customHeight="1">
      <c r="A712" s="65">
        <v>381.94426360654165</v>
      </c>
      <c r="B712" s="65">
        <v>382.80520796109471</v>
      </c>
      <c r="C712" s="65">
        <v>379.04473545831416</v>
      </c>
      <c r="D712" s="65">
        <v>381.92467220013464</v>
      </c>
      <c r="E712" s="65">
        <v>3398521.7098251195</v>
      </c>
      <c r="F712" s="65" t="s">
        <v>758</v>
      </c>
      <c r="G712" s="25">
        <f t="shared" si="23"/>
        <v>5.1296519531396356E-5</v>
      </c>
      <c r="I712" s="65">
        <v>8.74</v>
      </c>
      <c r="J712" s="65">
        <v>8.84</v>
      </c>
      <c r="K712" s="65">
        <v>8.5500000000000007</v>
      </c>
      <c r="L712" s="65">
        <v>8.66</v>
      </c>
      <c r="M712" s="65">
        <v>11503371</v>
      </c>
      <c r="N712" s="65" t="s">
        <v>758</v>
      </c>
      <c r="O712" s="25">
        <f t="shared" si="24"/>
        <v>9.2378752886836946E-3</v>
      </c>
    </row>
    <row r="713" spans="1:15" ht="13.5" customHeight="1">
      <c r="A713" s="65">
        <v>382.26752181225618</v>
      </c>
      <c r="B713" s="65">
        <v>382.86505970766791</v>
      </c>
      <c r="C713" s="65">
        <v>378.50597178212325</v>
      </c>
      <c r="D713" s="65">
        <v>379.80880030818491</v>
      </c>
      <c r="E713" s="65">
        <v>4424123.4243033649</v>
      </c>
      <c r="F713" s="65" t="s">
        <v>759</v>
      </c>
      <c r="G713" s="25">
        <f t="shared" si="23"/>
        <v>6.4735769736672388E-3</v>
      </c>
      <c r="I713" s="65">
        <v>8.69</v>
      </c>
      <c r="J713" s="65">
        <v>8.7200000000000006</v>
      </c>
      <c r="K713" s="65">
        <v>8.5</v>
      </c>
      <c r="L713" s="65">
        <v>8.56</v>
      </c>
      <c r="M713" s="65">
        <v>16226468</v>
      </c>
      <c r="N713" s="65" t="s">
        <v>759</v>
      </c>
      <c r="O713" s="25">
        <f t="shared" si="24"/>
        <v>1.5186915887850372E-2</v>
      </c>
    </row>
    <row r="714" spans="1:15" ht="13.5" customHeight="1">
      <c r="A714" s="65">
        <v>379.47574639926688</v>
      </c>
      <c r="B714" s="65">
        <v>383.92299565364277</v>
      </c>
      <c r="C714" s="65">
        <v>378.14353076359481</v>
      </c>
      <c r="D714" s="65">
        <v>382.60057572117415</v>
      </c>
      <c r="E714" s="65">
        <v>7030289.5636524763</v>
      </c>
      <c r="F714" s="65" t="s">
        <v>760</v>
      </c>
      <c r="G714" s="25">
        <f t="shared" si="23"/>
        <v>-8.167340877669127E-3</v>
      </c>
      <c r="I714" s="65">
        <v>8.5399999999999991</v>
      </c>
      <c r="J714" s="65">
        <v>8.7675000000000001</v>
      </c>
      <c r="K714" s="65">
        <v>8.4700000000000006</v>
      </c>
      <c r="L714" s="65">
        <v>8.58</v>
      </c>
      <c r="M714" s="65">
        <v>17300047</v>
      </c>
      <c r="N714" s="65" t="s">
        <v>760</v>
      </c>
      <c r="O714" s="25">
        <f t="shared" si="24"/>
        <v>-4.6620046620047262E-3</v>
      </c>
    </row>
    <row r="715" spans="1:15" ht="13.5" customHeight="1">
      <c r="A715" s="65">
        <v>384.64787769069966</v>
      </c>
      <c r="B715" s="65">
        <v>385.71551138284599</v>
      </c>
      <c r="C715" s="65">
        <v>382.00303782576248</v>
      </c>
      <c r="D715" s="65">
        <v>383.89360854403236</v>
      </c>
      <c r="E715" s="65">
        <v>6008913.1711485982</v>
      </c>
      <c r="F715" s="65" t="s">
        <v>761</v>
      </c>
      <c r="G715" s="25">
        <f t="shared" si="23"/>
        <v>1.964786935442886E-3</v>
      </c>
      <c r="I715" s="65">
        <v>8.74</v>
      </c>
      <c r="J715" s="65">
        <v>8.9149999999999991</v>
      </c>
      <c r="K715" s="65">
        <v>8.56</v>
      </c>
      <c r="L715" s="65">
        <v>8.8699999999999992</v>
      </c>
      <c r="M715" s="65">
        <v>15763220</v>
      </c>
      <c r="N715" s="65" t="s">
        <v>761</v>
      </c>
      <c r="O715" s="25">
        <f t="shared" si="24"/>
        <v>-1.465614430665152E-2</v>
      </c>
    </row>
    <row r="716" spans="1:15" ht="13.5" customHeight="1">
      <c r="A716" s="65">
        <v>384.67726480031007</v>
      </c>
      <c r="B716" s="65">
        <v>388.63472889451236</v>
      </c>
      <c r="C716" s="65">
        <v>383.30586635182414</v>
      </c>
      <c r="D716" s="65">
        <v>388.51718045607072</v>
      </c>
      <c r="E716" s="65">
        <v>5886851.490107025</v>
      </c>
      <c r="F716" s="65" t="s">
        <v>762</v>
      </c>
      <c r="G716" s="25">
        <f t="shared" si="23"/>
        <v>-9.8835157077302727E-3</v>
      </c>
      <c r="I716" s="65">
        <v>8.91</v>
      </c>
      <c r="J716" s="65">
        <v>8.93</v>
      </c>
      <c r="K716" s="65">
        <v>8.67</v>
      </c>
      <c r="L716" s="65">
        <v>8.74</v>
      </c>
      <c r="M716" s="65">
        <v>21165591</v>
      </c>
      <c r="N716" s="65" t="s">
        <v>762</v>
      </c>
      <c r="O716" s="25">
        <f t="shared" si="24"/>
        <v>1.9450800915331801E-2</v>
      </c>
    </row>
    <row r="717" spans="1:15" ht="13.5" customHeight="1">
      <c r="A717" s="65">
        <v>385.59806090143633</v>
      </c>
      <c r="B717" s="65">
        <v>387.1947605236021</v>
      </c>
      <c r="C717" s="65">
        <v>382.35568314108741</v>
      </c>
      <c r="D717" s="65">
        <v>382.88465111407487</v>
      </c>
      <c r="E717" s="65">
        <v>4150569.8116285275</v>
      </c>
      <c r="F717" s="65" t="s">
        <v>763</v>
      </c>
      <c r="G717" s="25">
        <f t="shared" si="23"/>
        <v>7.0867551871465206E-3</v>
      </c>
      <c r="I717" s="65">
        <v>8.56</v>
      </c>
      <c r="J717" s="65">
        <v>8.6549999999999994</v>
      </c>
      <c r="K717" s="65">
        <v>8.34</v>
      </c>
      <c r="L717" s="65">
        <v>8.42</v>
      </c>
      <c r="M717" s="65">
        <v>16715358</v>
      </c>
      <c r="N717" s="65" t="s">
        <v>763</v>
      </c>
      <c r="O717" s="25">
        <f t="shared" si="24"/>
        <v>1.6627078384798155E-2</v>
      </c>
    </row>
    <row r="718" spans="1:15" ht="13.5" customHeight="1">
      <c r="A718" s="65">
        <v>383.36219164524408</v>
      </c>
      <c r="B718" s="65">
        <v>384.86499876025914</v>
      </c>
      <c r="C718" s="65">
        <v>380.04430580689905</v>
      </c>
      <c r="D718" s="65">
        <v>384.32828193346802</v>
      </c>
      <c r="E718" s="65">
        <v>4957425.903540004</v>
      </c>
      <c r="F718" s="65" t="s">
        <v>764</v>
      </c>
      <c r="G718" s="25">
        <f t="shared" si="23"/>
        <v>-2.5137111517365973E-3</v>
      </c>
      <c r="I718" s="65">
        <v>8.49</v>
      </c>
      <c r="J718" s="65">
        <v>8.61</v>
      </c>
      <c r="K718" s="65">
        <v>8.3699999999999992</v>
      </c>
      <c r="L718" s="65">
        <v>8.39</v>
      </c>
      <c r="M718" s="65">
        <v>14303941</v>
      </c>
      <c r="N718" s="65" t="s">
        <v>764</v>
      </c>
      <c r="O718" s="25">
        <f t="shared" si="24"/>
        <v>1.1918951132300348E-2</v>
      </c>
    </row>
    <row r="719" spans="1:15" ht="13.5" customHeight="1">
      <c r="A719" s="65">
        <v>383.27436525540548</v>
      </c>
      <c r="B719" s="65">
        <v>386.78742084894725</v>
      </c>
      <c r="C719" s="65">
        <v>382.49368623461845</v>
      </c>
      <c r="D719" s="65">
        <v>386.16287763231765</v>
      </c>
      <c r="E719" s="65">
        <v>5876662.5947943795</v>
      </c>
      <c r="F719" s="65" t="s">
        <v>765</v>
      </c>
      <c r="G719" s="25">
        <f t="shared" si="23"/>
        <v>-7.4800363893663402E-3</v>
      </c>
      <c r="I719" s="65">
        <v>8.34</v>
      </c>
      <c r="J719" s="65">
        <v>8.49</v>
      </c>
      <c r="K719" s="65">
        <v>8.2799999999999994</v>
      </c>
      <c r="L719" s="65">
        <v>8.43</v>
      </c>
      <c r="M719" s="65">
        <v>25839896</v>
      </c>
      <c r="N719" s="65" t="s">
        <v>765</v>
      </c>
      <c r="O719" s="25">
        <f t="shared" si="24"/>
        <v>-1.0676156583629859E-2</v>
      </c>
    </row>
    <row r="720" spans="1:15" ht="13.5" customHeight="1">
      <c r="A720" s="65">
        <v>388.98308059491086</v>
      </c>
      <c r="B720" s="65">
        <v>389.01157537916959</v>
      </c>
      <c r="C720" s="65">
        <v>385.82133056072325</v>
      </c>
      <c r="D720" s="65">
        <v>386.20191158335695</v>
      </c>
      <c r="E720" s="65">
        <v>3307787.1074293554</v>
      </c>
      <c r="F720" s="65" t="s">
        <v>766</v>
      </c>
      <c r="G720" s="25">
        <f t="shared" si="23"/>
        <v>7.2013341419041588E-3</v>
      </c>
      <c r="I720" s="65">
        <v>8.6</v>
      </c>
      <c r="J720" s="65">
        <v>8.7100000000000009</v>
      </c>
      <c r="K720" s="65">
        <v>8.5500000000000007</v>
      </c>
      <c r="L720" s="65">
        <v>8.6</v>
      </c>
      <c r="M720" s="65">
        <v>10074727</v>
      </c>
      <c r="N720" s="65" t="s">
        <v>766</v>
      </c>
      <c r="O720" s="25">
        <f t="shared" si="24"/>
        <v>0</v>
      </c>
    </row>
    <row r="721" spans="1:15" ht="13.5" customHeight="1">
      <c r="A721" s="65">
        <v>387.37293011453755</v>
      </c>
      <c r="B721" s="65">
        <v>390.65763709449914</v>
      </c>
      <c r="C721" s="65">
        <v>386.9777113602641</v>
      </c>
      <c r="D721" s="65">
        <v>389.16361261846788</v>
      </c>
      <c r="E721" s="65">
        <v>7384881.9380181106</v>
      </c>
      <c r="F721" s="65" t="s">
        <v>767</v>
      </c>
      <c r="G721" s="25">
        <f t="shared" si="23"/>
        <v>-4.6013616018255599E-3</v>
      </c>
      <c r="I721" s="65">
        <v>8.69</v>
      </c>
      <c r="J721" s="65">
        <v>8.8849999999999998</v>
      </c>
      <c r="K721" s="65">
        <v>8.67</v>
      </c>
      <c r="L721" s="65">
        <v>8.7200000000000006</v>
      </c>
      <c r="M721" s="65">
        <v>11432549</v>
      </c>
      <c r="N721" s="65" t="s">
        <v>767</v>
      </c>
      <c r="O721" s="25">
        <f t="shared" si="24"/>
        <v>-3.4403669724771824E-3</v>
      </c>
    </row>
    <row r="722" spans="1:15" ht="13.5" customHeight="1">
      <c r="A722" s="65">
        <v>388.30974493948202</v>
      </c>
      <c r="B722" s="65">
        <v>392.34000038429519</v>
      </c>
      <c r="C722" s="65">
        <v>388.08529972100575</v>
      </c>
      <c r="D722" s="65">
        <v>392.09603819029928</v>
      </c>
      <c r="E722" s="65">
        <v>4747804.284868842</v>
      </c>
      <c r="F722" s="65" t="s">
        <v>768</v>
      </c>
      <c r="G722" s="25">
        <f t="shared" si="23"/>
        <v>-9.656545545047357E-3</v>
      </c>
      <c r="I722" s="65">
        <v>8.6300000000000008</v>
      </c>
      <c r="J722" s="65">
        <v>8.9749999999999996</v>
      </c>
      <c r="K722" s="65">
        <v>8.61</v>
      </c>
      <c r="L722" s="65">
        <v>8.86</v>
      </c>
      <c r="M722" s="65">
        <v>21616326</v>
      </c>
      <c r="N722" s="65" t="s">
        <v>768</v>
      </c>
      <c r="O722" s="25">
        <f t="shared" si="24"/>
        <v>-2.5959367945823764E-2</v>
      </c>
    </row>
    <row r="723" spans="1:15" ht="13.5" customHeight="1">
      <c r="A723" s="65">
        <v>394.77962232425477</v>
      </c>
      <c r="B723" s="65">
        <v>399.94186234920915</v>
      </c>
      <c r="C723" s="65">
        <v>394.56493559353828</v>
      </c>
      <c r="D723" s="65">
        <v>399.57103981433528</v>
      </c>
      <c r="E723" s="65">
        <v>4108643.7762427176</v>
      </c>
      <c r="F723" s="65" t="s">
        <v>769</v>
      </c>
      <c r="G723" s="25">
        <f t="shared" si="23"/>
        <v>-1.1991403311678694E-2</v>
      </c>
      <c r="I723" s="65">
        <v>9.0299999999999994</v>
      </c>
      <c r="J723" s="65">
        <v>9.3785000000000007</v>
      </c>
      <c r="K723" s="65">
        <v>8.9499999999999993</v>
      </c>
      <c r="L723" s="65">
        <v>9.06</v>
      </c>
      <c r="M723" s="65">
        <v>24692103</v>
      </c>
      <c r="N723" s="65" t="s">
        <v>769</v>
      </c>
      <c r="O723" s="25">
        <f t="shared" si="24"/>
        <v>-3.3112582781458233E-3</v>
      </c>
    </row>
    <row r="724" spans="1:15" ht="13.5" customHeight="1">
      <c r="A724" s="65">
        <v>398.50736464851298</v>
      </c>
      <c r="B724" s="65">
        <v>398.93185886606591</v>
      </c>
      <c r="C724" s="65">
        <v>395.91160690439597</v>
      </c>
      <c r="D724" s="65">
        <v>398.36098733211543</v>
      </c>
      <c r="E724" s="65">
        <v>3719606.0386923924</v>
      </c>
      <c r="F724" s="65" t="s">
        <v>770</v>
      </c>
      <c r="G724" s="25">
        <f t="shared" si="23"/>
        <v>3.6744892459950051E-4</v>
      </c>
      <c r="I724" s="65">
        <v>9</v>
      </c>
      <c r="J724" s="65">
        <v>9.0050000000000008</v>
      </c>
      <c r="K724" s="65">
        <v>8.6199999999999992</v>
      </c>
      <c r="L724" s="65">
        <v>8.82</v>
      </c>
      <c r="M724" s="65">
        <v>20107921</v>
      </c>
      <c r="N724" s="65" t="s">
        <v>770</v>
      </c>
      <c r="O724" s="25">
        <f t="shared" si="24"/>
        <v>2.0408163265306145E-2</v>
      </c>
    </row>
    <row r="725" spans="1:15" ht="13.5" customHeight="1">
      <c r="A725" s="65">
        <v>399.30756064481966</v>
      </c>
      <c r="B725" s="65">
        <v>400.42978673720103</v>
      </c>
      <c r="C725" s="65">
        <v>398.30243640555636</v>
      </c>
      <c r="D725" s="65">
        <v>398.71229289146953</v>
      </c>
      <c r="E725" s="65">
        <v>3089178.4405435175</v>
      </c>
      <c r="F725" s="65" t="s">
        <v>771</v>
      </c>
      <c r="G725" s="25">
        <f t="shared" si="23"/>
        <v>1.4929756718391474E-3</v>
      </c>
      <c r="I725" s="65">
        <v>8.89</v>
      </c>
      <c r="J725" s="65">
        <v>9.1</v>
      </c>
      <c r="K725" s="65">
        <v>8.81</v>
      </c>
      <c r="L725" s="65">
        <v>9.08</v>
      </c>
      <c r="M725" s="65">
        <v>20619751</v>
      </c>
      <c r="N725" s="65" t="s">
        <v>771</v>
      </c>
      <c r="O725" s="25">
        <f t="shared" si="24"/>
        <v>-2.0925110132158586E-2</v>
      </c>
    </row>
    <row r="726" spans="1:15" ht="13.5" customHeight="1">
      <c r="A726" s="65">
        <v>398.86842869562696</v>
      </c>
      <c r="B726" s="65">
        <v>402.70351438524341</v>
      </c>
      <c r="C726" s="65">
        <v>398.61470801387117</v>
      </c>
      <c r="D726" s="65">
        <v>402.38148428916867</v>
      </c>
      <c r="E726" s="65">
        <v>4103125.5031941393</v>
      </c>
      <c r="F726" s="65" t="s">
        <v>772</v>
      </c>
      <c r="G726" s="25">
        <f t="shared" si="23"/>
        <v>-8.7306591647667853E-3</v>
      </c>
      <c r="I726" s="65">
        <v>9.16</v>
      </c>
      <c r="J726" s="65">
        <v>9.2449999999999992</v>
      </c>
      <c r="K726" s="65">
        <v>9.0399999999999991</v>
      </c>
      <c r="L726" s="65">
        <v>9.19</v>
      </c>
      <c r="M726" s="65">
        <v>16283745</v>
      </c>
      <c r="N726" s="65" t="s">
        <v>772</v>
      </c>
      <c r="O726" s="25">
        <f t="shared" si="24"/>
        <v>-3.2644178454841466E-3</v>
      </c>
    </row>
    <row r="727" spans="1:15" ht="13.5" customHeight="1">
      <c r="A727" s="65">
        <v>403.90380837970343</v>
      </c>
      <c r="B727" s="65">
        <v>404.49907613305362</v>
      </c>
      <c r="C727" s="65">
        <v>401.48370341526362</v>
      </c>
      <c r="D727" s="65">
        <v>402.70351438524341</v>
      </c>
      <c r="E727" s="65">
        <v>3751504.4237353187</v>
      </c>
      <c r="F727" s="65" t="s">
        <v>773</v>
      </c>
      <c r="G727" s="25">
        <f t="shared" si="23"/>
        <v>2.9805898175294665E-3</v>
      </c>
      <c r="I727" s="65">
        <v>9.16</v>
      </c>
      <c r="J727" s="65">
        <v>9.4</v>
      </c>
      <c r="K727" s="65">
        <v>9.15</v>
      </c>
      <c r="L727" s="65">
        <v>9.3650000000000002</v>
      </c>
      <c r="M727" s="65">
        <v>12847585</v>
      </c>
      <c r="N727" s="65" t="s">
        <v>773</v>
      </c>
      <c r="O727" s="25">
        <f t="shared" si="24"/>
        <v>-2.1890016017084846E-2</v>
      </c>
    </row>
    <row r="728" spans="1:15" ht="13.5" customHeight="1">
      <c r="A728" s="65">
        <v>400.43954522496091</v>
      </c>
      <c r="B728" s="65">
        <v>401.46418643974391</v>
      </c>
      <c r="C728" s="65">
        <v>399.11239088962293</v>
      </c>
      <c r="D728" s="65">
        <v>400.12727361664605</v>
      </c>
      <c r="E728" s="65">
        <v>2592356.5846046028</v>
      </c>
      <c r="F728" s="65" t="s">
        <v>774</v>
      </c>
      <c r="G728" s="25">
        <f t="shared" si="23"/>
        <v>7.8043070019284677E-4</v>
      </c>
      <c r="I728" s="65">
        <v>9.2899999999999991</v>
      </c>
      <c r="J728" s="65">
        <v>9.5374999999999996</v>
      </c>
      <c r="K728" s="65">
        <v>9.2799999999999994</v>
      </c>
      <c r="L728" s="65">
        <v>9.49</v>
      </c>
      <c r="M728" s="65">
        <v>12832445</v>
      </c>
      <c r="N728" s="65" t="s">
        <v>774</v>
      </c>
      <c r="O728" s="25">
        <f t="shared" si="24"/>
        <v>-2.1074815595363616E-2</v>
      </c>
    </row>
    <row r="729" spans="1:15" ht="13.5" customHeight="1">
      <c r="A729" s="65">
        <v>399.97113781248868</v>
      </c>
      <c r="B729" s="65">
        <v>402.19607302173176</v>
      </c>
      <c r="C729" s="65">
        <v>399.40514552241808</v>
      </c>
      <c r="D729" s="65">
        <v>400.78109229655524</v>
      </c>
      <c r="E729" s="65">
        <v>7783271.5344061935</v>
      </c>
      <c r="F729" s="65" t="s">
        <v>775</v>
      </c>
      <c r="G729" s="25">
        <f t="shared" si="23"/>
        <v>-2.020939858777715E-3</v>
      </c>
      <c r="I729" s="65">
        <v>9.58</v>
      </c>
      <c r="J729" s="65">
        <v>9.6300000000000008</v>
      </c>
      <c r="K729" s="65">
        <v>9.36</v>
      </c>
      <c r="L729" s="65">
        <v>9.36</v>
      </c>
      <c r="M729" s="65">
        <v>13528624</v>
      </c>
      <c r="N729" s="65" t="s">
        <v>775</v>
      </c>
      <c r="O729" s="25">
        <f t="shared" si="24"/>
        <v>2.3504273504273643E-2</v>
      </c>
    </row>
    <row r="730" spans="1:15" ht="13.5" customHeight="1">
      <c r="A730" s="65">
        <v>402.12776360741293</v>
      </c>
      <c r="B730" s="65">
        <v>402.42051824020808</v>
      </c>
      <c r="C730" s="65">
        <v>400.3809942984019</v>
      </c>
      <c r="D730" s="65">
        <v>401.93259385221614</v>
      </c>
      <c r="E730" s="65">
        <v>3429386.8910437454</v>
      </c>
      <c r="F730" s="65" t="s">
        <v>776</v>
      </c>
      <c r="G730" s="25">
        <f t="shared" si="23"/>
        <v>4.8557832378359755E-4</v>
      </c>
      <c r="I730" s="65">
        <v>9.44</v>
      </c>
      <c r="J730" s="65">
        <v>9.6349999999999998</v>
      </c>
      <c r="K730" s="65">
        <v>9.43</v>
      </c>
      <c r="L730" s="65">
        <v>9.48</v>
      </c>
      <c r="M730" s="65">
        <v>16848031</v>
      </c>
      <c r="N730" s="65" t="s">
        <v>776</v>
      </c>
      <c r="O730" s="25">
        <f t="shared" si="24"/>
        <v>-4.2194092827004814E-3</v>
      </c>
    </row>
    <row r="731" spans="1:15" ht="13.5" customHeight="1">
      <c r="A731" s="65">
        <v>399.50273040001645</v>
      </c>
      <c r="B731" s="65">
        <v>400.91771112519297</v>
      </c>
      <c r="C731" s="65">
        <v>398.62446650163099</v>
      </c>
      <c r="D731" s="65">
        <v>398.94649659770567</v>
      </c>
      <c r="E731" s="65">
        <v>4227317.901629867</v>
      </c>
      <c r="F731" s="65" t="s">
        <v>777</v>
      </c>
      <c r="G731" s="25">
        <f t="shared" si="23"/>
        <v>1.3942566410645174E-3</v>
      </c>
      <c r="I731" s="65">
        <v>9.39</v>
      </c>
      <c r="J731" s="65">
        <v>9.74</v>
      </c>
      <c r="K731" s="65">
        <v>9.39</v>
      </c>
      <c r="L731" s="65">
        <v>9.68</v>
      </c>
      <c r="M731" s="65">
        <v>21044834</v>
      </c>
      <c r="N731" s="65" t="s">
        <v>777</v>
      </c>
      <c r="O731" s="25">
        <f t="shared" si="24"/>
        <v>-2.9958677685950286E-2</v>
      </c>
    </row>
    <row r="732" spans="1:15" ht="13.5" customHeight="1">
      <c r="A732" s="65">
        <v>398.9562550854655</v>
      </c>
      <c r="B732" s="65">
        <v>399.5417643510558</v>
      </c>
      <c r="C732" s="65">
        <v>397.02895375289745</v>
      </c>
      <c r="D732" s="65">
        <v>397.33634611733237</v>
      </c>
      <c r="E732" s="65">
        <v>2301339.1575307297</v>
      </c>
      <c r="F732" s="65" t="s">
        <v>778</v>
      </c>
      <c r="G732" s="25">
        <f t="shared" si="23"/>
        <v>4.0769211877103029E-3</v>
      </c>
      <c r="I732" s="65">
        <v>9.7200000000000006</v>
      </c>
      <c r="J732" s="65">
        <v>9.82</v>
      </c>
      <c r="K732" s="65">
        <v>9.4149999999999991</v>
      </c>
      <c r="L732" s="65">
        <v>9.4499999999999993</v>
      </c>
      <c r="M732" s="65">
        <v>17158280</v>
      </c>
      <c r="N732" s="65" t="s">
        <v>778</v>
      </c>
      <c r="O732" s="25">
        <f t="shared" si="24"/>
        <v>2.8571428571428692E-2</v>
      </c>
    </row>
    <row r="733" spans="1:15" ht="13.5" customHeight="1">
      <c r="A733" s="65">
        <v>400.14679059216576</v>
      </c>
      <c r="B733" s="65">
        <v>402.17655604621211</v>
      </c>
      <c r="C733" s="65">
        <v>397.98040630948168</v>
      </c>
      <c r="D733" s="65">
        <v>402.14728058293264</v>
      </c>
      <c r="E733" s="65">
        <v>3836729.7189314449</v>
      </c>
      <c r="F733" s="65" t="s">
        <v>779</v>
      </c>
      <c r="G733" s="25">
        <f t="shared" si="23"/>
        <v>-4.9745207473915753E-3</v>
      </c>
      <c r="I733" s="65">
        <v>9.6300000000000008</v>
      </c>
      <c r="J733" s="65">
        <v>10.29</v>
      </c>
      <c r="K733" s="65">
        <v>9.57</v>
      </c>
      <c r="L733" s="65">
        <v>10.27</v>
      </c>
      <c r="M733" s="65">
        <v>40061445</v>
      </c>
      <c r="N733" s="65" t="s">
        <v>779</v>
      </c>
      <c r="O733" s="25">
        <f t="shared" si="24"/>
        <v>-6.2317429406036906E-2</v>
      </c>
    </row>
    <row r="734" spans="1:15" ht="13.5" customHeight="1">
      <c r="A734" s="65">
        <v>402.92795960371961</v>
      </c>
      <c r="B734" s="65">
        <v>404.46004218201426</v>
      </c>
      <c r="C734" s="65">
        <v>402.80109926284172</v>
      </c>
      <c r="D734" s="65">
        <v>404.19656301249859</v>
      </c>
      <c r="E734" s="65">
        <v>4536242.8164519137</v>
      </c>
      <c r="F734" s="65" t="s">
        <v>780</v>
      </c>
      <c r="G734" s="25">
        <f t="shared" si="23"/>
        <v>-3.1385803959439462E-3</v>
      </c>
      <c r="I734" s="65">
        <v>10.46</v>
      </c>
      <c r="J734" s="65">
        <v>10.6</v>
      </c>
      <c r="K734" s="65">
        <v>10.23</v>
      </c>
      <c r="L734" s="65">
        <v>10.27</v>
      </c>
      <c r="M734" s="65">
        <v>20595150</v>
      </c>
      <c r="N734" s="65" t="s">
        <v>780</v>
      </c>
      <c r="O734" s="25">
        <f t="shared" si="24"/>
        <v>1.8500486854917453E-2</v>
      </c>
    </row>
    <row r="735" spans="1:15" ht="13.5" customHeight="1">
      <c r="A735" s="65">
        <v>404.69424588825035</v>
      </c>
      <c r="B735" s="65">
        <v>406.81183773213525</v>
      </c>
      <c r="C735" s="65">
        <v>403.23047272427465</v>
      </c>
      <c r="D735" s="65">
        <v>406.40198124622202</v>
      </c>
      <c r="E735" s="65">
        <v>3676769.4834506679</v>
      </c>
      <c r="F735" s="65" t="s">
        <v>781</v>
      </c>
      <c r="G735" s="25">
        <f t="shared" si="23"/>
        <v>-4.2020842337798792E-3</v>
      </c>
      <c r="I735" s="65">
        <v>10.44</v>
      </c>
      <c r="J735" s="65">
        <v>10.54</v>
      </c>
      <c r="K735" s="65">
        <v>10.31</v>
      </c>
      <c r="L735" s="65">
        <v>10.41</v>
      </c>
      <c r="M735" s="65">
        <v>17971265</v>
      </c>
      <c r="N735" s="65" t="s">
        <v>781</v>
      </c>
      <c r="O735" s="25">
        <f t="shared" si="24"/>
        <v>2.8818443804032867E-3</v>
      </c>
    </row>
    <row r="736" spans="1:15" ht="13.5" customHeight="1">
      <c r="A736" s="65">
        <v>403.8354989653846</v>
      </c>
      <c r="B736" s="65">
        <v>406.07019266238757</v>
      </c>
      <c r="C736" s="65">
        <v>403.6696046734674</v>
      </c>
      <c r="D736" s="65">
        <v>404.95967675531801</v>
      </c>
      <c r="E736" s="65">
        <v>4868716.4619436599</v>
      </c>
      <c r="F736" s="65" t="s">
        <v>782</v>
      </c>
      <c r="G736" s="25">
        <f t="shared" si="23"/>
        <v>-2.7760240203190678E-3</v>
      </c>
      <c r="I736" s="65">
        <v>10.35</v>
      </c>
      <c r="J736" s="65">
        <v>10.44</v>
      </c>
      <c r="K736" s="65">
        <v>10.130000000000001</v>
      </c>
      <c r="L736" s="65">
        <v>10.130000000000001</v>
      </c>
      <c r="M736" s="65">
        <v>20863626</v>
      </c>
      <c r="N736" s="65" t="s">
        <v>782</v>
      </c>
      <c r="O736" s="25">
        <f t="shared" si="24"/>
        <v>2.1717670286278246E-2</v>
      </c>
    </row>
    <row r="737" spans="1:15" ht="13.5" customHeight="1">
      <c r="A737" s="65">
        <v>404.35269881665607</v>
      </c>
      <c r="B737" s="65">
        <v>405.0057368175444</v>
      </c>
      <c r="C737" s="65">
        <v>402.44003521572773</v>
      </c>
      <c r="D737" s="65">
        <v>403.05481994459751</v>
      </c>
      <c r="E737" s="65">
        <v>3078874.5899393465</v>
      </c>
      <c r="F737" s="65" t="s">
        <v>783</v>
      </c>
      <c r="G737" s="25">
        <f t="shared" si="23"/>
        <v>3.2201050771132333E-3</v>
      </c>
      <c r="I737" s="65">
        <v>10.119999999999999</v>
      </c>
      <c r="J737" s="65">
        <v>10.17</v>
      </c>
      <c r="K737" s="65">
        <v>9.75</v>
      </c>
      <c r="L737" s="65">
        <v>9.82</v>
      </c>
      <c r="M737" s="65">
        <v>30608907</v>
      </c>
      <c r="N737" s="65" t="s">
        <v>783</v>
      </c>
      <c r="O737" s="25">
        <f t="shared" si="24"/>
        <v>3.054989816700604E-2</v>
      </c>
    </row>
    <row r="738" spans="1:15" ht="13.5" customHeight="1">
      <c r="A738" s="65">
        <v>402.67423892196388</v>
      </c>
      <c r="B738" s="65">
        <v>403.00602750579839</v>
      </c>
      <c r="C738" s="65">
        <v>396.75083685174206</v>
      </c>
      <c r="D738" s="65">
        <v>396.95576509469862</v>
      </c>
      <c r="E738" s="65">
        <v>3568856.2466954826</v>
      </c>
      <c r="F738" s="65" t="s">
        <v>784</v>
      </c>
      <c r="G738" s="25">
        <f t="shared" si="23"/>
        <v>1.4405821328482338E-2</v>
      </c>
      <c r="I738" s="65">
        <v>9.89</v>
      </c>
      <c r="J738" s="65">
        <v>9.9</v>
      </c>
      <c r="K738" s="65">
        <v>9.4250000000000007</v>
      </c>
      <c r="L738" s="65">
        <v>9.48</v>
      </c>
      <c r="M738" s="65">
        <v>18276490</v>
      </c>
      <c r="N738" s="65" t="s">
        <v>784</v>
      </c>
      <c r="O738" s="25">
        <f t="shared" si="24"/>
        <v>4.3248945147679407E-2</v>
      </c>
    </row>
    <row r="739" spans="1:15" ht="13.5" customHeight="1">
      <c r="A739" s="65">
        <v>397.03383299677739</v>
      </c>
      <c r="B739" s="65">
        <v>397.59982528684799</v>
      </c>
      <c r="C739" s="65">
        <v>395.3163391510459</v>
      </c>
      <c r="D739" s="65">
        <v>396.54590860878545</v>
      </c>
      <c r="E739" s="65">
        <v>3316816.1703506233</v>
      </c>
      <c r="F739" s="65" t="s">
        <v>785</v>
      </c>
      <c r="G739" s="25">
        <f t="shared" si="23"/>
        <v>1.2304360665420511E-3</v>
      </c>
      <c r="I739" s="65">
        <v>9.4499999999999993</v>
      </c>
      <c r="J739" s="65">
        <v>9.5500000000000007</v>
      </c>
      <c r="K739" s="65">
        <v>9.3249999999999993</v>
      </c>
      <c r="L739" s="65">
        <v>9.34</v>
      </c>
      <c r="M739" s="65">
        <v>11979105</v>
      </c>
      <c r="N739" s="65" t="s">
        <v>785</v>
      </c>
      <c r="O739" s="25">
        <f t="shared" si="24"/>
        <v>1.1777301927194728E-2</v>
      </c>
    </row>
    <row r="740" spans="1:15" ht="13.5" customHeight="1">
      <c r="A740" s="65">
        <v>394.43807525266038</v>
      </c>
      <c r="B740" s="65">
        <v>395.99943329423456</v>
      </c>
      <c r="C740" s="65">
        <v>390.05651424849304</v>
      </c>
      <c r="D740" s="65">
        <v>393.34512462355855</v>
      </c>
      <c r="E740" s="65">
        <v>4527171.7388240546</v>
      </c>
      <c r="F740" s="65" t="s">
        <v>786</v>
      </c>
      <c r="G740" s="25">
        <f t="shared" si="23"/>
        <v>2.7786047434750216E-3</v>
      </c>
      <c r="I740" s="65">
        <v>9.25</v>
      </c>
      <c r="J740" s="65">
        <v>9.41</v>
      </c>
      <c r="K740" s="65">
        <v>9</v>
      </c>
      <c r="L740" s="65">
        <v>9.39</v>
      </c>
      <c r="M740" s="65">
        <v>19434876</v>
      </c>
      <c r="N740" s="65" t="s">
        <v>786</v>
      </c>
      <c r="O740" s="25">
        <f t="shared" si="24"/>
        <v>-1.4909478168264156E-2</v>
      </c>
    </row>
    <row r="741" spans="1:15" ht="13.5" customHeight="1">
      <c r="A741" s="65">
        <v>391.84231750854349</v>
      </c>
      <c r="B741" s="65">
        <v>399.1992414306855</v>
      </c>
      <c r="C741" s="65">
        <v>391.70569867990571</v>
      </c>
      <c r="D741" s="65">
        <v>398.73180986698924</v>
      </c>
      <c r="E741" s="65">
        <v>3544392.4152212543</v>
      </c>
      <c r="F741" s="65" t="s">
        <v>787</v>
      </c>
      <c r="G741" s="25">
        <f t="shared" si="23"/>
        <v>-1.7278511992168344E-2</v>
      </c>
      <c r="I741" s="65">
        <v>9.3699999999999992</v>
      </c>
      <c r="J741" s="65">
        <v>9.4600000000000009</v>
      </c>
      <c r="K741" s="65">
        <v>9.0602999999999998</v>
      </c>
      <c r="L741" s="65">
        <v>9.3800000000000008</v>
      </c>
      <c r="M741" s="65">
        <v>20443889</v>
      </c>
      <c r="N741" s="65" t="s">
        <v>787</v>
      </c>
      <c r="O741" s="25">
        <f t="shared" si="24"/>
        <v>-1.0660980810236476E-3</v>
      </c>
    </row>
    <row r="742" spans="1:15" ht="13.5" customHeight="1">
      <c r="A742" s="65">
        <v>397.12165938661593</v>
      </c>
      <c r="B742" s="65">
        <v>397.82427050532431</v>
      </c>
      <c r="C742" s="65">
        <v>393.72570564619224</v>
      </c>
      <c r="D742" s="65">
        <v>393.81353203603078</v>
      </c>
      <c r="E742" s="65">
        <v>3330397.1680688797</v>
      </c>
      <c r="F742" s="65" t="s">
        <v>788</v>
      </c>
      <c r="G742" s="25">
        <f t="shared" si="23"/>
        <v>8.4002378828427204E-3</v>
      </c>
      <c r="I742" s="65">
        <v>9.24</v>
      </c>
      <c r="J742" s="65">
        <v>9.33</v>
      </c>
      <c r="K742" s="65">
        <v>9.19</v>
      </c>
      <c r="L742" s="65">
        <v>9.19</v>
      </c>
      <c r="M742" s="65">
        <v>10358941</v>
      </c>
      <c r="N742" s="65" t="s">
        <v>788</v>
      </c>
      <c r="O742" s="25">
        <f t="shared" si="24"/>
        <v>5.4406964091404664E-3</v>
      </c>
    </row>
    <row r="743" spans="1:15" ht="13.5" customHeight="1">
      <c r="A743" s="65">
        <v>392.88647569884614</v>
      </c>
      <c r="B743" s="65">
        <v>395.60909378384099</v>
      </c>
      <c r="C743" s="65">
        <v>392.34975887205502</v>
      </c>
      <c r="D743" s="65">
        <v>395.56030134504181</v>
      </c>
      <c r="E743" s="65">
        <v>2713587.4586001462</v>
      </c>
      <c r="F743" s="65" t="s">
        <v>789</v>
      </c>
      <c r="G743" s="25">
        <f t="shared" si="23"/>
        <v>-6.7595904773651849E-3</v>
      </c>
      <c r="I743" s="65">
        <v>9.25</v>
      </c>
      <c r="J743" s="65">
        <v>9.4700000000000006</v>
      </c>
      <c r="K743" s="65">
        <v>9.19</v>
      </c>
      <c r="L743" s="65">
        <v>9.41</v>
      </c>
      <c r="M743" s="65">
        <v>14963599</v>
      </c>
      <c r="N743" s="65" t="s">
        <v>789</v>
      </c>
      <c r="O743" s="25">
        <f t="shared" si="24"/>
        <v>-1.7003188097768351E-2</v>
      </c>
    </row>
    <row r="744" spans="1:15" ht="13.5" customHeight="1">
      <c r="A744" s="65">
        <v>393.98918481570786</v>
      </c>
      <c r="B744" s="65">
        <v>394.62348652009734</v>
      </c>
      <c r="C744" s="65">
        <v>390.32975190576855</v>
      </c>
      <c r="D744" s="65">
        <v>392.42782677413373</v>
      </c>
      <c r="E744" s="65">
        <v>3373918.2556033526</v>
      </c>
      <c r="F744" s="65" t="s">
        <v>790</v>
      </c>
      <c r="G744" s="25">
        <f t="shared" si="23"/>
        <v>3.9787138807381162E-3</v>
      </c>
      <c r="I744" s="65">
        <v>9.36</v>
      </c>
      <c r="J744" s="65">
        <v>9.39</v>
      </c>
      <c r="K744" s="65">
        <v>9.14</v>
      </c>
      <c r="L744" s="65">
        <v>9.24</v>
      </c>
      <c r="M744" s="65">
        <v>13634027</v>
      </c>
      <c r="N744" s="65" t="s">
        <v>790</v>
      </c>
      <c r="O744" s="25">
        <f t="shared" si="24"/>
        <v>1.298701298701288E-2</v>
      </c>
    </row>
    <row r="745" spans="1:15" ht="13.5" customHeight="1">
      <c r="A745" s="65">
        <v>391.40318555935073</v>
      </c>
      <c r="B745" s="65">
        <v>392.31072492101566</v>
      </c>
      <c r="C745" s="65">
        <v>388.24143552516318</v>
      </c>
      <c r="D745" s="65">
        <v>388.55370713347799</v>
      </c>
      <c r="E745" s="65">
        <v>4260564.8562794654</v>
      </c>
      <c r="F745" s="65" t="s">
        <v>791</v>
      </c>
      <c r="G745" s="25">
        <f t="shared" si="23"/>
        <v>7.3335509958056821E-3</v>
      </c>
      <c r="I745" s="65">
        <v>9.18</v>
      </c>
      <c r="J745" s="65">
        <v>9.1850000000000005</v>
      </c>
      <c r="K745" s="65">
        <v>8.86</v>
      </c>
      <c r="L745" s="65">
        <v>8.91</v>
      </c>
      <c r="M745" s="65">
        <v>14782275</v>
      </c>
      <c r="N745" s="65" t="s">
        <v>791</v>
      </c>
      <c r="O745" s="25">
        <f t="shared" si="24"/>
        <v>3.0303030303030276E-2</v>
      </c>
    </row>
    <row r="746" spans="1:15" ht="13.5" customHeight="1">
      <c r="A746" s="65">
        <v>391.04212151223675</v>
      </c>
      <c r="B746" s="65">
        <v>395.78474656351807</v>
      </c>
      <c r="C746" s="65">
        <v>390.70057444064236</v>
      </c>
      <c r="D746" s="65">
        <v>395.5407843695221</v>
      </c>
      <c r="E746" s="65">
        <v>7278283.4541545361</v>
      </c>
      <c r="F746" s="65" t="s">
        <v>792</v>
      </c>
      <c r="G746" s="25">
        <f t="shared" si="23"/>
        <v>-1.137344879480906E-2</v>
      </c>
      <c r="I746" s="65">
        <v>9.0399999999999991</v>
      </c>
      <c r="J746" s="65">
        <v>9.2799999999999994</v>
      </c>
      <c r="K746" s="65">
        <v>9.0299999999999994</v>
      </c>
      <c r="L746" s="65">
        <v>9.17</v>
      </c>
      <c r="M746" s="65">
        <v>20527935</v>
      </c>
      <c r="N746" s="65" t="s">
        <v>792</v>
      </c>
      <c r="O746" s="25">
        <f t="shared" si="24"/>
        <v>-1.4176663031624903E-2</v>
      </c>
    </row>
    <row r="747" spans="1:15" ht="13.5" customHeight="1">
      <c r="A747" s="65">
        <v>394.23314700970383</v>
      </c>
      <c r="B747" s="65">
        <v>398.25364396675718</v>
      </c>
      <c r="C747" s="65">
        <v>394.11604515658576</v>
      </c>
      <c r="D747" s="65">
        <v>396.77035382726172</v>
      </c>
      <c r="E747" s="65">
        <v>3436652.3610371388</v>
      </c>
      <c r="F747" s="65" t="s">
        <v>793</v>
      </c>
      <c r="G747" s="25">
        <f t="shared" si="23"/>
        <v>-6.3946481713764713E-3</v>
      </c>
      <c r="I747" s="65">
        <v>9.16</v>
      </c>
      <c r="J747" s="65">
        <v>9.59</v>
      </c>
      <c r="K747" s="65">
        <v>9.15</v>
      </c>
      <c r="L747" s="65">
        <v>9.51</v>
      </c>
      <c r="M747" s="65">
        <v>30289454</v>
      </c>
      <c r="N747" s="65" t="s">
        <v>793</v>
      </c>
      <c r="O747" s="25">
        <f t="shared" si="24"/>
        <v>-3.6803364879074651E-2</v>
      </c>
    </row>
    <row r="748" spans="1:15" ht="13.5" customHeight="1">
      <c r="A748" s="65">
        <v>397.17045182541511</v>
      </c>
      <c r="B748" s="65">
        <v>401.76913918223886</v>
      </c>
      <c r="C748" s="65">
        <v>396.59470104758469</v>
      </c>
      <c r="D748" s="65">
        <v>400.18582454320511</v>
      </c>
      <c r="E748" s="65">
        <v>4802095.4837757498</v>
      </c>
      <c r="F748" s="65" t="s">
        <v>794</v>
      </c>
      <c r="G748" s="25">
        <f t="shared" si="23"/>
        <v>-7.5349313565314935E-3</v>
      </c>
      <c r="I748" s="65">
        <v>9.56</v>
      </c>
      <c r="J748" s="65">
        <v>9.9</v>
      </c>
      <c r="K748" s="65">
        <v>9.5</v>
      </c>
      <c r="L748" s="65">
        <v>9.86</v>
      </c>
      <c r="M748" s="65">
        <v>21223075</v>
      </c>
      <c r="N748" s="65" t="s">
        <v>794</v>
      </c>
      <c r="O748" s="25">
        <f t="shared" si="24"/>
        <v>-3.0425963488843744E-2</v>
      </c>
    </row>
    <row r="749" spans="1:15" ht="13.5" customHeight="1">
      <c r="A749" s="65">
        <v>401.77645804805877</v>
      </c>
      <c r="B749" s="65">
        <v>401.79597502357842</v>
      </c>
      <c r="C749" s="65">
        <v>398.44881372195391</v>
      </c>
      <c r="D749" s="65">
        <v>398.69277591594988</v>
      </c>
      <c r="E749" s="65">
        <v>2841538.6361523434</v>
      </c>
      <c r="F749" s="65" t="s">
        <v>795</v>
      </c>
      <c r="G749" s="25">
        <f t="shared" si="23"/>
        <v>7.7344820834148731E-3</v>
      </c>
      <c r="I749" s="65">
        <v>9.94</v>
      </c>
      <c r="J749" s="65">
        <v>9.99</v>
      </c>
      <c r="K749" s="65">
        <v>9.81</v>
      </c>
      <c r="L749" s="65">
        <v>9.99</v>
      </c>
      <c r="M749" s="65">
        <v>23922108</v>
      </c>
      <c r="N749" s="65" t="s">
        <v>795</v>
      </c>
      <c r="O749" s="25">
        <f t="shared" si="24"/>
        <v>-5.0050050050051142E-3</v>
      </c>
    </row>
    <row r="750" spans="1:15" ht="13.5" customHeight="1">
      <c r="A750" s="65">
        <v>399.52224737553615</v>
      </c>
      <c r="B750" s="65">
        <v>400.49809615151997</v>
      </c>
      <c r="C750" s="65">
        <v>397.50224040924957</v>
      </c>
      <c r="D750" s="65">
        <v>398.09750816259975</v>
      </c>
      <c r="E750" s="65">
        <v>2991100.7441263557</v>
      </c>
      <c r="F750" s="65" t="s">
        <v>796</v>
      </c>
      <c r="G750" s="25">
        <f t="shared" si="23"/>
        <v>3.5788699595540319E-3</v>
      </c>
      <c r="I750" s="65">
        <v>10.029999999999999</v>
      </c>
      <c r="J750" s="65">
        <v>10.23</v>
      </c>
      <c r="K750" s="65">
        <v>10.02</v>
      </c>
      <c r="L750" s="65">
        <v>10.1</v>
      </c>
      <c r="M750" s="65">
        <v>16037001</v>
      </c>
      <c r="N750" s="65" t="s">
        <v>796</v>
      </c>
      <c r="O750" s="25">
        <f t="shared" si="24"/>
        <v>-6.9306930693069368E-3</v>
      </c>
    </row>
    <row r="751" spans="1:15" ht="13.5" customHeight="1">
      <c r="A751" s="65">
        <v>399.89306991041002</v>
      </c>
      <c r="B751" s="65">
        <v>405.02603447208486</v>
      </c>
      <c r="C751" s="65">
        <v>398.75132684250889</v>
      </c>
      <c r="D751" s="65">
        <v>401.85452595013749</v>
      </c>
      <c r="E751" s="65">
        <v>4701882.2105650436</v>
      </c>
      <c r="F751" s="65" t="s">
        <v>797</v>
      </c>
      <c r="G751" s="25">
        <f t="shared" si="23"/>
        <v>-4.8810101991257904E-3</v>
      </c>
      <c r="I751" s="65">
        <v>10.220000000000001</v>
      </c>
      <c r="J751" s="65">
        <v>10.7</v>
      </c>
      <c r="K751" s="65">
        <v>10.210000000000001</v>
      </c>
      <c r="L751" s="65">
        <v>10.6</v>
      </c>
      <c r="M751" s="65">
        <v>15646230</v>
      </c>
      <c r="N751" s="65" t="s">
        <v>797</v>
      </c>
      <c r="O751" s="25">
        <f t="shared" si="24"/>
        <v>-3.5849056603773466E-2</v>
      </c>
    </row>
    <row r="752" spans="1:15" ht="13.5" customHeight="1">
      <c r="A752" s="65">
        <v>399.65886620417388</v>
      </c>
      <c r="B752" s="65">
        <v>402.76206531180242</v>
      </c>
      <c r="C752" s="65">
        <v>398.97577206098521</v>
      </c>
      <c r="D752" s="65">
        <v>402.69375589748358</v>
      </c>
      <c r="E752" s="65">
        <v>3223792.5357116582</v>
      </c>
      <c r="F752" s="65" t="s">
        <v>798</v>
      </c>
      <c r="G752" s="25">
        <f t="shared" si="23"/>
        <v>-7.5364707022731459E-3</v>
      </c>
      <c r="I752" s="65">
        <v>10.44</v>
      </c>
      <c r="J752" s="65">
        <v>10.58</v>
      </c>
      <c r="K752" s="65">
        <v>10.39</v>
      </c>
      <c r="L752" s="65">
        <v>10.54</v>
      </c>
      <c r="M752" s="65">
        <v>14402031</v>
      </c>
      <c r="N752" s="65" t="s">
        <v>798</v>
      </c>
      <c r="O752" s="25">
        <f t="shared" si="24"/>
        <v>-9.4876660341555175E-3</v>
      </c>
    </row>
    <row r="753" spans="1:15" ht="13.5" customHeight="1">
      <c r="A753" s="65">
        <v>402.33269185036954</v>
      </c>
      <c r="B753" s="65">
        <v>402.77182379956224</v>
      </c>
      <c r="C753" s="65">
        <v>399.24413047438071</v>
      </c>
      <c r="D753" s="65">
        <v>401.81549199909807</v>
      </c>
      <c r="E753" s="65">
        <v>3873639.1262970357</v>
      </c>
      <c r="F753" s="65" t="s">
        <v>799</v>
      </c>
      <c r="G753" s="25">
        <f t="shared" si="23"/>
        <v>1.2871575675150737E-3</v>
      </c>
      <c r="I753" s="65">
        <v>10.54</v>
      </c>
      <c r="J753" s="65">
        <v>10.595000000000001</v>
      </c>
      <c r="K753" s="65">
        <v>10.185</v>
      </c>
      <c r="L753" s="65">
        <v>10.41</v>
      </c>
      <c r="M753" s="65">
        <v>22353018</v>
      </c>
      <c r="N753" s="65" t="s">
        <v>799</v>
      </c>
      <c r="O753" s="25">
        <f t="shared" si="24"/>
        <v>1.2487992315081575E-2</v>
      </c>
    </row>
    <row r="754" spans="1:15" ht="13.5" customHeight="1">
      <c r="A754" s="65">
        <v>404.07946115938057</v>
      </c>
      <c r="B754" s="65">
        <v>404.235596963538</v>
      </c>
      <c r="C754" s="65">
        <v>401.69839014598006</v>
      </c>
      <c r="D754" s="65">
        <v>402.33269185036954</v>
      </c>
      <c r="E754" s="65">
        <v>2662274.1801164825</v>
      </c>
      <c r="F754" s="65" t="s">
        <v>800</v>
      </c>
      <c r="G754" s="25">
        <f t="shared" si="23"/>
        <v>4.341604210628347E-3</v>
      </c>
      <c r="I754" s="65">
        <v>10.57</v>
      </c>
      <c r="J754" s="65">
        <v>10.795</v>
      </c>
      <c r="K754" s="65">
        <v>10.5</v>
      </c>
      <c r="L754" s="65">
        <v>10.76</v>
      </c>
      <c r="M754" s="65">
        <v>16688217</v>
      </c>
      <c r="N754" s="65" t="s">
        <v>800</v>
      </c>
      <c r="O754" s="25">
        <f t="shared" si="24"/>
        <v>-1.7657992565055736E-2</v>
      </c>
    </row>
    <row r="755" spans="1:15" ht="13.5" customHeight="1">
      <c r="A755" s="65">
        <v>400.46882068824044</v>
      </c>
      <c r="B755" s="65">
        <v>406.07848737698339</v>
      </c>
      <c r="C755" s="65">
        <v>400.12727361664605</v>
      </c>
      <c r="D755" s="65">
        <v>404.1477705736994</v>
      </c>
      <c r="E755" s="65">
        <v>5858762.280288795</v>
      </c>
      <c r="F755" s="65" t="s">
        <v>801</v>
      </c>
      <c r="G755" s="25">
        <f t="shared" si="23"/>
        <v>-9.1029820113484039E-3</v>
      </c>
      <c r="I755" s="65">
        <v>10.75</v>
      </c>
      <c r="J755" s="65">
        <v>11.06</v>
      </c>
      <c r="K755" s="65">
        <v>10.72</v>
      </c>
      <c r="L755" s="65">
        <v>10.93</v>
      </c>
      <c r="M755" s="65">
        <v>19986846</v>
      </c>
      <c r="N755" s="65" t="s">
        <v>801</v>
      </c>
      <c r="O755" s="25">
        <f t="shared" si="24"/>
        <v>-1.6468435498627643E-2</v>
      </c>
    </row>
    <row r="756" spans="1:15" ht="13.5" customHeight="1">
      <c r="A756" s="65">
        <v>402.44003521572773</v>
      </c>
      <c r="B756" s="65">
        <v>404.18680452473876</v>
      </c>
      <c r="C756" s="65">
        <v>401.16167331918894</v>
      </c>
      <c r="D756" s="65">
        <v>401.73742409701941</v>
      </c>
      <c r="E756" s="65">
        <v>3103143.719114739</v>
      </c>
      <c r="F756" s="65" t="s">
        <v>802</v>
      </c>
      <c r="G756" s="25">
        <f t="shared" si="23"/>
        <v>1.748931208705784E-3</v>
      </c>
      <c r="I756" s="65">
        <v>10.79</v>
      </c>
      <c r="J756" s="65">
        <v>11</v>
      </c>
      <c r="K756" s="65">
        <v>10.69</v>
      </c>
      <c r="L756" s="65">
        <v>10.9</v>
      </c>
      <c r="M756" s="65">
        <v>23740423</v>
      </c>
      <c r="N756" s="65" t="s">
        <v>802</v>
      </c>
      <c r="O756" s="25">
        <f t="shared" si="24"/>
        <v>-1.0091743119266194E-2</v>
      </c>
    </row>
    <row r="757" spans="1:15" ht="13.5" customHeight="1">
      <c r="A757" s="65">
        <v>403.58177828362881</v>
      </c>
      <c r="B757" s="65">
        <v>406.63618495245817</v>
      </c>
      <c r="C757" s="65">
        <v>402.90844262819996</v>
      </c>
      <c r="D757" s="65">
        <v>406.40198124622202</v>
      </c>
      <c r="E757" s="65">
        <v>5102294.661363136</v>
      </c>
      <c r="F757" s="65" t="s">
        <v>803</v>
      </c>
      <c r="G757" s="25">
        <f t="shared" si="23"/>
        <v>-6.9394419632137216E-3</v>
      </c>
      <c r="I757" s="65">
        <v>10.97</v>
      </c>
      <c r="J757" s="65">
        <v>11.22</v>
      </c>
      <c r="K757" s="65">
        <v>10.88</v>
      </c>
      <c r="L757" s="65">
        <v>10.99</v>
      </c>
      <c r="M757" s="65">
        <v>31209438</v>
      </c>
      <c r="N757" s="65" t="s">
        <v>803</v>
      </c>
      <c r="O757" s="25">
        <f t="shared" si="24"/>
        <v>-1.8198362147406888E-3</v>
      </c>
    </row>
    <row r="758" spans="1:15" ht="13.5" customHeight="1">
      <c r="A758" s="65">
        <v>409.25145967209482</v>
      </c>
      <c r="B758" s="65">
        <v>409.93455381528349</v>
      </c>
      <c r="C758" s="65">
        <v>408.44150518802826</v>
      </c>
      <c r="D758" s="65">
        <v>409.13435781897675</v>
      </c>
      <c r="E758" s="65">
        <v>3214919.2346294592</v>
      </c>
      <c r="F758" s="65" t="s">
        <v>804</v>
      </c>
      <c r="G758" s="25">
        <f t="shared" si="23"/>
        <v>2.8621857558563946E-4</v>
      </c>
      <c r="I758" s="65">
        <v>11.28</v>
      </c>
      <c r="J758" s="65">
        <v>11.33</v>
      </c>
      <c r="K758" s="65">
        <v>11.04</v>
      </c>
      <c r="L758" s="65">
        <v>11.26</v>
      </c>
      <c r="M758" s="65">
        <v>19675339</v>
      </c>
      <c r="N758" s="65" t="s">
        <v>804</v>
      </c>
      <c r="O758" s="25">
        <f t="shared" si="24"/>
        <v>1.7761989342806039E-3</v>
      </c>
    </row>
    <row r="759" spans="1:15" ht="13.5" customHeight="1">
      <c r="A759" s="65">
        <v>410.5200630808738</v>
      </c>
      <c r="B759" s="65">
        <v>410.80305922590912</v>
      </c>
      <c r="C759" s="65">
        <v>408.92942957602014</v>
      </c>
      <c r="D759" s="65">
        <v>410.16875752151958</v>
      </c>
      <c r="E759" s="65">
        <v>3540033.1332252184</v>
      </c>
      <c r="F759" s="65" t="s">
        <v>805</v>
      </c>
      <c r="G759" s="25">
        <f t="shared" si="23"/>
        <v>8.5649029311007929E-4</v>
      </c>
      <c r="I759" s="65">
        <v>11.36</v>
      </c>
      <c r="J759" s="65">
        <v>11.38</v>
      </c>
      <c r="K759" s="65">
        <v>10.66</v>
      </c>
      <c r="L759" s="65">
        <v>10.66</v>
      </c>
      <c r="M759" s="65">
        <v>37947832</v>
      </c>
      <c r="N759" s="65" t="s">
        <v>805</v>
      </c>
      <c r="O759" s="25">
        <f t="shared" si="24"/>
        <v>6.5666041275797227E-2</v>
      </c>
    </row>
    <row r="760" spans="1:15" ht="13.5" customHeight="1">
      <c r="A760" s="65">
        <v>409.72962557232688</v>
      </c>
      <c r="B760" s="65">
        <v>410.46151215431473</v>
      </c>
      <c r="C760" s="65">
        <v>408.06092416539457</v>
      </c>
      <c r="D760" s="65">
        <v>408.81232772290213</v>
      </c>
      <c r="E760" s="65">
        <v>2769618.6812092797</v>
      </c>
      <c r="F760" s="65" t="s">
        <v>806</v>
      </c>
      <c r="G760" s="25">
        <f t="shared" si="23"/>
        <v>2.2438116153056242E-3</v>
      </c>
      <c r="I760" s="65">
        <v>10.68</v>
      </c>
      <c r="J760" s="65">
        <v>10.75</v>
      </c>
      <c r="K760" s="65">
        <v>10.29</v>
      </c>
      <c r="L760" s="65">
        <v>10.3</v>
      </c>
      <c r="M760" s="65">
        <v>49135039</v>
      </c>
      <c r="N760" s="65" t="s">
        <v>806</v>
      </c>
      <c r="O760" s="25">
        <f t="shared" si="24"/>
        <v>3.689320388349504E-2</v>
      </c>
    </row>
    <row r="761" spans="1:15" ht="13.5" customHeight="1">
      <c r="A761" s="65">
        <v>405.77743802959242</v>
      </c>
      <c r="B761" s="65">
        <v>411.95456078156997</v>
      </c>
      <c r="C761" s="65">
        <v>404.89917413120696</v>
      </c>
      <c r="D761" s="65">
        <v>411.60325522221586</v>
      </c>
      <c r="E761" s="65">
        <v>4252137.3209867058</v>
      </c>
      <c r="F761" s="65" t="s">
        <v>807</v>
      </c>
      <c r="G761" s="25">
        <f t="shared" si="23"/>
        <v>-1.4153962872519577E-2</v>
      </c>
      <c r="I761" s="65">
        <v>10.33</v>
      </c>
      <c r="J761" s="65">
        <v>10.914999999999999</v>
      </c>
      <c r="K761" s="65">
        <v>10.1807</v>
      </c>
      <c r="L761" s="65">
        <v>10.9</v>
      </c>
      <c r="M761" s="65">
        <v>65311796</v>
      </c>
      <c r="N761" s="65" t="s">
        <v>807</v>
      </c>
      <c r="O761" s="25">
        <f t="shared" si="24"/>
        <v>-5.2293577981651351E-2</v>
      </c>
    </row>
    <row r="762" spans="1:15" ht="13.5" customHeight="1">
      <c r="A762" s="65">
        <v>408.54884855338651</v>
      </c>
      <c r="B762" s="65">
        <v>409.74914254784653</v>
      </c>
      <c r="C762" s="65">
        <v>406.51908309934009</v>
      </c>
      <c r="D762" s="65">
        <v>407.53396582636327</v>
      </c>
      <c r="E762" s="65">
        <v>6290766.7161963824</v>
      </c>
      <c r="F762" s="65" t="s">
        <v>808</v>
      </c>
      <c r="G762" s="25">
        <f t="shared" si="23"/>
        <v>2.4903021885926968E-3</v>
      </c>
      <c r="I762" s="65">
        <v>10.73</v>
      </c>
      <c r="J762" s="65">
        <v>10.73</v>
      </c>
      <c r="K762" s="65">
        <v>9.99</v>
      </c>
      <c r="L762" s="65">
        <v>10.36</v>
      </c>
      <c r="M762" s="65">
        <v>137880039</v>
      </c>
      <c r="N762" s="65" t="s">
        <v>808</v>
      </c>
      <c r="O762" s="25">
        <f t="shared" si="24"/>
        <v>3.5714285714285809E-2</v>
      </c>
    </row>
    <row r="763" spans="1:15" ht="13.5" customHeight="1">
      <c r="A763" s="65">
        <v>408.45126367578808</v>
      </c>
      <c r="B763" s="65">
        <v>409.51493884161044</v>
      </c>
      <c r="C763" s="65">
        <v>406.99471179275463</v>
      </c>
      <c r="D763" s="65">
        <v>407.00700748733203</v>
      </c>
      <c r="E763" s="65">
        <v>4047049.1916315909</v>
      </c>
      <c r="F763" s="65" t="s">
        <v>809</v>
      </c>
      <c r="G763" s="25">
        <f t="shared" si="23"/>
        <v>3.548479907931279E-3</v>
      </c>
      <c r="I763" s="65">
        <v>12.51</v>
      </c>
      <c r="J763" s="65">
        <v>12.67</v>
      </c>
      <c r="K763" s="65">
        <v>12.35</v>
      </c>
      <c r="L763" s="65">
        <v>12.52</v>
      </c>
      <c r="M763" s="65">
        <v>68993656</v>
      </c>
      <c r="N763" s="65" t="s">
        <v>809</v>
      </c>
      <c r="O763" s="25">
        <f t="shared" si="24"/>
        <v>-7.9872204472841712E-4</v>
      </c>
    </row>
    <row r="764" spans="1:15" ht="13.5" customHeight="1">
      <c r="A764" s="65">
        <v>407.25096968132794</v>
      </c>
      <c r="B764" s="65">
        <v>408.00237323883556</v>
      </c>
      <c r="C764" s="65">
        <v>405.96772854090926</v>
      </c>
      <c r="D764" s="65">
        <v>406.51908309934009</v>
      </c>
      <c r="E764" s="65">
        <v>3557032.6934114527</v>
      </c>
      <c r="F764" s="65" t="s">
        <v>810</v>
      </c>
      <c r="G764" s="25">
        <f t="shared" si="23"/>
        <v>1.8003744778913866E-3</v>
      </c>
      <c r="I764" s="65">
        <v>12.68</v>
      </c>
      <c r="J764" s="65">
        <v>12.93</v>
      </c>
      <c r="K764" s="65">
        <v>12.545</v>
      </c>
      <c r="L764" s="65">
        <v>12.86</v>
      </c>
      <c r="M764" s="65">
        <v>23715489</v>
      </c>
      <c r="N764" s="65" t="s">
        <v>810</v>
      </c>
      <c r="O764" s="25">
        <f t="shared" si="24"/>
        <v>-1.3996889580093264E-2</v>
      </c>
    </row>
    <row r="765" spans="1:15" ht="13.5" customHeight="1">
      <c r="A765" s="65">
        <v>405.53347583559645</v>
      </c>
      <c r="B765" s="65">
        <v>407.22169421804847</v>
      </c>
      <c r="C765" s="65">
        <v>405.44564944575791</v>
      </c>
      <c r="D765" s="65">
        <v>407.03628295061156</v>
      </c>
      <c r="E765" s="65">
        <v>3255333.2833740916</v>
      </c>
      <c r="F765" s="65" t="s">
        <v>811</v>
      </c>
      <c r="G765" s="25">
        <f t="shared" si="23"/>
        <v>-3.6920716357795591E-3</v>
      </c>
      <c r="I765" s="65">
        <v>12.74</v>
      </c>
      <c r="J765" s="65">
        <v>13.06</v>
      </c>
      <c r="K765" s="65">
        <v>12.675000000000001</v>
      </c>
      <c r="L765" s="65">
        <v>13.06</v>
      </c>
      <c r="M765" s="65">
        <v>21404268</v>
      </c>
      <c r="N765" s="65" t="s">
        <v>811</v>
      </c>
      <c r="O765" s="25">
        <f t="shared" si="24"/>
        <v>-2.4502297090352232E-2</v>
      </c>
    </row>
    <row r="766" spans="1:15" ht="13.5" customHeight="1">
      <c r="A766" s="65">
        <v>405.48468339679727</v>
      </c>
      <c r="B766" s="65">
        <v>408.06092416539457</v>
      </c>
      <c r="C766" s="65">
        <v>404.8015892536086</v>
      </c>
      <c r="D766" s="65">
        <v>407.22169421804847</v>
      </c>
      <c r="E766" s="65">
        <v>4186096.3507195371</v>
      </c>
      <c r="F766" s="65" t="s">
        <v>812</v>
      </c>
      <c r="G766" s="25">
        <f t="shared" si="23"/>
        <v>-4.2655164150491309E-3</v>
      </c>
      <c r="I766" s="65">
        <v>12.93</v>
      </c>
      <c r="J766" s="65">
        <v>13.265000000000001</v>
      </c>
      <c r="K766" s="65">
        <v>12.83</v>
      </c>
      <c r="L766" s="65">
        <v>12.94</v>
      </c>
      <c r="M766" s="65">
        <v>20442843</v>
      </c>
      <c r="N766" s="65" t="s">
        <v>812</v>
      </c>
      <c r="O766" s="25">
        <f t="shared" si="24"/>
        <v>-7.7279752704784155E-4</v>
      </c>
    </row>
    <row r="767" spans="1:15" ht="13.5" customHeight="1">
      <c r="A767" s="65">
        <v>408.14875055523311</v>
      </c>
      <c r="B767" s="65">
        <v>409.241701184335</v>
      </c>
      <c r="C767" s="65">
        <v>407.40710548548543</v>
      </c>
      <c r="D767" s="65">
        <v>407.97309777555603</v>
      </c>
      <c r="E767" s="65">
        <v>3581411.4707235582</v>
      </c>
      <c r="F767" s="65" t="s">
        <v>813</v>
      </c>
      <c r="G767" s="25">
        <f t="shared" si="23"/>
        <v>4.3054990791024927E-4</v>
      </c>
      <c r="I767" s="65">
        <v>13.11</v>
      </c>
      <c r="J767" s="65">
        <v>13.53</v>
      </c>
      <c r="K767" s="65">
        <v>13.08</v>
      </c>
      <c r="L767" s="65">
        <v>13.43</v>
      </c>
      <c r="M767" s="65">
        <v>28630855</v>
      </c>
      <c r="N767" s="65" t="s">
        <v>813</v>
      </c>
      <c r="O767" s="25">
        <f t="shared" si="24"/>
        <v>-2.3827252419955314E-2</v>
      </c>
    </row>
    <row r="768" spans="1:15" ht="13.5" customHeight="1">
      <c r="A768" s="65">
        <v>407.27048665684771</v>
      </c>
      <c r="B768" s="65">
        <v>407.83647894691831</v>
      </c>
      <c r="C768" s="65">
        <v>403.55250282034933</v>
      </c>
      <c r="D768" s="65">
        <v>403.91356686746332</v>
      </c>
      <c r="E768" s="65">
        <v>3686312.9703404387</v>
      </c>
      <c r="F768" s="65" t="s">
        <v>814</v>
      </c>
      <c r="G768" s="25">
        <f t="shared" ref="G768:G831" si="25">A768/D768-1</f>
        <v>8.3109854799354732E-3</v>
      </c>
      <c r="I768" s="65">
        <v>13.37</v>
      </c>
      <c r="J768" s="65">
        <v>13.51</v>
      </c>
      <c r="K768" s="65">
        <v>12.87</v>
      </c>
      <c r="L768" s="65">
        <v>13.49</v>
      </c>
      <c r="M768" s="65">
        <v>33108106</v>
      </c>
      <c r="N768" s="65" t="s">
        <v>814</v>
      </c>
      <c r="O768" s="25">
        <f t="shared" ref="O768:O831" si="26">I768/L768-1</f>
        <v>-8.8954781319496856E-3</v>
      </c>
    </row>
    <row r="769" spans="1:15" ht="13.5" customHeight="1">
      <c r="A769" s="65">
        <v>404.20632150025847</v>
      </c>
      <c r="B769" s="65">
        <v>405.22071630289366</v>
      </c>
      <c r="C769" s="65">
        <v>402.66448043420399</v>
      </c>
      <c r="D769" s="65">
        <v>402.6839974097237</v>
      </c>
      <c r="E769" s="65">
        <v>3041728.4655683292</v>
      </c>
      <c r="F769" s="65" t="s">
        <v>815</v>
      </c>
      <c r="G769" s="25">
        <f t="shared" si="25"/>
        <v>3.7804434750998706E-3</v>
      </c>
      <c r="I769" s="65">
        <v>13.47</v>
      </c>
      <c r="J769" s="65">
        <v>13.64</v>
      </c>
      <c r="K769" s="65">
        <v>12.97</v>
      </c>
      <c r="L769" s="65">
        <v>13.14</v>
      </c>
      <c r="M769" s="65">
        <v>28982265</v>
      </c>
      <c r="N769" s="65" t="s">
        <v>815</v>
      </c>
      <c r="O769" s="25">
        <f t="shared" si="26"/>
        <v>2.5114155251141579E-2</v>
      </c>
    </row>
    <row r="770" spans="1:15" ht="13.5" customHeight="1">
      <c r="A770" s="65">
        <v>402.80109926284172</v>
      </c>
      <c r="B770" s="65">
        <v>404.69424588825035</v>
      </c>
      <c r="C770" s="65">
        <v>402.12776360741293</v>
      </c>
      <c r="D770" s="65">
        <v>403.94284233074285</v>
      </c>
      <c r="E770" s="65">
        <v>3772044.4915135377</v>
      </c>
      <c r="F770" s="65" t="s">
        <v>816</v>
      </c>
      <c r="G770" s="25">
        <f t="shared" si="25"/>
        <v>-2.8264965937093711E-3</v>
      </c>
      <c r="I770" s="65">
        <v>13.15</v>
      </c>
      <c r="J770" s="65">
        <v>13.63</v>
      </c>
      <c r="K770" s="65">
        <v>13</v>
      </c>
      <c r="L770" s="65">
        <v>13.49</v>
      </c>
      <c r="M770" s="65">
        <v>27022937</v>
      </c>
      <c r="N770" s="65" t="s">
        <v>816</v>
      </c>
      <c r="O770" s="25">
        <f t="shared" si="26"/>
        <v>-2.5203854707190554E-2</v>
      </c>
    </row>
    <row r="771" spans="1:15" ht="13.5" customHeight="1">
      <c r="A771" s="65">
        <v>403.12312935891646</v>
      </c>
      <c r="B771" s="65">
        <v>403.81598198986495</v>
      </c>
      <c r="C771" s="65">
        <v>401.20070727022829</v>
      </c>
      <c r="D771" s="65">
        <v>401.60080526838169</v>
      </c>
      <c r="E771" s="65">
        <v>3354440.8524771994</v>
      </c>
      <c r="F771" s="65" t="s">
        <v>817</v>
      </c>
      <c r="G771" s="25">
        <f t="shared" si="25"/>
        <v>3.7906400349905223E-3</v>
      </c>
      <c r="I771" s="65">
        <v>13.51</v>
      </c>
      <c r="J771" s="65">
        <v>13.89</v>
      </c>
      <c r="K771" s="65">
        <v>13.5</v>
      </c>
      <c r="L771" s="65">
        <v>13.58</v>
      </c>
      <c r="M771" s="65">
        <v>40065253</v>
      </c>
      <c r="N771" s="65" t="s">
        <v>817</v>
      </c>
      <c r="O771" s="25">
        <f t="shared" si="26"/>
        <v>-5.1546391752577136E-3</v>
      </c>
    </row>
    <row r="772" spans="1:15" ht="13.5" customHeight="1">
      <c r="A772" s="65">
        <v>399.86379444713043</v>
      </c>
      <c r="B772" s="65">
        <v>401.20070727022829</v>
      </c>
      <c r="C772" s="65">
        <v>398.9172211344262</v>
      </c>
      <c r="D772" s="65">
        <v>400.28340942080348</v>
      </c>
      <c r="E772" s="65">
        <v>4351451.8893759446</v>
      </c>
      <c r="F772" s="65" t="s">
        <v>818</v>
      </c>
      <c r="G772" s="25">
        <f t="shared" si="25"/>
        <v>-1.0482946927033998E-3</v>
      </c>
      <c r="I772" s="65">
        <v>13.37</v>
      </c>
      <c r="J772" s="65">
        <v>13.62</v>
      </c>
      <c r="K772" s="65">
        <v>12.945</v>
      </c>
      <c r="L772" s="65">
        <v>13.06</v>
      </c>
      <c r="M772" s="65">
        <v>40584310</v>
      </c>
      <c r="N772" s="65" t="s">
        <v>818</v>
      </c>
      <c r="O772" s="25">
        <f t="shared" si="26"/>
        <v>2.3736600306278666E-2</v>
      </c>
    </row>
    <row r="773" spans="1:15" ht="13.5" customHeight="1">
      <c r="A773" s="65">
        <v>396.74107836398224</v>
      </c>
      <c r="B773" s="65">
        <v>397.17045182541511</v>
      </c>
      <c r="C773" s="65">
        <v>394.01846027898733</v>
      </c>
      <c r="D773" s="65">
        <v>394.99430905497115</v>
      </c>
      <c r="E773" s="65">
        <v>3260618.9384130086</v>
      </c>
      <c r="F773" s="65" t="s">
        <v>819</v>
      </c>
      <c r="G773" s="25">
        <f t="shared" si="25"/>
        <v>4.4222644958866741E-3</v>
      </c>
      <c r="I773" s="65">
        <v>12.74</v>
      </c>
      <c r="J773" s="65">
        <v>13.08</v>
      </c>
      <c r="K773" s="65">
        <v>11.91</v>
      </c>
      <c r="L773" s="65">
        <v>11.94</v>
      </c>
      <c r="M773" s="65">
        <v>43989798</v>
      </c>
      <c r="N773" s="65" t="s">
        <v>819</v>
      </c>
      <c r="O773" s="25">
        <f t="shared" si="26"/>
        <v>6.7001675041876041E-2</v>
      </c>
    </row>
    <row r="774" spans="1:15" ht="13.5" customHeight="1">
      <c r="A774" s="65">
        <v>394.21363003418418</v>
      </c>
      <c r="B774" s="65">
        <v>394.3502488628219</v>
      </c>
      <c r="C774" s="65">
        <v>392.34975887205502</v>
      </c>
      <c r="D774" s="65">
        <v>392.90599267436579</v>
      </c>
      <c r="E774" s="65">
        <v>3445489.7959063947</v>
      </c>
      <c r="F774" s="65" t="s">
        <v>820</v>
      </c>
      <c r="G774" s="25">
        <f t="shared" si="25"/>
        <v>3.3281176266053425E-3</v>
      </c>
      <c r="I774" s="65">
        <v>11.78</v>
      </c>
      <c r="J774" s="65">
        <v>11.98</v>
      </c>
      <c r="K774" s="65">
        <v>11.654999999999999</v>
      </c>
      <c r="L774" s="65">
        <v>11.77</v>
      </c>
      <c r="M774" s="65">
        <v>20146437</v>
      </c>
      <c r="N774" s="65" t="s">
        <v>820</v>
      </c>
      <c r="O774" s="25">
        <f t="shared" si="26"/>
        <v>8.4961767204760896E-4</v>
      </c>
    </row>
    <row r="775" spans="1:15" ht="13.5" customHeight="1">
      <c r="A775" s="65">
        <v>393.15971335612159</v>
      </c>
      <c r="B775" s="65">
        <v>396.85720436832429</v>
      </c>
      <c r="C775" s="65">
        <v>392.98406057644451</v>
      </c>
      <c r="D775" s="65">
        <v>393.29633218475931</v>
      </c>
      <c r="E775" s="65">
        <v>3764158.0236617527</v>
      </c>
      <c r="F775" s="65" t="s">
        <v>821</v>
      </c>
      <c r="G775" s="25">
        <f t="shared" si="25"/>
        <v>-3.4736868223206319E-4</v>
      </c>
      <c r="I775" s="65">
        <v>11.68</v>
      </c>
      <c r="J775" s="65">
        <v>12.05</v>
      </c>
      <c r="K775" s="65">
        <v>11.64</v>
      </c>
      <c r="L775" s="65">
        <v>11.91</v>
      </c>
      <c r="M775" s="65">
        <v>24289380</v>
      </c>
      <c r="N775" s="65" t="s">
        <v>821</v>
      </c>
      <c r="O775" s="25">
        <f t="shared" si="26"/>
        <v>-1.9311502938706981E-2</v>
      </c>
    </row>
    <row r="776" spans="1:15" ht="13.5" customHeight="1">
      <c r="A776" s="65">
        <v>394.0770112055464</v>
      </c>
      <c r="B776" s="65">
        <v>394.58445256905799</v>
      </c>
      <c r="C776" s="65">
        <v>391.86183448406314</v>
      </c>
      <c r="D776" s="65">
        <v>394.02821876674716</v>
      </c>
      <c r="E776" s="65">
        <v>6189761.3120540967</v>
      </c>
      <c r="F776" s="65" t="s">
        <v>822</v>
      </c>
      <c r="G776" s="25">
        <f t="shared" si="25"/>
        <v>1.2382980831149304E-4</v>
      </c>
      <c r="I776" s="65">
        <v>11.91</v>
      </c>
      <c r="J776" s="65">
        <v>12.14</v>
      </c>
      <c r="K776" s="65">
        <v>11.76</v>
      </c>
      <c r="L776" s="65">
        <v>11.97</v>
      </c>
      <c r="M776" s="65">
        <v>22906822</v>
      </c>
      <c r="N776" s="65" t="s">
        <v>822</v>
      </c>
      <c r="O776" s="25">
        <f t="shared" si="26"/>
        <v>-5.0125313283208017E-3</v>
      </c>
    </row>
    <row r="777" spans="1:15" ht="13.5" customHeight="1">
      <c r="A777" s="65">
        <v>397.31682914181266</v>
      </c>
      <c r="B777" s="65">
        <v>397.9901647972415</v>
      </c>
      <c r="C777" s="65">
        <v>396.20436153719112</v>
      </c>
      <c r="D777" s="65">
        <v>396.20436153719112</v>
      </c>
      <c r="E777" s="65">
        <v>4338914.0860798694</v>
      </c>
      <c r="F777" s="65" t="s">
        <v>823</v>
      </c>
      <c r="G777" s="25">
        <f t="shared" si="25"/>
        <v>2.8078126154527094E-3</v>
      </c>
      <c r="I777" s="65">
        <v>12.12</v>
      </c>
      <c r="J777" s="65">
        <v>12.35</v>
      </c>
      <c r="K777" s="65">
        <v>11.88</v>
      </c>
      <c r="L777" s="65">
        <v>11.91</v>
      </c>
      <c r="M777" s="65">
        <v>20616583</v>
      </c>
      <c r="N777" s="65" t="s">
        <v>823</v>
      </c>
      <c r="O777" s="25">
        <f t="shared" si="26"/>
        <v>1.7632241813601901E-2</v>
      </c>
    </row>
    <row r="778" spans="1:15" ht="13.5" customHeight="1">
      <c r="A778" s="65">
        <v>398.20485152795794</v>
      </c>
      <c r="B778" s="65">
        <v>398.20485152795794</v>
      </c>
      <c r="C778" s="65">
        <v>396.85818021710031</v>
      </c>
      <c r="D778" s="65">
        <v>397.0923839233364</v>
      </c>
      <c r="E778" s="65">
        <v>2430723.9588517216</v>
      </c>
      <c r="F778" s="65" t="s">
        <v>824</v>
      </c>
      <c r="G778" s="25">
        <f t="shared" si="25"/>
        <v>2.8015334709525774E-3</v>
      </c>
      <c r="I778" s="65">
        <v>12.02</v>
      </c>
      <c r="J778" s="65">
        <v>12.02</v>
      </c>
      <c r="K778" s="65">
        <v>11.84</v>
      </c>
      <c r="L778" s="65">
        <v>11.9</v>
      </c>
      <c r="M778" s="65">
        <v>8881951</v>
      </c>
      <c r="N778" s="65" t="s">
        <v>824</v>
      </c>
      <c r="O778" s="25">
        <f t="shared" si="26"/>
        <v>1.0084033613445342E-2</v>
      </c>
    </row>
    <row r="779" spans="1:15" ht="13.5" customHeight="1">
      <c r="A779" s="65">
        <v>397.44368948269056</v>
      </c>
      <c r="B779" s="65">
        <v>398.36098733211543</v>
      </c>
      <c r="C779" s="65">
        <v>395.5017504184828</v>
      </c>
      <c r="D779" s="65">
        <v>395.60909378384099</v>
      </c>
      <c r="E779" s="65">
        <v>5301735.3993030749</v>
      </c>
      <c r="F779" s="65" t="s">
        <v>825</v>
      </c>
      <c r="G779" s="25">
        <f t="shared" si="25"/>
        <v>4.6373951652687317E-3</v>
      </c>
      <c r="I779" s="65">
        <v>11.84</v>
      </c>
      <c r="J779" s="65">
        <v>12.1</v>
      </c>
      <c r="K779" s="65">
        <v>11.75</v>
      </c>
      <c r="L779" s="65">
        <v>11.78</v>
      </c>
      <c r="M779" s="65">
        <v>23685466</v>
      </c>
      <c r="N779" s="65" t="s">
        <v>825</v>
      </c>
      <c r="O779" s="25">
        <f t="shared" si="26"/>
        <v>5.0933786078097842E-3</v>
      </c>
    </row>
    <row r="780" spans="1:15" ht="13.5" customHeight="1">
      <c r="A780" s="65">
        <v>392.78889082124778</v>
      </c>
      <c r="B780" s="65">
        <v>392.94502662540521</v>
      </c>
      <c r="C780" s="65">
        <v>390.52492166096528</v>
      </c>
      <c r="D780" s="65">
        <v>390.92501965911868</v>
      </c>
      <c r="E780" s="65">
        <v>4011737.3678653939</v>
      </c>
      <c r="F780" s="65" t="s">
        <v>826</v>
      </c>
      <c r="G780" s="25">
        <f t="shared" si="25"/>
        <v>4.7678482276585221E-3</v>
      </c>
      <c r="I780" s="65">
        <v>11.68</v>
      </c>
      <c r="J780" s="65">
        <v>12.04</v>
      </c>
      <c r="K780" s="65">
        <v>11.58</v>
      </c>
      <c r="L780" s="65">
        <v>11.95</v>
      </c>
      <c r="M780" s="65">
        <v>23006694</v>
      </c>
      <c r="N780" s="65" t="s">
        <v>826</v>
      </c>
      <c r="O780" s="25">
        <f t="shared" si="26"/>
        <v>-2.2594142259414141E-2</v>
      </c>
    </row>
    <row r="781" spans="1:15" ht="13.5" customHeight="1">
      <c r="A781" s="65">
        <v>391.28979193158125</v>
      </c>
      <c r="B781" s="65">
        <v>392.1986379270005</v>
      </c>
      <c r="C781" s="65">
        <v>389.50126077482031</v>
      </c>
      <c r="D781" s="65">
        <v>390.12335856847631</v>
      </c>
      <c r="E781" s="65">
        <v>4445008.6597304381</v>
      </c>
      <c r="F781" s="65" t="s">
        <v>827</v>
      </c>
      <c r="G781" s="25">
        <f t="shared" si="25"/>
        <v>2.9899090569327491E-3</v>
      </c>
      <c r="I781" s="65">
        <v>11.65</v>
      </c>
      <c r="J781" s="65">
        <v>11.7</v>
      </c>
      <c r="K781" s="65">
        <v>11.414999999999999</v>
      </c>
      <c r="L781" s="65">
        <v>11.56</v>
      </c>
      <c r="M781" s="65">
        <v>27254998</v>
      </c>
      <c r="N781" s="65" t="s">
        <v>827</v>
      </c>
      <c r="O781" s="25">
        <f t="shared" si="26"/>
        <v>7.7854671280277454E-3</v>
      </c>
    </row>
    <row r="782" spans="1:15" ht="13.5" customHeight="1">
      <c r="A782" s="65">
        <v>391.11482692711547</v>
      </c>
      <c r="B782" s="65">
        <v>391.65916249656448</v>
      </c>
      <c r="C782" s="65">
        <v>387.24615627281742</v>
      </c>
      <c r="D782" s="65">
        <v>387.64468767187827</v>
      </c>
      <c r="E782" s="65">
        <v>4426170.7211948764</v>
      </c>
      <c r="F782" s="65" t="s">
        <v>828</v>
      </c>
      <c r="G782" s="25">
        <f t="shared" si="25"/>
        <v>8.9518555667000843E-3</v>
      </c>
      <c r="I782" s="65">
        <v>11.48</v>
      </c>
      <c r="J782" s="65">
        <v>11.62</v>
      </c>
      <c r="K782" s="65">
        <v>11.12</v>
      </c>
      <c r="L782" s="65">
        <v>11.36</v>
      </c>
      <c r="M782" s="65">
        <v>31107056</v>
      </c>
      <c r="N782" s="65" t="s">
        <v>828</v>
      </c>
      <c r="O782" s="25">
        <f t="shared" si="26"/>
        <v>1.0563380281690238E-2</v>
      </c>
    </row>
    <row r="783" spans="1:15" ht="13.5" customHeight="1">
      <c r="A783" s="65">
        <v>386.82818431770477</v>
      </c>
      <c r="B783" s="65">
        <v>389.64706494520846</v>
      </c>
      <c r="C783" s="65">
        <v>386.60461792310969</v>
      </c>
      <c r="D783" s="65">
        <v>387.87797434449925</v>
      </c>
      <c r="E783" s="65">
        <v>3344245.9066982488</v>
      </c>
      <c r="F783" s="65" t="s">
        <v>829</v>
      </c>
      <c r="G783" s="25">
        <f t="shared" si="25"/>
        <v>-2.7064955894147147E-3</v>
      </c>
      <c r="I783" s="65">
        <v>11.21</v>
      </c>
      <c r="J783" s="65">
        <v>11.4</v>
      </c>
      <c r="K783" s="65">
        <v>10.7</v>
      </c>
      <c r="L783" s="65">
        <v>10.73</v>
      </c>
      <c r="M783" s="65">
        <v>34008177</v>
      </c>
      <c r="N783" s="65" t="s">
        <v>829</v>
      </c>
      <c r="O783" s="25">
        <f t="shared" si="26"/>
        <v>4.473438956197584E-2</v>
      </c>
    </row>
    <row r="784" spans="1:15" ht="13.5" customHeight="1">
      <c r="A784" s="65">
        <v>388.43203019197409</v>
      </c>
      <c r="B784" s="65">
        <v>390.05531662229515</v>
      </c>
      <c r="C784" s="65">
        <v>387.77105128621463</v>
      </c>
      <c r="D784" s="65">
        <v>388.15986240724959</v>
      </c>
      <c r="E784" s="65">
        <v>4336611.5545040993</v>
      </c>
      <c r="F784" s="65" t="s">
        <v>830</v>
      </c>
      <c r="G784" s="25">
        <f t="shared" si="25"/>
        <v>7.0117446723272359E-4</v>
      </c>
      <c r="I784" s="65">
        <v>10.82</v>
      </c>
      <c r="J784" s="65">
        <v>11.15</v>
      </c>
      <c r="K784" s="65">
        <v>10.385999999999999</v>
      </c>
      <c r="L784" s="65">
        <v>10.4</v>
      </c>
      <c r="M784" s="65">
        <v>27763588</v>
      </c>
      <c r="N784" s="65" t="s">
        <v>830</v>
      </c>
      <c r="O784" s="25">
        <f t="shared" si="26"/>
        <v>4.0384615384615463E-2</v>
      </c>
    </row>
    <row r="785" spans="1:15" ht="13.5" customHeight="1">
      <c r="A785" s="65">
        <v>391.36755415578824</v>
      </c>
      <c r="B785" s="65">
        <v>391.45503665802113</v>
      </c>
      <c r="C785" s="65">
        <v>388.76251964485385</v>
      </c>
      <c r="D785" s="65">
        <v>389.08328881970766</v>
      </c>
      <c r="E785" s="65">
        <v>3231410.6568133757</v>
      </c>
      <c r="F785" s="65" t="s">
        <v>831</v>
      </c>
      <c r="G785" s="25">
        <f t="shared" si="25"/>
        <v>5.8708903767363818E-3</v>
      </c>
      <c r="I785" s="65">
        <v>10.64</v>
      </c>
      <c r="J785" s="65">
        <v>10.64</v>
      </c>
      <c r="K785" s="65">
        <v>10.16</v>
      </c>
      <c r="L785" s="65">
        <v>10.17</v>
      </c>
      <c r="M785" s="65">
        <v>20672647</v>
      </c>
      <c r="N785" s="65" t="s">
        <v>831</v>
      </c>
      <c r="O785" s="25">
        <f t="shared" si="26"/>
        <v>4.6214355948869246E-2</v>
      </c>
    </row>
    <row r="786" spans="1:15" ht="13.5" customHeight="1">
      <c r="A786" s="65">
        <v>389.94839356401053</v>
      </c>
      <c r="B786" s="65">
        <v>391.78552611090083</v>
      </c>
      <c r="C786" s="65">
        <v>389.46237966271684</v>
      </c>
      <c r="D786" s="65">
        <v>391.05650525896021</v>
      </c>
      <c r="E786" s="65">
        <v>3522062.8369752495</v>
      </c>
      <c r="F786" s="65" t="s">
        <v>832</v>
      </c>
      <c r="G786" s="25">
        <f t="shared" si="25"/>
        <v>-2.8336357535233558E-3</v>
      </c>
      <c r="I786" s="65">
        <v>10.23</v>
      </c>
      <c r="J786" s="65">
        <v>10.62</v>
      </c>
      <c r="K786" s="65">
        <v>10.145</v>
      </c>
      <c r="L786" s="65">
        <v>10.55</v>
      </c>
      <c r="M786" s="65">
        <v>21488116</v>
      </c>
      <c r="N786" s="65" t="s">
        <v>832</v>
      </c>
      <c r="O786" s="25">
        <f t="shared" si="26"/>
        <v>-3.033175355450235E-2</v>
      </c>
    </row>
    <row r="787" spans="1:15" ht="13.5" customHeight="1">
      <c r="A787" s="65">
        <v>392.0965750077288</v>
      </c>
      <c r="B787" s="65">
        <v>393.01028114216103</v>
      </c>
      <c r="C787" s="65">
        <v>390.03587606624342</v>
      </c>
      <c r="D787" s="65">
        <v>392.20349806601342</v>
      </c>
      <c r="E787" s="65">
        <v>4369094.1644829009</v>
      </c>
      <c r="F787" s="65" t="s">
        <v>833</v>
      </c>
      <c r="G787" s="25">
        <f t="shared" si="25"/>
        <v>-2.7262137847283707E-4</v>
      </c>
      <c r="I787" s="65">
        <v>10.58</v>
      </c>
      <c r="J787" s="65">
        <v>10.76</v>
      </c>
      <c r="K787" s="65">
        <v>10.38</v>
      </c>
      <c r="L787" s="65">
        <v>10.58</v>
      </c>
      <c r="M787" s="65">
        <v>21910107</v>
      </c>
      <c r="N787" s="65" t="s">
        <v>833</v>
      </c>
      <c r="O787" s="25">
        <f t="shared" si="26"/>
        <v>0</v>
      </c>
    </row>
    <row r="788" spans="1:15" ht="13.5" customHeight="1">
      <c r="A788" s="65">
        <v>393.91426699856737</v>
      </c>
      <c r="B788" s="65">
        <v>397.32608458564931</v>
      </c>
      <c r="C788" s="65">
        <v>393.56433698963588</v>
      </c>
      <c r="D788" s="65">
        <v>397.25804263946821</v>
      </c>
      <c r="E788" s="65">
        <v>5289853.8357778713</v>
      </c>
      <c r="F788" s="65" t="s">
        <v>834</v>
      </c>
      <c r="G788" s="25">
        <f t="shared" si="25"/>
        <v>-8.4171376838190204E-3</v>
      </c>
      <c r="I788" s="65">
        <v>10.68</v>
      </c>
      <c r="J788" s="65">
        <v>10.835000000000001</v>
      </c>
      <c r="K788" s="65">
        <v>10.42</v>
      </c>
      <c r="L788" s="65">
        <v>10.76</v>
      </c>
      <c r="M788" s="65">
        <v>28859538</v>
      </c>
      <c r="N788" s="65" t="s">
        <v>834</v>
      </c>
      <c r="O788" s="25">
        <f t="shared" si="26"/>
        <v>-7.4349442379182396E-3</v>
      </c>
    </row>
    <row r="789" spans="1:15" ht="13.5" customHeight="1">
      <c r="A789" s="65">
        <v>395.37230870244855</v>
      </c>
      <c r="B789" s="65">
        <v>396.51930150950176</v>
      </c>
      <c r="C789" s="65">
        <v>389.67622577928603</v>
      </c>
      <c r="D789" s="65">
        <v>389.78314883757065</v>
      </c>
      <c r="E789" s="65">
        <v>5437070.8182747522</v>
      </c>
      <c r="F789" s="65" t="s">
        <v>835</v>
      </c>
      <c r="G789" s="25">
        <f t="shared" si="25"/>
        <v>1.4339152119700715E-2</v>
      </c>
      <c r="I789" s="65">
        <v>10.66</v>
      </c>
      <c r="J789" s="65">
        <v>10.69</v>
      </c>
      <c r="K789" s="65">
        <v>9.9600000000000009</v>
      </c>
      <c r="L789" s="65">
        <v>9.98</v>
      </c>
      <c r="M789" s="65">
        <v>30121512</v>
      </c>
      <c r="N789" s="65" t="s">
        <v>835</v>
      </c>
      <c r="O789" s="25">
        <f t="shared" si="26"/>
        <v>6.8136272545090248E-2</v>
      </c>
    </row>
    <row r="790" spans="1:15" ht="13.5" customHeight="1">
      <c r="A790" s="65">
        <v>390.36636551912318</v>
      </c>
      <c r="B790" s="65">
        <v>392.1510085646737</v>
      </c>
      <c r="C790" s="65">
        <v>387.31419821899851</v>
      </c>
      <c r="D790" s="65">
        <v>390.37608579714902</v>
      </c>
      <c r="E790" s="65">
        <v>5309804.9111981187</v>
      </c>
      <c r="F790" s="65" t="s">
        <v>836</v>
      </c>
      <c r="G790" s="25">
        <f t="shared" si="25"/>
        <v>-2.4899778391929139E-5</v>
      </c>
      <c r="I790" s="65">
        <v>10.25</v>
      </c>
      <c r="J790" s="65">
        <v>10.388400000000001</v>
      </c>
      <c r="K790" s="65">
        <v>10.07</v>
      </c>
      <c r="L790" s="65">
        <v>10.3</v>
      </c>
      <c r="M790" s="65">
        <v>17098926</v>
      </c>
      <c r="N790" s="65" t="s">
        <v>836</v>
      </c>
      <c r="O790" s="25">
        <f t="shared" si="26"/>
        <v>-4.8543689320389438E-3</v>
      </c>
    </row>
    <row r="791" spans="1:15" ht="13.5" customHeight="1">
      <c r="A791" s="65">
        <v>390.06503690032105</v>
      </c>
      <c r="B791" s="65">
        <v>390.60937246977005</v>
      </c>
      <c r="C791" s="65">
        <v>388.22790435343069</v>
      </c>
      <c r="D791" s="65">
        <v>388.82958956323239</v>
      </c>
      <c r="E791" s="65">
        <v>4025692.4643345485</v>
      </c>
      <c r="F791" s="65" t="s">
        <v>837</v>
      </c>
      <c r="G791" s="25">
        <f t="shared" si="25"/>
        <v>3.1773490759188228E-3</v>
      </c>
      <c r="I791" s="65">
        <v>10.32</v>
      </c>
      <c r="J791" s="65">
        <v>10.43</v>
      </c>
      <c r="K791" s="65">
        <v>10.14</v>
      </c>
      <c r="L791" s="65">
        <v>10.39</v>
      </c>
      <c r="M791" s="65">
        <v>17588565</v>
      </c>
      <c r="N791" s="65" t="s">
        <v>837</v>
      </c>
      <c r="O791" s="25">
        <f t="shared" si="26"/>
        <v>-6.7372473532242294E-3</v>
      </c>
    </row>
    <row r="792" spans="1:15" ht="13.5" customHeight="1">
      <c r="A792" s="65">
        <v>387.50860377951602</v>
      </c>
      <c r="B792" s="65">
        <v>387.53290447458073</v>
      </c>
      <c r="C792" s="65">
        <v>384.24259036282217</v>
      </c>
      <c r="D792" s="65">
        <v>384.90356926858163</v>
      </c>
      <c r="E792" s="65">
        <v>3906518.9183807769</v>
      </c>
      <c r="F792" s="65" t="s">
        <v>838</v>
      </c>
      <c r="G792" s="25">
        <f t="shared" si="25"/>
        <v>6.7680185867973197E-3</v>
      </c>
      <c r="I792" s="65">
        <v>10.23</v>
      </c>
      <c r="J792" s="65">
        <v>10.24</v>
      </c>
      <c r="K792" s="65">
        <v>10.02</v>
      </c>
      <c r="L792" s="65">
        <v>10.210000000000001</v>
      </c>
      <c r="M792" s="65">
        <v>18653161</v>
      </c>
      <c r="N792" s="65" t="s">
        <v>838</v>
      </c>
      <c r="O792" s="25">
        <f t="shared" si="26"/>
        <v>1.9588638589618235E-3</v>
      </c>
    </row>
    <row r="793" spans="1:15" ht="13.5" customHeight="1">
      <c r="A793" s="65">
        <v>383.98014285612351</v>
      </c>
      <c r="B793" s="65">
        <v>385.8269956810397</v>
      </c>
      <c r="C793" s="65">
        <v>383.05671644366544</v>
      </c>
      <c r="D793" s="65">
        <v>383.9995834121753</v>
      </c>
      <c r="E793" s="65">
        <v>3151008.635603732</v>
      </c>
      <c r="F793" s="65" t="s">
        <v>839</v>
      </c>
      <c r="G793" s="25">
        <f t="shared" si="25"/>
        <v>-5.0626502974382426E-5</v>
      </c>
      <c r="I793" s="65">
        <v>10.09</v>
      </c>
      <c r="J793" s="65">
        <v>10.58</v>
      </c>
      <c r="K793" s="65">
        <v>10.02</v>
      </c>
      <c r="L793" s="65">
        <v>10.15</v>
      </c>
      <c r="M793" s="65">
        <v>26631555</v>
      </c>
      <c r="N793" s="65" t="s">
        <v>839</v>
      </c>
      <c r="O793" s="25">
        <f t="shared" si="26"/>
        <v>-5.9113300492611431E-3</v>
      </c>
    </row>
    <row r="794" spans="1:15" ht="13.5" customHeight="1">
      <c r="A794" s="65">
        <v>383.33860450641583</v>
      </c>
      <c r="B794" s="65">
        <v>383.68853451534733</v>
      </c>
      <c r="C794" s="65">
        <v>380.34475887444648</v>
      </c>
      <c r="D794" s="65">
        <v>380.99601750218005</v>
      </c>
      <c r="E794" s="65">
        <v>3559930.066597715</v>
      </c>
      <c r="F794" s="65" t="s">
        <v>840</v>
      </c>
      <c r="G794" s="25">
        <f t="shared" si="25"/>
        <v>6.1485865904684633E-3</v>
      </c>
      <c r="I794" s="65">
        <v>10.039999999999999</v>
      </c>
      <c r="J794" s="65">
        <v>10.210000000000001</v>
      </c>
      <c r="K794" s="65">
        <v>10.02</v>
      </c>
      <c r="L794" s="65">
        <v>10.19</v>
      </c>
      <c r="M794" s="65">
        <v>16868277</v>
      </c>
      <c r="N794" s="65" t="s">
        <v>840</v>
      </c>
      <c r="O794" s="25">
        <f t="shared" si="26"/>
        <v>-1.4720314033366044E-2</v>
      </c>
    </row>
    <row r="795" spans="1:15" ht="13.5" customHeight="1">
      <c r="A795" s="65">
        <v>381.05433917033525</v>
      </c>
      <c r="B795" s="65">
        <v>383.7176953494249</v>
      </c>
      <c r="C795" s="65">
        <v>380.58776582509336</v>
      </c>
      <c r="D795" s="65">
        <v>382.65818504460464</v>
      </c>
      <c r="E795" s="65">
        <v>4056358.2538527637</v>
      </c>
      <c r="F795" s="65" t="s">
        <v>841</v>
      </c>
      <c r="G795" s="25">
        <f t="shared" si="25"/>
        <v>-4.1913277618311762E-3</v>
      </c>
      <c r="I795" s="65">
        <v>10.19</v>
      </c>
      <c r="J795" s="65">
        <v>10.64</v>
      </c>
      <c r="K795" s="65">
        <v>10.09</v>
      </c>
      <c r="L795" s="65">
        <v>10.56</v>
      </c>
      <c r="M795" s="65">
        <v>18951933</v>
      </c>
      <c r="N795" s="65" t="s">
        <v>841</v>
      </c>
      <c r="O795" s="25">
        <f t="shared" si="26"/>
        <v>-3.5037878787878896E-2</v>
      </c>
    </row>
    <row r="796" spans="1:15" ht="13.5" customHeight="1">
      <c r="A796" s="65">
        <v>382.30825503567314</v>
      </c>
      <c r="B796" s="65">
        <v>382.7748283809151</v>
      </c>
      <c r="C796" s="65">
        <v>380.46140221075694</v>
      </c>
      <c r="D796" s="65">
        <v>381.08350000441294</v>
      </c>
      <c r="E796" s="65">
        <v>2977963.1737843766</v>
      </c>
      <c r="F796" s="65" t="s">
        <v>842</v>
      </c>
      <c r="G796" s="25">
        <f t="shared" si="25"/>
        <v>3.2138757811503993E-3</v>
      </c>
      <c r="I796" s="65">
        <v>10.51</v>
      </c>
      <c r="J796" s="65">
        <v>10.63</v>
      </c>
      <c r="K796" s="65">
        <v>10.34</v>
      </c>
      <c r="L796" s="65">
        <v>10.43</v>
      </c>
      <c r="M796" s="65">
        <v>16523188</v>
      </c>
      <c r="N796" s="65" t="s">
        <v>842</v>
      </c>
      <c r="O796" s="25">
        <f t="shared" si="26"/>
        <v>7.6701821668265779E-3</v>
      </c>
    </row>
    <row r="797" spans="1:15" ht="13.5" customHeight="1">
      <c r="A797" s="65">
        <v>381.52091251557727</v>
      </c>
      <c r="B797" s="65">
        <v>383.7274156274508</v>
      </c>
      <c r="C797" s="65">
        <v>380.83077277574017</v>
      </c>
      <c r="D797" s="65">
        <v>382.53182143026822</v>
      </c>
      <c r="E797" s="65">
        <v>4127225.568364379</v>
      </c>
      <c r="F797" s="65" t="s">
        <v>843</v>
      </c>
      <c r="G797" s="25">
        <f t="shared" si="25"/>
        <v>-2.642679270213999E-3</v>
      </c>
      <c r="I797" s="65">
        <v>10.51</v>
      </c>
      <c r="J797" s="65">
        <v>10.7</v>
      </c>
      <c r="K797" s="65">
        <v>10.3</v>
      </c>
      <c r="L797" s="65">
        <v>10.32</v>
      </c>
      <c r="M797" s="65">
        <v>16062110</v>
      </c>
      <c r="N797" s="65" t="s">
        <v>843</v>
      </c>
      <c r="O797" s="25">
        <f t="shared" si="26"/>
        <v>1.8410852713178327E-2</v>
      </c>
    </row>
    <row r="798" spans="1:15" ht="13.5" customHeight="1">
      <c r="A798" s="65">
        <v>382.25965364554372</v>
      </c>
      <c r="B798" s="65">
        <v>382.94007310735492</v>
      </c>
      <c r="C798" s="65">
        <v>378.64371021991843</v>
      </c>
      <c r="D798" s="65">
        <v>379.16860523331559</v>
      </c>
      <c r="E798" s="65">
        <v>7580958.055299025</v>
      </c>
      <c r="F798" s="65" t="s">
        <v>844</v>
      </c>
      <c r="G798" s="25">
        <f t="shared" si="25"/>
        <v>8.152173913043459E-3</v>
      </c>
      <c r="I798" s="65">
        <v>10.41</v>
      </c>
      <c r="J798" s="65">
        <v>10.585000000000001</v>
      </c>
      <c r="K798" s="65">
        <v>10.29</v>
      </c>
      <c r="L798" s="65">
        <v>10.47</v>
      </c>
      <c r="M798" s="65">
        <v>20859544</v>
      </c>
      <c r="N798" s="65" t="s">
        <v>844</v>
      </c>
      <c r="O798" s="25">
        <f t="shared" si="26"/>
        <v>-5.7306590257880652E-3</v>
      </c>
    </row>
    <row r="799" spans="1:15" ht="13.5" customHeight="1">
      <c r="A799" s="65">
        <v>376.72881544882108</v>
      </c>
      <c r="B799" s="65">
        <v>377.70084325140857</v>
      </c>
      <c r="C799" s="65">
        <v>372.25748755691882</v>
      </c>
      <c r="D799" s="65">
        <v>373.45308175410133</v>
      </c>
      <c r="E799" s="65">
        <v>3666103.9843861563</v>
      </c>
      <c r="F799" s="65" t="s">
        <v>845</v>
      </c>
      <c r="G799" s="25">
        <f t="shared" si="25"/>
        <v>8.7714731910464305E-3</v>
      </c>
      <c r="I799" s="65">
        <v>10.33</v>
      </c>
      <c r="J799" s="65">
        <v>10.46</v>
      </c>
      <c r="K799" s="65">
        <v>10.01</v>
      </c>
      <c r="L799" s="65">
        <v>10.06</v>
      </c>
      <c r="M799" s="65">
        <v>16856544</v>
      </c>
      <c r="N799" s="65" t="s">
        <v>845</v>
      </c>
      <c r="O799" s="25">
        <f t="shared" si="26"/>
        <v>2.6838966202783254E-2</v>
      </c>
    </row>
    <row r="800" spans="1:15" ht="13.5" customHeight="1">
      <c r="A800" s="65">
        <v>373.15175313529926</v>
      </c>
      <c r="B800" s="65">
        <v>374.38622844458536</v>
      </c>
      <c r="C800" s="65">
        <v>371.72287226549571</v>
      </c>
      <c r="D800" s="65">
        <v>373.56000481238601</v>
      </c>
      <c r="E800" s="65">
        <v>4326365.9627900664</v>
      </c>
      <c r="F800" s="65" t="s">
        <v>846</v>
      </c>
      <c r="G800" s="25">
        <f t="shared" si="25"/>
        <v>-1.0928677369832496E-3</v>
      </c>
      <c r="I800" s="65">
        <v>10.199999999999999</v>
      </c>
      <c r="J800" s="65">
        <v>10.23</v>
      </c>
      <c r="K800" s="65">
        <v>9.83</v>
      </c>
      <c r="L800" s="65">
        <v>10.050000000000001</v>
      </c>
      <c r="M800" s="65">
        <v>30412373</v>
      </c>
      <c r="N800" s="65" t="s">
        <v>846</v>
      </c>
      <c r="O800" s="25">
        <f t="shared" si="26"/>
        <v>1.4925373134328179E-2</v>
      </c>
    </row>
    <row r="801" spans="1:15" ht="13.5" customHeight="1">
      <c r="A801" s="65">
        <v>375.19301152073291</v>
      </c>
      <c r="B801" s="65">
        <v>377.39951463260644</v>
      </c>
      <c r="C801" s="65">
        <v>373.99741732355034</v>
      </c>
      <c r="D801" s="65">
        <v>376.91350073131269</v>
      </c>
      <c r="E801" s="65">
        <v>4082651.7404505406</v>
      </c>
      <c r="F801" s="65" t="s">
        <v>847</v>
      </c>
      <c r="G801" s="25">
        <f t="shared" si="25"/>
        <v>-4.5646791829997424E-3</v>
      </c>
      <c r="I801" s="65">
        <v>10.220000000000001</v>
      </c>
      <c r="J801" s="65">
        <v>10.54</v>
      </c>
      <c r="K801" s="65">
        <v>10.130000000000001</v>
      </c>
      <c r="L801" s="65">
        <v>10.39</v>
      </c>
      <c r="M801" s="65">
        <v>20578322</v>
      </c>
      <c r="N801" s="65" t="s">
        <v>847</v>
      </c>
      <c r="O801" s="25">
        <f t="shared" si="26"/>
        <v>-1.6361886429258843E-2</v>
      </c>
    </row>
    <row r="802" spans="1:15" ht="13.5" customHeight="1">
      <c r="A802" s="65">
        <v>375.07636818442245</v>
      </c>
      <c r="B802" s="65">
        <v>375.75678764623365</v>
      </c>
      <c r="C802" s="65">
        <v>370.86262766020582</v>
      </c>
      <c r="D802" s="65">
        <v>370.96469057947746</v>
      </c>
      <c r="E802" s="65">
        <v>3130354.9053847413</v>
      </c>
      <c r="F802" s="65" t="s">
        <v>848</v>
      </c>
      <c r="G802" s="25">
        <f t="shared" si="25"/>
        <v>1.1083743842364546E-2</v>
      </c>
      <c r="I802" s="65">
        <v>10.28</v>
      </c>
      <c r="J802" s="65">
        <v>10.4</v>
      </c>
      <c r="K802" s="65">
        <v>9.84</v>
      </c>
      <c r="L802" s="65">
        <v>9.8699999999999992</v>
      </c>
      <c r="M802" s="65">
        <v>20385422</v>
      </c>
      <c r="N802" s="65" t="s">
        <v>848</v>
      </c>
      <c r="O802" s="25">
        <f t="shared" si="26"/>
        <v>4.1540020263424626E-2</v>
      </c>
    </row>
    <row r="803" spans="1:15" ht="13.5" customHeight="1">
      <c r="A803" s="65">
        <v>370.26483056161453</v>
      </c>
      <c r="B803" s="65">
        <v>371.5867883731334</v>
      </c>
      <c r="C803" s="65">
        <v>368.32077495643961</v>
      </c>
      <c r="D803" s="65">
        <v>370.33287250779563</v>
      </c>
      <c r="E803" s="65">
        <v>3411293.3716231384</v>
      </c>
      <c r="F803" s="65" t="s">
        <v>849</v>
      </c>
      <c r="G803" s="25">
        <f t="shared" si="25"/>
        <v>-1.8373185647913015E-4</v>
      </c>
      <c r="I803" s="65">
        <v>9.7799999999999994</v>
      </c>
      <c r="J803" s="65">
        <v>10.0693</v>
      </c>
      <c r="K803" s="65">
        <v>9.77</v>
      </c>
      <c r="L803" s="65">
        <v>9.92</v>
      </c>
      <c r="M803" s="65">
        <v>18990989</v>
      </c>
      <c r="N803" s="65" t="s">
        <v>849</v>
      </c>
      <c r="O803" s="25">
        <f t="shared" si="26"/>
        <v>-1.4112903225806495E-2</v>
      </c>
    </row>
    <row r="804" spans="1:15" ht="13.5" customHeight="1">
      <c r="A804" s="65">
        <v>367.06685909110178</v>
      </c>
      <c r="B804" s="65">
        <v>368.64154413129347</v>
      </c>
      <c r="C804" s="65">
        <v>366.03650962035908</v>
      </c>
      <c r="D804" s="65">
        <v>368.31105467841377</v>
      </c>
      <c r="E804" s="65">
        <v>3715523.3527129977</v>
      </c>
      <c r="F804" s="65" t="s">
        <v>850</v>
      </c>
      <c r="G804" s="25">
        <f t="shared" si="25"/>
        <v>-3.378110897046871E-3</v>
      </c>
      <c r="I804" s="65">
        <v>9.8000000000000007</v>
      </c>
      <c r="J804" s="65">
        <v>9.93</v>
      </c>
      <c r="K804" s="65">
        <v>9.61</v>
      </c>
      <c r="L804" s="65">
        <v>9.68</v>
      </c>
      <c r="M804" s="65">
        <v>13300459</v>
      </c>
      <c r="N804" s="65" t="s">
        <v>850</v>
      </c>
      <c r="O804" s="25">
        <f t="shared" si="26"/>
        <v>1.2396694214876103E-2</v>
      </c>
    </row>
    <row r="805" spans="1:15" ht="13.5" customHeight="1">
      <c r="A805" s="65">
        <v>369.83713832847604</v>
      </c>
      <c r="B805" s="65">
        <v>373.3655992518685</v>
      </c>
      <c r="C805" s="65">
        <v>369.44832720744103</v>
      </c>
      <c r="D805" s="65">
        <v>372.47133367348806</v>
      </c>
      <c r="E805" s="65">
        <v>2970351.2515941835</v>
      </c>
      <c r="F805" s="65" t="s">
        <v>851</v>
      </c>
      <c r="G805" s="25">
        <f t="shared" si="25"/>
        <v>-7.0722096088102759E-3</v>
      </c>
      <c r="I805" s="65">
        <v>9.8000000000000007</v>
      </c>
      <c r="J805" s="65">
        <v>9.92</v>
      </c>
      <c r="K805" s="65">
        <v>9.6199999999999992</v>
      </c>
      <c r="L805" s="65">
        <v>9.68</v>
      </c>
      <c r="M805" s="65">
        <v>14442495</v>
      </c>
      <c r="N805" s="65" t="s">
        <v>851</v>
      </c>
      <c r="O805" s="25">
        <f t="shared" si="26"/>
        <v>1.2396694214876103E-2</v>
      </c>
    </row>
    <row r="806" spans="1:15" ht="13.5" customHeight="1">
      <c r="A806" s="65">
        <v>374.01685787960207</v>
      </c>
      <c r="B806" s="65">
        <v>375.42629819335394</v>
      </c>
      <c r="C806" s="65">
        <v>372.74350145821256</v>
      </c>
      <c r="D806" s="65">
        <v>373.90021454329161</v>
      </c>
      <c r="E806" s="65">
        <v>2864127.9525021706</v>
      </c>
      <c r="F806" s="65" t="s">
        <v>852</v>
      </c>
      <c r="G806" s="25">
        <f t="shared" si="25"/>
        <v>3.1196381219777969E-4</v>
      </c>
      <c r="I806" s="65">
        <v>9.76</v>
      </c>
      <c r="J806" s="65">
        <v>9.9700000000000006</v>
      </c>
      <c r="K806" s="65">
        <v>9.6649999999999991</v>
      </c>
      <c r="L806" s="65">
        <v>9.73</v>
      </c>
      <c r="M806" s="65">
        <v>17640569</v>
      </c>
      <c r="N806" s="65" t="s">
        <v>852</v>
      </c>
      <c r="O806" s="25">
        <f t="shared" si="26"/>
        <v>3.0832476875641834E-3</v>
      </c>
    </row>
    <row r="807" spans="1:15" ht="13.5" customHeight="1">
      <c r="A807" s="65">
        <v>373.81273204105872</v>
      </c>
      <c r="B807" s="65">
        <v>375.72762681215602</v>
      </c>
      <c r="C807" s="65">
        <v>372.71434062413488</v>
      </c>
      <c r="D807" s="65">
        <v>375.22217235481054</v>
      </c>
      <c r="E807" s="65">
        <v>3754052.0860478966</v>
      </c>
      <c r="F807" s="65" t="s">
        <v>853</v>
      </c>
      <c r="G807" s="25">
        <f t="shared" si="25"/>
        <v>-3.7562820579244427E-3</v>
      </c>
      <c r="I807" s="65">
        <v>9.7200000000000006</v>
      </c>
      <c r="J807" s="65">
        <v>9.73</v>
      </c>
      <c r="K807" s="65">
        <v>9.48</v>
      </c>
      <c r="L807" s="65">
        <v>9.58</v>
      </c>
      <c r="M807" s="65">
        <v>19546381</v>
      </c>
      <c r="N807" s="65" t="s">
        <v>853</v>
      </c>
      <c r="O807" s="25">
        <f t="shared" si="26"/>
        <v>1.4613778705636848E-2</v>
      </c>
    </row>
    <row r="808" spans="1:15" ht="13.5" customHeight="1">
      <c r="A808" s="65">
        <v>374.40566900063709</v>
      </c>
      <c r="B808" s="65">
        <v>374.78475984364616</v>
      </c>
      <c r="C808" s="65">
        <v>370.34259278582152</v>
      </c>
      <c r="D808" s="65">
        <v>370.59532001449423</v>
      </c>
      <c r="E808" s="65">
        <v>3436753.5487231379</v>
      </c>
      <c r="F808" s="65" t="s">
        <v>854</v>
      </c>
      <c r="G808" s="25">
        <f t="shared" si="25"/>
        <v>1.0281697529245237E-2</v>
      </c>
      <c r="I808" s="65">
        <v>9.69</v>
      </c>
      <c r="J808" s="65">
        <v>9.75</v>
      </c>
      <c r="K808" s="65">
        <v>9.1999999999999993</v>
      </c>
      <c r="L808" s="65">
        <v>9.2100000000000009</v>
      </c>
      <c r="M808" s="65">
        <v>32407429</v>
      </c>
      <c r="N808" s="65" t="s">
        <v>854</v>
      </c>
      <c r="O808" s="25">
        <f t="shared" si="26"/>
        <v>5.211726384364801E-2</v>
      </c>
    </row>
    <row r="809" spans="1:15" ht="13.5" customHeight="1">
      <c r="A809" s="65">
        <v>370.78000529698585</v>
      </c>
      <c r="B809" s="65">
        <v>371.40210309064179</v>
      </c>
      <c r="C809" s="65">
        <v>366.72664936019612</v>
      </c>
      <c r="D809" s="65">
        <v>368.25273301025851</v>
      </c>
      <c r="E809" s="65">
        <v>3315383.5635375697</v>
      </c>
      <c r="F809" s="65" t="s">
        <v>855</v>
      </c>
      <c r="G809" s="25">
        <f t="shared" si="25"/>
        <v>6.8628744885836923E-3</v>
      </c>
      <c r="I809" s="65">
        <v>9.3699999999999992</v>
      </c>
      <c r="J809" s="65">
        <v>9.39</v>
      </c>
      <c r="K809" s="65">
        <v>8.6999999999999993</v>
      </c>
      <c r="L809" s="65">
        <v>8.73</v>
      </c>
      <c r="M809" s="65">
        <v>37859035</v>
      </c>
      <c r="N809" s="65" t="s">
        <v>855</v>
      </c>
      <c r="O809" s="25">
        <f t="shared" si="26"/>
        <v>7.3310423825887705E-2</v>
      </c>
    </row>
    <row r="810" spans="1:15" ht="13.5" customHeight="1">
      <c r="A810" s="65">
        <v>366.40588018534231</v>
      </c>
      <c r="B810" s="65">
        <v>368.67070496537104</v>
      </c>
      <c r="C810" s="65">
        <v>366.36699907323884</v>
      </c>
      <c r="D810" s="65">
        <v>367.80560022106823</v>
      </c>
      <c r="E810" s="65">
        <v>2343159.3149261507</v>
      </c>
      <c r="F810" s="65" t="s">
        <v>856</v>
      </c>
      <c r="G810" s="25">
        <f t="shared" si="25"/>
        <v>-3.8055973995083647E-3</v>
      </c>
      <c r="I810" s="65">
        <v>8.61</v>
      </c>
      <c r="J810" s="65">
        <v>8.69</v>
      </c>
      <c r="K810" s="65">
        <v>8.3949999999999996</v>
      </c>
      <c r="L810" s="65">
        <v>8.59</v>
      </c>
      <c r="M810" s="65">
        <v>20332750</v>
      </c>
      <c r="N810" s="65" t="s">
        <v>856</v>
      </c>
      <c r="O810" s="25">
        <f t="shared" si="26"/>
        <v>2.3282887077997749E-3</v>
      </c>
    </row>
    <row r="811" spans="1:15" ht="13.5" customHeight="1">
      <c r="A811" s="65">
        <v>368.84566996983682</v>
      </c>
      <c r="B811" s="65">
        <v>369.21504053482005</v>
      </c>
      <c r="C811" s="65">
        <v>366.36699907323884</v>
      </c>
      <c r="D811" s="65">
        <v>368.14580995197389</v>
      </c>
      <c r="E811" s="65">
        <v>3994290.0703713847</v>
      </c>
      <c r="F811" s="65" t="s">
        <v>857</v>
      </c>
      <c r="G811" s="25">
        <f t="shared" si="25"/>
        <v>1.9010402914927393E-3</v>
      </c>
      <c r="I811" s="65">
        <v>8.6999999999999993</v>
      </c>
      <c r="J811" s="65">
        <v>8.74</v>
      </c>
      <c r="K811" s="65">
        <v>8.4350000000000005</v>
      </c>
      <c r="L811" s="65">
        <v>8.49</v>
      </c>
      <c r="M811" s="65">
        <v>16590345</v>
      </c>
      <c r="N811" s="65" t="s">
        <v>857</v>
      </c>
      <c r="O811" s="25">
        <f t="shared" si="26"/>
        <v>2.4734982332155431E-2</v>
      </c>
    </row>
    <row r="812" spans="1:15" ht="13.5" customHeight="1">
      <c r="A812" s="65">
        <v>367.57231354844726</v>
      </c>
      <c r="B812" s="65">
        <v>369.38028526125993</v>
      </c>
      <c r="C812" s="65">
        <v>365.32206918545728</v>
      </c>
      <c r="D812" s="65">
        <v>369.22476081284594</v>
      </c>
      <c r="E812" s="65">
        <v>2603850.4179228684</v>
      </c>
      <c r="F812" s="65" t="s">
        <v>858</v>
      </c>
      <c r="G812" s="25">
        <f t="shared" si="25"/>
        <v>-4.4754508358563205E-3</v>
      </c>
      <c r="I812" s="65">
        <v>8.5500000000000007</v>
      </c>
      <c r="J812" s="65">
        <v>8.81</v>
      </c>
      <c r="K812" s="65">
        <v>8.4499999999999993</v>
      </c>
      <c r="L812" s="65">
        <v>8.75</v>
      </c>
      <c r="M812" s="65">
        <v>17644845</v>
      </c>
      <c r="N812" s="65" t="s">
        <v>858</v>
      </c>
      <c r="O812" s="25">
        <f t="shared" si="26"/>
        <v>-2.2857142857142798E-2</v>
      </c>
    </row>
    <row r="813" spans="1:15" ht="13.5" customHeight="1">
      <c r="A813" s="65">
        <v>368.0680477277669</v>
      </c>
      <c r="B813" s="65">
        <v>368.28189384433608</v>
      </c>
      <c r="C813" s="65">
        <v>366.13371240061781</v>
      </c>
      <c r="D813" s="65">
        <v>367.88336244527528</v>
      </c>
      <c r="E813" s="65">
        <v>2753647.5735313874</v>
      </c>
      <c r="F813" s="65" t="s">
        <v>859</v>
      </c>
      <c r="G813" s="25">
        <f t="shared" si="25"/>
        <v>5.0202129627185954E-4</v>
      </c>
      <c r="I813" s="65">
        <v>8.75</v>
      </c>
      <c r="J813" s="65">
        <v>8.8000000000000007</v>
      </c>
      <c r="K813" s="65">
        <v>8.56</v>
      </c>
      <c r="L813" s="65">
        <v>8.67</v>
      </c>
      <c r="M813" s="65">
        <v>19587014</v>
      </c>
      <c r="N813" s="65" t="s">
        <v>859</v>
      </c>
      <c r="O813" s="25">
        <f t="shared" si="26"/>
        <v>9.2272202998846531E-3</v>
      </c>
    </row>
    <row r="814" spans="1:15" ht="13.5" customHeight="1">
      <c r="A814" s="65">
        <v>368.58322246313821</v>
      </c>
      <c r="B814" s="65">
        <v>370.17734805938164</v>
      </c>
      <c r="C814" s="65">
        <v>365.13252376395269</v>
      </c>
      <c r="D814" s="65">
        <v>369.64273276795853</v>
      </c>
      <c r="E814" s="65">
        <v>3614039.6299867393</v>
      </c>
      <c r="F814" s="65" t="s">
        <v>860</v>
      </c>
      <c r="G814" s="25">
        <f t="shared" si="25"/>
        <v>-2.8663090354474896E-3</v>
      </c>
      <c r="I814" s="65">
        <v>8.6999999999999993</v>
      </c>
      <c r="J814" s="65">
        <v>8.73</v>
      </c>
      <c r="K814" s="65">
        <v>8.4204000000000008</v>
      </c>
      <c r="L814" s="65">
        <v>8.49</v>
      </c>
      <c r="M814" s="65">
        <v>38351345</v>
      </c>
      <c r="N814" s="65" t="s">
        <v>860</v>
      </c>
      <c r="O814" s="25">
        <f t="shared" si="26"/>
        <v>2.4734982332155431E-2</v>
      </c>
    </row>
    <row r="815" spans="1:15" ht="13.5" customHeight="1">
      <c r="A815" s="65">
        <v>366.97937658886894</v>
      </c>
      <c r="B815" s="65">
        <v>367.99028550355985</v>
      </c>
      <c r="C815" s="65">
        <v>366.77525075032554</v>
      </c>
      <c r="D815" s="65">
        <v>367.14462131530877</v>
      </c>
      <c r="E815" s="65">
        <v>2336403.3353312062</v>
      </c>
      <c r="F815" s="65" t="s">
        <v>861</v>
      </c>
      <c r="G815" s="25">
        <f t="shared" si="25"/>
        <v>-4.500807497814785E-4</v>
      </c>
      <c r="I815" s="65">
        <v>8.27</v>
      </c>
      <c r="J815" s="65">
        <v>8.36</v>
      </c>
      <c r="K815" s="65">
        <v>8.15</v>
      </c>
      <c r="L815" s="65">
        <v>8.26</v>
      </c>
      <c r="M815" s="65">
        <v>21062740</v>
      </c>
      <c r="N815" s="65" t="s">
        <v>861</v>
      </c>
      <c r="O815" s="25">
        <f t="shared" si="26"/>
        <v>1.210653753026536E-3</v>
      </c>
    </row>
    <row r="816" spans="1:15" ht="13.5" customHeight="1">
      <c r="A816" s="65">
        <v>368.57350218511232</v>
      </c>
      <c r="B816" s="65">
        <v>369.0011944182508</v>
      </c>
      <c r="C816" s="65">
        <v>367.30986604174865</v>
      </c>
      <c r="D816" s="65">
        <v>368.79706857970746</v>
      </c>
      <c r="E816" s="65">
        <v>3042729.8397505339</v>
      </c>
      <c r="F816" s="65" t="s">
        <v>862</v>
      </c>
      <c r="G816" s="25">
        <f t="shared" si="25"/>
        <v>-6.0620436994285321E-4</v>
      </c>
      <c r="I816" s="65">
        <v>8.42</v>
      </c>
      <c r="J816" s="65">
        <v>8.4949999999999992</v>
      </c>
      <c r="K816" s="65">
        <v>8.19</v>
      </c>
      <c r="L816" s="65">
        <v>8.31</v>
      </c>
      <c r="M816" s="65">
        <v>21828090</v>
      </c>
      <c r="N816" s="65" t="s">
        <v>862</v>
      </c>
      <c r="O816" s="25">
        <f t="shared" si="26"/>
        <v>1.3237063778579916E-2</v>
      </c>
    </row>
    <row r="817" spans="1:15" ht="13.5" customHeight="1">
      <c r="A817" s="65">
        <v>368.36937634656897</v>
      </c>
      <c r="B817" s="65">
        <v>369.45804748546692</v>
      </c>
      <c r="C817" s="65">
        <v>364.9283979254094</v>
      </c>
      <c r="D817" s="65">
        <v>365.22972654421147</v>
      </c>
      <c r="E817" s="65">
        <v>3229736.8363777162</v>
      </c>
      <c r="F817" s="65" t="s">
        <v>863</v>
      </c>
      <c r="G817" s="25">
        <f t="shared" si="25"/>
        <v>8.5963698302018443E-3</v>
      </c>
      <c r="I817" s="65">
        <v>8.23</v>
      </c>
      <c r="J817" s="65">
        <v>8.31</v>
      </c>
      <c r="K817" s="65">
        <v>7.9</v>
      </c>
      <c r="L817" s="65">
        <v>8.0299999999999994</v>
      </c>
      <c r="M817" s="65">
        <v>30314793</v>
      </c>
      <c r="N817" s="65" t="s">
        <v>863</v>
      </c>
      <c r="O817" s="25">
        <f t="shared" si="26"/>
        <v>2.4906600249066102E-2</v>
      </c>
    </row>
    <row r="818" spans="1:15" ht="13.5" customHeight="1">
      <c r="A818" s="65">
        <v>361.73042645489659</v>
      </c>
      <c r="B818" s="65">
        <v>363.64532122599394</v>
      </c>
      <c r="C818" s="65">
        <v>360.54455253573997</v>
      </c>
      <c r="D818" s="65">
        <v>363.38287371929528</v>
      </c>
      <c r="E818" s="65">
        <v>4548721.7425575415</v>
      </c>
      <c r="F818" s="65" t="s">
        <v>864</v>
      </c>
      <c r="G818" s="25">
        <f t="shared" si="25"/>
        <v>-4.5473999572009927E-3</v>
      </c>
      <c r="I818" s="65">
        <v>7.91</v>
      </c>
      <c r="J818" s="65">
        <v>8.09</v>
      </c>
      <c r="K818" s="65">
        <v>7.86</v>
      </c>
      <c r="L818" s="65">
        <v>8.0399999999999991</v>
      </c>
      <c r="M818" s="65">
        <v>29079577</v>
      </c>
      <c r="N818" s="65" t="s">
        <v>864</v>
      </c>
      <c r="O818" s="25">
        <f t="shared" si="26"/>
        <v>-1.6169154228855565E-2</v>
      </c>
    </row>
    <row r="819" spans="1:15" ht="13.5" customHeight="1">
      <c r="A819" s="65">
        <v>364.39378263398623</v>
      </c>
      <c r="B819" s="65">
        <v>369.56497054375154</v>
      </c>
      <c r="C819" s="65">
        <v>364.12161484926179</v>
      </c>
      <c r="D819" s="65">
        <v>367.33902687582628</v>
      </c>
      <c r="E819" s="65">
        <v>5671688.5929854512</v>
      </c>
      <c r="F819" s="65" t="s">
        <v>865</v>
      </c>
      <c r="G819" s="25">
        <f t="shared" si="25"/>
        <v>-8.0177820115902021E-3</v>
      </c>
      <c r="I819" s="65">
        <v>8.07</v>
      </c>
      <c r="J819" s="65">
        <v>8.35</v>
      </c>
      <c r="K819" s="65">
        <v>8.02</v>
      </c>
      <c r="L819" s="65">
        <v>8.2799999999999994</v>
      </c>
      <c r="M819" s="65">
        <v>40353934</v>
      </c>
      <c r="N819" s="65" t="s">
        <v>865</v>
      </c>
      <c r="O819" s="25">
        <f t="shared" si="26"/>
        <v>-2.5362318840579601E-2</v>
      </c>
    </row>
    <row r="820" spans="1:15" ht="13.5" customHeight="1">
      <c r="A820" s="65">
        <v>366.95021575479126</v>
      </c>
      <c r="B820" s="65">
        <v>370.44951584410614</v>
      </c>
      <c r="C820" s="65">
        <v>364.18965679544289</v>
      </c>
      <c r="D820" s="65">
        <v>370.40091445397678</v>
      </c>
      <c r="E820" s="65">
        <v>4435665.3055837518</v>
      </c>
      <c r="F820" s="65" t="s">
        <v>866</v>
      </c>
      <c r="G820" s="25">
        <f t="shared" si="25"/>
        <v>-9.3161181966096018E-3</v>
      </c>
      <c r="I820" s="65">
        <v>8.31</v>
      </c>
      <c r="J820" s="65">
        <v>8.67</v>
      </c>
      <c r="K820" s="65">
        <v>8.27</v>
      </c>
      <c r="L820" s="65">
        <v>8.58</v>
      </c>
      <c r="M820" s="65">
        <v>41246424</v>
      </c>
      <c r="N820" s="65" t="s">
        <v>866</v>
      </c>
      <c r="O820" s="25">
        <f t="shared" si="26"/>
        <v>-3.1468531468531458E-2</v>
      </c>
    </row>
    <row r="821" spans="1:15" ht="13.5" customHeight="1">
      <c r="A821" s="65">
        <v>371.11049474986561</v>
      </c>
      <c r="B821" s="65">
        <v>372.90874618465239</v>
      </c>
      <c r="C821" s="65">
        <v>370.84804724316695</v>
      </c>
      <c r="D821" s="65">
        <v>371.05217308171035</v>
      </c>
      <c r="E821" s="65">
        <v>3157622.6439509075</v>
      </c>
      <c r="F821" s="65" t="s">
        <v>867</v>
      </c>
      <c r="G821" s="25">
        <f t="shared" si="25"/>
        <v>1.5717915804369653E-4</v>
      </c>
      <c r="I821" s="65">
        <v>8.73</v>
      </c>
      <c r="J821" s="65">
        <v>8.93</v>
      </c>
      <c r="K821" s="65">
        <v>8.5299999999999994</v>
      </c>
      <c r="L821" s="65">
        <v>8.7799999999999994</v>
      </c>
      <c r="M821" s="65">
        <v>42409911</v>
      </c>
      <c r="N821" s="65" t="s">
        <v>867</v>
      </c>
      <c r="O821" s="25">
        <f t="shared" si="26"/>
        <v>-5.6947608200453859E-3</v>
      </c>
    </row>
    <row r="822" spans="1:15" ht="13.5" customHeight="1">
      <c r="A822" s="65">
        <v>371.36322197853838</v>
      </c>
      <c r="B822" s="65">
        <v>371.43126392471947</v>
      </c>
      <c r="C822" s="65">
        <v>367.42650937805911</v>
      </c>
      <c r="D822" s="65">
        <v>367.46539049016263</v>
      </c>
      <c r="E822" s="65">
        <v>3484372.5570239169</v>
      </c>
      <c r="F822" s="65" t="s">
        <v>868</v>
      </c>
      <c r="G822" s="25">
        <f t="shared" si="25"/>
        <v>1.0607343138292258E-2</v>
      </c>
      <c r="I822" s="65">
        <v>8.7100000000000009</v>
      </c>
      <c r="J822" s="65">
        <v>8.7100000000000009</v>
      </c>
      <c r="K822" s="65">
        <v>8.41</v>
      </c>
      <c r="L822" s="65">
        <v>8.6199999999999992</v>
      </c>
      <c r="M822" s="65">
        <v>95969872</v>
      </c>
      <c r="N822" s="65" t="s">
        <v>868</v>
      </c>
      <c r="O822" s="25">
        <f t="shared" si="26"/>
        <v>1.0440835266821491E-2</v>
      </c>
    </row>
    <row r="823" spans="1:15" ht="13.5" customHeight="1">
      <c r="A823" s="65">
        <v>368.21385189815499</v>
      </c>
      <c r="B823" s="65">
        <v>368.52490079498295</v>
      </c>
      <c r="C823" s="65">
        <v>363.21762899285545</v>
      </c>
      <c r="D823" s="65">
        <v>363.43147510942464</v>
      </c>
      <c r="E823" s="65">
        <v>4426187.1816294007</v>
      </c>
      <c r="F823" s="65" t="s">
        <v>869</v>
      </c>
      <c r="G823" s="25">
        <f t="shared" si="25"/>
        <v>1.315895049346083E-2</v>
      </c>
      <c r="I823" s="65">
        <v>10.5</v>
      </c>
      <c r="J823" s="65">
        <v>10.7</v>
      </c>
      <c r="K823" s="65">
        <v>9.8699999999999992</v>
      </c>
      <c r="L823" s="65">
        <v>10.14</v>
      </c>
      <c r="M823" s="65">
        <v>107216577</v>
      </c>
      <c r="N823" s="65" t="s">
        <v>869</v>
      </c>
      <c r="O823" s="25">
        <f t="shared" si="26"/>
        <v>3.5502958579881616E-2</v>
      </c>
    </row>
    <row r="824" spans="1:15" ht="13.5" customHeight="1">
      <c r="A824" s="65">
        <v>361.05000699308539</v>
      </c>
      <c r="B824" s="65">
        <v>364.19937707346878</v>
      </c>
      <c r="C824" s="65">
        <v>360.60287420389517</v>
      </c>
      <c r="D824" s="65">
        <v>363.20790871482961</v>
      </c>
      <c r="E824" s="65">
        <v>3875296.5604202193</v>
      </c>
      <c r="F824" s="65" t="s">
        <v>870</v>
      </c>
      <c r="G824" s="25">
        <f t="shared" si="25"/>
        <v>-5.9412299951829839E-3</v>
      </c>
      <c r="I824" s="65">
        <v>9.8800000000000008</v>
      </c>
      <c r="J824" s="65">
        <v>10.4</v>
      </c>
      <c r="K824" s="65">
        <v>9.81</v>
      </c>
      <c r="L824" s="65">
        <v>10.4</v>
      </c>
      <c r="M824" s="65">
        <v>37987634</v>
      </c>
      <c r="N824" s="65" t="s">
        <v>870</v>
      </c>
      <c r="O824" s="25">
        <f t="shared" si="26"/>
        <v>-4.9999999999999933E-2</v>
      </c>
    </row>
    <row r="825" spans="1:15" ht="13.5" customHeight="1">
      <c r="A825" s="65">
        <v>362.66357314538061</v>
      </c>
      <c r="B825" s="65">
        <v>367.13490103728287</v>
      </c>
      <c r="C825" s="65">
        <v>362.58581092117356</v>
      </c>
      <c r="D825" s="65">
        <v>366.62944657993745</v>
      </c>
      <c r="E825" s="65">
        <v>3904649.6302851452</v>
      </c>
      <c r="F825" s="65" t="s">
        <v>871</v>
      </c>
      <c r="G825" s="25">
        <f t="shared" si="25"/>
        <v>-1.081711649610273E-2</v>
      </c>
      <c r="I825" s="65">
        <v>10.16</v>
      </c>
      <c r="J825" s="65">
        <v>10.33</v>
      </c>
      <c r="K825" s="65">
        <v>10.125</v>
      </c>
      <c r="L825" s="65">
        <v>10.19</v>
      </c>
      <c r="M825" s="65">
        <v>18736750</v>
      </c>
      <c r="N825" s="65" t="s">
        <v>871</v>
      </c>
      <c r="O825" s="25">
        <f t="shared" si="26"/>
        <v>-2.9440628066731422E-3</v>
      </c>
    </row>
    <row r="826" spans="1:15" ht="13.5" customHeight="1">
      <c r="A826" s="65">
        <v>368.48601968287943</v>
      </c>
      <c r="B826" s="65">
        <v>368.85539024786272</v>
      </c>
      <c r="C826" s="65">
        <v>366.67804797006681</v>
      </c>
      <c r="D826" s="65">
        <v>367.89308272330112</v>
      </c>
      <c r="E826" s="65">
        <v>2376858.9682825711</v>
      </c>
      <c r="F826" s="65" t="s">
        <v>872</v>
      </c>
      <c r="G826" s="25">
        <f t="shared" si="25"/>
        <v>1.6117099978860683E-3</v>
      </c>
      <c r="I826" s="65">
        <v>10.220000000000001</v>
      </c>
      <c r="J826" s="65">
        <v>10.2662</v>
      </c>
      <c r="K826" s="65">
        <v>9.92</v>
      </c>
      <c r="L826" s="65">
        <v>10.02</v>
      </c>
      <c r="M826" s="65">
        <v>15394572</v>
      </c>
      <c r="N826" s="65" t="s">
        <v>872</v>
      </c>
      <c r="O826" s="25">
        <f t="shared" si="26"/>
        <v>1.9960079840319445E-2</v>
      </c>
    </row>
    <row r="827" spans="1:15" ht="13.5" customHeight="1">
      <c r="A827" s="65">
        <v>368.00000578158568</v>
      </c>
      <c r="B827" s="65">
        <v>368.49573996090538</v>
      </c>
      <c r="C827" s="65">
        <v>366.2795165710059</v>
      </c>
      <c r="D827" s="65">
        <v>368.08748828381863</v>
      </c>
      <c r="E827" s="65">
        <v>2841797.3155160467</v>
      </c>
      <c r="F827" s="65" t="s">
        <v>873</v>
      </c>
      <c r="G827" s="25">
        <f t="shared" si="25"/>
        <v>-2.376676877576811E-4</v>
      </c>
      <c r="I827" s="65">
        <v>10.01</v>
      </c>
      <c r="J827" s="65">
        <v>10.34</v>
      </c>
      <c r="K827" s="65">
        <v>9.98</v>
      </c>
      <c r="L827" s="65">
        <v>10.199999999999999</v>
      </c>
      <c r="M827" s="65">
        <v>26418570</v>
      </c>
      <c r="N827" s="65" t="s">
        <v>873</v>
      </c>
      <c r="O827" s="25">
        <f t="shared" si="26"/>
        <v>-1.8627450980392091E-2</v>
      </c>
    </row>
    <row r="828" spans="1:15" ht="13.5" customHeight="1">
      <c r="A828" s="65">
        <v>367.7861596650165</v>
      </c>
      <c r="B828" s="65">
        <v>369.43860692941519</v>
      </c>
      <c r="C828" s="65">
        <v>366.39615990731642</v>
      </c>
      <c r="D828" s="65">
        <v>367.21266326148987</v>
      </c>
      <c r="E828" s="65">
        <v>3038156.9252843349</v>
      </c>
      <c r="F828" s="65" t="s">
        <v>874</v>
      </c>
      <c r="G828" s="25">
        <f t="shared" si="25"/>
        <v>1.5617555190852173E-3</v>
      </c>
      <c r="I828" s="65">
        <v>10.14</v>
      </c>
      <c r="J828" s="65">
        <v>10.875</v>
      </c>
      <c r="K828" s="65">
        <v>10.119999999999999</v>
      </c>
      <c r="L828" s="65">
        <v>10.8</v>
      </c>
      <c r="M828" s="65">
        <v>34102819</v>
      </c>
      <c r="N828" s="65" t="s">
        <v>874</v>
      </c>
      <c r="O828" s="25">
        <f t="shared" si="26"/>
        <v>-6.1111111111111116E-2</v>
      </c>
    </row>
    <row r="829" spans="1:15" ht="13.5" customHeight="1">
      <c r="A829" s="65">
        <v>369.87601944057951</v>
      </c>
      <c r="B829" s="65">
        <v>370.66336196067533</v>
      </c>
      <c r="C829" s="65">
        <v>368.07776800579273</v>
      </c>
      <c r="D829" s="65">
        <v>368.13608967394799</v>
      </c>
      <c r="E829" s="65">
        <v>2748183.7380465763</v>
      </c>
      <c r="F829" s="65" t="s">
        <v>875</v>
      </c>
      <c r="G829" s="25">
        <f t="shared" si="25"/>
        <v>4.7263221820292856E-3</v>
      </c>
      <c r="I829" s="65">
        <v>10.98</v>
      </c>
      <c r="J829" s="65">
        <v>11.4</v>
      </c>
      <c r="K829" s="65">
        <v>10.85</v>
      </c>
      <c r="L829" s="65">
        <v>10.85</v>
      </c>
      <c r="M829" s="65">
        <v>28011599</v>
      </c>
      <c r="N829" s="65" t="s">
        <v>875</v>
      </c>
      <c r="O829" s="25">
        <f t="shared" si="26"/>
        <v>1.1981566820276512E-2</v>
      </c>
    </row>
    <row r="830" spans="1:15" ht="13.5" customHeight="1">
      <c r="A830" s="65">
        <v>369.8954599966313</v>
      </c>
      <c r="B830" s="65">
        <v>371.23199822518905</v>
      </c>
      <c r="C830" s="65">
        <v>368.63182385326758</v>
      </c>
      <c r="D830" s="65">
        <v>371.15909613999497</v>
      </c>
      <c r="E830" s="65">
        <v>3106153.9515258279</v>
      </c>
      <c r="F830" s="65" t="s">
        <v>876</v>
      </c>
      <c r="G830" s="25">
        <f t="shared" si="25"/>
        <v>-3.4045673580556102E-3</v>
      </c>
      <c r="I830" s="65">
        <v>11.04</v>
      </c>
      <c r="J830" s="65">
        <v>11.34</v>
      </c>
      <c r="K830" s="65">
        <v>11.01</v>
      </c>
      <c r="L830" s="65">
        <v>11.15</v>
      </c>
      <c r="M830" s="65">
        <v>26453052</v>
      </c>
      <c r="N830" s="65" t="s">
        <v>876</v>
      </c>
      <c r="O830" s="25">
        <f t="shared" si="26"/>
        <v>-9.8654708520180545E-3</v>
      </c>
    </row>
    <row r="831" spans="1:15" ht="13.5" customHeight="1">
      <c r="A831" s="65">
        <v>369.64273276795853</v>
      </c>
      <c r="B831" s="65">
        <v>369.681613880062</v>
      </c>
      <c r="C831" s="65">
        <v>367.11546048123114</v>
      </c>
      <c r="D831" s="65">
        <v>368.24301273223256</v>
      </c>
      <c r="E831" s="65">
        <v>2799306.7613466522</v>
      </c>
      <c r="F831" s="65" t="s">
        <v>877</v>
      </c>
      <c r="G831" s="25">
        <f t="shared" si="25"/>
        <v>3.8010769718088699E-3</v>
      </c>
      <c r="I831" s="65">
        <v>10.88</v>
      </c>
      <c r="J831" s="65">
        <v>10.88</v>
      </c>
      <c r="K831" s="65">
        <v>10.57</v>
      </c>
      <c r="L831" s="65">
        <v>10.6</v>
      </c>
      <c r="M831" s="65">
        <v>20609359</v>
      </c>
      <c r="N831" s="65" t="s">
        <v>877</v>
      </c>
      <c r="O831" s="25">
        <f t="shared" si="26"/>
        <v>2.6415094339622858E-2</v>
      </c>
    </row>
    <row r="832" spans="1:15" ht="13.5" customHeight="1">
      <c r="A832" s="65">
        <v>368.3888169026207</v>
      </c>
      <c r="B832" s="65">
        <v>370.66336196067533</v>
      </c>
      <c r="C832" s="65">
        <v>366.18231379074723</v>
      </c>
      <c r="D832" s="65">
        <v>368.66098468734521</v>
      </c>
      <c r="E832" s="65">
        <v>3067456.4987370577</v>
      </c>
      <c r="F832" s="65" t="s">
        <v>878</v>
      </c>
      <c r="G832" s="25">
        <f t="shared" ref="G832:G895" si="27">A832/D832-1</f>
        <v>-7.3826034223645198E-4</v>
      </c>
      <c r="I832" s="65">
        <v>10.69</v>
      </c>
      <c r="J832" s="65">
        <v>10.95</v>
      </c>
      <c r="K832" s="65">
        <v>10.55</v>
      </c>
      <c r="L832" s="65">
        <v>10.67</v>
      </c>
      <c r="M832" s="65">
        <v>19894848</v>
      </c>
      <c r="N832" s="65" t="s">
        <v>878</v>
      </c>
      <c r="O832" s="25">
        <f t="shared" ref="O832:O895" si="28">I832/L832-1</f>
        <v>1.8744142455482393E-3</v>
      </c>
    </row>
    <row r="833" spans="1:15" ht="13.5" customHeight="1">
      <c r="A833" s="65">
        <v>369.14699858863889</v>
      </c>
      <c r="B833" s="65">
        <v>369.53580970967391</v>
      </c>
      <c r="C833" s="65">
        <v>364.94278393688762</v>
      </c>
      <c r="D833" s="65">
        <v>365.39497127065135</v>
      </c>
      <c r="E833" s="65">
        <v>2758017.8188975095</v>
      </c>
      <c r="F833" s="65" t="s">
        <v>879</v>
      </c>
      <c r="G833" s="25">
        <f t="shared" si="27"/>
        <v>1.0268415312175705E-2</v>
      </c>
      <c r="I833" s="65">
        <v>10.74</v>
      </c>
      <c r="J833" s="65">
        <v>11.02</v>
      </c>
      <c r="K833" s="65">
        <v>10.71</v>
      </c>
      <c r="L833" s="65">
        <v>10.79</v>
      </c>
      <c r="M833" s="65">
        <v>18569680</v>
      </c>
      <c r="N833" s="65" t="s">
        <v>879</v>
      </c>
      <c r="O833" s="25">
        <f t="shared" si="28"/>
        <v>-4.633920296570837E-3</v>
      </c>
    </row>
    <row r="834" spans="1:15" ht="13.5" customHeight="1">
      <c r="A834" s="65">
        <v>364.42294346806392</v>
      </c>
      <c r="B834" s="65">
        <v>368.02916661566337</v>
      </c>
      <c r="C834" s="65">
        <v>363.84944706453729</v>
      </c>
      <c r="D834" s="65">
        <v>367.81532049909407</v>
      </c>
      <c r="E834" s="65">
        <v>3728466.3981346516</v>
      </c>
      <c r="F834" s="65" t="s">
        <v>880</v>
      </c>
      <c r="G834" s="25">
        <f t="shared" si="27"/>
        <v>-9.2230443974627985E-3</v>
      </c>
      <c r="I834" s="65">
        <v>10.62</v>
      </c>
      <c r="J834" s="65">
        <v>10.78</v>
      </c>
      <c r="K834" s="65">
        <v>10.36</v>
      </c>
      <c r="L834" s="65">
        <v>10.69</v>
      </c>
      <c r="M834" s="65">
        <v>21840297</v>
      </c>
      <c r="N834" s="65" t="s">
        <v>880</v>
      </c>
      <c r="O834" s="25">
        <f t="shared" si="28"/>
        <v>-6.5481758652946587E-3</v>
      </c>
    </row>
    <row r="835" spans="1:15" ht="13.5" customHeight="1">
      <c r="A835" s="65">
        <v>365.8809851719451</v>
      </c>
      <c r="B835" s="65">
        <v>367.19322270543813</v>
      </c>
      <c r="C835" s="65">
        <v>365.18112515408211</v>
      </c>
      <c r="D835" s="65">
        <v>366.35727879521289</v>
      </c>
      <c r="E835" s="65">
        <v>3157318.1259122137</v>
      </c>
      <c r="F835" s="65" t="s">
        <v>881</v>
      </c>
      <c r="G835" s="25">
        <f t="shared" si="27"/>
        <v>-1.3000795967098577E-3</v>
      </c>
      <c r="I835" s="65">
        <v>10.56</v>
      </c>
      <c r="J835" s="65">
        <v>10.73</v>
      </c>
      <c r="K835" s="65">
        <v>10.39</v>
      </c>
      <c r="L835" s="65">
        <v>10.4</v>
      </c>
      <c r="M835" s="65">
        <v>19691792</v>
      </c>
      <c r="N835" s="65" t="s">
        <v>881</v>
      </c>
      <c r="O835" s="25">
        <f t="shared" si="28"/>
        <v>1.538461538461533E-2</v>
      </c>
    </row>
    <row r="836" spans="1:15" ht="13.5" customHeight="1">
      <c r="A836" s="65">
        <v>365.83238378181574</v>
      </c>
      <c r="B836" s="65">
        <v>365.86154461589331</v>
      </c>
      <c r="C836" s="65">
        <v>362.5274892530183</v>
      </c>
      <c r="D836" s="65">
        <v>363.10098565654494</v>
      </c>
      <c r="E836" s="65">
        <v>2747984.155277973</v>
      </c>
      <c r="F836" s="65" t="s">
        <v>882</v>
      </c>
      <c r="G836" s="25">
        <f t="shared" si="27"/>
        <v>7.5224200240933126E-3</v>
      </c>
      <c r="I836" s="65">
        <v>10.36</v>
      </c>
      <c r="J836" s="65">
        <v>10.42</v>
      </c>
      <c r="K836" s="65">
        <v>10.16</v>
      </c>
      <c r="L836" s="65">
        <v>10.36</v>
      </c>
      <c r="M836" s="65">
        <v>18457472</v>
      </c>
      <c r="N836" s="65" t="s">
        <v>882</v>
      </c>
      <c r="O836" s="25">
        <f t="shared" si="28"/>
        <v>0</v>
      </c>
    </row>
    <row r="837" spans="1:15" ht="13.5" customHeight="1">
      <c r="A837" s="65">
        <v>365.43385238275482</v>
      </c>
      <c r="B837" s="65">
        <v>365.66227891636288</v>
      </c>
      <c r="C837" s="65">
        <v>362.29420258039738</v>
      </c>
      <c r="D837" s="65">
        <v>363.21762899285545</v>
      </c>
      <c r="E837" s="65">
        <v>3164747.9545454849</v>
      </c>
      <c r="F837" s="65" t="s">
        <v>883</v>
      </c>
      <c r="G837" s="25">
        <f t="shared" si="27"/>
        <v>6.1016404849196793E-3</v>
      </c>
      <c r="I837" s="65">
        <v>10.56</v>
      </c>
      <c r="J837" s="65">
        <v>10.69</v>
      </c>
      <c r="K837" s="65">
        <v>10.23</v>
      </c>
      <c r="L837" s="65">
        <v>10.35</v>
      </c>
      <c r="M837" s="65">
        <v>16512787</v>
      </c>
      <c r="N837" s="65" t="s">
        <v>883</v>
      </c>
      <c r="O837" s="25">
        <f t="shared" si="28"/>
        <v>2.0289855072463947E-2</v>
      </c>
    </row>
    <row r="838" spans="1:15" ht="13.5" customHeight="1">
      <c r="A838" s="65">
        <v>364.04385262505474</v>
      </c>
      <c r="B838" s="65">
        <v>364.9186776473835</v>
      </c>
      <c r="C838" s="65">
        <v>362.45944730683721</v>
      </c>
      <c r="D838" s="65">
        <v>364.22853790754635</v>
      </c>
      <c r="E838" s="65">
        <v>3320620.0392705179</v>
      </c>
      <c r="F838" s="65" t="s">
        <v>884</v>
      </c>
      <c r="G838" s="25">
        <f t="shared" si="27"/>
        <v>-5.0705879213253091E-4</v>
      </c>
      <c r="I838" s="65">
        <v>10.39</v>
      </c>
      <c r="J838" s="65">
        <v>10.9</v>
      </c>
      <c r="K838" s="65">
        <v>10.33</v>
      </c>
      <c r="L838" s="65">
        <v>10.85</v>
      </c>
      <c r="M838" s="65">
        <v>21294505</v>
      </c>
      <c r="N838" s="65" t="s">
        <v>884</v>
      </c>
      <c r="O838" s="25">
        <f t="shared" si="28"/>
        <v>-4.2396313364055249E-2</v>
      </c>
    </row>
    <row r="839" spans="1:15" ht="13.5" customHeight="1">
      <c r="A839" s="65">
        <v>364.9283979254094</v>
      </c>
      <c r="B839" s="65">
        <v>367.81532049909407</v>
      </c>
      <c r="C839" s="65">
        <v>363.66476178204567</v>
      </c>
      <c r="D839" s="65">
        <v>367.61119466055072</v>
      </c>
      <c r="E839" s="65">
        <v>2791358.4290258749</v>
      </c>
      <c r="F839" s="65" t="s">
        <v>885</v>
      </c>
      <c r="G839" s="25">
        <f t="shared" si="27"/>
        <v>-7.2979190354053314E-3</v>
      </c>
      <c r="I839" s="65">
        <v>11</v>
      </c>
      <c r="J839" s="65">
        <v>11.47</v>
      </c>
      <c r="K839" s="65">
        <v>10.8803</v>
      </c>
      <c r="L839" s="65">
        <v>11.34</v>
      </c>
      <c r="M839" s="65">
        <v>18604093</v>
      </c>
      <c r="N839" s="65" t="s">
        <v>885</v>
      </c>
      <c r="O839" s="25">
        <f t="shared" si="28"/>
        <v>-2.9982363315696592E-2</v>
      </c>
    </row>
    <row r="840" spans="1:15" ht="13.5" customHeight="1">
      <c r="A840" s="65">
        <v>366.99881714492068</v>
      </c>
      <c r="B840" s="65">
        <v>367.33902687582628</v>
      </c>
      <c r="C840" s="65">
        <v>364.72427208686605</v>
      </c>
      <c r="D840" s="65">
        <v>365.09364265184928</v>
      </c>
      <c r="E840" s="65">
        <v>3626743.9991077953</v>
      </c>
      <c r="F840" s="65" t="s">
        <v>886</v>
      </c>
      <c r="G840" s="25">
        <f t="shared" si="27"/>
        <v>5.2183173588924436E-3</v>
      </c>
      <c r="I840" s="65">
        <v>11.24</v>
      </c>
      <c r="J840" s="65">
        <v>11.305</v>
      </c>
      <c r="K840" s="65">
        <v>10.98</v>
      </c>
      <c r="L840" s="65">
        <v>11.07</v>
      </c>
      <c r="M840" s="65">
        <v>15085383</v>
      </c>
      <c r="N840" s="65" t="s">
        <v>886</v>
      </c>
      <c r="O840" s="25">
        <f t="shared" si="28"/>
        <v>1.5356820234869062E-2</v>
      </c>
    </row>
    <row r="841" spans="1:15" ht="13.5" customHeight="1">
      <c r="A841" s="65">
        <v>365.55049571906534</v>
      </c>
      <c r="B841" s="65">
        <v>365.81294322576395</v>
      </c>
      <c r="C841" s="65">
        <v>361.25413283162874</v>
      </c>
      <c r="D841" s="65">
        <v>361.38049644596509</v>
      </c>
      <c r="E841" s="65">
        <v>4279552.4870038051</v>
      </c>
      <c r="F841" s="65" t="s">
        <v>887</v>
      </c>
      <c r="G841" s="25">
        <f t="shared" si="27"/>
        <v>1.1539082252945532E-2</v>
      </c>
      <c r="I841" s="65">
        <v>11.21</v>
      </c>
      <c r="J841" s="65">
        <v>11.26</v>
      </c>
      <c r="K841" s="65">
        <v>10.805</v>
      </c>
      <c r="L841" s="65">
        <v>10.92</v>
      </c>
      <c r="M841" s="65">
        <v>22284205</v>
      </c>
      <c r="N841" s="65" t="s">
        <v>887</v>
      </c>
      <c r="O841" s="25">
        <f t="shared" si="28"/>
        <v>2.6556776556776684E-2</v>
      </c>
    </row>
    <row r="842" spans="1:15" ht="13.5" customHeight="1">
      <c r="A842" s="65">
        <v>360.51539170166228</v>
      </c>
      <c r="B842" s="65">
        <v>361.08888810518891</v>
      </c>
      <c r="C842" s="65">
        <v>358.77740599063588</v>
      </c>
      <c r="D842" s="65">
        <v>360.84588115454204</v>
      </c>
      <c r="E842" s="65">
        <v>3412188.4077503812</v>
      </c>
      <c r="F842" s="65" t="s">
        <v>888</v>
      </c>
      <c r="G842" s="25">
        <f t="shared" si="27"/>
        <v>-9.1587425585226701E-4</v>
      </c>
      <c r="I842" s="65">
        <v>10.91</v>
      </c>
      <c r="J842" s="65">
        <v>11</v>
      </c>
      <c r="K842" s="65">
        <v>10.67</v>
      </c>
      <c r="L842" s="65">
        <v>10.85</v>
      </c>
      <c r="M842" s="65">
        <v>22164168</v>
      </c>
      <c r="N842" s="65" t="s">
        <v>888</v>
      </c>
      <c r="O842" s="25">
        <f t="shared" si="28"/>
        <v>5.5299539170508005E-3</v>
      </c>
    </row>
    <row r="843" spans="1:15" ht="13.5" customHeight="1">
      <c r="A843" s="65">
        <v>358.3769305359699</v>
      </c>
      <c r="B843" s="65">
        <v>358.61993748661678</v>
      </c>
      <c r="C843" s="65">
        <v>356.04406380976002</v>
      </c>
      <c r="D843" s="65">
        <v>357.12301467063207</v>
      </c>
      <c r="E843" s="65">
        <v>3740704.7312032469</v>
      </c>
      <c r="F843" s="65" t="s">
        <v>889</v>
      </c>
      <c r="G843" s="25">
        <f t="shared" si="27"/>
        <v>3.5111594991834583E-3</v>
      </c>
      <c r="I843" s="65">
        <v>10.78</v>
      </c>
      <c r="J843" s="65">
        <v>11.19</v>
      </c>
      <c r="K843" s="65">
        <v>10.64</v>
      </c>
      <c r="L843" s="65">
        <v>11.18</v>
      </c>
      <c r="M843" s="65">
        <v>38808232</v>
      </c>
      <c r="N843" s="65" t="s">
        <v>889</v>
      </c>
      <c r="O843" s="25">
        <f t="shared" si="28"/>
        <v>-3.5778175313059046E-2</v>
      </c>
    </row>
    <row r="844" spans="1:15" ht="13.5" customHeight="1">
      <c r="A844" s="65">
        <v>353.35154679659274</v>
      </c>
      <c r="B844" s="65">
        <v>354.01252570235221</v>
      </c>
      <c r="C844" s="65">
        <v>351.56495969543698</v>
      </c>
      <c r="D844" s="65">
        <v>353.37098735264453</v>
      </c>
      <c r="E844" s="65">
        <v>2483111.0731350011</v>
      </c>
      <c r="F844" s="65" t="s">
        <v>890</v>
      </c>
      <c r="G844" s="25">
        <f t="shared" si="27"/>
        <v>-5.5014578863477048E-5</v>
      </c>
      <c r="I844" s="65">
        <v>11.06</v>
      </c>
      <c r="J844" s="65">
        <v>11.7</v>
      </c>
      <c r="K844" s="65">
        <v>10.88</v>
      </c>
      <c r="L844" s="65">
        <v>11.61</v>
      </c>
      <c r="M844" s="65">
        <v>31806330</v>
      </c>
      <c r="N844" s="65" t="s">
        <v>890</v>
      </c>
      <c r="O844" s="25">
        <f t="shared" si="28"/>
        <v>-4.737295434969846E-2</v>
      </c>
    </row>
    <row r="845" spans="1:15" ht="13.5" customHeight="1">
      <c r="A845" s="65">
        <v>353.97364459024874</v>
      </c>
      <c r="B845" s="65">
        <v>356.18014770212227</v>
      </c>
      <c r="C845" s="65">
        <v>353.23490346028223</v>
      </c>
      <c r="D845" s="65">
        <v>355.4948681012981</v>
      </c>
      <c r="E845" s="65">
        <v>4264070.4195568245</v>
      </c>
      <c r="F845" s="65" t="s">
        <v>891</v>
      </c>
      <c r="G845" s="25">
        <f t="shared" si="27"/>
        <v>-4.279171508647206E-3</v>
      </c>
      <c r="I845" s="65">
        <v>11.74</v>
      </c>
      <c r="J845" s="65">
        <v>12.09</v>
      </c>
      <c r="K845" s="65">
        <v>11.5601</v>
      </c>
      <c r="L845" s="65">
        <v>11.65</v>
      </c>
      <c r="M845" s="65">
        <v>25453292</v>
      </c>
      <c r="N845" s="65" t="s">
        <v>891</v>
      </c>
      <c r="O845" s="25">
        <f t="shared" si="28"/>
        <v>7.7253218884119068E-3</v>
      </c>
    </row>
    <row r="846" spans="1:15" ht="13.5" customHeight="1">
      <c r="A846" s="65">
        <v>353.39042790869627</v>
      </c>
      <c r="B846" s="65">
        <v>353.45846985487736</v>
      </c>
      <c r="C846" s="65">
        <v>347.71378554158554</v>
      </c>
      <c r="D846" s="65">
        <v>349.91056837543317</v>
      </c>
      <c r="E846" s="65">
        <v>3848594.6492908155</v>
      </c>
      <c r="F846" s="65" t="s">
        <v>892</v>
      </c>
      <c r="G846" s="25">
        <f t="shared" si="27"/>
        <v>9.9449969442746422E-3</v>
      </c>
      <c r="I846" s="65">
        <v>11.56</v>
      </c>
      <c r="J846" s="65">
        <v>11.734999999999999</v>
      </c>
      <c r="K846" s="65">
        <v>11.32</v>
      </c>
      <c r="L846" s="65">
        <v>11.45</v>
      </c>
      <c r="M846" s="65">
        <v>19236663</v>
      </c>
      <c r="N846" s="65" t="s">
        <v>892</v>
      </c>
      <c r="O846" s="25">
        <f t="shared" si="28"/>
        <v>9.6069868995634078E-3</v>
      </c>
    </row>
    <row r="847" spans="1:15" ht="13.5" customHeight="1">
      <c r="A847" s="65">
        <v>351.0503681767471</v>
      </c>
      <c r="B847" s="65">
        <v>356.51592735037912</v>
      </c>
      <c r="C847" s="65">
        <v>348.61090499616745</v>
      </c>
      <c r="D847" s="65">
        <v>352.83156351494813</v>
      </c>
      <c r="E847" s="65">
        <v>4945238.139291577</v>
      </c>
      <c r="F847" s="65" t="s">
        <v>893</v>
      </c>
      <c r="G847" s="25">
        <f t="shared" si="27"/>
        <v>-5.0482879719052631E-3</v>
      </c>
      <c r="I847" s="65">
        <v>11.39</v>
      </c>
      <c r="J847" s="65">
        <v>12.11</v>
      </c>
      <c r="K847" s="65">
        <v>11.16</v>
      </c>
      <c r="L847" s="65">
        <v>11.56</v>
      </c>
      <c r="M847" s="65">
        <v>39608906</v>
      </c>
      <c r="N847" s="65" t="s">
        <v>893</v>
      </c>
      <c r="O847" s="25">
        <f t="shared" si="28"/>
        <v>-1.4705882352941124E-2</v>
      </c>
    </row>
    <row r="848" spans="1:15" ht="13.5" customHeight="1">
      <c r="A848" s="65">
        <v>350.21785296432705</v>
      </c>
      <c r="B848" s="65">
        <v>359.3551914411093</v>
      </c>
      <c r="C848" s="65">
        <v>350.10168805096617</v>
      </c>
      <c r="D848" s="65">
        <v>356.02609863237382</v>
      </c>
      <c r="E848" s="65">
        <v>4230027.6889393684</v>
      </c>
      <c r="F848" s="65" t="s">
        <v>894</v>
      </c>
      <c r="G848" s="25">
        <f t="shared" si="27"/>
        <v>-1.631410082114304E-2</v>
      </c>
      <c r="I848" s="65">
        <v>11.05</v>
      </c>
      <c r="J848" s="65">
        <v>11.7</v>
      </c>
      <c r="K848" s="65">
        <v>11.02</v>
      </c>
      <c r="L848" s="65">
        <v>11.35</v>
      </c>
      <c r="M848" s="65">
        <v>21179586</v>
      </c>
      <c r="N848" s="65" t="s">
        <v>894</v>
      </c>
      <c r="O848" s="25">
        <f t="shared" si="28"/>
        <v>-2.6431718061673881E-2</v>
      </c>
    </row>
    <row r="849" spans="1:15" ht="13.5" customHeight="1">
      <c r="A849" s="65">
        <v>356.12290272684129</v>
      </c>
      <c r="B849" s="65">
        <v>356.63596442751879</v>
      </c>
      <c r="C849" s="65">
        <v>353.21877989281791</v>
      </c>
      <c r="D849" s="65">
        <v>354.70956294761658</v>
      </c>
      <c r="E849" s="65">
        <v>4253569.048553722</v>
      </c>
      <c r="F849" s="65" t="s">
        <v>895</v>
      </c>
      <c r="G849" s="25">
        <f t="shared" si="27"/>
        <v>3.9844986627366463E-3</v>
      </c>
      <c r="I849" s="65">
        <v>11.38</v>
      </c>
      <c r="J849" s="65">
        <v>11.47</v>
      </c>
      <c r="K849" s="65">
        <v>10.73</v>
      </c>
      <c r="L849" s="65">
        <v>10.75</v>
      </c>
      <c r="M849" s="65">
        <v>23426522</v>
      </c>
      <c r="N849" s="65" t="s">
        <v>895</v>
      </c>
      <c r="O849" s="25">
        <f t="shared" si="28"/>
        <v>5.8604651162790677E-2</v>
      </c>
    </row>
    <row r="850" spans="1:15" ht="13.5" customHeight="1">
      <c r="A850" s="65">
        <v>351.52470823963756</v>
      </c>
      <c r="B850" s="65">
        <v>351.9603266647411</v>
      </c>
      <c r="C850" s="65">
        <v>348.32049271276509</v>
      </c>
      <c r="D850" s="65">
        <v>348.94971932680352</v>
      </c>
      <c r="E850" s="65">
        <v>3202088.7309083808</v>
      </c>
      <c r="F850" s="65" t="s">
        <v>896</v>
      </c>
      <c r="G850" s="25">
        <f t="shared" si="27"/>
        <v>7.3792548617082065E-3</v>
      </c>
      <c r="I850" s="65">
        <v>10.66</v>
      </c>
      <c r="J850" s="65">
        <v>10.9193</v>
      </c>
      <c r="K850" s="65">
        <v>10.47</v>
      </c>
      <c r="L850" s="65">
        <v>10.75</v>
      </c>
      <c r="M850" s="65">
        <v>17665605</v>
      </c>
      <c r="N850" s="65" t="s">
        <v>896</v>
      </c>
      <c r="O850" s="25">
        <f t="shared" si="28"/>
        <v>-8.3720930232558111E-3</v>
      </c>
    </row>
    <row r="851" spans="1:15" ht="13.5" customHeight="1">
      <c r="A851" s="65">
        <v>348.37857516944558</v>
      </c>
      <c r="B851" s="65">
        <v>352.16361526312278</v>
      </c>
      <c r="C851" s="65">
        <v>346.96533219431535</v>
      </c>
      <c r="D851" s="65">
        <v>351.16653309010803</v>
      </c>
      <c r="E851" s="65">
        <v>5361247.4023454525</v>
      </c>
      <c r="F851" s="65" t="s">
        <v>897</v>
      </c>
      <c r="G851" s="25">
        <f t="shared" si="27"/>
        <v>-7.9391333112801554E-3</v>
      </c>
      <c r="I851" s="65">
        <v>10.7</v>
      </c>
      <c r="J851" s="65">
        <v>10.95</v>
      </c>
      <c r="K851" s="65">
        <v>10.4</v>
      </c>
      <c r="L851" s="65">
        <v>10.87</v>
      </c>
      <c r="M851" s="65">
        <v>34496173</v>
      </c>
      <c r="N851" s="65" t="s">
        <v>897</v>
      </c>
      <c r="O851" s="25">
        <f t="shared" si="28"/>
        <v>-1.5639374425022945E-2</v>
      </c>
    </row>
    <row r="852" spans="1:15" ht="13.5" customHeight="1">
      <c r="A852" s="65">
        <v>352.23137812924995</v>
      </c>
      <c r="B852" s="65">
        <v>352.61859450711972</v>
      </c>
      <c r="C852" s="65">
        <v>343.64485494998746</v>
      </c>
      <c r="D852" s="65">
        <v>344.17727746955842</v>
      </c>
      <c r="E852" s="65">
        <v>5216558.2745037554</v>
      </c>
      <c r="F852" s="65" t="s">
        <v>898</v>
      </c>
      <c r="G852" s="25">
        <f t="shared" si="27"/>
        <v>2.3401023794791032E-2</v>
      </c>
      <c r="I852" s="65">
        <v>11.09</v>
      </c>
      <c r="J852" s="65">
        <v>11.18</v>
      </c>
      <c r="K852" s="65">
        <v>10.38</v>
      </c>
      <c r="L852" s="65">
        <v>10.75</v>
      </c>
      <c r="M852" s="65">
        <v>52589457</v>
      </c>
      <c r="N852" s="65" t="s">
        <v>898</v>
      </c>
      <c r="O852" s="25">
        <f t="shared" si="28"/>
        <v>3.1627906976744224E-2</v>
      </c>
    </row>
    <row r="853" spans="1:15" ht="13.5" customHeight="1">
      <c r="A853" s="65">
        <v>346.30696754784225</v>
      </c>
      <c r="B853" s="65">
        <v>346.44249328009664</v>
      </c>
      <c r="C853" s="65">
        <v>341.29735565915189</v>
      </c>
      <c r="D853" s="65">
        <v>343.13179324930996</v>
      </c>
      <c r="E853" s="65">
        <v>6828629.549572384</v>
      </c>
      <c r="F853" s="65" t="s">
        <v>899</v>
      </c>
      <c r="G853" s="25">
        <f t="shared" si="27"/>
        <v>9.2535123850365775E-3</v>
      </c>
      <c r="I853" s="65">
        <v>10.34</v>
      </c>
      <c r="J853" s="65">
        <v>10.37</v>
      </c>
      <c r="K853" s="65">
        <v>9.86</v>
      </c>
      <c r="L853" s="65">
        <v>10.130000000000001</v>
      </c>
      <c r="M853" s="65">
        <v>22619528</v>
      </c>
      <c r="N853" s="65" t="s">
        <v>899</v>
      </c>
      <c r="O853" s="25">
        <f t="shared" si="28"/>
        <v>2.073050345508376E-2</v>
      </c>
    </row>
    <row r="854" spans="1:15" ht="13.5" customHeight="1">
      <c r="A854" s="65">
        <v>348.45601844501954</v>
      </c>
      <c r="B854" s="65">
        <v>349.95648190926494</v>
      </c>
      <c r="C854" s="65">
        <v>344.2644011545791</v>
      </c>
      <c r="D854" s="65">
        <v>347.41053422477114</v>
      </c>
      <c r="E854" s="65">
        <v>4957239.6977627501</v>
      </c>
      <c r="F854" s="65" t="s">
        <v>900</v>
      </c>
      <c r="G854" s="25">
        <f t="shared" si="27"/>
        <v>3.0093624609897063E-3</v>
      </c>
      <c r="I854" s="65">
        <v>10.37</v>
      </c>
      <c r="J854" s="65">
        <v>10.7</v>
      </c>
      <c r="K854" s="65">
        <v>10.19</v>
      </c>
      <c r="L854" s="65">
        <v>10.55</v>
      </c>
      <c r="M854" s="65">
        <v>26552904</v>
      </c>
      <c r="N854" s="65" t="s">
        <v>900</v>
      </c>
      <c r="O854" s="25">
        <f t="shared" si="28"/>
        <v>-1.7061611374407759E-2</v>
      </c>
    </row>
    <row r="855" spans="1:15" ht="13.5" customHeight="1">
      <c r="A855" s="65">
        <v>342.76393769033371</v>
      </c>
      <c r="B855" s="65">
        <v>347.20724562638952</v>
      </c>
      <c r="C855" s="65">
        <v>338.58200080934</v>
      </c>
      <c r="D855" s="65">
        <v>339.5500417540145</v>
      </c>
      <c r="E855" s="65">
        <v>6692581.585150498</v>
      </c>
      <c r="F855" s="65" t="s">
        <v>901</v>
      </c>
      <c r="G855" s="25">
        <f t="shared" si="27"/>
        <v>9.4651613638954135E-3</v>
      </c>
      <c r="I855" s="65">
        <v>10.23</v>
      </c>
      <c r="J855" s="65">
        <v>10.51</v>
      </c>
      <c r="K855" s="65">
        <v>9.9499999999999993</v>
      </c>
      <c r="L855" s="65">
        <v>10.19</v>
      </c>
      <c r="M855" s="65">
        <v>27246631</v>
      </c>
      <c r="N855" s="65" t="s">
        <v>901</v>
      </c>
      <c r="O855" s="25">
        <f t="shared" si="28"/>
        <v>3.9254170755642637E-3</v>
      </c>
    </row>
    <row r="856" spans="1:15" ht="13.5" customHeight="1">
      <c r="A856" s="65">
        <v>343.34476225713837</v>
      </c>
      <c r="B856" s="65">
        <v>349.69511085420288</v>
      </c>
      <c r="C856" s="65">
        <v>341.8539792023397</v>
      </c>
      <c r="D856" s="65">
        <v>347.84615264987463</v>
      </c>
      <c r="E856" s="65">
        <v>8636413.6207187772</v>
      </c>
      <c r="F856" s="65" t="s">
        <v>902</v>
      </c>
      <c r="G856" s="25">
        <f t="shared" si="27"/>
        <v>-1.2940750841844539E-2</v>
      </c>
      <c r="I856" s="65">
        <v>10.34</v>
      </c>
      <c r="J856" s="65">
        <v>10.7</v>
      </c>
      <c r="K856" s="65">
        <v>10.220000000000001</v>
      </c>
      <c r="L856" s="65">
        <v>10.65</v>
      </c>
      <c r="M856" s="65">
        <v>23700967</v>
      </c>
      <c r="N856" s="65" t="s">
        <v>902</v>
      </c>
      <c r="O856" s="25">
        <f t="shared" si="28"/>
        <v>-2.9107981220657275E-2</v>
      </c>
    </row>
    <row r="857" spans="1:15" ht="13.5" customHeight="1">
      <c r="A857" s="65">
        <v>348.3398535316586</v>
      </c>
      <c r="B857" s="65">
        <v>357.09094367151573</v>
      </c>
      <c r="C857" s="65">
        <v>347.38149299643089</v>
      </c>
      <c r="D857" s="65">
        <v>355.60984102616385</v>
      </c>
      <c r="E857" s="65">
        <v>4555209.1822757469</v>
      </c>
      <c r="F857" s="65" t="s">
        <v>903</v>
      </c>
      <c r="G857" s="25">
        <f t="shared" si="27"/>
        <v>-2.0443718524567944E-2</v>
      </c>
      <c r="I857" s="65">
        <v>10.66</v>
      </c>
      <c r="J857" s="65">
        <v>11.35</v>
      </c>
      <c r="K857" s="65">
        <v>10.58</v>
      </c>
      <c r="L857" s="65">
        <v>11.08</v>
      </c>
      <c r="M857" s="65">
        <v>25967083</v>
      </c>
      <c r="N857" s="65" t="s">
        <v>903</v>
      </c>
      <c r="O857" s="25">
        <f t="shared" si="28"/>
        <v>-3.7906137184115507E-2</v>
      </c>
    </row>
    <row r="858" spans="1:15" ht="13.5" customHeight="1">
      <c r="A858" s="65">
        <v>354.83540827042424</v>
      </c>
      <c r="B858" s="65">
        <v>355.56018052570204</v>
      </c>
      <c r="C858" s="65">
        <v>352.79284187716115</v>
      </c>
      <c r="D858" s="65">
        <v>354.40947025476748</v>
      </c>
      <c r="E858" s="65">
        <v>3002205.6566804931</v>
      </c>
      <c r="F858" s="65" t="s">
        <v>904</v>
      </c>
      <c r="G858" s="25">
        <f t="shared" si="27"/>
        <v>1.201824588238587E-3</v>
      </c>
      <c r="I858" s="65">
        <v>11.05</v>
      </c>
      <c r="J858" s="65">
        <v>11.49</v>
      </c>
      <c r="K858" s="65">
        <v>10.98</v>
      </c>
      <c r="L858" s="65">
        <v>11.28</v>
      </c>
      <c r="M858" s="65">
        <v>36499491</v>
      </c>
      <c r="N858" s="65" t="s">
        <v>904</v>
      </c>
      <c r="O858" s="25">
        <f t="shared" si="28"/>
        <v>-2.0390070921985748E-2</v>
      </c>
    </row>
    <row r="859" spans="1:15" ht="13.5" customHeight="1">
      <c r="A859" s="65">
        <v>354.28362493195982</v>
      </c>
      <c r="B859" s="65">
        <v>360.00474691498584</v>
      </c>
      <c r="C859" s="65">
        <v>353.70764056987849</v>
      </c>
      <c r="D859" s="65">
        <v>359.75305626937052</v>
      </c>
      <c r="E859" s="65">
        <v>3663213.85423683</v>
      </c>
      <c r="F859" s="65" t="s">
        <v>905</v>
      </c>
      <c r="G859" s="25">
        <f t="shared" si="27"/>
        <v>-1.5203293598471501E-2</v>
      </c>
      <c r="I859" s="65">
        <v>11.72</v>
      </c>
      <c r="J859" s="65">
        <v>12.67</v>
      </c>
      <c r="K859" s="65">
        <v>11.69</v>
      </c>
      <c r="L859" s="65">
        <v>11.71</v>
      </c>
      <c r="M859" s="65">
        <v>67925807</v>
      </c>
      <c r="N859" s="65" t="s">
        <v>905</v>
      </c>
      <c r="O859" s="25">
        <f t="shared" si="28"/>
        <v>8.5397096498707192E-4</v>
      </c>
    </row>
    <row r="860" spans="1:15" ht="13.5" customHeight="1">
      <c r="A860" s="65">
        <v>359.84986036383799</v>
      </c>
      <c r="B860" s="65">
        <v>362.47325132390574</v>
      </c>
      <c r="C860" s="65">
        <v>359.43360275762797</v>
      </c>
      <c r="D860" s="65">
        <v>360.36292206451543</v>
      </c>
      <c r="E860" s="65">
        <v>2725427.0746649345</v>
      </c>
      <c r="F860" s="65" t="s">
        <v>906</v>
      </c>
      <c r="G860" s="25">
        <f t="shared" si="27"/>
        <v>-1.4237360984257208E-3</v>
      </c>
      <c r="I860" s="65">
        <v>11.66</v>
      </c>
      <c r="J860" s="65">
        <v>12.175000000000001</v>
      </c>
      <c r="K860" s="65">
        <v>10.83</v>
      </c>
      <c r="L860" s="65">
        <v>10.87</v>
      </c>
      <c r="M860" s="65">
        <v>81523971</v>
      </c>
      <c r="N860" s="65" t="s">
        <v>906</v>
      </c>
      <c r="O860" s="25">
        <f t="shared" si="28"/>
        <v>7.2677092916283437E-2</v>
      </c>
    </row>
    <row r="861" spans="1:15" ht="13.5" customHeight="1">
      <c r="A861" s="65">
        <v>359.41424193873445</v>
      </c>
      <c r="B861" s="65">
        <v>359.7917779071575</v>
      </c>
      <c r="C861" s="65">
        <v>354.98061441212542</v>
      </c>
      <c r="D861" s="65">
        <v>355.55175856948335</v>
      </c>
      <c r="E861" s="65">
        <v>5075817.3267685166</v>
      </c>
      <c r="F861" s="65" t="s">
        <v>907</v>
      </c>
      <c r="G861" s="25">
        <f t="shared" si="27"/>
        <v>1.0863350485992074E-2</v>
      </c>
      <c r="I861" s="65">
        <v>10.65</v>
      </c>
      <c r="J861" s="65">
        <v>10.7</v>
      </c>
      <c r="K861" s="65">
        <v>10.17</v>
      </c>
      <c r="L861" s="65">
        <v>10.19</v>
      </c>
      <c r="M861" s="65">
        <v>24543010</v>
      </c>
      <c r="N861" s="65" t="s">
        <v>907</v>
      </c>
      <c r="O861" s="25">
        <f t="shared" si="28"/>
        <v>4.5142296368989365E-2</v>
      </c>
    </row>
    <row r="862" spans="1:15" ht="13.5" customHeight="1">
      <c r="A862" s="65">
        <v>353.8092848690693</v>
      </c>
      <c r="B862" s="65">
        <v>354.65148049093614</v>
      </c>
      <c r="C862" s="65">
        <v>349.00780178348396</v>
      </c>
      <c r="D862" s="65">
        <v>349.27885324799286</v>
      </c>
      <c r="E862" s="65">
        <v>2820969.5209930725</v>
      </c>
      <c r="F862" s="65" t="s">
        <v>908</v>
      </c>
      <c r="G862" s="25">
        <f t="shared" si="27"/>
        <v>1.297081566475411E-2</v>
      </c>
      <c r="I862" s="65">
        <v>10.1</v>
      </c>
      <c r="J862" s="65">
        <v>10.14</v>
      </c>
      <c r="K862" s="65">
        <v>9.8804999999999996</v>
      </c>
      <c r="L862" s="65">
        <v>9.9</v>
      </c>
      <c r="M862" s="65">
        <v>17610115</v>
      </c>
      <c r="N862" s="65" t="s">
        <v>908</v>
      </c>
      <c r="O862" s="25">
        <f t="shared" si="28"/>
        <v>2.020202020202011E-2</v>
      </c>
    </row>
    <row r="863" spans="1:15" ht="13.5" customHeight="1">
      <c r="A863" s="65">
        <v>351.18589390900149</v>
      </c>
      <c r="B863" s="65">
        <v>352.86060474328832</v>
      </c>
      <c r="C863" s="65">
        <v>349.8983994525845</v>
      </c>
      <c r="D863" s="65">
        <v>351.72799683801918</v>
      </c>
      <c r="E863" s="65">
        <v>3889013.1876250538</v>
      </c>
      <c r="F863" s="65" t="s">
        <v>909</v>
      </c>
      <c r="G863" s="25">
        <f t="shared" si="27"/>
        <v>-1.5412561237407862E-3</v>
      </c>
      <c r="I863" s="65">
        <v>10.14</v>
      </c>
      <c r="J863" s="65">
        <v>10.33</v>
      </c>
      <c r="K863" s="65">
        <v>10.029299999999999</v>
      </c>
      <c r="L863" s="65">
        <v>10.15</v>
      </c>
      <c r="M863" s="65">
        <v>22501930</v>
      </c>
      <c r="N863" s="65" t="s">
        <v>909</v>
      </c>
      <c r="O863" s="25">
        <f t="shared" si="28"/>
        <v>-9.8522167487680168E-4</v>
      </c>
    </row>
    <row r="864" spans="1:15" ht="13.5" customHeight="1">
      <c r="A864" s="65">
        <v>352.4733883654186</v>
      </c>
      <c r="B864" s="65">
        <v>355.13550096327333</v>
      </c>
      <c r="C864" s="65">
        <v>352.41530590873811</v>
      </c>
      <c r="D864" s="65">
        <v>353.34462521562557</v>
      </c>
      <c r="E864" s="65">
        <v>3121975.3840229558</v>
      </c>
      <c r="F864" s="65" t="s">
        <v>910</v>
      </c>
      <c r="G864" s="25">
        <f t="shared" si="27"/>
        <v>-2.4656858716197716E-3</v>
      </c>
      <c r="I864" s="65">
        <v>10.15</v>
      </c>
      <c r="J864" s="65">
        <v>10.25</v>
      </c>
      <c r="K864" s="65">
        <v>9.93</v>
      </c>
      <c r="L864" s="65">
        <v>9.9700000000000006</v>
      </c>
      <c r="M864" s="65">
        <v>32572909</v>
      </c>
      <c r="N864" s="65" t="s">
        <v>910</v>
      </c>
      <c r="O864" s="25">
        <f t="shared" si="28"/>
        <v>1.8054162487462388E-2</v>
      </c>
    </row>
    <row r="865" spans="1:15" ht="13.5" customHeight="1">
      <c r="A865" s="65">
        <v>353.8092848690693</v>
      </c>
      <c r="B865" s="65">
        <v>356.98445916760153</v>
      </c>
      <c r="C865" s="65">
        <v>352.94153296626314</v>
      </c>
      <c r="D865" s="65">
        <v>355.74536675841824</v>
      </c>
      <c r="E865" s="65">
        <v>3409099.602816686</v>
      </c>
      <c r="F865" s="65" t="s">
        <v>911</v>
      </c>
      <c r="G865" s="25">
        <f t="shared" si="27"/>
        <v>-5.4423249612234326E-3</v>
      </c>
      <c r="I865" s="65">
        <v>9.8800000000000008</v>
      </c>
      <c r="J865" s="65">
        <v>10.25</v>
      </c>
      <c r="K865" s="65">
        <v>9.82</v>
      </c>
      <c r="L865" s="65">
        <v>10.08</v>
      </c>
      <c r="M865" s="65">
        <v>26116528</v>
      </c>
      <c r="N865" s="65" t="s">
        <v>911</v>
      </c>
      <c r="O865" s="25">
        <f t="shared" si="28"/>
        <v>-1.9841269841269771E-2</v>
      </c>
    </row>
    <row r="866" spans="1:15" ht="13.5" customHeight="1">
      <c r="A866" s="65">
        <v>352.58955327877953</v>
      </c>
      <c r="B866" s="65">
        <v>353.36398603451903</v>
      </c>
      <c r="C866" s="65">
        <v>350.16945091709334</v>
      </c>
      <c r="D866" s="65">
        <v>351.69895560967899</v>
      </c>
      <c r="E866" s="65">
        <v>4188879.6360402266</v>
      </c>
      <c r="F866" s="65" t="s">
        <v>912</v>
      </c>
      <c r="G866" s="25">
        <f t="shared" si="27"/>
        <v>2.5322727147616408E-3</v>
      </c>
      <c r="I866" s="65">
        <v>9.81</v>
      </c>
      <c r="J866" s="65">
        <v>9.94</v>
      </c>
      <c r="K866" s="65">
        <v>9.68</v>
      </c>
      <c r="L866" s="65">
        <v>9.85</v>
      </c>
      <c r="M866" s="65">
        <v>20102150</v>
      </c>
      <c r="N866" s="65" t="s">
        <v>912</v>
      </c>
      <c r="O866" s="25">
        <f t="shared" si="28"/>
        <v>-4.0609137055837019E-3</v>
      </c>
    </row>
    <row r="867" spans="1:15" ht="13.5" customHeight="1">
      <c r="A867" s="65">
        <v>356.40363460079692</v>
      </c>
      <c r="B867" s="65">
        <v>357.75889192334114</v>
      </c>
      <c r="C867" s="65">
        <v>352.49274918431206</v>
      </c>
      <c r="D867" s="65">
        <v>357.27487145100389</v>
      </c>
      <c r="E867" s="65">
        <v>2961850.9586536069</v>
      </c>
      <c r="F867" s="65" t="s">
        <v>913</v>
      </c>
      <c r="G867" s="25">
        <f t="shared" si="27"/>
        <v>-2.4385617904461032E-3</v>
      </c>
      <c r="I867" s="65">
        <v>10.1</v>
      </c>
      <c r="J867" s="65">
        <v>10.24</v>
      </c>
      <c r="K867" s="65">
        <v>9.8811</v>
      </c>
      <c r="L867" s="65">
        <v>10.050000000000001</v>
      </c>
      <c r="M867" s="65">
        <v>23914793</v>
      </c>
      <c r="N867" s="65" t="s">
        <v>913</v>
      </c>
      <c r="O867" s="25">
        <f t="shared" si="28"/>
        <v>4.9751243781093191E-3</v>
      </c>
    </row>
    <row r="868" spans="1:15" ht="13.5" customHeight="1">
      <c r="A868" s="65">
        <v>354.62243926259583</v>
      </c>
      <c r="B868" s="65">
        <v>356.81989220700694</v>
      </c>
      <c r="C868" s="65">
        <v>353.18005825503087</v>
      </c>
      <c r="D868" s="65">
        <v>355.44527406556915</v>
      </c>
      <c r="E868" s="65">
        <v>3999834.9463432003</v>
      </c>
      <c r="F868" s="65" t="s">
        <v>914</v>
      </c>
      <c r="G868" s="25">
        <f t="shared" si="27"/>
        <v>-2.3149409009205479E-3</v>
      </c>
      <c r="I868" s="65">
        <v>9.9</v>
      </c>
      <c r="J868" s="65">
        <v>9.99</v>
      </c>
      <c r="K868" s="65">
        <v>9.75</v>
      </c>
      <c r="L868" s="65">
        <v>9.86</v>
      </c>
      <c r="M868" s="65">
        <v>17750226</v>
      </c>
      <c r="N868" s="65" t="s">
        <v>914</v>
      </c>
      <c r="O868" s="25">
        <f t="shared" si="28"/>
        <v>4.0567951318459805E-3</v>
      </c>
    </row>
    <row r="869" spans="1:15" ht="13.5" customHeight="1">
      <c r="A869" s="65">
        <v>355.06773809714616</v>
      </c>
      <c r="B869" s="65">
        <v>359.46748419069155</v>
      </c>
      <c r="C869" s="65">
        <v>354.76764540429707</v>
      </c>
      <c r="D869" s="65">
        <v>358.56236590742088</v>
      </c>
      <c r="E869" s="65">
        <v>3211822.8233058555</v>
      </c>
      <c r="F869" s="65" t="s">
        <v>915</v>
      </c>
      <c r="G869" s="25">
        <f t="shared" si="27"/>
        <v>-9.7462203023755967E-3</v>
      </c>
      <c r="I869" s="65">
        <v>9.81</v>
      </c>
      <c r="J869" s="65">
        <v>10.257899999999999</v>
      </c>
      <c r="K869" s="65">
        <v>9.7899999999999991</v>
      </c>
      <c r="L869" s="65">
        <v>10.14</v>
      </c>
      <c r="M869" s="65">
        <v>28713248</v>
      </c>
      <c r="N869" s="65" t="s">
        <v>915</v>
      </c>
      <c r="O869" s="25">
        <f t="shared" si="28"/>
        <v>-3.2544378698224907E-2</v>
      </c>
    </row>
    <row r="870" spans="1:15" ht="13.5" customHeight="1">
      <c r="A870" s="65">
        <v>362.26028231607739</v>
      </c>
      <c r="B870" s="65">
        <v>362.48293173335247</v>
      </c>
      <c r="C870" s="65">
        <v>359.45296357652143</v>
      </c>
      <c r="D870" s="65">
        <v>361.25255169267126</v>
      </c>
      <c r="E870" s="65">
        <v>3393789.3000019803</v>
      </c>
      <c r="F870" s="65" t="s">
        <v>916</v>
      </c>
      <c r="G870" s="25">
        <f t="shared" si="27"/>
        <v>2.7895460355487067E-3</v>
      </c>
      <c r="I870" s="65">
        <v>10.36</v>
      </c>
      <c r="J870" s="65">
        <v>10.6799</v>
      </c>
      <c r="K870" s="65">
        <v>10.17</v>
      </c>
      <c r="L870" s="65">
        <v>10.58</v>
      </c>
      <c r="M870" s="65">
        <v>35737478</v>
      </c>
      <c r="N870" s="65" t="s">
        <v>916</v>
      </c>
      <c r="O870" s="25">
        <f t="shared" si="28"/>
        <v>-2.0793950850661713E-2</v>
      </c>
    </row>
    <row r="871" spans="1:15" ht="13.5" customHeight="1">
      <c r="A871" s="65">
        <v>363.19928203241159</v>
      </c>
      <c r="B871" s="65">
        <v>367.30377563783134</v>
      </c>
      <c r="C871" s="65">
        <v>363.10247793794412</v>
      </c>
      <c r="D871" s="65">
        <v>363.65426127640865</v>
      </c>
      <c r="E871" s="65">
        <v>3179102.099896112</v>
      </c>
      <c r="F871" s="65" t="s">
        <v>917</v>
      </c>
      <c r="G871" s="25">
        <f t="shared" si="27"/>
        <v>-1.2511313421712522E-3</v>
      </c>
      <c r="I871" s="65">
        <v>10.73</v>
      </c>
      <c r="J871" s="65">
        <v>11.39</v>
      </c>
      <c r="K871" s="65">
        <v>10.69</v>
      </c>
      <c r="L871" s="65">
        <v>10.94</v>
      </c>
      <c r="M871" s="65">
        <v>50141462</v>
      </c>
      <c r="N871" s="65" t="s">
        <v>917</v>
      </c>
      <c r="O871" s="25">
        <f t="shared" si="28"/>
        <v>-1.9195612431444187E-2</v>
      </c>
    </row>
    <row r="872" spans="1:15" ht="13.5" customHeight="1">
      <c r="A872" s="65">
        <v>368.32021862973954</v>
      </c>
      <c r="B872" s="65">
        <v>368.36862067697319</v>
      </c>
      <c r="C872" s="65">
        <v>364.30284870934048</v>
      </c>
      <c r="D872" s="65">
        <v>365.09664228397355</v>
      </c>
      <c r="E872" s="65">
        <v>2925104.579075662</v>
      </c>
      <c r="F872" s="65" t="s">
        <v>918</v>
      </c>
      <c r="G872" s="25">
        <f t="shared" si="27"/>
        <v>8.8293782314730063E-3</v>
      </c>
      <c r="I872" s="65">
        <v>11.26</v>
      </c>
      <c r="J872" s="65">
        <v>11.28</v>
      </c>
      <c r="K872" s="65">
        <v>10.82</v>
      </c>
      <c r="L872" s="65">
        <v>10.85</v>
      </c>
      <c r="M872" s="65">
        <v>23132782</v>
      </c>
      <c r="N872" s="65" t="s">
        <v>918</v>
      </c>
      <c r="O872" s="25">
        <f t="shared" si="28"/>
        <v>3.7788018433179804E-2</v>
      </c>
    </row>
    <row r="873" spans="1:15" ht="13.5" customHeight="1">
      <c r="A873" s="65">
        <v>367.09080663000293</v>
      </c>
      <c r="B873" s="65">
        <v>369.23017711773355</v>
      </c>
      <c r="C873" s="65">
        <v>363.45097267802697</v>
      </c>
      <c r="D873" s="65">
        <v>365.88075544915984</v>
      </c>
      <c r="E873" s="65">
        <v>4873799.0122789731</v>
      </c>
      <c r="F873" s="65" t="s">
        <v>919</v>
      </c>
      <c r="G873" s="25">
        <f t="shared" si="27"/>
        <v>3.3072282781247964E-3</v>
      </c>
      <c r="I873" s="65">
        <v>10.85</v>
      </c>
      <c r="J873" s="65">
        <v>11.1</v>
      </c>
      <c r="K873" s="65">
        <v>10.54</v>
      </c>
      <c r="L873" s="65">
        <v>10.64</v>
      </c>
      <c r="M873" s="65">
        <v>29261654</v>
      </c>
      <c r="N873" s="65" t="s">
        <v>919</v>
      </c>
      <c r="O873" s="25">
        <f t="shared" si="28"/>
        <v>1.9736842105263053E-2</v>
      </c>
    </row>
    <row r="874" spans="1:15" ht="13.5" customHeight="1">
      <c r="A874" s="65">
        <v>367.22633236225738</v>
      </c>
      <c r="B874" s="65">
        <v>367.31345604727807</v>
      </c>
      <c r="C874" s="65">
        <v>363.20896244185832</v>
      </c>
      <c r="D874" s="65">
        <v>363.6436128260172</v>
      </c>
      <c r="E874" s="65">
        <v>3079001.995109133</v>
      </c>
      <c r="F874" s="65" t="s">
        <v>920</v>
      </c>
      <c r="G874" s="25">
        <f t="shared" si="27"/>
        <v>9.852282316737071E-3</v>
      </c>
      <c r="I874" s="65">
        <v>10.71</v>
      </c>
      <c r="J874" s="65">
        <v>11.15</v>
      </c>
      <c r="K874" s="65">
        <v>10.63</v>
      </c>
      <c r="L874" s="65">
        <v>10.8</v>
      </c>
      <c r="M874" s="65">
        <v>25883272</v>
      </c>
      <c r="N874" s="65" t="s">
        <v>920</v>
      </c>
      <c r="O874" s="25">
        <f t="shared" si="28"/>
        <v>-8.3333333333333037E-3</v>
      </c>
    </row>
    <row r="875" spans="1:15" ht="13.5" customHeight="1">
      <c r="A875" s="65">
        <v>363.03471507181695</v>
      </c>
      <c r="B875" s="65">
        <v>363.39289022134648</v>
      </c>
      <c r="C875" s="65">
        <v>360.30483960783494</v>
      </c>
      <c r="D875" s="65">
        <v>361.07927236357455</v>
      </c>
      <c r="E875" s="65">
        <v>3364222.3688122826</v>
      </c>
      <c r="F875" s="65" t="s">
        <v>921</v>
      </c>
      <c r="G875" s="25">
        <f t="shared" si="27"/>
        <v>5.4155495978551738E-3</v>
      </c>
      <c r="I875" s="65">
        <v>10.65</v>
      </c>
      <c r="J875" s="65">
        <v>10.938599999999999</v>
      </c>
      <c r="K875" s="65">
        <v>10.48</v>
      </c>
      <c r="L875" s="65">
        <v>10.8</v>
      </c>
      <c r="M875" s="65">
        <v>25603783</v>
      </c>
      <c r="N875" s="65" t="s">
        <v>921</v>
      </c>
      <c r="O875" s="25">
        <f t="shared" si="28"/>
        <v>-1.3888888888888951E-2</v>
      </c>
    </row>
    <row r="876" spans="1:15" ht="13.5" customHeight="1">
      <c r="A876" s="65">
        <v>362.15379781216319</v>
      </c>
      <c r="B876" s="65">
        <v>368.82359992097025</v>
      </c>
      <c r="C876" s="65">
        <v>361.02951505901825</v>
      </c>
      <c r="D876" s="65">
        <v>368.79455869263001</v>
      </c>
      <c r="E876" s="65">
        <v>3437576.7040711897</v>
      </c>
      <c r="F876" s="65" t="s">
        <v>922</v>
      </c>
      <c r="G876" s="25">
        <f t="shared" si="27"/>
        <v>-1.8006667191642345E-2</v>
      </c>
      <c r="I876" s="65">
        <v>10.98</v>
      </c>
      <c r="J876" s="65">
        <v>11.83</v>
      </c>
      <c r="K876" s="65">
        <v>10.89</v>
      </c>
      <c r="L876" s="65">
        <v>11.8</v>
      </c>
      <c r="M876" s="65">
        <v>34700508</v>
      </c>
      <c r="N876" s="65" t="s">
        <v>922</v>
      </c>
      <c r="O876" s="25">
        <f t="shared" si="28"/>
        <v>-6.9491525423728828E-2</v>
      </c>
    </row>
    <row r="877" spans="1:15" ht="13.5" customHeight="1">
      <c r="A877" s="65">
        <v>365.28057006346165</v>
      </c>
      <c r="B877" s="65">
        <v>368.75583705484303</v>
      </c>
      <c r="C877" s="65">
        <v>364.69006508721031</v>
      </c>
      <c r="D877" s="65">
        <v>367.55546628344666</v>
      </c>
      <c r="E877" s="65">
        <v>3017953.9574975902</v>
      </c>
      <c r="F877" s="65" t="s">
        <v>923</v>
      </c>
      <c r="G877" s="25">
        <f t="shared" si="27"/>
        <v>-6.1892596591957005E-3</v>
      </c>
      <c r="I877" s="65">
        <v>11.56</v>
      </c>
      <c r="J877" s="65">
        <v>12.29</v>
      </c>
      <c r="K877" s="65">
        <v>11.55</v>
      </c>
      <c r="L877" s="65">
        <v>12.17</v>
      </c>
      <c r="M877" s="65">
        <v>33392460</v>
      </c>
      <c r="N877" s="65" t="s">
        <v>923</v>
      </c>
      <c r="O877" s="25">
        <f t="shared" si="28"/>
        <v>-5.0123253903040177E-2</v>
      </c>
    </row>
    <row r="878" spans="1:15" ht="13.5" customHeight="1">
      <c r="A878" s="65">
        <v>369.32698121220096</v>
      </c>
      <c r="B878" s="65">
        <v>370.51457384312761</v>
      </c>
      <c r="C878" s="65">
        <v>362.64749869394717</v>
      </c>
      <c r="D878" s="65">
        <v>363.78010659921631</v>
      </c>
      <c r="E878" s="65">
        <v>4653349.6592076896</v>
      </c>
      <c r="F878" s="65" t="s">
        <v>924</v>
      </c>
      <c r="G878" s="25">
        <f t="shared" si="27"/>
        <v>1.5247877804092758E-2</v>
      </c>
      <c r="I878" s="65">
        <v>12.21</v>
      </c>
      <c r="J878" s="65">
        <v>12.44</v>
      </c>
      <c r="K878" s="65">
        <v>11.82</v>
      </c>
      <c r="L878" s="65">
        <v>12.21</v>
      </c>
      <c r="M878" s="65">
        <v>53492269</v>
      </c>
      <c r="N878" s="65" t="s">
        <v>924</v>
      </c>
      <c r="O878" s="25">
        <f t="shared" si="28"/>
        <v>0</v>
      </c>
    </row>
    <row r="879" spans="1:15" ht="13.5" customHeight="1">
      <c r="A879" s="65">
        <v>364.62230222108309</v>
      </c>
      <c r="B879" s="65">
        <v>365.85171422081964</v>
      </c>
      <c r="C879" s="65">
        <v>363.03471507181695</v>
      </c>
      <c r="D879" s="65">
        <v>364.54001874078574</v>
      </c>
      <c r="E879" s="65">
        <v>2975182.0063443012</v>
      </c>
      <c r="F879" s="65" t="s">
        <v>925</v>
      </c>
      <c r="G879" s="25">
        <f t="shared" si="27"/>
        <v>2.2571864834364241E-4</v>
      </c>
      <c r="I879" s="65">
        <v>12.07</v>
      </c>
      <c r="J879" s="65">
        <v>12.17</v>
      </c>
      <c r="K879" s="65">
        <v>10.87</v>
      </c>
      <c r="L879" s="65">
        <v>10.91</v>
      </c>
      <c r="M879" s="65">
        <v>64353020</v>
      </c>
      <c r="N879" s="65" t="s">
        <v>925</v>
      </c>
      <c r="O879" s="25">
        <f t="shared" si="28"/>
        <v>0.10632447296058656</v>
      </c>
    </row>
    <row r="880" spans="1:15" ht="13.5" customHeight="1">
      <c r="A880" s="65">
        <v>366.74231188992019</v>
      </c>
      <c r="B880" s="65">
        <v>370.95328999925403</v>
      </c>
      <c r="C880" s="65">
        <v>365.71618848856525</v>
      </c>
      <c r="D880" s="65">
        <v>366.14212650422201</v>
      </c>
      <c r="E880" s="65">
        <v>6686193.425606193</v>
      </c>
      <c r="F880" s="65" t="s">
        <v>926</v>
      </c>
      <c r="G880" s="25">
        <f t="shared" si="27"/>
        <v>1.6392142347250171E-3</v>
      </c>
      <c r="I880" s="65">
        <v>11</v>
      </c>
      <c r="J880" s="65">
        <v>11.61</v>
      </c>
      <c r="K880" s="65">
        <v>10.78</v>
      </c>
      <c r="L880" s="65">
        <v>10.87</v>
      </c>
      <c r="M880" s="65">
        <v>44759901</v>
      </c>
      <c r="N880" s="65" t="s">
        <v>926</v>
      </c>
      <c r="O880" s="25">
        <f t="shared" si="28"/>
        <v>1.1959521619135272E-2</v>
      </c>
    </row>
    <row r="881" spans="1:15" ht="13.5" customHeight="1">
      <c r="A881" s="65">
        <v>370.7015993536387</v>
      </c>
      <c r="B881" s="65">
        <v>372.1246195423102</v>
      </c>
      <c r="C881" s="65">
        <v>367.27473440949109</v>
      </c>
      <c r="D881" s="65">
        <v>369.06561015713885</v>
      </c>
      <c r="E881" s="65">
        <v>5379861.2844329085</v>
      </c>
      <c r="F881" s="65" t="s">
        <v>927</v>
      </c>
      <c r="G881" s="25">
        <f t="shared" si="27"/>
        <v>4.432786885245843E-3</v>
      </c>
      <c r="I881" s="65">
        <v>11.4</v>
      </c>
      <c r="J881" s="65">
        <v>11.68</v>
      </c>
      <c r="K881" s="65">
        <v>10.62</v>
      </c>
      <c r="L881" s="65">
        <v>10.8</v>
      </c>
      <c r="M881" s="65">
        <v>81750228</v>
      </c>
      <c r="N881" s="65" t="s">
        <v>927</v>
      </c>
      <c r="O881" s="25">
        <f t="shared" si="28"/>
        <v>5.555555555555558E-2</v>
      </c>
    </row>
    <row r="882" spans="1:15" ht="13.5" customHeight="1">
      <c r="A882" s="65">
        <v>365.46449784294981</v>
      </c>
      <c r="B882" s="65">
        <v>368.01044552744372</v>
      </c>
      <c r="C882" s="65">
        <v>357.94281970282924</v>
      </c>
      <c r="D882" s="65">
        <v>360.53716943455686</v>
      </c>
      <c r="E882" s="65">
        <v>5104837.7934693824</v>
      </c>
      <c r="F882" s="65" t="s">
        <v>928</v>
      </c>
      <c r="G882" s="25">
        <f t="shared" si="27"/>
        <v>1.36666308667166E-2</v>
      </c>
      <c r="I882" s="65">
        <v>10.37</v>
      </c>
      <c r="J882" s="65">
        <v>10.47</v>
      </c>
      <c r="K882" s="65">
        <v>9.85</v>
      </c>
      <c r="L882" s="65">
        <v>10.07</v>
      </c>
      <c r="M882" s="65">
        <v>118212417</v>
      </c>
      <c r="N882" s="65" t="s">
        <v>928</v>
      </c>
      <c r="O882" s="25">
        <f t="shared" si="28"/>
        <v>2.9791459781529195E-2</v>
      </c>
    </row>
    <row r="883" spans="1:15" ht="13.5" customHeight="1">
      <c r="A883" s="65">
        <v>361.5052103792313</v>
      </c>
      <c r="B883" s="65">
        <v>361.60201447369877</v>
      </c>
      <c r="C883" s="65">
        <v>356.55852115194477</v>
      </c>
      <c r="D883" s="65">
        <v>356.82957261645367</v>
      </c>
      <c r="E883" s="65">
        <v>4319740.8363819132</v>
      </c>
      <c r="F883" s="65" t="s">
        <v>929</v>
      </c>
      <c r="G883" s="25">
        <f t="shared" si="27"/>
        <v>1.3103279889313812E-2</v>
      </c>
      <c r="I883" s="65">
        <v>11.56</v>
      </c>
      <c r="J883" s="65">
        <v>11.57</v>
      </c>
      <c r="K883" s="65">
        <v>11.18</v>
      </c>
      <c r="L883" s="65">
        <v>11.26</v>
      </c>
      <c r="M883" s="65">
        <v>73903209</v>
      </c>
      <c r="N883" s="65" t="s">
        <v>929</v>
      </c>
      <c r="O883" s="25">
        <f t="shared" si="28"/>
        <v>2.6642984014209725E-2</v>
      </c>
    </row>
    <row r="884" spans="1:15" ht="13.5" customHeight="1">
      <c r="A884" s="65">
        <v>356.44235623858384</v>
      </c>
      <c r="B884" s="65">
        <v>360.39196329285568</v>
      </c>
      <c r="C884" s="65">
        <v>356.10354190794783</v>
      </c>
      <c r="D884" s="65">
        <v>358.32035567125229</v>
      </c>
      <c r="E884" s="65">
        <v>3388900.0439988766</v>
      </c>
      <c r="F884" s="65" t="s">
        <v>930</v>
      </c>
      <c r="G884" s="25">
        <f t="shared" si="27"/>
        <v>-5.2411184654869158E-3</v>
      </c>
      <c r="I884" s="65">
        <v>11.09</v>
      </c>
      <c r="J884" s="65">
        <v>11.16</v>
      </c>
      <c r="K884" s="65">
        <v>10.69</v>
      </c>
      <c r="L884" s="65">
        <v>10.8</v>
      </c>
      <c r="M884" s="65">
        <v>41466408</v>
      </c>
      <c r="N884" s="65" t="s">
        <v>930</v>
      </c>
      <c r="O884" s="25">
        <f t="shared" si="28"/>
        <v>2.6851851851851682E-2</v>
      </c>
    </row>
    <row r="885" spans="1:15" ht="13.5" customHeight="1">
      <c r="A885" s="65">
        <v>360.95342704076688</v>
      </c>
      <c r="B885" s="65">
        <v>363.09279752849739</v>
      </c>
      <c r="C885" s="65">
        <v>358.91086064750374</v>
      </c>
      <c r="D885" s="65">
        <v>359.0367059703114</v>
      </c>
      <c r="E885" s="65">
        <v>5732734.7882647878</v>
      </c>
      <c r="F885" s="65" t="s">
        <v>931</v>
      </c>
      <c r="G885" s="25">
        <f t="shared" si="27"/>
        <v>5.3385100703713384E-3</v>
      </c>
      <c r="I885" s="65">
        <v>10.91</v>
      </c>
      <c r="J885" s="65">
        <v>11.01</v>
      </c>
      <c r="K885" s="65">
        <v>10.1</v>
      </c>
      <c r="L885" s="65">
        <v>10.199999999999999</v>
      </c>
      <c r="M885" s="65">
        <v>52512148</v>
      </c>
      <c r="N885" s="65" t="s">
        <v>931</v>
      </c>
      <c r="O885" s="25">
        <f t="shared" si="28"/>
        <v>6.9607843137255099E-2</v>
      </c>
    </row>
    <row r="886" spans="1:15" ht="13.5" customHeight="1">
      <c r="A886" s="65">
        <v>359.92730363941195</v>
      </c>
      <c r="B886" s="65">
        <v>360.16931387558054</v>
      </c>
      <c r="C886" s="65">
        <v>355.86153167177918</v>
      </c>
      <c r="D886" s="65">
        <v>358.62044836410138</v>
      </c>
      <c r="E886" s="65">
        <v>3575193.8169969241</v>
      </c>
      <c r="F886" s="65" t="s">
        <v>932</v>
      </c>
      <c r="G886" s="25">
        <f t="shared" si="27"/>
        <v>3.6441181234143638E-3</v>
      </c>
      <c r="I886" s="65">
        <v>10.19</v>
      </c>
      <c r="J886" s="65">
        <v>10.34</v>
      </c>
      <c r="K886" s="65">
        <v>9.89</v>
      </c>
      <c r="L886" s="65">
        <v>9.99</v>
      </c>
      <c r="M886" s="65">
        <v>29750598</v>
      </c>
      <c r="N886" s="65" t="s">
        <v>932</v>
      </c>
      <c r="O886" s="25">
        <f t="shared" si="28"/>
        <v>2.0020020020020013E-2</v>
      </c>
    </row>
    <row r="887" spans="1:15" ht="13.5" customHeight="1">
      <c r="A887" s="65">
        <v>356.12290272684129</v>
      </c>
      <c r="B887" s="65">
        <v>356.39395419135013</v>
      </c>
      <c r="C887" s="65">
        <v>350.10168805096617</v>
      </c>
      <c r="D887" s="65">
        <v>352.15393485367593</v>
      </c>
      <c r="E887" s="65">
        <v>3162761.8819672936</v>
      </c>
      <c r="F887" s="65" t="s">
        <v>933</v>
      </c>
      <c r="G887" s="25">
        <f t="shared" si="27"/>
        <v>1.1270548133487379E-2</v>
      </c>
      <c r="I887" s="65">
        <v>9.67</v>
      </c>
      <c r="J887" s="65">
        <v>10.07</v>
      </c>
      <c r="K887" s="65">
        <v>9.51</v>
      </c>
      <c r="L887" s="65">
        <v>10</v>
      </c>
      <c r="M887" s="65">
        <v>43033276</v>
      </c>
      <c r="N887" s="65" t="s">
        <v>933</v>
      </c>
      <c r="O887" s="25">
        <f t="shared" si="28"/>
        <v>-3.3000000000000029E-2</v>
      </c>
    </row>
    <row r="888" spans="1:15" ht="13.5" customHeight="1">
      <c r="A888" s="65">
        <v>355.99705740403363</v>
      </c>
      <c r="B888" s="65">
        <v>356.82957261645367</v>
      </c>
      <c r="C888" s="65">
        <v>353.74152200294213</v>
      </c>
      <c r="D888" s="65">
        <v>354.85476908931776</v>
      </c>
      <c r="E888" s="65">
        <v>2791596.796464812</v>
      </c>
      <c r="F888" s="65" t="s">
        <v>934</v>
      </c>
      <c r="G888" s="25">
        <f t="shared" si="27"/>
        <v>3.2190304716697149E-3</v>
      </c>
      <c r="I888" s="65">
        <v>10.26</v>
      </c>
      <c r="J888" s="65">
        <v>10.47</v>
      </c>
      <c r="K888" s="65">
        <v>10.02</v>
      </c>
      <c r="L888" s="65">
        <v>10.17</v>
      </c>
      <c r="M888" s="65">
        <v>21399113</v>
      </c>
      <c r="N888" s="65" t="s">
        <v>934</v>
      </c>
      <c r="O888" s="25">
        <f t="shared" si="28"/>
        <v>8.8495575221239076E-3</v>
      </c>
    </row>
    <row r="889" spans="1:15" ht="13.5" customHeight="1">
      <c r="A889" s="65">
        <v>356.37459337245662</v>
      </c>
      <c r="B889" s="65">
        <v>358.17514952955116</v>
      </c>
      <c r="C889" s="65">
        <v>352.02808953086827</v>
      </c>
      <c r="D889" s="65">
        <v>352.86060474328832</v>
      </c>
      <c r="E889" s="65">
        <v>3350357.2528026351</v>
      </c>
      <c r="F889" s="65" t="s">
        <v>935</v>
      </c>
      <c r="G889" s="25">
        <f t="shared" si="27"/>
        <v>9.9585745247043889E-3</v>
      </c>
      <c r="I889" s="65">
        <v>10.199999999999999</v>
      </c>
      <c r="J889" s="65">
        <v>10.37</v>
      </c>
      <c r="K889" s="65">
        <v>9.7949999999999999</v>
      </c>
      <c r="L889" s="65">
        <v>9.9600000000000009</v>
      </c>
      <c r="M889" s="65">
        <v>21301009</v>
      </c>
      <c r="N889" s="65" t="s">
        <v>935</v>
      </c>
      <c r="O889" s="25">
        <f t="shared" si="28"/>
        <v>2.409638554216853E-2</v>
      </c>
    </row>
    <row r="890" spans="1:15" ht="13.5" customHeight="1">
      <c r="A890" s="65">
        <v>352.08617198754877</v>
      </c>
      <c r="B890" s="65">
        <v>352.27978017648371</v>
      </c>
      <c r="C890" s="65">
        <v>345.4744523354222</v>
      </c>
      <c r="D890" s="65">
        <v>346.99427661856112</v>
      </c>
      <c r="E890" s="65">
        <v>3372855.2681188406</v>
      </c>
      <c r="F890" s="65" t="s">
        <v>936</v>
      </c>
      <c r="G890" s="25">
        <f t="shared" si="27"/>
        <v>1.4674292090947061E-2</v>
      </c>
      <c r="I890" s="65">
        <v>9.99</v>
      </c>
      <c r="J890" s="65">
        <v>10</v>
      </c>
      <c r="K890" s="65">
        <v>9.4749999999999996</v>
      </c>
      <c r="L890" s="65">
        <v>9.69</v>
      </c>
      <c r="M890" s="65">
        <v>23493418</v>
      </c>
      <c r="N890" s="65" t="s">
        <v>936</v>
      </c>
      <c r="O890" s="25">
        <f t="shared" si="28"/>
        <v>3.095975232198156E-2</v>
      </c>
    </row>
    <row r="891" spans="1:15" ht="13.5" customHeight="1">
      <c r="A891" s="65">
        <v>345.72614298103753</v>
      </c>
      <c r="B891" s="65">
        <v>347.87035367349154</v>
      </c>
      <c r="C891" s="65">
        <v>344.47737016240751</v>
      </c>
      <c r="D891" s="65">
        <v>346.32632836673571</v>
      </c>
      <c r="E891" s="65">
        <v>3630917.699645442</v>
      </c>
      <c r="F891" s="65" t="s">
        <v>937</v>
      </c>
      <c r="G891" s="25">
        <f t="shared" si="27"/>
        <v>-1.7330053667263812E-3</v>
      </c>
      <c r="I891" s="65">
        <v>9.6199999999999992</v>
      </c>
      <c r="J891" s="65">
        <v>9.75</v>
      </c>
      <c r="K891" s="65">
        <v>9.3053000000000008</v>
      </c>
      <c r="L891" s="65">
        <v>9.33</v>
      </c>
      <c r="M891" s="65">
        <v>23414566</v>
      </c>
      <c r="N891" s="65" t="s">
        <v>937</v>
      </c>
      <c r="O891" s="25">
        <f t="shared" si="28"/>
        <v>3.108252947481227E-2</v>
      </c>
    </row>
    <row r="892" spans="1:15" ht="13.5" customHeight="1">
      <c r="A892" s="65">
        <v>348.23336902774446</v>
      </c>
      <c r="B892" s="65">
        <v>355.90993371901294</v>
      </c>
      <c r="C892" s="65">
        <v>348.08816288604322</v>
      </c>
      <c r="D892" s="65">
        <v>354.95157318378523</v>
      </c>
      <c r="E892" s="65">
        <v>4061608.1598926638</v>
      </c>
      <c r="F892" s="65" t="s">
        <v>938</v>
      </c>
      <c r="G892" s="25">
        <f t="shared" si="27"/>
        <v>-1.8927100662721297E-2</v>
      </c>
      <c r="I892" s="65">
        <v>9.41</v>
      </c>
      <c r="J892" s="65">
        <v>9.85</v>
      </c>
      <c r="K892" s="65">
        <v>9.25</v>
      </c>
      <c r="L892" s="65">
        <v>9.77</v>
      </c>
      <c r="M892" s="65">
        <v>23576536</v>
      </c>
      <c r="N892" s="65" t="s">
        <v>938</v>
      </c>
      <c r="O892" s="25">
        <f t="shared" si="28"/>
        <v>-3.6847492323439091E-2</v>
      </c>
    </row>
    <row r="893" spans="1:15" ht="13.5" customHeight="1">
      <c r="A893" s="65">
        <v>353.98353223911073</v>
      </c>
      <c r="B893" s="65">
        <v>355.96801617569338</v>
      </c>
      <c r="C893" s="65">
        <v>353.20909948337118</v>
      </c>
      <c r="D893" s="65">
        <v>354.48691353034144</v>
      </c>
      <c r="E893" s="65">
        <v>5105159.0608720798</v>
      </c>
      <c r="F893" s="65" t="s">
        <v>939</v>
      </c>
      <c r="G893" s="25">
        <f t="shared" si="27"/>
        <v>-1.4200278543925471E-3</v>
      </c>
      <c r="I893" s="65">
        <v>9.67</v>
      </c>
      <c r="J893" s="65">
        <v>9.8000000000000007</v>
      </c>
      <c r="K893" s="65">
        <v>9.3000000000000007</v>
      </c>
      <c r="L893" s="65">
        <v>9.73</v>
      </c>
      <c r="M893" s="65">
        <v>29736167</v>
      </c>
      <c r="N893" s="65" t="s">
        <v>939</v>
      </c>
      <c r="O893" s="25">
        <f t="shared" si="28"/>
        <v>-6.1664953751284779E-3</v>
      </c>
    </row>
    <row r="894" spans="1:15" ht="13.5" customHeight="1">
      <c r="A894" s="65">
        <v>354.52563516812842</v>
      </c>
      <c r="B894" s="65">
        <v>355.00936522818222</v>
      </c>
      <c r="C894" s="65">
        <v>349.91776027147802</v>
      </c>
      <c r="D894" s="65">
        <v>350.1217264985209</v>
      </c>
      <c r="E894" s="65">
        <v>3114702.9643606166</v>
      </c>
      <c r="F894" s="65" t="s">
        <v>940</v>
      </c>
      <c r="G894" s="25">
        <f t="shared" si="27"/>
        <v>1.257822161923472E-2</v>
      </c>
      <c r="I894" s="65">
        <v>9.8000000000000007</v>
      </c>
      <c r="J894" s="65">
        <v>9.8149999999999995</v>
      </c>
      <c r="K894" s="65">
        <v>9.4</v>
      </c>
      <c r="L894" s="65">
        <v>9.5</v>
      </c>
      <c r="M894" s="65">
        <v>16051037</v>
      </c>
      <c r="N894" s="65" t="s">
        <v>940</v>
      </c>
      <c r="O894" s="25">
        <f t="shared" si="28"/>
        <v>3.1578947368421151E-2</v>
      </c>
    </row>
    <row r="895" spans="1:15" ht="13.5" customHeight="1">
      <c r="A895" s="65">
        <v>353.15101702669068</v>
      </c>
      <c r="B895" s="65">
        <v>354.44819189255446</v>
      </c>
      <c r="C895" s="65">
        <v>349.07556464961124</v>
      </c>
      <c r="D895" s="65">
        <v>352.83156351494813</v>
      </c>
      <c r="E895" s="65">
        <v>4900061.3311817646</v>
      </c>
      <c r="F895" s="65" t="s">
        <v>941</v>
      </c>
      <c r="G895" s="25">
        <f t="shared" si="27"/>
        <v>9.0539947322199055E-4</v>
      </c>
      <c r="I895" s="65">
        <v>9.64</v>
      </c>
      <c r="J895" s="65">
        <v>9.91</v>
      </c>
      <c r="K895" s="65">
        <v>9.3550000000000004</v>
      </c>
      <c r="L895" s="65">
        <v>9.75</v>
      </c>
      <c r="M895" s="65">
        <v>21738612</v>
      </c>
      <c r="N895" s="65" t="s">
        <v>941</v>
      </c>
      <c r="O895" s="25">
        <f t="shared" si="28"/>
        <v>-1.1282051282051175E-2</v>
      </c>
    </row>
    <row r="896" spans="1:15" ht="13.5" customHeight="1">
      <c r="A896" s="65">
        <v>351.83448134193338</v>
      </c>
      <c r="B896" s="65">
        <v>351.89256379861388</v>
      </c>
      <c r="C896" s="65">
        <v>348.16560616161723</v>
      </c>
      <c r="D896" s="65">
        <v>348.89163687012308</v>
      </c>
      <c r="E896" s="65">
        <v>5899060.3976160996</v>
      </c>
      <c r="F896" s="65" t="s">
        <v>942</v>
      </c>
      <c r="G896" s="25">
        <f t="shared" ref="G896:G959" si="29">A896/D896-1</f>
        <v>8.4348381010515006E-3</v>
      </c>
      <c r="I896" s="65">
        <v>9.66</v>
      </c>
      <c r="J896" s="65">
        <v>9.75</v>
      </c>
      <c r="K896" s="65">
        <v>9.3000000000000007</v>
      </c>
      <c r="L896" s="65">
        <v>9.4600000000000009</v>
      </c>
      <c r="M896" s="65">
        <v>24151823</v>
      </c>
      <c r="N896" s="65" t="s">
        <v>942</v>
      </c>
      <c r="O896" s="25">
        <f t="shared" ref="O896:O959" si="30">I896/L896-1</f>
        <v>2.114164904862581E-2</v>
      </c>
    </row>
    <row r="897" spans="1:15" ht="13.5" customHeight="1">
      <c r="A897" s="65">
        <v>347.40085381532435</v>
      </c>
      <c r="B897" s="65">
        <v>347.47829709089831</v>
      </c>
      <c r="C897" s="65">
        <v>343.61581372164721</v>
      </c>
      <c r="D897" s="65">
        <v>344.46768975296072</v>
      </c>
      <c r="E897" s="65">
        <v>3611127.2144336384</v>
      </c>
      <c r="F897" s="65" t="s">
        <v>943</v>
      </c>
      <c r="G897" s="25">
        <f t="shared" si="29"/>
        <v>8.5150629496402175E-3</v>
      </c>
      <c r="I897" s="65">
        <v>9.42</v>
      </c>
      <c r="J897" s="65">
        <v>9.4381000000000004</v>
      </c>
      <c r="K897" s="65">
        <v>9.09</v>
      </c>
      <c r="L897" s="65">
        <v>9.1199999999999992</v>
      </c>
      <c r="M897" s="65">
        <v>18594054</v>
      </c>
      <c r="N897" s="65" t="s">
        <v>943</v>
      </c>
      <c r="O897" s="25">
        <f t="shared" si="30"/>
        <v>3.289473684210531E-2</v>
      </c>
    </row>
    <row r="898" spans="1:15" ht="13.5" customHeight="1">
      <c r="A898" s="65">
        <v>344.94202981585124</v>
      </c>
      <c r="B898" s="65">
        <v>350.16945091709334</v>
      </c>
      <c r="C898" s="65">
        <v>344.83690056925963</v>
      </c>
      <c r="D898" s="65">
        <v>347.26532808306996</v>
      </c>
      <c r="E898" s="65">
        <v>3899961.0716565126</v>
      </c>
      <c r="F898" s="65" t="s">
        <v>944</v>
      </c>
      <c r="G898" s="25">
        <f t="shared" si="29"/>
        <v>-6.6902684470214746E-3</v>
      </c>
      <c r="I898" s="65">
        <v>9.1999999999999993</v>
      </c>
      <c r="J898" s="65">
        <v>9.52</v>
      </c>
      <c r="K898" s="65">
        <v>9.1999999999999993</v>
      </c>
      <c r="L898" s="65">
        <v>9.39</v>
      </c>
      <c r="M898" s="65">
        <v>16666167</v>
      </c>
      <c r="N898" s="65" t="s">
        <v>944</v>
      </c>
      <c r="O898" s="25">
        <f t="shared" si="30"/>
        <v>-2.0234291799787196E-2</v>
      </c>
    </row>
    <row r="899" spans="1:15" ht="13.5" customHeight="1">
      <c r="A899" s="65">
        <v>345.19372046146657</v>
      </c>
      <c r="B899" s="65">
        <v>346.23920468171502</v>
      </c>
      <c r="C899" s="65">
        <v>337.59450224167756</v>
      </c>
      <c r="D899" s="65">
        <v>340.35351573809425</v>
      </c>
      <c r="E899" s="65">
        <v>3579163.6904006698</v>
      </c>
      <c r="F899" s="65" t="s">
        <v>945</v>
      </c>
      <c r="G899" s="25">
        <f t="shared" si="29"/>
        <v>1.4221109815410138E-2</v>
      </c>
      <c r="I899" s="65">
        <v>9.2200000000000006</v>
      </c>
      <c r="J899" s="65">
        <v>9.4450000000000003</v>
      </c>
      <c r="K899" s="65">
        <v>8.9</v>
      </c>
      <c r="L899" s="65">
        <v>9.2200000000000006</v>
      </c>
      <c r="M899" s="65">
        <v>24456909</v>
      </c>
      <c r="N899" s="65" t="s">
        <v>945</v>
      </c>
      <c r="O899" s="25">
        <f t="shared" si="30"/>
        <v>0</v>
      </c>
    </row>
    <row r="900" spans="1:15" ht="13.5" customHeight="1">
      <c r="A900" s="65">
        <v>337.51715577019814</v>
      </c>
      <c r="B900" s="65">
        <v>339.58876339180148</v>
      </c>
      <c r="C900" s="65">
        <v>336.93633120339342</v>
      </c>
      <c r="D900" s="65">
        <v>339.52100052567425</v>
      </c>
      <c r="E900" s="65">
        <v>3322729.2891848423</v>
      </c>
      <c r="F900" s="65" t="s">
        <v>946</v>
      </c>
      <c r="G900" s="25">
        <f t="shared" si="29"/>
        <v>-5.9019758788810828E-3</v>
      </c>
      <c r="I900" s="65">
        <v>9.14</v>
      </c>
      <c r="J900" s="65">
        <v>9.3699999999999992</v>
      </c>
      <c r="K900" s="65">
        <v>8.92</v>
      </c>
      <c r="L900" s="65">
        <v>9.15</v>
      </c>
      <c r="M900" s="65">
        <v>21043997</v>
      </c>
      <c r="N900" s="65" t="s">
        <v>946</v>
      </c>
      <c r="O900" s="25">
        <f t="shared" si="30"/>
        <v>-1.0928961748634114E-3</v>
      </c>
    </row>
    <row r="901" spans="1:15" ht="13.5" customHeight="1">
      <c r="A901" s="65">
        <v>341.24411340719479</v>
      </c>
      <c r="B901" s="65">
        <v>343.23198548708376</v>
      </c>
      <c r="C901" s="65">
        <v>338.03989788032231</v>
      </c>
      <c r="D901" s="65">
        <v>340.84721661987828</v>
      </c>
      <c r="E901" s="65">
        <v>3222061.0266117426</v>
      </c>
      <c r="F901" s="65" t="s">
        <v>947</v>
      </c>
      <c r="G901" s="25">
        <f t="shared" si="29"/>
        <v>1.1644419199090539E-3</v>
      </c>
      <c r="I901" s="65">
        <v>9.3000000000000007</v>
      </c>
      <c r="J901" s="65">
        <v>9.31</v>
      </c>
      <c r="K901" s="65">
        <v>9</v>
      </c>
      <c r="L901" s="65">
        <v>9.15</v>
      </c>
      <c r="M901" s="65">
        <v>26092702</v>
      </c>
      <c r="N901" s="65" t="s">
        <v>947</v>
      </c>
      <c r="O901" s="25">
        <f t="shared" si="30"/>
        <v>1.6393442622950838E-2</v>
      </c>
    </row>
    <row r="902" spans="1:15" ht="13.5" customHeight="1">
      <c r="A902" s="65">
        <v>338.80465022661514</v>
      </c>
      <c r="B902" s="65">
        <v>343.69548349139393</v>
      </c>
      <c r="C902" s="65">
        <v>336.09413558152664</v>
      </c>
      <c r="D902" s="65">
        <v>341.89366888107133</v>
      </c>
      <c r="E902" s="65">
        <v>5120996.2009066427</v>
      </c>
      <c r="F902" s="65" t="s">
        <v>948</v>
      </c>
      <c r="G902" s="25">
        <f t="shared" si="29"/>
        <v>-9.0350273655717128E-3</v>
      </c>
      <c r="I902" s="65">
        <v>8.85</v>
      </c>
      <c r="J902" s="65">
        <v>9.2799999999999994</v>
      </c>
      <c r="K902" s="65">
        <v>8.69</v>
      </c>
      <c r="L902" s="65">
        <v>9.15</v>
      </c>
      <c r="M902" s="65">
        <v>15548377</v>
      </c>
      <c r="N902" s="65" t="s">
        <v>948</v>
      </c>
      <c r="O902" s="25">
        <f t="shared" si="30"/>
        <v>-3.2786885245901676E-2</v>
      </c>
    </row>
    <row r="903" spans="1:15" ht="13.5" customHeight="1">
      <c r="A903" s="65">
        <v>340.11150550192565</v>
      </c>
      <c r="B903" s="65">
        <v>340.25671164362683</v>
      </c>
      <c r="C903" s="65">
        <v>336.6493070632975</v>
      </c>
      <c r="D903" s="65">
        <v>338.61104203768025</v>
      </c>
      <c r="E903" s="65">
        <v>5501262.1411286136</v>
      </c>
      <c r="F903" s="65" t="s">
        <v>949</v>
      </c>
      <c r="G903" s="25">
        <f t="shared" si="29"/>
        <v>4.4312301666713516E-3</v>
      </c>
      <c r="I903" s="65">
        <v>8.9499999999999993</v>
      </c>
      <c r="J903" s="65">
        <v>8.9499999999999993</v>
      </c>
      <c r="K903" s="65">
        <v>8.5210000000000008</v>
      </c>
      <c r="L903" s="65">
        <v>8.57</v>
      </c>
      <c r="M903" s="65">
        <v>16248843</v>
      </c>
      <c r="N903" s="65" t="s">
        <v>949</v>
      </c>
      <c r="O903" s="25">
        <f t="shared" si="30"/>
        <v>4.4340723453908826E-2</v>
      </c>
    </row>
    <row r="904" spans="1:15" ht="13.5" customHeight="1">
      <c r="A904" s="65">
        <v>341.0505052182599</v>
      </c>
      <c r="B904" s="65">
        <v>341.83945858816958</v>
      </c>
      <c r="C904" s="65">
        <v>337.33322799070999</v>
      </c>
      <c r="D904" s="65">
        <v>337.75916600636674</v>
      </c>
      <c r="E904" s="65">
        <v>4221489.8269352159</v>
      </c>
      <c r="F904" s="65" t="s">
        <v>950</v>
      </c>
      <c r="G904" s="25">
        <f t="shared" si="29"/>
        <v>9.7446332865207541E-3</v>
      </c>
      <c r="I904" s="65">
        <v>8.81</v>
      </c>
      <c r="J904" s="65">
        <v>8.9600000000000009</v>
      </c>
      <c r="K904" s="65">
        <v>8.5299999999999994</v>
      </c>
      <c r="L904" s="65">
        <v>8.6349999999999998</v>
      </c>
      <c r="M904" s="65">
        <v>30669922</v>
      </c>
      <c r="N904" s="65" t="s">
        <v>950</v>
      </c>
      <c r="O904" s="25">
        <f t="shared" si="30"/>
        <v>2.0266357845975858E-2</v>
      </c>
    </row>
    <row r="905" spans="1:15" ht="13.5" customHeight="1">
      <c r="A905" s="65">
        <v>335.10673381795874</v>
      </c>
      <c r="B905" s="65">
        <v>340.9440207143457</v>
      </c>
      <c r="C905" s="65">
        <v>334.84536276289657</v>
      </c>
      <c r="D905" s="65">
        <v>339.22090783282516</v>
      </c>
      <c r="E905" s="65">
        <v>4612040.4561001211</v>
      </c>
      <c r="F905" s="65" t="s">
        <v>951</v>
      </c>
      <c r="G905" s="25">
        <f t="shared" si="29"/>
        <v>-1.2128303179042121E-2</v>
      </c>
      <c r="I905" s="65">
        <v>8.5500000000000007</v>
      </c>
      <c r="J905" s="65">
        <v>8.7088999999999999</v>
      </c>
      <c r="K905" s="65">
        <v>8.39</v>
      </c>
      <c r="L905" s="65">
        <v>8.44</v>
      </c>
      <c r="M905" s="65">
        <v>18172717</v>
      </c>
      <c r="N905" s="65" t="s">
        <v>951</v>
      </c>
      <c r="O905" s="25">
        <f t="shared" si="30"/>
        <v>1.3033175355450455E-2</v>
      </c>
    </row>
    <row r="906" spans="1:15" ht="13.5" customHeight="1">
      <c r="A906" s="65">
        <v>339.26930988005893</v>
      </c>
      <c r="B906" s="65">
        <v>340.78913416319784</v>
      </c>
      <c r="C906" s="65">
        <v>337.7010835496863</v>
      </c>
      <c r="D906" s="65">
        <v>340.51808269868894</v>
      </c>
      <c r="E906" s="65">
        <v>4445282.0138172004</v>
      </c>
      <c r="F906" s="65" t="s">
        <v>952</v>
      </c>
      <c r="G906" s="25">
        <f t="shared" si="29"/>
        <v>-3.6672731407776382E-3</v>
      </c>
      <c r="I906" s="65">
        <v>8.56</v>
      </c>
      <c r="J906" s="65">
        <v>8.69</v>
      </c>
      <c r="K906" s="65">
        <v>8.2650000000000006</v>
      </c>
      <c r="L906" s="65">
        <v>8.4</v>
      </c>
      <c r="M906" s="65">
        <v>26829300</v>
      </c>
      <c r="N906" s="65" t="s">
        <v>952</v>
      </c>
      <c r="O906" s="25">
        <f t="shared" si="30"/>
        <v>1.904761904761898E-2</v>
      </c>
    </row>
    <row r="907" spans="1:15" ht="13.5" customHeight="1">
      <c r="A907" s="65">
        <v>340.62456720260315</v>
      </c>
      <c r="B907" s="65">
        <v>340.69997759219331</v>
      </c>
      <c r="C907" s="65">
        <v>336.24902213267461</v>
      </c>
      <c r="D907" s="65">
        <v>337.7785268252602</v>
      </c>
      <c r="E907" s="65">
        <v>4722921.0966251921</v>
      </c>
      <c r="F907" s="65" t="s">
        <v>953</v>
      </c>
      <c r="G907" s="25">
        <f t="shared" si="29"/>
        <v>8.4257587481730845E-3</v>
      </c>
      <c r="I907" s="65">
        <v>8.58</v>
      </c>
      <c r="J907" s="65">
        <v>8.76</v>
      </c>
      <c r="K907" s="65">
        <v>8.5050000000000008</v>
      </c>
      <c r="L907" s="65">
        <v>8.67</v>
      </c>
      <c r="M907" s="65">
        <v>16985967</v>
      </c>
      <c r="N907" s="65" t="s">
        <v>953</v>
      </c>
      <c r="O907" s="25">
        <f t="shared" si="30"/>
        <v>-1.0380622837370179E-2</v>
      </c>
    </row>
    <row r="908" spans="1:15" ht="13.5" customHeight="1">
      <c r="A908" s="65">
        <v>338.72720695104124</v>
      </c>
      <c r="B908" s="65">
        <v>340.99242276157946</v>
      </c>
      <c r="C908" s="65">
        <v>333.33521888920438</v>
      </c>
      <c r="D908" s="65">
        <v>340.73105170651735</v>
      </c>
      <c r="E908" s="65">
        <v>6675578.1721331533</v>
      </c>
      <c r="F908" s="65" t="s">
        <v>954</v>
      </c>
      <c r="G908" s="25">
        <f t="shared" si="29"/>
        <v>-5.8810159668162276E-3</v>
      </c>
      <c r="I908" s="65">
        <v>8.68</v>
      </c>
      <c r="J908" s="65">
        <v>8.6999999999999993</v>
      </c>
      <c r="K908" s="65">
        <v>8.2200000000000006</v>
      </c>
      <c r="L908" s="65">
        <v>8.4499999999999993</v>
      </c>
      <c r="M908" s="65">
        <v>29281956</v>
      </c>
      <c r="N908" s="65" t="s">
        <v>954</v>
      </c>
      <c r="O908" s="25">
        <f t="shared" si="30"/>
        <v>2.7218934911242609E-2</v>
      </c>
    </row>
    <row r="909" spans="1:15" ht="13.5" customHeight="1">
      <c r="A909" s="65">
        <v>343.55773126496672</v>
      </c>
      <c r="B909" s="65">
        <v>344.57572312238642</v>
      </c>
      <c r="C909" s="65">
        <v>340.46000024200845</v>
      </c>
      <c r="D909" s="65">
        <v>340.9440207143457</v>
      </c>
      <c r="E909" s="65">
        <v>3958973.0383654321</v>
      </c>
      <c r="F909" s="65" t="s">
        <v>955</v>
      </c>
      <c r="G909" s="25">
        <f t="shared" si="29"/>
        <v>7.6660988074956915E-3</v>
      </c>
      <c r="I909" s="65">
        <v>8.64</v>
      </c>
      <c r="J909" s="65">
        <v>8.69</v>
      </c>
      <c r="K909" s="65">
        <v>8.14</v>
      </c>
      <c r="L909" s="65">
        <v>8.26</v>
      </c>
      <c r="M909" s="65">
        <v>24570716</v>
      </c>
      <c r="N909" s="65" t="s">
        <v>955</v>
      </c>
      <c r="O909" s="25">
        <f t="shared" si="30"/>
        <v>4.6004842615012143E-2</v>
      </c>
    </row>
    <row r="910" spans="1:15" ht="13.5" customHeight="1">
      <c r="A910" s="65">
        <v>338.49487712431932</v>
      </c>
      <c r="B910" s="65">
        <v>339.94209833660767</v>
      </c>
      <c r="C910" s="65">
        <v>336.11156031853085</v>
      </c>
      <c r="D910" s="65">
        <v>337.31386717181647</v>
      </c>
      <c r="E910" s="65">
        <v>5235532.6785318591</v>
      </c>
      <c r="F910" s="65" t="s">
        <v>956</v>
      </c>
      <c r="G910" s="25">
        <f t="shared" si="29"/>
        <v>3.5012196871861967E-3</v>
      </c>
      <c r="I910" s="65">
        <v>8.2100000000000009</v>
      </c>
      <c r="J910" s="65">
        <v>8.51</v>
      </c>
      <c r="K910" s="65">
        <v>8.0500000000000007</v>
      </c>
      <c r="L910" s="65">
        <v>8.09</v>
      </c>
      <c r="M910" s="65">
        <v>19249949</v>
      </c>
      <c r="N910" s="65" t="s">
        <v>956</v>
      </c>
      <c r="O910" s="25">
        <f t="shared" si="30"/>
        <v>1.4833127317676276E-2</v>
      </c>
    </row>
    <row r="911" spans="1:15" ht="13.5" customHeight="1">
      <c r="A911" s="65">
        <v>337.98016975403596</v>
      </c>
      <c r="B911" s="65">
        <v>341.38107052434395</v>
      </c>
      <c r="C911" s="65">
        <v>336.47722210483471</v>
      </c>
      <c r="D911" s="65">
        <v>341.17875064848994</v>
      </c>
      <c r="E911" s="65">
        <v>5748731.7303378517</v>
      </c>
      <c r="F911" s="65" t="s">
        <v>957</v>
      </c>
      <c r="G911" s="25">
        <f t="shared" si="29"/>
        <v>-9.3750882444300077E-3</v>
      </c>
      <c r="I911" s="65">
        <v>8.19</v>
      </c>
      <c r="J911" s="65">
        <v>8.4499999999999993</v>
      </c>
      <c r="K911" s="65">
        <v>8.1300000000000008</v>
      </c>
      <c r="L911" s="65">
        <v>8.4</v>
      </c>
      <c r="M911" s="65">
        <v>20680503</v>
      </c>
      <c r="N911" s="65" t="s">
        <v>957</v>
      </c>
      <c r="O911" s="25">
        <f t="shared" si="30"/>
        <v>-2.5000000000000133E-2</v>
      </c>
    </row>
    <row r="912" spans="1:15" ht="13.5" customHeight="1">
      <c r="A912" s="65">
        <v>340.91862509382048</v>
      </c>
      <c r="B912" s="65">
        <v>343.7800061951844</v>
      </c>
      <c r="C912" s="65">
        <v>338.92432917468807</v>
      </c>
      <c r="D912" s="65">
        <v>342.64219775050066</v>
      </c>
      <c r="E912" s="65">
        <v>4705150.8705297643</v>
      </c>
      <c r="F912" s="65" t="s">
        <v>958</v>
      </c>
      <c r="G912" s="25">
        <f t="shared" si="29"/>
        <v>-5.0302404899212894E-3</v>
      </c>
      <c r="I912" s="65">
        <v>8.4700000000000006</v>
      </c>
      <c r="J912" s="65">
        <v>9.01</v>
      </c>
      <c r="K912" s="65">
        <v>8.36</v>
      </c>
      <c r="L912" s="65">
        <v>8.7899999999999991</v>
      </c>
      <c r="M912" s="65">
        <v>32739509</v>
      </c>
      <c r="N912" s="65" t="s">
        <v>958</v>
      </c>
      <c r="O912" s="25">
        <f t="shared" si="30"/>
        <v>-3.6405005688281977E-2</v>
      </c>
    </row>
    <row r="913" spans="1:15" ht="13.5" customHeight="1">
      <c r="A913" s="65">
        <v>345.03246256951883</v>
      </c>
      <c r="B913" s="65">
        <v>349.95557954863324</v>
      </c>
      <c r="C913" s="65">
        <v>343.42353784248922</v>
      </c>
      <c r="D913" s="65">
        <v>349.2137400038352</v>
      </c>
      <c r="E913" s="65">
        <v>5321365.0683377795</v>
      </c>
      <c r="F913" s="65" t="s">
        <v>959</v>
      </c>
      <c r="G913" s="25">
        <f t="shared" si="29"/>
        <v>-1.1973404695561074E-2</v>
      </c>
      <c r="I913" s="65">
        <v>8.76</v>
      </c>
      <c r="J913" s="65">
        <v>9.1999999999999993</v>
      </c>
      <c r="K913" s="65">
        <v>8.58</v>
      </c>
      <c r="L913" s="65">
        <v>9.16</v>
      </c>
      <c r="M913" s="65">
        <v>49291677</v>
      </c>
      <c r="N913" s="65" t="s">
        <v>959</v>
      </c>
      <c r="O913" s="25">
        <f t="shared" si="30"/>
        <v>-4.3668122270742349E-2</v>
      </c>
    </row>
    <row r="914" spans="1:15" ht="13.5" customHeight="1">
      <c r="A914" s="65">
        <v>353.73221723124158</v>
      </c>
      <c r="B914" s="65">
        <v>359.16595103989226</v>
      </c>
      <c r="C914" s="65">
        <v>350.92864180869304</v>
      </c>
      <c r="D914" s="65">
        <v>355.60126751294058</v>
      </c>
      <c r="E914" s="65">
        <v>4885798.5199301215</v>
      </c>
      <c r="F914" s="65" t="s">
        <v>960</v>
      </c>
      <c r="G914" s="25">
        <f t="shared" si="29"/>
        <v>-5.2560281766458328E-3</v>
      </c>
      <c r="I914" s="65">
        <v>9.5399999999999991</v>
      </c>
      <c r="J914" s="65">
        <v>9.9149999999999991</v>
      </c>
      <c r="K914" s="65">
        <v>9.33</v>
      </c>
      <c r="L914" s="65">
        <v>9.44</v>
      </c>
      <c r="M914" s="65">
        <v>30008670</v>
      </c>
      <c r="N914" s="65" t="s">
        <v>960</v>
      </c>
      <c r="O914" s="25">
        <f t="shared" si="30"/>
        <v>1.0593220338982912E-2</v>
      </c>
    </row>
    <row r="915" spans="1:15" ht="13.5" customHeight="1">
      <c r="A915" s="65">
        <v>355.88066162721515</v>
      </c>
      <c r="B915" s="65">
        <v>363.39539987322149</v>
      </c>
      <c r="C915" s="65">
        <v>353.38634658632918</v>
      </c>
      <c r="D915" s="65">
        <v>363.31832563480089</v>
      </c>
      <c r="E915" s="65">
        <v>6395729.7548643742</v>
      </c>
      <c r="F915" s="65" t="s">
        <v>961</v>
      </c>
      <c r="G915" s="25">
        <f t="shared" si="29"/>
        <v>-2.0471480469889336E-2</v>
      </c>
      <c r="I915" s="65">
        <v>9.41</v>
      </c>
      <c r="J915" s="65">
        <v>10.19</v>
      </c>
      <c r="K915" s="65">
        <v>9.4</v>
      </c>
      <c r="L915" s="65">
        <v>9.94</v>
      </c>
      <c r="M915" s="65">
        <v>51001967</v>
      </c>
      <c r="N915" s="65" t="s">
        <v>961</v>
      </c>
      <c r="O915" s="25">
        <f t="shared" si="30"/>
        <v>-5.3319919517102576E-2</v>
      </c>
    </row>
    <row r="916" spans="1:15" ht="13.5" customHeight="1">
      <c r="A916" s="65">
        <v>353.2697718007181</v>
      </c>
      <c r="B916" s="65">
        <v>353.2697718007181</v>
      </c>
      <c r="C916" s="65">
        <v>348.35628910140622</v>
      </c>
      <c r="D916" s="65">
        <v>349.03068868758629</v>
      </c>
      <c r="E916" s="65">
        <v>3058055.2572423751</v>
      </c>
      <c r="F916" s="65" t="s">
        <v>962</v>
      </c>
      <c r="G916" s="25">
        <f t="shared" si="29"/>
        <v>1.2145301976371981E-2</v>
      </c>
      <c r="I916" s="65">
        <v>9.4600000000000009</v>
      </c>
      <c r="J916" s="65">
        <v>9.69</v>
      </c>
      <c r="K916" s="65">
        <v>9.26</v>
      </c>
      <c r="L916" s="65">
        <v>9.4700000000000006</v>
      </c>
      <c r="M916" s="65">
        <v>25264855</v>
      </c>
      <c r="N916" s="65" t="s">
        <v>962</v>
      </c>
      <c r="O916" s="25">
        <f t="shared" si="30"/>
        <v>-1.0559662090813271E-3</v>
      </c>
    </row>
    <row r="917" spans="1:15" ht="13.5" customHeight="1">
      <c r="A917" s="65">
        <v>348.29848342259078</v>
      </c>
      <c r="B917" s="65">
        <v>352.07531379079518</v>
      </c>
      <c r="C917" s="65">
        <v>348.1253554145386</v>
      </c>
      <c r="D917" s="65">
        <v>349.72435683337147</v>
      </c>
      <c r="E917" s="65">
        <v>4433496.9375288524</v>
      </c>
      <c r="F917" s="65" t="s">
        <v>963</v>
      </c>
      <c r="G917" s="25">
        <f t="shared" si="29"/>
        <v>-4.077134986225972E-3</v>
      </c>
      <c r="I917" s="65">
        <v>9.4499999999999993</v>
      </c>
      <c r="J917" s="65">
        <v>9.6174999999999997</v>
      </c>
      <c r="K917" s="65">
        <v>9.01</v>
      </c>
      <c r="L917" s="65">
        <v>9.16</v>
      </c>
      <c r="M917" s="65">
        <v>19248309</v>
      </c>
      <c r="N917" s="65" t="s">
        <v>963</v>
      </c>
      <c r="O917" s="25">
        <f t="shared" si="30"/>
        <v>3.1659388646288145E-2</v>
      </c>
    </row>
    <row r="918" spans="1:15" ht="13.5" customHeight="1">
      <c r="A918" s="65">
        <v>350.86120185007502</v>
      </c>
      <c r="B918" s="65">
        <v>351.79572699092449</v>
      </c>
      <c r="C918" s="65">
        <v>348.37555766101138</v>
      </c>
      <c r="D918" s="65">
        <v>349.84960247080494</v>
      </c>
      <c r="E918" s="65">
        <v>3741344.5258644498</v>
      </c>
      <c r="F918" s="65" t="s">
        <v>964</v>
      </c>
      <c r="G918" s="25">
        <f t="shared" si="29"/>
        <v>2.8915264505824378E-3</v>
      </c>
      <c r="I918" s="65">
        <v>9.4</v>
      </c>
      <c r="J918" s="65">
        <v>9.74</v>
      </c>
      <c r="K918" s="65">
        <v>9.35</v>
      </c>
      <c r="L918" s="65">
        <v>9.49</v>
      </c>
      <c r="M918" s="65">
        <v>17793986</v>
      </c>
      <c r="N918" s="65" t="s">
        <v>964</v>
      </c>
      <c r="O918" s="25">
        <f t="shared" si="30"/>
        <v>-9.4836670179135885E-3</v>
      </c>
    </row>
    <row r="919" spans="1:15" ht="13.5" customHeight="1">
      <c r="A919" s="65">
        <v>348.11543210634193</v>
      </c>
      <c r="B919" s="65">
        <v>350.31204790132841</v>
      </c>
      <c r="C919" s="65">
        <v>347.1327355664796</v>
      </c>
      <c r="D919" s="65">
        <v>347.84567227186994</v>
      </c>
      <c r="E919" s="65">
        <v>3464687.6241946043</v>
      </c>
      <c r="F919" s="65" t="s">
        <v>965</v>
      </c>
      <c r="G919" s="25">
        <f t="shared" si="29"/>
        <v>7.7551585652946287E-4</v>
      </c>
      <c r="I919" s="65">
        <v>9.3000000000000007</v>
      </c>
      <c r="J919" s="65">
        <v>9.6300000000000008</v>
      </c>
      <c r="K919" s="65">
        <v>9.2901000000000007</v>
      </c>
      <c r="L919" s="65">
        <v>9.36</v>
      </c>
      <c r="M919" s="65">
        <v>26051647</v>
      </c>
      <c r="N919" s="65" t="s">
        <v>965</v>
      </c>
      <c r="O919" s="25">
        <f t="shared" si="30"/>
        <v>-6.4102564102562765E-3</v>
      </c>
    </row>
    <row r="920" spans="1:15" ht="13.5" customHeight="1">
      <c r="A920" s="65">
        <v>348.78983169252194</v>
      </c>
      <c r="B920" s="65">
        <v>354.1657598223573</v>
      </c>
      <c r="C920" s="65">
        <v>346.76759636196209</v>
      </c>
      <c r="D920" s="65">
        <v>353.6647772726235</v>
      </c>
      <c r="E920" s="65">
        <v>4059504.2703200369</v>
      </c>
      <c r="F920" s="65" t="s">
        <v>966</v>
      </c>
      <c r="G920" s="25">
        <f t="shared" si="29"/>
        <v>-1.3784085646571742E-2</v>
      </c>
      <c r="I920" s="65">
        <v>9.42</v>
      </c>
      <c r="J920" s="65">
        <v>10.07</v>
      </c>
      <c r="K920" s="65">
        <v>9.15</v>
      </c>
      <c r="L920" s="65">
        <v>10.07</v>
      </c>
      <c r="M920" s="65">
        <v>43349626</v>
      </c>
      <c r="N920" s="65" t="s">
        <v>966</v>
      </c>
      <c r="O920" s="25">
        <f t="shared" si="30"/>
        <v>-6.4548162859980218E-2</v>
      </c>
    </row>
    <row r="921" spans="1:15" ht="13.5" customHeight="1">
      <c r="A921" s="65">
        <v>353.90563426768784</v>
      </c>
      <c r="B921" s="65">
        <v>358.57825997193538</v>
      </c>
      <c r="C921" s="65">
        <v>352.60500649434061</v>
      </c>
      <c r="D921" s="65">
        <v>357.70154050990129</v>
      </c>
      <c r="E921" s="65">
        <v>3847711.5840151175</v>
      </c>
      <c r="F921" s="65" t="s">
        <v>967</v>
      </c>
      <c r="G921" s="25">
        <f t="shared" si="29"/>
        <v>-1.061193708252528E-2</v>
      </c>
      <c r="I921" s="65">
        <v>10.1</v>
      </c>
      <c r="J921" s="65">
        <v>10.69</v>
      </c>
      <c r="K921" s="65">
        <v>10.039999999999999</v>
      </c>
      <c r="L921" s="65">
        <v>10.41</v>
      </c>
      <c r="M921" s="65">
        <v>19332881</v>
      </c>
      <c r="N921" s="65" t="s">
        <v>967</v>
      </c>
      <c r="O921" s="25">
        <f t="shared" si="30"/>
        <v>-2.9779058597502406E-2</v>
      </c>
    </row>
    <row r="922" spans="1:15" ht="13.5" customHeight="1">
      <c r="A922" s="65">
        <v>360.32206461620092</v>
      </c>
      <c r="B922" s="65">
        <v>361.16988123882732</v>
      </c>
      <c r="C922" s="65">
        <v>356.1407871818846</v>
      </c>
      <c r="D922" s="65">
        <v>356.1407871818846</v>
      </c>
      <c r="E922" s="65">
        <v>3732488.6485442561</v>
      </c>
      <c r="F922" s="65" t="s">
        <v>968</v>
      </c>
      <c r="G922" s="25">
        <f t="shared" si="29"/>
        <v>1.1740518314126369E-2</v>
      </c>
      <c r="I922" s="65">
        <v>10.5</v>
      </c>
      <c r="J922" s="65">
        <v>10.75</v>
      </c>
      <c r="K922" s="65">
        <v>10.32</v>
      </c>
      <c r="L922" s="65">
        <v>10.535</v>
      </c>
      <c r="M922" s="65">
        <v>32239395</v>
      </c>
      <c r="N922" s="65" t="s">
        <v>968</v>
      </c>
      <c r="O922" s="25">
        <f t="shared" si="30"/>
        <v>-3.3222591362126463E-3</v>
      </c>
    </row>
    <row r="923" spans="1:15" ht="13.5" customHeight="1">
      <c r="A923" s="65">
        <v>360.84231572553983</v>
      </c>
      <c r="B923" s="65">
        <v>363.21234855697259</v>
      </c>
      <c r="C923" s="65">
        <v>358.44338005469939</v>
      </c>
      <c r="D923" s="65">
        <v>362.12367493928195</v>
      </c>
      <c r="E923" s="65">
        <v>4783572.9233954372</v>
      </c>
      <c r="F923" s="65" t="s">
        <v>969</v>
      </c>
      <c r="G923" s="25">
        <f t="shared" si="29"/>
        <v>-3.5384574453933837E-3</v>
      </c>
      <c r="I923" s="65">
        <v>10.87</v>
      </c>
      <c r="J923" s="65">
        <v>11.07</v>
      </c>
      <c r="K923" s="65">
        <v>10.27</v>
      </c>
      <c r="L923" s="65">
        <v>10.31</v>
      </c>
      <c r="M923" s="65">
        <v>46607903</v>
      </c>
      <c r="N923" s="65" t="s">
        <v>969</v>
      </c>
      <c r="O923" s="25">
        <f t="shared" si="30"/>
        <v>5.4316197866149274E-2</v>
      </c>
    </row>
    <row r="924" spans="1:15" ht="13.5" customHeight="1">
      <c r="A924" s="65">
        <v>360.79414432652698</v>
      </c>
      <c r="B924" s="65">
        <v>360.89048712455269</v>
      </c>
      <c r="C924" s="65">
        <v>348.42372906002424</v>
      </c>
      <c r="D924" s="65">
        <v>350.15789942448725</v>
      </c>
      <c r="E924" s="65">
        <v>4929099.109963703</v>
      </c>
      <c r="F924" s="65" t="s">
        <v>970</v>
      </c>
      <c r="G924" s="25">
        <f t="shared" si="29"/>
        <v>3.0375567478332588E-2</v>
      </c>
      <c r="I924" s="65">
        <v>10.31</v>
      </c>
      <c r="J924" s="65">
        <v>10.32</v>
      </c>
      <c r="K924" s="65">
        <v>9.65</v>
      </c>
      <c r="L924" s="65">
        <v>9.84</v>
      </c>
      <c r="M924" s="65">
        <v>45284278</v>
      </c>
      <c r="N924" s="65" t="s">
        <v>970</v>
      </c>
      <c r="O924" s="25">
        <f t="shared" si="30"/>
        <v>4.7764227642276502E-2</v>
      </c>
    </row>
    <row r="925" spans="1:15" ht="13.5" customHeight="1">
      <c r="A925" s="65">
        <v>350.02301950725126</v>
      </c>
      <c r="B925" s="65">
        <v>351.82462983033224</v>
      </c>
      <c r="C925" s="65">
        <v>348.25994630338056</v>
      </c>
      <c r="D925" s="65">
        <v>350.62034485501073</v>
      </c>
      <c r="E925" s="65">
        <v>2602965.7134625264</v>
      </c>
      <c r="F925" s="65" t="s">
        <v>971</v>
      </c>
      <c r="G925" s="25">
        <f t="shared" si="29"/>
        <v>-1.7036243233587989E-3</v>
      </c>
      <c r="I925" s="65">
        <v>9.82</v>
      </c>
      <c r="J925" s="65">
        <v>9.9864999999999995</v>
      </c>
      <c r="K925" s="65">
        <v>9.73</v>
      </c>
      <c r="L925" s="65">
        <v>9.89</v>
      </c>
      <c r="M925" s="65">
        <v>15519566</v>
      </c>
      <c r="N925" s="65" t="s">
        <v>971</v>
      </c>
      <c r="O925" s="25">
        <f t="shared" si="30"/>
        <v>-7.0778564206269712E-3</v>
      </c>
    </row>
    <row r="926" spans="1:15" ht="13.5" customHeight="1">
      <c r="A926" s="65">
        <v>350.63961341461584</v>
      </c>
      <c r="B926" s="65">
        <v>354.90759936715534</v>
      </c>
      <c r="C926" s="65">
        <v>349.86887103041005</v>
      </c>
      <c r="D926" s="65">
        <v>353.44318883716437</v>
      </c>
      <c r="E926" s="65">
        <v>3692025.8419838818</v>
      </c>
      <c r="F926" s="65" t="s">
        <v>972</v>
      </c>
      <c r="G926" s="25">
        <f t="shared" si="29"/>
        <v>-7.932181213542E-3</v>
      </c>
      <c r="I926" s="65">
        <v>9.84</v>
      </c>
      <c r="J926" s="65">
        <v>10.135</v>
      </c>
      <c r="K926" s="65">
        <v>9.75</v>
      </c>
      <c r="L926" s="65">
        <v>10.08</v>
      </c>
      <c r="M926" s="65">
        <v>25209846</v>
      </c>
      <c r="N926" s="65" t="s">
        <v>972</v>
      </c>
      <c r="O926" s="25">
        <f t="shared" si="30"/>
        <v>-2.3809523809523836E-2</v>
      </c>
    </row>
    <row r="927" spans="1:15" ht="13.5" customHeight="1">
      <c r="A927" s="65">
        <v>356.2756670991206</v>
      </c>
      <c r="B927" s="65">
        <v>356.79591820845945</v>
      </c>
      <c r="C927" s="65">
        <v>355.56273039373025</v>
      </c>
      <c r="D927" s="65">
        <v>355.88066162721515</v>
      </c>
      <c r="E927" s="65">
        <v>1477478.3680456949</v>
      </c>
      <c r="F927" s="65" t="s">
        <v>973</v>
      </c>
      <c r="G927" s="25">
        <f t="shared" si="29"/>
        <v>1.109938005901645E-3</v>
      </c>
      <c r="I927" s="65">
        <v>10.18</v>
      </c>
      <c r="J927" s="65">
        <v>10.37</v>
      </c>
      <c r="K927" s="65">
        <v>10.115</v>
      </c>
      <c r="L927" s="65">
        <v>10.14</v>
      </c>
      <c r="M927" s="65">
        <v>8242501</v>
      </c>
      <c r="N927" s="65" t="s">
        <v>973</v>
      </c>
      <c r="O927" s="25">
        <f t="shared" si="30"/>
        <v>3.9447731755424265E-3</v>
      </c>
    </row>
    <row r="928" spans="1:15" ht="13.5" customHeight="1">
      <c r="A928" s="65">
        <v>356.31420421833087</v>
      </c>
      <c r="B928" s="65">
        <v>356.81509042526659</v>
      </c>
      <c r="C928" s="65">
        <v>353.59974588395613</v>
      </c>
      <c r="D928" s="65">
        <v>353.78038863025438</v>
      </c>
      <c r="E928" s="65">
        <v>2689208.7972245491</v>
      </c>
      <c r="F928" s="65" t="s">
        <v>974</v>
      </c>
      <c r="G928" s="25">
        <f t="shared" si="29"/>
        <v>7.1621143215054861E-3</v>
      </c>
      <c r="I928" s="65">
        <v>10.32</v>
      </c>
      <c r="J928" s="65">
        <v>10.48</v>
      </c>
      <c r="K928" s="65">
        <v>9.9199000000000002</v>
      </c>
      <c r="L928" s="65">
        <v>9.98</v>
      </c>
      <c r="M928" s="65">
        <v>21053697</v>
      </c>
      <c r="N928" s="65" t="s">
        <v>974</v>
      </c>
      <c r="O928" s="25">
        <f t="shared" si="30"/>
        <v>3.4068136272545013E-2</v>
      </c>
    </row>
    <row r="929" spans="1:15" ht="13.5" customHeight="1">
      <c r="A929" s="65">
        <v>354.09831986373928</v>
      </c>
      <c r="B929" s="65">
        <v>354.23319978097533</v>
      </c>
      <c r="C929" s="65">
        <v>349.92667670922549</v>
      </c>
      <c r="D929" s="65">
        <v>351.17913308355992</v>
      </c>
      <c r="E929" s="65">
        <v>2403878.6992481472</v>
      </c>
      <c r="F929" s="65" t="s">
        <v>975</v>
      </c>
      <c r="G929" s="25">
        <f t="shared" si="29"/>
        <v>8.3125291487200492E-3</v>
      </c>
      <c r="I929" s="65">
        <v>9.91</v>
      </c>
      <c r="J929" s="65">
        <v>10</v>
      </c>
      <c r="K929" s="65">
        <v>9.7017000000000007</v>
      </c>
      <c r="L929" s="65">
        <v>9.9700000000000006</v>
      </c>
      <c r="M929" s="65">
        <v>25742779</v>
      </c>
      <c r="N929" s="65" t="s">
        <v>975</v>
      </c>
      <c r="O929" s="25">
        <f t="shared" si="30"/>
        <v>-6.0180541624874628E-3</v>
      </c>
    </row>
    <row r="930" spans="1:15" ht="13.5" customHeight="1">
      <c r="A930" s="65">
        <v>349.44496271909691</v>
      </c>
      <c r="B930" s="65">
        <v>350.4359447395895</v>
      </c>
      <c r="C930" s="65">
        <v>347.67225523542362</v>
      </c>
      <c r="D930" s="65">
        <v>349.50276839791235</v>
      </c>
      <c r="E930" s="65">
        <v>2488899.0657711653</v>
      </c>
      <c r="F930" s="65" t="s">
        <v>976</v>
      </c>
      <c r="G930" s="25">
        <f t="shared" si="29"/>
        <v>-1.6539405132731666E-4</v>
      </c>
      <c r="I930" s="65">
        <v>9.9600000000000009</v>
      </c>
      <c r="J930" s="65">
        <v>10.45</v>
      </c>
      <c r="K930" s="65">
        <v>9.84</v>
      </c>
      <c r="L930" s="65">
        <v>10.41</v>
      </c>
      <c r="M930" s="65">
        <v>28990825</v>
      </c>
      <c r="N930" s="65" t="s">
        <v>976</v>
      </c>
      <c r="O930" s="25">
        <f t="shared" si="30"/>
        <v>-4.3227665706051854E-2</v>
      </c>
    </row>
    <row r="931" spans="1:15" ht="13.5" customHeight="1">
      <c r="A931" s="65">
        <v>350.67815053382617</v>
      </c>
      <c r="B931" s="65">
        <v>352.21963530223769</v>
      </c>
      <c r="C931" s="65">
        <v>348.01908930831621</v>
      </c>
      <c r="D931" s="65">
        <v>352.09438966480423</v>
      </c>
      <c r="E931" s="65">
        <v>2672093.8697593976</v>
      </c>
      <c r="F931" s="65" t="s">
        <v>977</v>
      </c>
      <c r="G931" s="25">
        <f t="shared" si="29"/>
        <v>-4.0223280249547244E-3</v>
      </c>
      <c r="I931" s="65">
        <v>10.52</v>
      </c>
      <c r="J931" s="65">
        <v>11.12</v>
      </c>
      <c r="K931" s="65">
        <v>10.5</v>
      </c>
      <c r="L931" s="65">
        <v>11.06</v>
      </c>
      <c r="M931" s="65">
        <v>23502588</v>
      </c>
      <c r="N931" s="65" t="s">
        <v>977</v>
      </c>
      <c r="O931" s="25">
        <f t="shared" si="30"/>
        <v>-4.8824593128390714E-2</v>
      </c>
    </row>
    <row r="932" spans="1:15" ht="13.5" customHeight="1">
      <c r="A932" s="65">
        <v>349.13666576541459</v>
      </c>
      <c r="B932" s="65">
        <v>349.71472255356895</v>
      </c>
      <c r="C932" s="65">
        <v>345.45155374093071</v>
      </c>
      <c r="D932" s="65">
        <v>345.67795931629115</v>
      </c>
      <c r="E932" s="65">
        <v>3409101.7359939087</v>
      </c>
      <c r="F932" s="65" t="s">
        <v>978</v>
      </c>
      <c r="G932" s="25">
        <f t="shared" si="29"/>
        <v>1.0005574136008999E-2</v>
      </c>
      <c r="I932" s="65">
        <v>10.92</v>
      </c>
      <c r="J932" s="65">
        <v>11.02</v>
      </c>
      <c r="K932" s="65">
        <v>10.67</v>
      </c>
      <c r="L932" s="65">
        <v>10.75</v>
      </c>
      <c r="M932" s="65">
        <v>18704252</v>
      </c>
      <c r="N932" s="65" t="s">
        <v>978</v>
      </c>
      <c r="O932" s="25">
        <f t="shared" si="30"/>
        <v>1.5813953488372112E-2</v>
      </c>
    </row>
    <row r="933" spans="1:15" ht="13.5" customHeight="1">
      <c r="A933" s="65">
        <v>350.14826514468467</v>
      </c>
      <c r="B933" s="65">
        <v>352.15219534361967</v>
      </c>
      <c r="C933" s="65">
        <v>349.57984263633296</v>
      </c>
      <c r="D933" s="65">
        <v>351.36218439980877</v>
      </c>
      <c r="E933" s="65">
        <v>2859708.3087252881</v>
      </c>
      <c r="F933" s="65" t="s">
        <v>979</v>
      </c>
      <c r="G933" s="25">
        <f t="shared" si="29"/>
        <v>-3.4548944337812193E-3</v>
      </c>
      <c r="I933" s="65">
        <v>11.07</v>
      </c>
      <c r="J933" s="65">
        <v>11.775</v>
      </c>
      <c r="K933" s="65">
        <v>11</v>
      </c>
      <c r="L933" s="65">
        <v>11.6</v>
      </c>
      <c r="M933" s="65">
        <v>31818270</v>
      </c>
      <c r="N933" s="65" t="s">
        <v>979</v>
      </c>
      <c r="O933" s="25">
        <f t="shared" si="30"/>
        <v>-4.5689655172413746E-2</v>
      </c>
    </row>
    <row r="934" spans="1:15" ht="13.5" customHeight="1">
      <c r="A934" s="65">
        <v>352.8265949297998</v>
      </c>
      <c r="B934" s="65">
        <v>356.21978827626572</v>
      </c>
      <c r="C934" s="65">
        <v>349.32935136146602</v>
      </c>
      <c r="D934" s="65">
        <v>355.1677249218248</v>
      </c>
      <c r="E934" s="65">
        <v>4772333.8892155197</v>
      </c>
      <c r="F934" s="65" t="s">
        <v>980</v>
      </c>
      <c r="G934" s="25">
        <f t="shared" si="29"/>
        <v>-6.5916180659160162E-3</v>
      </c>
      <c r="I934" s="65">
        <v>11.78</v>
      </c>
      <c r="J934" s="65">
        <v>11.96</v>
      </c>
      <c r="K934" s="65">
        <v>11.47</v>
      </c>
      <c r="L934" s="65">
        <v>11.76</v>
      </c>
      <c r="M934" s="65">
        <v>41978092</v>
      </c>
      <c r="N934" s="65" t="s">
        <v>980</v>
      </c>
      <c r="O934" s="25">
        <f t="shared" si="30"/>
        <v>1.7006802721089009E-3</v>
      </c>
    </row>
    <row r="935" spans="1:15" ht="13.5" customHeight="1">
      <c r="A935" s="65">
        <v>349.93631098902813</v>
      </c>
      <c r="B935" s="65">
        <v>354.33917685880363</v>
      </c>
      <c r="C935" s="65">
        <v>349.61837975554317</v>
      </c>
      <c r="D935" s="65">
        <v>351.2369387623753</v>
      </c>
      <c r="E935" s="65">
        <v>5474526.4909078442</v>
      </c>
      <c r="F935" s="65" t="s">
        <v>981</v>
      </c>
      <c r="G935" s="25">
        <f t="shared" si="29"/>
        <v>-3.7029925665851282E-3</v>
      </c>
      <c r="I935" s="65">
        <v>11.29</v>
      </c>
      <c r="J935" s="65">
        <v>11.65</v>
      </c>
      <c r="K935" s="65">
        <v>11.2</v>
      </c>
      <c r="L935" s="65">
        <v>11.45</v>
      </c>
      <c r="M935" s="65">
        <v>31516885</v>
      </c>
      <c r="N935" s="65" t="s">
        <v>981</v>
      </c>
      <c r="O935" s="25">
        <f t="shared" si="30"/>
        <v>-1.3973799126637543E-2</v>
      </c>
    </row>
    <row r="936" spans="1:15" ht="13.5" customHeight="1">
      <c r="A936" s="65">
        <v>352.76878925098436</v>
      </c>
      <c r="B936" s="65">
        <v>353.59733731400553</v>
      </c>
      <c r="C936" s="65">
        <v>348.51043757824743</v>
      </c>
      <c r="D936" s="65">
        <v>350.38912213974896</v>
      </c>
      <c r="E936" s="65">
        <v>5062532.0210212357</v>
      </c>
      <c r="F936" s="65" t="s">
        <v>982</v>
      </c>
      <c r="G936" s="25">
        <f t="shared" si="29"/>
        <v>6.7914982540075997E-3</v>
      </c>
      <c r="I936" s="65">
        <v>11.58</v>
      </c>
      <c r="J936" s="65">
        <v>11.82</v>
      </c>
      <c r="K936" s="65">
        <v>10.53</v>
      </c>
      <c r="L936" s="65">
        <v>10.7</v>
      </c>
      <c r="M936" s="65">
        <v>51036869</v>
      </c>
      <c r="N936" s="65" t="s">
        <v>982</v>
      </c>
      <c r="O936" s="25">
        <f t="shared" si="30"/>
        <v>8.2242990654205705E-2</v>
      </c>
    </row>
    <row r="937" spans="1:15" ht="13.5" customHeight="1">
      <c r="A937" s="65">
        <v>349.42569415949174</v>
      </c>
      <c r="B937" s="65">
        <v>349.73399111317406</v>
      </c>
      <c r="C937" s="65">
        <v>341.44851048296198</v>
      </c>
      <c r="D937" s="65">
        <v>343.48134352130467</v>
      </c>
      <c r="E937" s="65">
        <v>4778387.2737128669</v>
      </c>
      <c r="F937" s="65" t="s">
        <v>983</v>
      </c>
      <c r="G937" s="25">
        <f t="shared" si="29"/>
        <v>1.7306181981375568E-2</v>
      </c>
      <c r="I937" s="65">
        <v>10.73</v>
      </c>
      <c r="J937" s="65">
        <v>10.83</v>
      </c>
      <c r="K937" s="65">
        <v>9.77</v>
      </c>
      <c r="L937" s="65">
        <v>10.06</v>
      </c>
      <c r="M937" s="65">
        <v>54710905</v>
      </c>
      <c r="N937" s="65" t="s">
        <v>983</v>
      </c>
      <c r="O937" s="25">
        <f t="shared" si="30"/>
        <v>6.6600397614314133E-2</v>
      </c>
    </row>
    <row r="938" spans="1:15" ht="13.5" customHeight="1">
      <c r="A938" s="65">
        <v>331.29397957105084</v>
      </c>
      <c r="B938" s="65">
        <v>337.41174724568424</v>
      </c>
      <c r="C938" s="65">
        <v>330.80080078795714</v>
      </c>
      <c r="D938" s="65">
        <v>336.31343934819097</v>
      </c>
      <c r="E938" s="65">
        <v>3706341.390507102</v>
      </c>
      <c r="F938" s="65" t="s">
        <v>984</v>
      </c>
      <c r="G938" s="25">
        <f t="shared" si="29"/>
        <v>-1.492494557121582E-2</v>
      </c>
      <c r="I938" s="65">
        <v>9.56</v>
      </c>
      <c r="J938" s="65">
        <v>10.25</v>
      </c>
      <c r="K938" s="65">
        <v>9.33</v>
      </c>
      <c r="L938" s="65">
        <v>10.25</v>
      </c>
      <c r="M938" s="65">
        <v>34557798</v>
      </c>
      <c r="N938" s="65" t="s">
        <v>984</v>
      </c>
      <c r="O938" s="25">
        <f t="shared" si="30"/>
        <v>-6.7317073170731656E-2</v>
      </c>
    </row>
    <row r="939" spans="1:15" ht="13.5" customHeight="1">
      <c r="A939" s="65">
        <v>338.20175818949514</v>
      </c>
      <c r="B939" s="65">
        <v>340.92825937362306</v>
      </c>
      <c r="C939" s="65">
        <v>334.38658338767652</v>
      </c>
      <c r="D939" s="65">
        <v>337.4021129658816</v>
      </c>
      <c r="E939" s="65">
        <v>3360080.9467208064</v>
      </c>
      <c r="F939" s="65" t="s">
        <v>985</v>
      </c>
      <c r="G939" s="25">
        <f t="shared" si="29"/>
        <v>2.3700065674883142E-3</v>
      </c>
      <c r="I939" s="65">
        <v>10.28</v>
      </c>
      <c r="J939" s="65">
        <v>10.3</v>
      </c>
      <c r="K939" s="65">
        <v>9.82</v>
      </c>
      <c r="L939" s="65">
        <v>10.01</v>
      </c>
      <c r="M939" s="65">
        <v>33869945</v>
      </c>
      <c r="N939" s="65" t="s">
        <v>985</v>
      </c>
      <c r="O939" s="25">
        <f t="shared" si="30"/>
        <v>2.6973026973026837E-2</v>
      </c>
    </row>
    <row r="940" spans="1:15" ht="13.5" customHeight="1">
      <c r="A940" s="65">
        <v>336.37124502700641</v>
      </c>
      <c r="B940" s="65">
        <v>336.92039897575302</v>
      </c>
      <c r="C940" s="65">
        <v>332.47899598676725</v>
      </c>
      <c r="D940" s="65">
        <v>334.36731482807141</v>
      </c>
      <c r="E940" s="65">
        <v>3442496.0328788823</v>
      </c>
      <c r="F940" s="65" t="s">
        <v>986</v>
      </c>
      <c r="G940" s="25">
        <f t="shared" si="29"/>
        <v>5.9932000230507043E-3</v>
      </c>
      <c r="I940" s="65">
        <v>10.01</v>
      </c>
      <c r="J940" s="65">
        <v>10.02</v>
      </c>
      <c r="K940" s="65">
        <v>9.34</v>
      </c>
      <c r="L940" s="65">
        <v>9.4</v>
      </c>
      <c r="M940" s="65">
        <v>37935982</v>
      </c>
      <c r="N940" s="65" t="s">
        <v>986</v>
      </c>
      <c r="O940" s="25">
        <f t="shared" si="30"/>
        <v>6.4893617021276606E-2</v>
      </c>
    </row>
    <row r="941" spans="1:15" ht="13.5" customHeight="1">
      <c r="A941" s="65">
        <v>333.17266413255243</v>
      </c>
      <c r="B941" s="65">
        <v>335.2922056891183</v>
      </c>
      <c r="C941" s="65">
        <v>327.56551328745542</v>
      </c>
      <c r="D941" s="65">
        <v>333.7410866409042</v>
      </c>
      <c r="E941" s="65">
        <v>3794205.7682651565</v>
      </c>
      <c r="F941" s="65" t="s">
        <v>987</v>
      </c>
      <c r="G941" s="25">
        <f t="shared" si="29"/>
        <v>-1.7031840882192339E-3</v>
      </c>
      <c r="I941" s="65">
        <v>9.14</v>
      </c>
      <c r="J941" s="65">
        <v>9.43</v>
      </c>
      <c r="K941" s="65">
        <v>8.8800000000000008</v>
      </c>
      <c r="L941" s="65">
        <v>9.34</v>
      </c>
      <c r="M941" s="65">
        <v>33927036</v>
      </c>
      <c r="N941" s="65" t="s">
        <v>987</v>
      </c>
      <c r="O941" s="25">
        <f t="shared" si="30"/>
        <v>-2.1413276231263323E-2</v>
      </c>
    </row>
    <row r="942" spans="1:15" ht="13.5" customHeight="1">
      <c r="A942" s="65">
        <v>328.3651585110689</v>
      </c>
      <c r="B942" s="65">
        <v>331.2361738922354</v>
      </c>
      <c r="C942" s="65">
        <v>326.50574250917242</v>
      </c>
      <c r="D942" s="65">
        <v>328.85650678100006</v>
      </c>
      <c r="E942" s="65">
        <v>4706915.4030478531</v>
      </c>
      <c r="F942" s="65" t="s">
        <v>988</v>
      </c>
      <c r="G942" s="25">
        <f t="shared" si="29"/>
        <v>-1.494111443135826E-3</v>
      </c>
      <c r="I942" s="65">
        <v>9.16</v>
      </c>
      <c r="J942" s="65">
        <v>9.5399999999999991</v>
      </c>
      <c r="K942" s="65">
        <v>9.1300000000000008</v>
      </c>
      <c r="L942" s="65">
        <v>9.4</v>
      </c>
      <c r="M942" s="65">
        <v>32201610</v>
      </c>
      <c r="N942" s="65" t="s">
        <v>988</v>
      </c>
      <c r="O942" s="25">
        <f t="shared" si="30"/>
        <v>-2.5531914893617058E-2</v>
      </c>
    </row>
    <row r="943" spans="1:15" ht="13.5" customHeight="1">
      <c r="A943" s="65">
        <v>331.90093919861289</v>
      </c>
      <c r="B943" s="65">
        <v>344.06421744936034</v>
      </c>
      <c r="C943" s="65">
        <v>331.81423068038976</v>
      </c>
      <c r="D943" s="65">
        <v>339.87812287514265</v>
      </c>
      <c r="E943" s="65">
        <v>5213191.9592568334</v>
      </c>
      <c r="F943" s="65" t="s">
        <v>989</v>
      </c>
      <c r="G943" s="25">
        <f t="shared" si="29"/>
        <v>-2.3470718294687831E-2</v>
      </c>
      <c r="I943" s="65">
        <v>9.5399999999999991</v>
      </c>
      <c r="J943" s="65">
        <v>10.3</v>
      </c>
      <c r="K943" s="65">
        <v>9.51</v>
      </c>
      <c r="L943" s="65">
        <v>10.26</v>
      </c>
      <c r="M943" s="65">
        <v>53841396</v>
      </c>
      <c r="N943" s="65" t="s">
        <v>989</v>
      </c>
      <c r="O943" s="25">
        <f t="shared" si="30"/>
        <v>-7.0175438596491335E-2</v>
      </c>
    </row>
    <row r="944" spans="1:15" ht="13.5" customHeight="1">
      <c r="A944" s="65">
        <v>340.591059580533</v>
      </c>
      <c r="B944" s="65">
        <v>345.64423933698214</v>
      </c>
      <c r="C944" s="65">
        <v>339.40604316481665</v>
      </c>
      <c r="D944" s="65">
        <v>345.41783376162169</v>
      </c>
      <c r="E944" s="65">
        <v>8318503.4732542224</v>
      </c>
      <c r="F944" s="65" t="s">
        <v>990</v>
      </c>
      <c r="G944" s="25">
        <f t="shared" si="29"/>
        <v>-1.3973726048029489E-2</v>
      </c>
      <c r="I944" s="65">
        <v>10.25</v>
      </c>
      <c r="J944" s="65">
        <v>10.65</v>
      </c>
      <c r="K944" s="65">
        <v>9.8000000000000007</v>
      </c>
      <c r="L944" s="65">
        <v>10.23</v>
      </c>
      <c r="M944" s="65">
        <v>78222290</v>
      </c>
      <c r="N944" s="65" t="s">
        <v>990</v>
      </c>
      <c r="O944" s="25">
        <f t="shared" si="30"/>
        <v>1.9550342130987275E-3</v>
      </c>
    </row>
    <row r="945" spans="1:15" ht="13.5" customHeight="1">
      <c r="A945" s="65">
        <v>341.96876159230084</v>
      </c>
      <c r="B945" s="65">
        <v>343.86671471340759</v>
      </c>
      <c r="C945" s="65">
        <v>341.10167641006939</v>
      </c>
      <c r="D945" s="65">
        <v>342.17108146815491</v>
      </c>
      <c r="E945" s="65">
        <v>6675082.2394456752</v>
      </c>
      <c r="F945" s="65" t="s">
        <v>991</v>
      </c>
      <c r="G945" s="25">
        <f t="shared" si="29"/>
        <v>-5.9128280211750983E-4</v>
      </c>
      <c r="I945" s="65">
        <v>9.91</v>
      </c>
      <c r="J945" s="65">
        <v>10.324999999999999</v>
      </c>
      <c r="K945" s="65">
        <v>9.6999999999999993</v>
      </c>
      <c r="L945" s="65">
        <v>10.039999999999999</v>
      </c>
      <c r="M945" s="65">
        <v>33479349</v>
      </c>
      <c r="N945" s="65" t="s">
        <v>991</v>
      </c>
      <c r="O945" s="25">
        <f t="shared" si="30"/>
        <v>-1.2948207171314619E-2</v>
      </c>
    </row>
    <row r="946" spans="1:15" ht="13.5" customHeight="1">
      <c r="A946" s="65">
        <v>344.3098915843259</v>
      </c>
      <c r="B946" s="65">
        <v>344.88794837248025</v>
      </c>
      <c r="C946" s="65">
        <v>336.1881937107575</v>
      </c>
      <c r="D946" s="65">
        <v>336.27490222898069</v>
      </c>
      <c r="E946" s="65">
        <v>4554650.7781810993</v>
      </c>
      <c r="F946" s="65" t="s">
        <v>992</v>
      </c>
      <c r="G946" s="25">
        <f t="shared" si="29"/>
        <v>2.3894109557643706E-2</v>
      </c>
      <c r="I946" s="65">
        <v>10.08</v>
      </c>
      <c r="J946" s="65">
        <v>10.1</v>
      </c>
      <c r="K946" s="65">
        <v>9.6</v>
      </c>
      <c r="L946" s="65">
        <v>9.65</v>
      </c>
      <c r="M946" s="65">
        <v>54030304</v>
      </c>
      <c r="N946" s="65" t="s">
        <v>992</v>
      </c>
      <c r="O946" s="25">
        <f t="shared" si="30"/>
        <v>4.4559585492228049E-2</v>
      </c>
    </row>
    <row r="947" spans="1:15" ht="13.5" customHeight="1">
      <c r="A947" s="65">
        <v>336.4579535452296</v>
      </c>
      <c r="B947" s="65">
        <v>340.85118513520251</v>
      </c>
      <c r="C947" s="65">
        <v>335.84617677776623</v>
      </c>
      <c r="D947" s="65">
        <v>339.17482044955494</v>
      </c>
      <c r="E947" s="65">
        <v>4302618.4467813289</v>
      </c>
      <c r="F947" s="65" t="s">
        <v>993</v>
      </c>
      <c r="G947" s="25">
        <f t="shared" si="29"/>
        <v>-8.0102258201959486E-3</v>
      </c>
      <c r="I947" s="65">
        <v>9.56</v>
      </c>
      <c r="J947" s="65">
        <v>9.85</v>
      </c>
      <c r="K947" s="65">
        <v>9.35</v>
      </c>
      <c r="L947" s="65">
        <v>9.57</v>
      </c>
      <c r="M947" s="65">
        <v>80703958</v>
      </c>
      <c r="N947" s="65" t="s">
        <v>993</v>
      </c>
      <c r="O947" s="25">
        <f t="shared" si="30"/>
        <v>-1.0449320794148065E-3</v>
      </c>
    </row>
    <row r="948" spans="1:15" ht="13.5" customHeight="1">
      <c r="A948" s="65">
        <v>338.26919814811316</v>
      </c>
      <c r="B948" s="65">
        <v>343.14414372821471</v>
      </c>
      <c r="C948" s="65">
        <v>337.62370140134078</v>
      </c>
      <c r="D948" s="65">
        <v>337.87419267620766</v>
      </c>
      <c r="E948" s="65">
        <v>4440091.0993449781</v>
      </c>
      <c r="F948" s="65" t="s">
        <v>994</v>
      </c>
      <c r="G948" s="25">
        <f t="shared" si="29"/>
        <v>1.1690903906473871E-3</v>
      </c>
      <c r="I948" s="65">
        <v>9.58</v>
      </c>
      <c r="J948" s="65">
        <v>10.039999999999999</v>
      </c>
      <c r="K948" s="65">
        <v>9.26</v>
      </c>
      <c r="L948" s="65">
        <v>9.3000000000000007</v>
      </c>
      <c r="M948" s="65">
        <v>104774021</v>
      </c>
      <c r="N948" s="65" t="s">
        <v>994</v>
      </c>
      <c r="O948" s="25">
        <f t="shared" si="30"/>
        <v>3.0107526881720359E-2</v>
      </c>
    </row>
    <row r="949" spans="1:15" ht="13.5" customHeight="1">
      <c r="A949" s="65">
        <v>340.81264801599218</v>
      </c>
      <c r="B949" s="65">
        <v>341.08240785046422</v>
      </c>
      <c r="C949" s="65">
        <v>335.30183996892089</v>
      </c>
      <c r="D949" s="65">
        <v>335.32110852852605</v>
      </c>
      <c r="E949" s="65">
        <v>5400918.4979356388</v>
      </c>
      <c r="F949" s="65" t="s">
        <v>995</v>
      </c>
      <c r="G949" s="25">
        <f t="shared" si="29"/>
        <v>1.6376957333716247E-2</v>
      </c>
      <c r="I949" s="65">
        <v>9.6</v>
      </c>
      <c r="J949" s="65">
        <v>9.8000000000000007</v>
      </c>
      <c r="K949" s="65">
        <v>8.26</v>
      </c>
      <c r="L949" s="65">
        <v>8.3000000000000007</v>
      </c>
      <c r="M949" s="65">
        <v>142016404</v>
      </c>
      <c r="N949" s="65" t="s">
        <v>995</v>
      </c>
      <c r="O949" s="25">
        <f t="shared" si="30"/>
        <v>0.15662650602409633</v>
      </c>
    </row>
    <row r="950" spans="1:15" ht="13.5" customHeight="1">
      <c r="A950" s="65">
        <v>335.35964564773627</v>
      </c>
      <c r="B950" s="65">
        <v>336.4579535452296</v>
      </c>
      <c r="C950" s="65">
        <v>330.33055159079362</v>
      </c>
      <c r="D950" s="65">
        <v>332.81619577985725</v>
      </c>
      <c r="E950" s="65">
        <v>5853490.9879764495</v>
      </c>
      <c r="F950" s="65" t="s">
        <v>996</v>
      </c>
      <c r="G950" s="25">
        <f t="shared" si="29"/>
        <v>7.642205818497505E-3</v>
      </c>
      <c r="I950" s="65">
        <v>8.31</v>
      </c>
      <c r="J950" s="65">
        <v>8.57</v>
      </c>
      <c r="K950" s="65">
        <v>7.49</v>
      </c>
      <c r="L950" s="65">
        <v>7.58</v>
      </c>
      <c r="M950" s="65">
        <v>161717547</v>
      </c>
      <c r="N950" s="65" t="s">
        <v>996</v>
      </c>
      <c r="O950" s="25">
        <f t="shared" si="30"/>
        <v>9.6306068601583084E-2</v>
      </c>
    </row>
    <row r="951" spans="1:15" ht="13.5" customHeight="1">
      <c r="A951" s="65">
        <v>331.32288241045853</v>
      </c>
      <c r="B951" s="65">
        <v>331.79544383477469</v>
      </c>
      <c r="C951" s="65">
        <v>321.91019104334549</v>
      </c>
      <c r="D951" s="65">
        <v>323.23008737629789</v>
      </c>
      <c r="E951" s="65">
        <v>4528029.1722846711</v>
      </c>
      <c r="F951" s="65" t="s">
        <v>997</v>
      </c>
      <c r="G951" s="25">
        <f t="shared" si="29"/>
        <v>2.5037257824143122E-2</v>
      </c>
      <c r="I951" s="65">
        <v>7.76</v>
      </c>
      <c r="J951" s="65">
        <v>8.15</v>
      </c>
      <c r="K951" s="65">
        <v>7.33</v>
      </c>
      <c r="L951" s="65">
        <v>7.76</v>
      </c>
      <c r="M951" s="65">
        <v>244675854</v>
      </c>
      <c r="N951" s="65" t="s">
        <v>997</v>
      </c>
      <c r="O951" s="25">
        <f t="shared" si="30"/>
        <v>0</v>
      </c>
    </row>
    <row r="952" spans="1:15" ht="13.5" customHeight="1">
      <c r="A952" s="65">
        <v>323.54801860978279</v>
      </c>
      <c r="B952" s="65">
        <v>329.89700899967789</v>
      </c>
      <c r="C952" s="65">
        <v>322.79654478518216</v>
      </c>
      <c r="D952" s="65">
        <v>325.80244008358471</v>
      </c>
      <c r="E952" s="65">
        <v>3590365.9338152912</v>
      </c>
      <c r="F952" s="65" t="s">
        <v>998</v>
      </c>
      <c r="G952" s="25">
        <f t="shared" si="29"/>
        <v>-6.9195966525712471E-3</v>
      </c>
      <c r="I952" s="65">
        <v>10.79</v>
      </c>
      <c r="J952" s="65">
        <v>11.36</v>
      </c>
      <c r="K952" s="65">
        <v>10.620100000000001</v>
      </c>
      <c r="L952" s="65">
        <v>10.9</v>
      </c>
      <c r="M952" s="65">
        <v>125477838</v>
      </c>
      <c r="N952" s="65" t="s">
        <v>998</v>
      </c>
      <c r="O952" s="25">
        <f t="shared" si="30"/>
        <v>-1.0091743119266194E-2</v>
      </c>
    </row>
    <row r="953" spans="1:15" ht="13.5" customHeight="1">
      <c r="A953" s="65">
        <v>326.22634839489785</v>
      </c>
      <c r="B953" s="65">
        <v>329.17443801448496</v>
      </c>
      <c r="C953" s="65">
        <v>323.61545856840075</v>
      </c>
      <c r="D953" s="65">
        <v>326.64062242640847</v>
      </c>
      <c r="E953" s="65">
        <v>4570381.0665997043</v>
      </c>
      <c r="F953" s="65" t="s">
        <v>999</v>
      </c>
      <c r="G953" s="25">
        <f t="shared" si="29"/>
        <v>-1.2682869277961251E-3</v>
      </c>
      <c r="I953" s="65">
        <v>10.86</v>
      </c>
      <c r="J953" s="65">
        <v>11.395</v>
      </c>
      <c r="K953" s="65">
        <v>10.66</v>
      </c>
      <c r="L953" s="65">
        <v>10.82</v>
      </c>
      <c r="M953" s="65">
        <v>52275628</v>
      </c>
      <c r="N953" s="65" t="s">
        <v>999</v>
      </c>
      <c r="O953" s="25">
        <f t="shared" si="30"/>
        <v>3.696857670979492E-3</v>
      </c>
    </row>
    <row r="954" spans="1:15" ht="13.5" customHeight="1">
      <c r="A954" s="65">
        <v>328.50003842830495</v>
      </c>
      <c r="B954" s="65">
        <v>332.38265318874153</v>
      </c>
      <c r="C954" s="65">
        <v>325.41225175158047</v>
      </c>
      <c r="D954" s="65">
        <v>332.07435623505921</v>
      </c>
      <c r="E954" s="65">
        <v>5089407.9271923304</v>
      </c>
      <c r="F954" s="65" t="s">
        <v>1000</v>
      </c>
      <c r="G954" s="25">
        <f t="shared" si="29"/>
        <v>-1.0763606823720462E-2</v>
      </c>
      <c r="I954" s="65">
        <v>10.6</v>
      </c>
      <c r="J954" s="65">
        <v>11.135</v>
      </c>
      <c r="K954" s="65">
        <v>10.54</v>
      </c>
      <c r="L954" s="65">
        <v>10.96</v>
      </c>
      <c r="M954" s="65">
        <v>38453894</v>
      </c>
      <c r="N954" s="65" t="s">
        <v>1000</v>
      </c>
      <c r="O954" s="25">
        <f t="shared" si="30"/>
        <v>-3.284671532846728E-2</v>
      </c>
    </row>
    <row r="955" spans="1:15" ht="13.5" customHeight="1">
      <c r="A955" s="65">
        <v>324.67522934668375</v>
      </c>
      <c r="B955" s="65">
        <v>325.73500012496669</v>
      </c>
      <c r="C955" s="65">
        <v>322.22812227683039</v>
      </c>
      <c r="D955" s="65">
        <v>322.33409935465869</v>
      </c>
      <c r="E955" s="65">
        <v>4037163.2127204295</v>
      </c>
      <c r="F955" s="65" t="s">
        <v>1001</v>
      </c>
      <c r="G955" s="25">
        <f t="shared" si="29"/>
        <v>7.2630540694025303E-3</v>
      </c>
      <c r="I955" s="65">
        <v>10.59</v>
      </c>
      <c r="J955" s="65">
        <v>10.88</v>
      </c>
      <c r="K955" s="65">
        <v>10.27</v>
      </c>
      <c r="L955" s="65">
        <v>10.28</v>
      </c>
      <c r="M955" s="65">
        <v>40747298</v>
      </c>
      <c r="N955" s="65" t="s">
        <v>1001</v>
      </c>
      <c r="O955" s="25">
        <f t="shared" si="30"/>
        <v>3.0155642023346418E-2</v>
      </c>
    </row>
    <row r="956" spans="1:15" ht="13.5" customHeight="1">
      <c r="A956" s="65">
        <v>316.63060571153591</v>
      </c>
      <c r="B956" s="65">
        <v>327.74856460370427</v>
      </c>
      <c r="C956" s="65">
        <v>316.02846322387512</v>
      </c>
      <c r="D956" s="65">
        <v>326.23598267470044</v>
      </c>
      <c r="E956" s="65">
        <v>5069396.0525165992</v>
      </c>
      <c r="F956" s="65" t="s">
        <v>1002</v>
      </c>
      <c r="G956" s="25">
        <f t="shared" si="29"/>
        <v>-2.9443033488866677E-2</v>
      </c>
      <c r="I956" s="65">
        <v>9.99</v>
      </c>
      <c r="J956" s="65">
        <v>11.02</v>
      </c>
      <c r="K956" s="65">
        <v>9.9700000000000006</v>
      </c>
      <c r="L956" s="65">
        <v>10.83</v>
      </c>
      <c r="M956" s="65">
        <v>27528539</v>
      </c>
      <c r="N956" s="65" t="s">
        <v>1002</v>
      </c>
      <c r="O956" s="25">
        <f t="shared" si="30"/>
        <v>-7.7562326869806131E-2</v>
      </c>
    </row>
    <row r="957" spans="1:15" ht="13.5" customHeight="1">
      <c r="A957" s="65">
        <v>323.92375552208313</v>
      </c>
      <c r="B957" s="65">
        <v>325.32554323335739</v>
      </c>
      <c r="C957" s="65">
        <v>308.17170804487751</v>
      </c>
      <c r="D957" s="65">
        <v>309.10623318572698</v>
      </c>
      <c r="E957" s="65">
        <v>6639718.9318625769</v>
      </c>
      <c r="F957" s="65" t="s">
        <v>1003</v>
      </c>
      <c r="G957" s="25">
        <f t="shared" si="29"/>
        <v>4.7936666251091165E-2</v>
      </c>
      <c r="I957" s="65">
        <v>10.58</v>
      </c>
      <c r="J957" s="65">
        <v>10.65</v>
      </c>
      <c r="K957" s="65">
        <v>9.6300000000000008</v>
      </c>
      <c r="L957" s="65">
        <v>10.08</v>
      </c>
      <c r="M957" s="65">
        <v>40447910</v>
      </c>
      <c r="N957" s="65" t="s">
        <v>1003</v>
      </c>
      <c r="O957" s="25">
        <f t="shared" si="30"/>
        <v>4.9603174603174649E-2</v>
      </c>
    </row>
    <row r="958" spans="1:15" ht="13.5" customHeight="1">
      <c r="A958" s="65">
        <v>315.6575434514761</v>
      </c>
      <c r="B958" s="65">
        <v>318.49002171343233</v>
      </c>
      <c r="C958" s="65">
        <v>315.46485785542467</v>
      </c>
      <c r="D958" s="65">
        <v>317.11231970166455</v>
      </c>
      <c r="E958" s="65">
        <v>3357865.9394304533</v>
      </c>
      <c r="F958" s="65" t="s">
        <v>1004</v>
      </c>
      <c r="G958" s="25">
        <f t="shared" si="29"/>
        <v>-4.5875740543825927E-3</v>
      </c>
      <c r="I958" s="65">
        <v>10.51</v>
      </c>
      <c r="J958" s="65">
        <v>10.555</v>
      </c>
      <c r="K958" s="65">
        <v>10.01</v>
      </c>
      <c r="L958" s="65">
        <v>10.3</v>
      </c>
      <c r="M958" s="65">
        <v>31567865</v>
      </c>
      <c r="N958" s="65" t="s">
        <v>1004</v>
      </c>
      <c r="O958" s="25">
        <f t="shared" si="30"/>
        <v>2.038834951456292E-2</v>
      </c>
    </row>
    <row r="959" spans="1:15" ht="13.5" customHeight="1">
      <c r="A959" s="65">
        <v>316.64023999133855</v>
      </c>
      <c r="B959" s="65">
        <v>321.36103709459888</v>
      </c>
      <c r="C959" s="65">
        <v>314.89643534707295</v>
      </c>
      <c r="D959" s="65">
        <v>317.1604911006774</v>
      </c>
      <c r="E959" s="65">
        <v>5156698.89374978</v>
      </c>
      <c r="F959" s="65" t="s">
        <v>1005</v>
      </c>
      <c r="G959" s="25">
        <f t="shared" si="29"/>
        <v>-1.6403402187118443E-3</v>
      </c>
      <c r="I959" s="65">
        <v>10.31</v>
      </c>
      <c r="J959" s="65">
        <v>10.6</v>
      </c>
      <c r="K959" s="65">
        <v>9.83</v>
      </c>
      <c r="L959" s="65">
        <v>10.37</v>
      </c>
      <c r="M959" s="65">
        <v>32994231</v>
      </c>
      <c r="N959" s="65" t="s">
        <v>1005</v>
      </c>
      <c r="O959" s="25">
        <f t="shared" si="30"/>
        <v>-5.7859209257472566E-3</v>
      </c>
    </row>
    <row r="960" spans="1:15" ht="13.5" customHeight="1">
      <c r="A960" s="65">
        <v>318.7405129882992</v>
      </c>
      <c r="B960" s="65">
        <v>322.43044215268441</v>
      </c>
      <c r="C960" s="65">
        <v>316.64023999133855</v>
      </c>
      <c r="D960" s="65">
        <v>322.23775655663297</v>
      </c>
      <c r="E960" s="65">
        <v>4083190.5244746106</v>
      </c>
      <c r="F960" s="65" t="s">
        <v>1006</v>
      </c>
      <c r="G960" s="25">
        <f t="shared" ref="G960:G1023" si="31">A960/D960-1</f>
        <v>-1.0852991299668324E-2</v>
      </c>
      <c r="I960" s="65">
        <v>10.41</v>
      </c>
      <c r="J960" s="65">
        <v>10.654999999999999</v>
      </c>
      <c r="K960" s="65">
        <v>10.324999999999999</v>
      </c>
      <c r="L960" s="65">
        <v>10.62</v>
      </c>
      <c r="M960" s="65">
        <v>19463818</v>
      </c>
      <c r="N960" s="65" t="s">
        <v>1006</v>
      </c>
      <c r="O960" s="25">
        <f t="shared" ref="O960:O1023" si="32">I960/L960-1</f>
        <v>-1.9774011299434902E-2</v>
      </c>
    </row>
    <row r="961" spans="1:15" ht="13.5" customHeight="1">
      <c r="A961" s="65">
        <v>321.1394486591397</v>
      </c>
      <c r="B961" s="65">
        <v>326.92965082048562</v>
      </c>
      <c r="C961" s="65">
        <v>319.52088965230757</v>
      </c>
      <c r="D961" s="65">
        <v>326.67915954561875</v>
      </c>
      <c r="E961" s="65">
        <v>5364257.7399715921</v>
      </c>
      <c r="F961" s="65" t="s">
        <v>1007</v>
      </c>
      <c r="G961" s="25">
        <f t="shared" si="31"/>
        <v>-1.6957650112067957E-2</v>
      </c>
      <c r="I961" s="65">
        <v>10.66</v>
      </c>
      <c r="J961" s="65">
        <v>11.08</v>
      </c>
      <c r="K961" s="65">
        <v>10.505000000000001</v>
      </c>
      <c r="L961" s="65">
        <v>10.98</v>
      </c>
      <c r="M961" s="65">
        <v>22935497</v>
      </c>
      <c r="N961" s="65" t="s">
        <v>1007</v>
      </c>
      <c r="O961" s="25">
        <f t="shared" si="32"/>
        <v>-2.9143897996357082E-2</v>
      </c>
    </row>
    <row r="962" spans="1:15" ht="13.5" customHeight="1">
      <c r="A962" s="65">
        <v>330.41726010901675</v>
      </c>
      <c r="B962" s="65">
        <v>335.25366856990803</v>
      </c>
      <c r="C962" s="65">
        <v>329.96444895829586</v>
      </c>
      <c r="D962" s="65">
        <v>332.5560702251878</v>
      </c>
      <c r="E962" s="65">
        <v>4026883.2538621081</v>
      </c>
      <c r="F962" s="65" t="s">
        <v>1008</v>
      </c>
      <c r="G962" s="25">
        <f t="shared" si="31"/>
        <v>-6.4314270815226671E-3</v>
      </c>
      <c r="I962" s="65">
        <v>11.35</v>
      </c>
      <c r="J962" s="65">
        <v>11.85</v>
      </c>
      <c r="K962" s="65">
        <v>11.27</v>
      </c>
      <c r="L962" s="65">
        <v>11.3</v>
      </c>
      <c r="M962" s="65">
        <v>31833674</v>
      </c>
      <c r="N962" s="65" t="s">
        <v>1008</v>
      </c>
      <c r="O962" s="25">
        <f t="shared" si="32"/>
        <v>4.4247787610618428E-3</v>
      </c>
    </row>
    <row r="963" spans="1:15" ht="13.5" customHeight="1">
      <c r="A963" s="65">
        <v>333.93377223695563</v>
      </c>
      <c r="B963" s="65">
        <v>335.88953103687777</v>
      </c>
      <c r="C963" s="65">
        <v>328.39406135047665</v>
      </c>
      <c r="D963" s="65">
        <v>330.57140858585791</v>
      </c>
      <c r="E963" s="65">
        <v>4936302.5544787226</v>
      </c>
      <c r="F963" s="65" t="s">
        <v>1009</v>
      </c>
      <c r="G963" s="25">
        <f t="shared" si="31"/>
        <v>1.0171368617393428E-2</v>
      </c>
      <c r="I963" s="65">
        <v>11.2</v>
      </c>
      <c r="J963" s="65">
        <v>11.22</v>
      </c>
      <c r="K963" s="65">
        <v>10.57</v>
      </c>
      <c r="L963" s="65">
        <v>10.85</v>
      </c>
      <c r="M963" s="65">
        <v>28941995</v>
      </c>
      <c r="N963" s="65" t="s">
        <v>1009</v>
      </c>
      <c r="O963" s="25">
        <f t="shared" si="32"/>
        <v>3.2258064516129004E-2</v>
      </c>
    </row>
    <row r="964" spans="1:15" ht="13.5" customHeight="1">
      <c r="A964" s="65">
        <v>334.51182902510993</v>
      </c>
      <c r="B964" s="65">
        <v>334.62744038274082</v>
      </c>
      <c r="C964" s="65">
        <v>329.61761488540327</v>
      </c>
      <c r="D964" s="65">
        <v>329.62724916520585</v>
      </c>
      <c r="E964" s="65">
        <v>5303932.5250193719</v>
      </c>
      <c r="F964" s="65" t="s">
        <v>1010</v>
      </c>
      <c r="G964" s="25">
        <f t="shared" si="31"/>
        <v>1.4818495352779459E-2</v>
      </c>
      <c r="I964" s="65">
        <v>10.82</v>
      </c>
      <c r="J964" s="65">
        <v>10.82</v>
      </c>
      <c r="K964" s="65">
        <v>10.25</v>
      </c>
      <c r="L964" s="65">
        <v>10.3</v>
      </c>
      <c r="M964" s="65">
        <v>34439906</v>
      </c>
      <c r="N964" s="65" t="s">
        <v>1010</v>
      </c>
      <c r="O964" s="25">
        <f t="shared" si="32"/>
        <v>5.0485436893203728E-2</v>
      </c>
    </row>
    <row r="965" spans="1:15" ht="13.5" customHeight="1">
      <c r="A965" s="65">
        <v>324.65596078707858</v>
      </c>
      <c r="B965" s="65">
        <v>326.27451979391077</v>
      </c>
      <c r="C965" s="65">
        <v>318.02757628290891</v>
      </c>
      <c r="D965" s="65">
        <v>319.65576956954362</v>
      </c>
      <c r="E965" s="65">
        <v>5956851.075124233</v>
      </c>
      <c r="F965" s="65" t="s">
        <v>1011</v>
      </c>
      <c r="G965" s="25">
        <f t="shared" si="31"/>
        <v>1.5642424425088119E-2</v>
      </c>
      <c r="I965" s="65">
        <v>9.98</v>
      </c>
      <c r="J965" s="65">
        <v>10.029999999999999</v>
      </c>
      <c r="K965" s="65">
        <v>9.42</v>
      </c>
      <c r="L965" s="65">
        <v>9.9600000000000009</v>
      </c>
      <c r="M965" s="65">
        <v>27802799</v>
      </c>
      <c r="N965" s="65" t="s">
        <v>1011</v>
      </c>
      <c r="O965" s="25">
        <f t="shared" si="32"/>
        <v>2.0080321285140812E-3</v>
      </c>
    </row>
    <row r="966" spans="1:15" ht="13.5" customHeight="1">
      <c r="A966" s="65">
        <v>316.2934059184459</v>
      </c>
      <c r="B966" s="65">
        <v>323.89485268267538</v>
      </c>
      <c r="C966" s="65">
        <v>316.11998888199963</v>
      </c>
      <c r="D966" s="65">
        <v>320.40724339414425</v>
      </c>
      <c r="E966" s="65">
        <v>8030315.8705588225</v>
      </c>
      <c r="F966" s="65" t="s">
        <v>1012</v>
      </c>
      <c r="G966" s="25">
        <f t="shared" si="31"/>
        <v>-1.2839402231109243E-2</v>
      </c>
      <c r="I966" s="65">
        <v>9.82</v>
      </c>
      <c r="J966" s="65">
        <v>10.33</v>
      </c>
      <c r="K966" s="65">
        <v>9.8049999999999997</v>
      </c>
      <c r="L966" s="65">
        <v>10.16</v>
      </c>
      <c r="M966" s="65">
        <v>29121853</v>
      </c>
      <c r="N966" s="65" t="s">
        <v>1012</v>
      </c>
      <c r="O966" s="25">
        <f t="shared" si="32"/>
        <v>-3.3464566929133799E-2</v>
      </c>
    </row>
    <row r="967" spans="1:15" ht="13.5" customHeight="1">
      <c r="A967" s="65">
        <v>321.18762005815256</v>
      </c>
      <c r="B967" s="65">
        <v>324.9642577407609</v>
      </c>
      <c r="C967" s="65">
        <v>318.44185031441947</v>
      </c>
      <c r="D967" s="65">
        <v>324.81974354372227</v>
      </c>
      <c r="E967" s="65">
        <v>7504578.5965959374</v>
      </c>
      <c r="F967" s="65" t="s">
        <v>1013</v>
      </c>
      <c r="G967" s="25">
        <f t="shared" si="31"/>
        <v>-1.1181966483760908E-2</v>
      </c>
      <c r="I967" s="65">
        <v>10.19</v>
      </c>
      <c r="J967" s="65">
        <v>10.61</v>
      </c>
      <c r="K967" s="65">
        <v>10</v>
      </c>
      <c r="L967" s="65">
        <v>10.54</v>
      </c>
      <c r="M967" s="65">
        <v>22950026</v>
      </c>
      <c r="N967" s="65" t="s">
        <v>1013</v>
      </c>
      <c r="O967" s="25">
        <f t="shared" si="32"/>
        <v>-3.3206831119544589E-2</v>
      </c>
    </row>
    <row r="968" spans="1:15" ht="13.5" customHeight="1">
      <c r="A968" s="65">
        <v>328.02795871797889</v>
      </c>
      <c r="B968" s="65">
        <v>329.58871204599558</v>
      </c>
      <c r="C968" s="65">
        <v>320.99493446210113</v>
      </c>
      <c r="D968" s="65">
        <v>322.55568779011787</v>
      </c>
      <c r="E968" s="65">
        <v>9013594.3505413942</v>
      </c>
      <c r="F968" s="65" t="s">
        <v>1014</v>
      </c>
      <c r="G968" s="25">
        <f t="shared" si="31"/>
        <v>1.6965352449223481E-2</v>
      </c>
      <c r="I968" s="65">
        <v>10.76</v>
      </c>
      <c r="J968" s="65">
        <v>10.79</v>
      </c>
      <c r="K968" s="65">
        <v>10.4</v>
      </c>
      <c r="L968" s="65">
        <v>10.42</v>
      </c>
      <c r="M968" s="65">
        <v>18536690</v>
      </c>
      <c r="N968" s="65" t="s">
        <v>1014</v>
      </c>
      <c r="O968" s="25">
        <f t="shared" si="32"/>
        <v>3.2629558541266812E-2</v>
      </c>
    </row>
    <row r="969" spans="1:15" ht="13.5" customHeight="1">
      <c r="A969" s="65">
        <v>321.70864190987555</v>
      </c>
      <c r="B969" s="65">
        <v>327.89553102499133</v>
      </c>
      <c r="C969" s="65">
        <v>319.49287231981077</v>
      </c>
      <c r="D969" s="65">
        <v>325.92915541476077</v>
      </c>
      <c r="E969" s="65">
        <v>6042131.9752875771</v>
      </c>
      <c r="F969" s="65" t="s">
        <v>1015</v>
      </c>
      <c r="G969" s="25">
        <f t="shared" si="31"/>
        <v>-1.2949174490126225E-2</v>
      </c>
      <c r="I969" s="65">
        <v>10.45</v>
      </c>
      <c r="J969" s="65">
        <v>10.73</v>
      </c>
      <c r="K969" s="65">
        <v>10.19</v>
      </c>
      <c r="L969" s="65">
        <v>10.36</v>
      </c>
      <c r="M969" s="65">
        <v>22067405</v>
      </c>
      <c r="N969" s="65" t="s">
        <v>1015</v>
      </c>
      <c r="O969" s="25">
        <f t="shared" si="32"/>
        <v>8.6872586872586144E-3</v>
      </c>
    </row>
    <row r="970" spans="1:15" ht="13.5" customHeight="1">
      <c r="A970" s="65">
        <v>322.61988914388485</v>
      </c>
      <c r="B970" s="65">
        <v>327.72287365433698</v>
      </c>
      <c r="C970" s="65">
        <v>321.40169547315662</v>
      </c>
      <c r="D970" s="65">
        <v>324.432791535756</v>
      </c>
      <c r="E970" s="65">
        <v>5635574.5272391634</v>
      </c>
      <c r="F970" s="65" t="s">
        <v>1016</v>
      </c>
      <c r="G970" s="25">
        <f t="shared" si="31"/>
        <v>-5.5879135499512511E-3</v>
      </c>
      <c r="I970" s="65">
        <v>10.18</v>
      </c>
      <c r="J970" s="65">
        <v>10.6</v>
      </c>
      <c r="K970" s="65">
        <v>10.1</v>
      </c>
      <c r="L970" s="65">
        <v>10.3</v>
      </c>
      <c r="M970" s="65">
        <v>23510798</v>
      </c>
      <c r="N970" s="65" t="s">
        <v>1016</v>
      </c>
      <c r="O970" s="25">
        <f t="shared" si="32"/>
        <v>-1.1650485436893288E-2</v>
      </c>
    </row>
    <row r="971" spans="1:15" ht="13.5" customHeight="1">
      <c r="A971" s="65">
        <v>325.77568219640131</v>
      </c>
      <c r="B971" s="65">
        <v>328.12574085253056</v>
      </c>
      <c r="C971" s="65">
        <v>321.63190530069579</v>
      </c>
      <c r="D971" s="65">
        <v>328.12574085253056</v>
      </c>
      <c r="E971" s="65">
        <v>10937664.420826318</v>
      </c>
      <c r="F971" s="65" t="s">
        <v>1017</v>
      </c>
      <c r="G971" s="25">
        <f t="shared" si="31"/>
        <v>-7.1620673526660017E-3</v>
      </c>
      <c r="I971" s="65">
        <v>10.32</v>
      </c>
      <c r="J971" s="65">
        <v>10.555</v>
      </c>
      <c r="K971" s="65">
        <v>10.15</v>
      </c>
      <c r="L971" s="65">
        <v>10.32</v>
      </c>
      <c r="M971" s="65">
        <v>24400260</v>
      </c>
      <c r="N971" s="65" t="s">
        <v>1017</v>
      </c>
      <c r="O971" s="25">
        <f t="shared" si="32"/>
        <v>0</v>
      </c>
    </row>
    <row r="972" spans="1:15" ht="13.5" customHeight="1">
      <c r="A972" s="65">
        <v>331.28153390504701</v>
      </c>
      <c r="B972" s="65">
        <v>334.32222204379389</v>
      </c>
      <c r="C972" s="65">
        <v>330.61008857472439</v>
      </c>
      <c r="D972" s="65">
        <v>333.37260650519471</v>
      </c>
      <c r="E972" s="65">
        <v>5791886.8809933634</v>
      </c>
      <c r="F972" s="65" t="s">
        <v>1018</v>
      </c>
      <c r="G972" s="25">
        <f t="shared" si="31"/>
        <v>-6.2724787800316761E-3</v>
      </c>
      <c r="I972" s="65">
        <v>10.46</v>
      </c>
      <c r="J972" s="65">
        <v>11</v>
      </c>
      <c r="K972" s="65">
        <v>10.35</v>
      </c>
      <c r="L972" s="65">
        <v>10.85</v>
      </c>
      <c r="M972" s="65">
        <v>28336750</v>
      </c>
      <c r="N972" s="65" t="s">
        <v>1018</v>
      </c>
      <c r="O972" s="25">
        <f t="shared" si="32"/>
        <v>-3.5944700460829426E-2</v>
      </c>
    </row>
    <row r="973" spans="1:15" ht="13.5" customHeight="1">
      <c r="A973" s="65">
        <v>334.1016042924021</v>
      </c>
      <c r="B973" s="65">
        <v>344.64329597846773</v>
      </c>
      <c r="C973" s="65">
        <v>334.1016042924021</v>
      </c>
      <c r="D973" s="65">
        <v>341.84240974340753</v>
      </c>
      <c r="E973" s="65">
        <v>5319392.7170268791</v>
      </c>
      <c r="F973" s="65" t="s">
        <v>1019</v>
      </c>
      <c r="G973" s="25">
        <f t="shared" si="31"/>
        <v>-2.2644368370840273E-2</v>
      </c>
      <c r="I973" s="65">
        <v>10.85</v>
      </c>
      <c r="J973" s="65">
        <v>11.488300000000001</v>
      </c>
      <c r="K973" s="65">
        <v>10.835000000000001</v>
      </c>
      <c r="L973" s="65">
        <v>11.21</v>
      </c>
      <c r="M973" s="65">
        <v>30721603</v>
      </c>
      <c r="N973" s="65" t="s">
        <v>1019</v>
      </c>
      <c r="O973" s="25">
        <f t="shared" si="32"/>
        <v>-3.211418376449604E-2</v>
      </c>
    </row>
    <row r="974" spans="1:15" ht="13.5" customHeight="1">
      <c r="A974" s="65">
        <v>340.08705980842115</v>
      </c>
      <c r="B974" s="65">
        <v>341.84240974340753</v>
      </c>
      <c r="C974" s="65">
        <v>337.48108456067746</v>
      </c>
      <c r="D974" s="65">
        <v>340.88320212866086</v>
      </c>
      <c r="E974" s="65">
        <v>3778078.8478803043</v>
      </c>
      <c r="F974" s="65" t="s">
        <v>1020</v>
      </c>
      <c r="G974" s="25">
        <f t="shared" si="31"/>
        <v>-2.3355281670324191E-3</v>
      </c>
      <c r="I974" s="65">
        <v>11.12</v>
      </c>
      <c r="J974" s="65">
        <v>11.38</v>
      </c>
      <c r="K974" s="65">
        <v>11.01</v>
      </c>
      <c r="L974" s="65">
        <v>11.19</v>
      </c>
      <c r="M974" s="65">
        <v>25296260</v>
      </c>
      <c r="N974" s="65" t="s">
        <v>1020</v>
      </c>
      <c r="O974" s="25">
        <f t="shared" si="32"/>
        <v>-6.2555853440572351E-3</v>
      </c>
    </row>
    <row r="975" spans="1:15" ht="13.5" customHeight="1">
      <c r="A975" s="65">
        <v>343.96225857199755</v>
      </c>
      <c r="B975" s="65">
        <v>343.96225857199755</v>
      </c>
      <c r="C975" s="65">
        <v>338.3604861018772</v>
      </c>
      <c r="D975" s="65">
        <v>338.40844648261452</v>
      </c>
      <c r="E975" s="65">
        <v>3557775.1339071663</v>
      </c>
      <c r="F975" s="65" t="s">
        <v>1021</v>
      </c>
      <c r="G975" s="25">
        <f t="shared" si="31"/>
        <v>1.641156462585025E-2</v>
      </c>
      <c r="I975" s="65">
        <v>11.35</v>
      </c>
      <c r="J975" s="65">
        <v>11.41</v>
      </c>
      <c r="K975" s="65">
        <v>10.901300000000001</v>
      </c>
      <c r="L975" s="65">
        <v>11.130100000000001</v>
      </c>
      <c r="M975" s="65">
        <v>32212491</v>
      </c>
      <c r="N975" s="65" t="s">
        <v>1021</v>
      </c>
      <c r="O975" s="25">
        <f t="shared" si="32"/>
        <v>1.9757234885580566E-2</v>
      </c>
    </row>
    <row r="976" spans="1:15" ht="13.5" customHeight="1">
      <c r="A976" s="65">
        <v>341.34362178373925</v>
      </c>
      <c r="B976" s="65">
        <v>341.93833050488217</v>
      </c>
      <c r="C976" s="65">
        <v>338.30293364499238</v>
      </c>
      <c r="D976" s="65">
        <v>340.09665188456864</v>
      </c>
      <c r="E976" s="65">
        <v>4641610.3579161009</v>
      </c>
      <c r="F976" s="65" t="s">
        <v>1022</v>
      </c>
      <c r="G976" s="25">
        <f t="shared" si="31"/>
        <v>3.6665162454871947E-3</v>
      </c>
      <c r="I976" s="65">
        <v>11.3</v>
      </c>
      <c r="J976" s="65">
        <v>11.7</v>
      </c>
      <c r="K976" s="65">
        <v>11.27</v>
      </c>
      <c r="L976" s="65">
        <v>11.7</v>
      </c>
      <c r="M976" s="65">
        <v>42384869</v>
      </c>
      <c r="N976" s="65" t="s">
        <v>1022</v>
      </c>
      <c r="O976" s="25">
        <f t="shared" si="32"/>
        <v>-3.4188034188034067E-2</v>
      </c>
    </row>
    <row r="977" spans="1:15" ht="13.5" customHeight="1">
      <c r="A977" s="65">
        <v>344.04858725732481</v>
      </c>
      <c r="B977" s="65">
        <v>349.1227955393345</v>
      </c>
      <c r="C977" s="65">
        <v>342.82080151044909</v>
      </c>
      <c r="D977" s="65">
        <v>346.42742214189644</v>
      </c>
      <c r="E977" s="65">
        <v>3969380.4985124967</v>
      </c>
      <c r="F977" s="65" t="s">
        <v>1023</v>
      </c>
      <c r="G977" s="25">
        <f t="shared" si="31"/>
        <v>-6.8667626536713655E-3</v>
      </c>
      <c r="I977" s="65">
        <v>11.9</v>
      </c>
      <c r="J977" s="65">
        <v>12.25</v>
      </c>
      <c r="K977" s="65">
        <v>11.31</v>
      </c>
      <c r="L977" s="65">
        <v>11.43</v>
      </c>
      <c r="M977" s="65">
        <v>46012535</v>
      </c>
      <c r="N977" s="65" t="s">
        <v>1023</v>
      </c>
      <c r="O977" s="25">
        <f t="shared" si="32"/>
        <v>4.1119860017497789E-2</v>
      </c>
    </row>
    <row r="978" spans="1:15" ht="13.5" customHeight="1">
      <c r="A978" s="65">
        <v>347.93337809704872</v>
      </c>
      <c r="B978" s="65">
        <v>349.31463706228385</v>
      </c>
      <c r="C978" s="65">
        <v>344.86391372985941</v>
      </c>
      <c r="D978" s="65">
        <v>347.78949695483664</v>
      </c>
      <c r="E978" s="65">
        <v>3706715.7780426233</v>
      </c>
      <c r="F978" s="65" t="s">
        <v>1024</v>
      </c>
      <c r="G978" s="25">
        <f t="shared" si="31"/>
        <v>4.1370180374000753E-4</v>
      </c>
      <c r="I978" s="65">
        <v>11.52</v>
      </c>
      <c r="J978" s="65">
        <v>11.7212</v>
      </c>
      <c r="K978" s="65">
        <v>11.270099999999999</v>
      </c>
      <c r="L978" s="65">
        <v>11.66</v>
      </c>
      <c r="M978" s="65">
        <v>32801202</v>
      </c>
      <c r="N978" s="65" t="s">
        <v>1024</v>
      </c>
      <c r="O978" s="25">
        <f t="shared" si="32"/>
        <v>-1.2006861063464935E-2</v>
      </c>
    </row>
    <row r="979" spans="1:15" ht="13.5" customHeight="1">
      <c r="A979" s="65">
        <v>346.63844781714073</v>
      </c>
      <c r="B979" s="65">
        <v>355.41519749207242</v>
      </c>
      <c r="C979" s="65">
        <v>345.58341536168086</v>
      </c>
      <c r="D979" s="65">
        <v>354.27374043052396</v>
      </c>
      <c r="E979" s="65">
        <v>5785164.6658015018</v>
      </c>
      <c r="F979" s="65" t="s">
        <v>1025</v>
      </c>
      <c r="G979" s="25">
        <f t="shared" si="31"/>
        <v>-2.1551957545892564E-2</v>
      </c>
      <c r="I979" s="65">
        <v>11.77</v>
      </c>
      <c r="J979" s="65">
        <v>12.17</v>
      </c>
      <c r="K979" s="65">
        <v>11.574999999999999</v>
      </c>
      <c r="L979" s="65">
        <v>11.95</v>
      </c>
      <c r="M979" s="65">
        <v>34931444</v>
      </c>
      <c r="N979" s="65" t="s">
        <v>1025</v>
      </c>
      <c r="O979" s="25">
        <f t="shared" si="32"/>
        <v>-1.5062761506276168E-2</v>
      </c>
    </row>
    <row r="980" spans="1:15" ht="13.5" customHeight="1">
      <c r="A980" s="65">
        <v>362.44618930816534</v>
      </c>
      <c r="B980" s="65">
        <v>363.06967425775065</v>
      </c>
      <c r="C980" s="65">
        <v>360.19205141351074</v>
      </c>
      <c r="D980" s="65">
        <v>360.48940577408217</v>
      </c>
      <c r="E980" s="65">
        <v>3087292.0048515219</v>
      </c>
      <c r="F980" s="65" t="s">
        <v>1026</v>
      </c>
      <c r="G980" s="25">
        <f t="shared" si="31"/>
        <v>5.4281304879997272E-3</v>
      </c>
      <c r="I980" s="65">
        <v>12.65</v>
      </c>
      <c r="J980" s="65">
        <v>12.94</v>
      </c>
      <c r="K980" s="65">
        <v>12.44</v>
      </c>
      <c r="L980" s="65">
        <v>12.69</v>
      </c>
      <c r="M980" s="65">
        <v>32375101</v>
      </c>
      <c r="N980" s="65" t="s">
        <v>1026</v>
      </c>
      <c r="O980" s="25">
        <f t="shared" si="32"/>
        <v>-3.1520882584711307E-3</v>
      </c>
    </row>
    <row r="981" spans="1:15" ht="13.5" customHeight="1">
      <c r="A981" s="65">
        <v>358.50384601155662</v>
      </c>
      <c r="B981" s="65">
        <v>359.32876456023877</v>
      </c>
      <c r="C981" s="65">
        <v>354.88763330396182</v>
      </c>
      <c r="D981" s="65">
        <v>355.13702728379593</v>
      </c>
      <c r="E981" s="65">
        <v>2733048.5701913922</v>
      </c>
      <c r="F981" s="65" t="s">
        <v>1027</v>
      </c>
      <c r="G981" s="25">
        <f t="shared" si="31"/>
        <v>9.4803370786515906E-3</v>
      </c>
      <c r="I981" s="65">
        <v>12.65</v>
      </c>
      <c r="J981" s="65">
        <v>12.91</v>
      </c>
      <c r="K981" s="65">
        <v>12.36</v>
      </c>
      <c r="L981" s="65">
        <v>12.45</v>
      </c>
      <c r="M981" s="65">
        <v>54653533</v>
      </c>
      <c r="N981" s="65" t="s">
        <v>1027</v>
      </c>
      <c r="O981" s="25">
        <f t="shared" si="32"/>
        <v>1.6064257028112428E-2</v>
      </c>
    </row>
    <row r="982" spans="1:15" ht="13.5" customHeight="1">
      <c r="A982" s="65">
        <v>353.05554675979573</v>
      </c>
      <c r="B982" s="65">
        <v>353.44882188184187</v>
      </c>
      <c r="C982" s="65">
        <v>347.4921425942652</v>
      </c>
      <c r="D982" s="65">
        <v>348.55206700856024</v>
      </c>
      <c r="E982" s="65">
        <v>3849048.8849749132</v>
      </c>
      <c r="F982" s="65" t="s">
        <v>1028</v>
      </c>
      <c r="G982" s="25">
        <f t="shared" si="31"/>
        <v>1.2920536635707025E-2</v>
      </c>
      <c r="I982" s="65">
        <v>12.53</v>
      </c>
      <c r="J982" s="65">
        <v>12.68</v>
      </c>
      <c r="K982" s="65">
        <v>11.31</v>
      </c>
      <c r="L982" s="65">
        <v>11.32</v>
      </c>
      <c r="M982" s="65">
        <v>84685247</v>
      </c>
      <c r="N982" s="65" t="s">
        <v>1028</v>
      </c>
      <c r="O982" s="25">
        <f t="shared" si="32"/>
        <v>0.10689045936395747</v>
      </c>
    </row>
    <row r="983" spans="1:15" ht="13.5" customHeight="1">
      <c r="A983" s="65">
        <v>350.76304056055125</v>
      </c>
      <c r="B983" s="65">
        <v>351.42968985280015</v>
      </c>
      <c r="C983" s="65">
        <v>344.05856301651818</v>
      </c>
      <c r="D983" s="65">
        <v>344.22124462797916</v>
      </c>
      <c r="E983" s="65">
        <v>4312883.8182677617</v>
      </c>
      <c r="F983" s="65" t="s">
        <v>1029</v>
      </c>
      <c r="G983" s="25">
        <f t="shared" si="31"/>
        <v>1.9004625759349025E-2</v>
      </c>
      <c r="I983" s="65">
        <v>11.46</v>
      </c>
      <c r="J983" s="65">
        <v>11.66</v>
      </c>
      <c r="K983" s="65">
        <v>10.7</v>
      </c>
      <c r="L983" s="65">
        <v>10.82</v>
      </c>
      <c r="M983" s="65">
        <v>59443031</v>
      </c>
      <c r="N983" s="65" t="s">
        <v>1029</v>
      </c>
      <c r="O983" s="25">
        <f t="shared" si="32"/>
        <v>5.9149722735674759E-2</v>
      </c>
    </row>
    <row r="984" spans="1:15" ht="13.5" customHeight="1">
      <c r="A984" s="65">
        <v>344.58574352158291</v>
      </c>
      <c r="B984" s="65">
        <v>347.50173467041265</v>
      </c>
      <c r="C984" s="65">
        <v>342.43711846455045</v>
      </c>
      <c r="D984" s="65">
        <v>346.61926366484579</v>
      </c>
      <c r="E984" s="65">
        <v>5921880.6363420794</v>
      </c>
      <c r="F984" s="65" t="s">
        <v>1030</v>
      </c>
      <c r="G984" s="25">
        <f t="shared" si="31"/>
        <v>-5.8667257029001441E-3</v>
      </c>
      <c r="I984" s="65">
        <v>10.77</v>
      </c>
      <c r="J984" s="65">
        <v>11.28</v>
      </c>
      <c r="K984" s="65">
        <v>10.67</v>
      </c>
      <c r="L984" s="65">
        <v>11.27</v>
      </c>
      <c r="M984" s="65">
        <v>38114756</v>
      </c>
      <c r="N984" s="65" t="s">
        <v>1030</v>
      </c>
      <c r="O984" s="25">
        <f t="shared" si="32"/>
        <v>-4.4365572315882895E-2</v>
      </c>
    </row>
    <row r="985" spans="1:15" ht="13.5" customHeight="1">
      <c r="A985" s="65">
        <v>345.74638473542632</v>
      </c>
      <c r="B985" s="65">
        <v>354.07230683142717</v>
      </c>
      <c r="C985" s="65">
        <v>344.1445080187994</v>
      </c>
      <c r="D985" s="65">
        <v>352.94044184602615</v>
      </c>
      <c r="E985" s="65">
        <v>4737475.9438292067</v>
      </c>
      <c r="F985" s="65" t="s">
        <v>1031</v>
      </c>
      <c r="G985" s="25">
        <f t="shared" si="31"/>
        <v>-2.0383204239706521E-2</v>
      </c>
      <c r="I985" s="65">
        <v>11.22</v>
      </c>
      <c r="J985" s="65">
        <v>11.78</v>
      </c>
      <c r="K985" s="65">
        <v>11.18</v>
      </c>
      <c r="L985" s="65">
        <v>11.75</v>
      </c>
      <c r="M985" s="65">
        <v>45734924</v>
      </c>
      <c r="N985" s="65" t="s">
        <v>1031</v>
      </c>
      <c r="O985" s="25">
        <f t="shared" si="32"/>
        <v>-4.5106382978723381E-2</v>
      </c>
    </row>
    <row r="986" spans="1:15" ht="13.5" customHeight="1">
      <c r="A986" s="65">
        <v>349.4105578237585</v>
      </c>
      <c r="B986" s="65">
        <v>349.82301709809957</v>
      </c>
      <c r="C986" s="65">
        <v>343.88552196281785</v>
      </c>
      <c r="D986" s="65">
        <v>346.36986968501168</v>
      </c>
      <c r="E986" s="65">
        <v>6387395.0809057234</v>
      </c>
      <c r="F986" s="65" t="s">
        <v>1032</v>
      </c>
      <c r="G986" s="25">
        <f t="shared" si="31"/>
        <v>8.7787316532814685E-3</v>
      </c>
      <c r="I986" s="65">
        <v>11.64</v>
      </c>
      <c r="J986" s="65">
        <v>11.67</v>
      </c>
      <c r="K986" s="65">
        <v>10.78</v>
      </c>
      <c r="L986" s="65">
        <v>10.94</v>
      </c>
      <c r="M986" s="65">
        <v>80012360</v>
      </c>
      <c r="N986" s="65" t="s">
        <v>1032</v>
      </c>
      <c r="O986" s="25">
        <f t="shared" si="32"/>
        <v>6.3985374771480918E-2</v>
      </c>
    </row>
    <row r="987" spans="1:15" ht="13.5" customHeight="1">
      <c r="A987" s="65">
        <v>348.33624529524224</v>
      </c>
      <c r="B987" s="65">
        <v>353.74617624241336</v>
      </c>
      <c r="C987" s="65">
        <v>348.29787699065241</v>
      </c>
      <c r="D987" s="65">
        <v>352.61431125701228</v>
      </c>
      <c r="E987" s="65">
        <v>4235307.2864971552</v>
      </c>
      <c r="F987" s="65" t="s">
        <v>1033</v>
      </c>
      <c r="G987" s="25">
        <f t="shared" si="31"/>
        <v>-1.2132422948233246E-2</v>
      </c>
      <c r="I987" s="65">
        <v>10.88</v>
      </c>
      <c r="J987" s="65">
        <v>11.6</v>
      </c>
      <c r="K987" s="65">
        <v>10.199999999999999</v>
      </c>
      <c r="L987" s="65">
        <v>11.25</v>
      </c>
      <c r="M987" s="65">
        <v>199520675</v>
      </c>
      <c r="N987" s="65" t="s">
        <v>1033</v>
      </c>
      <c r="O987" s="25">
        <f t="shared" si="32"/>
        <v>-3.2888888888888856E-2</v>
      </c>
    </row>
    <row r="988" spans="1:15" ht="13.5" customHeight="1">
      <c r="A988" s="65">
        <v>351.09876322571256</v>
      </c>
      <c r="B988" s="65">
        <v>356.29287245956561</v>
      </c>
      <c r="C988" s="65">
        <v>349.17075592007183</v>
      </c>
      <c r="D988" s="65">
        <v>356.15378735542737</v>
      </c>
      <c r="E988" s="65">
        <v>5259065.8398103286</v>
      </c>
      <c r="F988" s="65" t="s">
        <v>1034</v>
      </c>
      <c r="G988" s="25">
        <f t="shared" si="31"/>
        <v>-1.4193374629679512E-2</v>
      </c>
      <c r="I988" s="65">
        <v>10.01</v>
      </c>
      <c r="J988" s="65">
        <v>10.59</v>
      </c>
      <c r="K988" s="65">
        <v>9.85</v>
      </c>
      <c r="L988" s="65">
        <v>10.43</v>
      </c>
      <c r="M988" s="65">
        <v>59438159</v>
      </c>
      <c r="N988" s="65" t="s">
        <v>1034</v>
      </c>
      <c r="O988" s="25">
        <f t="shared" si="32"/>
        <v>-4.0268456375838868E-2</v>
      </c>
    </row>
    <row r="989" spans="1:15" ht="13.5" customHeight="1">
      <c r="A989" s="65">
        <v>354.95477783699408</v>
      </c>
      <c r="B989" s="65">
        <v>357.83240068123399</v>
      </c>
      <c r="C989" s="65">
        <v>353.7365841662658</v>
      </c>
      <c r="D989" s="65">
        <v>354.68619970486498</v>
      </c>
      <c r="E989" s="65">
        <v>5163802.8346014554</v>
      </c>
      <c r="F989" s="65" t="s">
        <v>1035</v>
      </c>
      <c r="G989" s="25">
        <f t="shared" si="31"/>
        <v>7.5722746572215449E-4</v>
      </c>
      <c r="I989" s="65">
        <v>10.27</v>
      </c>
      <c r="J989" s="65">
        <v>10.824999999999999</v>
      </c>
      <c r="K989" s="65">
        <v>10.27</v>
      </c>
      <c r="L989" s="65">
        <v>10.484999999999999</v>
      </c>
      <c r="M989" s="65">
        <v>29417530</v>
      </c>
      <c r="N989" s="65" t="s">
        <v>1035</v>
      </c>
      <c r="O989" s="25">
        <f t="shared" si="32"/>
        <v>-2.0505484024797349E-2</v>
      </c>
    </row>
    <row r="990" spans="1:15" ht="13.5" customHeight="1">
      <c r="A990" s="65">
        <v>357.31442856927077</v>
      </c>
      <c r="B990" s="65">
        <v>370.3020996729403</v>
      </c>
      <c r="C990" s="65">
        <v>357.31442856927077</v>
      </c>
      <c r="D990" s="65">
        <v>369.82249586556702</v>
      </c>
      <c r="E990" s="65">
        <v>5372309.3111193962</v>
      </c>
      <c r="F990" s="65" t="s">
        <v>1036</v>
      </c>
      <c r="G990" s="25">
        <f t="shared" si="31"/>
        <v>-3.3821812994423772E-2</v>
      </c>
      <c r="I990" s="65">
        <v>10.67</v>
      </c>
      <c r="J990" s="65">
        <v>11.34</v>
      </c>
      <c r="K990" s="65">
        <v>10.56</v>
      </c>
      <c r="L990" s="65">
        <v>11.23</v>
      </c>
      <c r="M990" s="65">
        <v>35219519</v>
      </c>
      <c r="N990" s="65" t="s">
        <v>1036</v>
      </c>
      <c r="O990" s="25">
        <f t="shared" si="32"/>
        <v>-4.9866429207479968E-2</v>
      </c>
    </row>
    <row r="991" spans="1:15" ht="13.5" customHeight="1">
      <c r="A991" s="65">
        <v>369.99515323622143</v>
      </c>
      <c r="B991" s="65">
        <v>369.99515323622143</v>
      </c>
      <c r="C991" s="65">
        <v>365.17033893404579</v>
      </c>
      <c r="D991" s="65">
        <v>366.18709900567723</v>
      </c>
      <c r="E991" s="65">
        <v>2743191.3170278734</v>
      </c>
      <c r="F991" s="65" t="s">
        <v>1037</v>
      </c>
      <c r="G991" s="25">
        <f t="shared" si="31"/>
        <v>1.0399203688181258E-2</v>
      </c>
      <c r="I991" s="65">
        <v>11.21</v>
      </c>
      <c r="J991" s="65">
        <v>11.24</v>
      </c>
      <c r="K991" s="65">
        <v>10.8</v>
      </c>
      <c r="L991" s="65">
        <v>11.03</v>
      </c>
      <c r="M991" s="65">
        <v>31252692</v>
      </c>
      <c r="N991" s="65" t="s">
        <v>1037</v>
      </c>
      <c r="O991" s="25">
        <f t="shared" si="32"/>
        <v>1.6319129646418906E-2</v>
      </c>
    </row>
    <row r="992" spans="1:15" ht="13.5" customHeight="1">
      <c r="A992" s="65">
        <v>364.68114305052501</v>
      </c>
      <c r="B992" s="65">
        <v>366.01444163502282</v>
      </c>
      <c r="C992" s="65">
        <v>362.75313574488428</v>
      </c>
      <c r="D992" s="65">
        <v>363.44376522750184</v>
      </c>
      <c r="E992" s="65">
        <v>2336558.807023223</v>
      </c>
      <c r="F992" s="65" t="s">
        <v>1038</v>
      </c>
      <c r="G992" s="25">
        <f t="shared" si="31"/>
        <v>3.4045922406966689E-3</v>
      </c>
      <c r="I992" s="65">
        <v>10.86</v>
      </c>
      <c r="J992" s="65">
        <v>11.02</v>
      </c>
      <c r="K992" s="65">
        <v>10.63</v>
      </c>
      <c r="L992" s="65">
        <v>10.68</v>
      </c>
      <c r="M992" s="65">
        <v>27794619</v>
      </c>
      <c r="N992" s="65" t="s">
        <v>1038</v>
      </c>
      <c r="O992" s="25">
        <f t="shared" si="32"/>
        <v>1.6853932584269593E-2</v>
      </c>
    </row>
    <row r="993" spans="1:15" ht="13.5" customHeight="1">
      <c r="A993" s="65">
        <v>363.57805429356637</v>
      </c>
      <c r="B993" s="65">
        <v>366.29261184329937</v>
      </c>
      <c r="C993" s="65">
        <v>363.08243171902677</v>
      </c>
      <c r="D993" s="65">
        <v>364.07684225323464</v>
      </c>
      <c r="E993" s="65">
        <v>2991202.2755968752</v>
      </c>
      <c r="F993" s="65" t="s">
        <v>1039</v>
      </c>
      <c r="G993" s="25">
        <f t="shared" si="31"/>
        <v>-1.3700073769629117E-3</v>
      </c>
      <c r="I993" s="65">
        <v>10.6</v>
      </c>
      <c r="J993" s="65">
        <v>11.16</v>
      </c>
      <c r="K993" s="65">
        <v>10.54</v>
      </c>
      <c r="L993" s="65">
        <v>11.025</v>
      </c>
      <c r="M993" s="65">
        <v>34913739</v>
      </c>
      <c r="N993" s="65" t="s">
        <v>1039</v>
      </c>
      <c r="O993" s="25">
        <f t="shared" si="32"/>
        <v>-3.8548752834467237E-2</v>
      </c>
    </row>
    <row r="994" spans="1:15" ht="13.5" customHeight="1">
      <c r="A994" s="65">
        <v>364.44134114683834</v>
      </c>
      <c r="B994" s="65">
        <v>367.89448855992629</v>
      </c>
      <c r="C994" s="65">
        <v>363.62601467430369</v>
      </c>
      <c r="D994" s="65">
        <v>367.78897572230414</v>
      </c>
      <c r="E994" s="65">
        <v>4330363.8713263776</v>
      </c>
      <c r="F994" s="65" t="s">
        <v>1040</v>
      </c>
      <c r="G994" s="25">
        <f t="shared" si="31"/>
        <v>-9.1020525258848073E-3</v>
      </c>
      <c r="I994" s="65">
        <v>11.01</v>
      </c>
      <c r="J994" s="65">
        <v>11.3499</v>
      </c>
      <c r="K994" s="65">
        <v>10.89</v>
      </c>
      <c r="L994" s="65">
        <v>11.04</v>
      </c>
      <c r="M994" s="65">
        <v>41173220</v>
      </c>
      <c r="N994" s="65" t="s">
        <v>1040</v>
      </c>
      <c r="O994" s="25">
        <f t="shared" si="32"/>
        <v>-2.7173913043477826E-3</v>
      </c>
    </row>
    <row r="995" spans="1:15" ht="13.5" customHeight="1">
      <c r="A995" s="65">
        <v>372.28765943546586</v>
      </c>
      <c r="B995" s="65">
        <v>375.00221698519886</v>
      </c>
      <c r="C995" s="65">
        <v>371.45314881063626</v>
      </c>
      <c r="D995" s="65">
        <v>374.76241508151219</v>
      </c>
      <c r="E995" s="65">
        <v>3022317.5415113182</v>
      </c>
      <c r="F995" s="65" t="s">
        <v>1041</v>
      </c>
      <c r="G995" s="25">
        <f t="shared" si="31"/>
        <v>-6.6035321218326226E-3</v>
      </c>
      <c r="I995" s="65">
        <v>11.56</v>
      </c>
      <c r="J995" s="65">
        <v>12.255000000000001</v>
      </c>
      <c r="K995" s="65">
        <v>11.51</v>
      </c>
      <c r="L995" s="65">
        <v>12.2</v>
      </c>
      <c r="M995" s="65">
        <v>46400993</v>
      </c>
      <c r="N995" s="65" t="s">
        <v>1041</v>
      </c>
      <c r="O995" s="25">
        <f t="shared" si="32"/>
        <v>-5.2459016393442526E-2</v>
      </c>
    </row>
    <row r="996" spans="1:15" ht="13.5" customHeight="1">
      <c r="A996" s="65">
        <v>377.49615678354013</v>
      </c>
      <c r="B996" s="65">
        <v>377.94698436247103</v>
      </c>
      <c r="C996" s="65">
        <v>375.21324266044314</v>
      </c>
      <c r="D996" s="65">
        <v>376.41225217887643</v>
      </c>
      <c r="E996" s="65">
        <v>3396637.9644104186</v>
      </c>
      <c r="F996" s="65" t="s">
        <v>1042</v>
      </c>
      <c r="G996" s="25">
        <f t="shared" si="31"/>
        <v>2.8795678099995392E-3</v>
      </c>
      <c r="I996" s="65">
        <v>12.56</v>
      </c>
      <c r="J996" s="65">
        <v>12.78</v>
      </c>
      <c r="K996" s="65">
        <v>11.83</v>
      </c>
      <c r="L996" s="65">
        <v>12.02</v>
      </c>
      <c r="M996" s="65">
        <v>62750425</v>
      </c>
      <c r="N996" s="65" t="s">
        <v>1042</v>
      </c>
      <c r="O996" s="25">
        <f t="shared" si="32"/>
        <v>4.4925124792013493E-2</v>
      </c>
    </row>
    <row r="997" spans="1:15" ht="13.5" customHeight="1">
      <c r="A997" s="65">
        <v>376.33551556969667</v>
      </c>
      <c r="B997" s="65">
        <v>378.74312668271074</v>
      </c>
      <c r="C997" s="65">
        <v>374.37211350307177</v>
      </c>
      <c r="D997" s="65">
        <v>375.58733363019428</v>
      </c>
      <c r="E997" s="65">
        <v>3359361.362921549</v>
      </c>
      <c r="F997" s="65" t="s">
        <v>1043</v>
      </c>
      <c r="G997" s="25">
        <f t="shared" si="31"/>
        <v>1.9920318725099584E-3</v>
      </c>
      <c r="I997" s="65">
        <v>12.09</v>
      </c>
      <c r="J997" s="65">
        <v>12.32</v>
      </c>
      <c r="K997" s="65">
        <v>11.64</v>
      </c>
      <c r="L997" s="65">
        <v>12.25</v>
      </c>
      <c r="M997" s="65">
        <v>69571330</v>
      </c>
      <c r="N997" s="65" t="s">
        <v>1043</v>
      </c>
      <c r="O997" s="25">
        <f t="shared" si="32"/>
        <v>-1.3061224489795964E-2</v>
      </c>
    </row>
    <row r="998" spans="1:15" ht="13.5" customHeight="1">
      <c r="A998" s="65">
        <v>378.92537612951264</v>
      </c>
      <c r="B998" s="65">
        <v>380.69991021679385</v>
      </c>
      <c r="C998" s="65">
        <v>376.43143633117131</v>
      </c>
      <c r="D998" s="65">
        <v>377.19880242296864</v>
      </c>
      <c r="E998" s="65">
        <v>4029210.0902689784</v>
      </c>
      <c r="F998" s="65" t="s">
        <v>1044</v>
      </c>
      <c r="G998" s="25">
        <f t="shared" si="31"/>
        <v>4.5773573390297528E-3</v>
      </c>
      <c r="I998" s="65">
        <v>12.61</v>
      </c>
      <c r="J998" s="65">
        <v>12.73</v>
      </c>
      <c r="K998" s="65">
        <v>12</v>
      </c>
      <c r="L998" s="65">
        <v>12.4</v>
      </c>
      <c r="M998" s="65">
        <v>67364862</v>
      </c>
      <c r="N998" s="65" t="s">
        <v>1044</v>
      </c>
      <c r="O998" s="25">
        <f t="shared" si="32"/>
        <v>1.693548387096766E-2</v>
      </c>
    </row>
    <row r="999" spans="1:15" ht="13.5" customHeight="1">
      <c r="A999" s="65">
        <v>378.26352287533746</v>
      </c>
      <c r="B999" s="65">
        <v>378.65679799738353</v>
      </c>
      <c r="C999" s="65">
        <v>374.53220525397296</v>
      </c>
      <c r="D999" s="65">
        <v>374.5609814824154</v>
      </c>
      <c r="E999" s="65">
        <v>3340187.2032117578</v>
      </c>
      <c r="F999" s="65" t="s">
        <v>1045</v>
      </c>
      <c r="G999" s="25">
        <f t="shared" si="31"/>
        <v>9.8850162616201942E-3</v>
      </c>
      <c r="I999" s="65">
        <v>12.24</v>
      </c>
      <c r="J999" s="65">
        <v>12.388</v>
      </c>
      <c r="K999" s="65">
        <v>11.56</v>
      </c>
      <c r="L999" s="65">
        <v>11.61</v>
      </c>
      <c r="M999" s="65">
        <v>63880269</v>
      </c>
      <c r="N999" s="65" t="s">
        <v>1045</v>
      </c>
      <c r="O999" s="25">
        <f t="shared" si="32"/>
        <v>5.4263565891472965E-2</v>
      </c>
    </row>
    <row r="1000" spans="1:15" ht="13.5" customHeight="1">
      <c r="A1000" s="65">
        <v>376.6520540825631</v>
      </c>
      <c r="B1000" s="65">
        <v>376.70001446330042</v>
      </c>
      <c r="C1000" s="65">
        <v>371.2996755922768</v>
      </c>
      <c r="D1000" s="65">
        <v>372.12459414095889</v>
      </c>
      <c r="E1000" s="65">
        <v>3820191.7329105902</v>
      </c>
      <c r="F1000" s="65" t="s">
        <v>1046</v>
      </c>
      <c r="G1000" s="25">
        <f t="shared" si="31"/>
        <v>1.2166516303647512E-2</v>
      </c>
      <c r="I1000" s="65">
        <v>11.62</v>
      </c>
      <c r="J1000" s="65">
        <v>11.64</v>
      </c>
      <c r="K1000" s="65">
        <v>11.13</v>
      </c>
      <c r="L1000" s="65">
        <v>11.31</v>
      </c>
      <c r="M1000" s="65">
        <v>40840880</v>
      </c>
      <c r="N1000" s="65" t="s">
        <v>1046</v>
      </c>
      <c r="O1000" s="25">
        <f t="shared" si="32"/>
        <v>2.7409372236958385E-2</v>
      </c>
    </row>
    <row r="1001" spans="1:15" ht="13.5" customHeight="1">
      <c r="A1001" s="65">
        <v>370.3116917490878</v>
      </c>
      <c r="B1001" s="65">
        <v>374.71445470077481</v>
      </c>
      <c r="C1001" s="65">
        <v>369.678614723355</v>
      </c>
      <c r="D1001" s="65">
        <v>373.00706514652586</v>
      </c>
      <c r="E1001" s="65">
        <v>3727420.3676379067</v>
      </c>
      <c r="F1001" s="65" t="s">
        <v>1047</v>
      </c>
      <c r="G1001" s="25">
        <f t="shared" si="31"/>
        <v>-7.226065266027204E-3</v>
      </c>
      <c r="I1001" s="65">
        <v>11.11</v>
      </c>
      <c r="J1001" s="65">
        <v>11.8</v>
      </c>
      <c r="K1001" s="65">
        <v>10.82</v>
      </c>
      <c r="L1001" s="65">
        <v>10.84</v>
      </c>
      <c r="M1001" s="65">
        <v>67195966</v>
      </c>
      <c r="N1001" s="65" t="s">
        <v>1047</v>
      </c>
      <c r="O1001" s="25">
        <f t="shared" si="32"/>
        <v>2.4907749077490715E-2</v>
      </c>
    </row>
    <row r="1002" spans="1:15" ht="13.5" customHeight="1">
      <c r="A1002" s="65">
        <v>370.3116917490878</v>
      </c>
      <c r="B1002" s="65">
        <v>370.47475704359471</v>
      </c>
      <c r="C1002" s="65">
        <v>367.47243720943777</v>
      </c>
      <c r="D1002" s="65">
        <v>369.28533960130886</v>
      </c>
      <c r="E1002" s="65">
        <v>3806258.3572841571</v>
      </c>
      <c r="F1002" s="65" t="s">
        <v>1048</v>
      </c>
      <c r="G1002" s="25">
        <f t="shared" si="31"/>
        <v>2.779292968648539E-3</v>
      </c>
      <c r="I1002" s="65">
        <v>10.57</v>
      </c>
      <c r="J1002" s="65">
        <v>10.87</v>
      </c>
      <c r="K1002" s="65">
        <v>10.4</v>
      </c>
      <c r="L1002" s="65">
        <v>10.46</v>
      </c>
      <c r="M1002" s="65">
        <v>50989838</v>
      </c>
      <c r="N1002" s="65" t="s">
        <v>1048</v>
      </c>
      <c r="O1002" s="25">
        <f t="shared" si="32"/>
        <v>1.0516252390057268E-2</v>
      </c>
    </row>
    <row r="1003" spans="1:15" ht="13.5" customHeight="1">
      <c r="A1003" s="65">
        <v>362.71476744029439</v>
      </c>
      <c r="B1003" s="65">
        <v>363.93296111102262</v>
      </c>
      <c r="C1003" s="65">
        <v>361.7171915209579</v>
      </c>
      <c r="D1003" s="65">
        <v>363.55887014127143</v>
      </c>
      <c r="E1003" s="65">
        <v>2460910.4053281485</v>
      </c>
      <c r="F1003" s="65" t="s">
        <v>1049</v>
      </c>
      <c r="G1003" s="25">
        <f t="shared" si="31"/>
        <v>-2.3217772149226601E-3</v>
      </c>
      <c r="I1003" s="65">
        <v>10.16</v>
      </c>
      <c r="J1003" s="65">
        <v>10.295</v>
      </c>
      <c r="K1003" s="65">
        <v>10.02</v>
      </c>
      <c r="L1003" s="65">
        <v>10.24</v>
      </c>
      <c r="M1003" s="65">
        <v>33603602</v>
      </c>
      <c r="N1003" s="65" t="s">
        <v>1049</v>
      </c>
      <c r="O1003" s="25">
        <f t="shared" si="32"/>
        <v>-7.8125E-3</v>
      </c>
    </row>
    <row r="1004" spans="1:15" ht="13.5" customHeight="1">
      <c r="A1004" s="65">
        <v>364.15357886241435</v>
      </c>
      <c r="B1004" s="65">
        <v>368.24632591301531</v>
      </c>
      <c r="C1004" s="65">
        <v>363.12722671463541</v>
      </c>
      <c r="D1004" s="65">
        <v>366.20628315797211</v>
      </c>
      <c r="E1004" s="65">
        <v>3602294.1716457056</v>
      </c>
      <c r="F1004" s="65" t="s">
        <v>1050</v>
      </c>
      <c r="G1004" s="25">
        <f t="shared" si="31"/>
        <v>-5.605322437005511E-3</v>
      </c>
      <c r="I1004" s="65">
        <v>10.41</v>
      </c>
      <c r="J1004" s="65">
        <v>10.8</v>
      </c>
      <c r="K1004" s="65">
        <v>10.17</v>
      </c>
      <c r="L1004" s="65">
        <v>10.25</v>
      </c>
      <c r="M1004" s="65">
        <v>49276029</v>
      </c>
      <c r="N1004" s="65" t="s">
        <v>1050</v>
      </c>
      <c r="O1004" s="25">
        <f t="shared" si="32"/>
        <v>1.5609756097560989E-2</v>
      </c>
    </row>
    <row r="1005" spans="1:15" ht="13.5" customHeight="1">
      <c r="A1005" s="65">
        <v>364.47970945142822</v>
      </c>
      <c r="B1005" s="65">
        <v>365.17033893404579</v>
      </c>
      <c r="C1005" s="65">
        <v>361.1800352566998</v>
      </c>
      <c r="D1005" s="65">
        <v>361.28554809432188</v>
      </c>
      <c r="E1005" s="65">
        <v>2973381.3161536842</v>
      </c>
      <c r="F1005" s="65" t="s">
        <v>1051</v>
      </c>
      <c r="G1005" s="25">
        <f t="shared" si="31"/>
        <v>8.8410991636798109E-3</v>
      </c>
      <c r="I1005" s="65">
        <v>10.18</v>
      </c>
      <c r="J1005" s="65">
        <v>10.35</v>
      </c>
      <c r="K1005" s="65">
        <v>9.98</v>
      </c>
      <c r="L1005" s="65">
        <v>10.08</v>
      </c>
      <c r="M1005" s="65">
        <v>37576023</v>
      </c>
      <c r="N1005" s="65" t="s">
        <v>1051</v>
      </c>
      <c r="O1005" s="25">
        <f t="shared" si="32"/>
        <v>9.9206349206348854E-3</v>
      </c>
    </row>
    <row r="1006" spans="1:15" ht="13.5" customHeight="1">
      <c r="A1006" s="65">
        <v>365.23748346707805</v>
      </c>
      <c r="B1006" s="65">
        <v>365.9664812542855</v>
      </c>
      <c r="C1006" s="65">
        <v>363.72193543577833</v>
      </c>
      <c r="D1006" s="65">
        <v>365.34299630470019</v>
      </c>
      <c r="E1006" s="65">
        <v>3555675.4841868789</v>
      </c>
      <c r="F1006" s="65" t="s">
        <v>1052</v>
      </c>
      <c r="G1006" s="25">
        <f t="shared" si="31"/>
        <v>-2.888048729259296E-4</v>
      </c>
      <c r="I1006" s="65">
        <v>10.25</v>
      </c>
      <c r="J1006" s="65">
        <v>10.56</v>
      </c>
      <c r="K1006" s="65">
        <v>10.1</v>
      </c>
      <c r="L1006" s="65">
        <v>10.33</v>
      </c>
      <c r="M1006" s="65">
        <v>48277994</v>
      </c>
      <c r="N1006" s="65" t="s">
        <v>1052</v>
      </c>
      <c r="O1006" s="25">
        <f t="shared" si="32"/>
        <v>-7.7444336882865894E-3</v>
      </c>
    </row>
    <row r="1007" spans="1:15" ht="13.5" customHeight="1">
      <c r="A1007" s="65">
        <v>365.52524575150204</v>
      </c>
      <c r="B1007" s="65">
        <v>366.5132295946911</v>
      </c>
      <c r="C1007" s="65">
        <v>361.53494207415605</v>
      </c>
      <c r="D1007" s="65">
        <v>361.8035202062851</v>
      </c>
      <c r="E1007" s="65">
        <v>4018711.8416675427</v>
      </c>
      <c r="F1007" s="65" t="s">
        <v>1053</v>
      </c>
      <c r="G1007" s="25">
        <f t="shared" si="31"/>
        <v>1.0286592963758334E-2</v>
      </c>
      <c r="I1007" s="65">
        <v>10.32</v>
      </c>
      <c r="J1007" s="65">
        <v>10.49</v>
      </c>
      <c r="K1007" s="65">
        <v>9.92</v>
      </c>
      <c r="L1007" s="65">
        <v>9.92</v>
      </c>
      <c r="M1007" s="65">
        <v>61691372</v>
      </c>
      <c r="N1007" s="65" t="s">
        <v>1053</v>
      </c>
      <c r="O1007" s="25">
        <f t="shared" si="32"/>
        <v>4.0322580645161255E-2</v>
      </c>
    </row>
    <row r="1008" spans="1:15" ht="13.5" customHeight="1">
      <c r="A1008" s="65">
        <v>359.90428912908669</v>
      </c>
      <c r="B1008" s="65">
        <v>364.14110916342264</v>
      </c>
      <c r="C1008" s="65">
        <v>358.69568753450596</v>
      </c>
      <c r="D1008" s="65">
        <v>360.76757598235872</v>
      </c>
      <c r="E1008" s="65">
        <v>4308335.2722252524</v>
      </c>
      <c r="F1008" s="65" t="s">
        <v>1054</v>
      </c>
      <c r="G1008" s="25">
        <f t="shared" si="31"/>
        <v>-2.3929169657814775E-3</v>
      </c>
      <c r="I1008" s="65">
        <v>9.8699999999999992</v>
      </c>
      <c r="J1008" s="65">
        <v>10.130000000000001</v>
      </c>
      <c r="K1008" s="65">
        <v>9.51</v>
      </c>
      <c r="L1008" s="65">
        <v>9.5500000000000007</v>
      </c>
      <c r="M1008" s="65">
        <v>66355619</v>
      </c>
      <c r="N1008" s="65" t="s">
        <v>1054</v>
      </c>
      <c r="O1008" s="25">
        <f t="shared" si="32"/>
        <v>3.3507853403141219E-2</v>
      </c>
    </row>
    <row r="1009" spans="1:15" ht="13.5" customHeight="1">
      <c r="A1009" s="65">
        <v>362.2447557090685</v>
      </c>
      <c r="B1009" s="65">
        <v>364.5084856798706</v>
      </c>
      <c r="C1009" s="65">
        <v>360.12490688047848</v>
      </c>
      <c r="D1009" s="65">
        <v>360.77716805850616</v>
      </c>
      <c r="E1009" s="65">
        <v>4609397.3108916963</v>
      </c>
      <c r="F1009" s="65" t="s">
        <v>1055</v>
      </c>
      <c r="G1009" s="25">
        <f t="shared" si="31"/>
        <v>4.0678506859512797E-3</v>
      </c>
      <c r="I1009" s="65">
        <v>9.5399999999999991</v>
      </c>
      <c r="J1009" s="65">
        <v>9.82</v>
      </c>
      <c r="K1009" s="65">
        <v>9.5</v>
      </c>
      <c r="L1009" s="65">
        <v>9.81</v>
      </c>
      <c r="M1009" s="65">
        <v>50125564</v>
      </c>
      <c r="N1009" s="65" t="s">
        <v>1055</v>
      </c>
      <c r="O1009" s="25">
        <f t="shared" si="32"/>
        <v>-2.7522935779816682E-2</v>
      </c>
    </row>
    <row r="1010" spans="1:15" ht="13.5" customHeight="1">
      <c r="A1010" s="65">
        <v>363.3382523898797</v>
      </c>
      <c r="B1010" s="65">
        <v>364.17276301470929</v>
      </c>
      <c r="C1010" s="65">
        <v>358.67650338221102</v>
      </c>
      <c r="D1010" s="65">
        <v>359.44386947400835</v>
      </c>
      <c r="E1010" s="65">
        <v>5469528.0972991027</v>
      </c>
      <c r="F1010" s="65" t="s">
        <v>1056</v>
      </c>
      <c r="G1010" s="25">
        <f t="shared" si="31"/>
        <v>1.0834467483254562E-2</v>
      </c>
      <c r="I1010" s="65">
        <v>9.8800000000000008</v>
      </c>
      <c r="J1010" s="65">
        <v>9.93</v>
      </c>
      <c r="K1010" s="65">
        <v>9.4701000000000004</v>
      </c>
      <c r="L1010" s="65">
        <v>9.67</v>
      </c>
      <c r="M1010" s="65">
        <v>74531443</v>
      </c>
      <c r="N1010" s="65" t="s">
        <v>1056</v>
      </c>
      <c r="O1010" s="25">
        <f t="shared" si="32"/>
        <v>2.1716649431230639E-2</v>
      </c>
    </row>
    <row r="1011" spans="1:15" ht="13.5" customHeight="1">
      <c r="A1011" s="65">
        <v>358.0913867372156</v>
      </c>
      <c r="B1011" s="65">
        <v>358.65731922991614</v>
      </c>
      <c r="C1011" s="65">
        <v>351.05080284497529</v>
      </c>
      <c r="D1011" s="65">
        <v>354.35047703970372</v>
      </c>
      <c r="E1011" s="65">
        <v>4530129.8000514256</v>
      </c>
      <c r="F1011" s="65" t="s">
        <v>1057</v>
      </c>
      <c r="G1011" s="25">
        <f t="shared" si="31"/>
        <v>1.0557089491635585E-2</v>
      </c>
      <c r="I1011" s="65">
        <v>9.67</v>
      </c>
      <c r="J1011" s="65">
        <v>9.92</v>
      </c>
      <c r="K1011" s="65">
        <v>9.34</v>
      </c>
      <c r="L1011" s="65">
        <v>9.5500000000000007</v>
      </c>
      <c r="M1011" s="65">
        <v>97531247</v>
      </c>
      <c r="N1011" s="65" t="s">
        <v>1057</v>
      </c>
      <c r="O1011" s="25">
        <f t="shared" si="32"/>
        <v>1.2565445026177846E-2</v>
      </c>
    </row>
    <row r="1012" spans="1:15" ht="13.5" customHeight="1">
      <c r="A1012" s="65">
        <v>353.62147925249627</v>
      </c>
      <c r="B1012" s="65">
        <v>355.22335596912313</v>
      </c>
      <c r="C1012" s="65">
        <v>347.44466181733526</v>
      </c>
      <c r="D1012" s="65">
        <v>347.70316826950949</v>
      </c>
      <c r="E1012" s="65">
        <v>4691647.4919652054</v>
      </c>
      <c r="F1012" s="65" t="s">
        <v>1058</v>
      </c>
      <c r="G1012" s="25">
        <f t="shared" si="31"/>
        <v>1.7021159204391845E-2</v>
      </c>
      <c r="I1012" s="65">
        <v>9.5500000000000007</v>
      </c>
      <c r="J1012" s="65">
        <v>9.84</v>
      </c>
      <c r="K1012" s="65">
        <v>9.3800000000000008</v>
      </c>
      <c r="L1012" s="65">
        <v>9.7100000000000009</v>
      </c>
      <c r="M1012" s="65">
        <v>120729262</v>
      </c>
      <c r="N1012" s="65" t="s">
        <v>1058</v>
      </c>
      <c r="O1012" s="25">
        <f t="shared" si="32"/>
        <v>-1.6477857878475777E-2</v>
      </c>
    </row>
    <row r="1013" spans="1:15" ht="13.5" customHeight="1">
      <c r="A1013" s="65">
        <v>344.59533559773035</v>
      </c>
      <c r="B1013" s="65">
        <v>347.43459013738038</v>
      </c>
      <c r="C1013" s="65">
        <v>343.82806542669454</v>
      </c>
      <c r="D1013" s="65">
        <v>347.34826145205324</v>
      </c>
      <c r="E1013" s="65">
        <v>3114226.7368144495</v>
      </c>
      <c r="F1013" s="65" t="s">
        <v>1059</v>
      </c>
      <c r="G1013" s="25">
        <f t="shared" si="31"/>
        <v>-7.925549541588528E-3</v>
      </c>
      <c r="I1013" s="65">
        <v>9.6300000000000008</v>
      </c>
      <c r="J1013" s="65">
        <v>9.93</v>
      </c>
      <c r="K1013" s="65">
        <v>9.6300000000000008</v>
      </c>
      <c r="L1013" s="65">
        <v>9.7799999999999994</v>
      </c>
      <c r="M1013" s="65">
        <v>94591194</v>
      </c>
      <c r="N1013" s="65" t="s">
        <v>1059</v>
      </c>
      <c r="O1013" s="25">
        <f t="shared" si="32"/>
        <v>-1.5337423312883236E-2</v>
      </c>
    </row>
    <row r="1014" spans="1:15" ht="13.5" customHeight="1">
      <c r="A1014" s="65">
        <v>348.77748079802575</v>
      </c>
      <c r="B1014" s="65">
        <v>349.5736231182654</v>
      </c>
      <c r="C1014" s="65">
        <v>346.70559235017294</v>
      </c>
      <c r="D1014" s="65">
        <v>348.99809854941742</v>
      </c>
      <c r="E1014" s="65">
        <v>4068180.7984090233</v>
      </c>
      <c r="F1014" s="65" t="s">
        <v>1060</v>
      </c>
      <c r="G1014" s="25">
        <f t="shared" si="31"/>
        <v>-6.321459982407962E-4</v>
      </c>
      <c r="I1014" s="65">
        <v>9.9499999999999993</v>
      </c>
      <c r="J1014" s="65">
        <v>10.130000000000001</v>
      </c>
      <c r="K1014" s="65">
        <v>9.66</v>
      </c>
      <c r="L1014" s="65">
        <v>9.73</v>
      </c>
      <c r="M1014" s="65">
        <v>137819174</v>
      </c>
      <c r="N1014" s="65" t="s">
        <v>1060</v>
      </c>
      <c r="O1014" s="25">
        <f t="shared" si="32"/>
        <v>2.2610483042137641E-2</v>
      </c>
    </row>
    <row r="1015" spans="1:15" ht="13.5" customHeight="1">
      <c r="A1015" s="65">
        <v>348.43216605671694</v>
      </c>
      <c r="B1015" s="65">
        <v>352.834929008404</v>
      </c>
      <c r="C1015" s="65">
        <v>346.28354099968442</v>
      </c>
      <c r="D1015" s="65">
        <v>351.73184025144536</v>
      </c>
      <c r="E1015" s="65">
        <v>4726674.3198213149</v>
      </c>
      <c r="F1015" s="65" t="s">
        <v>1061</v>
      </c>
      <c r="G1015" s="25">
        <f t="shared" si="31"/>
        <v>-9.3812211950148328E-3</v>
      </c>
      <c r="I1015" s="65">
        <v>9.9600000000000009</v>
      </c>
      <c r="J1015" s="65">
        <v>11.11</v>
      </c>
      <c r="K1015" s="65">
        <v>9.91</v>
      </c>
      <c r="L1015" s="65">
        <v>11.1</v>
      </c>
      <c r="M1015" s="65">
        <v>330993902</v>
      </c>
      <c r="N1015" s="65" t="s">
        <v>1061</v>
      </c>
      <c r="O1015" s="25">
        <f t="shared" si="32"/>
        <v>-0.10270270270270254</v>
      </c>
    </row>
    <row r="1016" spans="1:15" ht="13.5" customHeight="1">
      <c r="A1016" s="65">
        <v>351.63591948997066</v>
      </c>
      <c r="B1016" s="65">
        <v>351.6646957184131</v>
      </c>
      <c r="C1016" s="65">
        <v>345.3243333849378</v>
      </c>
      <c r="D1016" s="65">
        <v>347.57847127959241</v>
      </c>
      <c r="E1016" s="65">
        <v>4799773.1973969694</v>
      </c>
      <c r="F1016" s="65" t="s">
        <v>1062</v>
      </c>
      <c r="G1016" s="25">
        <f t="shared" si="31"/>
        <v>1.1673473893365705E-2</v>
      </c>
      <c r="I1016" s="65">
        <v>16.350000000000001</v>
      </c>
      <c r="J1016" s="65">
        <v>16.545000000000002</v>
      </c>
      <c r="K1016" s="65">
        <v>15.47</v>
      </c>
      <c r="L1016" s="65">
        <v>15.54</v>
      </c>
      <c r="M1016" s="65">
        <v>116754651</v>
      </c>
      <c r="N1016" s="65" t="s">
        <v>1062</v>
      </c>
      <c r="O1016" s="25">
        <f t="shared" si="32"/>
        <v>5.2123552123552352E-2</v>
      </c>
    </row>
    <row r="1017" spans="1:15" ht="13.5" customHeight="1">
      <c r="A1017" s="65">
        <v>348.11562754385056</v>
      </c>
      <c r="B1017" s="65">
        <v>349.3816856745546</v>
      </c>
      <c r="C1017" s="65">
        <v>344.7871771206797</v>
      </c>
      <c r="D1017" s="65">
        <v>345.98618663911299</v>
      </c>
      <c r="E1017" s="65">
        <v>4452254.0629830426</v>
      </c>
      <c r="F1017" s="65" t="s">
        <v>1063</v>
      </c>
      <c r="G1017" s="25">
        <f t="shared" si="31"/>
        <v>6.1546991960079733E-3</v>
      </c>
      <c r="I1017" s="65">
        <v>15.51</v>
      </c>
      <c r="J1017" s="65">
        <v>15.64</v>
      </c>
      <c r="K1017" s="65">
        <v>14.41</v>
      </c>
      <c r="L1017" s="65">
        <v>14.52</v>
      </c>
      <c r="M1017" s="65">
        <v>47768366</v>
      </c>
      <c r="N1017" s="65" t="s">
        <v>1063</v>
      </c>
      <c r="O1017" s="25">
        <f t="shared" si="32"/>
        <v>6.8181818181818121E-2</v>
      </c>
    </row>
    <row r="1018" spans="1:15" ht="13.5" customHeight="1">
      <c r="A1018" s="65">
        <v>345.89985795378578</v>
      </c>
      <c r="B1018" s="65">
        <v>346.36027760886418</v>
      </c>
      <c r="C1018" s="65">
        <v>339.79929752399715</v>
      </c>
      <c r="D1018" s="65">
        <v>340.47074285431978</v>
      </c>
      <c r="E1018" s="65">
        <v>3774106.8193627801</v>
      </c>
      <c r="F1018" s="65" t="s">
        <v>1064</v>
      </c>
      <c r="G1018" s="25">
        <f t="shared" si="31"/>
        <v>1.5945907874348464E-2</v>
      </c>
      <c r="I1018" s="65">
        <v>14.15</v>
      </c>
      <c r="J1018" s="65">
        <v>14.22</v>
      </c>
      <c r="K1018" s="65">
        <v>13.46</v>
      </c>
      <c r="L1018" s="65">
        <v>13.97</v>
      </c>
      <c r="M1018" s="65">
        <v>34902354</v>
      </c>
      <c r="N1018" s="65" t="s">
        <v>1064</v>
      </c>
      <c r="O1018" s="25">
        <f t="shared" si="32"/>
        <v>1.2884753042233354E-2</v>
      </c>
    </row>
    <row r="1019" spans="1:15" ht="13.5" customHeight="1">
      <c r="A1019" s="65">
        <v>336.75860938525028</v>
      </c>
      <c r="B1019" s="65">
        <v>343.03182718569337</v>
      </c>
      <c r="C1019" s="65">
        <v>335.64592855214426</v>
      </c>
      <c r="D1019" s="65">
        <v>342.40834223610807</v>
      </c>
      <c r="E1019" s="65">
        <v>3695633.714226014</v>
      </c>
      <c r="F1019" s="65" t="s">
        <v>1065</v>
      </c>
      <c r="G1019" s="25">
        <f t="shared" si="31"/>
        <v>-1.6499985993221E-2</v>
      </c>
      <c r="I1019" s="65">
        <v>13.92</v>
      </c>
      <c r="J1019" s="65">
        <v>14.545</v>
      </c>
      <c r="K1019" s="65">
        <v>13.8</v>
      </c>
      <c r="L1019" s="65">
        <v>13.87</v>
      </c>
      <c r="M1019" s="65">
        <v>44254873</v>
      </c>
      <c r="N1019" s="65" t="s">
        <v>1065</v>
      </c>
      <c r="O1019" s="25">
        <f t="shared" si="32"/>
        <v>3.6049026676279183E-3</v>
      </c>
    </row>
    <row r="1020" spans="1:15" ht="13.5" customHeight="1">
      <c r="A1020" s="65">
        <v>339.56908769645798</v>
      </c>
      <c r="B1020" s="65">
        <v>339.66500845793263</v>
      </c>
      <c r="C1020" s="65">
        <v>335.53082363837461</v>
      </c>
      <c r="D1020" s="65">
        <v>337.38209433483564</v>
      </c>
      <c r="E1020" s="65">
        <v>4712718.008597143</v>
      </c>
      <c r="F1020" s="65" t="s">
        <v>1066</v>
      </c>
      <c r="G1020" s="25">
        <f t="shared" si="31"/>
        <v>6.4822449037613694E-3</v>
      </c>
      <c r="I1020" s="65">
        <v>13.65</v>
      </c>
      <c r="J1020" s="65">
        <v>14.09</v>
      </c>
      <c r="K1020" s="65">
        <v>13.45</v>
      </c>
      <c r="L1020" s="65">
        <v>13.5</v>
      </c>
      <c r="M1020" s="65">
        <v>38346822</v>
      </c>
      <c r="N1020" s="65" t="s">
        <v>1066</v>
      </c>
      <c r="O1020" s="25">
        <f t="shared" si="32"/>
        <v>1.1111111111111072E-2</v>
      </c>
    </row>
    <row r="1021" spans="1:15" ht="13.5" customHeight="1">
      <c r="A1021" s="65">
        <v>333.26709366757257</v>
      </c>
      <c r="B1021" s="65">
        <v>333.75628955109335</v>
      </c>
      <c r="C1021" s="65">
        <v>327.13296097126778</v>
      </c>
      <c r="D1021" s="65">
        <v>329.4014869801436</v>
      </c>
      <c r="E1021" s="65">
        <v>4821521.3566893768</v>
      </c>
      <c r="F1021" s="65" t="s">
        <v>1067</v>
      </c>
      <c r="G1021" s="25">
        <f t="shared" si="31"/>
        <v>1.1735243586383559E-2</v>
      </c>
      <c r="I1021" s="65">
        <v>13.17</v>
      </c>
      <c r="J1021" s="65">
        <v>13.87</v>
      </c>
      <c r="K1021" s="65">
        <v>13.15</v>
      </c>
      <c r="L1021" s="65">
        <v>13.79</v>
      </c>
      <c r="M1021" s="65">
        <v>24256668</v>
      </c>
      <c r="N1021" s="65" t="s">
        <v>1067</v>
      </c>
      <c r="O1021" s="25">
        <f t="shared" si="32"/>
        <v>-4.4960116026105834E-2</v>
      </c>
    </row>
    <row r="1022" spans="1:15" ht="13.5" customHeight="1">
      <c r="A1022" s="65">
        <v>334.14956467313948</v>
      </c>
      <c r="B1022" s="65">
        <v>336.68187277607058</v>
      </c>
      <c r="C1022" s="65">
        <v>330.3223262903004</v>
      </c>
      <c r="D1022" s="65">
        <v>330.67723310775665</v>
      </c>
      <c r="E1022" s="65">
        <v>5841838.5278145326</v>
      </c>
      <c r="F1022" s="65" t="s">
        <v>1068</v>
      </c>
      <c r="G1022" s="25">
        <f t="shared" si="31"/>
        <v>1.0500667169460964E-2</v>
      </c>
      <c r="I1022" s="65">
        <v>13.83</v>
      </c>
      <c r="J1022" s="65">
        <v>14.244999999999999</v>
      </c>
      <c r="K1022" s="65">
        <v>13.42</v>
      </c>
      <c r="L1022" s="65">
        <v>13.74</v>
      </c>
      <c r="M1022" s="65">
        <v>24333666</v>
      </c>
      <c r="N1022" s="65" t="s">
        <v>1068</v>
      </c>
      <c r="O1022" s="25">
        <f t="shared" si="32"/>
        <v>6.5502183406114245E-3</v>
      </c>
    </row>
    <row r="1023" spans="1:15" ht="13.5" customHeight="1">
      <c r="A1023" s="65">
        <v>335.71307308517646</v>
      </c>
      <c r="B1023" s="65">
        <v>340.42278247358246</v>
      </c>
      <c r="C1023" s="65">
        <v>334.16874882543436</v>
      </c>
      <c r="D1023" s="65">
        <v>338.21660495966523</v>
      </c>
      <c r="E1023" s="65">
        <v>4253793.378274777</v>
      </c>
      <c r="F1023" s="65" t="s">
        <v>1069</v>
      </c>
      <c r="G1023" s="25">
        <f t="shared" si="31"/>
        <v>-7.4021554169031445E-3</v>
      </c>
      <c r="I1023" s="65">
        <v>14.04</v>
      </c>
      <c r="J1023" s="65">
        <v>14.59</v>
      </c>
      <c r="K1023" s="65">
        <v>13.76</v>
      </c>
      <c r="L1023" s="65">
        <v>14.24</v>
      </c>
      <c r="M1023" s="65">
        <v>24850912</v>
      </c>
      <c r="N1023" s="65" t="s">
        <v>1069</v>
      </c>
      <c r="O1023" s="25">
        <f t="shared" si="32"/>
        <v>-1.4044943820224809E-2</v>
      </c>
    </row>
    <row r="1024" spans="1:15" ht="13.5" customHeight="1">
      <c r="A1024" s="65">
        <v>338.84008990925054</v>
      </c>
      <c r="B1024" s="65">
        <v>341.0654515754627</v>
      </c>
      <c r="C1024" s="65">
        <v>338.13027627433803</v>
      </c>
      <c r="D1024" s="65">
        <v>340.36523001669764</v>
      </c>
      <c r="E1024" s="65">
        <v>3640186.9066920183</v>
      </c>
      <c r="F1024" s="65" t="s">
        <v>1070</v>
      </c>
      <c r="G1024" s="25">
        <f t="shared" ref="G1024:G1087" si="33">A1024/D1024-1</f>
        <v>-4.4808927967533441E-3</v>
      </c>
      <c r="I1024" s="65">
        <v>14.06</v>
      </c>
      <c r="J1024" s="65">
        <v>14.84</v>
      </c>
      <c r="K1024" s="65">
        <v>14</v>
      </c>
      <c r="L1024" s="65">
        <v>14.59</v>
      </c>
      <c r="M1024" s="65">
        <v>21539726</v>
      </c>
      <c r="N1024" s="65" t="s">
        <v>1070</v>
      </c>
      <c r="O1024" s="25">
        <f t="shared" ref="O1024:O1087" si="34">I1024/L1024-1</f>
        <v>-3.6326250856751119E-2</v>
      </c>
    </row>
    <row r="1025" spans="1:15" ht="13.5" customHeight="1">
      <c r="A1025" s="65">
        <v>342.71528867282694</v>
      </c>
      <c r="B1025" s="65">
        <v>344.40349407478107</v>
      </c>
      <c r="C1025" s="65">
        <v>340.0112824068562</v>
      </c>
      <c r="D1025" s="65">
        <v>341.38755349249465</v>
      </c>
      <c r="E1025" s="65">
        <v>4995103.1730138632</v>
      </c>
      <c r="F1025" s="65" t="s">
        <v>1071</v>
      </c>
      <c r="G1025" s="25">
        <f t="shared" si="33"/>
        <v>3.8892313640295217E-3</v>
      </c>
      <c r="I1025" s="65">
        <v>14.96</v>
      </c>
      <c r="J1025" s="65">
        <v>15.3</v>
      </c>
      <c r="K1025" s="65">
        <v>14.61</v>
      </c>
      <c r="L1025" s="65">
        <v>14.75</v>
      </c>
      <c r="M1025" s="65">
        <v>21290728</v>
      </c>
      <c r="N1025" s="65" t="s">
        <v>1071</v>
      </c>
      <c r="O1025" s="25">
        <f t="shared" si="34"/>
        <v>1.4237288135593218E-2</v>
      </c>
    </row>
    <row r="1026" spans="1:15" ht="13.5" customHeight="1">
      <c r="A1026" s="65">
        <v>342.91672227192373</v>
      </c>
      <c r="B1026" s="65">
        <v>343.68408836372106</v>
      </c>
      <c r="C1026" s="65">
        <v>339.55949562031049</v>
      </c>
      <c r="D1026" s="65">
        <v>339.56908769645798</v>
      </c>
      <c r="E1026" s="65">
        <v>3896422.3621047861</v>
      </c>
      <c r="F1026" s="65" t="s">
        <v>1072</v>
      </c>
      <c r="G1026" s="25">
        <f t="shared" si="33"/>
        <v>9.8584785740514214E-3</v>
      </c>
      <c r="I1026" s="65">
        <v>15.1</v>
      </c>
      <c r="J1026" s="65">
        <v>15.115</v>
      </c>
      <c r="K1026" s="65">
        <v>14.28</v>
      </c>
      <c r="L1026" s="65">
        <v>14.4</v>
      </c>
      <c r="M1026" s="65">
        <v>25460942</v>
      </c>
      <c r="N1026" s="65" t="s">
        <v>1072</v>
      </c>
      <c r="O1026" s="25">
        <f t="shared" si="34"/>
        <v>4.861111111111116E-2</v>
      </c>
    </row>
    <row r="1027" spans="1:15" ht="13.5" customHeight="1">
      <c r="A1027" s="65">
        <v>337.95761890368362</v>
      </c>
      <c r="B1027" s="65">
        <v>340.21175679833823</v>
      </c>
      <c r="C1027" s="65">
        <v>334.69631301354502</v>
      </c>
      <c r="D1027" s="65">
        <v>336.90249052746231</v>
      </c>
      <c r="E1027" s="65">
        <v>5682740.5414622156</v>
      </c>
      <c r="F1027" s="65" t="s">
        <v>1073</v>
      </c>
      <c r="G1027" s="25">
        <f t="shared" si="33"/>
        <v>3.1318509238960068E-3</v>
      </c>
      <c r="I1027" s="65">
        <v>14.28</v>
      </c>
      <c r="J1027" s="65">
        <v>14.61</v>
      </c>
      <c r="K1027" s="65">
        <v>14.06</v>
      </c>
      <c r="L1027" s="65">
        <v>14.35</v>
      </c>
      <c r="M1027" s="65">
        <v>23266266</v>
      </c>
      <c r="N1027" s="65" t="s">
        <v>1073</v>
      </c>
      <c r="O1027" s="25">
        <f t="shared" si="34"/>
        <v>-4.8780487804878092E-3</v>
      </c>
    </row>
    <row r="1028" spans="1:15" ht="13.5" customHeight="1">
      <c r="A1028" s="65">
        <v>336.7394252329554</v>
      </c>
      <c r="B1028" s="65">
        <v>336.77779353754528</v>
      </c>
      <c r="C1028" s="65">
        <v>328.79718618285318</v>
      </c>
      <c r="D1028" s="65">
        <v>331.38704674266916</v>
      </c>
      <c r="E1028" s="65">
        <v>6443405.8956386643</v>
      </c>
      <c r="F1028" s="65" t="s">
        <v>1074</v>
      </c>
      <c r="G1028" s="25">
        <f t="shared" si="33"/>
        <v>1.6151441472733508E-2</v>
      </c>
      <c r="I1028" s="65">
        <v>14.38</v>
      </c>
      <c r="J1028" s="65">
        <v>14.4</v>
      </c>
      <c r="K1028" s="65">
        <v>12.657400000000001</v>
      </c>
      <c r="L1028" s="65">
        <v>12.97</v>
      </c>
      <c r="M1028" s="65">
        <v>28853186</v>
      </c>
      <c r="N1028" s="65" t="s">
        <v>1074</v>
      </c>
      <c r="O1028" s="25">
        <f t="shared" si="34"/>
        <v>0.10871241326137238</v>
      </c>
    </row>
    <row r="1029" spans="1:15" ht="13.5" customHeight="1">
      <c r="A1029" s="65">
        <v>336.14471651181248</v>
      </c>
      <c r="B1029" s="65">
        <v>336.51880748156367</v>
      </c>
      <c r="C1029" s="65">
        <v>329.57414435079795</v>
      </c>
      <c r="D1029" s="65">
        <v>332.0393079206969</v>
      </c>
      <c r="E1029" s="65">
        <v>7799646.1714663506</v>
      </c>
      <c r="F1029" s="65" t="s">
        <v>1075</v>
      </c>
      <c r="G1029" s="25">
        <f t="shared" si="33"/>
        <v>1.2364224636006282E-2</v>
      </c>
      <c r="I1029" s="65">
        <v>13.17</v>
      </c>
      <c r="J1029" s="65">
        <v>13.46</v>
      </c>
      <c r="K1029" s="65">
        <v>12.8</v>
      </c>
      <c r="L1029" s="65">
        <v>13.18</v>
      </c>
      <c r="M1029" s="65">
        <v>23318902</v>
      </c>
      <c r="N1029" s="65" t="s">
        <v>1075</v>
      </c>
      <c r="O1029" s="25">
        <f t="shared" si="34"/>
        <v>-7.587253414264028E-4</v>
      </c>
    </row>
    <row r="1030" spans="1:15" ht="13.5" customHeight="1">
      <c r="A1030" s="65">
        <v>332.72993740331441</v>
      </c>
      <c r="B1030" s="65">
        <v>335.56919194296444</v>
      </c>
      <c r="C1030" s="65">
        <v>328.48064766998681</v>
      </c>
      <c r="D1030" s="65">
        <v>331.77072978856779</v>
      </c>
      <c r="E1030" s="65">
        <v>7464076.4834744353</v>
      </c>
      <c r="F1030" s="65" t="s">
        <v>1076</v>
      </c>
      <c r="G1030" s="25">
        <f t="shared" si="33"/>
        <v>2.8911761304497574E-3</v>
      </c>
      <c r="I1030" s="65">
        <v>13.13</v>
      </c>
      <c r="J1030" s="65">
        <v>13.78</v>
      </c>
      <c r="K1030" s="65">
        <v>12.83</v>
      </c>
      <c r="L1030" s="65">
        <v>13.73</v>
      </c>
      <c r="M1030" s="65">
        <v>32767227</v>
      </c>
      <c r="N1030" s="65" t="s">
        <v>1076</v>
      </c>
      <c r="O1030" s="25">
        <f t="shared" si="34"/>
        <v>-4.3699927166788055E-2</v>
      </c>
    </row>
    <row r="1031" spans="1:15" ht="13.5" customHeight="1">
      <c r="A1031" s="65">
        <v>335.37735042001515</v>
      </c>
      <c r="B1031" s="65">
        <v>337.02718751737939</v>
      </c>
      <c r="C1031" s="65">
        <v>333.62200048502882</v>
      </c>
      <c r="D1031" s="65">
        <v>336.13512443566503</v>
      </c>
      <c r="E1031" s="65">
        <v>3936437.6824691249</v>
      </c>
      <c r="F1031" s="65" t="s">
        <v>1077</v>
      </c>
      <c r="G1031" s="25">
        <f t="shared" si="33"/>
        <v>-2.2543731986417459E-3</v>
      </c>
      <c r="I1031" s="65">
        <v>13.96</v>
      </c>
      <c r="J1031" s="65">
        <v>13.98</v>
      </c>
      <c r="K1031" s="65">
        <v>13.355</v>
      </c>
      <c r="L1031" s="65">
        <v>13.76</v>
      </c>
      <c r="M1031" s="65">
        <v>25595757</v>
      </c>
      <c r="N1031" s="65" t="s">
        <v>1077</v>
      </c>
      <c r="O1031" s="25">
        <f t="shared" si="34"/>
        <v>1.4534883720930258E-2</v>
      </c>
    </row>
    <row r="1032" spans="1:15" ht="13.5" customHeight="1">
      <c r="A1032" s="65">
        <v>335.21227078951728</v>
      </c>
      <c r="B1032" s="65">
        <v>346.61369128502281</v>
      </c>
      <c r="C1032" s="65">
        <v>335.21227078951728</v>
      </c>
      <c r="D1032" s="65">
        <v>343.98185940692332</v>
      </c>
      <c r="E1032" s="65">
        <v>9213697.9196066596</v>
      </c>
      <c r="F1032" s="65" t="s">
        <v>1078</v>
      </c>
      <c r="G1032" s="25">
        <f t="shared" si="33"/>
        <v>-2.5494334592312873E-2</v>
      </c>
      <c r="I1032" s="65">
        <v>13.73</v>
      </c>
      <c r="J1032" s="65">
        <v>14.79</v>
      </c>
      <c r="K1032" s="65">
        <v>13.7</v>
      </c>
      <c r="L1032" s="65">
        <v>14.36</v>
      </c>
      <c r="M1032" s="65">
        <v>24445321</v>
      </c>
      <c r="N1032" s="65" t="s">
        <v>1078</v>
      </c>
      <c r="O1032" s="25">
        <f t="shared" si="34"/>
        <v>-4.3871866295264517E-2</v>
      </c>
    </row>
    <row r="1033" spans="1:15" ht="13.5" customHeight="1">
      <c r="A1033" s="65">
        <v>342.6157905917936</v>
      </c>
      <c r="B1033" s="65">
        <v>345.00402278607629</v>
      </c>
      <c r="C1033" s="65">
        <v>341.58407428386352</v>
      </c>
      <c r="D1033" s="65">
        <v>344.86072885441939</v>
      </c>
      <c r="E1033" s="65">
        <v>4824269.19274511</v>
      </c>
      <c r="F1033" s="65" t="s">
        <v>1079</v>
      </c>
      <c r="G1033" s="25">
        <f t="shared" si="33"/>
        <v>-6.5096952908589856E-3</v>
      </c>
      <c r="I1033" s="65">
        <v>14.56</v>
      </c>
      <c r="J1033" s="65">
        <v>15.28</v>
      </c>
      <c r="K1033" s="65">
        <v>14.38</v>
      </c>
      <c r="L1033" s="65">
        <v>15.11</v>
      </c>
      <c r="M1033" s="65">
        <v>29269383</v>
      </c>
      <c r="N1033" s="65" t="s">
        <v>1079</v>
      </c>
      <c r="O1033" s="25">
        <f t="shared" si="34"/>
        <v>-3.6399735274652456E-2</v>
      </c>
    </row>
    <row r="1034" spans="1:15" ht="13.5" customHeight="1">
      <c r="A1034" s="65">
        <v>343.90543597670631</v>
      </c>
      <c r="B1034" s="65">
        <v>343.92454183426054</v>
      </c>
      <c r="C1034" s="65">
        <v>336.23443416867036</v>
      </c>
      <c r="D1034" s="65">
        <v>336.29175174133309</v>
      </c>
      <c r="E1034" s="65">
        <v>5714016.2219858039</v>
      </c>
      <c r="F1034" s="65" t="s">
        <v>1080</v>
      </c>
      <c r="G1034" s="25">
        <f t="shared" si="33"/>
        <v>2.2640115899213331E-2</v>
      </c>
      <c r="I1034" s="65">
        <v>14.7</v>
      </c>
      <c r="J1034" s="65">
        <v>14.72</v>
      </c>
      <c r="K1034" s="65">
        <v>13.98</v>
      </c>
      <c r="L1034" s="65">
        <v>14.11</v>
      </c>
      <c r="M1034" s="65">
        <v>37302197</v>
      </c>
      <c r="N1034" s="65" t="s">
        <v>1080</v>
      </c>
      <c r="O1034" s="25">
        <f t="shared" si="34"/>
        <v>4.1814316087880998E-2</v>
      </c>
    </row>
    <row r="1035" spans="1:15" ht="13.5" customHeight="1">
      <c r="A1035" s="65">
        <v>333.5214023959652</v>
      </c>
      <c r="B1035" s="65">
        <v>333.97994297726746</v>
      </c>
      <c r="C1035" s="65">
        <v>328.75449093617692</v>
      </c>
      <c r="D1035" s="65">
        <v>332.08846307939558</v>
      </c>
      <c r="E1035" s="65">
        <v>7022740.5191803528</v>
      </c>
      <c r="F1035" s="65" t="s">
        <v>1081</v>
      </c>
      <c r="G1035" s="25">
        <f t="shared" si="33"/>
        <v>4.3149325432212393E-3</v>
      </c>
      <c r="I1035" s="65">
        <v>13.94</v>
      </c>
      <c r="J1035" s="65">
        <v>14</v>
      </c>
      <c r="K1035" s="65">
        <v>13.03</v>
      </c>
      <c r="L1035" s="65">
        <v>13.16</v>
      </c>
      <c r="M1035" s="65">
        <v>32057848</v>
      </c>
      <c r="N1035" s="65" t="s">
        <v>1081</v>
      </c>
      <c r="O1035" s="25">
        <f t="shared" si="34"/>
        <v>5.9270516717325084E-2</v>
      </c>
    </row>
    <row r="1036" spans="1:15" ht="13.5" customHeight="1">
      <c r="A1036" s="65">
        <v>330.05368924986675</v>
      </c>
      <c r="B1036" s="65">
        <v>333.88441368949617</v>
      </c>
      <c r="C1036" s="65">
        <v>326.36129121893015</v>
      </c>
      <c r="D1036" s="65">
        <v>326.78658760808798</v>
      </c>
      <c r="E1036" s="65">
        <v>5104256.6251232419</v>
      </c>
      <c r="F1036" s="65" t="s">
        <v>1082</v>
      </c>
      <c r="G1036" s="25">
        <f t="shared" si="33"/>
        <v>9.9976613657626334E-3</v>
      </c>
      <c r="I1036" s="65">
        <v>13.08</v>
      </c>
      <c r="J1036" s="65">
        <v>13.49</v>
      </c>
      <c r="K1036" s="65">
        <v>12.58</v>
      </c>
      <c r="L1036" s="65">
        <v>12.63</v>
      </c>
      <c r="M1036" s="65">
        <v>31299932</v>
      </c>
      <c r="N1036" s="65" t="s">
        <v>1082</v>
      </c>
      <c r="O1036" s="25">
        <f t="shared" si="34"/>
        <v>3.562945368171011E-2</v>
      </c>
    </row>
    <row r="1037" spans="1:15" ht="13.5" customHeight="1">
      <c r="A1037" s="65">
        <v>330.75105305059731</v>
      </c>
      <c r="B1037" s="65">
        <v>331.9642750052929</v>
      </c>
      <c r="C1037" s="65">
        <v>327.77053927213251</v>
      </c>
      <c r="D1037" s="65">
        <v>327.84696270234951</v>
      </c>
      <c r="E1037" s="65">
        <v>5891751.2433192264</v>
      </c>
      <c r="F1037" s="65" t="s">
        <v>1083</v>
      </c>
      <c r="G1037" s="25">
        <f t="shared" si="33"/>
        <v>8.8580669599931383E-3</v>
      </c>
      <c r="I1037" s="65">
        <v>12.85</v>
      </c>
      <c r="J1037" s="65">
        <v>13.24</v>
      </c>
      <c r="K1037" s="65">
        <v>12.32</v>
      </c>
      <c r="L1037" s="65">
        <v>12.47</v>
      </c>
      <c r="M1037" s="65">
        <v>37130617</v>
      </c>
      <c r="N1037" s="65" t="s">
        <v>1083</v>
      </c>
      <c r="O1037" s="25">
        <f t="shared" si="34"/>
        <v>3.0473135525260542E-2</v>
      </c>
    </row>
    <row r="1038" spans="1:15" ht="13.5" customHeight="1">
      <c r="A1038" s="65">
        <v>322.841228023133</v>
      </c>
      <c r="B1038" s="65">
        <v>325.63068322605523</v>
      </c>
      <c r="C1038" s="65">
        <v>319.29709144681755</v>
      </c>
      <c r="D1038" s="65">
        <v>322.22984058139667</v>
      </c>
      <c r="E1038" s="65">
        <v>7415506.9772515446</v>
      </c>
      <c r="F1038" s="65" t="s">
        <v>1084</v>
      </c>
      <c r="G1038" s="25">
        <f t="shared" si="33"/>
        <v>1.8973644422044522E-3</v>
      </c>
      <c r="I1038" s="65">
        <v>12.42</v>
      </c>
      <c r="J1038" s="65">
        <v>12.62</v>
      </c>
      <c r="K1038" s="65">
        <v>12.03</v>
      </c>
      <c r="L1038" s="65">
        <v>12.32</v>
      </c>
      <c r="M1038" s="65">
        <v>48608029</v>
      </c>
      <c r="N1038" s="65" t="s">
        <v>1084</v>
      </c>
      <c r="O1038" s="25">
        <f t="shared" si="34"/>
        <v>8.116883116883189E-3</v>
      </c>
    </row>
    <row r="1039" spans="1:15" ht="13.5" customHeight="1">
      <c r="A1039" s="65">
        <v>322.00057029074554</v>
      </c>
      <c r="B1039" s="65">
        <v>325.60202443972378</v>
      </c>
      <c r="C1039" s="65">
        <v>319.61233809646285</v>
      </c>
      <c r="D1039" s="65">
        <v>325.25811900374714</v>
      </c>
      <c r="E1039" s="65">
        <v>9234727.0725174323</v>
      </c>
      <c r="F1039" s="65" t="s">
        <v>1085</v>
      </c>
      <c r="G1039" s="25">
        <f t="shared" si="33"/>
        <v>-1.0015272556391008E-2</v>
      </c>
      <c r="I1039" s="65">
        <v>12.22</v>
      </c>
      <c r="J1039" s="65">
        <v>12.781000000000001</v>
      </c>
      <c r="K1039" s="65">
        <v>12.14</v>
      </c>
      <c r="L1039" s="65">
        <v>12.65</v>
      </c>
      <c r="M1039" s="65">
        <v>38524997</v>
      </c>
      <c r="N1039" s="65" t="s">
        <v>1085</v>
      </c>
      <c r="O1039" s="25">
        <f t="shared" si="34"/>
        <v>-3.3992094861660105E-2</v>
      </c>
    </row>
    <row r="1040" spans="1:15" ht="13.5" customHeight="1">
      <c r="A1040" s="65">
        <v>332.9386737405602</v>
      </c>
      <c r="B1040" s="65">
        <v>337.06553897228065</v>
      </c>
      <c r="C1040" s="65">
        <v>326.68150539153959</v>
      </c>
      <c r="D1040" s="65">
        <v>331.31467584844796</v>
      </c>
      <c r="E1040" s="65">
        <v>8256759.978031666</v>
      </c>
      <c r="F1040" s="65" t="s">
        <v>1086</v>
      </c>
      <c r="G1040" s="25">
        <f t="shared" si="33"/>
        <v>4.9016781039157298E-3</v>
      </c>
      <c r="I1040" s="65">
        <v>13.2</v>
      </c>
      <c r="J1040" s="65">
        <v>13.43</v>
      </c>
      <c r="K1040" s="65">
        <v>11.88</v>
      </c>
      <c r="L1040" s="65">
        <v>11.98</v>
      </c>
      <c r="M1040" s="65">
        <v>58398114</v>
      </c>
      <c r="N1040" s="65" t="s">
        <v>1086</v>
      </c>
      <c r="O1040" s="25">
        <f t="shared" si="34"/>
        <v>0.10183639398998312</v>
      </c>
    </row>
    <row r="1041" spans="1:15" ht="13.5" customHeight="1">
      <c r="A1041" s="65">
        <v>328.23863278221194</v>
      </c>
      <c r="B1041" s="65">
        <v>331.7923222873045</v>
      </c>
      <c r="C1041" s="65">
        <v>325.34409536274126</v>
      </c>
      <c r="D1041" s="65">
        <v>330.88479405347709</v>
      </c>
      <c r="E1041" s="65">
        <v>7939125.4524541209</v>
      </c>
      <c r="F1041" s="65" t="s">
        <v>1087</v>
      </c>
      <c r="G1041" s="25">
        <f t="shared" si="33"/>
        <v>-7.9972283973783753E-3</v>
      </c>
      <c r="I1041" s="65">
        <v>11.91</v>
      </c>
      <c r="J1041" s="65">
        <v>12.52</v>
      </c>
      <c r="K1041" s="65">
        <v>11.9</v>
      </c>
      <c r="L1041" s="65">
        <v>12.08</v>
      </c>
      <c r="M1041" s="65">
        <v>40211395</v>
      </c>
      <c r="N1041" s="65" t="s">
        <v>1087</v>
      </c>
      <c r="O1041" s="25">
        <f t="shared" si="34"/>
        <v>-1.4072847682119249E-2</v>
      </c>
    </row>
    <row r="1042" spans="1:15" ht="13.5" customHeight="1">
      <c r="A1042" s="65">
        <v>329.06018465704511</v>
      </c>
      <c r="B1042" s="65">
        <v>335.15046334032928</v>
      </c>
      <c r="C1042" s="65">
        <v>327.72277462824684</v>
      </c>
      <c r="D1042" s="65">
        <v>333.50229653841092</v>
      </c>
      <c r="E1042" s="65">
        <v>10886407.972491557</v>
      </c>
      <c r="F1042" s="65" t="s">
        <v>1088</v>
      </c>
      <c r="G1042" s="25">
        <f t="shared" si="33"/>
        <v>-1.3319584085245362E-2</v>
      </c>
      <c r="I1042" s="65">
        <v>12.02</v>
      </c>
      <c r="J1042" s="65">
        <v>13.02</v>
      </c>
      <c r="K1042" s="65">
        <v>11.92</v>
      </c>
      <c r="L1042" s="65">
        <v>12.84</v>
      </c>
      <c r="M1042" s="65">
        <v>43722260</v>
      </c>
      <c r="N1042" s="65" t="s">
        <v>1088</v>
      </c>
      <c r="O1042" s="25">
        <f t="shared" si="34"/>
        <v>-6.386292834890972E-2</v>
      </c>
    </row>
    <row r="1043" spans="1:15" ht="13.5" customHeight="1">
      <c r="A1043" s="65">
        <v>342.25277929826268</v>
      </c>
      <c r="B1043" s="65">
        <v>347.43046669546754</v>
      </c>
      <c r="C1043" s="65">
        <v>342.21456758315418</v>
      </c>
      <c r="D1043" s="65">
        <v>346.7044441084056</v>
      </c>
      <c r="E1043" s="65">
        <v>7986757.9650181551</v>
      </c>
      <c r="F1043" s="65" t="s">
        <v>1089</v>
      </c>
      <c r="G1043" s="25">
        <f t="shared" si="33"/>
        <v>-1.2839941586531789E-2</v>
      </c>
      <c r="I1043" s="65">
        <v>13.28</v>
      </c>
      <c r="J1043" s="65">
        <v>13.97</v>
      </c>
      <c r="K1043" s="65">
        <v>13.15</v>
      </c>
      <c r="L1043" s="65">
        <v>13.83</v>
      </c>
      <c r="M1043" s="65">
        <v>42462490</v>
      </c>
      <c r="N1043" s="65" t="s">
        <v>1089</v>
      </c>
      <c r="O1043" s="25">
        <f t="shared" si="34"/>
        <v>-3.976861894432393E-2</v>
      </c>
    </row>
    <row r="1044" spans="1:15" ht="13.5" customHeight="1">
      <c r="A1044" s="65">
        <v>352.5986011638953</v>
      </c>
      <c r="B1044" s="65">
        <v>361.52103664173535</v>
      </c>
      <c r="C1044" s="65">
        <v>352.52217773367818</v>
      </c>
      <c r="D1044" s="65">
        <v>359.41939231076663</v>
      </c>
      <c r="E1044" s="65">
        <v>3163405.7685371609</v>
      </c>
      <c r="F1044" s="65" t="s">
        <v>1090</v>
      </c>
      <c r="G1044" s="25">
        <f t="shared" si="33"/>
        <v>-1.8977248564745919E-2</v>
      </c>
      <c r="I1044" s="65">
        <v>14.1</v>
      </c>
      <c r="J1044" s="65">
        <v>15.26</v>
      </c>
      <c r="K1044" s="65">
        <v>14.06</v>
      </c>
      <c r="L1044" s="65">
        <v>15.26</v>
      </c>
      <c r="M1044" s="65">
        <v>36966068</v>
      </c>
      <c r="N1044" s="65" t="s">
        <v>1090</v>
      </c>
      <c r="O1044" s="25">
        <f t="shared" si="34"/>
        <v>-7.6015727391874233E-2</v>
      </c>
    </row>
    <row r="1045" spans="1:15" ht="13.5" customHeight="1">
      <c r="A1045" s="65">
        <v>361.09115484676448</v>
      </c>
      <c r="B1045" s="65">
        <v>365.14159664826792</v>
      </c>
      <c r="C1045" s="65">
        <v>360.39379104603393</v>
      </c>
      <c r="D1045" s="65">
        <v>363.48893996982429</v>
      </c>
      <c r="E1045" s="65">
        <v>3597266.4301933097</v>
      </c>
      <c r="F1045" s="65" t="s">
        <v>1091</v>
      </c>
      <c r="G1045" s="25">
        <f t="shared" si="33"/>
        <v>-6.5965834428383108E-3</v>
      </c>
      <c r="I1045" s="65">
        <v>15.17</v>
      </c>
      <c r="J1045" s="65">
        <v>15.87</v>
      </c>
      <c r="K1045" s="65">
        <v>15.14</v>
      </c>
      <c r="L1045" s="65">
        <v>15.4</v>
      </c>
      <c r="M1045" s="65">
        <v>36326099</v>
      </c>
      <c r="N1045" s="65" t="s">
        <v>1091</v>
      </c>
      <c r="O1045" s="25">
        <f t="shared" si="34"/>
        <v>-1.4935064935064912E-2</v>
      </c>
    </row>
    <row r="1046" spans="1:15" ht="13.5" customHeight="1">
      <c r="A1046" s="65">
        <v>365.08427907560514</v>
      </c>
      <c r="B1046" s="65">
        <v>365.50460794179889</v>
      </c>
      <c r="C1046" s="65">
        <v>357.95779420786556</v>
      </c>
      <c r="D1046" s="65">
        <v>358.38767600283649</v>
      </c>
      <c r="E1046" s="65">
        <v>2773868.6865787539</v>
      </c>
      <c r="F1046" s="65" t="s">
        <v>1092</v>
      </c>
      <c r="G1046" s="25">
        <f t="shared" si="33"/>
        <v>1.8685360912677362E-2</v>
      </c>
      <c r="I1046" s="65">
        <v>15.28</v>
      </c>
      <c r="J1046" s="65">
        <v>15.48</v>
      </c>
      <c r="K1046" s="65">
        <v>14.701599999999999</v>
      </c>
      <c r="L1046" s="65">
        <v>14.81</v>
      </c>
      <c r="M1046" s="65">
        <v>36646943</v>
      </c>
      <c r="N1046" s="65" t="s">
        <v>1092</v>
      </c>
      <c r="O1046" s="25">
        <f t="shared" si="34"/>
        <v>3.1735313977042434E-2</v>
      </c>
    </row>
    <row r="1047" spans="1:15" ht="13.5" customHeight="1">
      <c r="A1047" s="65">
        <v>361.5496954280668</v>
      </c>
      <c r="B1047" s="65">
        <v>365.83896044899842</v>
      </c>
      <c r="C1047" s="65">
        <v>360.53708497769094</v>
      </c>
      <c r="D1047" s="65">
        <v>364.28183305832613</v>
      </c>
      <c r="E1047" s="65">
        <v>2783944.1306907646</v>
      </c>
      <c r="F1047" s="65" t="s">
        <v>1093</v>
      </c>
      <c r="G1047" s="25">
        <f t="shared" si="33"/>
        <v>-7.5000655600134802E-3</v>
      </c>
      <c r="I1047" s="65">
        <v>15.15</v>
      </c>
      <c r="J1047" s="65">
        <v>15.4</v>
      </c>
      <c r="K1047" s="65">
        <v>13.88</v>
      </c>
      <c r="L1047" s="65">
        <v>14.61</v>
      </c>
      <c r="M1047" s="65">
        <v>64278222</v>
      </c>
      <c r="N1047" s="65" t="s">
        <v>1093</v>
      </c>
      <c r="O1047" s="25">
        <f t="shared" si="34"/>
        <v>3.696098562628336E-2</v>
      </c>
    </row>
    <row r="1048" spans="1:15" ht="13.5" customHeight="1">
      <c r="A1048" s="65">
        <v>360.56574376402227</v>
      </c>
      <c r="B1048" s="65">
        <v>363.58446925759563</v>
      </c>
      <c r="C1048" s="65">
        <v>359.64866260141775</v>
      </c>
      <c r="D1048" s="65">
        <v>362.16108286980312</v>
      </c>
      <c r="E1048" s="65">
        <v>2878214.6963999844</v>
      </c>
      <c r="F1048" s="65" t="s">
        <v>1094</v>
      </c>
      <c r="G1048" s="25">
        <f t="shared" si="33"/>
        <v>-4.4050539421276458E-3</v>
      </c>
      <c r="I1048" s="65">
        <v>14.49</v>
      </c>
      <c r="J1048" s="65">
        <v>14.87</v>
      </c>
      <c r="K1048" s="65">
        <v>14.2</v>
      </c>
      <c r="L1048" s="65">
        <v>14.59</v>
      </c>
      <c r="M1048" s="65">
        <v>34347365</v>
      </c>
      <c r="N1048" s="65" t="s">
        <v>1094</v>
      </c>
      <c r="O1048" s="25">
        <f t="shared" si="34"/>
        <v>-6.8540095956134417E-3</v>
      </c>
    </row>
    <row r="1049" spans="1:15" ht="13.5" customHeight="1">
      <c r="A1049" s="65">
        <v>366.49811253462042</v>
      </c>
      <c r="B1049" s="65">
        <v>366.58408889361465</v>
      </c>
      <c r="C1049" s="65">
        <v>357.47059484023191</v>
      </c>
      <c r="D1049" s="65">
        <v>359.58179209997786</v>
      </c>
      <c r="E1049" s="65">
        <v>3426929.1401367262</v>
      </c>
      <c r="F1049" s="65" t="s">
        <v>1095</v>
      </c>
      <c r="G1049" s="25">
        <f t="shared" si="33"/>
        <v>1.9234345527483043E-2</v>
      </c>
      <c r="I1049" s="65">
        <v>14.9</v>
      </c>
      <c r="J1049" s="65">
        <v>15.12</v>
      </c>
      <c r="K1049" s="65">
        <v>13.54</v>
      </c>
      <c r="L1049" s="65">
        <v>13.54</v>
      </c>
      <c r="M1049" s="65">
        <v>58590950</v>
      </c>
      <c r="N1049" s="65" t="s">
        <v>1095</v>
      </c>
      <c r="O1049" s="25">
        <f t="shared" si="34"/>
        <v>0.10044313146233397</v>
      </c>
    </row>
    <row r="1050" spans="1:15" ht="13.5" customHeight="1">
      <c r="A1050" s="65">
        <v>359.66776845897198</v>
      </c>
      <c r="B1050" s="65">
        <v>365.53326672813023</v>
      </c>
      <c r="C1050" s="65">
        <v>357.37506555246063</v>
      </c>
      <c r="D1050" s="65">
        <v>364.54931506408582</v>
      </c>
      <c r="E1050" s="65">
        <v>4444519.6850669421</v>
      </c>
      <c r="F1050" s="65" t="s">
        <v>1096</v>
      </c>
      <c r="G1050" s="25">
        <f t="shared" si="33"/>
        <v>-1.3390634417337122E-2</v>
      </c>
      <c r="I1050" s="65">
        <v>13.93</v>
      </c>
      <c r="J1050" s="65">
        <v>14.71</v>
      </c>
      <c r="K1050" s="65">
        <v>13.48</v>
      </c>
      <c r="L1050" s="65">
        <v>14.11</v>
      </c>
      <c r="M1050" s="65">
        <v>80420417</v>
      </c>
      <c r="N1050" s="65" t="s">
        <v>1096</v>
      </c>
      <c r="O1050" s="25">
        <f t="shared" si="34"/>
        <v>-1.275690999291279E-2</v>
      </c>
    </row>
    <row r="1051" spans="1:15" ht="13.5" customHeight="1">
      <c r="A1051" s="65">
        <v>362.70559981009956</v>
      </c>
      <c r="B1051" s="65">
        <v>365.73387823245002</v>
      </c>
      <c r="C1051" s="65">
        <v>360.06899146761151</v>
      </c>
      <c r="D1051" s="65">
        <v>363.23101089284177</v>
      </c>
      <c r="E1051" s="65">
        <v>5251283.7864020327</v>
      </c>
      <c r="F1051" s="65" t="s">
        <v>1097</v>
      </c>
      <c r="G1051" s="25">
        <f t="shared" si="33"/>
        <v>-1.4464929121847936E-3</v>
      </c>
      <c r="I1051" s="65">
        <v>14.11</v>
      </c>
      <c r="J1051" s="65">
        <v>15.42</v>
      </c>
      <c r="K1051" s="65">
        <v>14.09</v>
      </c>
      <c r="L1051" s="65">
        <v>15.37</v>
      </c>
      <c r="M1051" s="65">
        <v>98324767</v>
      </c>
      <c r="N1051" s="65" t="s">
        <v>1097</v>
      </c>
      <c r="O1051" s="25">
        <f t="shared" si="34"/>
        <v>-8.1977878985035724E-2</v>
      </c>
    </row>
    <row r="1052" spans="1:15" ht="13.5" customHeight="1">
      <c r="A1052" s="65">
        <v>364.73082071085128</v>
      </c>
      <c r="B1052" s="65">
        <v>364.78813828351406</v>
      </c>
      <c r="C1052" s="65">
        <v>358.04377056685979</v>
      </c>
      <c r="D1052" s="65">
        <v>358.17751156973958</v>
      </c>
      <c r="E1052" s="65">
        <v>4094859.3790049437</v>
      </c>
      <c r="F1052" s="65" t="s">
        <v>1098</v>
      </c>
      <c r="G1052" s="25">
        <f t="shared" si="33"/>
        <v>1.8296260735050973E-2</v>
      </c>
      <c r="I1052" s="65">
        <v>15.58</v>
      </c>
      <c r="J1052" s="65">
        <v>15.635</v>
      </c>
      <c r="K1052" s="65">
        <v>14.61</v>
      </c>
      <c r="L1052" s="65">
        <v>14.85</v>
      </c>
      <c r="M1052" s="65">
        <v>66159067</v>
      </c>
      <c r="N1052" s="65" t="s">
        <v>1098</v>
      </c>
      <c r="O1052" s="25">
        <f t="shared" si="34"/>
        <v>4.9158249158249179E-2</v>
      </c>
    </row>
    <row r="1053" spans="1:15" ht="13.5" customHeight="1">
      <c r="A1053" s="65">
        <v>355.80838523301117</v>
      </c>
      <c r="B1053" s="65">
        <v>357.40372433879202</v>
      </c>
      <c r="C1053" s="65">
        <v>349.89512231996724</v>
      </c>
      <c r="D1053" s="65">
        <v>350.06229857356703</v>
      </c>
      <c r="E1053" s="65">
        <v>4447068.6415773574</v>
      </c>
      <c r="F1053" s="65" t="s">
        <v>1099</v>
      </c>
      <c r="G1053" s="25">
        <f t="shared" si="33"/>
        <v>1.6414468747015132E-2</v>
      </c>
      <c r="I1053" s="65">
        <v>14.81</v>
      </c>
      <c r="J1053" s="65">
        <v>14.94</v>
      </c>
      <c r="K1053" s="65">
        <v>13.63</v>
      </c>
      <c r="L1053" s="65">
        <v>13.75</v>
      </c>
      <c r="M1053" s="65">
        <v>80386355</v>
      </c>
      <c r="N1053" s="65" t="s">
        <v>1099</v>
      </c>
      <c r="O1053" s="25">
        <f t="shared" si="34"/>
        <v>7.7090909090909099E-2</v>
      </c>
    </row>
    <row r="1054" spans="1:15" ht="13.5" customHeight="1">
      <c r="A1054" s="65">
        <v>348.87295894081427</v>
      </c>
      <c r="B1054" s="65">
        <v>350.74533298113192</v>
      </c>
      <c r="C1054" s="65">
        <v>344.16336505368878</v>
      </c>
      <c r="D1054" s="65">
        <v>344.42129413067136</v>
      </c>
      <c r="E1054" s="65">
        <v>5971571.7902728934</v>
      </c>
      <c r="F1054" s="65" t="s">
        <v>1100</v>
      </c>
      <c r="G1054" s="25">
        <f t="shared" si="33"/>
        <v>1.2925056859155681E-2</v>
      </c>
      <c r="I1054" s="65">
        <v>14.16</v>
      </c>
      <c r="J1054" s="65">
        <v>14.57</v>
      </c>
      <c r="K1054" s="65">
        <v>12.86</v>
      </c>
      <c r="L1054" s="65">
        <v>12.91</v>
      </c>
      <c r="M1054" s="65">
        <v>162922328</v>
      </c>
      <c r="N1054" s="65" t="s">
        <v>1100</v>
      </c>
      <c r="O1054" s="25">
        <f t="shared" si="34"/>
        <v>9.6824167312161036E-2</v>
      </c>
    </row>
    <row r="1055" spans="1:15" ht="13.5" customHeight="1">
      <c r="A1055" s="65">
        <v>345.98797445012082</v>
      </c>
      <c r="B1055" s="65">
        <v>346.97192611416523</v>
      </c>
      <c r="C1055" s="65">
        <v>339.79767660254009</v>
      </c>
      <c r="D1055" s="65">
        <v>344.71743492276244</v>
      </c>
      <c r="E1055" s="65">
        <v>5827847.2810640661</v>
      </c>
      <c r="F1055" s="65" t="s">
        <v>1101</v>
      </c>
      <c r="G1055" s="25">
        <f t="shared" si="33"/>
        <v>3.6857419980600437E-3</v>
      </c>
      <c r="I1055" s="65">
        <v>12.79</v>
      </c>
      <c r="J1055" s="65">
        <v>14.57</v>
      </c>
      <c r="K1055" s="65">
        <v>12.55</v>
      </c>
      <c r="L1055" s="65">
        <v>14.49</v>
      </c>
      <c r="M1055" s="65">
        <v>286479885</v>
      </c>
      <c r="N1055" s="65" t="s">
        <v>1101</v>
      </c>
      <c r="O1055" s="25">
        <f t="shared" si="34"/>
        <v>-0.11732229123533477</v>
      </c>
    </row>
    <row r="1056" spans="1:15" ht="13.5" customHeight="1">
      <c r="A1056" s="65">
        <v>348.50039471850619</v>
      </c>
      <c r="B1056" s="65">
        <v>349.22641730556808</v>
      </c>
      <c r="C1056" s="65">
        <v>342.80684916733628</v>
      </c>
      <c r="D1056" s="65">
        <v>344.94670521341351</v>
      </c>
      <c r="E1056" s="65">
        <v>5500841.8073628098</v>
      </c>
      <c r="F1056" s="65" t="s">
        <v>1102</v>
      </c>
      <c r="G1056" s="25">
        <f t="shared" si="33"/>
        <v>1.0302140740535704E-2</v>
      </c>
      <c r="I1056" s="65">
        <v>22.47</v>
      </c>
      <c r="J1056" s="65">
        <v>23.31</v>
      </c>
      <c r="K1056" s="65">
        <v>21.7103</v>
      </c>
      <c r="L1056" s="65">
        <v>23.31</v>
      </c>
      <c r="M1056" s="65">
        <v>43386343</v>
      </c>
      <c r="N1056" s="65" t="s">
        <v>1102</v>
      </c>
      <c r="O1056" s="25">
        <f t="shared" si="34"/>
        <v>-3.6036036036036001E-2</v>
      </c>
    </row>
    <row r="1057" spans="1:15" ht="13.5" customHeight="1">
      <c r="A1057" s="65">
        <v>342.01395607883438</v>
      </c>
      <c r="B1057" s="65">
        <v>345.7682570882468</v>
      </c>
      <c r="C1057" s="65">
        <v>334.12323690892441</v>
      </c>
      <c r="D1057" s="65">
        <v>345.25239893428176</v>
      </c>
      <c r="E1057" s="65">
        <v>9165624.7045001686</v>
      </c>
      <c r="F1057" s="65" t="s">
        <v>1103</v>
      </c>
      <c r="G1057" s="25">
        <f t="shared" si="33"/>
        <v>-9.3799286129327974E-3</v>
      </c>
      <c r="I1057" s="65">
        <v>23.26</v>
      </c>
      <c r="J1057" s="65">
        <v>24.155000000000001</v>
      </c>
      <c r="K1057" s="65">
        <v>22.295000000000002</v>
      </c>
      <c r="L1057" s="65">
        <v>23.59</v>
      </c>
      <c r="M1057" s="65">
        <v>29598707</v>
      </c>
      <c r="N1057" s="65" t="s">
        <v>1103</v>
      </c>
      <c r="O1057" s="25">
        <f t="shared" si="34"/>
        <v>-1.3988978380669703E-2</v>
      </c>
    </row>
    <row r="1058" spans="1:15" ht="13.5" customHeight="1">
      <c r="A1058" s="65">
        <v>341.92797971984021</v>
      </c>
      <c r="B1058" s="65">
        <v>346.03573909400649</v>
      </c>
      <c r="C1058" s="65">
        <v>339.94097053419705</v>
      </c>
      <c r="D1058" s="65">
        <v>341.20195713277832</v>
      </c>
      <c r="E1058" s="65">
        <v>6657096.6332590003</v>
      </c>
      <c r="F1058" s="65" t="s">
        <v>1104</v>
      </c>
      <c r="G1058" s="25">
        <f t="shared" si="33"/>
        <v>2.1278382842901955E-3</v>
      </c>
      <c r="I1058" s="65">
        <v>23.2</v>
      </c>
      <c r="J1058" s="65">
        <v>23.74</v>
      </c>
      <c r="K1058" s="65">
        <v>22.28</v>
      </c>
      <c r="L1058" s="65">
        <v>22.73</v>
      </c>
      <c r="M1058" s="65">
        <v>30700773</v>
      </c>
      <c r="N1058" s="65" t="s">
        <v>1104</v>
      </c>
      <c r="O1058" s="25">
        <f t="shared" si="34"/>
        <v>2.0677518697756136E-2</v>
      </c>
    </row>
    <row r="1059" spans="1:15" ht="13.5" customHeight="1">
      <c r="A1059" s="65">
        <v>344.23023555512873</v>
      </c>
      <c r="B1059" s="65">
        <v>354.56650449198423</v>
      </c>
      <c r="C1059" s="65">
        <v>342.95014309899324</v>
      </c>
      <c r="D1059" s="65">
        <v>354.39455177399583</v>
      </c>
      <c r="E1059" s="65">
        <v>7205716.8650507983</v>
      </c>
      <c r="F1059" s="65" t="s">
        <v>1105</v>
      </c>
      <c r="G1059" s="25">
        <f t="shared" si="33"/>
        <v>-2.8680791417327045E-2</v>
      </c>
      <c r="I1059" s="65">
        <v>22.73</v>
      </c>
      <c r="J1059" s="65">
        <v>24.754000000000001</v>
      </c>
      <c r="K1059" s="65">
        <v>22.645</v>
      </c>
      <c r="L1059" s="65">
        <v>24.05</v>
      </c>
      <c r="M1059" s="65">
        <v>29460386</v>
      </c>
      <c r="N1059" s="65" t="s">
        <v>1105</v>
      </c>
      <c r="O1059" s="25">
        <f t="shared" si="34"/>
        <v>-5.4885654885654889E-2</v>
      </c>
    </row>
    <row r="1060" spans="1:15" ht="13.5" customHeight="1">
      <c r="A1060" s="65">
        <v>358.42588771794499</v>
      </c>
      <c r="B1060" s="65">
        <v>358.76979315392168</v>
      </c>
      <c r="C1060" s="65">
        <v>353.53478818405404</v>
      </c>
      <c r="D1060" s="65">
        <v>356.95473668626687</v>
      </c>
      <c r="E1060" s="65">
        <v>4724529.1002322268</v>
      </c>
      <c r="F1060" s="65" t="s">
        <v>1106</v>
      </c>
      <c r="G1060" s="25">
        <f t="shared" si="33"/>
        <v>4.1213937804420731E-3</v>
      </c>
      <c r="I1060" s="65">
        <v>24.54</v>
      </c>
      <c r="J1060" s="65">
        <v>24.704999999999998</v>
      </c>
      <c r="K1060" s="65">
        <v>23.33</v>
      </c>
      <c r="L1060" s="65">
        <v>24.085000000000001</v>
      </c>
      <c r="M1060" s="65">
        <v>28440963</v>
      </c>
      <c r="N1060" s="65" t="s">
        <v>1106</v>
      </c>
      <c r="O1060" s="25">
        <f t="shared" si="34"/>
        <v>1.8891426198878847E-2</v>
      </c>
    </row>
    <row r="1061" spans="1:15" ht="13.5" customHeight="1">
      <c r="A1061" s="65">
        <v>351.39493213797675</v>
      </c>
      <c r="B1061" s="65">
        <v>354.74801013874969</v>
      </c>
      <c r="C1061" s="65">
        <v>349.11178216024251</v>
      </c>
      <c r="D1061" s="65">
        <v>351.27074406387408</v>
      </c>
      <c r="E1061" s="65">
        <v>4940725.624689131</v>
      </c>
      <c r="F1061" s="65" t="s">
        <v>1107</v>
      </c>
      <c r="G1061" s="25">
        <f t="shared" si="33"/>
        <v>3.5353947404193065E-4</v>
      </c>
      <c r="I1061" s="65">
        <v>23.42</v>
      </c>
      <c r="J1061" s="65">
        <v>24.7</v>
      </c>
      <c r="K1061" s="65">
        <v>23.34</v>
      </c>
      <c r="L1061" s="65">
        <v>24.29</v>
      </c>
      <c r="M1061" s="65">
        <v>25171875</v>
      </c>
      <c r="N1061" s="65" t="s">
        <v>1107</v>
      </c>
      <c r="O1061" s="25">
        <f t="shared" si="34"/>
        <v>-3.5817208727871419E-2</v>
      </c>
    </row>
    <row r="1062" spans="1:15" ht="13.5" customHeight="1">
      <c r="A1062" s="65">
        <v>352.65591873655808</v>
      </c>
      <c r="B1062" s="65">
        <v>354.01243462291058</v>
      </c>
      <c r="C1062" s="65">
        <v>347.38423052018618</v>
      </c>
      <c r="D1062" s="65">
        <v>348.42397128828912</v>
      </c>
      <c r="E1062" s="65">
        <v>5629097.7620113064</v>
      </c>
      <c r="F1062" s="65" t="s">
        <v>1108</v>
      </c>
      <c r="G1062" s="25">
        <f t="shared" si="33"/>
        <v>1.2145970992240906E-2</v>
      </c>
      <c r="I1062" s="65">
        <v>24.75</v>
      </c>
      <c r="J1062" s="65">
        <v>24.8</v>
      </c>
      <c r="K1062" s="65">
        <v>23.2</v>
      </c>
      <c r="L1062" s="65">
        <v>23.32</v>
      </c>
      <c r="M1062" s="65">
        <v>35684662</v>
      </c>
      <c r="N1062" s="65" t="s">
        <v>1108</v>
      </c>
      <c r="O1062" s="25">
        <f t="shared" si="34"/>
        <v>6.1320754716981174E-2</v>
      </c>
    </row>
    <row r="1063" spans="1:15" ht="13.5" customHeight="1">
      <c r="A1063" s="65">
        <v>344.52637634721975</v>
      </c>
      <c r="B1063" s="65">
        <v>347.48778426813033</v>
      </c>
      <c r="C1063" s="65">
        <v>338.19278456798207</v>
      </c>
      <c r="D1063" s="65">
        <v>341.83722689645748</v>
      </c>
      <c r="E1063" s="65">
        <v>8038620.5939101502</v>
      </c>
      <c r="F1063" s="65" t="s">
        <v>1109</v>
      </c>
      <c r="G1063" s="25">
        <f t="shared" si="33"/>
        <v>7.866754230301698E-3</v>
      </c>
      <c r="I1063" s="65">
        <v>22.77</v>
      </c>
      <c r="J1063" s="65">
        <v>23.795000000000002</v>
      </c>
      <c r="K1063" s="65">
        <v>20.95</v>
      </c>
      <c r="L1063" s="65">
        <v>21.54</v>
      </c>
      <c r="M1063" s="65">
        <v>37016198</v>
      </c>
      <c r="N1063" s="65" t="s">
        <v>1109</v>
      </c>
      <c r="O1063" s="25">
        <f t="shared" si="34"/>
        <v>5.7103064066852394E-2</v>
      </c>
    </row>
    <row r="1064" spans="1:15" ht="13.5" customHeight="1">
      <c r="A1064" s="65">
        <v>344.79385835297944</v>
      </c>
      <c r="B1064" s="65">
        <v>354.7575630675268</v>
      </c>
      <c r="C1064" s="65">
        <v>344.16336505368878</v>
      </c>
      <c r="D1064" s="65">
        <v>349.60853445665339</v>
      </c>
      <c r="E1064" s="65">
        <v>8402600.0688041691</v>
      </c>
      <c r="F1064" s="65" t="s">
        <v>1110</v>
      </c>
      <c r="G1064" s="25">
        <f t="shared" si="33"/>
        <v>-1.3771620624641545E-2</v>
      </c>
      <c r="I1064" s="65">
        <v>21.84</v>
      </c>
      <c r="J1064" s="65">
        <v>23.875</v>
      </c>
      <c r="K1064" s="65">
        <v>21.7</v>
      </c>
      <c r="L1064" s="65">
        <v>22.81</v>
      </c>
      <c r="M1064" s="65">
        <v>35183395</v>
      </c>
      <c r="N1064" s="65" t="s">
        <v>1110</v>
      </c>
      <c r="O1064" s="25">
        <f t="shared" si="34"/>
        <v>-4.2525208241999124E-2</v>
      </c>
    </row>
    <row r="1065" spans="1:15" ht="13.5" customHeight="1">
      <c r="A1065" s="65">
        <v>350.43963926026368</v>
      </c>
      <c r="B1065" s="65">
        <v>356.53440782007317</v>
      </c>
      <c r="C1065" s="65">
        <v>346.68533825085137</v>
      </c>
      <c r="D1065" s="65">
        <v>355.27342122149184</v>
      </c>
      <c r="E1065" s="65">
        <v>8239096.2851541527</v>
      </c>
      <c r="F1065" s="65" t="s">
        <v>1111</v>
      </c>
      <c r="G1065" s="25">
        <f t="shared" si="33"/>
        <v>-1.3605808012906784E-2</v>
      </c>
      <c r="I1065" s="65">
        <v>22.89</v>
      </c>
      <c r="J1065" s="65">
        <v>24.09</v>
      </c>
      <c r="K1065" s="65">
        <v>22</v>
      </c>
      <c r="L1065" s="65">
        <v>24.01</v>
      </c>
      <c r="M1065" s="65">
        <v>36436143</v>
      </c>
      <c r="N1065" s="65" t="s">
        <v>1111</v>
      </c>
      <c r="O1065" s="25">
        <f t="shared" si="34"/>
        <v>-4.6647230320699729E-2</v>
      </c>
    </row>
    <row r="1066" spans="1:15" ht="13.5" customHeight="1">
      <c r="A1066" s="65">
        <v>349.54166395521338</v>
      </c>
      <c r="B1066" s="65">
        <v>356.85920739849558</v>
      </c>
      <c r="C1066" s="65">
        <v>348.20425392641511</v>
      </c>
      <c r="D1066" s="65">
        <v>355.71285594523988</v>
      </c>
      <c r="E1066" s="65">
        <v>11298346.561358746</v>
      </c>
      <c r="F1066" s="65" t="s">
        <v>1112</v>
      </c>
      <c r="G1066" s="25">
        <f t="shared" si="33"/>
        <v>-1.7348802234396943E-2</v>
      </c>
      <c r="I1066" s="65">
        <v>23.39</v>
      </c>
      <c r="J1066" s="65">
        <v>25.12</v>
      </c>
      <c r="K1066" s="65">
        <v>23.18</v>
      </c>
      <c r="L1066" s="65">
        <v>24.98</v>
      </c>
      <c r="M1066" s="65">
        <v>31604518</v>
      </c>
      <c r="N1066" s="65" t="s">
        <v>1112</v>
      </c>
      <c r="O1066" s="25">
        <f t="shared" si="34"/>
        <v>-6.3650920736589289E-2</v>
      </c>
    </row>
    <row r="1067" spans="1:15" ht="13.5" customHeight="1">
      <c r="A1067" s="65">
        <v>361.19623706331294</v>
      </c>
      <c r="B1067" s="65">
        <v>364.23406841444046</v>
      </c>
      <c r="C1067" s="65">
        <v>356.27647874309059</v>
      </c>
      <c r="D1067" s="65">
        <v>361.1102607043187</v>
      </c>
      <c r="E1067" s="65">
        <v>8332153.6103723776</v>
      </c>
      <c r="F1067" s="65" t="s">
        <v>1113</v>
      </c>
      <c r="G1067" s="25">
        <f t="shared" si="33"/>
        <v>2.3808893944621268E-4</v>
      </c>
      <c r="I1067" s="65">
        <v>24.92</v>
      </c>
      <c r="J1067" s="65">
        <v>27.2</v>
      </c>
      <c r="K1067" s="65">
        <v>24.81</v>
      </c>
      <c r="L1067" s="65">
        <v>27.11</v>
      </c>
      <c r="M1067" s="65">
        <v>31983176</v>
      </c>
      <c r="N1067" s="65" t="s">
        <v>1113</v>
      </c>
      <c r="O1067" s="25">
        <f t="shared" si="34"/>
        <v>-8.0781999262264814E-2</v>
      </c>
    </row>
    <row r="1068" spans="1:15" ht="13.5" customHeight="1">
      <c r="A1068" s="65">
        <v>363.47938704104718</v>
      </c>
      <c r="B1068" s="65">
        <v>372.86036310018955</v>
      </c>
      <c r="C1068" s="65">
        <v>359.52447452731508</v>
      </c>
      <c r="D1068" s="65">
        <v>372.77438674119537</v>
      </c>
      <c r="E1068" s="65">
        <v>10967582.031054245</v>
      </c>
      <c r="F1068" s="65" t="s">
        <v>1114</v>
      </c>
      <c r="G1068" s="25">
        <f t="shared" si="33"/>
        <v>-2.4934652247450173E-2</v>
      </c>
      <c r="I1068" s="65">
        <v>27.27</v>
      </c>
      <c r="J1068" s="65">
        <v>29.65</v>
      </c>
      <c r="K1068" s="65">
        <v>26.94</v>
      </c>
      <c r="L1068" s="65">
        <v>29.65</v>
      </c>
      <c r="M1068" s="65">
        <v>27858951</v>
      </c>
      <c r="N1068" s="65" t="s">
        <v>1114</v>
      </c>
      <c r="O1068" s="25">
        <f t="shared" si="34"/>
        <v>-8.0269814502529457E-2</v>
      </c>
    </row>
    <row r="1069" spans="1:15" ht="13.5" customHeight="1">
      <c r="A1069" s="65">
        <v>376.71019339737319</v>
      </c>
      <c r="B1069" s="65">
        <v>377.2690397308354</v>
      </c>
      <c r="C1069" s="65">
        <v>363.27877553672738</v>
      </c>
      <c r="D1069" s="65">
        <v>366.21152467130656</v>
      </c>
      <c r="E1069" s="65">
        <v>7712343.6925831232</v>
      </c>
      <c r="F1069" s="65" t="s">
        <v>1115</v>
      </c>
      <c r="G1069" s="25">
        <f t="shared" si="33"/>
        <v>2.866831876874909E-2</v>
      </c>
      <c r="I1069" s="65">
        <v>30.16</v>
      </c>
      <c r="J1069" s="65">
        <v>30.19</v>
      </c>
      <c r="K1069" s="65">
        <v>27.195</v>
      </c>
      <c r="L1069" s="65">
        <v>28.85</v>
      </c>
      <c r="M1069" s="65">
        <v>30175397</v>
      </c>
      <c r="N1069" s="65" t="s">
        <v>1115</v>
      </c>
      <c r="O1069" s="25">
        <f t="shared" si="34"/>
        <v>4.5407279029462622E-2</v>
      </c>
    </row>
    <row r="1070" spans="1:15" ht="13.5" customHeight="1">
      <c r="A1070" s="65">
        <v>365.61924308712446</v>
      </c>
      <c r="B1070" s="65">
        <v>367.84087220353399</v>
      </c>
      <c r="C1070" s="65">
        <v>363.01129353096775</v>
      </c>
      <c r="D1070" s="65">
        <v>364.55886799286293</v>
      </c>
      <c r="E1070" s="65">
        <v>5870132.7423528638</v>
      </c>
      <c r="F1070" s="65" t="s">
        <v>1116</v>
      </c>
      <c r="G1070" s="25">
        <f t="shared" si="33"/>
        <v>2.9086525863424306E-3</v>
      </c>
      <c r="I1070" s="65">
        <v>28.93</v>
      </c>
      <c r="J1070" s="65">
        <v>29.73</v>
      </c>
      <c r="K1070" s="65">
        <v>28.475000000000001</v>
      </c>
      <c r="L1070" s="65">
        <v>29.41</v>
      </c>
      <c r="M1070" s="65">
        <v>24795148</v>
      </c>
      <c r="N1070" s="65" t="s">
        <v>1116</v>
      </c>
      <c r="O1070" s="25">
        <f t="shared" si="34"/>
        <v>-1.632097925875553E-2</v>
      </c>
    </row>
    <row r="1071" spans="1:15" ht="13.5" customHeight="1">
      <c r="A1071" s="65">
        <v>364.04300983889783</v>
      </c>
      <c r="B1071" s="65">
        <v>365.17980836337642</v>
      </c>
      <c r="C1071" s="65">
        <v>355.68419715890849</v>
      </c>
      <c r="D1071" s="65">
        <v>361.85538914893493</v>
      </c>
      <c r="E1071" s="65">
        <v>11239504.920945216</v>
      </c>
      <c r="F1071" s="65" t="s">
        <v>1117</v>
      </c>
      <c r="G1071" s="25">
        <f t="shared" si="33"/>
        <v>6.0455661448295395E-3</v>
      </c>
      <c r="I1071" s="65">
        <v>29.52</v>
      </c>
      <c r="J1071" s="65">
        <v>29.54</v>
      </c>
      <c r="K1071" s="65">
        <v>28.06</v>
      </c>
      <c r="L1071" s="65">
        <v>28.26</v>
      </c>
      <c r="M1071" s="65">
        <v>23474655</v>
      </c>
      <c r="N1071" s="65" t="s">
        <v>1117</v>
      </c>
      <c r="O1071" s="25">
        <f t="shared" si="34"/>
        <v>4.4585987261146487E-2</v>
      </c>
    </row>
    <row r="1072" spans="1:15" ht="13.5" customHeight="1">
      <c r="A1072" s="65">
        <v>361.76941278994076</v>
      </c>
      <c r="B1072" s="65">
        <v>373.94939698078241</v>
      </c>
      <c r="C1072" s="65">
        <v>361.10070777554159</v>
      </c>
      <c r="D1072" s="65">
        <v>372.01015243902492</v>
      </c>
      <c r="E1072" s="65">
        <v>8606725.9495150372</v>
      </c>
      <c r="F1072" s="65" t="s">
        <v>1118</v>
      </c>
      <c r="G1072" s="25">
        <f t="shared" si="33"/>
        <v>-2.7528118740691387E-2</v>
      </c>
      <c r="I1072" s="65">
        <v>28.46</v>
      </c>
      <c r="J1072" s="65">
        <v>30.37</v>
      </c>
      <c r="K1072" s="65">
        <v>28.4</v>
      </c>
      <c r="L1072" s="65">
        <v>29.07</v>
      </c>
      <c r="M1072" s="65">
        <v>39033210</v>
      </c>
      <c r="N1072" s="65" t="s">
        <v>1118</v>
      </c>
      <c r="O1072" s="25">
        <f t="shared" si="34"/>
        <v>-2.0983832129342961E-2</v>
      </c>
    </row>
    <row r="1073" spans="1:15" ht="13.5" customHeight="1">
      <c r="A1073" s="65">
        <v>375.56384194411754</v>
      </c>
      <c r="B1073" s="65">
        <v>377.24515740889251</v>
      </c>
      <c r="C1073" s="65">
        <v>366.70827696771732</v>
      </c>
      <c r="D1073" s="65">
        <v>370.87335391454639</v>
      </c>
      <c r="E1073" s="65">
        <v>7365481.4812859464</v>
      </c>
      <c r="F1073" s="65" t="s">
        <v>1119</v>
      </c>
      <c r="G1073" s="25">
        <f t="shared" si="33"/>
        <v>1.2647142157999003E-2</v>
      </c>
      <c r="I1073" s="65">
        <v>28.81</v>
      </c>
      <c r="J1073" s="65">
        <v>28.96</v>
      </c>
      <c r="K1073" s="65">
        <v>26.44</v>
      </c>
      <c r="L1073" s="65">
        <v>27.91</v>
      </c>
      <c r="M1073" s="65">
        <v>44665167</v>
      </c>
      <c r="N1073" s="65" t="s">
        <v>1119</v>
      </c>
      <c r="O1073" s="25">
        <f t="shared" si="34"/>
        <v>3.2246506628448524E-2</v>
      </c>
    </row>
    <row r="1074" spans="1:15" ht="13.5" customHeight="1">
      <c r="A1074" s="65">
        <v>366.38347738929485</v>
      </c>
      <c r="B1074" s="65">
        <v>371.37010621095715</v>
      </c>
      <c r="C1074" s="65">
        <v>364.44423284753736</v>
      </c>
      <c r="D1074" s="65">
        <v>366.35481860296352</v>
      </c>
      <c r="E1074" s="65">
        <v>6715952.9288639668</v>
      </c>
      <c r="F1074" s="65" t="s">
        <v>1120</v>
      </c>
      <c r="G1074" s="25">
        <f t="shared" si="33"/>
        <v>7.8226857887608858E-5</v>
      </c>
      <c r="I1074" s="65">
        <v>27.09</v>
      </c>
      <c r="J1074" s="65">
        <v>28.99</v>
      </c>
      <c r="K1074" s="65">
        <v>26.56</v>
      </c>
      <c r="L1074" s="65">
        <v>27.97</v>
      </c>
      <c r="M1074" s="65">
        <v>40794882</v>
      </c>
      <c r="N1074" s="65" t="s">
        <v>1120</v>
      </c>
      <c r="O1074" s="25">
        <f t="shared" si="34"/>
        <v>-3.1462281015373628E-2</v>
      </c>
    </row>
    <row r="1075" spans="1:15" ht="13.5" customHeight="1">
      <c r="A1075" s="65">
        <v>365.437737440359</v>
      </c>
      <c r="B1075" s="65">
        <v>374.08313798366225</v>
      </c>
      <c r="C1075" s="65">
        <v>365.34220815258766</v>
      </c>
      <c r="D1075" s="65">
        <v>373.90163233689674</v>
      </c>
      <c r="E1075" s="65">
        <v>8890450.45570926</v>
      </c>
      <c r="F1075" s="65" t="s">
        <v>1121</v>
      </c>
      <c r="G1075" s="25">
        <f t="shared" si="33"/>
        <v>-2.263668880940195E-2</v>
      </c>
      <c r="I1075" s="65">
        <v>28.69</v>
      </c>
      <c r="J1075" s="65">
        <v>29.72</v>
      </c>
      <c r="K1075" s="65">
        <v>28.15</v>
      </c>
      <c r="L1075" s="65">
        <v>29.52</v>
      </c>
      <c r="M1075" s="65">
        <v>34701794</v>
      </c>
      <c r="N1075" s="65" t="s">
        <v>1121</v>
      </c>
      <c r="O1075" s="25">
        <f t="shared" si="34"/>
        <v>-2.8116531165311542E-2</v>
      </c>
    </row>
    <row r="1076" spans="1:15" ht="13.5" customHeight="1">
      <c r="A1076" s="65">
        <v>376.19433524340815</v>
      </c>
      <c r="B1076" s="65">
        <v>376.44118292300925</v>
      </c>
      <c r="C1076" s="65">
        <v>367.78775791953314</v>
      </c>
      <c r="D1076" s="65">
        <v>372.01015243902492</v>
      </c>
      <c r="E1076" s="65">
        <v>8522184.3373203129</v>
      </c>
      <c r="F1076" s="65" t="s">
        <v>1122</v>
      </c>
      <c r="G1076" s="25">
        <f t="shared" si="33"/>
        <v>1.1247496276513669E-2</v>
      </c>
      <c r="I1076" s="65">
        <v>29.91</v>
      </c>
      <c r="J1076" s="65">
        <v>30.79</v>
      </c>
      <c r="K1076" s="65">
        <v>28.91</v>
      </c>
      <c r="L1076" s="65">
        <v>29.28</v>
      </c>
      <c r="M1076" s="65">
        <v>42647811</v>
      </c>
      <c r="N1076" s="65" t="s">
        <v>1122</v>
      </c>
      <c r="O1076" s="25">
        <f t="shared" si="34"/>
        <v>2.1516393442623016E-2</v>
      </c>
    </row>
    <row r="1077" spans="1:15" ht="13.5" customHeight="1">
      <c r="A1077" s="65">
        <v>374.15000848510221</v>
      </c>
      <c r="B1077" s="65">
        <v>383.91787815971833</v>
      </c>
      <c r="C1077" s="65">
        <v>373.61504447358288</v>
      </c>
      <c r="D1077" s="65">
        <v>383.71249019101003</v>
      </c>
      <c r="E1077" s="65">
        <v>6622510.3814708609</v>
      </c>
      <c r="F1077" s="65" t="s">
        <v>1123</v>
      </c>
      <c r="G1077" s="25">
        <f t="shared" si="33"/>
        <v>-2.4920955012821433E-2</v>
      </c>
      <c r="I1077" s="65">
        <v>29.76</v>
      </c>
      <c r="J1077" s="65">
        <v>31.21</v>
      </c>
      <c r="K1077" s="65">
        <v>28.56</v>
      </c>
      <c r="L1077" s="65">
        <v>28.67</v>
      </c>
      <c r="M1077" s="65">
        <v>77506114</v>
      </c>
      <c r="N1077" s="65" t="s">
        <v>1123</v>
      </c>
      <c r="O1077" s="25">
        <f t="shared" si="34"/>
        <v>3.8018835019183905E-2</v>
      </c>
    </row>
    <row r="1078" spans="1:15" ht="13.5" customHeight="1">
      <c r="A1078" s="65">
        <v>384.64867721116883</v>
      </c>
      <c r="B1078" s="65">
        <v>395.18555765234407</v>
      </c>
      <c r="C1078" s="65">
        <v>383.83667826511277</v>
      </c>
      <c r="D1078" s="65">
        <v>393.94367691131703</v>
      </c>
      <c r="E1078" s="65">
        <v>4888713.3034846131</v>
      </c>
      <c r="F1078" s="65" t="s">
        <v>1124</v>
      </c>
      <c r="G1078" s="25">
        <f t="shared" si="33"/>
        <v>-2.3594742713031636E-2</v>
      </c>
      <c r="I1078" s="65">
        <v>29.42</v>
      </c>
      <c r="J1078" s="65">
        <v>31.75</v>
      </c>
      <c r="K1078" s="65">
        <v>28.754999999999999</v>
      </c>
      <c r="L1078" s="65">
        <v>31.364999999999998</v>
      </c>
      <c r="M1078" s="65">
        <v>69311466</v>
      </c>
      <c r="N1078" s="65" t="s">
        <v>1124</v>
      </c>
      <c r="O1078" s="25">
        <f t="shared" si="34"/>
        <v>-6.2011796588554047E-2</v>
      </c>
    </row>
    <row r="1079" spans="1:15" ht="13.5" customHeight="1">
      <c r="A1079" s="65">
        <v>390.43775205011008</v>
      </c>
      <c r="B1079" s="65">
        <v>392.99793696238112</v>
      </c>
      <c r="C1079" s="65">
        <v>389.4442474572885</v>
      </c>
      <c r="D1079" s="65">
        <v>392.45342002208463</v>
      </c>
      <c r="E1079" s="65">
        <v>5304283.2394296797</v>
      </c>
      <c r="F1079" s="65" t="s">
        <v>1125</v>
      </c>
      <c r="G1079" s="25">
        <f t="shared" si="33"/>
        <v>-5.1360693247650691E-3</v>
      </c>
      <c r="I1079" s="65">
        <v>30.76</v>
      </c>
      <c r="J1079" s="65">
        <v>33.18</v>
      </c>
      <c r="K1079" s="65">
        <v>30.7</v>
      </c>
      <c r="L1079" s="65">
        <v>32.93</v>
      </c>
      <c r="M1079" s="65">
        <v>38448259</v>
      </c>
      <c r="N1079" s="65" t="s">
        <v>1125</v>
      </c>
      <c r="O1079" s="25">
        <f t="shared" si="34"/>
        <v>-6.5897358032189435E-2</v>
      </c>
    </row>
    <row r="1080" spans="1:15" ht="13.5" customHeight="1">
      <c r="A1080" s="65">
        <v>390.7338928422011</v>
      </c>
      <c r="B1080" s="65">
        <v>391.45036250048594</v>
      </c>
      <c r="C1080" s="65">
        <v>384.37164227663209</v>
      </c>
      <c r="D1080" s="65">
        <v>384.58180670972894</v>
      </c>
      <c r="E1080" s="65">
        <v>4021290.3179979706</v>
      </c>
      <c r="F1080" s="65" t="s">
        <v>1126</v>
      </c>
      <c r="G1080" s="25">
        <f t="shared" si="33"/>
        <v>1.5996820507724996E-2</v>
      </c>
      <c r="I1080" s="65">
        <v>33.630000000000003</v>
      </c>
      <c r="J1080" s="65">
        <v>34.24</v>
      </c>
      <c r="K1080" s="65">
        <v>32.32</v>
      </c>
      <c r="L1080" s="65">
        <v>32.369999999999997</v>
      </c>
      <c r="M1080" s="65">
        <v>29558193</v>
      </c>
      <c r="N1080" s="65" t="s">
        <v>1126</v>
      </c>
      <c r="O1080" s="25">
        <f t="shared" si="34"/>
        <v>3.8924930491195608E-2</v>
      </c>
    </row>
    <row r="1081" spans="1:15" ht="13.5" customHeight="1">
      <c r="A1081" s="65">
        <v>384.59135963850605</v>
      </c>
      <c r="B1081" s="65">
        <v>386.1484870291784</v>
      </c>
      <c r="C1081" s="65">
        <v>382.53747995142294</v>
      </c>
      <c r="D1081" s="65">
        <v>383.59785504568447</v>
      </c>
      <c r="E1081" s="65">
        <v>4507379.9883320061</v>
      </c>
      <c r="F1081" s="65" t="s">
        <v>1127</v>
      </c>
      <c r="G1081" s="25">
        <f t="shared" si="33"/>
        <v>2.5899638899264943E-3</v>
      </c>
      <c r="I1081" s="65">
        <v>32.64</v>
      </c>
      <c r="J1081" s="65">
        <v>33.35</v>
      </c>
      <c r="K1081" s="65">
        <v>31.6</v>
      </c>
      <c r="L1081" s="65">
        <v>33.19</v>
      </c>
      <c r="M1081" s="65">
        <v>22468142</v>
      </c>
      <c r="N1081" s="65" t="s">
        <v>1127</v>
      </c>
      <c r="O1081" s="25">
        <f t="shared" si="34"/>
        <v>-1.6571256402530765E-2</v>
      </c>
    </row>
    <row r="1082" spans="1:15" ht="13.5" customHeight="1">
      <c r="A1082" s="65">
        <v>384.52448913706615</v>
      </c>
      <c r="B1082" s="65">
        <v>390.50462255154997</v>
      </c>
      <c r="C1082" s="65">
        <v>384.35253641907775</v>
      </c>
      <c r="D1082" s="65">
        <v>389.49201210117417</v>
      </c>
      <c r="E1082" s="65">
        <v>3910506.4919389356</v>
      </c>
      <c r="F1082" s="65" t="s">
        <v>1128</v>
      </c>
      <c r="G1082" s="25">
        <f t="shared" si="33"/>
        <v>-1.2753850681840539E-2</v>
      </c>
      <c r="I1082" s="65">
        <v>33.19</v>
      </c>
      <c r="J1082" s="65">
        <v>35.39</v>
      </c>
      <c r="K1082" s="65">
        <v>33.17</v>
      </c>
      <c r="L1082" s="65">
        <v>35.35</v>
      </c>
      <c r="M1082" s="65">
        <v>17741879</v>
      </c>
      <c r="N1082" s="65" t="s">
        <v>1128</v>
      </c>
      <c r="O1082" s="25">
        <f t="shared" si="34"/>
        <v>-6.1103253182461237E-2</v>
      </c>
    </row>
    <row r="1083" spans="1:15" ht="13.5" customHeight="1">
      <c r="A1083" s="65">
        <v>389.25318888174587</v>
      </c>
      <c r="B1083" s="65">
        <v>389.95055268247643</v>
      </c>
      <c r="C1083" s="65">
        <v>384.48627742195765</v>
      </c>
      <c r="D1083" s="65">
        <v>384.57225378095183</v>
      </c>
      <c r="E1083" s="65">
        <v>4562694.9616064867</v>
      </c>
      <c r="F1083" s="65" t="s">
        <v>1129</v>
      </c>
      <c r="G1083" s="25">
        <f t="shared" si="33"/>
        <v>1.2171796209354824E-2</v>
      </c>
      <c r="I1083" s="65">
        <v>34.68</v>
      </c>
      <c r="J1083" s="65">
        <v>34.92</v>
      </c>
      <c r="K1083" s="65">
        <v>33.3401</v>
      </c>
      <c r="L1083" s="65">
        <v>33.659999999999997</v>
      </c>
      <c r="M1083" s="65">
        <v>18160843</v>
      </c>
      <c r="N1083" s="65" t="s">
        <v>1129</v>
      </c>
      <c r="O1083" s="25">
        <f t="shared" si="34"/>
        <v>3.0303030303030498E-2</v>
      </c>
    </row>
    <row r="1084" spans="1:15" ht="13.5" customHeight="1">
      <c r="A1084" s="65">
        <v>384.90660628815141</v>
      </c>
      <c r="B1084" s="65">
        <v>391.39304492782315</v>
      </c>
      <c r="C1084" s="65">
        <v>383.42590232769612</v>
      </c>
      <c r="D1084" s="65">
        <v>389.11944787886603</v>
      </c>
      <c r="E1084" s="65">
        <v>6925429.0012482358</v>
      </c>
      <c r="F1084" s="65" t="s">
        <v>1130</v>
      </c>
      <c r="G1084" s="25">
        <f t="shared" si="33"/>
        <v>-1.0826602509022121E-2</v>
      </c>
      <c r="I1084" s="65">
        <v>33.57</v>
      </c>
      <c r="J1084" s="65">
        <v>35.950000000000003</v>
      </c>
      <c r="K1084" s="65">
        <v>33.19</v>
      </c>
      <c r="L1084" s="65">
        <v>34.72</v>
      </c>
      <c r="M1084" s="65">
        <v>19538493</v>
      </c>
      <c r="N1084" s="65" t="s">
        <v>1130</v>
      </c>
      <c r="O1084" s="25">
        <f t="shared" si="34"/>
        <v>-3.312211981566815E-2</v>
      </c>
    </row>
    <row r="1085" spans="1:15" ht="13.5" customHeight="1">
      <c r="A1085" s="65">
        <v>386.32043974716669</v>
      </c>
      <c r="B1085" s="65">
        <v>390.77134032300745</v>
      </c>
      <c r="C1085" s="65">
        <v>385.86667563025304</v>
      </c>
      <c r="D1085" s="65">
        <v>390.23714054579034</v>
      </c>
      <c r="E1085" s="65">
        <v>3499224.2462881859</v>
      </c>
      <c r="F1085" s="65" t="s">
        <v>1131</v>
      </c>
      <c r="G1085" s="25">
        <f t="shared" si="33"/>
        <v>-1.0036719706242536E-2</v>
      </c>
      <c r="I1085" s="65">
        <v>34.4</v>
      </c>
      <c r="J1085" s="65">
        <v>35.75</v>
      </c>
      <c r="K1085" s="65">
        <v>34.052999999999997</v>
      </c>
      <c r="L1085" s="65">
        <v>34.65</v>
      </c>
      <c r="M1085" s="65">
        <v>20890421</v>
      </c>
      <c r="N1085" s="65" t="s">
        <v>1131</v>
      </c>
      <c r="O1085" s="25">
        <f t="shared" si="34"/>
        <v>-7.2150072150072297E-3</v>
      </c>
    </row>
    <row r="1086" spans="1:15" ht="13.5" customHeight="1">
      <c r="A1086" s="65">
        <v>393.13167796526091</v>
      </c>
      <c r="B1086" s="65">
        <v>395.70141580630911</v>
      </c>
      <c r="C1086" s="65">
        <v>391.65097400480568</v>
      </c>
      <c r="D1086" s="65">
        <v>393.43737168612915</v>
      </c>
      <c r="E1086" s="65">
        <v>4975240.6941188676</v>
      </c>
      <c r="F1086" s="65" t="s">
        <v>1132</v>
      </c>
      <c r="G1086" s="25">
        <f t="shared" si="33"/>
        <v>-7.7698191089003998E-4</v>
      </c>
      <c r="I1086" s="65">
        <v>35.67</v>
      </c>
      <c r="J1086" s="65">
        <v>36.83</v>
      </c>
      <c r="K1086" s="65">
        <v>35.409999999999997</v>
      </c>
      <c r="L1086" s="65">
        <v>35.880000000000003</v>
      </c>
      <c r="M1086" s="65">
        <v>21718400</v>
      </c>
      <c r="N1086" s="65" t="s">
        <v>1132</v>
      </c>
      <c r="O1086" s="25">
        <f t="shared" si="34"/>
        <v>-5.8528428093646001E-3</v>
      </c>
    </row>
    <row r="1087" spans="1:15" ht="13.5" customHeight="1">
      <c r="A1087" s="65">
        <v>394.08697084297398</v>
      </c>
      <c r="B1087" s="65">
        <v>395.77783923652618</v>
      </c>
      <c r="C1087" s="65">
        <v>389.51111795872839</v>
      </c>
      <c r="D1087" s="65">
        <v>391.28796271127476</v>
      </c>
      <c r="E1087" s="65">
        <v>5185899.6498118713</v>
      </c>
      <c r="F1087" s="65" t="s">
        <v>1133</v>
      </c>
      <c r="G1087" s="25">
        <f t="shared" si="33"/>
        <v>7.1533203124998224E-3</v>
      </c>
      <c r="I1087" s="65">
        <v>36.25</v>
      </c>
      <c r="J1087" s="65">
        <v>37.299999999999997</v>
      </c>
      <c r="K1087" s="65">
        <v>34.58</v>
      </c>
      <c r="L1087" s="65">
        <v>36.39</v>
      </c>
      <c r="M1087" s="65">
        <v>21490374</v>
      </c>
      <c r="N1087" s="65" t="s">
        <v>1133</v>
      </c>
      <c r="O1087" s="25">
        <f t="shared" si="34"/>
        <v>-3.8472107721901905E-3</v>
      </c>
    </row>
    <row r="1088" spans="1:15" ht="13.5" customHeight="1">
      <c r="A1088" s="65">
        <v>392.10951458610793</v>
      </c>
      <c r="B1088" s="65">
        <v>394.21115891707672</v>
      </c>
      <c r="C1088" s="65">
        <v>389.41558867095705</v>
      </c>
      <c r="D1088" s="65">
        <v>392.39610244942185</v>
      </c>
      <c r="E1088" s="65">
        <v>5800018.1193271512</v>
      </c>
      <c r="F1088" s="65" t="s">
        <v>1134</v>
      </c>
      <c r="G1088" s="25">
        <f t="shared" ref="G1088:G1151" si="35">A1088/D1088-1</f>
        <v>-7.3035349108963032E-4</v>
      </c>
      <c r="I1088" s="65">
        <v>36.47</v>
      </c>
      <c r="J1088" s="65">
        <v>37.74</v>
      </c>
      <c r="K1088" s="65">
        <v>35.639899999999997</v>
      </c>
      <c r="L1088" s="65">
        <v>37.369999999999997</v>
      </c>
      <c r="M1088" s="65">
        <v>21554039</v>
      </c>
      <c r="N1088" s="65" t="s">
        <v>1134</v>
      </c>
      <c r="O1088" s="25">
        <f t="shared" ref="O1088:O1151" si="36">I1088/L1088-1</f>
        <v>-2.408348943002403E-2</v>
      </c>
    </row>
    <row r="1089" spans="1:15" ht="13.5" customHeight="1">
      <c r="A1089" s="65">
        <v>396.12174467250287</v>
      </c>
      <c r="B1089" s="65">
        <v>402.0063487992154</v>
      </c>
      <c r="C1089" s="65">
        <v>395.01360493435573</v>
      </c>
      <c r="D1089" s="65">
        <v>399.84738689558384</v>
      </c>
      <c r="E1089" s="65">
        <v>4304473.6289084628</v>
      </c>
      <c r="F1089" s="65" t="s">
        <v>1135</v>
      </c>
      <c r="G1089" s="25">
        <f t="shared" si="35"/>
        <v>-9.317660550458684E-3</v>
      </c>
      <c r="I1089" s="65">
        <v>38.25</v>
      </c>
      <c r="J1089" s="65">
        <v>39.799999999999997</v>
      </c>
      <c r="K1089" s="65">
        <v>37.82</v>
      </c>
      <c r="L1089" s="65">
        <v>39.5</v>
      </c>
      <c r="M1089" s="65">
        <v>22261211</v>
      </c>
      <c r="N1089" s="65" t="s">
        <v>1135</v>
      </c>
      <c r="O1089" s="25">
        <f t="shared" si="36"/>
        <v>-3.1645569620253111E-2</v>
      </c>
    </row>
    <row r="1090" spans="1:15" ht="13.5" customHeight="1">
      <c r="A1090" s="65">
        <v>401.07971470783372</v>
      </c>
      <c r="B1090" s="65">
        <v>401.18479692438211</v>
      </c>
      <c r="C1090" s="65">
        <v>397.13435512287873</v>
      </c>
      <c r="D1090" s="65">
        <v>397.83171892360923</v>
      </c>
      <c r="E1090" s="65">
        <v>5356690.2040035715</v>
      </c>
      <c r="F1090" s="65" t="s">
        <v>1136</v>
      </c>
      <c r="G1090" s="25">
        <f t="shared" si="35"/>
        <v>8.1642454076120696E-3</v>
      </c>
      <c r="I1090" s="65">
        <v>39.340000000000003</v>
      </c>
      <c r="J1090" s="65">
        <v>39.57</v>
      </c>
      <c r="K1090" s="65">
        <v>37.369999999999997</v>
      </c>
      <c r="L1090" s="65">
        <v>38.25</v>
      </c>
      <c r="M1090" s="65">
        <v>25413308</v>
      </c>
      <c r="N1090" s="65" t="s">
        <v>1136</v>
      </c>
      <c r="O1090" s="25">
        <f t="shared" si="36"/>
        <v>2.8496732026143778E-2</v>
      </c>
    </row>
    <row r="1091" spans="1:15" ht="13.5" customHeight="1">
      <c r="A1091" s="65">
        <v>397.70753084950655</v>
      </c>
      <c r="B1091" s="65">
        <v>398.18326670260768</v>
      </c>
      <c r="C1091" s="65">
        <v>394.41177042139645</v>
      </c>
      <c r="D1091" s="65">
        <v>398.05143628548325</v>
      </c>
      <c r="E1091" s="65">
        <v>4881295.6830193968</v>
      </c>
      <c r="F1091" s="65" t="s">
        <v>1137</v>
      </c>
      <c r="G1091" s="25">
        <f t="shared" si="35"/>
        <v>-8.6397235288471208E-4</v>
      </c>
      <c r="I1091" s="65">
        <v>37.39</v>
      </c>
      <c r="J1091" s="65">
        <v>38.6</v>
      </c>
      <c r="K1091" s="65">
        <v>36.200000000000003</v>
      </c>
      <c r="L1091" s="65">
        <v>36.200000000000003</v>
      </c>
      <c r="M1091" s="65">
        <v>25281479</v>
      </c>
      <c r="N1091" s="65" t="s">
        <v>1137</v>
      </c>
      <c r="O1091" s="25">
        <f t="shared" si="36"/>
        <v>3.2872928176795435E-2</v>
      </c>
    </row>
    <row r="1092" spans="1:15" ht="13.5" customHeight="1">
      <c r="A1092" s="65">
        <v>396.60894404013652</v>
      </c>
      <c r="B1092" s="65">
        <v>402.81834774527152</v>
      </c>
      <c r="C1092" s="65">
        <v>396.49430889481096</v>
      </c>
      <c r="D1092" s="65">
        <v>402.14964273087236</v>
      </c>
      <c r="E1092" s="65">
        <v>6151662.1102299038</v>
      </c>
      <c r="F1092" s="65" t="s">
        <v>1138</v>
      </c>
      <c r="G1092" s="25">
        <f t="shared" si="35"/>
        <v>-1.3777703874385372E-2</v>
      </c>
      <c r="I1092" s="65">
        <v>35.99</v>
      </c>
      <c r="J1092" s="65">
        <v>36.869999999999997</v>
      </c>
      <c r="K1092" s="65">
        <v>35.765000000000001</v>
      </c>
      <c r="L1092" s="65">
        <v>36.75</v>
      </c>
      <c r="M1092" s="65">
        <v>15777676</v>
      </c>
      <c r="N1092" s="65" t="s">
        <v>1138</v>
      </c>
      <c r="O1092" s="25">
        <f t="shared" si="36"/>
        <v>-2.0680272108843489E-2</v>
      </c>
    </row>
    <row r="1093" spans="1:15" ht="13.5" customHeight="1">
      <c r="A1093" s="65">
        <v>402.79924188771724</v>
      </c>
      <c r="B1093" s="65">
        <v>405.05373307912009</v>
      </c>
      <c r="C1093" s="65">
        <v>400.83133855962831</v>
      </c>
      <c r="D1093" s="65">
        <v>404.33726342083526</v>
      </c>
      <c r="E1093" s="65">
        <v>5018705.8983182348</v>
      </c>
      <c r="F1093" s="65" t="s">
        <v>1139</v>
      </c>
      <c r="G1093" s="25">
        <f t="shared" si="35"/>
        <v>-3.8038085337617211E-3</v>
      </c>
      <c r="I1093" s="65">
        <v>36.840000000000003</v>
      </c>
      <c r="J1093" s="65">
        <v>38.299999999999997</v>
      </c>
      <c r="K1093" s="65">
        <v>36.5</v>
      </c>
      <c r="L1093" s="65">
        <v>37.549999999999997</v>
      </c>
      <c r="M1093" s="65">
        <v>16516153</v>
      </c>
      <c r="N1093" s="65" t="s">
        <v>1139</v>
      </c>
      <c r="O1093" s="25">
        <f t="shared" si="36"/>
        <v>-1.8908122503328739E-2</v>
      </c>
    </row>
    <row r="1094" spans="1:15" ht="13.5" customHeight="1">
      <c r="A1094" s="65">
        <v>405.32121508487978</v>
      </c>
      <c r="B1094" s="65">
        <v>405.73199102229643</v>
      </c>
      <c r="C1094" s="65">
        <v>401.46183185891891</v>
      </c>
      <c r="D1094" s="65">
        <v>404.05067555752134</v>
      </c>
      <c r="E1094" s="65">
        <v>5768444.5561784273</v>
      </c>
      <c r="F1094" s="65" t="s">
        <v>1140</v>
      </c>
      <c r="G1094" s="25">
        <f t="shared" si="35"/>
        <v>3.1445053905807541E-3</v>
      </c>
      <c r="I1094" s="65">
        <v>37.869999999999997</v>
      </c>
      <c r="J1094" s="65">
        <v>38.270000000000003</v>
      </c>
      <c r="K1094" s="65">
        <v>36.33</v>
      </c>
      <c r="L1094" s="65">
        <v>36.729999999999997</v>
      </c>
      <c r="M1094" s="65">
        <v>18989220</v>
      </c>
      <c r="N1094" s="65" t="s">
        <v>1140</v>
      </c>
      <c r="O1094" s="25">
        <f t="shared" si="36"/>
        <v>3.1037299210454616E-2</v>
      </c>
    </row>
    <row r="1095" spans="1:15" ht="13.5" customHeight="1">
      <c r="A1095" s="65">
        <v>400.25816283300048</v>
      </c>
      <c r="B1095" s="65">
        <v>400.31548040566327</v>
      </c>
      <c r="C1095" s="65">
        <v>395.19511058112118</v>
      </c>
      <c r="D1095" s="65">
        <v>396.92419068978182</v>
      </c>
      <c r="E1095" s="65">
        <v>3554233.5541412937</v>
      </c>
      <c r="F1095" s="65" t="s">
        <v>1141</v>
      </c>
      <c r="G1095" s="25">
        <f t="shared" si="35"/>
        <v>8.3995186522263232E-3</v>
      </c>
      <c r="I1095" s="65">
        <v>36.229999999999997</v>
      </c>
      <c r="J1095" s="65">
        <v>36.619999999999997</v>
      </c>
      <c r="K1095" s="65">
        <v>34.860100000000003</v>
      </c>
      <c r="L1095" s="65">
        <v>35.21</v>
      </c>
      <c r="M1095" s="65">
        <v>15152394</v>
      </c>
      <c r="N1095" s="65" t="s">
        <v>1141</v>
      </c>
      <c r="O1095" s="25">
        <f t="shared" si="36"/>
        <v>2.8969042885543805E-2</v>
      </c>
    </row>
    <row r="1096" spans="1:15" ht="13.5" customHeight="1">
      <c r="A1096" s="65">
        <v>397.51647227396393</v>
      </c>
      <c r="B1096" s="65">
        <v>397.74392750814741</v>
      </c>
      <c r="C1096" s="65">
        <v>393.77650065771724</v>
      </c>
      <c r="D1096" s="65">
        <v>396.2459327466056</v>
      </c>
      <c r="E1096" s="65">
        <v>3813757.1052783141</v>
      </c>
      <c r="F1096" s="65" t="s">
        <v>1142</v>
      </c>
      <c r="G1096" s="25">
        <f t="shared" si="35"/>
        <v>3.2064418139297057E-3</v>
      </c>
      <c r="I1096" s="65">
        <v>35.4</v>
      </c>
      <c r="J1096" s="65">
        <v>37.25</v>
      </c>
      <c r="K1096" s="65">
        <v>34.75</v>
      </c>
      <c r="L1096" s="65">
        <v>37.049999999999997</v>
      </c>
      <c r="M1096" s="65">
        <v>22761575</v>
      </c>
      <c r="N1096" s="65" t="s">
        <v>1142</v>
      </c>
      <c r="O1096" s="25">
        <f t="shared" si="36"/>
        <v>-4.4534412955465563E-2</v>
      </c>
    </row>
    <row r="1097" spans="1:15" ht="13.5" customHeight="1">
      <c r="A1097" s="65">
        <v>395.51035723076649</v>
      </c>
      <c r="B1097" s="65">
        <v>395.58678066098355</v>
      </c>
      <c r="C1097" s="65">
        <v>390.53328133788136</v>
      </c>
      <c r="D1097" s="65">
        <v>391.5649976458115</v>
      </c>
      <c r="E1097" s="65">
        <v>3116653.6142586544</v>
      </c>
      <c r="F1097" s="65" t="s">
        <v>1143</v>
      </c>
      <c r="G1097" s="25">
        <f t="shared" si="35"/>
        <v>1.0075874014979558E-2</v>
      </c>
      <c r="I1097" s="65">
        <v>37.049999999999997</v>
      </c>
      <c r="J1097" s="65">
        <v>37.07</v>
      </c>
      <c r="K1097" s="65">
        <v>35.18</v>
      </c>
      <c r="L1097" s="65">
        <v>36.21</v>
      </c>
      <c r="M1097" s="65">
        <v>16601222</v>
      </c>
      <c r="N1097" s="65" t="s">
        <v>1143</v>
      </c>
      <c r="O1097" s="25">
        <f t="shared" si="36"/>
        <v>2.3198011599005808E-2</v>
      </c>
    </row>
    <row r="1098" spans="1:15" ht="13.5" customHeight="1">
      <c r="A1098" s="65">
        <v>389.71774780817771</v>
      </c>
      <c r="B1098" s="65">
        <v>393.80220078767371</v>
      </c>
      <c r="C1098" s="65">
        <v>389.67966433051345</v>
      </c>
      <c r="D1098" s="65">
        <v>392.41215385292685</v>
      </c>
      <c r="E1098" s="65">
        <v>3930904.6647370933</v>
      </c>
      <c r="F1098" s="65" t="s">
        <v>1144</v>
      </c>
      <c r="G1098" s="25">
        <f t="shared" si="35"/>
        <v>-6.8662655279504436E-3</v>
      </c>
      <c r="I1098" s="65">
        <v>35.880000000000003</v>
      </c>
      <c r="J1098" s="65">
        <v>37.19</v>
      </c>
      <c r="K1098" s="65">
        <v>35.119999999999997</v>
      </c>
      <c r="L1098" s="65">
        <v>35.69</v>
      </c>
      <c r="M1098" s="65">
        <v>16911442</v>
      </c>
      <c r="N1098" s="65" t="s">
        <v>1144</v>
      </c>
      <c r="O1098" s="25">
        <f t="shared" si="36"/>
        <v>5.3236200616419982E-3</v>
      </c>
    </row>
    <row r="1099" spans="1:15" ht="13.5" customHeight="1">
      <c r="A1099" s="65">
        <v>394.80189207636153</v>
      </c>
      <c r="B1099" s="65">
        <v>395.61116597672782</v>
      </c>
      <c r="C1099" s="65">
        <v>391.49815038898367</v>
      </c>
      <c r="D1099" s="65">
        <v>391.49815038898367</v>
      </c>
      <c r="E1099" s="65">
        <v>4444672.8707941398</v>
      </c>
      <c r="F1099" s="65" t="s">
        <v>1145</v>
      </c>
      <c r="G1099" s="25">
        <f t="shared" si="35"/>
        <v>8.438715953307474E-3</v>
      </c>
      <c r="I1099" s="65">
        <v>36.24</v>
      </c>
      <c r="J1099" s="65">
        <v>36.919899999999998</v>
      </c>
      <c r="K1099" s="65">
        <v>34.97</v>
      </c>
      <c r="L1099" s="65">
        <v>35.1999</v>
      </c>
      <c r="M1099" s="65">
        <v>24395069</v>
      </c>
      <c r="N1099" s="65" t="s">
        <v>1145</v>
      </c>
      <c r="O1099" s="25">
        <f t="shared" si="36"/>
        <v>2.9548379398805169E-2</v>
      </c>
    </row>
    <row r="1100" spans="1:15" ht="13.5" customHeight="1">
      <c r="A1100" s="65">
        <v>390.26995823431008</v>
      </c>
      <c r="B1100" s="65">
        <v>392.02179820686774</v>
      </c>
      <c r="C1100" s="65">
        <v>386.95669567751611</v>
      </c>
      <c r="D1100" s="65">
        <v>390.20331214839752</v>
      </c>
      <c r="E1100" s="65">
        <v>4368815.3027047561</v>
      </c>
      <c r="F1100" s="65" t="s">
        <v>1146</v>
      </c>
      <c r="G1100" s="25">
        <f t="shared" si="35"/>
        <v>1.7079836033584428E-4</v>
      </c>
      <c r="I1100" s="65">
        <v>35.17</v>
      </c>
      <c r="J1100" s="65">
        <v>35.770000000000003</v>
      </c>
      <c r="K1100" s="65">
        <v>34.200000000000003</v>
      </c>
      <c r="L1100" s="65">
        <v>35.49</v>
      </c>
      <c r="M1100" s="65">
        <v>19114701</v>
      </c>
      <c r="N1100" s="65" t="s">
        <v>1146</v>
      </c>
      <c r="O1100" s="25">
        <f t="shared" si="36"/>
        <v>-9.0166244012398478E-3</v>
      </c>
    </row>
    <row r="1101" spans="1:15" ht="13.5" customHeight="1">
      <c r="A1101" s="65">
        <v>390.2509164954779</v>
      </c>
      <c r="B1101" s="65">
        <v>390.62223040270482</v>
      </c>
      <c r="C1101" s="65">
        <v>383.91953833378835</v>
      </c>
      <c r="D1101" s="65">
        <v>384.62408267057788</v>
      </c>
      <c r="E1101" s="65">
        <v>6170637.0954747116</v>
      </c>
      <c r="F1101" s="65" t="s">
        <v>1147</v>
      </c>
      <c r="G1101" s="25">
        <f t="shared" si="35"/>
        <v>1.4629437100846632E-2</v>
      </c>
      <c r="I1101" s="65">
        <v>36</v>
      </c>
      <c r="J1101" s="65">
        <v>36.03</v>
      </c>
      <c r="K1101" s="65">
        <v>33.020000000000003</v>
      </c>
      <c r="L1101" s="65">
        <v>33.21</v>
      </c>
      <c r="M1101" s="65">
        <v>28400235</v>
      </c>
      <c r="N1101" s="65" t="s">
        <v>1147</v>
      </c>
      <c r="O1101" s="25">
        <f t="shared" si="36"/>
        <v>8.4010840108400986E-2</v>
      </c>
    </row>
    <row r="1102" spans="1:15" ht="13.5" customHeight="1">
      <c r="A1102" s="65">
        <v>385.98556699707655</v>
      </c>
      <c r="B1102" s="65">
        <v>386.12838003831763</v>
      </c>
      <c r="C1102" s="65">
        <v>379.21622884224757</v>
      </c>
      <c r="D1102" s="65">
        <v>379.53993840239406</v>
      </c>
      <c r="E1102" s="65">
        <v>5438082.1474754727</v>
      </c>
      <c r="F1102" s="65" t="s">
        <v>1148</v>
      </c>
      <c r="G1102" s="25">
        <f t="shared" si="35"/>
        <v>1.6982741320489714E-2</v>
      </c>
      <c r="I1102" s="65">
        <v>33.97</v>
      </c>
      <c r="J1102" s="65">
        <v>34.32</v>
      </c>
      <c r="K1102" s="65">
        <v>30.92</v>
      </c>
      <c r="L1102" s="65">
        <v>31.17</v>
      </c>
      <c r="M1102" s="65">
        <v>25439800</v>
      </c>
      <c r="N1102" s="65" t="s">
        <v>1148</v>
      </c>
      <c r="O1102" s="25">
        <f t="shared" si="36"/>
        <v>8.982996470965654E-2</v>
      </c>
    </row>
    <row r="1103" spans="1:15" ht="13.5" customHeight="1">
      <c r="A1103" s="65">
        <v>381.32034098320003</v>
      </c>
      <c r="B1103" s="65">
        <v>381.35842446086434</v>
      </c>
      <c r="C1103" s="65">
        <v>371.83755504478984</v>
      </c>
      <c r="D1103" s="65">
        <v>376.55038540574668</v>
      </c>
      <c r="E1103" s="65">
        <v>7780099.3546806499</v>
      </c>
      <c r="F1103" s="65" t="s">
        <v>1149</v>
      </c>
      <c r="G1103" s="25">
        <f t="shared" si="35"/>
        <v>1.2667509481668837E-2</v>
      </c>
      <c r="I1103" s="65">
        <v>32.56</v>
      </c>
      <c r="J1103" s="65">
        <v>32.619999999999997</v>
      </c>
      <c r="K1103" s="65">
        <v>30.23</v>
      </c>
      <c r="L1103" s="65">
        <v>30.86</v>
      </c>
      <c r="M1103" s="65">
        <v>34041892</v>
      </c>
      <c r="N1103" s="65" t="s">
        <v>1149</v>
      </c>
      <c r="O1103" s="25">
        <f t="shared" si="36"/>
        <v>5.5087491898898389E-2</v>
      </c>
    </row>
    <row r="1104" spans="1:15" ht="13.5" customHeight="1">
      <c r="A1104" s="65">
        <v>372.98005937471873</v>
      </c>
      <c r="B1104" s="65">
        <v>373.57035327851537</v>
      </c>
      <c r="C1104" s="65">
        <v>366.2012003504737</v>
      </c>
      <c r="D1104" s="65">
        <v>367.3722672886509</v>
      </c>
      <c r="E1104" s="65">
        <v>6028190.0204512654</v>
      </c>
      <c r="F1104" s="65" t="s">
        <v>1150</v>
      </c>
      <c r="G1104" s="25">
        <f t="shared" si="35"/>
        <v>1.5264603742289884E-2</v>
      </c>
      <c r="I1104" s="65">
        <v>29.58</v>
      </c>
      <c r="J1104" s="65">
        <v>30.158000000000001</v>
      </c>
      <c r="K1104" s="65">
        <v>28.576000000000001</v>
      </c>
      <c r="L1104" s="65">
        <v>28.85</v>
      </c>
      <c r="M1104" s="65">
        <v>38242691</v>
      </c>
      <c r="N1104" s="65" t="s">
        <v>1150</v>
      </c>
      <c r="O1104" s="25">
        <f t="shared" si="36"/>
        <v>2.5303292894280682E-2</v>
      </c>
    </row>
    <row r="1105" spans="1:15" ht="13.5" customHeight="1">
      <c r="A1105" s="65">
        <v>364.97300819580005</v>
      </c>
      <c r="B1105" s="65">
        <v>371.5690665272565</v>
      </c>
      <c r="C1105" s="65">
        <v>363.93523342944798</v>
      </c>
      <c r="D1105" s="65">
        <v>368.52429248799587</v>
      </c>
      <c r="E1105" s="65">
        <v>6779817.8064513505</v>
      </c>
      <c r="F1105" s="65" t="s">
        <v>1151</v>
      </c>
      <c r="G1105" s="25">
        <f t="shared" si="35"/>
        <v>-9.6364998579069328E-3</v>
      </c>
      <c r="I1105" s="65">
        <v>28</v>
      </c>
      <c r="J1105" s="65">
        <v>30.14</v>
      </c>
      <c r="K1105" s="65">
        <v>27.67</v>
      </c>
      <c r="L1105" s="65">
        <v>29.53</v>
      </c>
      <c r="M1105" s="65">
        <v>32917781</v>
      </c>
      <c r="N1105" s="65" t="s">
        <v>1151</v>
      </c>
      <c r="O1105" s="25">
        <f t="shared" si="36"/>
        <v>-5.1811716898069848E-2</v>
      </c>
    </row>
    <row r="1106" spans="1:15" ht="13.5" customHeight="1">
      <c r="A1106" s="65">
        <v>367.65789337113313</v>
      </c>
      <c r="B1106" s="65">
        <v>375.30305630354678</v>
      </c>
      <c r="C1106" s="65">
        <v>367.20089163916151</v>
      </c>
      <c r="D1106" s="65">
        <v>374.7604619555247</v>
      </c>
      <c r="E1106" s="65">
        <v>6168343.187319315</v>
      </c>
      <c r="F1106" s="65" t="s">
        <v>1152</v>
      </c>
      <c r="G1106" s="25">
        <f t="shared" si="35"/>
        <v>-1.8952289009704804E-2</v>
      </c>
      <c r="I1106" s="65">
        <v>30.05</v>
      </c>
      <c r="J1106" s="65">
        <v>32.409999999999997</v>
      </c>
      <c r="K1106" s="65">
        <v>29.745000000000001</v>
      </c>
      <c r="L1106" s="65">
        <v>32.380000000000003</v>
      </c>
      <c r="M1106" s="65">
        <v>23181898</v>
      </c>
      <c r="N1106" s="65" t="s">
        <v>1152</v>
      </c>
      <c r="O1106" s="25">
        <f t="shared" si="36"/>
        <v>-7.1957998764669573E-2</v>
      </c>
    </row>
    <row r="1107" spans="1:15" ht="13.5" customHeight="1">
      <c r="A1107" s="65">
        <v>372.40880720975429</v>
      </c>
      <c r="B1107" s="65">
        <v>373.2276019795367</v>
      </c>
      <c r="C1107" s="65">
        <v>368.01016553952786</v>
      </c>
      <c r="D1107" s="65">
        <v>369.82865159799809</v>
      </c>
      <c r="E1107" s="65">
        <v>6716600.8906743284</v>
      </c>
      <c r="F1107" s="65" t="s">
        <v>1153</v>
      </c>
      <c r="G1107" s="25">
        <f t="shared" si="35"/>
        <v>6.9766244465039318E-3</v>
      </c>
      <c r="I1107" s="65">
        <v>31.74</v>
      </c>
      <c r="J1107" s="65">
        <v>32.76</v>
      </c>
      <c r="K1107" s="65">
        <v>31.06</v>
      </c>
      <c r="L1107" s="65">
        <v>32.75</v>
      </c>
      <c r="M1107" s="65">
        <v>21145733</v>
      </c>
      <c r="N1107" s="65" t="s">
        <v>1153</v>
      </c>
      <c r="O1107" s="25">
        <f t="shared" si="36"/>
        <v>-3.0839694656488614E-2</v>
      </c>
    </row>
    <row r="1108" spans="1:15" ht="13.5" customHeight="1">
      <c r="A1108" s="65">
        <v>374.07495935756731</v>
      </c>
      <c r="B1108" s="65">
        <v>375.93152889370185</v>
      </c>
      <c r="C1108" s="65">
        <v>370.09523594164818</v>
      </c>
      <c r="D1108" s="65">
        <v>372.15174373552026</v>
      </c>
      <c r="E1108" s="65">
        <v>6105112.6173270829</v>
      </c>
      <c r="F1108" s="65" t="s">
        <v>1154</v>
      </c>
      <c r="G1108" s="25">
        <f t="shared" si="35"/>
        <v>5.1678264428980381E-3</v>
      </c>
      <c r="I1108" s="65">
        <v>33.68</v>
      </c>
      <c r="J1108" s="65">
        <v>34.229999999999997</v>
      </c>
      <c r="K1108" s="65">
        <v>31.78</v>
      </c>
      <c r="L1108" s="65">
        <v>32</v>
      </c>
      <c r="M1108" s="65">
        <v>26986366</v>
      </c>
      <c r="N1108" s="65" t="s">
        <v>1154</v>
      </c>
      <c r="O1108" s="25">
        <f t="shared" si="36"/>
        <v>5.2499999999999991E-2</v>
      </c>
    </row>
    <row r="1109" spans="1:15" ht="13.5" customHeight="1">
      <c r="A1109" s="65">
        <v>364.36367255317134</v>
      </c>
      <c r="B1109" s="65">
        <v>373.92262544691016</v>
      </c>
      <c r="C1109" s="65">
        <v>363.35446039506741</v>
      </c>
      <c r="D1109" s="65">
        <v>367.27705859449014</v>
      </c>
      <c r="E1109" s="65">
        <v>9826912.429030614</v>
      </c>
      <c r="F1109" s="65" t="s">
        <v>1155</v>
      </c>
      <c r="G1109" s="25">
        <f t="shared" si="35"/>
        <v>-7.9323931978432238E-3</v>
      </c>
      <c r="I1109" s="65">
        <v>31.22</v>
      </c>
      <c r="J1109" s="65">
        <v>32.72</v>
      </c>
      <c r="K1109" s="65">
        <v>29.58</v>
      </c>
      <c r="L1109" s="65">
        <v>30.01</v>
      </c>
      <c r="M1109" s="65">
        <v>28109575</v>
      </c>
      <c r="N1109" s="65" t="s">
        <v>1155</v>
      </c>
      <c r="O1109" s="25">
        <f t="shared" si="36"/>
        <v>4.0319893368876869E-2</v>
      </c>
    </row>
    <row r="1110" spans="1:15" ht="13.5" customHeight="1">
      <c r="A1110" s="65">
        <v>367.134245553249</v>
      </c>
      <c r="B1110" s="65">
        <v>377.97851581815786</v>
      </c>
      <c r="C1110" s="65">
        <v>367.08664120616862</v>
      </c>
      <c r="D1110" s="65">
        <v>377.72145234392389</v>
      </c>
      <c r="E1110" s="65">
        <v>8834784.5479305927</v>
      </c>
      <c r="F1110" s="65" t="s">
        <v>1156</v>
      </c>
      <c r="G1110" s="25">
        <f t="shared" si="35"/>
        <v>-2.8029138204824555E-2</v>
      </c>
      <c r="I1110" s="65">
        <v>30.22</v>
      </c>
      <c r="J1110" s="65">
        <v>33.340000000000003</v>
      </c>
      <c r="K1110" s="65">
        <v>30.19</v>
      </c>
      <c r="L1110" s="65">
        <v>33.15</v>
      </c>
      <c r="M1110" s="65">
        <v>32356665</v>
      </c>
      <c r="N1110" s="65" t="s">
        <v>1156</v>
      </c>
      <c r="O1110" s="25">
        <f t="shared" si="36"/>
        <v>-8.8386123680241346E-2</v>
      </c>
    </row>
    <row r="1111" spans="1:15" ht="13.5" customHeight="1">
      <c r="A1111" s="65">
        <v>378.3022253783044</v>
      </c>
      <c r="B1111" s="65">
        <v>379.33657263166674</v>
      </c>
      <c r="C1111" s="65">
        <v>374.5224402201228</v>
      </c>
      <c r="D1111" s="65">
        <v>377.91186973224535</v>
      </c>
      <c r="E1111" s="65">
        <v>6640651.9443754582</v>
      </c>
      <c r="F1111" s="65" t="s">
        <v>1157</v>
      </c>
      <c r="G1111" s="25">
        <f t="shared" si="35"/>
        <v>1.0329277202529852E-3</v>
      </c>
      <c r="I1111" s="65">
        <v>33.090000000000003</v>
      </c>
      <c r="J1111" s="65">
        <v>36.72</v>
      </c>
      <c r="K1111" s="65">
        <v>32.89</v>
      </c>
      <c r="L1111" s="65">
        <v>36.39</v>
      </c>
      <c r="M1111" s="65">
        <v>22236855</v>
      </c>
      <c r="N1111" s="65" t="s">
        <v>1157</v>
      </c>
      <c r="O1111" s="25">
        <f t="shared" si="36"/>
        <v>-9.068425391591084E-2</v>
      </c>
    </row>
    <row r="1112" spans="1:15" ht="13.5" customHeight="1">
      <c r="A1112" s="65">
        <v>381.38698706911254</v>
      </c>
      <c r="B1112" s="65">
        <v>386.1093382994855</v>
      </c>
      <c r="C1112" s="65">
        <v>379.76843926837989</v>
      </c>
      <c r="D1112" s="65">
        <v>385.61425308984963</v>
      </c>
      <c r="E1112" s="65">
        <v>9185367.0267076418</v>
      </c>
      <c r="F1112" s="65" t="s">
        <v>1158</v>
      </c>
      <c r="G1112" s="25">
        <f t="shared" si="35"/>
        <v>-1.0962421608809447E-2</v>
      </c>
      <c r="I1112" s="65">
        <v>35.659999999999997</v>
      </c>
      <c r="J1112" s="65">
        <v>37.42</v>
      </c>
      <c r="K1112" s="65">
        <v>35.01</v>
      </c>
      <c r="L1112" s="65">
        <v>37.299999999999997</v>
      </c>
      <c r="M1112" s="65">
        <v>23087657</v>
      </c>
      <c r="N1112" s="65" t="s">
        <v>1158</v>
      </c>
      <c r="O1112" s="25">
        <f t="shared" si="36"/>
        <v>-4.3967828418230548E-2</v>
      </c>
    </row>
    <row r="1113" spans="1:15" ht="13.5" customHeight="1">
      <c r="A1113" s="65">
        <v>383.31020269115959</v>
      </c>
      <c r="B1113" s="65">
        <v>384.73833310357077</v>
      </c>
      <c r="C1113" s="65">
        <v>377.76905669100421</v>
      </c>
      <c r="D1113" s="65">
        <v>378.66401841611525</v>
      </c>
      <c r="E1113" s="65">
        <v>8597080.4159761071</v>
      </c>
      <c r="F1113" s="65" t="s">
        <v>1159</v>
      </c>
      <c r="G1113" s="25">
        <f t="shared" si="35"/>
        <v>1.2269938650306678E-2</v>
      </c>
      <c r="I1113" s="65">
        <v>37.369999999999997</v>
      </c>
      <c r="J1113" s="65">
        <v>38.119999999999997</v>
      </c>
      <c r="K1113" s="65">
        <v>35.75</v>
      </c>
      <c r="L1113" s="65">
        <v>38.119999999999997</v>
      </c>
      <c r="M1113" s="65">
        <v>30985498</v>
      </c>
      <c r="N1113" s="65" t="s">
        <v>1159</v>
      </c>
      <c r="O1113" s="25">
        <f t="shared" si="36"/>
        <v>-1.9674711437565606E-2</v>
      </c>
    </row>
    <row r="1114" spans="1:15" ht="13.5" customHeight="1">
      <c r="A1114" s="65">
        <v>376.39805149508948</v>
      </c>
      <c r="B1114" s="65">
        <v>382.66278357086657</v>
      </c>
      <c r="C1114" s="65">
        <v>373.97022979399054</v>
      </c>
      <c r="D1114" s="65">
        <v>380.84429751239628</v>
      </c>
      <c r="E1114" s="65">
        <v>9583591.1630032975</v>
      </c>
      <c r="F1114" s="65" t="s">
        <v>1160</v>
      </c>
      <c r="G1114" s="25">
        <f t="shared" si="35"/>
        <v>-1.1674708132296763E-2</v>
      </c>
      <c r="I1114" s="65">
        <v>37.840000000000003</v>
      </c>
      <c r="J1114" s="65">
        <v>41.32</v>
      </c>
      <c r="K1114" s="65">
        <v>37.46</v>
      </c>
      <c r="L1114" s="65">
        <v>39.81</v>
      </c>
      <c r="M1114" s="65">
        <v>28341883</v>
      </c>
      <c r="N1114" s="65" t="s">
        <v>1160</v>
      </c>
      <c r="O1114" s="25">
        <f t="shared" si="36"/>
        <v>-4.9485054006531026E-2</v>
      </c>
    </row>
    <row r="1115" spans="1:15" ht="13.5" customHeight="1">
      <c r="A1115" s="65">
        <v>382.12961488356638</v>
      </c>
      <c r="B1115" s="65">
        <v>383.54822442656149</v>
      </c>
      <c r="C1115" s="65">
        <v>377.02642887655043</v>
      </c>
      <c r="D1115" s="65">
        <v>378.14989146764719</v>
      </c>
      <c r="E1115" s="65">
        <v>12452583.353347003</v>
      </c>
      <c r="F1115" s="65" t="s">
        <v>1161</v>
      </c>
      <c r="G1115" s="25">
        <f t="shared" si="35"/>
        <v>1.0524195578830886E-2</v>
      </c>
      <c r="I1115" s="65">
        <v>39.94</v>
      </c>
      <c r="J1115" s="65">
        <v>40.96</v>
      </c>
      <c r="K1115" s="65">
        <v>38.840000000000003</v>
      </c>
      <c r="L1115" s="65">
        <v>39.49</v>
      </c>
      <c r="M1115" s="65">
        <v>23393049</v>
      </c>
      <c r="N1115" s="65" t="s">
        <v>1161</v>
      </c>
      <c r="O1115" s="25">
        <f t="shared" si="36"/>
        <v>1.1395289946821929E-2</v>
      </c>
    </row>
    <row r="1116" spans="1:15" ht="13.5" customHeight="1">
      <c r="A1116" s="65">
        <v>383.09122269458987</v>
      </c>
      <c r="B1116" s="65">
        <v>383.23403573583096</v>
      </c>
      <c r="C1116" s="65">
        <v>374.54671843713385</v>
      </c>
      <c r="D1116" s="65">
        <v>376.02673758786261</v>
      </c>
      <c r="E1116" s="65">
        <v>12252270.764584882</v>
      </c>
      <c r="F1116" s="65" t="s">
        <v>1162</v>
      </c>
      <c r="G1116" s="25">
        <f t="shared" si="35"/>
        <v>1.8787188251677467E-2</v>
      </c>
      <c r="I1116" s="65">
        <v>39.15</v>
      </c>
      <c r="J1116" s="65">
        <v>39.564999999999998</v>
      </c>
      <c r="K1116" s="65">
        <v>38.1</v>
      </c>
      <c r="L1116" s="65">
        <v>38.840000000000003</v>
      </c>
      <c r="M1116" s="65">
        <v>19173456</v>
      </c>
      <c r="N1116" s="65" t="s">
        <v>1162</v>
      </c>
      <c r="O1116" s="25">
        <f t="shared" si="36"/>
        <v>7.9814624098866194E-3</v>
      </c>
    </row>
    <row r="1117" spans="1:15" ht="13.5" customHeight="1">
      <c r="A1117" s="65">
        <v>374.90327499676579</v>
      </c>
      <c r="B1117" s="65">
        <v>375.28410977340877</v>
      </c>
      <c r="C1117" s="65">
        <v>359.4128204568126</v>
      </c>
      <c r="D1117" s="65">
        <v>359.66036306163051</v>
      </c>
      <c r="E1117" s="65">
        <v>22347980.074253228</v>
      </c>
      <c r="F1117" s="65" t="s">
        <v>1163</v>
      </c>
      <c r="G1117" s="25">
        <f t="shared" si="35"/>
        <v>4.2381406183820358E-2</v>
      </c>
      <c r="I1117" s="65">
        <v>38.83</v>
      </c>
      <c r="J1117" s="65">
        <v>39.049999999999997</v>
      </c>
      <c r="K1117" s="65">
        <v>34.950000000000003</v>
      </c>
      <c r="L1117" s="65">
        <v>34.950000000000003</v>
      </c>
      <c r="M1117" s="65">
        <v>26703639</v>
      </c>
      <c r="N1117" s="65" t="s">
        <v>1163</v>
      </c>
      <c r="O1117" s="25">
        <f t="shared" si="36"/>
        <v>0.11101573676680965</v>
      </c>
    </row>
    <row r="1118" spans="1:15" ht="13.5" customHeight="1">
      <c r="A1118" s="65">
        <v>369.22883682478539</v>
      </c>
      <c r="B1118" s="65">
        <v>379.2352705810797</v>
      </c>
      <c r="C1118" s="65">
        <v>368.81943943989421</v>
      </c>
      <c r="D1118" s="65">
        <v>378.68306015494738</v>
      </c>
      <c r="E1118" s="65">
        <v>12766539.975307737</v>
      </c>
      <c r="F1118" s="65" t="s">
        <v>1164</v>
      </c>
      <c r="G1118" s="25">
        <f t="shared" si="35"/>
        <v>-2.4966058228993893E-2</v>
      </c>
      <c r="I1118" s="65">
        <v>36.979999999999997</v>
      </c>
      <c r="J1118" s="65">
        <v>38.15</v>
      </c>
      <c r="K1118" s="65">
        <v>36.159999999999997</v>
      </c>
      <c r="L1118" s="65">
        <v>37.19</v>
      </c>
      <c r="M1118" s="65">
        <v>24429892</v>
      </c>
      <c r="N1118" s="65" t="s">
        <v>1164</v>
      </c>
      <c r="O1118" s="25">
        <f t="shared" si="36"/>
        <v>-5.6466792148427425E-3</v>
      </c>
    </row>
    <row r="1119" spans="1:15" ht="13.5" customHeight="1">
      <c r="A1119" s="65">
        <v>375.99817497961436</v>
      </c>
      <c r="B1119" s="65">
        <v>381.18704881137501</v>
      </c>
      <c r="C1119" s="65">
        <v>372.74679807402492</v>
      </c>
      <c r="D1119" s="65">
        <v>378.02612016523824</v>
      </c>
      <c r="E1119" s="65">
        <v>10938849.746658998</v>
      </c>
      <c r="F1119" s="65" t="s">
        <v>1165</v>
      </c>
      <c r="G1119" s="25">
        <f t="shared" si="35"/>
        <v>-5.3645636569701338E-3</v>
      </c>
      <c r="I1119" s="65">
        <v>36.869999999999997</v>
      </c>
      <c r="J1119" s="65">
        <v>38.47</v>
      </c>
      <c r="K1119" s="65">
        <v>36.369999999999997</v>
      </c>
      <c r="L1119" s="65">
        <v>37.75</v>
      </c>
      <c r="M1119" s="65">
        <v>25433105</v>
      </c>
      <c r="N1119" s="65" t="s">
        <v>1165</v>
      </c>
      <c r="O1119" s="25">
        <f t="shared" si="36"/>
        <v>-2.331125827814573E-2</v>
      </c>
    </row>
    <row r="1120" spans="1:15" ht="13.5" customHeight="1">
      <c r="A1120" s="65">
        <v>380.15879491443894</v>
      </c>
      <c r="B1120" s="65">
        <v>383.98618441970086</v>
      </c>
      <c r="C1120" s="65">
        <v>377.97851581815786</v>
      </c>
      <c r="D1120" s="65">
        <v>382.88176356743622</v>
      </c>
      <c r="E1120" s="65">
        <v>11102801.16031504</v>
      </c>
      <c r="F1120" s="65" t="s">
        <v>1166</v>
      </c>
      <c r="G1120" s="25">
        <f t="shared" si="35"/>
        <v>-7.1117742136017625E-3</v>
      </c>
      <c r="I1120" s="65">
        <v>38.01</v>
      </c>
      <c r="J1120" s="65">
        <v>40.4</v>
      </c>
      <c r="K1120" s="65">
        <v>37.94</v>
      </c>
      <c r="L1120" s="65">
        <v>39.61</v>
      </c>
      <c r="M1120" s="65">
        <v>23064203</v>
      </c>
      <c r="N1120" s="65" t="s">
        <v>1166</v>
      </c>
      <c r="O1120" s="25">
        <f t="shared" si="36"/>
        <v>-4.039383993940926E-2</v>
      </c>
    </row>
    <row r="1121" spans="1:15" ht="13.5" customHeight="1">
      <c r="A1121" s="65">
        <v>382.60565835437012</v>
      </c>
      <c r="B1121" s="65">
        <v>388.43243043700767</v>
      </c>
      <c r="C1121" s="65">
        <v>382.00584358115742</v>
      </c>
      <c r="D1121" s="65">
        <v>387.96590783562004</v>
      </c>
      <c r="E1121" s="65">
        <v>7920485.693531529</v>
      </c>
      <c r="F1121" s="65" t="s">
        <v>1167</v>
      </c>
      <c r="G1121" s="25">
        <f t="shared" si="35"/>
        <v>-1.3816289970305928E-2</v>
      </c>
      <c r="I1121" s="65">
        <v>39.450000000000003</v>
      </c>
      <c r="J1121" s="65">
        <v>40.82</v>
      </c>
      <c r="K1121" s="65">
        <v>39.17</v>
      </c>
      <c r="L1121" s="65">
        <v>40.450000000000003</v>
      </c>
      <c r="M1121" s="65">
        <v>24624407</v>
      </c>
      <c r="N1121" s="65" t="s">
        <v>1167</v>
      </c>
      <c r="O1121" s="25">
        <f t="shared" si="36"/>
        <v>-2.4721878862793534E-2</v>
      </c>
    </row>
    <row r="1122" spans="1:15" ht="13.5" customHeight="1">
      <c r="A1122" s="65">
        <v>390.9173773546031</v>
      </c>
      <c r="B1122" s="65">
        <v>392.15509037869282</v>
      </c>
      <c r="C1122" s="65">
        <v>386.85196611393928</v>
      </c>
      <c r="D1122" s="65">
        <v>388.64188956416132</v>
      </c>
      <c r="E1122" s="65">
        <v>8133463.0920636933</v>
      </c>
      <c r="F1122" s="65" t="s">
        <v>1168</v>
      </c>
      <c r="G1122" s="25">
        <f t="shared" si="35"/>
        <v>5.8549730524253274E-3</v>
      </c>
      <c r="I1122" s="65">
        <v>40.01</v>
      </c>
      <c r="J1122" s="65">
        <v>40.6</v>
      </c>
      <c r="K1122" s="65">
        <v>38.96</v>
      </c>
      <c r="L1122" s="65">
        <v>38.96</v>
      </c>
      <c r="M1122" s="65">
        <v>35643451</v>
      </c>
      <c r="N1122" s="65" t="s">
        <v>1168</v>
      </c>
      <c r="O1122" s="25">
        <f t="shared" si="36"/>
        <v>2.6950718685831543E-2</v>
      </c>
    </row>
    <row r="1123" spans="1:15" ht="13.5" customHeight="1">
      <c r="A1123" s="65">
        <v>390.45085475321548</v>
      </c>
      <c r="B1123" s="65">
        <v>390.63175127212088</v>
      </c>
      <c r="C1123" s="65">
        <v>387.93734522737179</v>
      </c>
      <c r="D1123" s="65">
        <v>388.62284782532919</v>
      </c>
      <c r="E1123" s="65">
        <v>7165620.808202262</v>
      </c>
      <c r="F1123" s="65" t="s">
        <v>1169</v>
      </c>
      <c r="G1123" s="25">
        <f t="shared" si="35"/>
        <v>4.7038071439071683E-3</v>
      </c>
      <c r="I1123" s="65">
        <v>41.43</v>
      </c>
      <c r="J1123" s="65">
        <v>41.46</v>
      </c>
      <c r="K1123" s="65">
        <v>39.94</v>
      </c>
      <c r="L1123" s="65">
        <v>40.159999999999997</v>
      </c>
      <c r="M1123" s="65">
        <v>26091583</v>
      </c>
      <c r="N1123" s="65" t="s">
        <v>1169</v>
      </c>
      <c r="O1123" s="25">
        <f t="shared" si="36"/>
        <v>3.1623505976095645E-2</v>
      </c>
    </row>
    <row r="1124" spans="1:15" ht="13.5" customHeight="1">
      <c r="A1124" s="65">
        <v>384.28133137159921</v>
      </c>
      <c r="B1124" s="65">
        <v>386.53777742320887</v>
      </c>
      <c r="C1124" s="65">
        <v>381.063277508966</v>
      </c>
      <c r="D1124" s="65">
        <v>385.05252179430124</v>
      </c>
      <c r="E1124" s="65">
        <v>10679260.008370262</v>
      </c>
      <c r="F1124" s="65" t="s">
        <v>1170</v>
      </c>
      <c r="G1124" s="25">
        <f t="shared" si="35"/>
        <v>-2.0028187819894905E-3</v>
      </c>
      <c r="I1124" s="65">
        <v>39.619999999999997</v>
      </c>
      <c r="J1124" s="65">
        <v>41.89</v>
      </c>
      <c r="K1124" s="65">
        <v>39.5</v>
      </c>
      <c r="L1124" s="65">
        <v>39.96</v>
      </c>
      <c r="M1124" s="65">
        <v>37579849</v>
      </c>
      <c r="N1124" s="65" t="s">
        <v>1170</v>
      </c>
      <c r="O1124" s="25">
        <f t="shared" si="36"/>
        <v>-8.5085085085085943E-3</v>
      </c>
    </row>
    <row r="1125" spans="1:15" ht="13.5" customHeight="1">
      <c r="A1125" s="65">
        <v>385.53808613452105</v>
      </c>
      <c r="B1125" s="65">
        <v>395.30649815541346</v>
      </c>
      <c r="C1125" s="65">
        <v>384.23372702451883</v>
      </c>
      <c r="D1125" s="65">
        <v>393.35471992511816</v>
      </c>
      <c r="E1125" s="65">
        <v>10984906.464888917</v>
      </c>
      <c r="F1125" s="65" t="s">
        <v>1171</v>
      </c>
      <c r="G1125" s="25">
        <f t="shared" si="35"/>
        <v>-1.9871717293960867E-2</v>
      </c>
      <c r="I1125" s="65">
        <v>39.49</v>
      </c>
      <c r="J1125" s="65">
        <v>41.97</v>
      </c>
      <c r="K1125" s="65">
        <v>39.07</v>
      </c>
      <c r="L1125" s="65">
        <v>40.380000000000003</v>
      </c>
      <c r="M1125" s="65">
        <v>42826896</v>
      </c>
      <c r="N1125" s="65" t="s">
        <v>1171</v>
      </c>
      <c r="O1125" s="25">
        <f t="shared" si="36"/>
        <v>-2.2040614165428463E-2</v>
      </c>
    </row>
    <row r="1126" spans="1:15" ht="13.5" customHeight="1">
      <c r="A1126" s="65">
        <v>393.38328253336641</v>
      </c>
      <c r="B1126" s="65">
        <v>400.63818502841519</v>
      </c>
      <c r="C1126" s="65">
        <v>391.44102517248723</v>
      </c>
      <c r="D1126" s="65">
        <v>395.04943468117949</v>
      </c>
      <c r="E1126" s="65">
        <v>9726487.7768044509</v>
      </c>
      <c r="F1126" s="65" t="s">
        <v>1172</v>
      </c>
      <c r="G1126" s="25">
        <f t="shared" si="35"/>
        <v>-4.2175788687249804E-3</v>
      </c>
      <c r="I1126" s="65">
        <v>40.619999999999997</v>
      </c>
      <c r="J1126" s="65">
        <v>41.97</v>
      </c>
      <c r="K1126" s="65">
        <v>38.505000000000003</v>
      </c>
      <c r="L1126" s="65">
        <v>38.51</v>
      </c>
      <c r="M1126" s="65">
        <v>65264309</v>
      </c>
      <c r="N1126" s="65" t="s">
        <v>1172</v>
      </c>
      <c r="O1126" s="25">
        <f t="shared" si="36"/>
        <v>5.4790963386133429E-2</v>
      </c>
    </row>
    <row r="1127" spans="1:15" ht="13.5" customHeight="1">
      <c r="A1127" s="65">
        <v>400.41920503184548</v>
      </c>
      <c r="B1127" s="65">
        <v>400.7048311143277</v>
      </c>
      <c r="C1127" s="65">
        <v>398.30081158676893</v>
      </c>
      <c r="D1127" s="65">
        <v>398.49598940979843</v>
      </c>
      <c r="E1127" s="65">
        <v>6600719.6668296587</v>
      </c>
      <c r="F1127" s="65" t="s">
        <v>1173</v>
      </c>
      <c r="G1127" s="25">
        <f t="shared" si="35"/>
        <v>4.8261856409030912E-3</v>
      </c>
      <c r="I1127" s="65">
        <v>40.28</v>
      </c>
      <c r="J1127" s="65">
        <v>40.33</v>
      </c>
      <c r="K1127" s="65">
        <v>37.11</v>
      </c>
      <c r="L1127" s="65">
        <v>37.74</v>
      </c>
      <c r="M1127" s="65">
        <v>67166842</v>
      </c>
      <c r="N1127" s="65" t="s">
        <v>1173</v>
      </c>
      <c r="O1127" s="25">
        <f t="shared" si="36"/>
        <v>6.7302596714361451E-2</v>
      </c>
    </row>
    <row r="1128" spans="1:15" ht="13.5" customHeight="1">
      <c r="A1128" s="65">
        <v>394.63051642687219</v>
      </c>
      <c r="B1128" s="65">
        <v>395.55404076023137</v>
      </c>
      <c r="C1128" s="65">
        <v>389.73678954700989</v>
      </c>
      <c r="D1128" s="65">
        <v>391.04114865701212</v>
      </c>
      <c r="E1128" s="65">
        <v>5845773.9065333754</v>
      </c>
      <c r="F1128" s="65" t="s">
        <v>1174</v>
      </c>
      <c r="G1128" s="25">
        <f t="shared" si="35"/>
        <v>9.179002726918517E-3</v>
      </c>
      <c r="I1128" s="65">
        <v>37.56</v>
      </c>
      <c r="J1128" s="65">
        <v>37.76</v>
      </c>
      <c r="K1128" s="65">
        <v>34.869999999999997</v>
      </c>
      <c r="L1128" s="65">
        <v>35.51</v>
      </c>
      <c r="M1128" s="65">
        <v>85621130</v>
      </c>
      <c r="N1128" s="65" t="s">
        <v>1174</v>
      </c>
      <c r="O1128" s="25">
        <f t="shared" si="36"/>
        <v>5.7730216840326865E-2</v>
      </c>
    </row>
    <row r="1129" spans="1:15" ht="13.5" customHeight="1">
      <c r="A1129" s="65">
        <v>391.46006691131942</v>
      </c>
      <c r="B1129" s="65">
        <v>394.75428772928115</v>
      </c>
      <c r="C1129" s="65">
        <v>390.26043736489396</v>
      </c>
      <c r="D1129" s="65">
        <v>393.43088688044679</v>
      </c>
      <c r="E1129" s="65">
        <v>5903780.1637211461</v>
      </c>
      <c r="F1129" s="65" t="s">
        <v>1175</v>
      </c>
      <c r="G1129" s="25">
        <f t="shared" si="35"/>
        <v>-5.0093168453402281E-3</v>
      </c>
      <c r="I1129" s="65">
        <v>37.880000000000003</v>
      </c>
      <c r="J1129" s="65">
        <v>39.5899</v>
      </c>
      <c r="K1129" s="65">
        <v>37.520000000000003</v>
      </c>
      <c r="L1129" s="65">
        <v>38.51</v>
      </c>
      <c r="M1129" s="65">
        <v>96743332</v>
      </c>
      <c r="N1129" s="65" t="s">
        <v>1175</v>
      </c>
      <c r="O1129" s="25">
        <f t="shared" si="36"/>
        <v>-1.6359387172163009E-2</v>
      </c>
    </row>
    <row r="1130" spans="1:15" ht="13.5" customHeight="1">
      <c r="A1130" s="65">
        <v>392.75490515190546</v>
      </c>
      <c r="B1130" s="65">
        <v>396.29666857468521</v>
      </c>
      <c r="C1130" s="65">
        <v>388.5085973923363</v>
      </c>
      <c r="D1130" s="65">
        <v>390.67935561920126</v>
      </c>
      <c r="E1130" s="65">
        <v>8623187.2754589543</v>
      </c>
      <c r="F1130" s="65" t="s">
        <v>1176</v>
      </c>
      <c r="G1130" s="25">
        <f t="shared" si="35"/>
        <v>5.3126675439878479E-3</v>
      </c>
      <c r="I1130" s="65">
        <v>38.909999999999997</v>
      </c>
      <c r="J1130" s="65">
        <v>40.65</v>
      </c>
      <c r="K1130" s="65">
        <v>34.1</v>
      </c>
      <c r="L1130" s="65">
        <v>35.270000000000003</v>
      </c>
      <c r="M1130" s="65">
        <v>308602514</v>
      </c>
      <c r="N1130" s="65" t="s">
        <v>1176</v>
      </c>
      <c r="O1130" s="25">
        <f t="shared" si="36"/>
        <v>0.10320385596824466</v>
      </c>
    </row>
    <row r="1131" spans="1:15" ht="13.5" customHeight="1">
      <c r="A1131" s="65">
        <v>390.9173773546031</v>
      </c>
      <c r="B1131" s="65">
        <v>396.47756509359061</v>
      </c>
      <c r="C1131" s="65">
        <v>390.15570780131719</v>
      </c>
      <c r="D1131" s="65">
        <v>394.72572512103289</v>
      </c>
      <c r="E1131" s="65">
        <v>8043667.7212169319</v>
      </c>
      <c r="F1131" s="65" t="s">
        <v>1177</v>
      </c>
      <c r="G1131" s="25">
        <f t="shared" si="35"/>
        <v>-9.6480860609275965E-3</v>
      </c>
      <c r="I1131" s="65">
        <v>24.5</v>
      </c>
      <c r="J1131" s="65">
        <v>26.49</v>
      </c>
      <c r="K1131" s="65">
        <v>24.32</v>
      </c>
      <c r="L1131" s="65">
        <v>25.74</v>
      </c>
      <c r="M1131" s="65">
        <v>149336033</v>
      </c>
      <c r="N1131" s="65" t="s">
        <v>1177</v>
      </c>
      <c r="O1131" s="25">
        <f t="shared" si="36"/>
        <v>-4.8174048174048134E-2</v>
      </c>
    </row>
    <row r="1132" spans="1:15" ht="13.5" customHeight="1">
      <c r="A1132" s="65">
        <v>400.21926677410795</v>
      </c>
      <c r="B1132" s="65">
        <v>400.99997806622605</v>
      </c>
      <c r="C1132" s="65">
        <v>396.58229465716749</v>
      </c>
      <c r="D1132" s="65">
        <v>398.90538679468966</v>
      </c>
      <c r="E1132" s="65">
        <v>7064980.8395054685</v>
      </c>
      <c r="F1132" s="65" t="s">
        <v>1178</v>
      </c>
      <c r="G1132" s="25">
        <f t="shared" si="35"/>
        <v>3.2937133037376221E-3</v>
      </c>
      <c r="I1132" s="65">
        <v>32.07</v>
      </c>
      <c r="J1132" s="65">
        <v>34.244999999999997</v>
      </c>
      <c r="K1132" s="65">
        <v>31.73</v>
      </c>
      <c r="L1132" s="65">
        <v>34.15</v>
      </c>
      <c r="M1132" s="65">
        <v>41654631</v>
      </c>
      <c r="N1132" s="65" t="s">
        <v>1178</v>
      </c>
      <c r="O1132" s="25">
        <f t="shared" si="36"/>
        <v>-6.0907759882869672E-2</v>
      </c>
    </row>
    <row r="1133" spans="1:15" ht="13.5" customHeight="1">
      <c r="A1133" s="65">
        <v>396.4394816159263</v>
      </c>
      <c r="B1133" s="65">
        <v>397.05833812797118</v>
      </c>
      <c r="C1133" s="65">
        <v>391.21252430650139</v>
      </c>
      <c r="D1133" s="65">
        <v>394.48770338563105</v>
      </c>
      <c r="E1133" s="65">
        <v>8565279.7487503998</v>
      </c>
      <c r="F1133" s="65" t="s">
        <v>1179</v>
      </c>
      <c r="G1133" s="25">
        <f t="shared" si="35"/>
        <v>4.9476275522517543E-3</v>
      </c>
      <c r="I1133" s="65">
        <v>33.659999999999997</v>
      </c>
      <c r="J1133" s="65">
        <v>34.200000000000003</v>
      </c>
      <c r="K1133" s="65">
        <v>32.21</v>
      </c>
      <c r="L1133" s="65">
        <v>34.130000000000003</v>
      </c>
      <c r="M1133" s="65">
        <v>28108855</v>
      </c>
      <c r="N1133" s="65" t="s">
        <v>1179</v>
      </c>
      <c r="O1133" s="25">
        <f t="shared" si="36"/>
        <v>-1.3770876062115578E-2</v>
      </c>
    </row>
    <row r="1134" spans="1:15" ht="13.5" customHeight="1">
      <c r="A1134" s="65">
        <v>393.86884687358622</v>
      </c>
      <c r="B1134" s="65">
        <v>394.13543121723632</v>
      </c>
      <c r="C1134" s="65">
        <v>384.97635483897267</v>
      </c>
      <c r="D1134" s="65">
        <v>386.23310960189445</v>
      </c>
      <c r="E1134" s="65">
        <v>9663439.963231191</v>
      </c>
      <c r="F1134" s="65" t="s">
        <v>1180</v>
      </c>
      <c r="G1134" s="25">
        <f t="shared" si="35"/>
        <v>1.9769763600956392E-2</v>
      </c>
      <c r="I1134" s="65">
        <v>32.54</v>
      </c>
      <c r="J1134" s="65">
        <v>32.630000000000003</v>
      </c>
      <c r="K1134" s="65">
        <v>30.65</v>
      </c>
      <c r="L1134" s="65">
        <v>30.65</v>
      </c>
      <c r="M1134" s="65">
        <v>25872919</v>
      </c>
      <c r="N1134" s="65" t="s">
        <v>1180</v>
      </c>
      <c r="O1134" s="25">
        <f t="shared" si="36"/>
        <v>6.1663947797716112E-2</v>
      </c>
    </row>
    <row r="1135" spans="1:15" ht="13.5" customHeight="1">
      <c r="A1135" s="65">
        <v>386.79484089744284</v>
      </c>
      <c r="B1135" s="65">
        <v>386.86148698335535</v>
      </c>
      <c r="C1135" s="65">
        <v>374.45579413421029</v>
      </c>
      <c r="D1135" s="65">
        <v>378.75922711027596</v>
      </c>
      <c r="E1135" s="65">
        <v>12705569.703094998</v>
      </c>
      <c r="F1135" s="65" t="s">
        <v>1181</v>
      </c>
      <c r="G1135" s="25">
        <f t="shared" si="35"/>
        <v>2.1215625157106288E-2</v>
      </c>
      <c r="I1135" s="65">
        <v>30.42</v>
      </c>
      <c r="J1135" s="65">
        <v>30.48</v>
      </c>
      <c r="K1135" s="65">
        <v>28.13</v>
      </c>
      <c r="L1135" s="65">
        <v>28.63</v>
      </c>
      <c r="M1135" s="65">
        <v>28380470</v>
      </c>
      <c r="N1135" s="65" t="s">
        <v>1181</v>
      </c>
      <c r="O1135" s="25">
        <f t="shared" si="36"/>
        <v>6.2521830247991739E-2</v>
      </c>
    </row>
    <row r="1136" spans="1:15" ht="13.5" customHeight="1">
      <c r="A1136" s="65">
        <v>377.54055582501849</v>
      </c>
      <c r="B1136" s="65">
        <v>386.51873568437674</v>
      </c>
      <c r="C1136" s="65">
        <v>375.9029662854536</v>
      </c>
      <c r="D1136" s="65">
        <v>383.62439138189006</v>
      </c>
      <c r="E1136" s="65">
        <v>13082025.869372066</v>
      </c>
      <c r="F1136" s="65" t="s">
        <v>1182</v>
      </c>
      <c r="G1136" s="25">
        <f t="shared" si="35"/>
        <v>-1.5858834040652137E-2</v>
      </c>
      <c r="I1136" s="65">
        <v>28.3</v>
      </c>
      <c r="J1136" s="65">
        <v>30.67</v>
      </c>
      <c r="K1136" s="65">
        <v>28.17</v>
      </c>
      <c r="L1136" s="65">
        <v>29.63</v>
      </c>
      <c r="M1136" s="65">
        <v>35331878</v>
      </c>
      <c r="N1136" s="65" t="s">
        <v>1182</v>
      </c>
      <c r="O1136" s="25">
        <f t="shared" si="36"/>
        <v>-4.4886938913263563E-2</v>
      </c>
    </row>
    <row r="1137" spans="1:15" ht="13.5" customHeight="1">
      <c r="A1137" s="65">
        <v>379.46377144706548</v>
      </c>
      <c r="B1137" s="65">
        <v>388.63750996422993</v>
      </c>
      <c r="C1137" s="65">
        <v>375.44596455348204</v>
      </c>
      <c r="D1137" s="65">
        <v>386.22358873247839</v>
      </c>
      <c r="E1137" s="65">
        <v>15100875.110970527</v>
      </c>
      <c r="F1137" s="65" t="s">
        <v>1183</v>
      </c>
      <c r="G1137" s="25">
        <f t="shared" si="35"/>
        <v>-1.7502341862643656E-2</v>
      </c>
      <c r="I1137" s="65">
        <v>28.63</v>
      </c>
      <c r="J1137" s="65">
        <v>31.91</v>
      </c>
      <c r="K1137" s="65">
        <v>28.16</v>
      </c>
      <c r="L1137" s="65">
        <v>31.38</v>
      </c>
      <c r="M1137" s="65">
        <v>35467302</v>
      </c>
      <c r="N1137" s="65" t="s">
        <v>1183</v>
      </c>
      <c r="O1137" s="25">
        <f t="shared" si="36"/>
        <v>-8.7635436583811344E-2</v>
      </c>
    </row>
    <row r="1138" spans="1:15" ht="13.5" customHeight="1">
      <c r="A1138" s="65">
        <v>380.32064969451216</v>
      </c>
      <c r="B1138" s="65">
        <v>384.89066701422797</v>
      </c>
      <c r="C1138" s="65">
        <v>373.91548479484811</v>
      </c>
      <c r="D1138" s="65">
        <v>379.09245753983862</v>
      </c>
      <c r="E1138" s="65">
        <v>17683601.427800789</v>
      </c>
      <c r="F1138" s="65" t="s">
        <v>1184</v>
      </c>
      <c r="G1138" s="25">
        <f t="shared" si="35"/>
        <v>3.2398221865030941E-3</v>
      </c>
      <c r="I1138" s="65">
        <v>30.66</v>
      </c>
      <c r="J1138" s="65">
        <v>32.090000000000003</v>
      </c>
      <c r="K1138" s="65">
        <v>30.085000000000001</v>
      </c>
      <c r="L1138" s="65">
        <v>31.01</v>
      </c>
      <c r="M1138" s="65">
        <v>26893818</v>
      </c>
      <c r="N1138" s="65" t="s">
        <v>1184</v>
      </c>
      <c r="O1138" s="25">
        <f t="shared" si="36"/>
        <v>-1.1286681715575675E-2</v>
      </c>
    </row>
    <row r="1139" spans="1:15" ht="13.5" customHeight="1">
      <c r="A1139" s="65">
        <v>384.9953965778048</v>
      </c>
      <c r="B1139" s="65">
        <v>385.48096091802455</v>
      </c>
      <c r="C1139" s="65">
        <v>368.30531249142615</v>
      </c>
      <c r="D1139" s="65">
        <v>378.22605842297583</v>
      </c>
      <c r="E1139" s="65">
        <v>24155184.778788935</v>
      </c>
      <c r="F1139" s="65" t="s">
        <v>1185</v>
      </c>
      <c r="G1139" s="25">
        <f t="shared" si="35"/>
        <v>1.7897598550068006E-2</v>
      </c>
      <c r="I1139" s="65">
        <v>31.8</v>
      </c>
      <c r="J1139" s="65">
        <v>31.81</v>
      </c>
      <c r="K1139" s="65">
        <v>28.02</v>
      </c>
      <c r="L1139" s="65">
        <v>30.16</v>
      </c>
      <c r="M1139" s="65">
        <v>46611189</v>
      </c>
      <c r="N1139" s="65" t="s">
        <v>1185</v>
      </c>
      <c r="O1139" s="25">
        <f t="shared" si="36"/>
        <v>5.4376657824933616E-2</v>
      </c>
    </row>
    <row r="1140" spans="1:15" ht="13.5" customHeight="1">
      <c r="A1140" s="65">
        <v>383.39589051590428</v>
      </c>
      <c r="B1140" s="65">
        <v>392.18984155206147</v>
      </c>
      <c r="C1140" s="65">
        <v>383.36732790765609</v>
      </c>
      <c r="D1140" s="65">
        <v>390.07954084598856</v>
      </c>
      <c r="E1140" s="65">
        <v>17042485.60809483</v>
      </c>
      <c r="F1140" s="65" t="s">
        <v>1186</v>
      </c>
      <c r="G1140" s="25">
        <f t="shared" si="35"/>
        <v>-1.7134070440067317E-2</v>
      </c>
      <c r="I1140" s="65">
        <v>32.119999999999997</v>
      </c>
      <c r="J1140" s="65">
        <v>34.619999999999997</v>
      </c>
      <c r="K1140" s="65">
        <v>32</v>
      </c>
      <c r="L1140" s="65">
        <v>34</v>
      </c>
      <c r="M1140" s="65">
        <v>37648406</v>
      </c>
      <c r="N1140" s="65" t="s">
        <v>1186</v>
      </c>
      <c r="O1140" s="25">
        <f t="shared" si="36"/>
        <v>-5.5294117647058938E-2</v>
      </c>
    </row>
    <row r="1141" spans="1:15" ht="13.5" customHeight="1">
      <c r="A1141" s="65">
        <v>391.07923213467637</v>
      </c>
      <c r="B1141" s="65">
        <v>401.54266762294225</v>
      </c>
      <c r="C1141" s="65">
        <v>390.63175127212088</v>
      </c>
      <c r="D1141" s="65">
        <v>397.18210943038014</v>
      </c>
      <c r="E1141" s="65">
        <v>9355871.4133405704</v>
      </c>
      <c r="F1141" s="65" t="s">
        <v>1187</v>
      </c>
      <c r="G1141" s="25">
        <f t="shared" si="35"/>
        <v>-1.5365438550231314E-2</v>
      </c>
      <c r="I1141" s="65">
        <v>34.99</v>
      </c>
      <c r="J1141" s="65">
        <v>37.104999999999997</v>
      </c>
      <c r="K1141" s="65">
        <v>34.914999999999999</v>
      </c>
      <c r="L1141" s="65">
        <v>35.799999999999997</v>
      </c>
      <c r="M1141" s="65">
        <v>21672724</v>
      </c>
      <c r="N1141" s="65" t="s">
        <v>1187</v>
      </c>
      <c r="O1141" s="25">
        <f t="shared" si="36"/>
        <v>-2.262569832402217E-2</v>
      </c>
    </row>
    <row r="1142" spans="1:15" ht="13.5" customHeight="1">
      <c r="A1142" s="65">
        <v>395.43026945782242</v>
      </c>
      <c r="B1142" s="65">
        <v>402.29005587210412</v>
      </c>
      <c r="C1142" s="65">
        <v>395.18272685300451</v>
      </c>
      <c r="D1142" s="65">
        <v>400.99045719680998</v>
      </c>
      <c r="E1142" s="65">
        <v>8595964.9716258179</v>
      </c>
      <c r="F1142" s="65" t="s">
        <v>1188</v>
      </c>
      <c r="G1142" s="25">
        <f t="shared" si="35"/>
        <v>-1.3866134814920494E-2</v>
      </c>
      <c r="I1142" s="65">
        <v>35.049999999999997</v>
      </c>
      <c r="J1142" s="65">
        <v>36.479999999999997</v>
      </c>
      <c r="K1142" s="65">
        <v>34.76</v>
      </c>
      <c r="L1142" s="65">
        <v>36.03</v>
      </c>
      <c r="M1142" s="65">
        <v>23941977</v>
      </c>
      <c r="N1142" s="65" t="s">
        <v>1188</v>
      </c>
      <c r="O1142" s="25">
        <f t="shared" si="36"/>
        <v>-2.7199555925617624E-2</v>
      </c>
    </row>
    <row r="1143" spans="1:15" ht="13.5" customHeight="1">
      <c r="A1143" s="65">
        <v>399.62897287031132</v>
      </c>
      <c r="B1143" s="65">
        <v>404.61790844433438</v>
      </c>
      <c r="C1143" s="65">
        <v>397.33444334103734</v>
      </c>
      <c r="D1143" s="65">
        <v>402.37098326214078</v>
      </c>
      <c r="E1143" s="65">
        <v>11236348.837993855</v>
      </c>
      <c r="F1143" s="65" t="s">
        <v>1189</v>
      </c>
      <c r="G1143" s="25">
        <f t="shared" si="35"/>
        <v>-6.8146325304055955E-3</v>
      </c>
      <c r="I1143" s="65">
        <v>35.700000000000003</v>
      </c>
      <c r="J1143" s="65">
        <v>36.984999999999999</v>
      </c>
      <c r="K1143" s="65">
        <v>35.619999999999997</v>
      </c>
      <c r="L1143" s="65">
        <v>36.979999999999997</v>
      </c>
      <c r="M1143" s="65">
        <v>37050284</v>
      </c>
      <c r="N1143" s="65" t="s">
        <v>1189</v>
      </c>
      <c r="O1143" s="25">
        <f t="shared" si="36"/>
        <v>-3.4613304488912755E-2</v>
      </c>
    </row>
    <row r="1144" spans="1:15" ht="13.5" customHeight="1">
      <c r="A1144" s="65">
        <v>406.76010406295114</v>
      </c>
      <c r="B1144" s="65">
        <v>407.09323928381957</v>
      </c>
      <c r="C1144" s="65">
        <v>402.55187978104618</v>
      </c>
      <c r="D1144" s="65">
        <v>403.6324984597706</v>
      </c>
      <c r="E1144" s="65">
        <v>10462084.463822933</v>
      </c>
      <c r="F1144" s="65" t="s">
        <v>1190</v>
      </c>
      <c r="G1144" s="25">
        <f t="shared" si="35"/>
        <v>7.7486466404841359E-3</v>
      </c>
      <c r="I1144" s="65">
        <v>38.04</v>
      </c>
      <c r="J1144" s="65">
        <v>38.33</v>
      </c>
      <c r="K1144" s="65">
        <v>36.56</v>
      </c>
      <c r="L1144" s="65">
        <v>37.72</v>
      </c>
      <c r="M1144" s="65">
        <v>25556054</v>
      </c>
      <c r="N1144" s="65" t="s">
        <v>1190</v>
      </c>
      <c r="O1144" s="25">
        <f t="shared" si="36"/>
        <v>8.4835630965005571E-3</v>
      </c>
    </row>
    <row r="1145" spans="1:15" ht="13.5" customHeight="1">
      <c r="A1145" s="65">
        <v>406.63633276054213</v>
      </c>
      <c r="B1145" s="65">
        <v>413.89123525559091</v>
      </c>
      <c r="C1145" s="65">
        <v>405.67472494951858</v>
      </c>
      <c r="D1145" s="65">
        <v>413.29142048237821</v>
      </c>
      <c r="E1145" s="65">
        <v>7899777.5006781397</v>
      </c>
      <c r="F1145" s="65" t="s">
        <v>1191</v>
      </c>
      <c r="G1145" s="25">
        <f t="shared" si="35"/>
        <v>-1.6102651523877576E-2</v>
      </c>
      <c r="I1145" s="65">
        <v>38.380000000000003</v>
      </c>
      <c r="J1145" s="65">
        <v>41.46</v>
      </c>
      <c r="K1145" s="65">
        <v>38.26</v>
      </c>
      <c r="L1145" s="65">
        <v>40.64</v>
      </c>
      <c r="M1145" s="65">
        <v>32180462</v>
      </c>
      <c r="N1145" s="65" t="s">
        <v>1191</v>
      </c>
      <c r="O1145" s="25">
        <f t="shared" si="36"/>
        <v>-5.5610236220472342E-2</v>
      </c>
    </row>
    <row r="1146" spans="1:15" ht="13.5" customHeight="1">
      <c r="A1146" s="65">
        <v>412.32029180193859</v>
      </c>
      <c r="B1146" s="65">
        <v>414.19590307690532</v>
      </c>
      <c r="C1146" s="65">
        <v>410.48276400463624</v>
      </c>
      <c r="D1146" s="65">
        <v>412.78681440332628</v>
      </c>
      <c r="E1146" s="65">
        <v>8686530.2301456127</v>
      </c>
      <c r="F1146" s="65" t="s">
        <v>1192</v>
      </c>
      <c r="G1146" s="25">
        <f t="shared" si="35"/>
        <v>-1.1301780607068102E-3</v>
      </c>
      <c r="I1146" s="65">
        <v>42.73</v>
      </c>
      <c r="J1146" s="65">
        <v>44.34</v>
      </c>
      <c r="K1146" s="65">
        <v>42.06</v>
      </c>
      <c r="L1146" s="65">
        <v>43.81</v>
      </c>
      <c r="M1146" s="65">
        <v>12637515</v>
      </c>
      <c r="N1146" s="65" t="s">
        <v>1192</v>
      </c>
      <c r="O1146" s="25">
        <f t="shared" si="36"/>
        <v>-2.4651905957544074E-2</v>
      </c>
    </row>
    <row r="1147" spans="1:15" ht="13.5" customHeight="1">
      <c r="A1147" s="65">
        <v>411.092099647265</v>
      </c>
      <c r="B1147" s="65">
        <v>411.25395442733827</v>
      </c>
      <c r="C1147" s="65">
        <v>404.4274910560128</v>
      </c>
      <c r="D1147" s="65">
        <v>407.18854318667445</v>
      </c>
      <c r="E1147" s="65">
        <v>7648925.4098000024</v>
      </c>
      <c r="F1147" s="65" t="s">
        <v>1193</v>
      </c>
      <c r="G1147" s="25">
        <f t="shared" si="35"/>
        <v>9.5866068088290568E-3</v>
      </c>
      <c r="I1147" s="65">
        <v>43.31</v>
      </c>
      <c r="J1147" s="65">
        <v>43.72</v>
      </c>
      <c r="K1147" s="65">
        <v>41.78</v>
      </c>
      <c r="L1147" s="65">
        <v>42.06</v>
      </c>
      <c r="M1147" s="65">
        <v>17386614</v>
      </c>
      <c r="N1147" s="65" t="s">
        <v>1193</v>
      </c>
      <c r="O1147" s="25">
        <f t="shared" si="36"/>
        <v>2.9719448407037552E-2</v>
      </c>
    </row>
    <row r="1148" spans="1:15" ht="13.5" customHeight="1">
      <c r="A1148" s="65">
        <v>407.52177361623706</v>
      </c>
      <c r="B1148" s="65">
        <v>407.67410752689426</v>
      </c>
      <c r="C1148" s="65">
        <v>399.65753547855951</v>
      </c>
      <c r="D1148" s="65">
        <v>404.9987432209773</v>
      </c>
      <c r="E1148" s="65">
        <v>11009009.305708533</v>
      </c>
      <c r="F1148" s="65" t="s">
        <v>1194</v>
      </c>
      <c r="G1148" s="25">
        <f t="shared" si="35"/>
        <v>6.2297240114721486E-3</v>
      </c>
      <c r="I1148" s="65">
        <v>41.71</v>
      </c>
      <c r="J1148" s="65">
        <v>41.774999999999999</v>
      </c>
      <c r="K1148" s="65">
        <v>38.51</v>
      </c>
      <c r="L1148" s="65">
        <v>40.74</v>
      </c>
      <c r="M1148" s="65">
        <v>20895913</v>
      </c>
      <c r="N1148" s="65" t="s">
        <v>1194</v>
      </c>
      <c r="O1148" s="25">
        <f t="shared" si="36"/>
        <v>2.3809523809523725E-2</v>
      </c>
    </row>
    <row r="1149" spans="1:15" ht="13.5" customHeight="1">
      <c r="A1149" s="65">
        <v>408.05494230353719</v>
      </c>
      <c r="B1149" s="65">
        <v>410.69222313178989</v>
      </c>
      <c r="C1149" s="65">
        <v>406.73154145470289</v>
      </c>
      <c r="D1149" s="65">
        <v>409.59732314894126</v>
      </c>
      <c r="E1149" s="65">
        <v>6467409.362430661</v>
      </c>
      <c r="F1149" s="65" t="s">
        <v>1195</v>
      </c>
      <c r="G1149" s="25">
        <f t="shared" si="35"/>
        <v>-3.7656028451221735E-3</v>
      </c>
      <c r="I1149" s="65">
        <v>41.36</v>
      </c>
      <c r="J1149" s="65">
        <v>43.28</v>
      </c>
      <c r="K1149" s="65">
        <v>41.05</v>
      </c>
      <c r="L1149" s="65">
        <v>41.54</v>
      </c>
      <c r="M1149" s="65">
        <v>15715932</v>
      </c>
      <c r="N1149" s="65" t="s">
        <v>1195</v>
      </c>
      <c r="O1149" s="25">
        <f t="shared" si="36"/>
        <v>-4.3331728454502061E-3</v>
      </c>
    </row>
    <row r="1150" spans="1:15" ht="13.5" customHeight="1">
      <c r="A1150" s="65">
        <v>409.4735518465323</v>
      </c>
      <c r="B1150" s="65">
        <v>412.09179093595282</v>
      </c>
      <c r="C1150" s="65">
        <v>407.39800231382804</v>
      </c>
      <c r="D1150" s="65">
        <v>409.58780227952519</v>
      </c>
      <c r="E1150" s="65">
        <v>8372709.1000127401</v>
      </c>
      <c r="F1150" s="65" t="s">
        <v>1196</v>
      </c>
      <c r="G1150" s="25">
        <f t="shared" si="35"/>
        <v>-2.7894002789397021E-4</v>
      </c>
      <c r="I1150" s="65">
        <v>41.68</v>
      </c>
      <c r="J1150" s="65">
        <v>42.43</v>
      </c>
      <c r="K1150" s="65">
        <v>39.82</v>
      </c>
      <c r="L1150" s="65">
        <v>41.25</v>
      </c>
      <c r="M1150" s="65">
        <v>17882280</v>
      </c>
      <c r="N1150" s="65" t="s">
        <v>1196</v>
      </c>
      <c r="O1150" s="25">
        <f t="shared" si="36"/>
        <v>1.0424242424242447E-2</v>
      </c>
    </row>
    <row r="1151" spans="1:15" ht="13.5" customHeight="1">
      <c r="A1151" s="65">
        <v>410.02576227266468</v>
      </c>
      <c r="B1151" s="65">
        <v>418.35652301172985</v>
      </c>
      <c r="C1151" s="65">
        <v>409.89723053554764</v>
      </c>
      <c r="D1151" s="65">
        <v>417.75670823851715</v>
      </c>
      <c r="E1151" s="65">
        <v>7919032.0447737128</v>
      </c>
      <c r="F1151" s="65" t="s">
        <v>1197</v>
      </c>
      <c r="G1151" s="25">
        <f t="shared" si="35"/>
        <v>-1.8505857149368587E-2</v>
      </c>
      <c r="I1151" s="65">
        <v>41.33</v>
      </c>
      <c r="J1151" s="65">
        <v>44.49</v>
      </c>
      <c r="K1151" s="65">
        <v>41.01</v>
      </c>
      <c r="L1151" s="65">
        <v>43.5</v>
      </c>
      <c r="M1151" s="65">
        <v>22163322</v>
      </c>
      <c r="N1151" s="65" t="s">
        <v>1197</v>
      </c>
      <c r="O1151" s="25">
        <f t="shared" si="36"/>
        <v>-4.9885057471264371E-2</v>
      </c>
    </row>
    <row r="1152" spans="1:15" ht="13.5" customHeight="1">
      <c r="A1152" s="65">
        <v>418.03281345158331</v>
      </c>
      <c r="B1152" s="65">
        <v>420.11788385370363</v>
      </c>
      <c r="C1152" s="65">
        <v>416.27145260960958</v>
      </c>
      <c r="D1152" s="65">
        <v>419.47046473341055</v>
      </c>
      <c r="E1152" s="65">
        <v>6577379.3614133475</v>
      </c>
      <c r="F1152" s="65" t="s">
        <v>1198</v>
      </c>
      <c r="G1152" s="25">
        <f t="shared" ref="G1152:G1215" si="37">A1152/D1152-1</f>
        <v>-3.4273003767760768E-3</v>
      </c>
      <c r="I1152" s="65">
        <v>44.03</v>
      </c>
      <c r="J1152" s="65">
        <v>46.99</v>
      </c>
      <c r="K1152" s="65">
        <v>42.46</v>
      </c>
      <c r="L1152" s="65">
        <v>46.85</v>
      </c>
      <c r="M1152" s="65">
        <v>26659092</v>
      </c>
      <c r="N1152" s="65" t="s">
        <v>1198</v>
      </c>
      <c r="O1152" s="25">
        <f t="shared" ref="O1152:O1215" si="38">I1152/L1152-1</f>
        <v>-6.019210245464246E-2</v>
      </c>
    </row>
    <row r="1153" spans="1:15" ht="13.5" customHeight="1">
      <c r="A1153" s="65">
        <v>418.20418910107264</v>
      </c>
      <c r="B1153" s="65">
        <v>418.22323083990477</v>
      </c>
      <c r="C1153" s="65">
        <v>414.76715524186977</v>
      </c>
      <c r="D1153" s="65">
        <v>416.94743433815086</v>
      </c>
      <c r="E1153" s="65">
        <v>6320119.2423044061</v>
      </c>
      <c r="F1153" s="65" t="s">
        <v>1199</v>
      </c>
      <c r="G1153" s="25">
        <f t="shared" si="37"/>
        <v>3.0141803484573515E-3</v>
      </c>
      <c r="I1153" s="65">
        <v>46.59</v>
      </c>
      <c r="J1153" s="65">
        <v>47.71</v>
      </c>
      <c r="K1153" s="65">
        <v>45.99</v>
      </c>
      <c r="L1153" s="65">
        <v>47.63</v>
      </c>
      <c r="M1153" s="65">
        <v>7940701</v>
      </c>
      <c r="N1153" s="65" t="s">
        <v>1199</v>
      </c>
      <c r="O1153" s="25">
        <f t="shared" si="38"/>
        <v>-2.1834977955070278E-2</v>
      </c>
    </row>
    <row r="1154" spans="1:15" ht="13.5" customHeight="1">
      <c r="A1154" s="65">
        <v>415.6525960975647</v>
      </c>
      <c r="B1154" s="65">
        <v>417.37587346187416</v>
      </c>
      <c r="C1154" s="65">
        <v>415.48122044807536</v>
      </c>
      <c r="D1154" s="65">
        <v>416.28097347902565</v>
      </c>
      <c r="E1154" s="65">
        <v>5446569.81771529</v>
      </c>
      <c r="F1154" s="65" t="s">
        <v>1200</v>
      </c>
      <c r="G1154" s="25">
        <f t="shared" si="37"/>
        <v>-1.5095030075704674E-3</v>
      </c>
      <c r="I1154" s="65">
        <v>47.03</v>
      </c>
      <c r="J1154" s="65">
        <v>48.45</v>
      </c>
      <c r="K1154" s="65">
        <v>47.01</v>
      </c>
      <c r="L1154" s="65">
        <v>47.8</v>
      </c>
      <c r="M1154" s="65">
        <v>8310743</v>
      </c>
      <c r="N1154" s="65" t="s">
        <v>1200</v>
      </c>
      <c r="O1154" s="25">
        <f t="shared" si="38"/>
        <v>-1.6108786610878556E-2</v>
      </c>
    </row>
    <row r="1155" spans="1:15" ht="13.5" customHeight="1">
      <c r="A1155" s="65">
        <v>416.79510042749359</v>
      </c>
      <c r="B1155" s="65">
        <v>419.26100560625696</v>
      </c>
      <c r="C1155" s="65">
        <v>416.36666130377029</v>
      </c>
      <c r="D1155" s="65">
        <v>418.33748127289766</v>
      </c>
      <c r="E1155" s="65">
        <v>3940639.0698580714</v>
      </c>
      <c r="F1155" s="65" t="s">
        <v>1201</v>
      </c>
      <c r="G1155" s="25">
        <f t="shared" si="37"/>
        <v>-3.6869296069550472E-3</v>
      </c>
      <c r="I1155" s="65">
        <v>48.03</v>
      </c>
      <c r="J1155" s="65">
        <v>48.74</v>
      </c>
      <c r="K1155" s="65">
        <v>46.81</v>
      </c>
      <c r="L1155" s="65">
        <v>46.81</v>
      </c>
      <c r="M1155" s="65">
        <v>10170150</v>
      </c>
      <c r="N1155" s="65" t="s">
        <v>1201</v>
      </c>
      <c r="O1155" s="25">
        <f t="shared" si="38"/>
        <v>2.6062807092501528E-2</v>
      </c>
    </row>
    <row r="1156" spans="1:15" ht="13.5" customHeight="1">
      <c r="A1156" s="65">
        <v>417.97568823508686</v>
      </c>
      <c r="B1156" s="65">
        <v>418.87064996019785</v>
      </c>
      <c r="C1156" s="65">
        <v>416.57612043092394</v>
      </c>
      <c r="D1156" s="65">
        <v>417.49012389486705</v>
      </c>
      <c r="E1156" s="65">
        <v>4828010.7615373982</v>
      </c>
      <c r="F1156" s="65" t="s">
        <v>1202</v>
      </c>
      <c r="G1156" s="25">
        <f t="shared" si="37"/>
        <v>1.1630558722919293E-3</v>
      </c>
      <c r="I1156" s="65">
        <v>47.06</v>
      </c>
      <c r="J1156" s="65">
        <v>47.92</v>
      </c>
      <c r="K1156" s="65">
        <v>46.56</v>
      </c>
      <c r="L1156" s="65">
        <v>47.594999999999999</v>
      </c>
      <c r="M1156" s="65">
        <v>7693696</v>
      </c>
      <c r="N1156" s="65" t="s">
        <v>1202</v>
      </c>
      <c r="O1156" s="25">
        <f t="shared" si="38"/>
        <v>-1.1240676541653505E-2</v>
      </c>
    </row>
    <row r="1157" spans="1:15" ht="13.5" customHeight="1">
      <c r="A1157" s="65">
        <v>417.47108215603492</v>
      </c>
      <c r="B1157" s="65">
        <v>419.09915082618363</v>
      </c>
      <c r="C1157" s="65">
        <v>416.68561042920874</v>
      </c>
      <c r="D1157" s="65">
        <v>418.23275170932084</v>
      </c>
      <c r="E1157" s="65">
        <v>5110713.9352050982</v>
      </c>
      <c r="F1157" s="65" t="s">
        <v>1203</v>
      </c>
      <c r="G1157" s="25">
        <f t="shared" si="37"/>
        <v>-1.8211619012928892E-3</v>
      </c>
      <c r="I1157" s="65">
        <v>47.71</v>
      </c>
      <c r="J1157" s="65">
        <v>49.23</v>
      </c>
      <c r="K1157" s="65">
        <v>47.430100000000003</v>
      </c>
      <c r="L1157" s="65">
        <v>48.5</v>
      </c>
      <c r="M1157" s="65">
        <v>8991657</v>
      </c>
      <c r="N1157" s="65" t="s">
        <v>1203</v>
      </c>
      <c r="O1157" s="25">
        <f t="shared" si="38"/>
        <v>-1.6288659793814442E-2</v>
      </c>
    </row>
    <row r="1158" spans="1:15" ht="13.5" customHeight="1">
      <c r="A1158" s="65">
        <v>417.7852708467654</v>
      </c>
      <c r="B1158" s="65">
        <v>417.79479171618146</v>
      </c>
      <c r="C1158" s="65">
        <v>413.15812831055314</v>
      </c>
      <c r="D1158" s="65">
        <v>413.18669091880139</v>
      </c>
      <c r="E1158" s="65">
        <v>5237249.6482110973</v>
      </c>
      <c r="F1158" s="65" t="s">
        <v>1204</v>
      </c>
      <c r="G1158" s="25">
        <f t="shared" si="37"/>
        <v>1.1129545140329045E-2</v>
      </c>
      <c r="I1158" s="65">
        <v>48.64</v>
      </c>
      <c r="J1158" s="65">
        <v>49.25</v>
      </c>
      <c r="K1158" s="65">
        <v>48.02</v>
      </c>
      <c r="L1158" s="65">
        <v>48.45</v>
      </c>
      <c r="M1158" s="65">
        <v>8163934</v>
      </c>
      <c r="N1158" s="65" t="s">
        <v>1204</v>
      </c>
      <c r="O1158" s="25">
        <f t="shared" si="38"/>
        <v>3.9215686274509665E-3</v>
      </c>
    </row>
    <row r="1159" spans="1:15" ht="13.5" customHeight="1">
      <c r="A1159" s="65">
        <v>411.91089441704742</v>
      </c>
      <c r="B1159" s="65">
        <v>413.29741863011031</v>
      </c>
      <c r="C1159" s="65">
        <v>410.22570053040221</v>
      </c>
      <c r="D1159" s="65">
        <v>410.26378400806652</v>
      </c>
      <c r="E1159" s="65">
        <v>5285950.0325706564</v>
      </c>
      <c r="F1159" s="65" t="s">
        <v>1205</v>
      </c>
      <c r="G1159" s="25">
        <f t="shared" si="37"/>
        <v>4.0147594625328242E-3</v>
      </c>
      <c r="I1159" s="65">
        <v>48.68</v>
      </c>
      <c r="J1159" s="65">
        <v>49.07</v>
      </c>
      <c r="K1159" s="65">
        <v>45.96</v>
      </c>
      <c r="L1159" s="65">
        <v>47.35</v>
      </c>
      <c r="M1159" s="65">
        <v>18546369</v>
      </c>
      <c r="N1159" s="65" t="s">
        <v>1205</v>
      </c>
      <c r="O1159" s="25">
        <f t="shared" si="38"/>
        <v>2.8088701161562701E-2</v>
      </c>
    </row>
    <row r="1160" spans="1:15" ht="13.5" customHeight="1">
      <c r="A1160" s="65">
        <v>409.38786402178766</v>
      </c>
      <c r="B1160" s="65">
        <v>409.48307271594837</v>
      </c>
      <c r="C1160" s="65">
        <v>404.94161800448086</v>
      </c>
      <c r="D1160" s="65">
        <v>405.06538930688981</v>
      </c>
      <c r="E1160" s="65">
        <v>5243442.3599712709</v>
      </c>
      <c r="F1160" s="65" t="s">
        <v>1206</v>
      </c>
      <c r="G1160" s="25">
        <f t="shared" si="37"/>
        <v>1.0671054177929351E-2</v>
      </c>
      <c r="I1160" s="65">
        <v>46.77</v>
      </c>
      <c r="J1160" s="65">
        <v>47.21</v>
      </c>
      <c r="K1160" s="65">
        <v>45.46</v>
      </c>
      <c r="L1160" s="65">
        <v>45.984999999999999</v>
      </c>
      <c r="M1160" s="65">
        <v>12055007</v>
      </c>
      <c r="N1160" s="65" t="s">
        <v>1206</v>
      </c>
      <c r="O1160" s="25">
        <f t="shared" si="38"/>
        <v>1.7070783951288471E-2</v>
      </c>
    </row>
    <row r="1161" spans="1:15" ht="13.5" customHeight="1">
      <c r="A1161" s="65">
        <v>405.29389017287565</v>
      </c>
      <c r="B1161" s="65">
        <v>405.44622408353285</v>
      </c>
      <c r="C1161" s="65">
        <v>399.41951374315767</v>
      </c>
      <c r="D1161" s="65">
        <v>401.44745892878149</v>
      </c>
      <c r="E1161" s="65">
        <v>7264738.8570651868</v>
      </c>
      <c r="F1161" s="65" t="s">
        <v>1207</v>
      </c>
      <c r="G1161" s="25">
        <f t="shared" si="37"/>
        <v>9.5814063796990645E-3</v>
      </c>
      <c r="I1161" s="65">
        <v>46.1</v>
      </c>
      <c r="J1161" s="65">
        <v>46.2</v>
      </c>
      <c r="K1161" s="65">
        <v>43.9</v>
      </c>
      <c r="L1161" s="65">
        <v>44.89</v>
      </c>
      <c r="M1161" s="65">
        <v>15203212</v>
      </c>
      <c r="N1161" s="65" t="s">
        <v>1207</v>
      </c>
      <c r="O1161" s="25">
        <f t="shared" si="38"/>
        <v>2.6954778347070718E-2</v>
      </c>
    </row>
    <row r="1162" spans="1:15" ht="13.5" customHeight="1">
      <c r="A1162" s="65">
        <v>398.22664401401767</v>
      </c>
      <c r="B1162" s="65">
        <v>398.62506038011077</v>
      </c>
      <c r="C1162" s="65">
        <v>394.90650762990839</v>
      </c>
      <c r="D1162" s="65">
        <v>397.83771375187911</v>
      </c>
      <c r="E1162" s="65">
        <v>10439916.163052257</v>
      </c>
      <c r="F1162" s="65" t="s">
        <v>1208</v>
      </c>
      <c r="G1162" s="25">
        <f t="shared" si="37"/>
        <v>9.7761033882548531E-4</v>
      </c>
      <c r="I1162" s="65">
        <v>44.42</v>
      </c>
      <c r="J1162" s="65">
        <v>45.15</v>
      </c>
      <c r="K1162" s="65">
        <v>43.38</v>
      </c>
      <c r="L1162" s="65">
        <v>44.22</v>
      </c>
      <c r="M1162" s="65">
        <v>12921554</v>
      </c>
      <c r="N1162" s="65" t="s">
        <v>1208</v>
      </c>
      <c r="O1162" s="25">
        <f t="shared" si="38"/>
        <v>4.5228403437358455E-3</v>
      </c>
    </row>
    <row r="1163" spans="1:15" ht="13.5" customHeight="1">
      <c r="A1163" s="65">
        <v>402.58076572917804</v>
      </c>
      <c r="B1163" s="65">
        <v>406.75465146920112</v>
      </c>
      <c r="C1163" s="65">
        <v>400.94915584898723</v>
      </c>
      <c r="D1163" s="65">
        <v>403.96573690654935</v>
      </c>
      <c r="E1163" s="65">
        <v>9364699.1879044864</v>
      </c>
      <c r="F1163" s="65" t="s">
        <v>1209</v>
      </c>
      <c r="G1163" s="25">
        <f t="shared" si="37"/>
        <v>-3.4284372431607757E-3</v>
      </c>
      <c r="I1163" s="65">
        <v>45.29</v>
      </c>
      <c r="J1163" s="65">
        <v>45.89</v>
      </c>
      <c r="K1163" s="65">
        <v>42.96</v>
      </c>
      <c r="L1163" s="65">
        <v>43.64</v>
      </c>
      <c r="M1163" s="65">
        <v>23105432</v>
      </c>
      <c r="N1163" s="65" t="s">
        <v>1209</v>
      </c>
      <c r="O1163" s="25">
        <f t="shared" si="38"/>
        <v>3.7809349220898181E-2</v>
      </c>
    </row>
    <row r="1164" spans="1:15" ht="13.5" customHeight="1">
      <c r="A1164" s="65">
        <v>406.80208198897407</v>
      </c>
      <c r="B1164" s="65">
        <v>412.45579994591441</v>
      </c>
      <c r="C1164" s="65">
        <v>405.38865249973907</v>
      </c>
      <c r="D1164" s="65">
        <v>412.22813345100406</v>
      </c>
      <c r="E1164" s="65">
        <v>7547375.6499683224</v>
      </c>
      <c r="F1164" s="65" t="s">
        <v>1210</v>
      </c>
      <c r="G1164" s="25">
        <f t="shared" si="37"/>
        <v>-1.3162739322533201E-2</v>
      </c>
      <c r="I1164" s="65">
        <v>44.7</v>
      </c>
      <c r="J1164" s="65">
        <v>48.02</v>
      </c>
      <c r="K1164" s="65">
        <v>44.07</v>
      </c>
      <c r="L1164" s="65">
        <v>47.41</v>
      </c>
      <c r="M1164" s="65">
        <v>21512159</v>
      </c>
      <c r="N1164" s="65" t="s">
        <v>1210</v>
      </c>
      <c r="O1164" s="25">
        <f t="shared" si="38"/>
        <v>-5.7160936511284399E-2</v>
      </c>
    </row>
    <row r="1165" spans="1:15" ht="13.5" customHeight="1">
      <c r="A1165" s="65">
        <v>410.51114863522184</v>
      </c>
      <c r="B1165" s="65">
        <v>410.7293290261776</v>
      </c>
      <c r="C1165" s="65">
        <v>401.89776624444704</v>
      </c>
      <c r="D1165" s="65">
        <v>404.21237560936891</v>
      </c>
      <c r="E1165" s="65">
        <v>7243493.2538026348</v>
      </c>
      <c r="F1165" s="65" t="s">
        <v>1211</v>
      </c>
      <c r="G1165" s="25">
        <f t="shared" si="37"/>
        <v>1.5582830724460761E-2</v>
      </c>
      <c r="I1165" s="65">
        <v>46.41</v>
      </c>
      <c r="J1165" s="65">
        <v>46.67</v>
      </c>
      <c r="K1165" s="65">
        <v>44.076900000000002</v>
      </c>
      <c r="L1165" s="65">
        <v>46.35</v>
      </c>
      <c r="M1165" s="65">
        <v>23804756</v>
      </c>
      <c r="N1165" s="65" t="s">
        <v>1211</v>
      </c>
      <c r="O1165" s="25">
        <f t="shared" si="38"/>
        <v>1.2944983818770073E-3</v>
      </c>
    </row>
    <row r="1166" spans="1:15" ht="13.5" customHeight="1">
      <c r="A1166" s="65">
        <v>404.19340340145965</v>
      </c>
      <c r="B1166" s="65">
        <v>406.23291575169821</v>
      </c>
      <c r="C1166" s="65">
        <v>401.45191935858088</v>
      </c>
      <c r="D1166" s="65">
        <v>403.91830638677635</v>
      </c>
      <c r="E1166" s="65">
        <v>6876296.1393000381</v>
      </c>
      <c r="F1166" s="65" t="s">
        <v>1212</v>
      </c>
      <c r="G1166" s="25">
        <f t="shared" si="37"/>
        <v>6.8107092531688451E-4</v>
      </c>
      <c r="I1166" s="65">
        <v>46.85</v>
      </c>
      <c r="J1166" s="65">
        <v>48.314999999999998</v>
      </c>
      <c r="K1166" s="65">
        <v>46.38</v>
      </c>
      <c r="L1166" s="65">
        <v>47.6</v>
      </c>
      <c r="M1166" s="65">
        <v>16496647</v>
      </c>
      <c r="N1166" s="65" t="s">
        <v>1212</v>
      </c>
      <c r="O1166" s="25">
        <f t="shared" si="38"/>
        <v>-1.5756302521008347E-2</v>
      </c>
    </row>
    <row r="1167" spans="1:15" ht="13.5" customHeight="1">
      <c r="A1167" s="65">
        <v>406.96334575620227</v>
      </c>
      <c r="B1167" s="65">
        <v>410.4257736996305</v>
      </c>
      <c r="C1167" s="65">
        <v>406.71670705338272</v>
      </c>
      <c r="D1167" s="65">
        <v>410.14119058099254</v>
      </c>
      <c r="E1167" s="65">
        <v>6244795.5750355637</v>
      </c>
      <c r="F1167" s="65" t="s">
        <v>1213</v>
      </c>
      <c r="G1167" s="25">
        <f t="shared" si="37"/>
        <v>-7.7481728189471299E-3</v>
      </c>
      <c r="I1167" s="65">
        <v>48.14</v>
      </c>
      <c r="J1167" s="65">
        <v>50.44</v>
      </c>
      <c r="K1167" s="65">
        <v>46.46</v>
      </c>
      <c r="L1167" s="65">
        <v>50.32</v>
      </c>
      <c r="M1167" s="65">
        <v>21235131</v>
      </c>
      <c r="N1167" s="65" t="s">
        <v>1213</v>
      </c>
      <c r="O1167" s="25">
        <f t="shared" si="38"/>
        <v>-4.3322734499205096E-2</v>
      </c>
    </row>
    <row r="1168" spans="1:15" ht="13.5" customHeight="1">
      <c r="A1168" s="65">
        <v>410.60600967476785</v>
      </c>
      <c r="B1168" s="65">
        <v>410.71035681826839</v>
      </c>
      <c r="C1168" s="65">
        <v>406.90642913247467</v>
      </c>
      <c r="D1168" s="65">
        <v>409.26846901716954</v>
      </c>
      <c r="E1168" s="65">
        <v>6576251.9890753878</v>
      </c>
      <c r="F1168" s="65" t="s">
        <v>1214</v>
      </c>
      <c r="G1168" s="25">
        <f t="shared" si="37"/>
        <v>3.2681253476729566E-3</v>
      </c>
      <c r="I1168" s="65">
        <v>50.82</v>
      </c>
      <c r="J1168" s="65">
        <v>53.31</v>
      </c>
      <c r="K1168" s="65">
        <v>50.055</v>
      </c>
      <c r="L1168" s="65">
        <v>52.63</v>
      </c>
      <c r="M1168" s="65">
        <v>13416881</v>
      </c>
      <c r="N1168" s="65" t="s">
        <v>1214</v>
      </c>
      <c r="O1168" s="25">
        <f t="shared" si="38"/>
        <v>-3.4391031730951926E-2</v>
      </c>
    </row>
    <row r="1169" spans="1:15" ht="13.5" customHeight="1">
      <c r="A1169" s="65">
        <v>406.72619315733732</v>
      </c>
      <c r="B1169" s="65">
        <v>409.15463576971433</v>
      </c>
      <c r="C1169" s="65">
        <v>406.58390159801837</v>
      </c>
      <c r="D1169" s="65">
        <v>408.33883082961893</v>
      </c>
      <c r="E1169" s="65">
        <v>5308214.019264847</v>
      </c>
      <c r="F1169" s="65" t="s">
        <v>1215</v>
      </c>
      <c r="G1169" s="25">
        <f t="shared" si="37"/>
        <v>-3.9492635784973418E-3</v>
      </c>
      <c r="I1169" s="65">
        <v>52.36</v>
      </c>
      <c r="J1169" s="65">
        <v>54.89</v>
      </c>
      <c r="K1169" s="65">
        <v>52.11</v>
      </c>
      <c r="L1169" s="65">
        <v>52.79</v>
      </c>
      <c r="M1169" s="65">
        <v>19408129</v>
      </c>
      <c r="N1169" s="65" t="s">
        <v>1215</v>
      </c>
      <c r="O1169" s="25">
        <f t="shared" si="38"/>
        <v>-8.1454820988823284E-3</v>
      </c>
    </row>
    <row r="1170" spans="1:15" ht="13.5" customHeight="1">
      <c r="A1170" s="65">
        <v>409.51510771998909</v>
      </c>
      <c r="B1170" s="65">
        <v>409.93249629399139</v>
      </c>
      <c r="C1170" s="65">
        <v>407.18152614715802</v>
      </c>
      <c r="D1170" s="65">
        <v>408.80364992339423</v>
      </c>
      <c r="E1170" s="65">
        <v>4719052.2277907906</v>
      </c>
      <c r="F1170" s="65" t="s">
        <v>1216</v>
      </c>
      <c r="G1170" s="25">
        <f t="shared" si="37"/>
        <v>1.7403411068570573E-3</v>
      </c>
      <c r="I1170" s="65">
        <v>53.42</v>
      </c>
      <c r="J1170" s="65">
        <v>54.835000000000001</v>
      </c>
      <c r="K1170" s="65">
        <v>50.2</v>
      </c>
      <c r="L1170" s="65">
        <v>50.62</v>
      </c>
      <c r="M1170" s="65">
        <v>26768002</v>
      </c>
      <c r="N1170" s="65" t="s">
        <v>1216</v>
      </c>
      <c r="O1170" s="25">
        <f t="shared" si="38"/>
        <v>5.5314105096799793E-2</v>
      </c>
    </row>
    <row r="1171" spans="1:15" ht="13.5" customHeight="1">
      <c r="A1171" s="65">
        <v>408.36728914148273</v>
      </c>
      <c r="B1171" s="65">
        <v>408.94594148271324</v>
      </c>
      <c r="C1171" s="65">
        <v>404.99972223760051</v>
      </c>
      <c r="D1171" s="65">
        <v>405.03766665341891</v>
      </c>
      <c r="E1171" s="65">
        <v>4988264.9638331989</v>
      </c>
      <c r="F1171" s="65" t="s">
        <v>1217</v>
      </c>
      <c r="G1171" s="25">
        <f t="shared" si="37"/>
        <v>8.2205255515479525E-3</v>
      </c>
      <c r="I1171" s="65">
        <v>50.4</v>
      </c>
      <c r="J1171" s="65">
        <v>51.68</v>
      </c>
      <c r="K1171" s="65">
        <v>49.29</v>
      </c>
      <c r="L1171" s="65">
        <v>49.375</v>
      </c>
      <c r="M1171" s="65">
        <v>20782630</v>
      </c>
      <c r="N1171" s="65" t="s">
        <v>1217</v>
      </c>
      <c r="O1171" s="25">
        <f t="shared" si="38"/>
        <v>2.0759493670886142E-2</v>
      </c>
    </row>
    <row r="1172" spans="1:15" ht="13.5" customHeight="1">
      <c r="A1172" s="65">
        <v>400.14283701284643</v>
      </c>
      <c r="B1172" s="65">
        <v>401.88828014049244</v>
      </c>
      <c r="C1172" s="65">
        <v>395.57053490673024</v>
      </c>
      <c r="D1172" s="65">
        <v>397.85668595978836</v>
      </c>
      <c r="E1172" s="65">
        <v>7684390.8045798233</v>
      </c>
      <c r="F1172" s="65" t="s">
        <v>1218</v>
      </c>
      <c r="G1172" s="25">
        <f t="shared" si="37"/>
        <v>5.7461672349252702E-3</v>
      </c>
      <c r="I1172" s="65">
        <v>47.92</v>
      </c>
      <c r="J1172" s="65">
        <v>48.325000000000003</v>
      </c>
      <c r="K1172" s="65">
        <v>44.92</v>
      </c>
      <c r="L1172" s="65">
        <v>46.21</v>
      </c>
      <c r="M1172" s="65">
        <v>15738486</v>
      </c>
      <c r="N1172" s="65" t="s">
        <v>1218</v>
      </c>
      <c r="O1172" s="25">
        <f t="shared" si="38"/>
        <v>3.7004977277645512E-2</v>
      </c>
    </row>
    <row r="1173" spans="1:15" ht="13.5" customHeight="1">
      <c r="A1173" s="65">
        <v>395.41875724345664</v>
      </c>
      <c r="B1173" s="65">
        <v>401.44243325462634</v>
      </c>
      <c r="C1173" s="65">
        <v>391.55791293393531</v>
      </c>
      <c r="D1173" s="65">
        <v>400.42742013148433</v>
      </c>
      <c r="E1173" s="65">
        <v>10783068.632767944</v>
      </c>
      <c r="F1173" s="65" t="s">
        <v>1219</v>
      </c>
      <c r="G1173" s="25">
        <f t="shared" si="37"/>
        <v>-1.2508291481095446E-2</v>
      </c>
      <c r="I1173" s="65">
        <v>46.79</v>
      </c>
      <c r="J1173" s="65">
        <v>48.67</v>
      </c>
      <c r="K1173" s="65">
        <v>45.46</v>
      </c>
      <c r="L1173" s="65">
        <v>47.77</v>
      </c>
      <c r="M1173" s="65">
        <v>19611005</v>
      </c>
      <c r="N1173" s="65" t="s">
        <v>1219</v>
      </c>
      <c r="O1173" s="25">
        <f t="shared" si="38"/>
        <v>-2.0514967552857533E-2</v>
      </c>
    </row>
    <row r="1174" spans="1:15" ht="13.5" customHeight="1">
      <c r="A1174" s="65">
        <v>398.94758791456707</v>
      </c>
      <c r="B1174" s="65">
        <v>400.37050350775678</v>
      </c>
      <c r="C1174" s="65">
        <v>392.75316203221468</v>
      </c>
      <c r="D1174" s="65">
        <v>393.12312008644403</v>
      </c>
      <c r="E1174" s="65">
        <v>10982034.405126488</v>
      </c>
      <c r="F1174" s="65" t="s">
        <v>1220</v>
      </c>
      <c r="G1174" s="25">
        <f t="shared" si="37"/>
        <v>1.4815887264127969E-2</v>
      </c>
      <c r="I1174" s="65">
        <v>47.91</v>
      </c>
      <c r="J1174" s="65">
        <v>48.29</v>
      </c>
      <c r="K1174" s="65">
        <v>46.51</v>
      </c>
      <c r="L1174" s="65">
        <v>47.24</v>
      </c>
      <c r="M1174" s="65">
        <v>14418111</v>
      </c>
      <c r="N1174" s="65" t="s">
        <v>1220</v>
      </c>
      <c r="O1174" s="25">
        <f t="shared" si="38"/>
        <v>1.4182895850973543E-2</v>
      </c>
    </row>
    <row r="1175" spans="1:15" ht="13.5" customHeight="1">
      <c r="A1175" s="65">
        <v>392.95237021526123</v>
      </c>
      <c r="B1175" s="65">
        <v>405.26647148080383</v>
      </c>
      <c r="C1175" s="65">
        <v>392.69624540848713</v>
      </c>
      <c r="D1175" s="65">
        <v>402.65665456081484</v>
      </c>
      <c r="E1175" s="65">
        <v>8823950.3172879331</v>
      </c>
      <c r="F1175" s="65" t="s">
        <v>1221</v>
      </c>
      <c r="G1175" s="25">
        <f t="shared" si="37"/>
        <v>-2.4100643154993384E-2</v>
      </c>
      <c r="I1175" s="65">
        <v>47.26</v>
      </c>
      <c r="J1175" s="65">
        <v>50.98</v>
      </c>
      <c r="K1175" s="65">
        <v>46.8</v>
      </c>
      <c r="L1175" s="65">
        <v>49.13</v>
      </c>
      <c r="M1175" s="65">
        <v>28552840</v>
      </c>
      <c r="N1175" s="65" t="s">
        <v>1221</v>
      </c>
      <c r="O1175" s="25">
        <f t="shared" si="38"/>
        <v>-3.8062283737024361E-2</v>
      </c>
    </row>
    <row r="1176" spans="1:15" ht="13.5" customHeight="1">
      <c r="A1176" s="65">
        <v>397.52467232137741</v>
      </c>
      <c r="B1176" s="65">
        <v>404.70565301500795</v>
      </c>
      <c r="C1176" s="65">
        <v>397.11676985132971</v>
      </c>
      <c r="D1176" s="65">
        <v>402.9696959913166</v>
      </c>
      <c r="E1176" s="65">
        <v>9126658.3641050048</v>
      </c>
      <c r="F1176" s="65" t="s">
        <v>1222</v>
      </c>
      <c r="G1176" s="25">
        <f t="shared" si="37"/>
        <v>-1.3512241054614016E-2</v>
      </c>
      <c r="I1176" s="65">
        <v>47.61</v>
      </c>
      <c r="J1176" s="65">
        <v>49.4</v>
      </c>
      <c r="K1176" s="65">
        <v>46.3</v>
      </c>
      <c r="L1176" s="65">
        <v>48.78</v>
      </c>
      <c r="M1176" s="65">
        <v>25772952</v>
      </c>
      <c r="N1176" s="65" t="s">
        <v>1222</v>
      </c>
      <c r="O1176" s="25">
        <f t="shared" si="38"/>
        <v>-2.3985239852398532E-2</v>
      </c>
    </row>
    <row r="1177" spans="1:15" ht="13.5" customHeight="1">
      <c r="A1177" s="65">
        <v>405.28430535623846</v>
      </c>
      <c r="B1177" s="65">
        <v>406.93488744433847</v>
      </c>
      <c r="C1177" s="65">
        <v>402.73254339245165</v>
      </c>
      <c r="D1177" s="65">
        <v>404.78154184664476</v>
      </c>
      <c r="E1177" s="65">
        <v>6642095.6697887182</v>
      </c>
      <c r="F1177" s="65" t="s">
        <v>1223</v>
      </c>
      <c r="G1177" s="25">
        <f t="shared" si="37"/>
        <v>1.242061353143864E-3</v>
      </c>
      <c r="I1177" s="65">
        <v>48.85</v>
      </c>
      <c r="J1177" s="65">
        <v>51.12</v>
      </c>
      <c r="K1177" s="65">
        <v>48.48</v>
      </c>
      <c r="L1177" s="65">
        <v>51.1</v>
      </c>
      <c r="M1177" s="65">
        <v>16171014</v>
      </c>
      <c r="N1177" s="65" t="s">
        <v>1223</v>
      </c>
      <c r="O1177" s="25">
        <f t="shared" si="38"/>
        <v>-4.4031311154598796E-2</v>
      </c>
    </row>
    <row r="1178" spans="1:15" ht="13.5" customHeight="1">
      <c r="A1178" s="65">
        <v>400.44639233939353</v>
      </c>
      <c r="B1178" s="65">
        <v>404.60130587150741</v>
      </c>
      <c r="C1178" s="65">
        <v>399.27011544902336</v>
      </c>
      <c r="D1178" s="65">
        <v>403.3396540455459</v>
      </c>
      <c r="E1178" s="65">
        <v>8119748.6732861102</v>
      </c>
      <c r="F1178" s="65" t="s">
        <v>1224</v>
      </c>
      <c r="G1178" s="25">
        <f t="shared" si="37"/>
        <v>-7.173263717397016E-3</v>
      </c>
      <c r="I1178" s="65">
        <v>49.76</v>
      </c>
      <c r="J1178" s="65">
        <v>50.25</v>
      </c>
      <c r="K1178" s="65">
        <v>48.57</v>
      </c>
      <c r="L1178" s="65">
        <v>48.77</v>
      </c>
      <c r="M1178" s="65">
        <v>10487273</v>
      </c>
      <c r="N1178" s="65" t="s">
        <v>1224</v>
      </c>
      <c r="O1178" s="25">
        <f t="shared" si="38"/>
        <v>2.0299364363338013E-2</v>
      </c>
    </row>
    <row r="1179" spans="1:15" ht="13.5" customHeight="1">
      <c r="A1179" s="65">
        <v>409.35384395276088</v>
      </c>
      <c r="B1179" s="65">
        <v>409.56253823976209</v>
      </c>
      <c r="C1179" s="65">
        <v>405.73015224210451</v>
      </c>
      <c r="D1179" s="65">
        <v>406.53647107824537</v>
      </c>
      <c r="E1179" s="65">
        <v>4817138.8610865399</v>
      </c>
      <c r="F1179" s="65" t="s">
        <v>1225</v>
      </c>
      <c r="G1179" s="25">
        <f t="shared" si="37"/>
        <v>6.930184804927908E-3</v>
      </c>
      <c r="I1179" s="65">
        <v>49.66</v>
      </c>
      <c r="J1179" s="65">
        <v>50.27</v>
      </c>
      <c r="K1179" s="65">
        <v>48.8</v>
      </c>
      <c r="L1179" s="65">
        <v>49</v>
      </c>
      <c r="M1179" s="65">
        <v>14813863</v>
      </c>
      <c r="N1179" s="65" t="s">
        <v>1225</v>
      </c>
      <c r="O1179" s="25">
        <f t="shared" si="38"/>
        <v>1.346938775510198E-2</v>
      </c>
    </row>
    <row r="1180" spans="1:15" ht="13.5" customHeight="1">
      <c r="A1180" s="65">
        <v>408.34831693357359</v>
      </c>
      <c r="B1180" s="65">
        <v>409.12617745785059</v>
      </c>
      <c r="C1180" s="65">
        <v>405.09458327714651</v>
      </c>
      <c r="D1180" s="65">
        <v>407.49456757765972</v>
      </c>
      <c r="E1180" s="65">
        <v>7169762.2464947291</v>
      </c>
      <c r="F1180" s="65" t="s">
        <v>1226</v>
      </c>
      <c r="G1180" s="25">
        <f t="shared" si="37"/>
        <v>2.0951183741881874E-3</v>
      </c>
      <c r="I1180" s="65">
        <v>50.67</v>
      </c>
      <c r="J1180" s="65">
        <v>51.03</v>
      </c>
      <c r="K1180" s="65">
        <v>47.86</v>
      </c>
      <c r="L1180" s="65">
        <v>48.57</v>
      </c>
      <c r="M1180" s="65">
        <v>21262514</v>
      </c>
      <c r="N1180" s="65" t="s">
        <v>1226</v>
      </c>
      <c r="O1180" s="25">
        <f t="shared" si="38"/>
        <v>4.3236565781346492E-2</v>
      </c>
    </row>
    <row r="1181" spans="1:15" ht="13.5" customHeight="1">
      <c r="A1181" s="65">
        <v>407.81709511211608</v>
      </c>
      <c r="B1181" s="65">
        <v>413.03445228714492</v>
      </c>
      <c r="C1181" s="65">
        <v>407.63685913697873</v>
      </c>
      <c r="D1181" s="65">
        <v>410.68189850640465</v>
      </c>
      <c r="E1181" s="65">
        <v>5140074.3902207315</v>
      </c>
      <c r="F1181" s="65" t="s">
        <v>1227</v>
      </c>
      <c r="G1181" s="25">
        <f t="shared" si="37"/>
        <v>-6.9757235580810706E-3</v>
      </c>
      <c r="I1181" s="65">
        <v>49.26</v>
      </c>
      <c r="J1181" s="65">
        <v>51.52</v>
      </c>
      <c r="K1181" s="65">
        <v>47.46</v>
      </c>
      <c r="L1181" s="65">
        <v>51.52</v>
      </c>
      <c r="M1181" s="65">
        <v>34273736</v>
      </c>
      <c r="N1181" s="65" t="s">
        <v>1227</v>
      </c>
      <c r="O1181" s="25">
        <f t="shared" si="38"/>
        <v>-4.3866459627329268E-2</v>
      </c>
    </row>
    <row r="1182" spans="1:15" ht="13.5" customHeight="1">
      <c r="A1182" s="65">
        <v>408.89851096294024</v>
      </c>
      <c r="B1182" s="65">
        <v>410.7388151301322</v>
      </c>
      <c r="C1182" s="65">
        <v>408.26275227590304</v>
      </c>
      <c r="D1182" s="65">
        <v>409.67637148721724</v>
      </c>
      <c r="E1182" s="65">
        <v>5151245.4674624726</v>
      </c>
      <c r="F1182" s="65" t="s">
        <v>1228</v>
      </c>
      <c r="G1182" s="25">
        <f t="shared" si="37"/>
        <v>-1.8987195220783182E-3</v>
      </c>
      <c r="I1182" s="65">
        <v>51.32</v>
      </c>
      <c r="J1182" s="65">
        <v>53.93</v>
      </c>
      <c r="K1182" s="65">
        <v>50.76</v>
      </c>
      <c r="L1182" s="65">
        <v>53.93</v>
      </c>
      <c r="M1182" s="65">
        <v>18095040</v>
      </c>
      <c r="N1182" s="65" t="s">
        <v>1228</v>
      </c>
      <c r="O1182" s="25">
        <f t="shared" si="38"/>
        <v>-4.8396068978305173E-2</v>
      </c>
    </row>
    <row r="1183" spans="1:15" ht="13.5" customHeight="1">
      <c r="A1183" s="65">
        <v>409.66688538326264</v>
      </c>
      <c r="B1183" s="65">
        <v>409.96095460585519</v>
      </c>
      <c r="C1183" s="65">
        <v>406.76413757315572</v>
      </c>
      <c r="D1183" s="65">
        <v>409.26846901716954</v>
      </c>
      <c r="E1183" s="65">
        <v>4993433.5768101038</v>
      </c>
      <c r="F1183" s="65" t="s">
        <v>1229</v>
      </c>
      <c r="G1183" s="25">
        <f t="shared" si="37"/>
        <v>9.7348414611531098E-4</v>
      </c>
      <c r="I1183" s="65">
        <v>53.47</v>
      </c>
      <c r="J1183" s="65">
        <v>54.77</v>
      </c>
      <c r="K1183" s="65">
        <v>52.55</v>
      </c>
      <c r="L1183" s="65">
        <v>54.51</v>
      </c>
      <c r="M1183" s="65">
        <v>13069935</v>
      </c>
      <c r="N1183" s="65" t="s">
        <v>1229</v>
      </c>
      <c r="O1183" s="25">
        <f t="shared" si="38"/>
        <v>-1.9079068060906201E-2</v>
      </c>
    </row>
    <row r="1184" spans="1:15" ht="13.5" customHeight="1">
      <c r="A1184" s="65">
        <v>408.25345589402758</v>
      </c>
      <c r="B1184" s="65">
        <v>409.22103849739653</v>
      </c>
      <c r="C1184" s="65">
        <v>407.75069238443388</v>
      </c>
      <c r="D1184" s="65">
        <v>409.07874693807759</v>
      </c>
      <c r="E1184" s="65">
        <v>3968811.6617941982</v>
      </c>
      <c r="F1184" s="65" t="s">
        <v>1230</v>
      </c>
      <c r="G1184" s="25">
        <f t="shared" si="37"/>
        <v>-2.0174380855207952E-3</v>
      </c>
      <c r="I1184" s="65">
        <v>54.56</v>
      </c>
      <c r="J1184" s="65">
        <v>55.667999999999999</v>
      </c>
      <c r="K1184" s="65">
        <v>53.86</v>
      </c>
      <c r="L1184" s="65">
        <v>54.45</v>
      </c>
      <c r="M1184" s="65">
        <v>15005304</v>
      </c>
      <c r="N1184" s="65" t="s">
        <v>1230</v>
      </c>
      <c r="O1184" s="25">
        <f t="shared" si="38"/>
        <v>2.0202020202020332E-3</v>
      </c>
    </row>
    <row r="1185" spans="1:15" ht="13.5" customHeight="1">
      <c r="A1185" s="65">
        <v>409.24001070530579</v>
      </c>
      <c r="B1185" s="65">
        <v>410.35937097194824</v>
      </c>
      <c r="C1185" s="65">
        <v>407.40169861994423</v>
      </c>
      <c r="D1185" s="65">
        <v>407.44713705788672</v>
      </c>
      <c r="E1185" s="65">
        <v>3443982.9203184191</v>
      </c>
      <c r="F1185" s="65" t="s">
        <v>1231</v>
      </c>
      <c r="G1185" s="25">
        <f t="shared" si="37"/>
        <v>4.4002607561930418E-3</v>
      </c>
      <c r="I1185" s="65">
        <v>55.11</v>
      </c>
      <c r="J1185" s="65">
        <v>55.81</v>
      </c>
      <c r="K1185" s="65">
        <v>53.664999999999999</v>
      </c>
      <c r="L1185" s="65">
        <v>55.78</v>
      </c>
      <c r="M1185" s="65">
        <v>20754570</v>
      </c>
      <c r="N1185" s="65" t="s">
        <v>1231</v>
      </c>
      <c r="O1185" s="25">
        <f t="shared" si="38"/>
        <v>-1.2011473646468263E-2</v>
      </c>
    </row>
    <row r="1186" spans="1:15" ht="13.5" customHeight="1">
      <c r="A1186" s="65">
        <v>407.68428965675167</v>
      </c>
      <c r="B1186" s="65">
        <v>408.85582349514453</v>
      </c>
      <c r="C1186" s="65">
        <v>406.62184601383672</v>
      </c>
      <c r="D1186" s="65">
        <v>408.80364992339423</v>
      </c>
      <c r="E1186" s="65">
        <v>3291431.3557428918</v>
      </c>
      <c r="F1186" s="65" t="s">
        <v>1232</v>
      </c>
      <c r="G1186" s="25">
        <f t="shared" si="37"/>
        <v>-2.7381366747882829E-3</v>
      </c>
      <c r="I1186" s="65">
        <v>55.53</v>
      </c>
      <c r="J1186" s="65">
        <v>57.14</v>
      </c>
      <c r="K1186" s="65">
        <v>54.12</v>
      </c>
      <c r="L1186" s="65">
        <v>54.14</v>
      </c>
      <c r="M1186" s="65">
        <v>22192030</v>
      </c>
      <c r="N1186" s="65" t="s">
        <v>1232</v>
      </c>
      <c r="O1186" s="25">
        <f t="shared" si="38"/>
        <v>2.5674178056889652E-2</v>
      </c>
    </row>
    <row r="1187" spans="1:15" ht="13.5" customHeight="1">
      <c r="A1187" s="65">
        <v>407.49456757765972</v>
      </c>
      <c r="B1187" s="65">
        <v>408.06373381493563</v>
      </c>
      <c r="C1187" s="65">
        <v>404.80051405455396</v>
      </c>
      <c r="D1187" s="65">
        <v>405.68272172233156</v>
      </c>
      <c r="E1187" s="65">
        <v>3853526.1868263707</v>
      </c>
      <c r="F1187" s="65" t="s">
        <v>1233</v>
      </c>
      <c r="G1187" s="25">
        <f t="shared" si="37"/>
        <v>4.4661647102837154E-3</v>
      </c>
      <c r="I1187" s="65">
        <v>53.7</v>
      </c>
      <c r="J1187" s="65">
        <v>54.07</v>
      </c>
      <c r="K1187" s="65">
        <v>52.82</v>
      </c>
      <c r="L1187" s="65">
        <v>53.82</v>
      </c>
      <c r="M1187" s="65">
        <v>12972455</v>
      </c>
      <c r="N1187" s="65" t="s">
        <v>1233</v>
      </c>
      <c r="O1187" s="25">
        <f t="shared" si="38"/>
        <v>-2.2296544035673715E-3</v>
      </c>
    </row>
    <row r="1188" spans="1:15" ht="13.5" customHeight="1">
      <c r="A1188" s="65">
        <v>404.4874726240522</v>
      </c>
      <c r="B1188" s="65">
        <v>405.83449938560511</v>
      </c>
      <c r="C1188" s="65">
        <v>404.4779865200976</v>
      </c>
      <c r="D1188" s="65">
        <v>405.72066613814991</v>
      </c>
      <c r="E1188" s="65">
        <v>3831531.9096185109</v>
      </c>
      <c r="F1188" s="65" t="s">
        <v>1234</v>
      </c>
      <c r="G1188" s="25">
        <f t="shared" si="37"/>
        <v>-3.0395136778115228E-3</v>
      </c>
      <c r="I1188" s="65">
        <v>53.29</v>
      </c>
      <c r="J1188" s="65">
        <v>54.59</v>
      </c>
      <c r="K1188" s="65">
        <v>53.2</v>
      </c>
      <c r="L1188" s="65">
        <v>53.46</v>
      </c>
      <c r="M1188" s="65">
        <v>13322031</v>
      </c>
      <c r="N1188" s="65" t="s">
        <v>1234</v>
      </c>
      <c r="O1188" s="25">
        <f t="shared" si="38"/>
        <v>-3.1799476243921099E-3</v>
      </c>
    </row>
    <row r="1189" spans="1:15" ht="13.5" customHeight="1">
      <c r="A1189" s="65">
        <v>404.35466716868785</v>
      </c>
      <c r="B1189" s="65">
        <v>407.64634524093333</v>
      </c>
      <c r="C1189" s="65">
        <v>402.97918209527114</v>
      </c>
      <c r="D1189" s="65">
        <v>406.09062419237921</v>
      </c>
      <c r="E1189" s="65">
        <v>6694695.7680364456</v>
      </c>
      <c r="F1189" s="65" t="s">
        <v>1235</v>
      </c>
      <c r="G1189" s="25">
        <f t="shared" si="37"/>
        <v>-4.27480202761088E-3</v>
      </c>
      <c r="I1189" s="65">
        <v>52.88</v>
      </c>
      <c r="J1189" s="65">
        <v>54.169899999999998</v>
      </c>
      <c r="K1189" s="65">
        <v>52.02</v>
      </c>
      <c r="L1189" s="65">
        <v>53.91</v>
      </c>
      <c r="M1189" s="65">
        <v>14812395</v>
      </c>
      <c r="N1189" s="65" t="s">
        <v>1235</v>
      </c>
      <c r="O1189" s="25">
        <f t="shared" si="38"/>
        <v>-1.9105917269523154E-2</v>
      </c>
    </row>
    <row r="1190" spans="1:15" ht="13.5" customHeight="1">
      <c r="A1190" s="65">
        <v>407.63685913697873</v>
      </c>
      <c r="B1190" s="65">
        <v>409.56253823976209</v>
      </c>
      <c r="C1190" s="65">
        <v>406.32777679124416</v>
      </c>
      <c r="D1190" s="65">
        <v>409.38230226462474</v>
      </c>
      <c r="E1190" s="65">
        <v>4950424.3496339405</v>
      </c>
      <c r="F1190" s="65" t="s">
        <v>1236</v>
      </c>
      <c r="G1190" s="25">
        <f t="shared" si="37"/>
        <v>-4.2636018166651857E-3</v>
      </c>
      <c r="I1190" s="65">
        <v>54.82</v>
      </c>
      <c r="J1190" s="65">
        <v>55.65</v>
      </c>
      <c r="K1190" s="65">
        <v>54.2</v>
      </c>
      <c r="L1190" s="65">
        <v>55.295000000000002</v>
      </c>
      <c r="M1190" s="65">
        <v>12489032</v>
      </c>
      <c r="N1190" s="65" t="s">
        <v>1236</v>
      </c>
      <c r="O1190" s="25">
        <f t="shared" si="38"/>
        <v>-8.5902884528438195E-3</v>
      </c>
    </row>
    <row r="1191" spans="1:15" ht="13.5" customHeight="1">
      <c r="A1191" s="65">
        <v>409.06926083412299</v>
      </c>
      <c r="B1191" s="65">
        <v>410.12221837308334</v>
      </c>
      <c r="C1191" s="65">
        <v>408.37677524543733</v>
      </c>
      <c r="D1191" s="65">
        <v>409.68585759117184</v>
      </c>
      <c r="E1191" s="65">
        <v>3701846.4237870253</v>
      </c>
      <c r="F1191" s="65" t="s">
        <v>1237</v>
      </c>
      <c r="G1191" s="25">
        <f t="shared" si="37"/>
        <v>-1.5050476984347361E-3</v>
      </c>
      <c r="I1191" s="65">
        <v>54.9</v>
      </c>
      <c r="J1191" s="65">
        <v>55.13</v>
      </c>
      <c r="K1191" s="65">
        <v>52.85</v>
      </c>
      <c r="L1191" s="65">
        <v>53.36</v>
      </c>
      <c r="M1191" s="65">
        <v>20154579</v>
      </c>
      <c r="N1191" s="65" t="s">
        <v>1237</v>
      </c>
      <c r="O1191" s="25">
        <f t="shared" si="38"/>
        <v>2.8860569715142503E-2</v>
      </c>
    </row>
    <row r="1192" spans="1:15" ht="13.5" customHeight="1">
      <c r="A1192" s="65">
        <v>408.57598342848388</v>
      </c>
      <c r="B1192" s="65">
        <v>410.52063473917644</v>
      </c>
      <c r="C1192" s="65">
        <v>407.23844277088563</v>
      </c>
      <c r="D1192" s="65">
        <v>409.37281616067014</v>
      </c>
      <c r="E1192" s="65">
        <v>5210709.2897755932</v>
      </c>
      <c r="F1192" s="65" t="s">
        <v>1238</v>
      </c>
      <c r="G1192" s="25">
        <f t="shared" si="37"/>
        <v>-1.946472019464851E-3</v>
      </c>
      <c r="I1192" s="65">
        <v>53.17</v>
      </c>
      <c r="J1192" s="65">
        <v>53.57</v>
      </c>
      <c r="K1192" s="65">
        <v>52.07</v>
      </c>
      <c r="L1192" s="65">
        <v>52.15</v>
      </c>
      <c r="M1192" s="65">
        <v>17458733</v>
      </c>
      <c r="N1192" s="65" t="s">
        <v>1238</v>
      </c>
      <c r="O1192" s="25">
        <f t="shared" si="38"/>
        <v>1.9558964525407507E-2</v>
      </c>
    </row>
    <row r="1193" spans="1:15" ht="13.5" customHeight="1">
      <c r="A1193" s="65">
        <v>407.19101225111262</v>
      </c>
      <c r="B1193" s="65">
        <v>407.30484549856777</v>
      </c>
      <c r="C1193" s="65">
        <v>405.56888847487642</v>
      </c>
      <c r="D1193" s="65">
        <v>405.86295769746891</v>
      </c>
      <c r="E1193" s="65">
        <v>4519541.4477004372</v>
      </c>
      <c r="F1193" s="65" t="s">
        <v>1239</v>
      </c>
      <c r="G1193" s="25">
        <f t="shared" si="37"/>
        <v>3.2721748276265394E-3</v>
      </c>
      <c r="I1193" s="65">
        <v>52.26</v>
      </c>
      <c r="J1193" s="65">
        <v>53.38</v>
      </c>
      <c r="K1193" s="65">
        <v>51.76</v>
      </c>
      <c r="L1193" s="65">
        <v>53.08</v>
      </c>
      <c r="M1193" s="65">
        <v>16371717</v>
      </c>
      <c r="N1193" s="65" t="s">
        <v>1239</v>
      </c>
      <c r="O1193" s="25">
        <f t="shared" si="38"/>
        <v>-1.5448379804069323E-2</v>
      </c>
    </row>
    <row r="1194" spans="1:15" ht="13.5" customHeight="1">
      <c r="A1194" s="65">
        <v>405.29379146019306</v>
      </c>
      <c r="B1194" s="65">
        <v>405.68272172233156</v>
      </c>
      <c r="C1194" s="65">
        <v>401.91673845235619</v>
      </c>
      <c r="D1194" s="65">
        <v>402.34361313031309</v>
      </c>
      <c r="E1194" s="65">
        <v>3755925.5275429306</v>
      </c>
      <c r="F1194" s="65" t="s">
        <v>1240</v>
      </c>
      <c r="G1194" s="25">
        <f t="shared" si="37"/>
        <v>7.3324845569859853E-3</v>
      </c>
      <c r="I1194" s="65">
        <v>52.94</v>
      </c>
      <c r="J1194" s="65">
        <v>52.97</v>
      </c>
      <c r="K1194" s="65">
        <v>51.47</v>
      </c>
      <c r="L1194" s="65">
        <v>51.95</v>
      </c>
      <c r="M1194" s="65">
        <v>16319258</v>
      </c>
      <c r="N1194" s="65" t="s">
        <v>1240</v>
      </c>
      <c r="O1194" s="25">
        <f t="shared" si="38"/>
        <v>1.9056785370548557E-2</v>
      </c>
    </row>
    <row r="1195" spans="1:15" ht="13.5" customHeight="1">
      <c r="A1195" s="65">
        <v>402.86534884781599</v>
      </c>
      <c r="B1195" s="65">
        <v>403.12147365459009</v>
      </c>
      <c r="C1195" s="65">
        <v>401.27168338344353</v>
      </c>
      <c r="D1195" s="65">
        <v>401.40448883880788</v>
      </c>
      <c r="E1195" s="65">
        <v>3151150.3714347859</v>
      </c>
      <c r="F1195" s="65" t="s">
        <v>1241</v>
      </c>
      <c r="G1195" s="25">
        <f t="shared" si="37"/>
        <v>3.6393713813069883E-3</v>
      </c>
      <c r="I1195" s="65">
        <v>52.2</v>
      </c>
      <c r="J1195" s="65">
        <v>53.66</v>
      </c>
      <c r="K1195" s="65">
        <v>51.865000000000002</v>
      </c>
      <c r="L1195" s="65">
        <v>53.57</v>
      </c>
      <c r="M1195" s="65">
        <v>24120388</v>
      </c>
      <c r="N1195" s="65" t="s">
        <v>1241</v>
      </c>
      <c r="O1195" s="25">
        <f t="shared" si="38"/>
        <v>-2.5574015307074816E-2</v>
      </c>
    </row>
    <row r="1196" spans="1:15" ht="13.5" customHeight="1">
      <c r="A1196" s="65">
        <v>401.30962779926193</v>
      </c>
      <c r="B1196" s="65">
        <v>401.80290520490104</v>
      </c>
      <c r="C1196" s="65">
        <v>399.63058739929812</v>
      </c>
      <c r="D1196" s="65">
        <v>401.44243325462634</v>
      </c>
      <c r="E1196" s="65">
        <v>4150613.3802082269</v>
      </c>
      <c r="F1196" s="65" t="s">
        <v>1242</v>
      </c>
      <c r="G1196" s="25">
        <f t="shared" si="37"/>
        <v>-3.3082067156608996E-4</v>
      </c>
      <c r="I1196" s="65">
        <v>53.98</v>
      </c>
      <c r="J1196" s="65">
        <v>54.11</v>
      </c>
      <c r="K1196" s="65">
        <v>52.25</v>
      </c>
      <c r="L1196" s="65">
        <v>52.99</v>
      </c>
      <c r="M1196" s="65">
        <v>22666653</v>
      </c>
      <c r="N1196" s="65" t="s">
        <v>1242</v>
      </c>
      <c r="O1196" s="25">
        <f t="shared" si="38"/>
        <v>1.8682770334025101E-2</v>
      </c>
    </row>
    <row r="1197" spans="1:15" ht="13.5" customHeight="1">
      <c r="A1197" s="65">
        <v>400.46536454730278</v>
      </c>
      <c r="B1197" s="65">
        <v>400.80212123769093</v>
      </c>
      <c r="C1197" s="65">
        <v>397.34443634624006</v>
      </c>
      <c r="D1197" s="65">
        <v>397.61004725696876</v>
      </c>
      <c r="E1197" s="65">
        <v>4888983.9518911447</v>
      </c>
      <c r="F1197" s="65" t="s">
        <v>1243</v>
      </c>
      <c r="G1197" s="25">
        <f t="shared" si="37"/>
        <v>7.18120004771583E-3</v>
      </c>
      <c r="I1197" s="65">
        <v>52.58</v>
      </c>
      <c r="J1197" s="65">
        <v>53.99</v>
      </c>
      <c r="K1197" s="65">
        <v>52.21</v>
      </c>
      <c r="L1197" s="65">
        <v>53.97</v>
      </c>
      <c r="M1197" s="65">
        <v>32465494</v>
      </c>
      <c r="N1197" s="65" t="s">
        <v>1243</v>
      </c>
      <c r="O1197" s="25">
        <f t="shared" si="38"/>
        <v>-2.5755049101352623E-2</v>
      </c>
    </row>
    <row r="1198" spans="1:15" ht="13.5" customHeight="1">
      <c r="A1198" s="65">
        <v>399.75390675070793</v>
      </c>
      <c r="B1198" s="65">
        <v>399.78236506257167</v>
      </c>
      <c r="C1198" s="65">
        <v>397.23060309878485</v>
      </c>
      <c r="D1198" s="65">
        <v>397.25906141064866</v>
      </c>
      <c r="E1198" s="65">
        <v>3840945.6795315761</v>
      </c>
      <c r="F1198" s="65" t="s">
        <v>1244</v>
      </c>
      <c r="G1198" s="25">
        <f t="shared" si="37"/>
        <v>6.2801470939395365E-3</v>
      </c>
      <c r="I1198" s="65">
        <v>54.39</v>
      </c>
      <c r="J1198" s="65">
        <v>54.96</v>
      </c>
      <c r="K1198" s="65">
        <v>51.99</v>
      </c>
      <c r="L1198" s="65">
        <v>52.68</v>
      </c>
      <c r="M1198" s="65">
        <v>34748751</v>
      </c>
      <c r="N1198" s="65" t="s">
        <v>1244</v>
      </c>
      <c r="O1198" s="25">
        <f t="shared" si="38"/>
        <v>3.2460136674259621E-2</v>
      </c>
    </row>
    <row r="1199" spans="1:15" ht="13.5" customHeight="1">
      <c r="A1199" s="65">
        <v>395.88357633723194</v>
      </c>
      <c r="B1199" s="65">
        <v>398.69146310779297</v>
      </c>
      <c r="C1199" s="65">
        <v>395.83614581745894</v>
      </c>
      <c r="D1199" s="65">
        <v>398.09383855865332</v>
      </c>
      <c r="E1199" s="65">
        <v>3029182.4902543137</v>
      </c>
      <c r="F1199" s="65" t="s">
        <v>1245</v>
      </c>
      <c r="G1199" s="25">
        <f t="shared" si="37"/>
        <v>-5.5521136157844486E-3</v>
      </c>
      <c r="I1199" s="65">
        <v>52.02</v>
      </c>
      <c r="J1199" s="65">
        <v>55.23</v>
      </c>
      <c r="K1199" s="65">
        <v>51.66</v>
      </c>
      <c r="L1199" s="65">
        <v>55.05</v>
      </c>
      <c r="M1199" s="65">
        <v>52581304</v>
      </c>
      <c r="N1199" s="65" t="s">
        <v>1245</v>
      </c>
      <c r="O1199" s="25">
        <f t="shared" si="38"/>
        <v>-5.5040871934604829E-2</v>
      </c>
    </row>
    <row r="1200" spans="1:15" ht="13.5" customHeight="1">
      <c r="A1200" s="65">
        <v>397.61004725696876</v>
      </c>
      <c r="B1200" s="65">
        <v>399.86717083192582</v>
      </c>
      <c r="C1200" s="65">
        <v>397.33495024228546</v>
      </c>
      <c r="D1200" s="65">
        <v>398.67249089988371</v>
      </c>
      <c r="E1200" s="65">
        <v>3252400.5795915779</v>
      </c>
      <c r="F1200" s="65" t="s">
        <v>1246</v>
      </c>
      <c r="G1200" s="25">
        <f t="shared" si="37"/>
        <v>-2.6649534822852372E-3</v>
      </c>
      <c r="I1200" s="65">
        <v>55.39</v>
      </c>
      <c r="J1200" s="65">
        <v>57.18</v>
      </c>
      <c r="K1200" s="65">
        <v>54.88</v>
      </c>
      <c r="L1200" s="65">
        <v>55.24</v>
      </c>
      <c r="M1200" s="65">
        <v>52905745</v>
      </c>
      <c r="N1200" s="65" t="s">
        <v>1246</v>
      </c>
      <c r="O1200" s="25">
        <f t="shared" si="38"/>
        <v>2.7154236060824566E-3</v>
      </c>
    </row>
    <row r="1201" spans="1:15" ht="13.5" customHeight="1">
      <c r="A1201" s="65">
        <v>397.23060309878485</v>
      </c>
      <c r="B1201" s="65">
        <v>397.60056115301416</v>
      </c>
      <c r="C1201" s="65">
        <v>394.55552178358829</v>
      </c>
      <c r="D1201" s="65">
        <v>396.1776455598245</v>
      </c>
      <c r="E1201" s="65">
        <v>2647520.0061271843</v>
      </c>
      <c r="F1201" s="65" t="s">
        <v>1247</v>
      </c>
      <c r="G1201" s="25">
        <f t="shared" si="37"/>
        <v>2.6577913992913427E-3</v>
      </c>
      <c r="I1201" s="65">
        <v>54.5</v>
      </c>
      <c r="J1201" s="65">
        <v>56.15</v>
      </c>
      <c r="K1201" s="65">
        <v>53.77</v>
      </c>
      <c r="L1201" s="65">
        <v>55.96</v>
      </c>
      <c r="M1201" s="65">
        <v>62506785</v>
      </c>
      <c r="N1201" s="65" t="s">
        <v>1247</v>
      </c>
      <c r="O1201" s="25">
        <f t="shared" si="38"/>
        <v>-2.6090064331665497E-2</v>
      </c>
    </row>
    <row r="1202" spans="1:15" ht="13.5" customHeight="1">
      <c r="A1202" s="65">
        <v>395.18160464459169</v>
      </c>
      <c r="B1202" s="65">
        <v>396.51914530219005</v>
      </c>
      <c r="C1202" s="65">
        <v>393.38873099717273</v>
      </c>
      <c r="D1202" s="65">
        <v>395.17211854063714</v>
      </c>
      <c r="E1202" s="65">
        <v>3846526.4743714156</v>
      </c>
      <c r="F1202" s="65" t="s">
        <v>1248</v>
      </c>
      <c r="G1202" s="25">
        <f t="shared" si="37"/>
        <v>2.4004993038451161E-5</v>
      </c>
      <c r="I1202" s="65">
        <v>55.14</v>
      </c>
      <c r="J1202" s="65">
        <v>60.78</v>
      </c>
      <c r="K1202" s="65">
        <v>55.03</v>
      </c>
      <c r="L1202" s="65">
        <v>58.75</v>
      </c>
      <c r="M1202" s="65">
        <v>153827453</v>
      </c>
      <c r="N1202" s="65" t="s">
        <v>1248</v>
      </c>
      <c r="O1202" s="25">
        <f t="shared" si="38"/>
        <v>-6.1446808510638329E-2</v>
      </c>
    </row>
    <row r="1203" spans="1:15" ht="13.5" customHeight="1">
      <c r="A1203" s="65">
        <v>395.58002101068485</v>
      </c>
      <c r="B1203" s="65">
        <v>395.7982014016406</v>
      </c>
      <c r="C1203" s="65">
        <v>393.62104568302084</v>
      </c>
      <c r="D1203" s="65">
        <v>394.03378606608538</v>
      </c>
      <c r="E1203" s="65">
        <v>2719187.9957732898</v>
      </c>
      <c r="F1203" s="65" t="s">
        <v>1249</v>
      </c>
      <c r="G1203" s="25">
        <f t="shared" si="37"/>
        <v>3.9241176753816998E-3</v>
      </c>
      <c r="I1203" s="65">
        <v>75.11</v>
      </c>
      <c r="J1203" s="65">
        <v>75.95</v>
      </c>
      <c r="K1203" s="65">
        <v>73.89</v>
      </c>
      <c r="L1203" s="65">
        <v>74.81</v>
      </c>
      <c r="M1203" s="65">
        <v>44450944</v>
      </c>
      <c r="N1203" s="65" t="s">
        <v>1249</v>
      </c>
      <c r="O1203" s="25">
        <f t="shared" si="38"/>
        <v>4.0101590696430822E-3</v>
      </c>
    </row>
    <row r="1204" spans="1:15" ht="13.5" customHeight="1">
      <c r="A1204" s="65">
        <v>394.61243840731589</v>
      </c>
      <c r="B1204" s="65">
        <v>394.83061879827164</v>
      </c>
      <c r="C1204" s="65">
        <v>393.34130047739973</v>
      </c>
      <c r="D1204" s="65">
        <v>393.42667541299113</v>
      </c>
      <c r="E1204" s="65">
        <v>3381953.2395541896</v>
      </c>
      <c r="F1204" s="65" t="s">
        <v>1250</v>
      </c>
      <c r="G1204" s="25">
        <f t="shared" si="37"/>
        <v>3.0139364421084558E-3</v>
      </c>
      <c r="I1204" s="65">
        <v>75.650000000000006</v>
      </c>
      <c r="J1204" s="65">
        <v>77.52</v>
      </c>
      <c r="K1204" s="65">
        <v>74.670400000000001</v>
      </c>
      <c r="L1204" s="65">
        <v>76.569999999999993</v>
      </c>
      <c r="M1204" s="65">
        <v>15739326</v>
      </c>
      <c r="N1204" s="65" t="s">
        <v>1250</v>
      </c>
      <c r="O1204" s="25">
        <f t="shared" si="38"/>
        <v>-1.2015149536371839E-2</v>
      </c>
    </row>
    <row r="1205" spans="1:15" ht="13.5" customHeight="1">
      <c r="A1205" s="65">
        <v>393.08517567062563</v>
      </c>
      <c r="B1205" s="65">
        <v>393.08517567062563</v>
      </c>
      <c r="C1205" s="65">
        <v>390.96028838479566</v>
      </c>
      <c r="D1205" s="65">
        <v>391.52945462207157</v>
      </c>
      <c r="E1205" s="65">
        <v>2992020.7638293006</v>
      </c>
      <c r="F1205" s="65" t="s">
        <v>1251</v>
      </c>
      <c r="G1205" s="25">
        <f t="shared" si="37"/>
        <v>3.9734457527742517E-3</v>
      </c>
      <c r="I1205" s="65">
        <v>76.430000000000007</v>
      </c>
      <c r="J1205" s="65">
        <v>78.179900000000004</v>
      </c>
      <c r="K1205" s="65">
        <v>73.900000000000006</v>
      </c>
      <c r="L1205" s="65">
        <v>75.12</v>
      </c>
      <c r="M1205" s="65">
        <v>18720652</v>
      </c>
      <c r="N1205" s="65" t="s">
        <v>1251</v>
      </c>
      <c r="O1205" s="25">
        <f t="shared" si="38"/>
        <v>1.7438764643237459E-2</v>
      </c>
    </row>
    <row r="1206" spans="1:15" ht="13.5" customHeight="1">
      <c r="A1206" s="65">
        <v>390.04962240515431</v>
      </c>
      <c r="B1206" s="65">
        <v>390.31523331588301</v>
      </c>
      <c r="C1206" s="65">
        <v>386.58719446172609</v>
      </c>
      <c r="D1206" s="65">
        <v>387.22276342668414</v>
      </c>
      <c r="E1206" s="65">
        <v>3587004.7558890074</v>
      </c>
      <c r="F1206" s="65" t="s">
        <v>1252</v>
      </c>
      <c r="G1206" s="25">
        <f t="shared" si="37"/>
        <v>7.3003429691327337E-3</v>
      </c>
      <c r="I1206" s="65">
        <v>75.8</v>
      </c>
      <c r="J1206" s="65">
        <v>79.3</v>
      </c>
      <c r="K1206" s="65">
        <v>72.61</v>
      </c>
      <c r="L1206" s="65">
        <v>78.599999999999994</v>
      </c>
      <c r="M1206" s="65">
        <v>33053931</v>
      </c>
      <c r="N1206" s="65" t="s">
        <v>1252</v>
      </c>
      <c r="O1206" s="25">
        <f t="shared" si="38"/>
        <v>-3.5623409669211181E-2</v>
      </c>
    </row>
    <row r="1207" spans="1:15" ht="13.5" customHeight="1">
      <c r="A1207" s="65">
        <v>388.86385941082955</v>
      </c>
      <c r="B1207" s="65">
        <v>389.1769008413313</v>
      </c>
      <c r="C1207" s="65">
        <v>387.29390920634359</v>
      </c>
      <c r="D1207" s="65">
        <v>387.9057629114152</v>
      </c>
      <c r="E1207" s="65">
        <v>3691314.1757241548</v>
      </c>
      <c r="F1207" s="65" t="s">
        <v>1253</v>
      </c>
      <c r="G1207" s="25">
        <f t="shared" si="37"/>
        <v>2.4699207668981149E-3</v>
      </c>
      <c r="I1207" s="65">
        <v>77.34</v>
      </c>
      <c r="J1207" s="65">
        <v>78.734999999999999</v>
      </c>
      <c r="K1207" s="65">
        <v>75.87</v>
      </c>
      <c r="L1207" s="65">
        <v>76.81</v>
      </c>
      <c r="M1207" s="65">
        <v>20414437</v>
      </c>
      <c r="N1207" s="65" t="s">
        <v>1253</v>
      </c>
      <c r="O1207" s="25">
        <f t="shared" si="38"/>
        <v>6.9001432105195715E-3</v>
      </c>
    </row>
    <row r="1208" spans="1:15" ht="13.5" customHeight="1">
      <c r="A1208" s="65">
        <v>385.85676445722203</v>
      </c>
      <c r="B1208" s="65">
        <v>386.03700043235938</v>
      </c>
      <c r="C1208" s="65">
        <v>382.49868365729446</v>
      </c>
      <c r="D1208" s="65">
        <v>382.95401664711511</v>
      </c>
      <c r="E1208" s="65">
        <v>3993620.5824139151</v>
      </c>
      <c r="F1208" s="65" t="s">
        <v>1254</v>
      </c>
      <c r="G1208" s="25">
        <f t="shared" si="37"/>
        <v>7.5798860540003954E-3</v>
      </c>
      <c r="I1208" s="65">
        <v>76.64</v>
      </c>
      <c r="J1208" s="65">
        <v>77.23</v>
      </c>
      <c r="K1208" s="65">
        <v>75.724999999999994</v>
      </c>
      <c r="L1208" s="65">
        <v>77.06</v>
      </c>
      <c r="M1208" s="65">
        <v>12957113</v>
      </c>
      <c r="N1208" s="65" t="s">
        <v>1254</v>
      </c>
      <c r="O1208" s="25">
        <f t="shared" si="38"/>
        <v>-5.4502984687256895E-3</v>
      </c>
    </row>
    <row r="1209" spans="1:15" ht="13.5" customHeight="1">
      <c r="A1209" s="65">
        <v>379.48210259973234</v>
      </c>
      <c r="B1209" s="65">
        <v>380.27893533191849</v>
      </c>
      <c r="C1209" s="65">
        <v>376.36117439866962</v>
      </c>
      <c r="D1209" s="65">
        <v>379.10265844154839</v>
      </c>
      <c r="E1209" s="65">
        <v>6844077.4327095561</v>
      </c>
      <c r="F1209" s="65" t="s">
        <v>1255</v>
      </c>
      <c r="G1209" s="25">
        <f t="shared" si="37"/>
        <v>1.0009008107296768E-3</v>
      </c>
      <c r="I1209" s="65">
        <v>74.95</v>
      </c>
      <c r="J1209" s="65">
        <v>76.309399999999997</v>
      </c>
      <c r="K1209" s="65">
        <v>74.3</v>
      </c>
      <c r="L1209" s="65">
        <v>76.150000000000006</v>
      </c>
      <c r="M1209" s="65">
        <v>9998856</v>
      </c>
      <c r="N1209" s="65" t="s">
        <v>1255</v>
      </c>
      <c r="O1209" s="25">
        <f t="shared" si="38"/>
        <v>-1.5758371634931101E-2</v>
      </c>
    </row>
    <row r="1210" spans="1:15" ht="13.5" customHeight="1">
      <c r="A1210" s="65">
        <v>378.26788129354378</v>
      </c>
      <c r="B1210" s="65">
        <v>380.31687974773695</v>
      </c>
      <c r="C1210" s="65">
        <v>377.42361804158458</v>
      </c>
      <c r="D1210" s="65">
        <v>379.96589390141679</v>
      </c>
      <c r="E1210" s="65">
        <v>6537208.5628413241</v>
      </c>
      <c r="F1210" s="65" t="s">
        <v>1256</v>
      </c>
      <c r="G1210" s="25">
        <f t="shared" si="37"/>
        <v>-4.4688553239295992E-3</v>
      </c>
      <c r="I1210" s="65">
        <v>75.260000000000005</v>
      </c>
      <c r="J1210" s="65">
        <v>75.98</v>
      </c>
      <c r="K1210" s="65">
        <v>73.53</v>
      </c>
      <c r="L1210" s="65">
        <v>74.12</v>
      </c>
      <c r="M1210" s="65">
        <v>13691128</v>
      </c>
      <c r="N1210" s="65" t="s">
        <v>1256</v>
      </c>
      <c r="O1210" s="25">
        <f t="shared" si="38"/>
        <v>1.5380464112250358E-2</v>
      </c>
    </row>
    <row r="1211" spans="1:15" ht="13.5" customHeight="1">
      <c r="A1211" s="65">
        <v>379.02676960991158</v>
      </c>
      <c r="B1211" s="65">
        <v>383.94057145839326</v>
      </c>
      <c r="C1211" s="65">
        <v>379.02676960991158</v>
      </c>
      <c r="D1211" s="65">
        <v>381.2560040392421</v>
      </c>
      <c r="E1211" s="65">
        <v>3895879.7180466633</v>
      </c>
      <c r="F1211" s="65" t="s">
        <v>1257</v>
      </c>
      <c r="G1211" s="25">
        <f t="shared" si="37"/>
        <v>-5.8470801920829096E-3</v>
      </c>
      <c r="I1211" s="65">
        <v>73.53</v>
      </c>
      <c r="J1211" s="65">
        <v>75.599900000000005</v>
      </c>
      <c r="K1211" s="65">
        <v>73.5</v>
      </c>
      <c r="L1211" s="65">
        <v>74.650000000000006</v>
      </c>
      <c r="M1211" s="65">
        <v>8990840</v>
      </c>
      <c r="N1211" s="65" t="s">
        <v>1257</v>
      </c>
      <c r="O1211" s="25">
        <f t="shared" si="38"/>
        <v>-1.5003348961821872E-2</v>
      </c>
    </row>
    <row r="1212" spans="1:15" ht="13.5" customHeight="1">
      <c r="A1212" s="65">
        <v>381.80619806860875</v>
      </c>
      <c r="B1212" s="65">
        <v>383.606755460231</v>
      </c>
      <c r="C1212" s="65">
        <v>381.2844623511059</v>
      </c>
      <c r="D1212" s="65">
        <v>383.27654418157147</v>
      </c>
      <c r="E1212" s="65">
        <v>4175496.092977318</v>
      </c>
      <c r="F1212" s="65" t="s">
        <v>1258</v>
      </c>
      <c r="G1212" s="25">
        <f t="shared" si="37"/>
        <v>-3.8362538362539667E-3</v>
      </c>
      <c r="I1212" s="65">
        <v>75</v>
      </c>
      <c r="J1212" s="65">
        <v>77.41</v>
      </c>
      <c r="K1212" s="65">
        <v>74.739999999999995</v>
      </c>
      <c r="L1212" s="65">
        <v>76.91</v>
      </c>
      <c r="M1212" s="65">
        <v>8909211</v>
      </c>
      <c r="N1212" s="65" t="s">
        <v>1258</v>
      </c>
      <c r="O1212" s="25">
        <f t="shared" si="38"/>
        <v>-2.4834221817709001E-2</v>
      </c>
    </row>
    <row r="1213" spans="1:15" ht="13.5" customHeight="1">
      <c r="A1213" s="65">
        <v>382.52714196915821</v>
      </c>
      <c r="B1213" s="65">
        <v>385.18325107644563</v>
      </c>
      <c r="C1213" s="65">
        <v>382.14769781097431</v>
      </c>
      <c r="D1213" s="65">
        <v>382.35639209797546</v>
      </c>
      <c r="E1213" s="65">
        <v>4648056.8008775553</v>
      </c>
      <c r="F1213" s="65" t="s">
        <v>1259</v>
      </c>
      <c r="G1213" s="25">
        <f t="shared" si="37"/>
        <v>4.4657255563551601E-4</v>
      </c>
      <c r="I1213" s="65">
        <v>76.28</v>
      </c>
      <c r="J1213" s="65">
        <v>77.41</v>
      </c>
      <c r="K1213" s="65">
        <v>74.099999999999994</v>
      </c>
      <c r="L1213" s="65">
        <v>74.36</v>
      </c>
      <c r="M1213" s="65">
        <v>15547412</v>
      </c>
      <c r="N1213" s="65" t="s">
        <v>1259</v>
      </c>
      <c r="O1213" s="25">
        <f t="shared" si="38"/>
        <v>2.5820333512641236E-2</v>
      </c>
    </row>
    <row r="1214" spans="1:15" ht="13.5" customHeight="1">
      <c r="A1214" s="65">
        <v>379.26392220877653</v>
      </c>
      <c r="B1214" s="65">
        <v>379.46313039182309</v>
      </c>
      <c r="C1214" s="65">
        <v>372.86080203942299</v>
      </c>
      <c r="D1214" s="65">
        <v>374.36909256820405</v>
      </c>
      <c r="E1214" s="65">
        <v>6946952.1223261496</v>
      </c>
      <c r="F1214" s="65" t="s">
        <v>1260</v>
      </c>
      <c r="G1214" s="25">
        <f t="shared" si="37"/>
        <v>1.3074876472823904E-2</v>
      </c>
      <c r="I1214" s="65">
        <v>73.13</v>
      </c>
      <c r="J1214" s="65">
        <v>74.5</v>
      </c>
      <c r="K1214" s="65">
        <v>71.319999999999993</v>
      </c>
      <c r="L1214" s="65">
        <v>72.37</v>
      </c>
      <c r="M1214" s="65">
        <v>10927331</v>
      </c>
      <c r="N1214" s="65" t="s">
        <v>1260</v>
      </c>
      <c r="O1214" s="25">
        <f t="shared" si="38"/>
        <v>1.0501589056238547E-2</v>
      </c>
    </row>
    <row r="1215" spans="1:15" ht="13.5" customHeight="1">
      <c r="A1215" s="65">
        <v>377.58488180881272</v>
      </c>
      <c r="B1215" s="65">
        <v>379.77863820935301</v>
      </c>
      <c r="C1215" s="65">
        <v>374.50189802356846</v>
      </c>
      <c r="D1215" s="65">
        <v>375.23232802807246</v>
      </c>
      <c r="E1215" s="65">
        <v>5822457.8039996307</v>
      </c>
      <c r="F1215" s="65" t="s">
        <v>1261</v>
      </c>
      <c r="G1215" s="25">
        <f t="shared" si="37"/>
        <v>6.2695924764890609E-3</v>
      </c>
      <c r="I1215" s="65">
        <v>73.41</v>
      </c>
      <c r="J1215" s="65">
        <v>73.91</v>
      </c>
      <c r="K1215" s="65">
        <v>71.790000000000006</v>
      </c>
      <c r="L1215" s="65">
        <v>72.180000000000007</v>
      </c>
      <c r="M1215" s="65">
        <v>11896491</v>
      </c>
      <c r="N1215" s="65" t="s">
        <v>1261</v>
      </c>
      <c r="O1215" s="25">
        <f t="shared" si="38"/>
        <v>1.7040731504571749E-2</v>
      </c>
    </row>
    <row r="1216" spans="1:15" ht="13.5" customHeight="1">
      <c r="A1216" s="65">
        <v>373.95170399420175</v>
      </c>
      <c r="B1216" s="65">
        <v>378.43863116472653</v>
      </c>
      <c r="C1216" s="65">
        <v>371.81733060441724</v>
      </c>
      <c r="D1216" s="65">
        <v>377.66077064044953</v>
      </c>
      <c r="E1216" s="65">
        <v>9298260.9533019103</v>
      </c>
      <c r="F1216" s="65" t="s">
        <v>1262</v>
      </c>
      <c r="G1216" s="25">
        <f t="shared" ref="G1216:G1279" si="39">A1216/D1216-1</f>
        <v>-9.8211594494123089E-3</v>
      </c>
      <c r="I1216" s="65">
        <v>71.23</v>
      </c>
      <c r="J1216" s="65">
        <v>74.2</v>
      </c>
      <c r="K1216" s="65">
        <v>69.97</v>
      </c>
      <c r="L1216" s="65">
        <v>74.03</v>
      </c>
      <c r="M1216" s="65">
        <v>18142552</v>
      </c>
      <c r="N1216" s="65" t="s">
        <v>1262</v>
      </c>
      <c r="O1216" s="25">
        <f t="shared" ref="O1216:O1279" si="40">I1216/L1216-1</f>
        <v>-3.7822504390112033E-2</v>
      </c>
    </row>
    <row r="1217" spans="1:15" ht="13.5" customHeight="1">
      <c r="A1217" s="65">
        <v>378.60938103590928</v>
      </c>
      <c r="B1217" s="65">
        <v>380.25047702005475</v>
      </c>
      <c r="C1217" s="65">
        <v>372.58570502473964</v>
      </c>
      <c r="D1217" s="65">
        <v>375.86429227352778</v>
      </c>
      <c r="E1217" s="65">
        <v>8941706.7750862446</v>
      </c>
      <c r="F1217" s="65" t="s">
        <v>1263</v>
      </c>
      <c r="G1217" s="25">
        <f t="shared" si="39"/>
        <v>7.3034039647048576E-3</v>
      </c>
      <c r="I1217" s="65">
        <v>75.25</v>
      </c>
      <c r="J1217" s="65">
        <v>75.89</v>
      </c>
      <c r="K1217" s="65">
        <v>73.44</v>
      </c>
      <c r="L1217" s="65">
        <v>74.819999999999993</v>
      </c>
      <c r="M1217" s="65">
        <v>11689733</v>
      </c>
      <c r="N1217" s="65" t="s">
        <v>1263</v>
      </c>
      <c r="O1217" s="25">
        <f t="shared" si="40"/>
        <v>5.7471264367816577E-3</v>
      </c>
    </row>
    <row r="1218" spans="1:15" ht="13.5" customHeight="1">
      <c r="A1218" s="65">
        <v>374.1319399693391</v>
      </c>
      <c r="B1218" s="65">
        <v>380.88604598501274</v>
      </c>
      <c r="C1218" s="65">
        <v>374.0750233456115</v>
      </c>
      <c r="D1218" s="65">
        <v>380.25047702005475</v>
      </c>
      <c r="E1218" s="65">
        <v>10026408.149775768</v>
      </c>
      <c r="F1218" s="65" t="s">
        <v>1264</v>
      </c>
      <c r="G1218" s="25">
        <f t="shared" si="39"/>
        <v>-1.6090807035050614E-2</v>
      </c>
      <c r="I1218" s="65">
        <v>73.87</v>
      </c>
      <c r="J1218" s="65">
        <v>75.247299999999996</v>
      </c>
      <c r="K1218" s="65">
        <v>72.239999999999995</v>
      </c>
      <c r="L1218" s="65">
        <v>72.92</v>
      </c>
      <c r="M1218" s="65">
        <v>17174750</v>
      </c>
      <c r="N1218" s="65" t="s">
        <v>1264</v>
      </c>
      <c r="O1218" s="25">
        <f t="shared" si="40"/>
        <v>1.302797586396065E-2</v>
      </c>
    </row>
    <row r="1219" spans="1:15" ht="13.5" customHeight="1">
      <c r="A1219" s="65">
        <v>378.93190857036558</v>
      </c>
      <c r="B1219" s="65">
        <v>381.14217079178695</v>
      </c>
      <c r="C1219" s="65">
        <v>378.36274233308978</v>
      </c>
      <c r="D1219" s="65">
        <v>379.53901922345989</v>
      </c>
      <c r="E1219" s="65">
        <v>4980090.9020296261</v>
      </c>
      <c r="F1219" s="65" t="s">
        <v>1265</v>
      </c>
      <c r="G1219" s="25">
        <f t="shared" si="39"/>
        <v>-1.5996000999751736E-3</v>
      </c>
      <c r="I1219" s="65">
        <v>71.760000000000005</v>
      </c>
      <c r="J1219" s="65">
        <v>76.09</v>
      </c>
      <c r="K1219" s="65">
        <v>71.56</v>
      </c>
      <c r="L1219" s="65">
        <v>75.3</v>
      </c>
      <c r="M1219" s="65">
        <v>18633723</v>
      </c>
      <c r="N1219" s="65" t="s">
        <v>1265</v>
      </c>
      <c r="O1219" s="25">
        <f t="shared" si="40"/>
        <v>-4.7011952191234996E-2</v>
      </c>
    </row>
    <row r="1220" spans="1:15" ht="13.5" customHeight="1">
      <c r="A1220" s="65">
        <v>378.33580179785884</v>
      </c>
      <c r="B1220" s="65">
        <v>383.753565941163</v>
      </c>
      <c r="C1220" s="65">
        <v>377.56993985089957</v>
      </c>
      <c r="D1220" s="65">
        <v>383.45100319668529</v>
      </c>
      <c r="E1220" s="65">
        <v>8708867.5922360122</v>
      </c>
      <c r="F1220" s="65" t="s">
        <v>1266</v>
      </c>
      <c r="G1220" s="25">
        <f t="shared" si="39"/>
        <v>-1.3339908765873543E-2</v>
      </c>
      <c r="I1220" s="65">
        <v>74.42</v>
      </c>
      <c r="J1220" s="65">
        <v>79.41</v>
      </c>
      <c r="K1220" s="65">
        <v>73.89</v>
      </c>
      <c r="L1220" s="65">
        <v>78.540000000000006</v>
      </c>
      <c r="M1220" s="65">
        <v>23531889</v>
      </c>
      <c r="N1220" s="65" t="s">
        <v>1266</v>
      </c>
      <c r="O1220" s="25">
        <f t="shared" si="40"/>
        <v>-5.245734657499368E-2</v>
      </c>
    </row>
    <row r="1221" spans="1:15" ht="13.5" customHeight="1">
      <c r="A1221" s="65">
        <v>386.05115178204068</v>
      </c>
      <c r="B1221" s="65">
        <v>387.25194767418662</v>
      </c>
      <c r="C1221" s="65">
        <v>385.37984069273074</v>
      </c>
      <c r="D1221" s="65">
        <v>386.16536921808103</v>
      </c>
      <c r="E1221" s="65">
        <v>3750997.175673665</v>
      </c>
      <c r="F1221" s="65" t="s">
        <v>1267</v>
      </c>
      <c r="G1221" s="25">
        <f t="shared" si="39"/>
        <v>-2.9577337882891186E-4</v>
      </c>
      <c r="I1221" s="65">
        <v>80.08</v>
      </c>
      <c r="J1221" s="65">
        <v>82.61</v>
      </c>
      <c r="K1221" s="65">
        <v>79.319999999999993</v>
      </c>
      <c r="L1221" s="65">
        <v>82</v>
      </c>
      <c r="M1221" s="65">
        <v>18493258</v>
      </c>
      <c r="N1221" s="65" t="s">
        <v>1267</v>
      </c>
      <c r="O1221" s="25">
        <f t="shared" si="40"/>
        <v>-2.3414634146341484E-2</v>
      </c>
    </row>
    <row r="1222" spans="1:15" ht="13.5" customHeight="1">
      <c r="A1222" s="65">
        <v>387.1479417307724</v>
      </c>
      <c r="B1222" s="65">
        <v>387.78143247702263</v>
      </c>
      <c r="C1222" s="65">
        <v>384.77471520377532</v>
      </c>
      <c r="D1222" s="65">
        <v>384.98272709060376</v>
      </c>
      <c r="E1222" s="65">
        <v>3614655.7365741208</v>
      </c>
      <c r="F1222" s="65" t="s">
        <v>1268</v>
      </c>
      <c r="G1222" s="25">
        <f t="shared" si="39"/>
        <v>5.624186457744873E-3</v>
      </c>
      <c r="I1222" s="65">
        <v>83.11</v>
      </c>
      <c r="J1222" s="65">
        <v>83.34</v>
      </c>
      <c r="K1222" s="65">
        <v>78.11</v>
      </c>
      <c r="L1222" s="65">
        <v>78.94</v>
      </c>
      <c r="M1222" s="65">
        <v>29039000</v>
      </c>
      <c r="N1222" s="65" t="s">
        <v>1268</v>
      </c>
      <c r="O1222" s="25">
        <f t="shared" si="40"/>
        <v>5.2824930326830444E-2</v>
      </c>
    </row>
    <row r="1223" spans="1:15" ht="13.5" customHeight="1">
      <c r="A1223" s="65">
        <v>386.50499589875722</v>
      </c>
      <c r="B1223" s="65">
        <v>387.96107910655627</v>
      </c>
      <c r="C1223" s="65">
        <v>383.37536251056588</v>
      </c>
      <c r="D1223" s="65">
        <v>383.60228456892412</v>
      </c>
      <c r="E1223" s="65">
        <v>4334220.8647124665</v>
      </c>
      <c r="F1223" s="65" t="s">
        <v>1269</v>
      </c>
      <c r="G1223" s="25">
        <f t="shared" si="39"/>
        <v>7.5669813413521414E-3</v>
      </c>
      <c r="I1223" s="65">
        <v>79.37</v>
      </c>
      <c r="J1223" s="65">
        <v>80.099999999999994</v>
      </c>
      <c r="K1223" s="65">
        <v>77.459999999999994</v>
      </c>
      <c r="L1223" s="65">
        <v>78.97</v>
      </c>
      <c r="M1223" s="65">
        <v>20944593</v>
      </c>
      <c r="N1223" s="65" t="s">
        <v>1269</v>
      </c>
      <c r="O1223" s="25">
        <f t="shared" si="40"/>
        <v>5.0652146384704277E-3</v>
      </c>
    </row>
    <row r="1224" spans="1:15" ht="13.5" customHeight="1">
      <c r="A1224" s="65">
        <v>381.89091404547202</v>
      </c>
      <c r="B1224" s="65">
        <v>383.73465576963315</v>
      </c>
      <c r="C1224" s="65">
        <v>379.39477140353085</v>
      </c>
      <c r="D1224" s="65">
        <v>380.25518420813938</v>
      </c>
      <c r="E1224" s="65">
        <v>6350839.2724190718</v>
      </c>
      <c r="F1224" s="65" t="s">
        <v>1270</v>
      </c>
      <c r="G1224" s="25">
        <f t="shared" si="39"/>
        <v>4.3016634756445349E-3</v>
      </c>
      <c r="I1224" s="65">
        <v>78.599999999999994</v>
      </c>
      <c r="J1224" s="65">
        <v>79.64</v>
      </c>
      <c r="K1224" s="65">
        <v>74.02</v>
      </c>
      <c r="L1224" s="65">
        <v>74.37</v>
      </c>
      <c r="M1224" s="65">
        <v>26999240</v>
      </c>
      <c r="N1224" s="65" t="s">
        <v>1270</v>
      </c>
      <c r="O1224" s="25">
        <f t="shared" si="40"/>
        <v>5.6877773295683554E-2</v>
      </c>
    </row>
    <row r="1225" spans="1:15" ht="13.5" customHeight="1">
      <c r="A1225" s="65">
        <v>378.24125094020957</v>
      </c>
      <c r="B1225" s="65">
        <v>381.89091404547202</v>
      </c>
      <c r="C1225" s="65">
        <v>377.67394579431379</v>
      </c>
      <c r="D1225" s="65">
        <v>380.71848341062088</v>
      </c>
      <c r="E1225" s="65">
        <v>6788012.461829179</v>
      </c>
      <c r="F1225" s="65" t="s">
        <v>1271</v>
      </c>
      <c r="G1225" s="25">
        <f t="shared" si="39"/>
        <v>-6.506730243878156E-3</v>
      </c>
      <c r="I1225" s="65">
        <v>76.09</v>
      </c>
      <c r="J1225" s="65">
        <v>76.37</v>
      </c>
      <c r="K1225" s="65">
        <v>72.599999999999994</v>
      </c>
      <c r="L1225" s="65">
        <v>72.760000000000005</v>
      </c>
      <c r="M1225" s="65">
        <v>18129598</v>
      </c>
      <c r="N1225" s="65" t="s">
        <v>1271</v>
      </c>
      <c r="O1225" s="25">
        <f t="shared" si="40"/>
        <v>4.5766904892798221E-2</v>
      </c>
    </row>
    <row r="1226" spans="1:15" ht="13.5" customHeight="1">
      <c r="A1226" s="65">
        <v>378.60999928504179</v>
      </c>
      <c r="B1226" s="65">
        <v>380.69957323909102</v>
      </c>
      <c r="C1226" s="65">
        <v>374.01482760328639</v>
      </c>
      <c r="D1226" s="65">
        <v>379.25294511705692</v>
      </c>
      <c r="E1226" s="65">
        <v>11573387.351587355</v>
      </c>
      <c r="F1226" s="65" t="s">
        <v>1272</v>
      </c>
      <c r="G1226" s="25">
        <f t="shared" si="39"/>
        <v>-1.6952955548352744E-3</v>
      </c>
      <c r="I1226" s="65">
        <v>71.73</v>
      </c>
      <c r="J1226" s="65">
        <v>73.14</v>
      </c>
      <c r="K1226" s="65">
        <v>70.108999999999995</v>
      </c>
      <c r="L1226" s="65">
        <v>72.375</v>
      </c>
      <c r="M1226" s="65">
        <v>13834883</v>
      </c>
      <c r="N1226" s="65" t="s">
        <v>1272</v>
      </c>
      <c r="O1226" s="25">
        <f t="shared" si="40"/>
        <v>-8.9119170984455209E-3</v>
      </c>
    </row>
    <row r="1227" spans="1:15" ht="13.5" customHeight="1">
      <c r="A1227" s="65">
        <v>384.89763131871933</v>
      </c>
      <c r="B1227" s="65">
        <v>388.39601305174301</v>
      </c>
      <c r="C1227" s="65">
        <v>384.60452366000658</v>
      </c>
      <c r="D1227" s="65">
        <v>387.98944436385108</v>
      </c>
      <c r="E1227" s="65">
        <v>5707082.023534311</v>
      </c>
      <c r="F1227" s="65" t="s">
        <v>1273</v>
      </c>
      <c r="G1227" s="25">
        <f t="shared" si="39"/>
        <v>-7.9688071158767748E-3</v>
      </c>
      <c r="I1227" s="65">
        <v>74.760000000000005</v>
      </c>
      <c r="J1227" s="65">
        <v>75.63</v>
      </c>
      <c r="K1227" s="65">
        <v>72.400000000000006</v>
      </c>
      <c r="L1227" s="65">
        <v>72.42</v>
      </c>
      <c r="M1227" s="65">
        <v>20939332</v>
      </c>
      <c r="N1227" s="65" t="s">
        <v>1273</v>
      </c>
      <c r="O1227" s="25">
        <f t="shared" si="40"/>
        <v>3.2311516155758113E-2</v>
      </c>
    </row>
    <row r="1228" spans="1:15" ht="13.5" customHeight="1">
      <c r="A1228" s="65">
        <v>388.70803088198568</v>
      </c>
      <c r="B1228" s="65">
        <v>389.72918014459799</v>
      </c>
      <c r="C1228" s="65">
        <v>385.98496618168622</v>
      </c>
      <c r="D1228" s="65">
        <v>388.85931225422451</v>
      </c>
      <c r="E1228" s="65">
        <v>3544652.1410007086</v>
      </c>
      <c r="F1228" s="65" t="s">
        <v>1274</v>
      </c>
      <c r="G1228" s="25">
        <f t="shared" si="39"/>
        <v>-3.8903883093821534E-4</v>
      </c>
      <c r="I1228" s="65">
        <v>72.48</v>
      </c>
      <c r="J1228" s="65">
        <v>73.41</v>
      </c>
      <c r="K1228" s="65">
        <v>71.52</v>
      </c>
      <c r="L1228" s="65">
        <v>73.290000000000006</v>
      </c>
      <c r="M1228" s="65">
        <v>16878499</v>
      </c>
      <c r="N1228" s="65" t="s">
        <v>1274</v>
      </c>
      <c r="O1228" s="25">
        <f t="shared" si="40"/>
        <v>-1.1051985264019626E-2</v>
      </c>
    </row>
    <row r="1229" spans="1:15" ht="13.5" customHeight="1">
      <c r="A1229" s="65">
        <v>389.37934197129562</v>
      </c>
      <c r="B1229" s="65">
        <v>389.79328562608418</v>
      </c>
      <c r="C1229" s="65">
        <v>385.48384663614496</v>
      </c>
      <c r="D1229" s="65">
        <v>386.51445098452223</v>
      </c>
      <c r="E1229" s="65">
        <v>4115653.8361969325</v>
      </c>
      <c r="F1229" s="65" t="s">
        <v>1275</v>
      </c>
      <c r="G1229" s="25">
        <f t="shared" si="39"/>
        <v>7.412118691748848E-3</v>
      </c>
      <c r="I1229" s="65">
        <v>73.62</v>
      </c>
      <c r="J1229" s="65">
        <v>73.62</v>
      </c>
      <c r="K1229" s="65">
        <v>70.37</v>
      </c>
      <c r="L1229" s="65">
        <v>71.33</v>
      </c>
      <c r="M1229" s="65">
        <v>10890142</v>
      </c>
      <c r="N1229" s="65" t="s">
        <v>1275</v>
      </c>
      <c r="O1229" s="25">
        <f t="shared" si="40"/>
        <v>3.2104303939436418E-2</v>
      </c>
    </row>
    <row r="1230" spans="1:15" ht="13.5" customHeight="1">
      <c r="A1230" s="65">
        <v>386.1551577254549</v>
      </c>
      <c r="B1230" s="65">
        <v>389.71972505883303</v>
      </c>
      <c r="C1230" s="65">
        <v>385.28528983508147</v>
      </c>
      <c r="D1230" s="65">
        <v>389.56844368659415</v>
      </c>
      <c r="E1230" s="65">
        <v>3868465.1741258577</v>
      </c>
      <c r="F1230" s="65" t="s">
        <v>1276</v>
      </c>
      <c r="G1230" s="25">
        <f t="shared" si="39"/>
        <v>-8.7617105965729358E-3</v>
      </c>
      <c r="I1230" s="65">
        <v>71.31</v>
      </c>
      <c r="J1230" s="65">
        <v>72.790000000000006</v>
      </c>
      <c r="K1230" s="65">
        <v>70.81</v>
      </c>
      <c r="L1230" s="65">
        <v>71.69</v>
      </c>
      <c r="M1230" s="65">
        <v>11082990</v>
      </c>
      <c r="N1230" s="65" t="s">
        <v>1276</v>
      </c>
      <c r="O1230" s="25">
        <f t="shared" si="40"/>
        <v>-5.3005998047146452E-3</v>
      </c>
    </row>
    <row r="1231" spans="1:15" ht="13.5" customHeight="1">
      <c r="A1231" s="65">
        <v>388.16909099338477</v>
      </c>
      <c r="B1231" s="65">
        <v>390.22084460437424</v>
      </c>
      <c r="C1231" s="65">
        <v>386.06060686780563</v>
      </c>
      <c r="D1231" s="65">
        <v>390.0411979748406</v>
      </c>
      <c r="E1231" s="65">
        <v>5011419.3755657682</v>
      </c>
      <c r="F1231" s="65" t="s">
        <v>1277</v>
      </c>
      <c r="G1231" s="25">
        <f t="shared" si="39"/>
        <v>-4.7997672840103256E-3</v>
      </c>
      <c r="I1231" s="65">
        <v>71.260000000000005</v>
      </c>
      <c r="J1231" s="65">
        <v>75.61</v>
      </c>
      <c r="K1231" s="65">
        <v>69.819999999999993</v>
      </c>
      <c r="L1231" s="65">
        <v>75.61</v>
      </c>
      <c r="M1231" s="65">
        <v>19913384</v>
      </c>
      <c r="N1231" s="65" t="s">
        <v>1277</v>
      </c>
      <c r="O1231" s="25">
        <f t="shared" si="40"/>
        <v>-5.7532072477185503E-2</v>
      </c>
    </row>
    <row r="1232" spans="1:15" ht="13.5" customHeight="1">
      <c r="A1232" s="65">
        <v>387.26140275995152</v>
      </c>
      <c r="B1232" s="65">
        <v>392.48061010219226</v>
      </c>
      <c r="C1232" s="65">
        <v>387.10539384483025</v>
      </c>
      <c r="D1232" s="65">
        <v>392.09295158583018</v>
      </c>
      <c r="E1232" s="65">
        <v>4268082.9136089934</v>
      </c>
      <c r="F1232" s="65" t="s">
        <v>1278</v>
      </c>
      <c r="G1232" s="25">
        <f t="shared" si="39"/>
        <v>-1.2322457739516457E-2</v>
      </c>
      <c r="I1232" s="65">
        <v>74.5</v>
      </c>
      <c r="J1232" s="65">
        <v>75.989999999999995</v>
      </c>
      <c r="K1232" s="65">
        <v>74.275000000000006</v>
      </c>
      <c r="L1232" s="65">
        <v>75.25</v>
      </c>
      <c r="M1232" s="65">
        <v>9219246</v>
      </c>
      <c r="N1232" s="65" t="s">
        <v>1278</v>
      </c>
      <c r="O1232" s="25">
        <f t="shared" si="40"/>
        <v>-9.966777408637828E-3</v>
      </c>
    </row>
    <row r="1233" spans="1:15" ht="13.5" customHeight="1">
      <c r="A1233" s="65">
        <v>390.2775751189638</v>
      </c>
      <c r="B1233" s="65">
        <v>393.39775342139029</v>
      </c>
      <c r="C1233" s="65">
        <v>390.08847340366526</v>
      </c>
      <c r="D1233" s="65">
        <v>391.7620235840576</v>
      </c>
      <c r="E1233" s="65">
        <v>4111891.8396498533</v>
      </c>
      <c r="F1233" s="65" t="s">
        <v>1279</v>
      </c>
      <c r="G1233" s="25">
        <f t="shared" si="39"/>
        <v>-3.7891586619683837E-3</v>
      </c>
      <c r="I1233" s="65">
        <v>74.62</v>
      </c>
      <c r="J1233" s="65">
        <v>75.665599999999998</v>
      </c>
      <c r="K1233" s="65">
        <v>73.540000000000006</v>
      </c>
      <c r="L1233" s="65">
        <v>74.11</v>
      </c>
      <c r="M1233" s="65">
        <v>10564282</v>
      </c>
      <c r="N1233" s="65" t="s">
        <v>1279</v>
      </c>
      <c r="O1233" s="25">
        <f t="shared" si="40"/>
        <v>6.8816623937391075E-3</v>
      </c>
    </row>
    <row r="1234" spans="1:15" ht="13.5" customHeight="1">
      <c r="A1234" s="65">
        <v>392.03622107124056</v>
      </c>
      <c r="B1234" s="65">
        <v>392.63189147443109</v>
      </c>
      <c r="C1234" s="65">
        <v>390.18595533790165</v>
      </c>
      <c r="D1234" s="65">
        <v>391.94167021359129</v>
      </c>
      <c r="E1234" s="65">
        <v>4243857.8557200842</v>
      </c>
      <c r="F1234" s="65" t="s">
        <v>1280</v>
      </c>
      <c r="G1234" s="25">
        <f t="shared" si="39"/>
        <v>2.4123706366241393E-4</v>
      </c>
      <c r="I1234" s="65">
        <v>74.13</v>
      </c>
      <c r="J1234" s="65">
        <v>76.7</v>
      </c>
      <c r="K1234" s="65">
        <v>73.23</v>
      </c>
      <c r="L1234" s="65">
        <v>76.22</v>
      </c>
      <c r="M1234" s="65">
        <v>11538930</v>
      </c>
      <c r="N1234" s="65" t="s">
        <v>1280</v>
      </c>
      <c r="O1234" s="25">
        <f t="shared" si="40"/>
        <v>-2.74206245080032E-2</v>
      </c>
    </row>
    <row r="1235" spans="1:15" ht="13.5" customHeight="1">
      <c r="A1235" s="65">
        <v>392.41442450183769</v>
      </c>
      <c r="B1235" s="65">
        <v>393.60576530821879</v>
      </c>
      <c r="C1235" s="65">
        <v>391.83766427017707</v>
      </c>
      <c r="D1235" s="65">
        <v>393.58685513668888</v>
      </c>
      <c r="E1235" s="65">
        <v>3746651.3663365976</v>
      </c>
      <c r="F1235" s="65" t="s">
        <v>1281</v>
      </c>
      <c r="G1235" s="25">
        <f t="shared" si="39"/>
        <v>-2.9788358517309765E-3</v>
      </c>
      <c r="I1235" s="65">
        <v>76.489999999999995</v>
      </c>
      <c r="J1235" s="65">
        <v>76.84</v>
      </c>
      <c r="K1235" s="65">
        <v>74.052000000000007</v>
      </c>
      <c r="L1235" s="65">
        <v>75.83</v>
      </c>
      <c r="M1235" s="65">
        <v>11741251</v>
      </c>
      <c r="N1235" s="65" t="s">
        <v>1281</v>
      </c>
      <c r="O1235" s="25">
        <f t="shared" si="40"/>
        <v>8.7036792826058473E-3</v>
      </c>
    </row>
    <row r="1236" spans="1:15" ht="13.5" customHeight="1">
      <c r="A1236" s="65">
        <v>393.87050770963674</v>
      </c>
      <c r="B1236" s="65">
        <v>394.33314505611474</v>
      </c>
      <c r="C1236" s="65">
        <v>392.53734061678182</v>
      </c>
      <c r="D1236" s="65">
        <v>392.9344542189088</v>
      </c>
      <c r="E1236" s="65">
        <v>3959772.6483745067</v>
      </c>
      <c r="F1236" s="65" t="s">
        <v>1282</v>
      </c>
      <c r="G1236" s="25">
        <f t="shared" si="39"/>
        <v>2.3822128110111418E-3</v>
      </c>
      <c r="I1236" s="65">
        <v>75.08</v>
      </c>
      <c r="J1236" s="65">
        <v>75.47</v>
      </c>
      <c r="K1236" s="65">
        <v>72.930000000000007</v>
      </c>
      <c r="L1236" s="65">
        <v>73.92</v>
      </c>
      <c r="M1236" s="65">
        <v>9241093</v>
      </c>
      <c r="N1236" s="65" t="s">
        <v>1282</v>
      </c>
      <c r="O1236" s="25">
        <f t="shared" si="40"/>
        <v>1.5692640692640536E-2</v>
      </c>
    </row>
    <row r="1237" spans="1:15" ht="13.5" customHeight="1">
      <c r="A1237" s="65">
        <v>394.02178908187562</v>
      </c>
      <c r="B1237" s="65">
        <v>394.69310017118556</v>
      </c>
      <c r="C1237" s="65">
        <v>392.85408598990693</v>
      </c>
      <c r="D1237" s="65">
        <v>394.08797468223014</v>
      </c>
      <c r="E1237" s="65">
        <v>3000420.1659627985</v>
      </c>
      <c r="F1237" s="65" t="s">
        <v>1283</v>
      </c>
      <c r="G1237" s="25">
        <f t="shared" si="39"/>
        <v>-1.6794625719773748E-4</v>
      </c>
      <c r="I1237" s="65">
        <v>73.92</v>
      </c>
      <c r="J1237" s="65">
        <v>76.2</v>
      </c>
      <c r="K1237" s="65">
        <v>73.599999999999994</v>
      </c>
      <c r="L1237" s="65">
        <v>74.599999999999994</v>
      </c>
      <c r="M1237" s="65">
        <v>12180175</v>
      </c>
      <c r="N1237" s="65" t="s">
        <v>1283</v>
      </c>
      <c r="O1237" s="25">
        <f t="shared" si="40"/>
        <v>-9.1152815013403332E-3</v>
      </c>
    </row>
    <row r="1238" spans="1:15" ht="13.5" customHeight="1">
      <c r="A1238" s="65">
        <v>392.84935844702449</v>
      </c>
      <c r="B1238" s="65">
        <v>393.88941788116659</v>
      </c>
      <c r="C1238" s="65">
        <v>392.53734061678182</v>
      </c>
      <c r="D1238" s="65">
        <v>393.37884324986049</v>
      </c>
      <c r="E1238" s="65">
        <v>3444040.6792275566</v>
      </c>
      <c r="F1238" s="65" t="s">
        <v>1284</v>
      </c>
      <c r="G1238" s="25">
        <f t="shared" si="39"/>
        <v>-1.345992068261026E-3</v>
      </c>
      <c r="I1238" s="65">
        <v>74.17</v>
      </c>
      <c r="J1238" s="65">
        <v>77.25</v>
      </c>
      <c r="K1238" s="65">
        <v>73.69</v>
      </c>
      <c r="L1238" s="65">
        <v>75.98</v>
      </c>
      <c r="M1238" s="65">
        <v>15642339</v>
      </c>
      <c r="N1238" s="65" t="s">
        <v>1284</v>
      </c>
      <c r="O1238" s="25">
        <f t="shared" si="40"/>
        <v>-2.3822058436430704E-2</v>
      </c>
    </row>
    <row r="1239" spans="1:15" ht="13.5" customHeight="1">
      <c r="A1239" s="65">
        <v>392.4333346733676</v>
      </c>
      <c r="B1239" s="65">
        <v>393.35047799256569</v>
      </c>
      <c r="C1239" s="65">
        <v>391.9889456424159</v>
      </c>
      <c r="D1239" s="65">
        <v>393.01009490502827</v>
      </c>
      <c r="E1239" s="65">
        <v>6412333.161999288</v>
      </c>
      <c r="F1239" s="65" t="s">
        <v>1285</v>
      </c>
      <c r="G1239" s="25">
        <f t="shared" si="39"/>
        <v>-1.4675455901458356E-3</v>
      </c>
      <c r="I1239" s="65">
        <v>76.11</v>
      </c>
      <c r="J1239" s="65">
        <v>77.88</v>
      </c>
      <c r="K1239" s="65">
        <v>74.099999999999994</v>
      </c>
      <c r="L1239" s="65">
        <v>74.86</v>
      </c>
      <c r="M1239" s="65">
        <v>18475208</v>
      </c>
      <c r="N1239" s="65" t="s">
        <v>1285</v>
      </c>
      <c r="O1239" s="25">
        <f t="shared" si="40"/>
        <v>1.6697835960459484E-2</v>
      </c>
    </row>
    <row r="1240" spans="1:15" ht="13.5" customHeight="1">
      <c r="A1240" s="65">
        <v>393.10464576267754</v>
      </c>
      <c r="B1240" s="65">
        <v>393.86105262387184</v>
      </c>
      <c r="C1240" s="65">
        <v>391.80929901288226</v>
      </c>
      <c r="D1240" s="65">
        <v>392.06458632853537</v>
      </c>
      <c r="E1240" s="65">
        <v>2973833.4161172886</v>
      </c>
      <c r="F1240" s="65" t="s">
        <v>1286</v>
      </c>
      <c r="G1240" s="25">
        <f t="shared" si="39"/>
        <v>2.6527757680991915E-3</v>
      </c>
      <c r="I1240" s="65">
        <v>74.510000000000005</v>
      </c>
      <c r="J1240" s="65">
        <v>75</v>
      </c>
      <c r="K1240" s="65">
        <v>71.78</v>
      </c>
      <c r="L1240" s="65">
        <v>73.3</v>
      </c>
      <c r="M1240" s="65">
        <v>8825255</v>
      </c>
      <c r="N1240" s="65" t="s">
        <v>1286</v>
      </c>
      <c r="O1240" s="25">
        <f t="shared" si="40"/>
        <v>1.6507503410641222E-2</v>
      </c>
    </row>
    <row r="1241" spans="1:15" ht="13.5" customHeight="1">
      <c r="A1241" s="65">
        <v>391.30817946734106</v>
      </c>
      <c r="B1241" s="65">
        <v>391.7525684982927</v>
      </c>
      <c r="C1241" s="65">
        <v>388.62293511010131</v>
      </c>
      <c r="D1241" s="65">
        <v>388.68912071045577</v>
      </c>
      <c r="E1241" s="65">
        <v>4105938.4298765869</v>
      </c>
      <c r="F1241" s="65" t="s">
        <v>1287</v>
      </c>
      <c r="G1241" s="25">
        <f t="shared" si="39"/>
        <v>6.7381838526843207E-3</v>
      </c>
      <c r="I1241" s="65">
        <v>73.12</v>
      </c>
      <c r="J1241" s="65">
        <v>73.88</v>
      </c>
      <c r="K1241" s="65">
        <v>71.66</v>
      </c>
      <c r="L1241" s="65">
        <v>72.180000000000007</v>
      </c>
      <c r="M1241" s="65">
        <v>10123753</v>
      </c>
      <c r="N1241" s="65" t="s">
        <v>1287</v>
      </c>
      <c r="O1241" s="25">
        <f t="shared" si="40"/>
        <v>1.3022998060404412E-2</v>
      </c>
    </row>
    <row r="1242" spans="1:15" ht="13.5" customHeight="1">
      <c r="A1242" s="65">
        <v>387.866528248907</v>
      </c>
      <c r="B1242" s="65">
        <v>390.17356917554963</v>
      </c>
      <c r="C1242" s="65">
        <v>387.84761807737715</v>
      </c>
      <c r="D1242" s="65">
        <v>389.93719203142643</v>
      </c>
      <c r="E1242" s="65">
        <v>4978866.5243646009</v>
      </c>
      <c r="F1242" s="65" t="s">
        <v>1288</v>
      </c>
      <c r="G1242" s="25">
        <f t="shared" si="39"/>
        <v>-5.3102495089838442E-3</v>
      </c>
      <c r="I1242" s="65">
        <v>71.61</v>
      </c>
      <c r="J1242" s="65">
        <v>74.95</v>
      </c>
      <c r="K1242" s="65">
        <v>71.512</v>
      </c>
      <c r="L1242" s="65">
        <v>74.72</v>
      </c>
      <c r="M1242" s="65">
        <v>19872363</v>
      </c>
      <c r="N1242" s="65" t="s">
        <v>1288</v>
      </c>
      <c r="O1242" s="25">
        <f t="shared" si="40"/>
        <v>-4.1622055674518155E-2</v>
      </c>
    </row>
    <row r="1243" spans="1:15" ht="13.5" customHeight="1">
      <c r="A1243" s="65">
        <v>390.14520391825482</v>
      </c>
      <c r="B1243" s="65">
        <v>390.69359889262068</v>
      </c>
      <c r="C1243" s="65">
        <v>389.23751568482169</v>
      </c>
      <c r="D1243" s="65">
        <v>389.60626402965391</v>
      </c>
      <c r="E1243" s="65">
        <v>3449373.2590955277</v>
      </c>
      <c r="F1243" s="65" t="s">
        <v>1289</v>
      </c>
      <c r="G1243" s="25">
        <f t="shared" si="39"/>
        <v>1.3832936950928243E-3</v>
      </c>
      <c r="I1243" s="65">
        <v>74.69</v>
      </c>
      <c r="J1243" s="65">
        <v>74.975999999999999</v>
      </c>
      <c r="K1243" s="65">
        <v>73.489999999999995</v>
      </c>
      <c r="L1243" s="65">
        <v>74.31</v>
      </c>
      <c r="M1243" s="65">
        <v>7901376</v>
      </c>
      <c r="N1243" s="65" t="s">
        <v>1289</v>
      </c>
      <c r="O1243" s="25">
        <f t="shared" si="40"/>
        <v>5.1137128246534491E-3</v>
      </c>
    </row>
    <row r="1244" spans="1:15" ht="13.5" customHeight="1">
      <c r="A1244" s="65">
        <v>389.42661740012028</v>
      </c>
      <c r="B1244" s="65">
        <v>389.88991660260177</v>
      </c>
      <c r="C1244" s="65">
        <v>388.93495294034398</v>
      </c>
      <c r="D1244" s="65">
        <v>389.45498265741503</v>
      </c>
      <c r="E1244" s="65">
        <v>3179756.4556757431</v>
      </c>
      <c r="F1244" s="65" t="s">
        <v>1290</v>
      </c>
      <c r="G1244" s="25">
        <f t="shared" si="39"/>
        <v>-7.2833211944511866E-5</v>
      </c>
      <c r="I1244" s="65">
        <v>74.63</v>
      </c>
      <c r="J1244" s="65">
        <v>76.37</v>
      </c>
      <c r="K1244" s="65">
        <v>73.72</v>
      </c>
      <c r="L1244" s="65">
        <v>75.819999999999993</v>
      </c>
      <c r="M1244" s="65">
        <v>9663823</v>
      </c>
      <c r="N1244" s="65" t="s">
        <v>1290</v>
      </c>
      <c r="O1244" s="25">
        <f t="shared" si="40"/>
        <v>-1.5695067264573925E-2</v>
      </c>
    </row>
    <row r="1245" spans="1:15" ht="13.5" customHeight="1">
      <c r="A1245" s="65">
        <v>388.8120368253999</v>
      </c>
      <c r="B1245" s="65">
        <v>389.62517420118371</v>
      </c>
      <c r="C1245" s="65">
        <v>386.93047475817906</v>
      </c>
      <c r="D1245" s="65">
        <v>386.94938492970891</v>
      </c>
      <c r="E1245" s="65">
        <v>3447243.188517564</v>
      </c>
      <c r="F1245" s="65" t="s">
        <v>1291</v>
      </c>
      <c r="G1245" s="25">
        <f t="shared" si="39"/>
        <v>4.8136835675016698E-3</v>
      </c>
      <c r="I1245" s="65">
        <v>75.5</v>
      </c>
      <c r="J1245" s="65">
        <v>75.930000000000007</v>
      </c>
      <c r="K1245" s="65">
        <v>73.67</v>
      </c>
      <c r="L1245" s="65">
        <v>74.010000000000005</v>
      </c>
      <c r="M1245" s="65">
        <v>11055928</v>
      </c>
      <c r="N1245" s="65" t="s">
        <v>1291</v>
      </c>
      <c r="O1245" s="25">
        <f t="shared" si="40"/>
        <v>2.0132414538575727E-2</v>
      </c>
    </row>
    <row r="1246" spans="1:15" ht="13.5" customHeight="1">
      <c r="A1246" s="65">
        <v>385.39875086426059</v>
      </c>
      <c r="B1246" s="65">
        <v>385.6918585229734</v>
      </c>
      <c r="C1246" s="65">
        <v>382.23129713300943</v>
      </c>
      <c r="D1246" s="65">
        <v>382.62841073513647</v>
      </c>
      <c r="E1246" s="65">
        <v>3451656.6862940504</v>
      </c>
      <c r="F1246" s="65" t="s">
        <v>1292</v>
      </c>
      <c r="G1246" s="25">
        <f t="shared" si="39"/>
        <v>7.2402886231095476E-3</v>
      </c>
      <c r="I1246" s="65">
        <v>72.72</v>
      </c>
      <c r="J1246" s="65">
        <v>72.969899999999996</v>
      </c>
      <c r="K1246" s="65">
        <v>70.8</v>
      </c>
      <c r="L1246" s="65">
        <v>71.2</v>
      </c>
      <c r="M1246" s="65">
        <v>8615044</v>
      </c>
      <c r="N1246" s="65" t="s">
        <v>1292</v>
      </c>
      <c r="O1246" s="25">
        <f t="shared" si="40"/>
        <v>2.134831460674147E-2</v>
      </c>
    </row>
    <row r="1247" spans="1:15" ht="13.5" customHeight="1">
      <c r="A1247" s="65">
        <v>382.37312341948342</v>
      </c>
      <c r="B1247" s="65">
        <v>383.45100319668529</v>
      </c>
      <c r="C1247" s="65">
        <v>379.08369908186467</v>
      </c>
      <c r="D1247" s="65">
        <v>379.23403494552701</v>
      </c>
      <c r="E1247" s="65">
        <v>5823021.7439402482</v>
      </c>
      <c r="F1247" s="65" t="s">
        <v>1293</v>
      </c>
      <c r="G1247" s="25">
        <f t="shared" si="39"/>
        <v>8.2774439651949194E-3</v>
      </c>
      <c r="I1247" s="65">
        <v>70.86</v>
      </c>
      <c r="J1247" s="65">
        <v>72.545000000000002</v>
      </c>
      <c r="K1247" s="65">
        <v>70.400000000000006</v>
      </c>
      <c r="L1247" s="65">
        <v>70.5</v>
      </c>
      <c r="M1247" s="65">
        <v>8874468</v>
      </c>
      <c r="N1247" s="65" t="s">
        <v>1293</v>
      </c>
      <c r="O1247" s="25">
        <f t="shared" si="40"/>
        <v>5.106382978723456E-3</v>
      </c>
    </row>
    <row r="1248" spans="1:15" ht="13.5" customHeight="1">
      <c r="A1248" s="65">
        <v>381.83418353088246</v>
      </c>
      <c r="B1248" s="65">
        <v>386.47663064146246</v>
      </c>
      <c r="C1248" s="65">
        <v>381.5505309579346</v>
      </c>
      <c r="D1248" s="65">
        <v>385.03000251942842</v>
      </c>
      <c r="E1248" s="65">
        <v>5159421.2059870865</v>
      </c>
      <c r="F1248" s="65" t="s">
        <v>1294</v>
      </c>
      <c r="G1248" s="25">
        <f t="shared" si="39"/>
        <v>-8.3001817199549466E-3</v>
      </c>
      <c r="I1248" s="65">
        <v>71.959999999999994</v>
      </c>
      <c r="J1248" s="65">
        <v>73.38</v>
      </c>
      <c r="K1248" s="65">
        <v>71</v>
      </c>
      <c r="L1248" s="65">
        <v>71.290000000000006</v>
      </c>
      <c r="M1248" s="65">
        <v>8067627</v>
      </c>
      <c r="N1248" s="65" t="s">
        <v>1294</v>
      </c>
      <c r="O1248" s="25">
        <f t="shared" si="40"/>
        <v>9.3982325711878811E-3</v>
      </c>
    </row>
    <row r="1249" spans="1:15" ht="13.5" customHeight="1">
      <c r="A1249" s="65">
        <v>385.98496618168622</v>
      </c>
      <c r="B1249" s="65">
        <v>386.76028321441038</v>
      </c>
      <c r="C1249" s="65">
        <v>383.22408113832699</v>
      </c>
      <c r="D1249" s="65">
        <v>386.1551577254549</v>
      </c>
      <c r="E1249" s="65">
        <v>5485144.3222620878</v>
      </c>
      <c r="F1249" s="65" t="s">
        <v>1295</v>
      </c>
      <c r="G1249" s="25">
        <f t="shared" si="39"/>
        <v>-4.4073357655283196E-4</v>
      </c>
      <c r="I1249" s="65">
        <v>71.81</v>
      </c>
      <c r="J1249" s="65">
        <v>72.61</v>
      </c>
      <c r="K1249" s="65">
        <v>70.05</v>
      </c>
      <c r="L1249" s="65">
        <v>71.09</v>
      </c>
      <c r="M1249" s="65">
        <v>12077439</v>
      </c>
      <c r="N1249" s="65" t="s">
        <v>1295</v>
      </c>
      <c r="O1249" s="25">
        <f t="shared" si="40"/>
        <v>1.0128006752004426E-2</v>
      </c>
    </row>
    <row r="1250" spans="1:15" ht="13.5" customHeight="1">
      <c r="A1250" s="65">
        <v>388.5472944239819</v>
      </c>
      <c r="B1250" s="65">
        <v>388.61348002433635</v>
      </c>
      <c r="C1250" s="65">
        <v>384.96381691907385</v>
      </c>
      <c r="D1250" s="65">
        <v>386.43881029840276</v>
      </c>
      <c r="E1250" s="65">
        <v>3580250.971975727</v>
      </c>
      <c r="F1250" s="65" t="s">
        <v>1296</v>
      </c>
      <c r="G1250" s="25">
        <f t="shared" si="39"/>
        <v>5.4561914315773841E-3</v>
      </c>
      <c r="I1250" s="65">
        <v>72.44</v>
      </c>
      <c r="J1250" s="65">
        <v>74.790000000000006</v>
      </c>
      <c r="K1250" s="65">
        <v>69.900000000000006</v>
      </c>
      <c r="L1250" s="65">
        <v>74.03</v>
      </c>
      <c r="M1250" s="65">
        <v>19358106</v>
      </c>
      <c r="N1250" s="65" t="s">
        <v>1296</v>
      </c>
      <c r="O1250" s="25">
        <f t="shared" si="40"/>
        <v>-2.1477779278670894E-2</v>
      </c>
    </row>
    <row r="1251" spans="1:15" ht="13.5" customHeight="1">
      <c r="A1251" s="65">
        <v>387.62069601901885</v>
      </c>
      <c r="B1251" s="65">
        <v>387.62069601901885</v>
      </c>
      <c r="C1251" s="65">
        <v>386.8831993293544</v>
      </c>
      <c r="D1251" s="65">
        <v>387.31813327454114</v>
      </c>
      <c r="E1251" s="65">
        <v>2383674.8349336465</v>
      </c>
      <c r="F1251" s="65" t="s">
        <v>1297</v>
      </c>
      <c r="G1251" s="25">
        <f t="shared" si="39"/>
        <v>7.8117371350461262E-4</v>
      </c>
      <c r="I1251" s="65">
        <v>74.62</v>
      </c>
      <c r="J1251" s="65">
        <v>75.849999999999994</v>
      </c>
      <c r="K1251" s="65">
        <v>74.060100000000006</v>
      </c>
      <c r="L1251" s="65">
        <v>75.290000000000006</v>
      </c>
      <c r="M1251" s="65">
        <v>7148855</v>
      </c>
      <c r="N1251" s="65" t="s">
        <v>1297</v>
      </c>
      <c r="O1251" s="25">
        <f t="shared" si="40"/>
        <v>-8.8989241599150004E-3</v>
      </c>
    </row>
    <row r="1252" spans="1:15" ht="13.5" customHeight="1">
      <c r="A1252" s="65">
        <v>386.85483407205959</v>
      </c>
      <c r="B1252" s="65">
        <v>387.02502561582833</v>
      </c>
      <c r="C1252" s="65">
        <v>384.79362537530517</v>
      </c>
      <c r="D1252" s="65">
        <v>385.59730766532408</v>
      </c>
      <c r="E1252" s="65">
        <v>2454185.0361708351</v>
      </c>
      <c r="F1252" s="65" t="s">
        <v>1298</v>
      </c>
      <c r="G1252" s="25">
        <f t="shared" si="39"/>
        <v>3.2612427051148529E-3</v>
      </c>
      <c r="I1252" s="65">
        <v>75.260000000000005</v>
      </c>
      <c r="J1252" s="65">
        <v>76.88</v>
      </c>
      <c r="K1252" s="65">
        <v>75.010000000000005</v>
      </c>
      <c r="L1252" s="65">
        <v>76.38</v>
      </c>
      <c r="M1252" s="65">
        <v>8038462</v>
      </c>
      <c r="N1252" s="65" t="s">
        <v>1298</v>
      </c>
      <c r="O1252" s="25">
        <f t="shared" si="40"/>
        <v>-1.46635244828488E-2</v>
      </c>
    </row>
    <row r="1253" spans="1:15" ht="13.5" customHeight="1">
      <c r="A1253" s="65">
        <v>385.72967886603311</v>
      </c>
      <c r="B1253" s="65">
        <v>385.83368480944733</v>
      </c>
      <c r="C1253" s="65">
        <v>384.73689486071561</v>
      </c>
      <c r="D1253" s="65">
        <v>385.76749920909282</v>
      </c>
      <c r="E1253" s="65">
        <v>3759278.4331838228</v>
      </c>
      <c r="F1253" s="65" t="s">
        <v>1299</v>
      </c>
      <c r="G1253" s="25">
        <f t="shared" si="39"/>
        <v>-9.8039215686296366E-5</v>
      </c>
      <c r="I1253" s="65">
        <v>76.53</v>
      </c>
      <c r="J1253" s="65">
        <v>77.78</v>
      </c>
      <c r="K1253" s="65">
        <v>75.67</v>
      </c>
      <c r="L1253" s="65">
        <v>76.41</v>
      </c>
      <c r="M1253" s="65">
        <v>10099145</v>
      </c>
      <c r="N1253" s="65" t="s">
        <v>1299</v>
      </c>
      <c r="O1253" s="25">
        <f t="shared" si="40"/>
        <v>1.5704750687084434E-3</v>
      </c>
    </row>
    <row r="1254" spans="1:15" ht="13.5" customHeight="1">
      <c r="A1254" s="65">
        <v>384.80308046107012</v>
      </c>
      <c r="B1254" s="65">
        <v>385.45548137885021</v>
      </c>
      <c r="C1254" s="65">
        <v>384.09394902870048</v>
      </c>
      <c r="D1254" s="65">
        <v>384.73689486071561</v>
      </c>
      <c r="E1254" s="65">
        <v>2539088.5494713355</v>
      </c>
      <c r="F1254" s="65" t="s">
        <v>1300</v>
      </c>
      <c r="G1254" s="25">
        <f t="shared" si="39"/>
        <v>1.7202821262696233E-4</v>
      </c>
      <c r="I1254" s="65">
        <v>75.8</v>
      </c>
      <c r="J1254" s="65">
        <v>80.849999999999994</v>
      </c>
      <c r="K1254" s="65">
        <v>75.5</v>
      </c>
      <c r="L1254" s="65">
        <v>78.349999999999994</v>
      </c>
      <c r="M1254" s="65">
        <v>19735544</v>
      </c>
      <c r="N1254" s="65" t="s">
        <v>1300</v>
      </c>
      <c r="O1254" s="25">
        <f t="shared" si="40"/>
        <v>-3.2546266751754871E-2</v>
      </c>
    </row>
    <row r="1255" spans="1:15" ht="13.5" customHeight="1">
      <c r="A1255" s="65">
        <v>384.32087108705878</v>
      </c>
      <c r="B1255" s="65">
        <v>384.86850965456341</v>
      </c>
      <c r="C1255" s="65">
        <v>383.58337439739427</v>
      </c>
      <c r="D1255" s="65">
        <v>384.58561348847672</v>
      </c>
      <c r="E1255" s="65">
        <v>2098747.7526227967</v>
      </c>
      <c r="F1255" s="65" t="s">
        <v>1301</v>
      </c>
      <c r="G1255" s="25">
        <f t="shared" si="39"/>
        <v>-6.8838352796540825E-4</v>
      </c>
      <c r="I1255" s="65">
        <v>78.150000000000006</v>
      </c>
      <c r="J1255" s="65">
        <v>78.28</v>
      </c>
      <c r="K1255" s="65">
        <v>74.790000000000006</v>
      </c>
      <c r="L1255" s="65">
        <v>75.7</v>
      </c>
      <c r="M1255" s="65">
        <v>12418954</v>
      </c>
      <c r="N1255" s="65" t="s">
        <v>1301</v>
      </c>
      <c r="O1255" s="25">
        <f t="shared" si="40"/>
        <v>3.2364597093791359E-2</v>
      </c>
    </row>
    <row r="1256" spans="1:15" ht="13.5" customHeight="1">
      <c r="A1256" s="65">
        <v>384.68961943189095</v>
      </c>
      <c r="B1256" s="65">
        <v>384.99218217636866</v>
      </c>
      <c r="C1256" s="65">
        <v>384.03721851411086</v>
      </c>
      <c r="D1256" s="65">
        <v>384.29250582976391</v>
      </c>
      <c r="E1256" s="65">
        <v>2630249.0128906216</v>
      </c>
      <c r="F1256" s="65" t="s">
        <v>1302</v>
      </c>
      <c r="G1256" s="25">
        <f t="shared" si="39"/>
        <v>1.0333628579863863E-3</v>
      </c>
      <c r="I1256" s="65">
        <v>75.98</v>
      </c>
      <c r="J1256" s="65">
        <v>78.55</v>
      </c>
      <c r="K1256" s="65">
        <v>75.599999999999994</v>
      </c>
      <c r="L1256" s="65">
        <v>76.39</v>
      </c>
      <c r="M1256" s="65">
        <v>10733583</v>
      </c>
      <c r="N1256" s="65" t="s">
        <v>1302</v>
      </c>
      <c r="O1256" s="25">
        <f t="shared" si="40"/>
        <v>-5.3671946589867181E-3</v>
      </c>
    </row>
    <row r="1257" spans="1:15" ht="13.5" customHeight="1">
      <c r="A1257" s="65">
        <v>384.02776342834596</v>
      </c>
      <c r="B1257" s="65">
        <v>384.05612868564072</v>
      </c>
      <c r="C1257" s="65">
        <v>382.34475816218861</v>
      </c>
      <c r="D1257" s="65">
        <v>382.64732090666632</v>
      </c>
      <c r="E1257" s="65">
        <v>3228766.0587106333</v>
      </c>
      <c r="F1257" s="65" t="s">
        <v>1303</v>
      </c>
      <c r="G1257" s="25">
        <f t="shared" si="39"/>
        <v>3.6076105757352206E-3</v>
      </c>
      <c r="I1257" s="65">
        <v>77.319999999999993</v>
      </c>
      <c r="J1257" s="65">
        <v>78.11</v>
      </c>
      <c r="K1257" s="65">
        <v>74.55</v>
      </c>
      <c r="L1257" s="65">
        <v>75.819999999999993</v>
      </c>
      <c r="M1257" s="65">
        <v>17293982</v>
      </c>
      <c r="N1257" s="65" t="s">
        <v>1303</v>
      </c>
      <c r="O1257" s="25">
        <f t="shared" si="40"/>
        <v>1.9783698232656244E-2</v>
      </c>
    </row>
    <row r="1258" spans="1:15" ht="13.5" customHeight="1">
      <c r="A1258" s="65">
        <v>381.64508181558386</v>
      </c>
      <c r="B1258" s="65">
        <v>382.79860227890521</v>
      </c>
      <c r="C1258" s="65">
        <v>381.36142924263601</v>
      </c>
      <c r="D1258" s="65">
        <v>382.2785725618341</v>
      </c>
      <c r="E1258" s="65">
        <v>4103840.0882546003</v>
      </c>
      <c r="F1258" s="65" t="s">
        <v>1304</v>
      </c>
      <c r="G1258" s="25">
        <f t="shared" si="39"/>
        <v>-1.6571442704855777E-3</v>
      </c>
      <c r="I1258" s="65">
        <v>76.900000000000006</v>
      </c>
      <c r="J1258" s="65">
        <v>77.349999999999994</v>
      </c>
      <c r="K1258" s="65">
        <v>72.38</v>
      </c>
      <c r="L1258" s="65">
        <v>73</v>
      </c>
      <c r="M1258" s="65">
        <v>19408645</v>
      </c>
      <c r="N1258" s="65" t="s">
        <v>1304</v>
      </c>
      <c r="O1258" s="25">
        <f t="shared" si="40"/>
        <v>5.3424657534246744E-2</v>
      </c>
    </row>
    <row r="1259" spans="1:15" ht="13.5" customHeight="1">
      <c r="A1259" s="65">
        <v>383.47936845398004</v>
      </c>
      <c r="B1259" s="65">
        <v>383.55500914009951</v>
      </c>
      <c r="C1259" s="65">
        <v>379.07329848752329</v>
      </c>
      <c r="D1259" s="65">
        <v>381.11559701274786</v>
      </c>
      <c r="E1259" s="65">
        <v>4367626.1671975655</v>
      </c>
      <c r="F1259" s="65" t="s">
        <v>1305</v>
      </c>
      <c r="G1259" s="25">
        <f t="shared" si="39"/>
        <v>6.2022427309715855E-3</v>
      </c>
      <c r="I1259" s="65">
        <v>73.38</v>
      </c>
      <c r="J1259" s="65">
        <v>75.688800000000001</v>
      </c>
      <c r="K1259" s="65">
        <v>71.87</v>
      </c>
      <c r="L1259" s="65">
        <v>73.86</v>
      </c>
      <c r="M1259" s="65">
        <v>17770519</v>
      </c>
      <c r="N1259" s="65" t="s">
        <v>1305</v>
      </c>
      <c r="O1259" s="25">
        <f t="shared" si="40"/>
        <v>-6.4987814784728259E-3</v>
      </c>
    </row>
    <row r="1260" spans="1:15" ht="13.5" customHeight="1">
      <c r="A1260" s="65">
        <v>380.40646558037821</v>
      </c>
      <c r="B1260" s="65">
        <v>383.27135656715166</v>
      </c>
      <c r="C1260" s="65">
        <v>380.03771723554598</v>
      </c>
      <c r="D1260" s="65">
        <v>382.72296159278574</v>
      </c>
      <c r="E1260" s="65">
        <v>6149849.0278832708</v>
      </c>
      <c r="F1260" s="65" t="s">
        <v>1306</v>
      </c>
      <c r="G1260" s="25">
        <f t="shared" si="39"/>
        <v>-6.0526705864913932E-3</v>
      </c>
      <c r="I1260" s="65">
        <v>73.5</v>
      </c>
      <c r="J1260" s="65">
        <v>75.349999999999994</v>
      </c>
      <c r="K1260" s="65">
        <v>73.290000000000006</v>
      </c>
      <c r="L1260" s="65">
        <v>74.3</v>
      </c>
      <c r="M1260" s="65">
        <v>10369496</v>
      </c>
      <c r="N1260" s="65" t="s">
        <v>1306</v>
      </c>
      <c r="O1260" s="25">
        <f t="shared" si="40"/>
        <v>-1.0767160161507361E-2</v>
      </c>
    </row>
    <row r="1261" spans="1:15" ht="13.5" customHeight="1">
      <c r="A1261" s="65">
        <v>381.18178261310237</v>
      </c>
      <c r="B1261" s="65">
        <v>382.48658444866254</v>
      </c>
      <c r="C1261" s="65">
        <v>380.53855312851425</v>
      </c>
      <c r="D1261" s="65">
        <v>380.65229781026636</v>
      </c>
      <c r="E1261" s="65">
        <v>5504423.8935459526</v>
      </c>
      <c r="F1261" s="65" t="s">
        <v>1307</v>
      </c>
      <c r="G1261" s="25">
        <f t="shared" si="39"/>
        <v>1.3909933182643108E-3</v>
      </c>
      <c r="I1261" s="65">
        <v>74.42</v>
      </c>
      <c r="J1261" s="65">
        <v>75.87</v>
      </c>
      <c r="K1261" s="65">
        <v>73.62</v>
      </c>
      <c r="L1261" s="65">
        <v>74.010000000000005</v>
      </c>
      <c r="M1261" s="65">
        <v>16173674</v>
      </c>
      <c r="N1261" s="65" t="s">
        <v>1307</v>
      </c>
      <c r="O1261" s="25">
        <f t="shared" si="40"/>
        <v>5.5397919200108614E-3</v>
      </c>
    </row>
    <row r="1262" spans="1:15" ht="13.5" customHeight="1">
      <c r="A1262" s="65">
        <v>383.05388959455826</v>
      </c>
      <c r="B1262" s="65">
        <v>383.99939817105115</v>
      </c>
      <c r="C1262" s="65">
        <v>382.31639290489386</v>
      </c>
      <c r="D1262" s="65">
        <v>382.32584799065876</v>
      </c>
      <c r="E1262" s="65">
        <v>2405264.2742126822</v>
      </c>
      <c r="F1262" s="65" t="s">
        <v>1308</v>
      </c>
      <c r="G1262" s="25">
        <f t="shared" si="39"/>
        <v>1.9042437431990855E-3</v>
      </c>
      <c r="I1262" s="65">
        <v>74.92</v>
      </c>
      <c r="J1262" s="65">
        <v>77.38</v>
      </c>
      <c r="K1262" s="65">
        <v>74.709999999999994</v>
      </c>
      <c r="L1262" s="65">
        <v>75.88</v>
      </c>
      <c r="M1262" s="65">
        <v>15786203</v>
      </c>
      <c r="N1262" s="65" t="s">
        <v>1308</v>
      </c>
      <c r="O1262" s="25">
        <f t="shared" si="40"/>
        <v>-1.2651555086979349E-2</v>
      </c>
    </row>
    <row r="1263" spans="1:15" ht="13.5" customHeight="1">
      <c r="A1263" s="65">
        <v>381.40870467146067</v>
      </c>
      <c r="B1263" s="65">
        <v>382.70405142125588</v>
      </c>
      <c r="C1263" s="65">
        <v>380.13226809319531</v>
      </c>
      <c r="D1263" s="65">
        <v>382.14620136112512</v>
      </c>
      <c r="E1263" s="65">
        <v>3980640.7827209844</v>
      </c>
      <c r="F1263" s="65" t="s">
        <v>1309</v>
      </c>
      <c r="G1263" s="25">
        <f t="shared" si="39"/>
        <v>-1.9298809906722614E-3</v>
      </c>
      <c r="I1263" s="65">
        <v>76.16</v>
      </c>
      <c r="J1263" s="65">
        <v>76.61</v>
      </c>
      <c r="K1263" s="65">
        <v>72.63</v>
      </c>
      <c r="L1263" s="65">
        <v>74.5</v>
      </c>
      <c r="M1263" s="65">
        <v>20878526</v>
      </c>
      <c r="N1263" s="65" t="s">
        <v>1309</v>
      </c>
      <c r="O1263" s="25">
        <f t="shared" si="40"/>
        <v>2.2281879194630871E-2</v>
      </c>
    </row>
    <row r="1264" spans="1:15" ht="13.5" customHeight="1">
      <c r="A1264" s="65">
        <v>381.61671655828911</v>
      </c>
      <c r="B1264" s="65">
        <v>382.41094376254313</v>
      </c>
      <c r="C1264" s="65">
        <v>378.95983745834411</v>
      </c>
      <c r="D1264" s="65">
        <v>382.41094376254313</v>
      </c>
      <c r="E1264" s="65">
        <v>3835052.4682176975</v>
      </c>
      <c r="F1264" s="65" t="s">
        <v>1310</v>
      </c>
      <c r="G1264" s="25">
        <f t="shared" si="39"/>
        <v>-2.076894548151853E-3</v>
      </c>
      <c r="I1264" s="65">
        <v>73.97</v>
      </c>
      <c r="J1264" s="65">
        <v>76.95</v>
      </c>
      <c r="K1264" s="65">
        <v>71.83</v>
      </c>
      <c r="L1264" s="65">
        <v>75.56</v>
      </c>
      <c r="M1264" s="65">
        <v>33077179</v>
      </c>
      <c r="N1264" s="65" t="s">
        <v>1310</v>
      </c>
      <c r="O1264" s="25">
        <f t="shared" si="40"/>
        <v>-2.1042879830598271E-2</v>
      </c>
    </row>
    <row r="1265" spans="1:15" ht="13.5" customHeight="1">
      <c r="A1265" s="65">
        <v>383.31863199597632</v>
      </c>
      <c r="B1265" s="65">
        <v>383.32808708174122</v>
      </c>
      <c r="C1265" s="65">
        <v>381.8152733593526</v>
      </c>
      <c r="D1265" s="65">
        <v>381.90982421700193</v>
      </c>
      <c r="E1265" s="65">
        <v>2511168.1258429</v>
      </c>
      <c r="F1265" s="65" t="s">
        <v>1311</v>
      </c>
      <c r="G1265" s="25">
        <f t="shared" si="39"/>
        <v>3.6888492770845716E-3</v>
      </c>
      <c r="I1265" s="65">
        <v>76.319999999999993</v>
      </c>
      <c r="J1265" s="65">
        <v>78.739999999999995</v>
      </c>
      <c r="K1265" s="65">
        <v>74.27</v>
      </c>
      <c r="L1265" s="65">
        <v>77.239999999999995</v>
      </c>
      <c r="M1265" s="65">
        <v>50598499</v>
      </c>
      <c r="N1265" s="65" t="s">
        <v>1311</v>
      </c>
      <c r="O1265" s="25">
        <f t="shared" si="40"/>
        <v>-1.1910926980838954E-2</v>
      </c>
    </row>
    <row r="1266" spans="1:15" ht="13.5" customHeight="1">
      <c r="A1266" s="65">
        <v>382.34475816218861</v>
      </c>
      <c r="B1266" s="65">
        <v>382.69459633549098</v>
      </c>
      <c r="C1266" s="65">
        <v>379.69733414800857</v>
      </c>
      <c r="D1266" s="65">
        <v>380.25518420813938</v>
      </c>
      <c r="E1266" s="65">
        <v>3333601.7021562718</v>
      </c>
      <c r="F1266" s="65" t="s">
        <v>1312</v>
      </c>
      <c r="G1266" s="25">
        <f t="shared" si="39"/>
        <v>5.495188601835066E-3</v>
      </c>
      <c r="I1266" s="65">
        <v>77.97</v>
      </c>
      <c r="J1266" s="65">
        <v>79.180000000000007</v>
      </c>
      <c r="K1266" s="65">
        <v>74</v>
      </c>
      <c r="L1266" s="65">
        <v>74.14</v>
      </c>
      <c r="M1266" s="65">
        <v>116232820</v>
      </c>
      <c r="N1266" s="65" t="s">
        <v>1312</v>
      </c>
      <c r="O1266" s="25">
        <f t="shared" si="40"/>
        <v>5.1659023469112553E-2</v>
      </c>
    </row>
    <row r="1267" spans="1:15" ht="13.5" customHeight="1">
      <c r="A1267" s="65">
        <v>378.56272385621713</v>
      </c>
      <c r="B1267" s="65">
        <v>378.73291539998581</v>
      </c>
      <c r="C1267" s="65">
        <v>376.9742694477091</v>
      </c>
      <c r="D1267" s="65">
        <v>377.92923310996684</v>
      </c>
      <c r="E1267" s="65">
        <v>2724194.2210128764</v>
      </c>
      <c r="F1267" s="65" t="s">
        <v>1313</v>
      </c>
      <c r="G1267" s="25">
        <f t="shared" si="39"/>
        <v>1.6762152560607646E-3</v>
      </c>
      <c r="I1267" s="65">
        <v>62.97</v>
      </c>
      <c r="J1267" s="65">
        <v>63.74</v>
      </c>
      <c r="K1267" s="65">
        <v>61.810099999999998</v>
      </c>
      <c r="L1267" s="65">
        <v>62.82</v>
      </c>
      <c r="M1267" s="65">
        <v>28021786</v>
      </c>
      <c r="N1267" s="65" t="s">
        <v>1313</v>
      </c>
      <c r="O1267" s="25">
        <f t="shared" si="40"/>
        <v>2.3877745940783512E-3</v>
      </c>
    </row>
    <row r="1268" spans="1:15" ht="13.5" customHeight="1">
      <c r="A1268" s="65">
        <v>377.75904156619816</v>
      </c>
      <c r="B1268" s="65">
        <v>377.84413733808253</v>
      </c>
      <c r="C1268" s="65">
        <v>375.62219218332427</v>
      </c>
      <c r="D1268" s="65">
        <v>375.82074898438782</v>
      </c>
      <c r="E1268" s="65">
        <v>3169300.7070492529</v>
      </c>
      <c r="F1268" s="65" t="s">
        <v>1314</v>
      </c>
      <c r="G1268" s="25">
        <f t="shared" si="39"/>
        <v>5.1574922008652546E-3</v>
      </c>
      <c r="I1268" s="65">
        <v>63.39</v>
      </c>
      <c r="J1268" s="65">
        <v>63.64</v>
      </c>
      <c r="K1268" s="65">
        <v>61.82</v>
      </c>
      <c r="L1268" s="65">
        <v>62.09</v>
      </c>
      <c r="M1268" s="65">
        <v>11132551</v>
      </c>
      <c r="N1268" s="65" t="s">
        <v>1314</v>
      </c>
      <c r="O1268" s="25">
        <f t="shared" si="40"/>
        <v>2.0937349009502393E-2</v>
      </c>
    </row>
    <row r="1269" spans="1:15" ht="13.5" customHeight="1">
      <c r="A1269" s="65">
        <v>374.61049800647692</v>
      </c>
      <c r="B1269" s="65">
        <v>375.83965915591762</v>
      </c>
      <c r="C1269" s="65">
        <v>368.75779991798601</v>
      </c>
      <c r="D1269" s="65">
        <v>370.02005386760402</v>
      </c>
      <c r="E1269" s="65">
        <v>4276086.0139384139</v>
      </c>
      <c r="F1269" s="65" t="s">
        <v>1315</v>
      </c>
      <c r="G1269" s="25">
        <f t="shared" si="39"/>
        <v>1.2405933383587309E-2</v>
      </c>
      <c r="I1269" s="65">
        <v>62.33</v>
      </c>
      <c r="J1269" s="65">
        <v>63.06</v>
      </c>
      <c r="K1269" s="65">
        <v>59.23</v>
      </c>
      <c r="L1269" s="65">
        <v>60.59</v>
      </c>
      <c r="M1269" s="65">
        <v>16588678</v>
      </c>
      <c r="N1269" s="65" t="s">
        <v>1315</v>
      </c>
      <c r="O1269" s="25">
        <f t="shared" si="40"/>
        <v>2.8717610166694163E-2</v>
      </c>
    </row>
    <row r="1270" spans="1:15" ht="13.5" customHeight="1">
      <c r="A1270" s="65">
        <v>369.39129066423624</v>
      </c>
      <c r="B1270" s="65">
        <v>370.88519421509494</v>
      </c>
      <c r="C1270" s="65">
        <v>366.79114207888085</v>
      </c>
      <c r="D1270" s="65">
        <v>370.43135009837835</v>
      </c>
      <c r="E1270" s="65">
        <v>13047164.570159737</v>
      </c>
      <c r="F1270" s="65" t="s">
        <v>1316</v>
      </c>
      <c r="G1270" s="25">
        <f t="shared" si="39"/>
        <v>-2.8076981979681115E-3</v>
      </c>
      <c r="I1270" s="65">
        <v>59.58</v>
      </c>
      <c r="J1270" s="65">
        <v>60.32</v>
      </c>
      <c r="K1270" s="65">
        <v>57.48</v>
      </c>
      <c r="L1270" s="65">
        <v>57.88</v>
      </c>
      <c r="M1270" s="65">
        <v>13686692</v>
      </c>
      <c r="N1270" s="65" t="s">
        <v>1316</v>
      </c>
      <c r="O1270" s="25">
        <f t="shared" si="40"/>
        <v>2.9371112646855435E-2</v>
      </c>
    </row>
    <row r="1271" spans="1:15" ht="13.5" customHeight="1">
      <c r="A1271" s="65">
        <v>374.998156522839</v>
      </c>
      <c r="B1271" s="65">
        <v>379.03547814446353</v>
      </c>
      <c r="C1271" s="65">
        <v>374.5537674918873</v>
      </c>
      <c r="D1271" s="65">
        <v>378.99765780140382</v>
      </c>
      <c r="E1271" s="65">
        <v>4776849.3192869909</v>
      </c>
      <c r="F1271" s="65" t="s">
        <v>1317</v>
      </c>
      <c r="G1271" s="25">
        <f t="shared" si="39"/>
        <v>-1.0552839038020068E-2</v>
      </c>
      <c r="I1271" s="65">
        <v>59.31</v>
      </c>
      <c r="J1271" s="65">
        <v>62.26</v>
      </c>
      <c r="K1271" s="65">
        <v>58.26</v>
      </c>
      <c r="L1271" s="65">
        <v>61.215000000000003</v>
      </c>
      <c r="M1271" s="65">
        <v>22747548</v>
      </c>
      <c r="N1271" s="65" t="s">
        <v>1317</v>
      </c>
      <c r="O1271" s="25">
        <f t="shared" si="40"/>
        <v>-3.1119823572653749E-2</v>
      </c>
    </row>
    <row r="1272" spans="1:15" ht="13.5" customHeight="1">
      <c r="A1272" s="65">
        <v>377.93868819573186</v>
      </c>
      <c r="B1272" s="65">
        <v>378.56272385621713</v>
      </c>
      <c r="C1272" s="65">
        <v>376.12803927174798</v>
      </c>
      <c r="D1272" s="65">
        <v>377.95759836726171</v>
      </c>
      <c r="E1272" s="65">
        <v>4742310.2354416251</v>
      </c>
      <c r="F1272" s="65" t="s">
        <v>1318</v>
      </c>
      <c r="G1272" s="25">
        <f t="shared" si="39"/>
        <v>-5.0032521138776431E-5</v>
      </c>
      <c r="I1272" s="65">
        <v>60.5</v>
      </c>
      <c r="J1272" s="65">
        <v>62.63</v>
      </c>
      <c r="K1272" s="65">
        <v>59.75</v>
      </c>
      <c r="L1272" s="65">
        <v>61.64</v>
      </c>
      <c r="M1272" s="65">
        <v>14524496</v>
      </c>
      <c r="N1272" s="65" t="s">
        <v>1318</v>
      </c>
      <c r="O1272" s="25">
        <f t="shared" si="40"/>
        <v>-1.8494484101233E-2</v>
      </c>
    </row>
    <row r="1273" spans="1:15" ht="13.5" customHeight="1">
      <c r="A1273" s="65">
        <v>379.1583942594076</v>
      </c>
      <c r="B1273" s="65">
        <v>380.63338763873651</v>
      </c>
      <c r="C1273" s="65">
        <v>378.03323905338112</v>
      </c>
      <c r="D1273" s="65">
        <v>380.15117826472516</v>
      </c>
      <c r="E1273" s="65">
        <v>3524252.5375708337</v>
      </c>
      <c r="F1273" s="65" t="s">
        <v>1319</v>
      </c>
      <c r="G1273" s="25">
        <f t="shared" si="39"/>
        <v>-2.6115505148486262E-3</v>
      </c>
      <c r="I1273" s="65">
        <v>62.47</v>
      </c>
      <c r="J1273" s="65">
        <v>64.81</v>
      </c>
      <c r="K1273" s="65">
        <v>62.08</v>
      </c>
      <c r="L1273" s="65">
        <v>64.510000000000005</v>
      </c>
      <c r="M1273" s="65">
        <v>11786337</v>
      </c>
      <c r="N1273" s="65" t="s">
        <v>1319</v>
      </c>
      <c r="O1273" s="25">
        <f t="shared" si="40"/>
        <v>-3.1623004185397652E-2</v>
      </c>
    </row>
    <row r="1274" spans="1:15" ht="13.5" customHeight="1">
      <c r="A1274" s="65">
        <v>378.63836454233655</v>
      </c>
      <c r="B1274" s="65">
        <v>380.56720203838199</v>
      </c>
      <c r="C1274" s="65">
        <v>378.37362214091854</v>
      </c>
      <c r="D1274" s="65">
        <v>379.22457985976212</v>
      </c>
      <c r="E1274" s="65">
        <v>4561663.5398468049</v>
      </c>
      <c r="F1274" s="65" t="s">
        <v>1320</v>
      </c>
      <c r="G1274" s="25">
        <f t="shared" si="39"/>
        <v>-1.5458262690735136E-3</v>
      </c>
      <c r="I1274" s="65">
        <v>63.95</v>
      </c>
      <c r="J1274" s="65">
        <v>65.47</v>
      </c>
      <c r="K1274" s="65">
        <v>63.42</v>
      </c>
      <c r="L1274" s="65">
        <v>64.75</v>
      </c>
      <c r="M1274" s="65">
        <v>9182042</v>
      </c>
      <c r="N1274" s="65" t="s">
        <v>1320</v>
      </c>
      <c r="O1274" s="25">
        <f t="shared" si="40"/>
        <v>-1.2355212355212308E-2</v>
      </c>
    </row>
    <row r="1275" spans="1:15" ht="13.5" customHeight="1">
      <c r="A1275" s="65">
        <v>379.92425620636686</v>
      </c>
      <c r="B1275" s="65">
        <v>380.12281300743035</v>
      </c>
      <c r="C1275" s="65">
        <v>378.08051448220573</v>
      </c>
      <c r="D1275" s="65">
        <v>378.48708317009772</v>
      </c>
      <c r="E1275" s="65">
        <v>3097976.1292753057</v>
      </c>
      <c r="F1275" s="65" t="s">
        <v>1321</v>
      </c>
      <c r="G1275" s="25">
        <f t="shared" si="39"/>
        <v>3.7971521358979299E-3</v>
      </c>
      <c r="I1275" s="65">
        <v>64.790000000000006</v>
      </c>
      <c r="J1275" s="65">
        <v>66.25</v>
      </c>
      <c r="K1275" s="65">
        <v>64.239999999999995</v>
      </c>
      <c r="L1275" s="65">
        <v>65.900000000000006</v>
      </c>
      <c r="M1275" s="65">
        <v>8624006</v>
      </c>
      <c r="N1275" s="65" t="s">
        <v>1321</v>
      </c>
      <c r="O1275" s="25">
        <f t="shared" si="40"/>
        <v>-1.6843702579666164E-2</v>
      </c>
    </row>
    <row r="1276" spans="1:15" ht="13.5" customHeight="1">
      <c r="A1276" s="65">
        <v>378.55326877045218</v>
      </c>
      <c r="B1276" s="65">
        <v>378.81801117187018</v>
      </c>
      <c r="C1276" s="65">
        <v>375.7640184697982</v>
      </c>
      <c r="D1276" s="65">
        <v>375.96257527086169</v>
      </c>
      <c r="E1276" s="65">
        <v>3524207.0594005994</v>
      </c>
      <c r="F1276" s="65" t="s">
        <v>1322</v>
      </c>
      <c r="G1276" s="25">
        <f t="shared" si="39"/>
        <v>6.8908281568291763E-3</v>
      </c>
      <c r="I1276" s="65">
        <v>65.81</v>
      </c>
      <c r="J1276" s="65">
        <v>65.89</v>
      </c>
      <c r="K1276" s="65">
        <v>62.43</v>
      </c>
      <c r="L1276" s="65">
        <v>62.5</v>
      </c>
      <c r="M1276" s="65">
        <v>17119701</v>
      </c>
      <c r="N1276" s="65" t="s">
        <v>1322</v>
      </c>
      <c r="O1276" s="25">
        <f t="shared" si="40"/>
        <v>5.2960000000000118E-2</v>
      </c>
    </row>
    <row r="1277" spans="1:15" ht="13.5" customHeight="1">
      <c r="A1277" s="65">
        <v>374.60104292071196</v>
      </c>
      <c r="B1277" s="65">
        <v>375.25344383849205</v>
      </c>
      <c r="C1277" s="65">
        <v>371.60378073322954</v>
      </c>
      <c r="D1277" s="65">
        <v>372.71948085349112</v>
      </c>
      <c r="E1277" s="65">
        <v>6152355.6154055027</v>
      </c>
      <c r="F1277" s="65" t="s">
        <v>1323</v>
      </c>
      <c r="G1277" s="25">
        <f t="shared" si="39"/>
        <v>5.048198883815358E-3</v>
      </c>
      <c r="I1277" s="65">
        <v>61.96</v>
      </c>
      <c r="J1277" s="65">
        <v>64.387500000000003</v>
      </c>
      <c r="K1277" s="65">
        <v>61.6</v>
      </c>
      <c r="L1277" s="65">
        <v>62.92</v>
      </c>
      <c r="M1277" s="65">
        <v>17680880</v>
      </c>
      <c r="N1277" s="65" t="s">
        <v>1323</v>
      </c>
      <c r="O1277" s="25">
        <f t="shared" si="40"/>
        <v>-1.5257469802924306E-2</v>
      </c>
    </row>
    <row r="1278" spans="1:15" ht="13.5" customHeight="1">
      <c r="A1278" s="65">
        <v>377.60776019395934</v>
      </c>
      <c r="B1278" s="65">
        <v>377.8819576811423</v>
      </c>
      <c r="C1278" s="65">
        <v>375.06434212319351</v>
      </c>
      <c r="D1278" s="65">
        <v>376.9459041904143</v>
      </c>
      <c r="E1278" s="65">
        <v>5021456.3019733541</v>
      </c>
      <c r="F1278" s="65" t="s">
        <v>1324</v>
      </c>
      <c r="G1278" s="25">
        <f t="shared" si="39"/>
        <v>1.7558381618882901E-3</v>
      </c>
      <c r="I1278" s="65">
        <v>65.13</v>
      </c>
      <c r="J1278" s="65">
        <v>69.94</v>
      </c>
      <c r="K1278" s="65">
        <v>65.099999999999994</v>
      </c>
      <c r="L1278" s="65">
        <v>69.61</v>
      </c>
      <c r="M1278" s="65">
        <v>17460301</v>
      </c>
      <c r="N1278" s="65" t="s">
        <v>1324</v>
      </c>
      <c r="O1278" s="25">
        <f t="shared" si="40"/>
        <v>-6.4358569171096169E-2</v>
      </c>
    </row>
    <row r="1279" spans="1:15" ht="13.5" customHeight="1">
      <c r="A1279" s="65">
        <v>376.31241344416406</v>
      </c>
      <c r="B1279" s="65">
        <v>377.24846693489201</v>
      </c>
      <c r="C1279" s="65">
        <v>373.75954028763334</v>
      </c>
      <c r="D1279" s="65">
        <v>377.04045504806356</v>
      </c>
      <c r="E1279" s="65">
        <v>4580969.5519273179</v>
      </c>
      <c r="F1279" s="65" t="s">
        <v>1325</v>
      </c>
      <c r="G1279" s="25">
        <f t="shared" si="39"/>
        <v>-1.9309376332221628E-3</v>
      </c>
      <c r="I1279" s="65">
        <v>69.06</v>
      </c>
      <c r="J1279" s="65">
        <v>70.239999999999995</v>
      </c>
      <c r="K1279" s="65">
        <v>68.13</v>
      </c>
      <c r="L1279" s="65">
        <v>69.685000000000002</v>
      </c>
      <c r="M1279" s="65">
        <v>16369267</v>
      </c>
      <c r="N1279" s="65" t="s">
        <v>1325</v>
      </c>
      <c r="O1279" s="25">
        <f t="shared" si="40"/>
        <v>-8.9689316208653169E-3</v>
      </c>
    </row>
    <row r="1280" spans="1:15" ht="13.5" customHeight="1">
      <c r="A1280" s="65">
        <v>377.02154487653371</v>
      </c>
      <c r="B1280" s="65">
        <v>377.30519744948162</v>
      </c>
      <c r="C1280" s="65">
        <v>374.91778829383708</v>
      </c>
      <c r="D1280" s="65">
        <v>375.22507858119729</v>
      </c>
      <c r="E1280" s="65">
        <v>4614565.2281482834</v>
      </c>
      <c r="F1280" s="65" t="s">
        <v>1326</v>
      </c>
      <c r="G1280" s="25">
        <f t="shared" ref="G1280:G1343" si="41">A1280/D1280-1</f>
        <v>4.7877031624037336E-3</v>
      </c>
      <c r="I1280" s="65">
        <v>68.489999999999995</v>
      </c>
      <c r="J1280" s="65">
        <v>69.034999999999997</v>
      </c>
      <c r="K1280" s="65">
        <v>67.684200000000004</v>
      </c>
      <c r="L1280" s="65">
        <v>68.12</v>
      </c>
      <c r="M1280" s="65">
        <v>10762022</v>
      </c>
      <c r="N1280" s="65" t="s">
        <v>1326</v>
      </c>
      <c r="O1280" s="25">
        <f t="shared" ref="O1280:O1343" si="42">I1280/L1280-1</f>
        <v>5.4315913094538093E-3</v>
      </c>
    </row>
    <row r="1281" spans="1:15" ht="13.5" customHeight="1">
      <c r="A1281" s="65">
        <v>374.17556406129017</v>
      </c>
      <c r="B1281" s="65">
        <v>374.2795700047044</v>
      </c>
      <c r="C1281" s="65">
        <v>372.72534300666541</v>
      </c>
      <c r="D1281" s="65">
        <v>372.81403171114044</v>
      </c>
      <c r="E1281" s="65">
        <v>3611299.8706635549</v>
      </c>
      <c r="F1281" s="65" t="s">
        <v>1327</v>
      </c>
      <c r="G1281" s="25">
        <f t="shared" si="41"/>
        <v>3.6520415926959426E-3</v>
      </c>
      <c r="I1281" s="65">
        <v>67.66</v>
      </c>
      <c r="J1281" s="65">
        <v>69.290000000000006</v>
      </c>
      <c r="K1281" s="65">
        <v>66.680000000000007</v>
      </c>
      <c r="L1281" s="65">
        <v>68.58</v>
      </c>
      <c r="M1281" s="65">
        <v>14710450</v>
      </c>
      <c r="N1281" s="65" t="s">
        <v>1327</v>
      </c>
      <c r="O1281" s="25">
        <f t="shared" si="42"/>
        <v>-1.3414989792942533E-2</v>
      </c>
    </row>
    <row r="1282" spans="1:15" ht="13.5" customHeight="1">
      <c r="A1282" s="65">
        <v>372.07653502147599</v>
      </c>
      <c r="B1282" s="65">
        <v>372.65424076171314</v>
      </c>
      <c r="C1282" s="65">
        <v>371.32012816028174</v>
      </c>
      <c r="D1282" s="65">
        <v>371.32012816028174</v>
      </c>
      <c r="E1282" s="65">
        <v>4014691.2406442952</v>
      </c>
      <c r="F1282" s="65" t="s">
        <v>1328</v>
      </c>
      <c r="G1282" s="25">
        <f t="shared" si="41"/>
        <v>2.0370747606435202E-3</v>
      </c>
      <c r="I1282" s="65">
        <v>68.14</v>
      </c>
      <c r="J1282" s="65">
        <v>68.83</v>
      </c>
      <c r="K1282" s="65">
        <v>66.599999999999994</v>
      </c>
      <c r="L1282" s="65">
        <v>66.849999999999994</v>
      </c>
      <c r="M1282" s="65">
        <v>11060113</v>
      </c>
      <c r="N1282" s="65" t="s">
        <v>1328</v>
      </c>
      <c r="O1282" s="25">
        <f t="shared" si="42"/>
        <v>1.9296933433059271E-2</v>
      </c>
    </row>
    <row r="1283" spans="1:15" ht="13.5" customHeight="1">
      <c r="A1283" s="65">
        <v>371.73615193393857</v>
      </c>
      <c r="B1283" s="65">
        <v>372.47364862360303</v>
      </c>
      <c r="C1283" s="65">
        <v>371.26339764569212</v>
      </c>
      <c r="D1283" s="65">
        <v>371.91579856347221</v>
      </c>
      <c r="E1283" s="65">
        <v>3096350.5490973862</v>
      </c>
      <c r="F1283" s="65" t="s">
        <v>1329</v>
      </c>
      <c r="G1283" s="25">
        <f t="shared" si="41"/>
        <v>-4.8303038006858312E-4</v>
      </c>
      <c r="I1283" s="65">
        <v>67.569999999999993</v>
      </c>
      <c r="J1283" s="65">
        <v>68.166799999999995</v>
      </c>
      <c r="K1283" s="65">
        <v>66.14</v>
      </c>
      <c r="L1283" s="65">
        <v>66.52</v>
      </c>
      <c r="M1283" s="65">
        <v>10093728</v>
      </c>
      <c r="N1283" s="65" t="s">
        <v>1329</v>
      </c>
      <c r="O1283" s="25">
        <f t="shared" si="42"/>
        <v>1.578472639807571E-2</v>
      </c>
    </row>
    <row r="1284" spans="1:15" ht="13.5" customHeight="1">
      <c r="A1284" s="65">
        <v>371.57267350106287</v>
      </c>
      <c r="B1284" s="65">
        <v>371.69517412886552</v>
      </c>
      <c r="C1284" s="65">
        <v>370.16862784394027</v>
      </c>
      <c r="D1284" s="65">
        <v>371.29940286981082</v>
      </c>
      <c r="E1284" s="65">
        <v>2566528.561033356</v>
      </c>
      <c r="F1284" s="65" t="s">
        <v>1330</v>
      </c>
      <c r="G1284" s="25">
        <f t="shared" si="41"/>
        <v>7.3598456970280779E-4</v>
      </c>
      <c r="I1284" s="65">
        <v>66.22</v>
      </c>
      <c r="J1284" s="65">
        <v>67.900000000000006</v>
      </c>
      <c r="K1284" s="65">
        <v>65.760000000000005</v>
      </c>
      <c r="L1284" s="65">
        <v>67.760000000000005</v>
      </c>
      <c r="M1284" s="65">
        <v>13671602</v>
      </c>
      <c r="N1284" s="65" t="s">
        <v>1330</v>
      </c>
      <c r="O1284" s="25">
        <f t="shared" si="42"/>
        <v>-2.2727272727272818E-2</v>
      </c>
    </row>
    <row r="1285" spans="1:15" ht="13.5" customHeight="1">
      <c r="A1285" s="65">
        <v>370.79997723338471</v>
      </c>
      <c r="B1285" s="65">
        <v>371.19574849243941</v>
      </c>
      <c r="C1285" s="65">
        <v>369.89535721268828</v>
      </c>
      <c r="D1285" s="65">
        <v>370.23458972044938</v>
      </c>
      <c r="E1285" s="65">
        <v>3038340.1838530805</v>
      </c>
      <c r="F1285" s="65" t="s">
        <v>1331</v>
      </c>
      <c r="G1285" s="25">
        <f t="shared" si="41"/>
        <v>1.5271061338764103E-3</v>
      </c>
      <c r="I1285" s="65">
        <v>67.67</v>
      </c>
      <c r="J1285" s="65">
        <v>68.52</v>
      </c>
      <c r="K1285" s="65">
        <v>66.680000000000007</v>
      </c>
      <c r="L1285" s="65">
        <v>68.11</v>
      </c>
      <c r="M1285" s="65">
        <v>11112489</v>
      </c>
      <c r="N1285" s="65" t="s">
        <v>1331</v>
      </c>
      <c r="O1285" s="25">
        <f t="shared" si="42"/>
        <v>-6.4601380120392626E-3</v>
      </c>
    </row>
    <row r="1286" spans="1:15" ht="13.5" customHeight="1">
      <c r="A1286" s="65">
        <v>369.43362407712442</v>
      </c>
      <c r="B1286" s="65">
        <v>369.87509749347475</v>
      </c>
      <c r="C1286" s="65">
        <v>369.07554531893209</v>
      </c>
      <c r="D1286" s="65">
        <v>369.28285407367503</v>
      </c>
      <c r="E1286" s="65">
        <v>3170731.5053582103</v>
      </c>
      <c r="F1286" s="65" t="s">
        <v>1332</v>
      </c>
      <c r="G1286" s="25">
        <f t="shared" si="41"/>
        <v>4.0827783306540688E-4</v>
      </c>
      <c r="I1286" s="65">
        <v>67.650000000000006</v>
      </c>
      <c r="J1286" s="65">
        <v>69.349999999999994</v>
      </c>
      <c r="K1286" s="65">
        <v>66.66</v>
      </c>
      <c r="L1286" s="65">
        <v>67.94</v>
      </c>
      <c r="M1286" s="65">
        <v>27664085</v>
      </c>
      <c r="N1286" s="65" t="s">
        <v>1332</v>
      </c>
      <c r="O1286" s="25">
        <f t="shared" si="42"/>
        <v>-4.2684721813363025E-3</v>
      </c>
    </row>
    <row r="1287" spans="1:15" ht="13.5" customHeight="1">
      <c r="A1287" s="65">
        <v>367.33226715404834</v>
      </c>
      <c r="B1287" s="65">
        <v>368.57611968250592</v>
      </c>
      <c r="C1287" s="65">
        <v>367.21918965146125</v>
      </c>
      <c r="D1287" s="65">
        <v>367.83169279047451</v>
      </c>
      <c r="E1287" s="65">
        <v>2551335.0878782752</v>
      </c>
      <c r="F1287" s="65" t="s">
        <v>1333</v>
      </c>
      <c r="G1287" s="25">
        <f t="shared" si="41"/>
        <v>-1.3577558601255424E-3</v>
      </c>
      <c r="I1287" s="65">
        <v>66.349999999999994</v>
      </c>
      <c r="J1287" s="65">
        <v>67.069999999999993</v>
      </c>
      <c r="K1287" s="65">
        <v>63.1</v>
      </c>
      <c r="L1287" s="65">
        <v>63.2</v>
      </c>
      <c r="M1287" s="65">
        <v>25658723</v>
      </c>
      <c r="N1287" s="65" t="s">
        <v>1333</v>
      </c>
      <c r="O1287" s="25">
        <f t="shared" si="42"/>
        <v>4.9841772151898667E-2</v>
      </c>
    </row>
    <row r="1288" spans="1:15" ht="13.5" customHeight="1">
      <c r="A1288" s="65">
        <v>367.72803841310304</v>
      </c>
      <c r="B1288" s="65">
        <v>368.52900405642799</v>
      </c>
      <c r="C1288" s="65">
        <v>365.11783272838517</v>
      </c>
      <c r="D1288" s="65">
        <v>365.84341336998546</v>
      </c>
      <c r="E1288" s="65">
        <v>2871066.5921371863</v>
      </c>
      <c r="F1288" s="65" t="s">
        <v>1334</v>
      </c>
      <c r="G1288" s="25">
        <f t="shared" si="41"/>
        <v>5.1514527096641061E-3</v>
      </c>
      <c r="I1288" s="65">
        <v>62.93</v>
      </c>
      <c r="J1288" s="65">
        <v>64.59</v>
      </c>
      <c r="K1288" s="65">
        <v>62.28</v>
      </c>
      <c r="L1288" s="65">
        <v>63.62</v>
      </c>
      <c r="M1288" s="65">
        <v>13034309</v>
      </c>
      <c r="N1288" s="65" t="s">
        <v>1334</v>
      </c>
      <c r="O1288" s="25">
        <f t="shared" si="42"/>
        <v>-1.08456460232631E-2</v>
      </c>
    </row>
    <row r="1289" spans="1:15" ht="13.5" customHeight="1">
      <c r="A1289" s="65">
        <v>365.78687461869191</v>
      </c>
      <c r="B1289" s="65">
        <v>365.97533712300367</v>
      </c>
      <c r="C1289" s="65">
        <v>361.51819889603058</v>
      </c>
      <c r="D1289" s="65">
        <v>362.31916453935554</v>
      </c>
      <c r="E1289" s="65">
        <v>4658517.105066523</v>
      </c>
      <c r="F1289" s="65" t="s">
        <v>1335</v>
      </c>
      <c r="G1289" s="25">
        <f t="shared" si="41"/>
        <v>9.5708712613784552E-3</v>
      </c>
      <c r="I1289" s="65">
        <v>63.6</v>
      </c>
      <c r="J1289" s="65">
        <v>64.12</v>
      </c>
      <c r="K1289" s="65">
        <v>61.11</v>
      </c>
      <c r="L1289" s="65">
        <v>63.06</v>
      </c>
      <c r="M1289" s="65">
        <v>11216790</v>
      </c>
      <c r="N1289" s="65" t="s">
        <v>1335</v>
      </c>
      <c r="O1289" s="25">
        <f t="shared" si="42"/>
        <v>8.5632730732636553E-3</v>
      </c>
    </row>
    <row r="1290" spans="1:15" ht="13.5" customHeight="1">
      <c r="A1290" s="65">
        <v>360.73607950313675</v>
      </c>
      <c r="B1290" s="65">
        <v>363.1483995583273</v>
      </c>
      <c r="C1290" s="65">
        <v>360.45338574666914</v>
      </c>
      <c r="D1290" s="65">
        <v>362.59243517060764</v>
      </c>
      <c r="E1290" s="65">
        <v>5530129.2095531942</v>
      </c>
      <c r="F1290" s="65" t="s">
        <v>1336</v>
      </c>
      <c r="G1290" s="25">
        <f t="shared" si="41"/>
        <v>-5.1196756672472477E-3</v>
      </c>
      <c r="I1290" s="65">
        <v>63.17</v>
      </c>
      <c r="J1290" s="65">
        <v>64.629900000000006</v>
      </c>
      <c r="K1290" s="65">
        <v>61.65</v>
      </c>
      <c r="L1290" s="65">
        <v>61.8</v>
      </c>
      <c r="M1290" s="65">
        <v>19813146</v>
      </c>
      <c r="N1290" s="65" t="s">
        <v>1336</v>
      </c>
      <c r="O1290" s="25">
        <f t="shared" si="42"/>
        <v>2.2168284789644055E-2</v>
      </c>
    </row>
    <row r="1291" spans="1:15" ht="13.5" customHeight="1">
      <c r="A1291" s="65">
        <v>365.58898898916459</v>
      </c>
      <c r="B1291" s="65">
        <v>366.47476275942984</v>
      </c>
      <c r="C1291" s="65">
        <v>363.26147706091433</v>
      </c>
      <c r="D1291" s="65">
        <v>365.259179606619</v>
      </c>
      <c r="E1291" s="65">
        <v>4314208.8288024077</v>
      </c>
      <c r="F1291" s="65" t="s">
        <v>1337</v>
      </c>
      <c r="G1291" s="25">
        <f t="shared" si="41"/>
        <v>9.0294618440744934E-4</v>
      </c>
      <c r="I1291" s="65">
        <v>62.29</v>
      </c>
      <c r="J1291" s="65">
        <v>63.06</v>
      </c>
      <c r="K1291" s="65">
        <v>59.62</v>
      </c>
      <c r="L1291" s="65">
        <v>59.63</v>
      </c>
      <c r="M1291" s="65">
        <v>12760387</v>
      </c>
      <c r="N1291" s="65" t="s">
        <v>1337</v>
      </c>
      <c r="O1291" s="25">
        <f t="shared" si="42"/>
        <v>4.4608418581250975E-2</v>
      </c>
    </row>
    <row r="1292" spans="1:15" ht="13.5" customHeight="1">
      <c r="A1292" s="65">
        <v>365.7209127421828</v>
      </c>
      <c r="B1292" s="65">
        <v>368.04842467043301</v>
      </c>
      <c r="C1292" s="65">
        <v>363.75147957212488</v>
      </c>
      <c r="D1292" s="65">
        <v>367.89633542945347</v>
      </c>
      <c r="E1292" s="65">
        <v>4451088.0456747822</v>
      </c>
      <c r="F1292" s="65" t="s">
        <v>1338</v>
      </c>
      <c r="G1292" s="25">
        <f t="shared" si="41"/>
        <v>-5.9131404087818806E-3</v>
      </c>
      <c r="I1292" s="65">
        <v>60.2</v>
      </c>
      <c r="J1292" s="65">
        <v>63.29</v>
      </c>
      <c r="K1292" s="65">
        <v>59.44</v>
      </c>
      <c r="L1292" s="65">
        <v>62.41</v>
      </c>
      <c r="M1292" s="65">
        <v>18611837</v>
      </c>
      <c r="N1292" s="65" t="s">
        <v>1338</v>
      </c>
      <c r="O1292" s="25">
        <f t="shared" si="42"/>
        <v>-3.5410991828232596E-2</v>
      </c>
    </row>
    <row r="1293" spans="1:15" ht="13.5" customHeight="1">
      <c r="A1293" s="65">
        <v>367.7374615383186</v>
      </c>
      <c r="B1293" s="65">
        <v>368.63265843379946</v>
      </c>
      <c r="C1293" s="65">
        <v>366.94582478895705</v>
      </c>
      <c r="D1293" s="65">
        <v>368.58554280772148</v>
      </c>
      <c r="E1293" s="65">
        <v>2552273.2055194774</v>
      </c>
      <c r="F1293" s="65" t="s">
        <v>1339</v>
      </c>
      <c r="G1293" s="25">
        <f t="shared" si="41"/>
        <v>-2.3009075802120638E-3</v>
      </c>
      <c r="I1293" s="65">
        <v>62.28</v>
      </c>
      <c r="J1293" s="65">
        <v>63.39</v>
      </c>
      <c r="K1293" s="65">
        <v>62.06</v>
      </c>
      <c r="L1293" s="65">
        <v>63.06</v>
      </c>
      <c r="M1293" s="65">
        <v>11037462</v>
      </c>
      <c r="N1293" s="65" t="s">
        <v>1339</v>
      </c>
      <c r="O1293" s="25">
        <f t="shared" si="42"/>
        <v>-1.2369172216936231E-2</v>
      </c>
    </row>
    <row r="1294" spans="1:15" ht="13.5" customHeight="1">
      <c r="A1294" s="65">
        <v>368.51015780599681</v>
      </c>
      <c r="B1294" s="65">
        <v>368.51015780599681</v>
      </c>
      <c r="C1294" s="65">
        <v>366.55957088637012</v>
      </c>
      <c r="D1294" s="65">
        <v>367.69976903745624</v>
      </c>
      <c r="E1294" s="65">
        <v>2390082.8530585137</v>
      </c>
      <c r="F1294" s="65" t="s">
        <v>1340</v>
      </c>
      <c r="G1294" s="25">
        <f t="shared" si="41"/>
        <v>2.2039414674150937E-3</v>
      </c>
      <c r="I1294" s="65">
        <v>63.57</v>
      </c>
      <c r="J1294" s="65">
        <v>65.66</v>
      </c>
      <c r="K1294" s="65">
        <v>63.23</v>
      </c>
      <c r="L1294" s="65">
        <v>64.56</v>
      </c>
      <c r="M1294" s="65">
        <v>14734594</v>
      </c>
      <c r="N1294" s="65" t="s">
        <v>1340</v>
      </c>
      <c r="O1294" s="25">
        <f t="shared" si="42"/>
        <v>-1.5334572490706355E-2</v>
      </c>
    </row>
    <row r="1295" spans="1:15" ht="13.5" customHeight="1">
      <c r="A1295" s="65">
        <v>367.5866915348692</v>
      </c>
      <c r="B1295" s="65">
        <v>367.69034591224067</v>
      </c>
      <c r="C1295" s="65">
        <v>366.30514650554926</v>
      </c>
      <c r="D1295" s="65">
        <v>367.50188340792891</v>
      </c>
      <c r="E1295" s="65">
        <v>2378722.5031161276</v>
      </c>
      <c r="F1295" s="65" t="s">
        <v>1341</v>
      </c>
      <c r="G1295" s="25">
        <f t="shared" si="41"/>
        <v>2.3076923076925659E-4</v>
      </c>
      <c r="I1295" s="65">
        <v>64.09</v>
      </c>
      <c r="J1295" s="65">
        <v>65.069999999999993</v>
      </c>
      <c r="K1295" s="65">
        <v>62.33</v>
      </c>
      <c r="L1295" s="65">
        <v>62.95</v>
      </c>
      <c r="M1295" s="65">
        <v>22211220</v>
      </c>
      <c r="N1295" s="65" t="s">
        <v>1341</v>
      </c>
      <c r="O1295" s="25">
        <f t="shared" si="42"/>
        <v>1.8109610802224063E-2</v>
      </c>
    </row>
    <row r="1296" spans="1:15" ht="13.5" customHeight="1">
      <c r="A1296" s="65">
        <v>366.94591902020926</v>
      </c>
      <c r="B1296" s="65">
        <v>367.84083322193356</v>
      </c>
      <c r="C1296" s="65">
        <v>365.22148710575664</v>
      </c>
      <c r="D1296" s="65">
        <v>366.42764713335191</v>
      </c>
      <c r="E1296" s="65">
        <v>2771707.8360366938</v>
      </c>
      <c r="F1296" s="65" t="s">
        <v>1342</v>
      </c>
      <c r="G1296" s="25">
        <f t="shared" si="41"/>
        <v>1.4143907833152891E-3</v>
      </c>
      <c r="I1296" s="65">
        <v>62.63</v>
      </c>
      <c r="J1296" s="65">
        <v>62.75</v>
      </c>
      <c r="K1296" s="65">
        <v>60.8</v>
      </c>
      <c r="L1296" s="65">
        <v>61.2</v>
      </c>
      <c r="M1296" s="65">
        <v>10696915</v>
      </c>
      <c r="N1296" s="65" t="s">
        <v>1342</v>
      </c>
      <c r="O1296" s="25">
        <f t="shared" si="42"/>
        <v>2.3366013071895342E-2</v>
      </c>
    </row>
    <row r="1297" spans="1:15" ht="13.5" customHeight="1">
      <c r="A1297" s="65">
        <v>365.259179606619</v>
      </c>
      <c r="B1297" s="65">
        <v>366.68207151417278</v>
      </c>
      <c r="C1297" s="65">
        <v>365.06129397709168</v>
      </c>
      <c r="D1297" s="65">
        <v>366.63495588809479</v>
      </c>
      <c r="E1297" s="65">
        <v>3149792.5922602918</v>
      </c>
      <c r="F1297" s="65" t="s">
        <v>1343</v>
      </c>
      <c r="G1297" s="25">
        <f t="shared" si="41"/>
        <v>-3.7524416572426444E-3</v>
      </c>
      <c r="I1297" s="65">
        <v>61.77</v>
      </c>
      <c r="J1297" s="65">
        <v>62.86</v>
      </c>
      <c r="K1297" s="65">
        <v>59.98</v>
      </c>
      <c r="L1297" s="65">
        <v>60.53</v>
      </c>
      <c r="M1297" s="65">
        <v>16440647</v>
      </c>
      <c r="N1297" s="65" t="s">
        <v>1343</v>
      </c>
      <c r="O1297" s="25">
        <f t="shared" si="42"/>
        <v>2.0485709565504662E-2</v>
      </c>
    </row>
    <row r="1298" spans="1:15" ht="13.5" customHeight="1">
      <c r="A1298" s="65">
        <v>365.83399024476989</v>
      </c>
      <c r="B1298" s="65">
        <v>366.63495588809479</v>
      </c>
      <c r="C1298" s="65">
        <v>364.14725083117963</v>
      </c>
      <c r="D1298" s="65">
        <v>366.55957088637012</v>
      </c>
      <c r="E1298" s="65">
        <v>2532723.428159493</v>
      </c>
      <c r="F1298" s="65" t="s">
        <v>1344</v>
      </c>
      <c r="G1298" s="25">
        <f t="shared" si="41"/>
        <v>-1.9794344473006431E-3</v>
      </c>
      <c r="I1298" s="65">
        <v>60.15</v>
      </c>
      <c r="J1298" s="65">
        <v>62.12</v>
      </c>
      <c r="K1298" s="65">
        <v>59.26</v>
      </c>
      <c r="L1298" s="65">
        <v>61.7</v>
      </c>
      <c r="M1298" s="65">
        <v>13150076</v>
      </c>
      <c r="N1298" s="65" t="s">
        <v>1344</v>
      </c>
      <c r="O1298" s="25">
        <f t="shared" si="42"/>
        <v>-2.5121555915721294E-2</v>
      </c>
    </row>
    <row r="1299" spans="1:15" ht="13.5" customHeight="1">
      <c r="A1299" s="65">
        <v>365.77745149347635</v>
      </c>
      <c r="B1299" s="65">
        <v>366.2674540046869</v>
      </c>
      <c r="C1299" s="65">
        <v>364.91052397364223</v>
      </c>
      <c r="D1299" s="65">
        <v>366.10726087602188</v>
      </c>
      <c r="E1299" s="65">
        <v>2653705.5836458849</v>
      </c>
      <c r="F1299" s="65" t="s">
        <v>1345</v>
      </c>
      <c r="G1299" s="25">
        <f t="shared" si="41"/>
        <v>-9.0085452486343698E-4</v>
      </c>
      <c r="I1299" s="65">
        <v>61.37</v>
      </c>
      <c r="J1299" s="65">
        <v>61.57</v>
      </c>
      <c r="K1299" s="65">
        <v>59.71</v>
      </c>
      <c r="L1299" s="65">
        <v>60.99</v>
      </c>
      <c r="M1299" s="65">
        <v>9017128</v>
      </c>
      <c r="N1299" s="65" t="s">
        <v>1345</v>
      </c>
      <c r="O1299" s="25">
        <f t="shared" si="42"/>
        <v>6.230529595015577E-3</v>
      </c>
    </row>
    <row r="1300" spans="1:15" ht="13.5" customHeight="1">
      <c r="A1300" s="65">
        <v>366.0884146255907</v>
      </c>
      <c r="B1300" s="65">
        <v>366.37110838205837</v>
      </c>
      <c r="C1300" s="65">
        <v>364.44879083807842</v>
      </c>
      <c r="D1300" s="65">
        <v>364.49590646415635</v>
      </c>
      <c r="E1300" s="65">
        <v>2789035.4207036044</v>
      </c>
      <c r="F1300" s="65" t="s">
        <v>1346</v>
      </c>
      <c r="G1300" s="25">
        <f t="shared" si="41"/>
        <v>4.3690700860887777E-3</v>
      </c>
      <c r="I1300" s="65">
        <v>61</v>
      </c>
      <c r="J1300" s="65">
        <v>61.555</v>
      </c>
      <c r="K1300" s="65">
        <v>60.43</v>
      </c>
      <c r="L1300" s="65">
        <v>61</v>
      </c>
      <c r="M1300" s="65">
        <v>11817681</v>
      </c>
      <c r="N1300" s="65" t="s">
        <v>1346</v>
      </c>
      <c r="O1300" s="25">
        <f t="shared" si="42"/>
        <v>0</v>
      </c>
    </row>
    <row r="1301" spans="1:15" ht="13.5" customHeight="1">
      <c r="A1301" s="65">
        <v>362.79974392535053</v>
      </c>
      <c r="B1301" s="65">
        <v>363.83628769906522</v>
      </c>
      <c r="C1301" s="65">
        <v>360.62300200054972</v>
      </c>
      <c r="D1301" s="65">
        <v>362.00820140724119</v>
      </c>
      <c r="E1301" s="65">
        <v>3598546.0475369836</v>
      </c>
      <c r="F1301" s="65" t="s">
        <v>1347</v>
      </c>
      <c r="G1301" s="25">
        <f t="shared" si="41"/>
        <v>2.186532004060604E-3</v>
      </c>
      <c r="I1301" s="65">
        <v>60.6</v>
      </c>
      <c r="J1301" s="65">
        <v>62.055</v>
      </c>
      <c r="K1301" s="65">
        <v>59.88</v>
      </c>
      <c r="L1301" s="65">
        <v>61.78</v>
      </c>
      <c r="M1301" s="65">
        <v>15009068</v>
      </c>
      <c r="N1301" s="65" t="s">
        <v>1347</v>
      </c>
      <c r="O1301" s="25">
        <f t="shared" si="42"/>
        <v>-1.9100032372936226E-2</v>
      </c>
    </row>
    <row r="1302" spans="1:15" ht="13.5" customHeight="1">
      <c r="A1302" s="65">
        <v>364.184943332042</v>
      </c>
      <c r="B1302" s="65">
        <v>364.90110084842667</v>
      </c>
      <c r="C1302" s="65">
        <v>363.23320768526759</v>
      </c>
      <c r="D1302" s="65">
        <v>364.1566739563952</v>
      </c>
      <c r="E1302" s="65">
        <v>3405654.6279267226</v>
      </c>
      <c r="F1302" s="65" t="s">
        <v>1348</v>
      </c>
      <c r="G1302" s="25">
        <f t="shared" si="41"/>
        <v>7.7629706300985646E-5</v>
      </c>
      <c r="I1302" s="65">
        <v>62.79</v>
      </c>
      <c r="J1302" s="65">
        <v>63.69</v>
      </c>
      <c r="K1302" s="65">
        <v>61.13</v>
      </c>
      <c r="L1302" s="65">
        <v>62.76</v>
      </c>
      <c r="M1302" s="65">
        <v>16490782</v>
      </c>
      <c r="N1302" s="65" t="s">
        <v>1348</v>
      </c>
      <c r="O1302" s="25">
        <f t="shared" si="42"/>
        <v>4.7801147227533036E-4</v>
      </c>
    </row>
    <row r="1303" spans="1:15" ht="13.5" customHeight="1">
      <c r="A1303" s="65">
        <v>363.57244019302874</v>
      </c>
      <c r="B1303" s="65">
        <v>366.20149212817779</v>
      </c>
      <c r="C1303" s="65">
        <v>363.1483995583273</v>
      </c>
      <c r="D1303" s="65">
        <v>366.0884146255907</v>
      </c>
      <c r="E1303" s="65">
        <v>4657734.9866258381</v>
      </c>
      <c r="F1303" s="65" t="s">
        <v>1349</v>
      </c>
      <c r="G1303" s="25">
        <f t="shared" si="41"/>
        <v>-6.87258687258685E-3</v>
      </c>
      <c r="I1303" s="65">
        <v>63.69</v>
      </c>
      <c r="J1303" s="65">
        <v>63.84</v>
      </c>
      <c r="K1303" s="65">
        <v>61.86</v>
      </c>
      <c r="L1303" s="65">
        <v>62.9</v>
      </c>
      <c r="M1303" s="65">
        <v>18210055</v>
      </c>
      <c r="N1303" s="65" t="s">
        <v>1349</v>
      </c>
      <c r="O1303" s="25">
        <f t="shared" si="42"/>
        <v>1.2559618441971399E-2</v>
      </c>
    </row>
    <row r="1304" spans="1:15" ht="13.5" customHeight="1">
      <c r="A1304" s="65">
        <v>363.85513394949641</v>
      </c>
      <c r="B1304" s="65">
        <v>364.92937022407341</v>
      </c>
      <c r="C1304" s="65">
        <v>363.67609457040021</v>
      </c>
      <c r="D1304" s="65">
        <v>364.70321521889929</v>
      </c>
      <c r="E1304" s="65">
        <v>3577493.584000594</v>
      </c>
      <c r="F1304" s="65" t="s">
        <v>1350</v>
      </c>
      <c r="G1304" s="25">
        <f t="shared" si="41"/>
        <v>-2.325401131695104E-3</v>
      </c>
      <c r="I1304" s="65">
        <v>62.12</v>
      </c>
      <c r="J1304" s="65">
        <v>62.65</v>
      </c>
      <c r="K1304" s="65">
        <v>61.075000000000003</v>
      </c>
      <c r="L1304" s="65">
        <v>61.075000000000003</v>
      </c>
      <c r="M1304" s="65">
        <v>11239184</v>
      </c>
      <c r="N1304" s="65" t="s">
        <v>1350</v>
      </c>
      <c r="O1304" s="25">
        <f t="shared" si="42"/>
        <v>1.7110110519852562E-2</v>
      </c>
    </row>
    <row r="1305" spans="1:15" ht="13.5" customHeight="1">
      <c r="A1305" s="65">
        <v>363.1483995583273</v>
      </c>
      <c r="B1305" s="65">
        <v>364.46763708850955</v>
      </c>
      <c r="C1305" s="65">
        <v>363.09186080703375</v>
      </c>
      <c r="D1305" s="65">
        <v>363.99798852776473</v>
      </c>
      <c r="E1305" s="65">
        <v>3200492.3324282034</v>
      </c>
      <c r="F1305" s="65" t="s">
        <v>1351</v>
      </c>
      <c r="G1305" s="25">
        <f t="shared" si="41"/>
        <v>-2.3340485283276369E-3</v>
      </c>
      <c r="I1305" s="65">
        <v>61.07</v>
      </c>
      <c r="J1305" s="65">
        <v>61.28</v>
      </c>
      <c r="K1305" s="65">
        <v>59.530099999999997</v>
      </c>
      <c r="L1305" s="65">
        <v>60.3</v>
      </c>
      <c r="M1305" s="65">
        <v>11570845</v>
      </c>
      <c r="N1305" s="65" t="s">
        <v>1351</v>
      </c>
      <c r="O1305" s="25">
        <f t="shared" si="42"/>
        <v>1.2769485903814326E-2</v>
      </c>
    </row>
    <row r="1306" spans="1:15" ht="13.5" customHeight="1">
      <c r="A1306" s="65">
        <v>362.98820642966228</v>
      </c>
      <c r="B1306" s="65">
        <v>363.49705519130407</v>
      </c>
      <c r="C1306" s="65">
        <v>361.91397015508528</v>
      </c>
      <c r="D1306" s="65">
        <v>362.8751289270752</v>
      </c>
      <c r="E1306" s="65">
        <v>2804488.8925262131</v>
      </c>
      <c r="F1306" s="65" t="s">
        <v>1352</v>
      </c>
      <c r="G1306" s="25">
        <f t="shared" si="41"/>
        <v>3.1161546651437E-4</v>
      </c>
      <c r="I1306" s="65">
        <v>60.59</v>
      </c>
      <c r="J1306" s="65">
        <v>61.37</v>
      </c>
      <c r="K1306" s="65">
        <v>59.7</v>
      </c>
      <c r="L1306" s="65">
        <v>59.97</v>
      </c>
      <c r="M1306" s="65">
        <v>13851985</v>
      </c>
      <c r="N1306" s="65" t="s">
        <v>1352</v>
      </c>
      <c r="O1306" s="25">
        <f t="shared" si="42"/>
        <v>1.0338502584625653E-2</v>
      </c>
    </row>
    <row r="1307" spans="1:15" ht="13.5" customHeight="1">
      <c r="A1307" s="65">
        <v>362.32858766457116</v>
      </c>
      <c r="B1307" s="65">
        <v>364.44879083807842</v>
      </c>
      <c r="C1307" s="65">
        <v>361.79146952728263</v>
      </c>
      <c r="D1307" s="65">
        <v>364.10955833031721</v>
      </c>
      <c r="E1307" s="65">
        <v>4278630.3988941004</v>
      </c>
      <c r="F1307" s="65" t="s">
        <v>1353</v>
      </c>
      <c r="G1307" s="25">
        <f t="shared" si="41"/>
        <v>-4.8913043478259199E-3</v>
      </c>
      <c r="I1307" s="65">
        <v>59.15</v>
      </c>
      <c r="J1307" s="65">
        <v>60.784799999999997</v>
      </c>
      <c r="K1307" s="65">
        <v>59.01</v>
      </c>
      <c r="L1307" s="65">
        <v>60.42</v>
      </c>
      <c r="M1307" s="65">
        <v>11633497</v>
      </c>
      <c r="N1307" s="65" t="s">
        <v>1353</v>
      </c>
      <c r="O1307" s="25">
        <f t="shared" si="42"/>
        <v>-2.1019529956967986E-2</v>
      </c>
    </row>
    <row r="1308" spans="1:15" ht="13.5" customHeight="1">
      <c r="A1308" s="65">
        <v>363.09186080703375</v>
      </c>
      <c r="B1308" s="65">
        <v>364.10955833031721</v>
      </c>
      <c r="C1308" s="65">
        <v>361.32031326650321</v>
      </c>
      <c r="D1308" s="65">
        <v>361.55589139689295</v>
      </c>
      <c r="E1308" s="65">
        <v>3143811.5616881028</v>
      </c>
      <c r="F1308" s="65" t="s">
        <v>1354</v>
      </c>
      <c r="G1308" s="25">
        <f t="shared" si="41"/>
        <v>4.2482212202559211E-3</v>
      </c>
      <c r="I1308" s="65">
        <v>60.12</v>
      </c>
      <c r="J1308" s="65">
        <v>60.82</v>
      </c>
      <c r="K1308" s="65">
        <v>57.15</v>
      </c>
      <c r="L1308" s="65">
        <v>57.35</v>
      </c>
      <c r="M1308" s="65">
        <v>18676607</v>
      </c>
      <c r="N1308" s="65" t="s">
        <v>1354</v>
      </c>
      <c r="O1308" s="25">
        <f t="shared" si="42"/>
        <v>4.8299912816041735E-2</v>
      </c>
    </row>
    <row r="1309" spans="1:15" ht="13.5" customHeight="1">
      <c r="A1309" s="65">
        <v>359.46395759903243</v>
      </c>
      <c r="B1309" s="65">
        <v>362.27204891327762</v>
      </c>
      <c r="C1309" s="65">
        <v>359.03049383911537</v>
      </c>
      <c r="D1309" s="65">
        <v>361.12242763697589</v>
      </c>
      <c r="E1309" s="65">
        <v>3785849.0876239748</v>
      </c>
      <c r="F1309" s="65" t="s">
        <v>1355</v>
      </c>
      <c r="G1309" s="25">
        <f t="shared" si="41"/>
        <v>-4.5925423374996166E-3</v>
      </c>
      <c r="I1309" s="65">
        <v>56.61</v>
      </c>
      <c r="J1309" s="65">
        <v>58.196599999999997</v>
      </c>
      <c r="K1309" s="65">
        <v>56.17</v>
      </c>
      <c r="L1309" s="65">
        <v>57.21</v>
      </c>
      <c r="M1309" s="65">
        <v>19871168</v>
      </c>
      <c r="N1309" s="65" t="s">
        <v>1355</v>
      </c>
      <c r="O1309" s="25">
        <f t="shared" si="42"/>
        <v>-1.048767697954911E-2</v>
      </c>
    </row>
    <row r="1310" spans="1:15" ht="13.5" customHeight="1">
      <c r="A1310" s="65">
        <v>359.73722823028447</v>
      </c>
      <c r="B1310" s="65">
        <v>360.89627263180176</v>
      </c>
      <c r="C1310" s="65">
        <v>356.61817378392487</v>
      </c>
      <c r="D1310" s="65">
        <v>356.73125128651191</v>
      </c>
      <c r="E1310" s="65">
        <v>5069139.8986169314</v>
      </c>
      <c r="F1310" s="65" t="s">
        <v>1356</v>
      </c>
      <c r="G1310" s="25">
        <f t="shared" si="41"/>
        <v>8.4264468922525815E-3</v>
      </c>
      <c r="I1310" s="65">
        <v>57.07</v>
      </c>
      <c r="J1310" s="65">
        <v>57.37</v>
      </c>
      <c r="K1310" s="65">
        <v>54.09</v>
      </c>
      <c r="L1310" s="65">
        <v>54.25</v>
      </c>
      <c r="M1310" s="65">
        <v>24206487</v>
      </c>
      <c r="N1310" s="65" t="s">
        <v>1356</v>
      </c>
      <c r="O1310" s="25">
        <f t="shared" si="42"/>
        <v>5.1981566820276548E-2</v>
      </c>
    </row>
    <row r="1311" spans="1:15" ht="13.5" customHeight="1">
      <c r="A1311" s="65">
        <v>355.93970876840257</v>
      </c>
      <c r="B1311" s="65">
        <v>356.04336314577398</v>
      </c>
      <c r="C1311" s="65">
        <v>351.12449178323709</v>
      </c>
      <c r="D1311" s="65">
        <v>352.48142181428176</v>
      </c>
      <c r="E1311" s="65">
        <v>5397646.6232096665</v>
      </c>
      <c r="F1311" s="65" t="s">
        <v>1357</v>
      </c>
      <c r="G1311" s="25">
        <f t="shared" si="41"/>
        <v>9.81126022563239E-3</v>
      </c>
      <c r="I1311" s="65">
        <v>53.91</v>
      </c>
      <c r="J1311" s="65">
        <v>54.250100000000003</v>
      </c>
      <c r="K1311" s="65">
        <v>51.158200000000001</v>
      </c>
      <c r="L1311" s="65">
        <v>51.61</v>
      </c>
      <c r="M1311" s="65">
        <v>12949173</v>
      </c>
      <c r="N1311" s="65" t="s">
        <v>1357</v>
      </c>
      <c r="O1311" s="25">
        <f t="shared" si="42"/>
        <v>4.4565006781631444E-2</v>
      </c>
    </row>
    <row r="1312" spans="1:15" ht="13.5" customHeight="1">
      <c r="A1312" s="65">
        <v>356.88202128996136</v>
      </c>
      <c r="B1312" s="65">
        <v>360.40627012059122</v>
      </c>
      <c r="C1312" s="65">
        <v>356.70298191086516</v>
      </c>
      <c r="D1312" s="65">
        <v>360.19896136584828</v>
      </c>
      <c r="E1312" s="65">
        <v>3319822.1698519802</v>
      </c>
      <c r="F1312" s="65" t="s">
        <v>1358</v>
      </c>
      <c r="G1312" s="25">
        <f t="shared" si="41"/>
        <v>-9.2086330935250427E-3</v>
      </c>
      <c r="I1312" s="65">
        <v>53.36</v>
      </c>
      <c r="J1312" s="65">
        <v>55.59</v>
      </c>
      <c r="K1312" s="65">
        <v>53.35</v>
      </c>
      <c r="L1312" s="65">
        <v>54.17</v>
      </c>
      <c r="M1312" s="65">
        <v>14819596</v>
      </c>
      <c r="N1312" s="65" t="s">
        <v>1358</v>
      </c>
      <c r="O1312" s="25">
        <f t="shared" si="42"/>
        <v>-1.495292597378628E-2</v>
      </c>
    </row>
    <row r="1313" spans="1:15" ht="13.5" customHeight="1">
      <c r="A1313" s="65">
        <v>359.99165261110534</v>
      </c>
      <c r="B1313" s="65">
        <v>360.67011762662764</v>
      </c>
      <c r="C1313" s="65">
        <v>358.07875819234101</v>
      </c>
      <c r="D1313" s="65">
        <v>359.86915198330269</v>
      </c>
      <c r="E1313" s="65">
        <v>4013092.1679194327</v>
      </c>
      <c r="F1313" s="65" t="s">
        <v>1359</v>
      </c>
      <c r="G1313" s="25">
        <f t="shared" si="41"/>
        <v>3.4040324692319324E-4</v>
      </c>
      <c r="I1313" s="65">
        <v>53.91</v>
      </c>
      <c r="J1313" s="65">
        <v>54.06</v>
      </c>
      <c r="K1313" s="65">
        <v>51.64</v>
      </c>
      <c r="L1313" s="65">
        <v>52.66</v>
      </c>
      <c r="M1313" s="65">
        <v>14408459</v>
      </c>
      <c r="N1313" s="65" t="s">
        <v>1359</v>
      </c>
      <c r="O1313" s="25">
        <f t="shared" si="42"/>
        <v>2.3737181921762218E-2</v>
      </c>
    </row>
    <row r="1314" spans="1:15" ht="13.5" customHeight="1">
      <c r="A1314" s="65">
        <v>360.8585801309394</v>
      </c>
      <c r="B1314" s="65">
        <v>361.65012264904885</v>
      </c>
      <c r="C1314" s="65">
        <v>357.89971881324482</v>
      </c>
      <c r="D1314" s="65">
        <v>357.89971881324482</v>
      </c>
      <c r="E1314" s="65">
        <v>5484294.0975156799</v>
      </c>
      <c r="F1314" s="65" t="s">
        <v>1360</v>
      </c>
      <c r="G1314" s="25">
        <f t="shared" si="41"/>
        <v>8.2672915405070935E-3</v>
      </c>
      <c r="I1314" s="65">
        <v>52.99</v>
      </c>
      <c r="J1314" s="65">
        <v>53.43</v>
      </c>
      <c r="K1314" s="65">
        <v>51.25</v>
      </c>
      <c r="L1314" s="65">
        <v>51.36</v>
      </c>
      <c r="M1314" s="65">
        <v>11479092</v>
      </c>
      <c r="N1314" s="65" t="s">
        <v>1360</v>
      </c>
      <c r="O1314" s="25">
        <f t="shared" si="42"/>
        <v>3.1736760124610575E-2</v>
      </c>
    </row>
    <row r="1315" spans="1:15" ht="13.5" customHeight="1">
      <c r="A1315" s="65">
        <v>355.40259063111404</v>
      </c>
      <c r="B1315" s="65">
        <v>357.18356129686015</v>
      </c>
      <c r="C1315" s="65">
        <v>352.58507619165323</v>
      </c>
      <c r="D1315" s="65">
        <v>352.62276869251559</v>
      </c>
      <c r="E1315" s="65">
        <v>7628245.232387607</v>
      </c>
      <c r="F1315" s="65" t="s">
        <v>1361</v>
      </c>
      <c r="G1315" s="25">
        <f t="shared" si="41"/>
        <v>7.8832740974319471E-3</v>
      </c>
      <c r="I1315" s="65">
        <v>50.96</v>
      </c>
      <c r="J1315" s="65">
        <v>52.7</v>
      </c>
      <c r="K1315" s="65">
        <v>49.895000000000003</v>
      </c>
      <c r="L1315" s="65">
        <v>52.01</v>
      </c>
      <c r="M1315" s="65">
        <v>13140965</v>
      </c>
      <c r="N1315" s="65" t="s">
        <v>1361</v>
      </c>
      <c r="O1315" s="25">
        <f t="shared" si="42"/>
        <v>-2.0188425302826274E-2</v>
      </c>
    </row>
    <row r="1316" spans="1:15" ht="13.5" customHeight="1">
      <c r="A1316" s="65">
        <v>351.22814616060862</v>
      </c>
      <c r="B1316" s="65">
        <v>357.39087005160303</v>
      </c>
      <c r="C1316" s="65">
        <v>350.66275864767329</v>
      </c>
      <c r="D1316" s="65">
        <v>356.2318256500858</v>
      </c>
      <c r="E1316" s="65">
        <v>8179283.2246887665</v>
      </c>
      <c r="F1316" s="65" t="s">
        <v>1362</v>
      </c>
      <c r="G1316" s="25">
        <f t="shared" si="41"/>
        <v>-1.4046132684372048E-2</v>
      </c>
      <c r="I1316" s="65">
        <v>51.56</v>
      </c>
      <c r="J1316" s="65">
        <v>53.15</v>
      </c>
      <c r="K1316" s="65">
        <v>50.7</v>
      </c>
      <c r="L1316" s="65">
        <v>52.2</v>
      </c>
      <c r="M1316" s="65">
        <v>18791573</v>
      </c>
      <c r="N1316" s="65" t="s">
        <v>1362</v>
      </c>
      <c r="O1316" s="25">
        <f t="shared" si="42"/>
        <v>-1.226053639846747E-2</v>
      </c>
    </row>
    <row r="1317" spans="1:15" ht="13.5" customHeight="1">
      <c r="A1317" s="65">
        <v>358.88914696088159</v>
      </c>
      <c r="B1317" s="65">
        <v>359.71838197985329</v>
      </c>
      <c r="C1317" s="65">
        <v>355.20470500158666</v>
      </c>
      <c r="D1317" s="65">
        <v>357.84318006195127</v>
      </c>
      <c r="E1317" s="65">
        <v>7515023.7718221555</v>
      </c>
      <c r="F1317" s="65" t="s">
        <v>1363</v>
      </c>
      <c r="G1317" s="25">
        <f t="shared" si="41"/>
        <v>2.9229756418698294E-3</v>
      </c>
      <c r="I1317" s="65">
        <v>53.29</v>
      </c>
      <c r="J1317" s="65">
        <v>53.65</v>
      </c>
      <c r="K1317" s="65">
        <v>50.14</v>
      </c>
      <c r="L1317" s="65">
        <v>50.61</v>
      </c>
      <c r="M1317" s="65">
        <v>21201513</v>
      </c>
      <c r="N1317" s="65" t="s">
        <v>1363</v>
      </c>
      <c r="O1317" s="25">
        <f t="shared" si="42"/>
        <v>5.2953961667654648E-2</v>
      </c>
    </row>
    <row r="1318" spans="1:15" ht="13.5" customHeight="1">
      <c r="A1318" s="65">
        <v>362.06474015853468</v>
      </c>
      <c r="B1318" s="65">
        <v>366.23918462904015</v>
      </c>
      <c r="C1318" s="65">
        <v>361.93281640551641</v>
      </c>
      <c r="D1318" s="65">
        <v>366.00360649865047</v>
      </c>
      <c r="E1318" s="65">
        <v>6306503.2715149242</v>
      </c>
      <c r="F1318" s="65" t="s">
        <v>1364</v>
      </c>
      <c r="G1318" s="25">
        <f t="shared" si="41"/>
        <v>-1.0761823845936158E-2</v>
      </c>
      <c r="I1318" s="65">
        <v>52.14</v>
      </c>
      <c r="J1318" s="65">
        <v>53.2</v>
      </c>
      <c r="K1318" s="65">
        <v>50.4</v>
      </c>
      <c r="L1318" s="65">
        <v>53.18</v>
      </c>
      <c r="M1318" s="65">
        <v>23674490</v>
      </c>
      <c r="N1318" s="65" t="s">
        <v>1364</v>
      </c>
      <c r="O1318" s="25">
        <f t="shared" si="42"/>
        <v>-1.9556224144415157E-2</v>
      </c>
    </row>
    <row r="1319" spans="1:15" ht="13.5" customHeight="1">
      <c r="A1319" s="65">
        <v>365.64552774045808</v>
      </c>
      <c r="B1319" s="65">
        <v>366.25803087947133</v>
      </c>
      <c r="C1319" s="65">
        <v>363.10128393224932</v>
      </c>
      <c r="D1319" s="65">
        <v>363.75147957212488</v>
      </c>
      <c r="E1319" s="65">
        <v>3731904.1395976967</v>
      </c>
      <c r="F1319" s="65" t="s">
        <v>1365</v>
      </c>
      <c r="G1319" s="25">
        <f t="shared" si="41"/>
        <v>5.2069840940884848E-3</v>
      </c>
      <c r="I1319" s="65">
        <v>54.7</v>
      </c>
      <c r="J1319" s="65">
        <v>55.46</v>
      </c>
      <c r="K1319" s="65">
        <v>53.54</v>
      </c>
      <c r="L1319" s="65">
        <v>53.84</v>
      </c>
      <c r="M1319" s="65">
        <v>20012342</v>
      </c>
      <c r="N1319" s="65" t="s">
        <v>1365</v>
      </c>
      <c r="O1319" s="25">
        <f t="shared" si="42"/>
        <v>1.5973254086181221E-2</v>
      </c>
    </row>
    <row r="1320" spans="1:15" ht="13.5" customHeight="1">
      <c r="A1320" s="65">
        <v>363.05416830617139</v>
      </c>
      <c r="B1320" s="65">
        <v>363.13897643311174</v>
      </c>
      <c r="C1320" s="65">
        <v>358.33318257316182</v>
      </c>
      <c r="D1320" s="65">
        <v>360.20838449106384</v>
      </c>
      <c r="E1320" s="65">
        <v>5027301.3375259861</v>
      </c>
      <c r="F1320" s="65" t="s">
        <v>1366</v>
      </c>
      <c r="G1320" s="25">
        <f t="shared" si="41"/>
        <v>7.9003819389944496E-3</v>
      </c>
      <c r="I1320" s="65">
        <v>52.59</v>
      </c>
      <c r="J1320" s="65">
        <v>54.06</v>
      </c>
      <c r="K1320" s="65">
        <v>51.47</v>
      </c>
      <c r="L1320" s="65">
        <v>53.33</v>
      </c>
      <c r="M1320" s="65">
        <v>25201514</v>
      </c>
      <c r="N1320" s="65" t="s">
        <v>1366</v>
      </c>
      <c r="O1320" s="25">
        <f t="shared" si="42"/>
        <v>-1.3875867241702533E-2</v>
      </c>
    </row>
    <row r="1321" spans="1:15" ht="13.5" customHeight="1">
      <c r="A1321" s="65">
        <v>360.12357636412361</v>
      </c>
      <c r="B1321" s="65">
        <v>361.76320015163589</v>
      </c>
      <c r="C1321" s="65">
        <v>359.43568822338563</v>
      </c>
      <c r="D1321" s="65">
        <v>361.58416077253975</v>
      </c>
      <c r="E1321" s="65">
        <v>4680677.4812922971</v>
      </c>
      <c r="F1321" s="65" t="s">
        <v>1367</v>
      </c>
      <c r="G1321" s="25">
        <f t="shared" si="41"/>
        <v>-4.0394037318878251E-3</v>
      </c>
      <c r="I1321" s="65">
        <v>54.07</v>
      </c>
      <c r="J1321" s="65">
        <v>57</v>
      </c>
      <c r="K1321" s="65">
        <v>53.830100000000002</v>
      </c>
      <c r="L1321" s="65">
        <v>56.75</v>
      </c>
      <c r="M1321" s="65">
        <v>18164700</v>
      </c>
      <c r="N1321" s="65" t="s">
        <v>1367</v>
      </c>
      <c r="O1321" s="25">
        <f t="shared" si="42"/>
        <v>-4.7224669603524227E-2</v>
      </c>
    </row>
    <row r="1322" spans="1:15" ht="13.5" customHeight="1">
      <c r="A1322" s="65">
        <v>360.0576144876145</v>
      </c>
      <c r="B1322" s="65">
        <v>360.86800325615502</v>
      </c>
      <c r="C1322" s="65">
        <v>356.61817378392487</v>
      </c>
      <c r="D1322" s="65">
        <v>360.45338574666914</v>
      </c>
      <c r="E1322" s="65">
        <v>5821472.0429752283</v>
      </c>
      <c r="F1322" s="65" t="s">
        <v>1368</v>
      </c>
      <c r="G1322" s="25">
        <f t="shared" si="41"/>
        <v>-1.0979818048727497E-3</v>
      </c>
      <c r="I1322" s="65">
        <v>55.78</v>
      </c>
      <c r="J1322" s="65">
        <v>58.11</v>
      </c>
      <c r="K1322" s="65">
        <v>53.09</v>
      </c>
      <c r="L1322" s="65">
        <v>57.95</v>
      </c>
      <c r="M1322" s="65">
        <v>40725701</v>
      </c>
      <c r="N1322" s="65" t="s">
        <v>1368</v>
      </c>
      <c r="O1322" s="25">
        <f t="shared" si="42"/>
        <v>-3.7446074201898161E-2</v>
      </c>
    </row>
    <row r="1323" spans="1:15" ht="13.5" customHeight="1">
      <c r="A1323" s="65">
        <v>362.26262578806205</v>
      </c>
      <c r="B1323" s="65">
        <v>363.67609457040021</v>
      </c>
      <c r="C1323" s="65">
        <v>361.81031577771381</v>
      </c>
      <c r="D1323" s="65">
        <v>363.31801581220788</v>
      </c>
      <c r="E1323" s="65">
        <v>4436757.3436082732</v>
      </c>
      <c r="F1323" s="65" t="s">
        <v>1369</v>
      </c>
      <c r="G1323" s="25">
        <f t="shared" si="41"/>
        <v>-2.9048656499636172E-3</v>
      </c>
      <c r="I1323" s="65">
        <v>59.17</v>
      </c>
      <c r="J1323" s="65">
        <v>62.84</v>
      </c>
      <c r="K1323" s="65">
        <v>58.64</v>
      </c>
      <c r="L1323" s="65">
        <v>62.04</v>
      </c>
      <c r="M1323" s="65">
        <v>22347083</v>
      </c>
      <c r="N1323" s="65" t="s">
        <v>1369</v>
      </c>
      <c r="O1323" s="25">
        <f t="shared" si="42"/>
        <v>-4.626047711154091E-2</v>
      </c>
    </row>
    <row r="1324" spans="1:15" ht="13.5" customHeight="1">
      <c r="A1324" s="65">
        <v>361.44281389430586</v>
      </c>
      <c r="B1324" s="65">
        <v>362.56416579496084</v>
      </c>
      <c r="C1324" s="65">
        <v>360.65127137619652</v>
      </c>
      <c r="D1324" s="65">
        <v>361.76320015163589</v>
      </c>
      <c r="E1324" s="65">
        <v>5538720.8389911726</v>
      </c>
      <c r="F1324" s="65" t="s">
        <v>1370</v>
      </c>
      <c r="G1324" s="25">
        <f t="shared" si="41"/>
        <v>-8.8562423484683794E-4</v>
      </c>
      <c r="I1324" s="65">
        <v>61.82</v>
      </c>
      <c r="J1324" s="65">
        <v>63.39</v>
      </c>
      <c r="K1324" s="65">
        <v>60.83</v>
      </c>
      <c r="L1324" s="65">
        <v>60.86</v>
      </c>
      <c r="M1324" s="65">
        <v>25053887</v>
      </c>
      <c r="N1324" s="65" t="s">
        <v>1370</v>
      </c>
      <c r="O1324" s="25">
        <f t="shared" si="42"/>
        <v>1.5773907328294534E-2</v>
      </c>
    </row>
    <row r="1325" spans="1:15" ht="13.5" customHeight="1">
      <c r="A1325" s="65">
        <v>363.84571082428079</v>
      </c>
      <c r="B1325" s="65">
        <v>364.42994458764724</v>
      </c>
      <c r="C1325" s="65">
        <v>360.72665637792119</v>
      </c>
      <c r="D1325" s="65">
        <v>364.10955833031721</v>
      </c>
      <c r="E1325" s="65">
        <v>4467604.8589866264</v>
      </c>
      <c r="F1325" s="65" t="s">
        <v>1371</v>
      </c>
      <c r="G1325" s="25">
        <f t="shared" si="41"/>
        <v>-7.246376811593791E-4</v>
      </c>
      <c r="I1325" s="65">
        <v>62.28</v>
      </c>
      <c r="J1325" s="65">
        <v>64.25</v>
      </c>
      <c r="K1325" s="65">
        <v>60.58</v>
      </c>
      <c r="L1325" s="65">
        <v>62.52</v>
      </c>
      <c r="M1325" s="65">
        <v>37436587</v>
      </c>
      <c r="N1325" s="65" t="s">
        <v>1371</v>
      </c>
      <c r="O1325" s="25">
        <f t="shared" si="42"/>
        <v>-3.8387715930902067E-3</v>
      </c>
    </row>
    <row r="1326" spans="1:15" ht="13.5" customHeight="1">
      <c r="A1326" s="65">
        <v>361.43339076909029</v>
      </c>
      <c r="B1326" s="65">
        <v>362.94976007878267</v>
      </c>
      <c r="C1326" s="65">
        <v>361.1318507621915</v>
      </c>
      <c r="D1326" s="65">
        <v>361.94223953073208</v>
      </c>
      <c r="E1326" s="65">
        <v>4202840.2567002354</v>
      </c>
      <c r="F1326" s="65" t="s">
        <v>1372</v>
      </c>
      <c r="G1326" s="25">
        <f t="shared" si="41"/>
        <v>-1.4058838844052124E-3</v>
      </c>
      <c r="I1326" s="65">
        <v>62.04</v>
      </c>
      <c r="J1326" s="65">
        <v>62.14</v>
      </c>
      <c r="K1326" s="65">
        <v>57.86</v>
      </c>
      <c r="L1326" s="65">
        <v>59.85</v>
      </c>
      <c r="M1326" s="65">
        <v>42222800</v>
      </c>
      <c r="N1326" s="65" t="s">
        <v>1372</v>
      </c>
      <c r="O1326" s="25">
        <f t="shared" si="42"/>
        <v>3.6591478696741842E-2</v>
      </c>
    </row>
    <row r="1327" spans="1:15" ht="13.5" customHeight="1">
      <c r="A1327" s="65">
        <v>361.60300702297087</v>
      </c>
      <c r="B1327" s="65">
        <v>362.20608703676851</v>
      </c>
      <c r="C1327" s="65">
        <v>360.64184825098096</v>
      </c>
      <c r="D1327" s="65">
        <v>362.03647078288793</v>
      </c>
      <c r="E1327" s="65">
        <v>3576989.5049513052</v>
      </c>
      <c r="F1327" s="65" t="s">
        <v>1373</v>
      </c>
      <c r="G1327" s="25">
        <f t="shared" si="41"/>
        <v>-1.1972930765227208E-3</v>
      </c>
      <c r="I1327" s="65">
        <v>60.51</v>
      </c>
      <c r="J1327" s="65">
        <v>62.75</v>
      </c>
      <c r="K1327" s="65">
        <v>58.36</v>
      </c>
      <c r="L1327" s="65">
        <v>58.73</v>
      </c>
      <c r="M1327" s="65">
        <v>65967715</v>
      </c>
      <c r="N1327" s="65" t="s">
        <v>1373</v>
      </c>
      <c r="O1327" s="25">
        <f t="shared" si="42"/>
        <v>3.030819002213514E-2</v>
      </c>
    </row>
    <row r="1328" spans="1:15" ht="13.5" customHeight="1">
      <c r="A1328" s="65">
        <v>361.71608452555796</v>
      </c>
      <c r="B1328" s="65">
        <v>362.27204891327762</v>
      </c>
      <c r="C1328" s="65">
        <v>361.20723576391617</v>
      </c>
      <c r="D1328" s="65">
        <v>361.59358389775531</v>
      </c>
      <c r="E1328" s="65">
        <v>3316536.6356696705</v>
      </c>
      <c r="F1328" s="65" t="s">
        <v>1374</v>
      </c>
      <c r="G1328" s="25">
        <f t="shared" si="41"/>
        <v>3.387798712637391E-4</v>
      </c>
      <c r="I1328" s="65">
        <v>60.02</v>
      </c>
      <c r="J1328" s="65">
        <v>61.44</v>
      </c>
      <c r="K1328" s="65">
        <v>58.58</v>
      </c>
      <c r="L1328" s="65">
        <v>60.97</v>
      </c>
      <c r="M1328" s="65">
        <v>38422231</v>
      </c>
      <c r="N1328" s="65" t="s">
        <v>1374</v>
      </c>
      <c r="O1328" s="25">
        <f t="shared" si="42"/>
        <v>-1.5581433491881236E-2</v>
      </c>
    </row>
    <row r="1329" spans="1:15" ht="13.5" customHeight="1">
      <c r="A1329" s="65">
        <v>360.93396513266413</v>
      </c>
      <c r="B1329" s="65">
        <v>362.2767604758854</v>
      </c>
      <c r="C1329" s="65">
        <v>357.56990943069923</v>
      </c>
      <c r="D1329" s="65">
        <v>357.6735638080707</v>
      </c>
      <c r="E1329" s="65">
        <v>4014813.4652203713</v>
      </c>
      <c r="F1329" s="65" t="s">
        <v>1375</v>
      </c>
      <c r="G1329" s="25">
        <f t="shared" si="41"/>
        <v>9.1155781542271441E-3</v>
      </c>
      <c r="I1329" s="65">
        <v>61.3</v>
      </c>
      <c r="J1329" s="65">
        <v>63.2</v>
      </c>
      <c r="K1329" s="65">
        <v>57.32</v>
      </c>
      <c r="L1329" s="65">
        <v>62.01</v>
      </c>
      <c r="M1329" s="65">
        <v>104579365</v>
      </c>
      <c r="N1329" s="65" t="s">
        <v>1375</v>
      </c>
      <c r="O1329" s="25">
        <f t="shared" si="42"/>
        <v>-1.1449766166747311E-2</v>
      </c>
    </row>
    <row r="1330" spans="1:15" ht="13.5" customHeight="1">
      <c r="A1330" s="65">
        <v>357.1270225455666</v>
      </c>
      <c r="B1330" s="65">
        <v>361.01406169699663</v>
      </c>
      <c r="C1330" s="65">
        <v>356.15644064836101</v>
      </c>
      <c r="D1330" s="65">
        <v>360.26492324235738</v>
      </c>
      <c r="E1330" s="65">
        <v>4207750.517249831</v>
      </c>
      <c r="F1330" s="65" t="s">
        <v>1376</v>
      </c>
      <c r="G1330" s="25">
        <f t="shared" si="41"/>
        <v>-8.7099811676082384E-3</v>
      </c>
      <c r="I1330" s="65">
        <v>57.05</v>
      </c>
      <c r="J1330" s="65">
        <v>59.25</v>
      </c>
      <c r="K1330" s="65">
        <v>56.393300000000004</v>
      </c>
      <c r="L1330" s="65">
        <v>59.11</v>
      </c>
      <c r="M1330" s="65">
        <v>30856639</v>
      </c>
      <c r="N1330" s="65" t="s">
        <v>1376</v>
      </c>
      <c r="O1330" s="25">
        <f t="shared" si="42"/>
        <v>-3.4850279140585361E-2</v>
      </c>
    </row>
    <row r="1331" spans="1:15" ht="13.5" customHeight="1">
      <c r="A1331" s="65">
        <v>360.43453949623796</v>
      </c>
      <c r="B1331" s="65">
        <v>360.59473262490297</v>
      </c>
      <c r="C1331" s="65">
        <v>356.32605690224165</v>
      </c>
      <c r="D1331" s="65">
        <v>356.45798065525986</v>
      </c>
      <c r="E1331" s="65">
        <v>3862922.2436506599</v>
      </c>
      <c r="F1331" s="65" t="s">
        <v>1377</v>
      </c>
      <c r="G1331" s="25">
        <f t="shared" si="41"/>
        <v>1.1155757639843555E-2</v>
      </c>
      <c r="I1331" s="65">
        <v>58.3</v>
      </c>
      <c r="J1331" s="65">
        <v>59.09</v>
      </c>
      <c r="K1331" s="65">
        <v>56.7</v>
      </c>
      <c r="L1331" s="65">
        <v>57.65</v>
      </c>
      <c r="M1331" s="65">
        <v>13115968</v>
      </c>
      <c r="N1331" s="65" t="s">
        <v>1377</v>
      </c>
      <c r="O1331" s="25">
        <f t="shared" si="42"/>
        <v>1.1274934952298254E-2</v>
      </c>
    </row>
    <row r="1332" spans="1:15" ht="13.5" customHeight="1">
      <c r="A1332" s="65">
        <v>357.07990691948868</v>
      </c>
      <c r="B1332" s="65">
        <v>359.1718407173492</v>
      </c>
      <c r="C1332" s="65">
        <v>355.68999595018943</v>
      </c>
      <c r="D1332" s="65">
        <v>358.54049132790482</v>
      </c>
      <c r="E1332" s="65">
        <v>4358149.6648336491</v>
      </c>
      <c r="F1332" s="65" t="s">
        <v>1378</v>
      </c>
      <c r="G1332" s="25">
        <f t="shared" si="41"/>
        <v>-4.0736944466346348E-3</v>
      </c>
      <c r="I1332" s="65">
        <v>58.49</v>
      </c>
      <c r="J1332" s="65">
        <v>59.91</v>
      </c>
      <c r="K1332" s="65">
        <v>57.12</v>
      </c>
      <c r="L1332" s="65">
        <v>59.69</v>
      </c>
      <c r="M1332" s="65">
        <v>18048091</v>
      </c>
      <c r="N1332" s="65" t="s">
        <v>1378</v>
      </c>
      <c r="O1332" s="25">
        <f t="shared" si="42"/>
        <v>-2.0103869994973933E-2</v>
      </c>
    </row>
    <row r="1333" spans="1:15" ht="13.5" customHeight="1">
      <c r="A1333" s="65">
        <v>359.71838197985329</v>
      </c>
      <c r="B1333" s="65">
        <v>360.99050388395762</v>
      </c>
      <c r="C1333" s="65">
        <v>358.42741382531773</v>
      </c>
      <c r="D1333" s="65">
        <v>360.54761699882505</v>
      </c>
      <c r="E1333" s="65">
        <v>4187297.6424773317</v>
      </c>
      <c r="F1333" s="65" t="s">
        <v>1379</v>
      </c>
      <c r="G1333" s="25">
        <f t="shared" si="41"/>
        <v>-2.2999320474622609E-3</v>
      </c>
      <c r="I1333" s="65">
        <v>60.44</v>
      </c>
      <c r="J1333" s="65">
        <v>60.63</v>
      </c>
      <c r="K1333" s="65">
        <v>58.12</v>
      </c>
      <c r="L1333" s="65">
        <v>60.47</v>
      </c>
      <c r="M1333" s="65">
        <v>17192899</v>
      </c>
      <c r="N1333" s="65" t="s">
        <v>1379</v>
      </c>
      <c r="O1333" s="25">
        <f t="shared" si="42"/>
        <v>-4.9611377542579937E-4</v>
      </c>
    </row>
    <row r="1334" spans="1:15" ht="13.5" customHeight="1">
      <c r="A1334" s="65">
        <v>361.4993526455994</v>
      </c>
      <c r="B1334" s="65">
        <v>361.98935515680995</v>
      </c>
      <c r="C1334" s="65">
        <v>360.14242261455473</v>
      </c>
      <c r="D1334" s="65">
        <v>361.43150614404715</v>
      </c>
      <c r="E1334" s="65">
        <v>3451571.4538311744</v>
      </c>
      <c r="F1334" s="65" t="s">
        <v>1380</v>
      </c>
      <c r="G1334" s="25">
        <f t="shared" si="41"/>
        <v>1.8771606901690774E-4</v>
      </c>
      <c r="I1334" s="65">
        <v>61.25</v>
      </c>
      <c r="J1334" s="65">
        <v>63.784999999999997</v>
      </c>
      <c r="K1334" s="65">
        <v>60.11</v>
      </c>
      <c r="L1334" s="65">
        <v>63.72</v>
      </c>
      <c r="M1334" s="65">
        <v>19777877</v>
      </c>
      <c r="N1334" s="65" t="s">
        <v>1380</v>
      </c>
      <c r="O1334" s="25">
        <f t="shared" si="42"/>
        <v>-3.8763339610797254E-2</v>
      </c>
    </row>
    <row r="1335" spans="1:15" ht="13.5" customHeight="1">
      <c r="A1335" s="65">
        <v>360.23665386671064</v>
      </c>
      <c r="B1335" s="65">
        <v>360.47223199710032</v>
      </c>
      <c r="C1335" s="65">
        <v>358.34260569837744</v>
      </c>
      <c r="D1335" s="65">
        <v>358.38972132445537</v>
      </c>
      <c r="E1335" s="65">
        <v>3792614.3590749521</v>
      </c>
      <c r="F1335" s="65" t="s">
        <v>1381</v>
      </c>
      <c r="G1335" s="25">
        <f t="shared" si="41"/>
        <v>5.1534193989430932E-3</v>
      </c>
      <c r="I1335" s="65">
        <v>63.89</v>
      </c>
      <c r="J1335" s="65">
        <v>64.77</v>
      </c>
      <c r="K1335" s="65">
        <v>61.61</v>
      </c>
      <c r="L1335" s="65">
        <v>62.51</v>
      </c>
      <c r="M1335" s="65">
        <v>15303265</v>
      </c>
      <c r="N1335" s="65" t="s">
        <v>1381</v>
      </c>
      <c r="O1335" s="25">
        <f t="shared" si="42"/>
        <v>2.2076467765157703E-2</v>
      </c>
    </row>
    <row r="1336" spans="1:15" ht="13.5" customHeight="1">
      <c r="A1336" s="65">
        <v>356.41086502918193</v>
      </c>
      <c r="B1336" s="65">
        <v>358.55933757833594</v>
      </c>
      <c r="C1336" s="65">
        <v>355.91143939275577</v>
      </c>
      <c r="D1336" s="65">
        <v>357.56990943069923</v>
      </c>
      <c r="E1336" s="65">
        <v>3917020.0072203013</v>
      </c>
      <c r="F1336" s="65" t="s">
        <v>1382</v>
      </c>
      <c r="G1336" s="25">
        <f t="shared" si="41"/>
        <v>-3.2414483740050848E-3</v>
      </c>
      <c r="I1336" s="65">
        <v>62.01</v>
      </c>
      <c r="J1336" s="65">
        <v>65.86</v>
      </c>
      <c r="K1336" s="65">
        <v>61.73</v>
      </c>
      <c r="L1336" s="65">
        <v>64.010000000000005</v>
      </c>
      <c r="M1336" s="65">
        <v>20883219</v>
      </c>
      <c r="N1336" s="65" t="s">
        <v>1382</v>
      </c>
      <c r="O1336" s="25">
        <f t="shared" si="42"/>
        <v>-3.1245117950320367E-2</v>
      </c>
    </row>
    <row r="1337" spans="1:15" ht="13.5" customHeight="1">
      <c r="A1337" s="65">
        <v>357.56048630548366</v>
      </c>
      <c r="B1337" s="65">
        <v>358.19183569492805</v>
      </c>
      <c r="C1337" s="65">
        <v>356.11874814749871</v>
      </c>
      <c r="D1337" s="65">
        <v>356.54278878220015</v>
      </c>
      <c r="E1337" s="65">
        <v>3168304.4973882679</v>
      </c>
      <c r="F1337" s="65" t="s">
        <v>1383</v>
      </c>
      <c r="G1337" s="25">
        <f t="shared" si="41"/>
        <v>2.8543489177261794E-3</v>
      </c>
      <c r="I1337" s="65">
        <v>62.44</v>
      </c>
      <c r="J1337" s="65">
        <v>63.64</v>
      </c>
      <c r="K1337" s="65">
        <v>61.46</v>
      </c>
      <c r="L1337" s="65">
        <v>63.48</v>
      </c>
      <c r="M1337" s="65">
        <v>8829211</v>
      </c>
      <c r="N1337" s="65" t="s">
        <v>1383</v>
      </c>
      <c r="O1337" s="25">
        <f t="shared" si="42"/>
        <v>-1.6383112791430343E-2</v>
      </c>
    </row>
    <row r="1338" spans="1:15" ht="13.5" customHeight="1">
      <c r="A1338" s="65">
        <v>356.58990440827813</v>
      </c>
      <c r="B1338" s="65">
        <v>356.80663628823658</v>
      </c>
      <c r="C1338" s="65">
        <v>355.32711139813716</v>
      </c>
      <c r="D1338" s="65">
        <v>355.91143939275577</v>
      </c>
      <c r="E1338" s="65">
        <v>2915730.1183422492</v>
      </c>
      <c r="F1338" s="65" t="s">
        <v>1384</v>
      </c>
      <c r="G1338" s="25">
        <f t="shared" si="41"/>
        <v>1.9062748212868019E-3</v>
      </c>
      <c r="I1338" s="65">
        <v>62.44</v>
      </c>
      <c r="J1338" s="65">
        <v>63.32</v>
      </c>
      <c r="K1338" s="65">
        <v>60.92</v>
      </c>
      <c r="L1338" s="65">
        <v>62.81</v>
      </c>
      <c r="M1338" s="65">
        <v>11311883</v>
      </c>
      <c r="N1338" s="65" t="s">
        <v>1384</v>
      </c>
      <c r="O1338" s="25">
        <f t="shared" si="42"/>
        <v>-5.8907817226556691E-3</v>
      </c>
    </row>
    <row r="1339" spans="1:15" ht="13.5" customHeight="1">
      <c r="A1339" s="65">
        <v>356.42971127961312</v>
      </c>
      <c r="B1339" s="65">
        <v>356.57105815784689</v>
      </c>
      <c r="C1339" s="65">
        <v>353.67815871666141</v>
      </c>
      <c r="D1339" s="65">
        <v>353.76296684360176</v>
      </c>
      <c r="E1339" s="65">
        <v>2788384.8934252593</v>
      </c>
      <c r="F1339" s="65" t="s">
        <v>1385</v>
      </c>
      <c r="G1339" s="25">
        <f t="shared" si="41"/>
        <v>7.5382238559478232E-3</v>
      </c>
      <c r="I1339" s="65">
        <v>63.27</v>
      </c>
      <c r="J1339" s="65">
        <v>64.069999999999993</v>
      </c>
      <c r="K1339" s="65">
        <v>62.15</v>
      </c>
      <c r="L1339" s="65">
        <v>62.68</v>
      </c>
      <c r="M1339" s="65">
        <v>17271031</v>
      </c>
      <c r="N1339" s="65" t="s">
        <v>1385</v>
      </c>
      <c r="O1339" s="25">
        <f t="shared" si="42"/>
        <v>9.4128908742820983E-3</v>
      </c>
    </row>
    <row r="1340" spans="1:15" ht="13.5" customHeight="1">
      <c r="A1340" s="65">
        <v>353.88546747140435</v>
      </c>
      <c r="B1340" s="65">
        <v>353.89489059661997</v>
      </c>
      <c r="C1340" s="65">
        <v>352.48142181428176</v>
      </c>
      <c r="D1340" s="65">
        <v>353.33892620890032</v>
      </c>
      <c r="E1340" s="65">
        <v>4191202.9285855037</v>
      </c>
      <c r="F1340" s="65" t="s">
        <v>1386</v>
      </c>
      <c r="G1340" s="25">
        <f t="shared" si="41"/>
        <v>1.5467904098993568E-3</v>
      </c>
      <c r="I1340" s="65">
        <v>63.2</v>
      </c>
      <c r="J1340" s="65">
        <v>63.21</v>
      </c>
      <c r="K1340" s="65">
        <v>60.53</v>
      </c>
      <c r="L1340" s="65">
        <v>61.04</v>
      </c>
      <c r="M1340" s="65">
        <v>28898742</v>
      </c>
      <c r="N1340" s="65" t="s">
        <v>1386</v>
      </c>
      <c r="O1340" s="25">
        <f t="shared" si="42"/>
        <v>3.5386631716906924E-2</v>
      </c>
    </row>
    <row r="1341" spans="1:15" ht="13.5" customHeight="1">
      <c r="A1341" s="65">
        <v>352.17045868216741</v>
      </c>
      <c r="B1341" s="65">
        <v>352.49998537095649</v>
      </c>
      <c r="C1341" s="65">
        <v>351.218723035393</v>
      </c>
      <c r="D1341" s="65">
        <v>351.61449429444764</v>
      </c>
      <c r="E1341" s="65">
        <v>2938404.1245887713</v>
      </c>
      <c r="F1341" s="65" t="s">
        <v>1387</v>
      </c>
      <c r="G1341" s="25">
        <f t="shared" si="41"/>
        <v>1.5811759661255032E-3</v>
      </c>
      <c r="I1341" s="65">
        <v>60.23</v>
      </c>
      <c r="J1341" s="65">
        <v>61.13</v>
      </c>
      <c r="K1341" s="65">
        <v>56.9</v>
      </c>
      <c r="L1341" s="65">
        <v>57.12</v>
      </c>
      <c r="M1341" s="65">
        <v>38682305</v>
      </c>
      <c r="N1341" s="65" t="s">
        <v>1387</v>
      </c>
      <c r="O1341" s="25">
        <f t="shared" si="42"/>
        <v>5.4446778711484622E-2</v>
      </c>
    </row>
    <row r="1342" spans="1:15" ht="13.5" customHeight="1">
      <c r="A1342" s="65">
        <v>351.72757179703473</v>
      </c>
      <c r="B1342" s="65">
        <v>352.73584619510262</v>
      </c>
      <c r="C1342" s="65">
        <v>351.17160740931507</v>
      </c>
      <c r="D1342" s="65">
        <v>351.52026304229184</v>
      </c>
      <c r="E1342" s="65">
        <v>3802868.9187660567</v>
      </c>
      <c r="F1342" s="65" t="s">
        <v>1388</v>
      </c>
      <c r="G1342" s="25">
        <f t="shared" si="41"/>
        <v>5.8974908856934682E-4</v>
      </c>
      <c r="I1342" s="65">
        <v>56.88</v>
      </c>
      <c r="J1342" s="65">
        <v>58.13</v>
      </c>
      <c r="K1342" s="65">
        <v>55.97</v>
      </c>
      <c r="L1342" s="65">
        <v>56.78</v>
      </c>
      <c r="M1342" s="65">
        <v>27868853</v>
      </c>
      <c r="N1342" s="65" t="s">
        <v>1388</v>
      </c>
      <c r="O1342" s="25">
        <f t="shared" si="42"/>
        <v>1.7611835153223954E-3</v>
      </c>
    </row>
    <row r="1343" spans="1:15" ht="13.5" customHeight="1">
      <c r="A1343" s="65">
        <v>351.9254574265621</v>
      </c>
      <c r="B1343" s="65">
        <v>352.49084493949732</v>
      </c>
      <c r="C1343" s="65">
        <v>349.41890611921571</v>
      </c>
      <c r="D1343" s="65">
        <v>349.49429112094037</v>
      </c>
      <c r="E1343" s="65">
        <v>3994529.3242770024</v>
      </c>
      <c r="F1343" s="65" t="s">
        <v>1389</v>
      </c>
      <c r="G1343" s="25">
        <f t="shared" si="41"/>
        <v>6.9562403947263096E-3</v>
      </c>
      <c r="I1343" s="65">
        <v>54.11</v>
      </c>
      <c r="J1343" s="65">
        <v>55.28</v>
      </c>
      <c r="K1343" s="65">
        <v>52.69</v>
      </c>
      <c r="L1343" s="65">
        <v>55.18</v>
      </c>
      <c r="M1343" s="65">
        <v>12737412</v>
      </c>
      <c r="N1343" s="65" t="s">
        <v>1389</v>
      </c>
      <c r="O1343" s="25">
        <f t="shared" si="42"/>
        <v>-1.9391083725987635E-2</v>
      </c>
    </row>
    <row r="1344" spans="1:15" ht="13.5" customHeight="1">
      <c r="A1344" s="65">
        <v>346.92177793708493</v>
      </c>
      <c r="B1344" s="65">
        <v>347.04427856488758</v>
      </c>
      <c r="C1344" s="65">
        <v>344.91465226616464</v>
      </c>
      <c r="D1344" s="65">
        <v>345.07484539482965</v>
      </c>
      <c r="E1344" s="65">
        <v>5446156.0072560376</v>
      </c>
      <c r="F1344" s="65" t="s">
        <v>1390</v>
      </c>
      <c r="G1344" s="25">
        <f t="shared" ref="G1344:G1407" si="43">A1344/D1344-1</f>
        <v>5.3522665210268272E-3</v>
      </c>
      <c r="I1344" s="65">
        <v>54.49</v>
      </c>
      <c r="J1344" s="65">
        <v>54.72</v>
      </c>
      <c r="K1344" s="65">
        <v>53.35</v>
      </c>
      <c r="L1344" s="65">
        <v>53.69</v>
      </c>
      <c r="M1344" s="65">
        <v>16155755</v>
      </c>
      <c r="N1344" s="65" t="s">
        <v>1390</v>
      </c>
      <c r="O1344" s="25">
        <f t="shared" ref="O1344:O1407" si="44">I1344/L1344-1</f>
        <v>1.4900353883404716E-2</v>
      </c>
    </row>
    <row r="1345" spans="1:15" ht="13.5" customHeight="1">
      <c r="A1345" s="65">
        <v>343.28445160386798</v>
      </c>
      <c r="B1345" s="65">
        <v>344.71676663663732</v>
      </c>
      <c r="C1345" s="65">
        <v>342.42694720924942</v>
      </c>
      <c r="D1345" s="65">
        <v>342.42694720924942</v>
      </c>
      <c r="E1345" s="65">
        <v>7927671.3713221261</v>
      </c>
      <c r="F1345" s="65" t="s">
        <v>1391</v>
      </c>
      <c r="G1345" s="25">
        <f t="shared" si="43"/>
        <v>2.5041965931920096E-3</v>
      </c>
      <c r="I1345" s="65">
        <v>52.29</v>
      </c>
      <c r="J1345" s="65">
        <v>53.294800000000002</v>
      </c>
      <c r="K1345" s="65">
        <v>49.97</v>
      </c>
      <c r="L1345" s="65">
        <v>50.57</v>
      </c>
      <c r="M1345" s="65">
        <v>26444605</v>
      </c>
      <c r="N1345" s="65" t="s">
        <v>1391</v>
      </c>
      <c r="O1345" s="25">
        <f t="shared" si="44"/>
        <v>3.4012260233339919E-2</v>
      </c>
    </row>
    <row r="1346" spans="1:15" ht="13.5" customHeight="1">
      <c r="A1346" s="65">
        <v>341.92752157282331</v>
      </c>
      <c r="B1346" s="65">
        <v>342.5023322109742</v>
      </c>
      <c r="C1346" s="65">
        <v>340.42924466354481</v>
      </c>
      <c r="D1346" s="65">
        <v>341.64482781635564</v>
      </c>
      <c r="E1346" s="65">
        <v>3922443.8977906452</v>
      </c>
      <c r="F1346" s="65" t="s">
        <v>1392</v>
      </c>
      <c r="G1346" s="25">
        <f t="shared" si="43"/>
        <v>8.2744924977951051E-4</v>
      </c>
      <c r="I1346" s="65">
        <v>49.61</v>
      </c>
      <c r="J1346" s="65">
        <v>50.57</v>
      </c>
      <c r="K1346" s="65">
        <v>47.92</v>
      </c>
      <c r="L1346" s="65">
        <v>49.07</v>
      </c>
      <c r="M1346" s="65">
        <v>17599927</v>
      </c>
      <c r="N1346" s="65" t="s">
        <v>1392</v>
      </c>
      <c r="O1346" s="25">
        <f t="shared" si="44"/>
        <v>1.1004687181577211E-2</v>
      </c>
    </row>
    <row r="1347" spans="1:15" ht="13.5" customHeight="1">
      <c r="A1347" s="65">
        <v>342.80387221787299</v>
      </c>
      <c r="B1347" s="65">
        <v>343.64253036206031</v>
      </c>
      <c r="C1347" s="65">
        <v>340.27819196633891</v>
      </c>
      <c r="D1347" s="65">
        <v>341.65425094157126</v>
      </c>
      <c r="E1347" s="65">
        <v>3335762.7412190591</v>
      </c>
      <c r="F1347" s="65" t="s">
        <v>1393</v>
      </c>
      <c r="G1347" s="25">
        <f t="shared" si="43"/>
        <v>3.3648674738671058E-3</v>
      </c>
      <c r="I1347" s="65">
        <v>49.57</v>
      </c>
      <c r="J1347" s="65">
        <v>51.75</v>
      </c>
      <c r="K1347" s="65">
        <v>48.9</v>
      </c>
      <c r="L1347" s="65">
        <v>51.01</v>
      </c>
      <c r="M1347" s="65">
        <v>17896523</v>
      </c>
      <c r="N1347" s="65" t="s">
        <v>1393</v>
      </c>
      <c r="O1347" s="25">
        <f t="shared" si="44"/>
        <v>-2.8229758870809585E-2</v>
      </c>
    </row>
    <row r="1348" spans="1:15" ht="13.5" customHeight="1">
      <c r="A1348" s="65">
        <v>343.01118097261588</v>
      </c>
      <c r="B1348" s="65">
        <v>343.35041348037709</v>
      </c>
      <c r="C1348" s="65">
        <v>338.05461710921668</v>
      </c>
      <c r="D1348" s="65">
        <v>338.63885087258313</v>
      </c>
      <c r="E1348" s="65">
        <v>3526052.0517159402</v>
      </c>
      <c r="F1348" s="65" t="s">
        <v>1394</v>
      </c>
      <c r="G1348" s="25">
        <f t="shared" si="43"/>
        <v>1.2911483985863947E-2</v>
      </c>
      <c r="I1348" s="65">
        <v>51.6</v>
      </c>
      <c r="J1348" s="65">
        <v>51.85</v>
      </c>
      <c r="K1348" s="65">
        <v>49.86</v>
      </c>
      <c r="L1348" s="65">
        <v>51.5</v>
      </c>
      <c r="M1348" s="65">
        <v>15199558</v>
      </c>
      <c r="N1348" s="65" t="s">
        <v>1394</v>
      </c>
      <c r="O1348" s="25">
        <f t="shared" si="44"/>
        <v>1.9417475728156219E-3</v>
      </c>
    </row>
    <row r="1349" spans="1:15" ht="13.5" customHeight="1">
      <c r="A1349" s="65">
        <v>337.50572006540858</v>
      </c>
      <c r="B1349" s="65">
        <v>338.26631220644572</v>
      </c>
      <c r="C1349" s="65">
        <v>332.53839608258573</v>
      </c>
      <c r="D1349" s="65">
        <v>334.36006121050184</v>
      </c>
      <c r="E1349" s="65">
        <v>5843749.2582281828</v>
      </c>
      <c r="F1349" s="65" t="s">
        <v>1395</v>
      </c>
      <c r="G1349" s="25">
        <f t="shared" si="43"/>
        <v>9.4079982026511466E-3</v>
      </c>
      <c r="I1349" s="65">
        <v>51.41</v>
      </c>
      <c r="J1349" s="65">
        <v>51.75</v>
      </c>
      <c r="K1349" s="65">
        <v>48.32</v>
      </c>
      <c r="L1349" s="65">
        <v>49.27</v>
      </c>
      <c r="M1349" s="65">
        <v>21692137</v>
      </c>
      <c r="N1349" s="65" t="s">
        <v>1395</v>
      </c>
      <c r="O1349" s="25">
        <f t="shared" si="44"/>
        <v>4.3434138420945567E-2</v>
      </c>
    </row>
    <row r="1350" spans="1:15" ht="13.5" customHeight="1">
      <c r="A1350" s="65">
        <v>335.61832475246456</v>
      </c>
      <c r="B1350" s="65">
        <v>340.17248757225485</v>
      </c>
      <c r="C1350" s="65">
        <v>335.61832475246456</v>
      </c>
      <c r="D1350" s="65">
        <v>338.70764344877585</v>
      </c>
      <c r="E1350" s="65">
        <v>4365251.8227082938</v>
      </c>
      <c r="F1350" s="65" t="s">
        <v>1396</v>
      </c>
      <c r="G1350" s="25">
        <f t="shared" si="43"/>
        <v>-9.1209004463417287E-3</v>
      </c>
      <c r="I1350" s="65">
        <v>50.51</v>
      </c>
      <c r="J1350" s="65">
        <v>56.36</v>
      </c>
      <c r="K1350" s="65">
        <v>49.51</v>
      </c>
      <c r="L1350" s="65">
        <v>55.7</v>
      </c>
      <c r="M1350" s="65">
        <v>25471886</v>
      </c>
      <c r="N1350" s="65" t="s">
        <v>1396</v>
      </c>
      <c r="O1350" s="25">
        <f t="shared" si="44"/>
        <v>-9.3177737881508182E-2</v>
      </c>
    </row>
    <row r="1351" spans="1:15" ht="13.5" customHeight="1">
      <c r="A1351" s="65">
        <v>337.48694001254347</v>
      </c>
      <c r="B1351" s="65">
        <v>340.80161934323615</v>
      </c>
      <c r="C1351" s="65">
        <v>336.64183763361325</v>
      </c>
      <c r="D1351" s="65">
        <v>339.47762561624558</v>
      </c>
      <c r="E1351" s="65">
        <v>5276453.7305467734</v>
      </c>
      <c r="F1351" s="65" t="s">
        <v>1397</v>
      </c>
      <c r="G1351" s="25">
        <f t="shared" si="43"/>
        <v>-5.8639670290153711E-3</v>
      </c>
      <c r="I1351" s="65">
        <v>55.26</v>
      </c>
      <c r="J1351" s="65">
        <v>58.19</v>
      </c>
      <c r="K1351" s="65">
        <v>55.204999999999998</v>
      </c>
      <c r="L1351" s="65">
        <v>58.1</v>
      </c>
      <c r="M1351" s="65">
        <v>17510715</v>
      </c>
      <c r="N1351" s="65" t="s">
        <v>1397</v>
      </c>
      <c r="O1351" s="25">
        <f t="shared" si="44"/>
        <v>-4.8881239242685059E-2</v>
      </c>
    </row>
    <row r="1352" spans="1:15" ht="13.5" customHeight="1">
      <c r="A1352" s="65">
        <v>339.98468704360369</v>
      </c>
      <c r="B1352" s="65">
        <v>341.32746082345938</v>
      </c>
      <c r="C1352" s="65">
        <v>337.81559093768294</v>
      </c>
      <c r="D1352" s="65">
        <v>337.84376101698064</v>
      </c>
      <c r="E1352" s="65">
        <v>3639656.421147278</v>
      </c>
      <c r="F1352" s="65" t="s">
        <v>1398</v>
      </c>
      <c r="G1352" s="25">
        <f t="shared" si="43"/>
        <v>6.3370299341281022E-3</v>
      </c>
      <c r="I1352" s="65">
        <v>58.16</v>
      </c>
      <c r="J1352" s="65">
        <v>58.69</v>
      </c>
      <c r="K1352" s="65">
        <v>54.600099999999998</v>
      </c>
      <c r="L1352" s="65">
        <v>57.19</v>
      </c>
      <c r="M1352" s="65">
        <v>27575401</v>
      </c>
      <c r="N1352" s="65" t="s">
        <v>1398</v>
      </c>
      <c r="O1352" s="25">
        <f t="shared" si="44"/>
        <v>1.6961007169085551E-2</v>
      </c>
    </row>
    <row r="1353" spans="1:15" ht="13.5" customHeight="1">
      <c r="A1353" s="65">
        <v>337.31791953675742</v>
      </c>
      <c r="B1353" s="65">
        <v>339.13958466467358</v>
      </c>
      <c r="C1353" s="65">
        <v>335.35540401235289</v>
      </c>
      <c r="D1353" s="65">
        <v>337.7123006469248</v>
      </c>
      <c r="E1353" s="65">
        <v>5732415.1733341021</v>
      </c>
      <c r="F1353" s="65" t="s">
        <v>1399</v>
      </c>
      <c r="G1353" s="25">
        <f t="shared" si="43"/>
        <v>-1.167802029751086E-3</v>
      </c>
      <c r="I1353" s="65">
        <v>58.36</v>
      </c>
      <c r="J1353" s="65">
        <v>59.4</v>
      </c>
      <c r="K1353" s="65">
        <v>57.42</v>
      </c>
      <c r="L1353" s="65">
        <v>58.65</v>
      </c>
      <c r="M1353" s="65">
        <v>20748641</v>
      </c>
      <c r="N1353" s="65" t="s">
        <v>1399</v>
      </c>
      <c r="O1353" s="25">
        <f t="shared" si="44"/>
        <v>-4.9445865302643055E-3</v>
      </c>
    </row>
    <row r="1354" spans="1:15" ht="13.5" customHeight="1">
      <c r="A1354" s="65">
        <v>337.91888122844108</v>
      </c>
      <c r="B1354" s="65">
        <v>342.51060415396159</v>
      </c>
      <c r="C1354" s="65">
        <v>337.36486966892016</v>
      </c>
      <c r="D1354" s="65">
        <v>340.60442878815252</v>
      </c>
      <c r="E1354" s="65">
        <v>5403596.0776503542</v>
      </c>
      <c r="F1354" s="65" t="s">
        <v>1400</v>
      </c>
      <c r="G1354" s="25">
        <f t="shared" si="43"/>
        <v>-7.8846524963472886E-3</v>
      </c>
      <c r="I1354" s="65">
        <v>58.49</v>
      </c>
      <c r="J1354" s="65">
        <v>63.23</v>
      </c>
      <c r="K1354" s="65">
        <v>58.22</v>
      </c>
      <c r="L1354" s="65">
        <v>63.17</v>
      </c>
      <c r="M1354" s="65">
        <v>22571182</v>
      </c>
      <c r="N1354" s="65" t="s">
        <v>1400</v>
      </c>
      <c r="O1354" s="25">
        <f t="shared" si="44"/>
        <v>-7.4085800221624143E-2</v>
      </c>
    </row>
    <row r="1355" spans="1:15" ht="13.5" customHeight="1">
      <c r="A1355" s="65">
        <v>342.96132542272437</v>
      </c>
      <c r="B1355" s="65">
        <v>343.72191756376151</v>
      </c>
      <c r="C1355" s="65">
        <v>339.5621358541386</v>
      </c>
      <c r="D1355" s="65">
        <v>340.69832905247802</v>
      </c>
      <c r="E1355" s="65">
        <v>5337103.1870834893</v>
      </c>
      <c r="F1355" s="65" t="s">
        <v>1401</v>
      </c>
      <c r="G1355" s="25">
        <f t="shared" si="43"/>
        <v>6.6422291431249558E-3</v>
      </c>
      <c r="I1355" s="65">
        <v>63.95</v>
      </c>
      <c r="J1355" s="65">
        <v>64.3</v>
      </c>
      <c r="K1355" s="65">
        <v>59.58</v>
      </c>
      <c r="L1355" s="65">
        <v>60.82</v>
      </c>
      <c r="M1355" s="65">
        <v>17473592</v>
      </c>
      <c r="N1355" s="65" t="s">
        <v>1401</v>
      </c>
      <c r="O1355" s="25">
        <f t="shared" si="44"/>
        <v>5.1463334429463936E-2</v>
      </c>
    </row>
    <row r="1356" spans="1:15" ht="13.5" customHeight="1">
      <c r="A1356" s="65">
        <v>341.84391227725007</v>
      </c>
      <c r="B1356" s="65">
        <v>343.46838685008242</v>
      </c>
      <c r="C1356" s="65">
        <v>341.09271016264546</v>
      </c>
      <c r="D1356" s="65">
        <v>342.84864510553371</v>
      </c>
      <c r="E1356" s="65">
        <v>3938643.8649169533</v>
      </c>
      <c r="F1356" s="65" t="s">
        <v>1402</v>
      </c>
      <c r="G1356" s="25">
        <f t="shared" si="43"/>
        <v>-2.9305433829973637E-3</v>
      </c>
      <c r="I1356" s="65">
        <v>62.23</v>
      </c>
      <c r="J1356" s="65">
        <v>65.13</v>
      </c>
      <c r="K1356" s="65">
        <v>60.92</v>
      </c>
      <c r="L1356" s="65">
        <v>64.400000000000006</v>
      </c>
      <c r="M1356" s="65">
        <v>18260210</v>
      </c>
      <c r="N1356" s="65" t="s">
        <v>1402</v>
      </c>
      <c r="O1356" s="25">
        <f t="shared" si="44"/>
        <v>-3.3695652173913127E-2</v>
      </c>
    </row>
    <row r="1357" spans="1:15" ht="13.5" customHeight="1">
      <c r="A1357" s="65">
        <v>342.22890336098487</v>
      </c>
      <c r="B1357" s="65">
        <v>342.50121412752907</v>
      </c>
      <c r="C1357" s="65">
        <v>338.46350276152941</v>
      </c>
      <c r="D1357" s="65">
        <v>340.54808862955713</v>
      </c>
      <c r="E1357" s="65">
        <v>3367691.2655279567</v>
      </c>
      <c r="F1357" s="65" t="s">
        <v>1403</v>
      </c>
      <c r="G1357" s="25">
        <f t="shared" si="43"/>
        <v>4.935616400584486E-3</v>
      </c>
      <c r="I1357" s="65">
        <v>63.74</v>
      </c>
      <c r="J1357" s="65">
        <v>63.97</v>
      </c>
      <c r="K1357" s="65">
        <v>61.39</v>
      </c>
      <c r="L1357" s="65">
        <v>62.494999999999997</v>
      </c>
      <c r="M1357" s="65">
        <v>16843782</v>
      </c>
      <c r="N1357" s="65" t="s">
        <v>1403</v>
      </c>
      <c r="O1357" s="25">
        <f t="shared" si="44"/>
        <v>1.9921593727498355E-2</v>
      </c>
    </row>
    <row r="1358" spans="1:15" ht="13.5" customHeight="1">
      <c r="A1358" s="65">
        <v>340.25699781014788</v>
      </c>
      <c r="B1358" s="65">
        <v>340.34150804804085</v>
      </c>
      <c r="C1358" s="65">
        <v>337.72732468921691</v>
      </c>
      <c r="D1358" s="65">
        <v>338.51045289369222</v>
      </c>
      <c r="E1358" s="65">
        <v>5162217.6303925952</v>
      </c>
      <c r="F1358" s="65" t="s">
        <v>1404</v>
      </c>
      <c r="G1358" s="25">
        <f t="shared" si="43"/>
        <v>5.159500693481256E-3</v>
      </c>
      <c r="I1358" s="65">
        <v>62.69</v>
      </c>
      <c r="J1358" s="65">
        <v>64.36</v>
      </c>
      <c r="K1358" s="65">
        <v>57.086300000000001</v>
      </c>
      <c r="L1358" s="65">
        <v>58.33</v>
      </c>
      <c r="M1358" s="65">
        <v>23441313</v>
      </c>
      <c r="N1358" s="65" t="s">
        <v>1404</v>
      </c>
      <c r="O1358" s="25">
        <f t="shared" si="44"/>
        <v>7.4747128407337549E-2</v>
      </c>
    </row>
    <row r="1359" spans="1:15" ht="13.5" customHeight="1">
      <c r="A1359" s="65">
        <v>339.77810646208746</v>
      </c>
      <c r="B1359" s="65">
        <v>341.57160151070588</v>
      </c>
      <c r="C1359" s="65">
        <v>338.19166149630689</v>
      </c>
      <c r="D1359" s="65">
        <v>338.66069331661311</v>
      </c>
      <c r="E1359" s="65">
        <v>3557730.1341953375</v>
      </c>
      <c r="F1359" s="65" t="s">
        <v>1405</v>
      </c>
      <c r="G1359" s="25">
        <f t="shared" si="43"/>
        <v>3.2995064603782431E-3</v>
      </c>
      <c r="I1359" s="65">
        <v>59.62</v>
      </c>
      <c r="J1359" s="65">
        <v>59.97</v>
      </c>
      <c r="K1359" s="65">
        <v>56.25</v>
      </c>
      <c r="L1359" s="65">
        <v>56.75</v>
      </c>
      <c r="M1359" s="65">
        <v>22780037</v>
      </c>
      <c r="N1359" s="65" t="s">
        <v>1405</v>
      </c>
      <c r="O1359" s="25">
        <f t="shared" si="44"/>
        <v>5.0572687224669455E-2</v>
      </c>
    </row>
    <row r="1360" spans="1:15" ht="13.5" customHeight="1">
      <c r="A1360" s="65">
        <v>336.22867647058075</v>
      </c>
      <c r="B1360" s="65">
        <v>337.89071114914339</v>
      </c>
      <c r="C1360" s="65">
        <v>335.11126332510645</v>
      </c>
      <c r="D1360" s="65">
        <v>336.44464707852961</v>
      </c>
      <c r="E1360" s="65">
        <v>7701157.2352204239</v>
      </c>
      <c r="F1360" s="65" t="s">
        <v>1406</v>
      </c>
      <c r="G1360" s="25">
        <f t="shared" si="43"/>
        <v>-6.4192017862141348E-4</v>
      </c>
      <c r="I1360" s="65">
        <v>55.07</v>
      </c>
      <c r="J1360" s="65">
        <v>58.43</v>
      </c>
      <c r="K1360" s="65">
        <v>55.01</v>
      </c>
      <c r="L1360" s="65">
        <v>57.41</v>
      </c>
      <c r="M1360" s="65">
        <v>19773747</v>
      </c>
      <c r="N1360" s="65" t="s">
        <v>1406</v>
      </c>
      <c r="O1360" s="25">
        <f t="shared" si="44"/>
        <v>-4.0759449573245066E-2</v>
      </c>
    </row>
    <row r="1361" spans="1:15" ht="13.5" customHeight="1">
      <c r="A1361" s="65">
        <v>334.16287065541815</v>
      </c>
      <c r="B1361" s="65">
        <v>336.5948875014505</v>
      </c>
      <c r="C1361" s="65">
        <v>332.62290632047876</v>
      </c>
      <c r="D1361" s="65">
        <v>333.1111876949717</v>
      </c>
      <c r="E1361" s="65">
        <v>6469723.001988899</v>
      </c>
      <c r="F1361" s="65" t="s">
        <v>1407</v>
      </c>
      <c r="G1361" s="25">
        <f t="shared" si="43"/>
        <v>3.1571529245948415E-3</v>
      </c>
      <c r="I1361" s="65">
        <v>56.3</v>
      </c>
      <c r="J1361" s="65">
        <v>57.29</v>
      </c>
      <c r="K1361" s="65">
        <v>54.51</v>
      </c>
      <c r="L1361" s="65">
        <v>55.41</v>
      </c>
      <c r="M1361" s="65">
        <v>20760998</v>
      </c>
      <c r="N1361" s="65" t="s">
        <v>1407</v>
      </c>
      <c r="O1361" s="25">
        <f t="shared" si="44"/>
        <v>1.6062082656560284E-2</v>
      </c>
    </row>
    <row r="1362" spans="1:15" ht="13.5" customHeight="1">
      <c r="A1362" s="65">
        <v>329.55236767703246</v>
      </c>
      <c r="B1362" s="65">
        <v>334.66054205634367</v>
      </c>
      <c r="C1362" s="65">
        <v>329.2706668840558</v>
      </c>
      <c r="D1362" s="65">
        <v>332.05950473452532</v>
      </c>
      <c r="E1362" s="65">
        <v>6031375.9931105655</v>
      </c>
      <c r="F1362" s="65" t="s">
        <v>1408</v>
      </c>
      <c r="G1362" s="25">
        <f t="shared" si="43"/>
        <v>-7.5502644006448794E-3</v>
      </c>
      <c r="I1362" s="65">
        <v>52.89</v>
      </c>
      <c r="J1362" s="65">
        <v>58.57</v>
      </c>
      <c r="K1362" s="65">
        <v>52</v>
      </c>
      <c r="L1362" s="65">
        <v>57.8</v>
      </c>
      <c r="M1362" s="65">
        <v>26807593</v>
      </c>
      <c r="N1362" s="65" t="s">
        <v>1408</v>
      </c>
      <c r="O1362" s="25">
        <f t="shared" si="44"/>
        <v>-8.4948096885813063E-2</v>
      </c>
    </row>
    <row r="1363" spans="1:15" ht="13.5" customHeight="1">
      <c r="A1363" s="65">
        <v>331.17684224986493</v>
      </c>
      <c r="B1363" s="65">
        <v>332.15340499885087</v>
      </c>
      <c r="C1363" s="65">
        <v>321.69291555298196</v>
      </c>
      <c r="D1363" s="65">
        <v>328.43495453155816</v>
      </c>
      <c r="E1363" s="65">
        <v>9287796.006368421</v>
      </c>
      <c r="F1363" s="65" t="s">
        <v>1409</v>
      </c>
      <c r="G1363" s="25">
        <f t="shared" si="43"/>
        <v>8.3483431969579858E-3</v>
      </c>
      <c r="I1363" s="65">
        <v>57.43</v>
      </c>
      <c r="J1363" s="65">
        <v>57.95</v>
      </c>
      <c r="K1363" s="65">
        <v>51.32</v>
      </c>
      <c r="L1363" s="65">
        <v>57.9</v>
      </c>
      <c r="M1363" s="65">
        <v>28930653</v>
      </c>
      <c r="N1363" s="65" t="s">
        <v>1409</v>
      </c>
      <c r="O1363" s="25">
        <f t="shared" si="44"/>
        <v>-8.1174438687391381E-3</v>
      </c>
    </row>
    <row r="1364" spans="1:15" ht="13.5" customHeight="1">
      <c r="A1364" s="65">
        <v>325.21417546519098</v>
      </c>
      <c r="B1364" s="65">
        <v>331.48671312213929</v>
      </c>
      <c r="C1364" s="65">
        <v>321.05908876878436</v>
      </c>
      <c r="D1364" s="65">
        <v>329.11103643470233</v>
      </c>
      <c r="E1364" s="65">
        <v>7033490.318089867</v>
      </c>
      <c r="F1364" s="65" t="s">
        <v>1410</v>
      </c>
      <c r="G1364" s="25">
        <f t="shared" si="43"/>
        <v>-1.1840566064652558E-2</v>
      </c>
      <c r="I1364" s="65">
        <v>57.71</v>
      </c>
      <c r="J1364" s="65">
        <v>61.08</v>
      </c>
      <c r="K1364" s="65">
        <v>55.93</v>
      </c>
      <c r="L1364" s="65">
        <v>60.01</v>
      </c>
      <c r="M1364" s="65">
        <v>25453765</v>
      </c>
      <c r="N1364" s="65" t="s">
        <v>1410</v>
      </c>
      <c r="O1364" s="25">
        <f t="shared" si="44"/>
        <v>-3.8326945509081778E-2</v>
      </c>
    </row>
    <row r="1365" spans="1:15" ht="13.5" customHeight="1">
      <c r="A1365" s="65">
        <v>329.2706668840558</v>
      </c>
      <c r="B1365" s="65">
        <v>333.94690004746928</v>
      </c>
      <c r="C1365" s="65">
        <v>329.17676661973019</v>
      </c>
      <c r="D1365" s="65">
        <v>333.0642375628089</v>
      </c>
      <c r="E1365" s="65">
        <v>6728027.9191710567</v>
      </c>
      <c r="F1365" s="65" t="s">
        <v>1411</v>
      </c>
      <c r="G1365" s="25">
        <f t="shared" si="43"/>
        <v>-1.1389906963631069E-2</v>
      </c>
      <c r="I1365" s="65">
        <v>60.02</v>
      </c>
      <c r="J1365" s="65">
        <v>64.7</v>
      </c>
      <c r="K1365" s="65">
        <v>58.929600000000001</v>
      </c>
      <c r="L1365" s="65">
        <v>64.52</v>
      </c>
      <c r="M1365" s="65">
        <v>22914637</v>
      </c>
      <c r="N1365" s="65" t="s">
        <v>1411</v>
      </c>
      <c r="O1365" s="25">
        <f t="shared" si="44"/>
        <v>-6.9745815251084808E-2</v>
      </c>
    </row>
    <row r="1366" spans="1:15" ht="13.5" customHeight="1">
      <c r="A1366" s="65">
        <v>333.6745892809252</v>
      </c>
      <c r="B1366" s="65">
        <v>336.75451795080397</v>
      </c>
      <c r="C1366" s="65">
        <v>333.49617877870662</v>
      </c>
      <c r="D1366" s="65">
        <v>336.51976728999006</v>
      </c>
      <c r="E1366" s="65">
        <v>5817459.6623710208</v>
      </c>
      <c r="F1366" s="65" t="s">
        <v>1412</v>
      </c>
      <c r="G1366" s="25">
        <f t="shared" si="43"/>
        <v>-8.4547128746023104E-3</v>
      </c>
      <c r="I1366" s="65">
        <v>64.510000000000005</v>
      </c>
      <c r="J1366" s="65">
        <v>68.88</v>
      </c>
      <c r="K1366" s="65">
        <v>64.2</v>
      </c>
      <c r="L1366" s="65">
        <v>67</v>
      </c>
      <c r="M1366" s="65">
        <v>18762167</v>
      </c>
      <c r="N1366" s="65" t="s">
        <v>1412</v>
      </c>
      <c r="O1366" s="25">
        <f t="shared" si="44"/>
        <v>-3.7164179104477557E-2</v>
      </c>
    </row>
    <row r="1367" spans="1:15" ht="13.5" customHeight="1">
      <c r="A1367" s="65">
        <v>336.27562660274356</v>
      </c>
      <c r="B1367" s="65">
        <v>337.4681599596783</v>
      </c>
      <c r="C1367" s="65">
        <v>332.87643703415779</v>
      </c>
      <c r="D1367" s="65">
        <v>332.92338716632059</v>
      </c>
      <c r="E1367" s="65">
        <v>3967243.3584251795</v>
      </c>
      <c r="F1367" s="65" t="s">
        <v>1413</v>
      </c>
      <c r="G1367" s="25">
        <f t="shared" si="43"/>
        <v>1.0069101678183534E-2</v>
      </c>
      <c r="I1367" s="65">
        <v>66.67</v>
      </c>
      <c r="J1367" s="65">
        <v>67.7</v>
      </c>
      <c r="K1367" s="65">
        <v>63.32</v>
      </c>
      <c r="L1367" s="65">
        <v>66.930000000000007</v>
      </c>
      <c r="M1367" s="65">
        <v>22141104</v>
      </c>
      <c r="N1367" s="65" t="s">
        <v>1413</v>
      </c>
      <c r="O1367" s="25">
        <f t="shared" si="44"/>
        <v>-3.8846556103392382E-3</v>
      </c>
    </row>
    <row r="1368" spans="1:15" ht="13.5" customHeight="1">
      <c r="A1368" s="65">
        <v>328.26593405577211</v>
      </c>
      <c r="B1368" s="65">
        <v>332.84620114904499</v>
      </c>
      <c r="C1368" s="65">
        <v>326.50060908645133</v>
      </c>
      <c r="D1368" s="65">
        <v>331.90926431160443</v>
      </c>
      <c r="E1368" s="65">
        <v>8071832.4431124693</v>
      </c>
      <c r="F1368" s="65" t="s">
        <v>1414</v>
      </c>
      <c r="G1368" s="25">
        <f t="shared" si="43"/>
        <v>-1.0976886298695976E-2</v>
      </c>
      <c r="I1368" s="65">
        <v>65.66</v>
      </c>
      <c r="J1368" s="65">
        <v>66.319999999999993</v>
      </c>
      <c r="K1368" s="65">
        <v>62</v>
      </c>
      <c r="L1368" s="65">
        <v>64.86</v>
      </c>
      <c r="M1368" s="65">
        <v>29438356</v>
      </c>
      <c r="N1368" s="65" t="s">
        <v>1414</v>
      </c>
      <c r="O1368" s="25">
        <f t="shared" si="44"/>
        <v>1.2334258402713516E-2</v>
      </c>
    </row>
    <row r="1369" spans="1:15" ht="13.5" customHeight="1">
      <c r="A1369" s="65">
        <v>330.07820915725569</v>
      </c>
      <c r="B1369" s="65">
        <v>338.29448228574336</v>
      </c>
      <c r="C1369" s="65">
        <v>328.72604535096741</v>
      </c>
      <c r="D1369" s="65">
        <v>337.13011900810625</v>
      </c>
      <c r="E1369" s="65">
        <v>7507106.6632558731</v>
      </c>
      <c r="F1369" s="65" t="s">
        <v>1415</v>
      </c>
      <c r="G1369" s="25">
        <f t="shared" si="43"/>
        <v>-2.0917472077542243E-2</v>
      </c>
      <c r="I1369" s="65">
        <v>63.26</v>
      </c>
      <c r="J1369" s="65">
        <v>70.900000000000006</v>
      </c>
      <c r="K1369" s="65">
        <v>62.71</v>
      </c>
      <c r="L1369" s="65">
        <v>69.400000000000006</v>
      </c>
      <c r="M1369" s="65">
        <v>25413627</v>
      </c>
      <c r="N1369" s="65" t="s">
        <v>1415</v>
      </c>
      <c r="O1369" s="25">
        <f t="shared" si="44"/>
        <v>-8.8472622478386276E-2</v>
      </c>
    </row>
    <row r="1370" spans="1:15" ht="13.5" customHeight="1">
      <c r="A1370" s="65">
        <v>338.19119199498527</v>
      </c>
      <c r="B1370" s="65">
        <v>338.58557310515266</v>
      </c>
      <c r="C1370" s="65">
        <v>332.59473624118107</v>
      </c>
      <c r="D1370" s="65">
        <v>333.48678875227398</v>
      </c>
      <c r="E1370" s="65">
        <v>3515666.3548399871</v>
      </c>
      <c r="F1370" s="65" t="s">
        <v>1416</v>
      </c>
      <c r="G1370" s="25">
        <f t="shared" si="43"/>
        <v>1.4106715472335773E-2</v>
      </c>
      <c r="I1370" s="65">
        <v>69.47</v>
      </c>
      <c r="J1370" s="65">
        <v>73.59</v>
      </c>
      <c r="K1370" s="65">
        <v>68.504999999999995</v>
      </c>
      <c r="L1370" s="65">
        <v>70.91</v>
      </c>
      <c r="M1370" s="65">
        <v>40732260</v>
      </c>
      <c r="N1370" s="65" t="s">
        <v>1416</v>
      </c>
      <c r="O1370" s="25">
        <f t="shared" si="44"/>
        <v>-2.0307431956000488E-2</v>
      </c>
    </row>
    <row r="1371" spans="1:15" ht="13.5" customHeight="1">
      <c r="A1371" s="65">
        <v>334.49152158055767</v>
      </c>
      <c r="B1371" s="65">
        <v>335.74978512252034</v>
      </c>
      <c r="C1371" s="65">
        <v>328.20959389717677</v>
      </c>
      <c r="D1371" s="65">
        <v>332.11584489312065</v>
      </c>
      <c r="E1371" s="65">
        <v>5592162.1070132526</v>
      </c>
      <c r="F1371" s="65" t="s">
        <v>1417</v>
      </c>
      <c r="G1371" s="25">
        <f t="shared" si="43"/>
        <v>7.1531567191609469E-3</v>
      </c>
      <c r="I1371" s="65">
        <v>70.45</v>
      </c>
      <c r="J1371" s="65">
        <v>72.95</v>
      </c>
      <c r="K1371" s="65">
        <v>56.83</v>
      </c>
      <c r="L1371" s="65">
        <v>61.05</v>
      </c>
      <c r="M1371" s="65">
        <v>76106349</v>
      </c>
      <c r="N1371" s="65" t="s">
        <v>1417</v>
      </c>
      <c r="O1371" s="25">
        <f t="shared" si="44"/>
        <v>0.15397215397215414</v>
      </c>
    </row>
    <row r="1372" spans="1:15" ht="13.5" customHeight="1">
      <c r="A1372" s="65">
        <v>334.06897039109253</v>
      </c>
      <c r="B1372" s="65">
        <v>336.34135678777142</v>
      </c>
      <c r="C1372" s="65">
        <v>333.87177983600884</v>
      </c>
      <c r="D1372" s="65">
        <v>334.13470057612045</v>
      </c>
      <c r="E1372" s="65">
        <v>3504767.5569787621</v>
      </c>
      <c r="F1372" s="65" t="s">
        <v>1418</v>
      </c>
      <c r="G1372" s="25">
        <f t="shared" si="43"/>
        <v>-1.9671762589934527E-4</v>
      </c>
      <c r="I1372" s="65">
        <v>63.41</v>
      </c>
      <c r="J1372" s="65">
        <v>67.5</v>
      </c>
      <c r="K1372" s="65">
        <v>63.08</v>
      </c>
      <c r="L1372" s="65">
        <v>66.349999999999994</v>
      </c>
      <c r="M1372" s="65">
        <v>22511630</v>
      </c>
      <c r="N1372" s="65" t="s">
        <v>1418</v>
      </c>
      <c r="O1372" s="25">
        <f t="shared" si="44"/>
        <v>-4.4310474755086648E-2</v>
      </c>
    </row>
    <row r="1373" spans="1:15" ht="13.5" customHeight="1">
      <c r="A1373" s="65">
        <v>336.71695784507369</v>
      </c>
      <c r="B1373" s="65">
        <v>338.70764344877585</v>
      </c>
      <c r="C1373" s="65">
        <v>336.29440665560867</v>
      </c>
      <c r="D1373" s="65">
        <v>338.48228281439452</v>
      </c>
      <c r="E1373" s="65">
        <v>2648659.2107735388</v>
      </c>
      <c r="F1373" s="65" t="s">
        <v>1419</v>
      </c>
      <c r="G1373" s="25">
        <f t="shared" si="43"/>
        <v>-5.2154132105308726E-3</v>
      </c>
      <c r="I1373" s="65">
        <v>65.52</v>
      </c>
      <c r="J1373" s="65">
        <v>65.790000000000006</v>
      </c>
      <c r="K1373" s="65">
        <v>63.73</v>
      </c>
      <c r="L1373" s="65">
        <v>63.92</v>
      </c>
      <c r="M1373" s="65">
        <v>24490634</v>
      </c>
      <c r="N1373" s="65" t="s">
        <v>1419</v>
      </c>
      <c r="O1373" s="25">
        <f t="shared" si="44"/>
        <v>2.5031289111389077E-2</v>
      </c>
    </row>
    <row r="1374" spans="1:15" ht="13.5" customHeight="1">
      <c r="A1374" s="65">
        <v>337.33669958962253</v>
      </c>
      <c r="B1374" s="65">
        <v>337.97522138703641</v>
      </c>
      <c r="C1374" s="65">
        <v>334.7450522942367</v>
      </c>
      <c r="D1374" s="65">
        <v>336.38830691993422</v>
      </c>
      <c r="E1374" s="65">
        <v>3213055.9180740365</v>
      </c>
      <c r="F1374" s="65" t="s">
        <v>1420</v>
      </c>
      <c r="G1374" s="25">
        <f t="shared" si="43"/>
        <v>2.8193389906208122E-3</v>
      </c>
      <c r="I1374" s="65">
        <v>62.87</v>
      </c>
      <c r="J1374" s="65">
        <v>64</v>
      </c>
      <c r="K1374" s="65">
        <v>61.4</v>
      </c>
      <c r="L1374" s="65">
        <v>61.98</v>
      </c>
      <c r="M1374" s="65">
        <v>12937375</v>
      </c>
      <c r="N1374" s="65" t="s">
        <v>1420</v>
      </c>
      <c r="O1374" s="25">
        <f t="shared" si="44"/>
        <v>1.4359470797031371E-2</v>
      </c>
    </row>
    <row r="1375" spans="1:15" ht="13.5" customHeight="1">
      <c r="A1375" s="65">
        <v>338.78276366023636</v>
      </c>
      <c r="B1375" s="65">
        <v>338.95178413602241</v>
      </c>
      <c r="C1375" s="65">
        <v>336.08989187990755</v>
      </c>
      <c r="D1375" s="65">
        <v>337.13011900810625</v>
      </c>
      <c r="E1375" s="65">
        <v>3429269.3669479038</v>
      </c>
      <c r="F1375" s="65" t="s">
        <v>1421</v>
      </c>
      <c r="G1375" s="25">
        <f t="shared" si="43"/>
        <v>4.9020973177729132E-3</v>
      </c>
      <c r="I1375" s="65">
        <v>62.72</v>
      </c>
      <c r="J1375" s="65">
        <v>63.22</v>
      </c>
      <c r="K1375" s="65">
        <v>61.07</v>
      </c>
      <c r="L1375" s="65">
        <v>62.030299999999997</v>
      </c>
      <c r="M1375" s="65">
        <v>14343039</v>
      </c>
      <c r="N1375" s="65" t="s">
        <v>1421</v>
      </c>
      <c r="O1375" s="25">
        <f t="shared" si="44"/>
        <v>1.1118759702919423E-2</v>
      </c>
    </row>
    <row r="1376" spans="1:15" ht="13.5" customHeight="1">
      <c r="A1376" s="65">
        <v>338.70764344877585</v>
      </c>
      <c r="B1376" s="65">
        <v>340.26638783658041</v>
      </c>
      <c r="C1376" s="65">
        <v>338.02217151919922</v>
      </c>
      <c r="D1376" s="65">
        <v>340.05980725506413</v>
      </c>
      <c r="E1376" s="65">
        <v>4694823.8449200755</v>
      </c>
      <c r="F1376" s="65" t="s">
        <v>1422</v>
      </c>
      <c r="G1376" s="25">
        <f t="shared" si="43"/>
        <v>-3.9762529338672747E-3</v>
      </c>
      <c r="I1376" s="65">
        <v>62.81</v>
      </c>
      <c r="J1376" s="65">
        <v>64.290000000000006</v>
      </c>
      <c r="K1376" s="65">
        <v>61.18</v>
      </c>
      <c r="L1376" s="65">
        <v>62.28</v>
      </c>
      <c r="M1376" s="65">
        <v>18670989</v>
      </c>
      <c r="N1376" s="65" t="s">
        <v>1422</v>
      </c>
      <c r="O1376" s="25">
        <f t="shared" si="44"/>
        <v>8.5099550417468972E-3</v>
      </c>
    </row>
    <row r="1377" spans="1:15" ht="13.5" customHeight="1">
      <c r="A1377" s="65">
        <v>339.02690434748285</v>
      </c>
      <c r="B1377" s="65">
        <v>339.15836471753863</v>
      </c>
      <c r="C1377" s="65">
        <v>336.50098723712495</v>
      </c>
      <c r="D1377" s="65">
        <v>336.58549747501792</v>
      </c>
      <c r="E1377" s="65">
        <v>2283775.253884946</v>
      </c>
      <c r="F1377" s="65" t="s">
        <v>1423</v>
      </c>
      <c r="G1377" s="25">
        <f t="shared" si="43"/>
        <v>7.253452364346602E-3</v>
      </c>
      <c r="I1377" s="65">
        <v>61.97</v>
      </c>
      <c r="J1377" s="65">
        <v>63.29</v>
      </c>
      <c r="K1377" s="65">
        <v>60.88</v>
      </c>
      <c r="L1377" s="65">
        <v>62.06</v>
      </c>
      <c r="M1377" s="65">
        <v>11618117</v>
      </c>
      <c r="N1377" s="65" t="s">
        <v>1423</v>
      </c>
      <c r="O1377" s="25">
        <f t="shared" si="44"/>
        <v>-1.45020947470198E-3</v>
      </c>
    </row>
    <row r="1378" spans="1:15" ht="13.5" customHeight="1">
      <c r="A1378" s="65">
        <v>337.30852951032489</v>
      </c>
      <c r="B1378" s="65">
        <v>338.13485183638994</v>
      </c>
      <c r="C1378" s="65">
        <v>335.07144961303243</v>
      </c>
      <c r="D1378" s="65">
        <v>337.76864080552014</v>
      </c>
      <c r="E1378" s="65">
        <v>2382527.9045468098</v>
      </c>
      <c r="F1378" s="65" t="s">
        <v>1424</v>
      </c>
      <c r="G1378" s="25">
        <f t="shared" si="43"/>
        <v>-1.3622084456921257E-3</v>
      </c>
      <c r="I1378" s="65">
        <v>62.23</v>
      </c>
      <c r="J1378" s="65">
        <v>65.42</v>
      </c>
      <c r="K1378" s="65">
        <v>61.72</v>
      </c>
      <c r="L1378" s="65">
        <v>63.94</v>
      </c>
      <c r="M1378" s="65">
        <v>16315103</v>
      </c>
      <c r="N1378" s="65" t="s">
        <v>1424</v>
      </c>
      <c r="O1378" s="25">
        <f t="shared" si="44"/>
        <v>-2.6743822333437639E-2</v>
      </c>
    </row>
    <row r="1379" spans="1:15" ht="13.5" customHeight="1">
      <c r="A1379" s="65">
        <v>336.7639079772365</v>
      </c>
      <c r="B1379" s="65">
        <v>338.61374318445036</v>
      </c>
      <c r="C1379" s="65">
        <v>334.56664179201812</v>
      </c>
      <c r="D1379" s="65">
        <v>338.53862297298986</v>
      </c>
      <c r="E1379" s="65">
        <v>2555915.0628997376</v>
      </c>
      <c r="F1379" s="65" t="s">
        <v>1425</v>
      </c>
      <c r="G1379" s="25">
        <f t="shared" si="43"/>
        <v>-5.242282195656478E-3</v>
      </c>
      <c r="I1379" s="65">
        <v>62.6</v>
      </c>
      <c r="J1379" s="65">
        <v>63.78</v>
      </c>
      <c r="K1379" s="65">
        <v>61.05</v>
      </c>
      <c r="L1379" s="65">
        <v>63.43</v>
      </c>
      <c r="M1379" s="65">
        <v>10264579</v>
      </c>
      <c r="N1379" s="65" t="s">
        <v>1425</v>
      </c>
      <c r="O1379" s="25">
        <f t="shared" si="44"/>
        <v>-1.3085290871827193E-2</v>
      </c>
    </row>
    <row r="1380" spans="1:15" ht="13.5" customHeight="1">
      <c r="A1380" s="65">
        <v>336.89536834729228</v>
      </c>
      <c r="B1380" s="65">
        <v>337.41181980108297</v>
      </c>
      <c r="C1380" s="65">
        <v>335.94697567760403</v>
      </c>
      <c r="D1380" s="65">
        <v>336.36952686706917</v>
      </c>
      <c r="E1380" s="65">
        <v>2014094.436883206</v>
      </c>
      <c r="F1380" s="65" t="s">
        <v>1426</v>
      </c>
      <c r="G1380" s="25">
        <f t="shared" si="43"/>
        <v>1.5632851320415142E-3</v>
      </c>
      <c r="I1380" s="65">
        <v>62.8</v>
      </c>
      <c r="J1380" s="65">
        <v>65.319999999999993</v>
      </c>
      <c r="K1380" s="65">
        <v>62.33</v>
      </c>
      <c r="L1380" s="65">
        <v>63.16</v>
      </c>
      <c r="M1380" s="65">
        <v>17318198</v>
      </c>
      <c r="N1380" s="65" t="s">
        <v>1426</v>
      </c>
      <c r="O1380" s="25">
        <f t="shared" si="44"/>
        <v>-5.6998100063331281E-3</v>
      </c>
    </row>
    <row r="1381" spans="1:15" ht="13.5" customHeight="1">
      <c r="A1381" s="65">
        <v>337.16767911383647</v>
      </c>
      <c r="B1381" s="65">
        <v>337.16767911383647</v>
      </c>
      <c r="C1381" s="65">
        <v>335.28028380089245</v>
      </c>
      <c r="D1381" s="65">
        <v>336.08782607409239</v>
      </c>
      <c r="E1381" s="65">
        <v>3590053.791874045</v>
      </c>
      <c r="F1381" s="65" t="s">
        <v>1427</v>
      </c>
      <c r="G1381" s="25">
        <f t="shared" si="43"/>
        <v>3.2130084935180214E-3</v>
      </c>
      <c r="I1381" s="65">
        <v>63.78</v>
      </c>
      <c r="J1381" s="65">
        <v>63.78</v>
      </c>
      <c r="K1381" s="65">
        <v>61.4</v>
      </c>
      <c r="L1381" s="65">
        <v>63.34</v>
      </c>
      <c r="M1381" s="65">
        <v>28520453</v>
      </c>
      <c r="N1381" s="65" t="s">
        <v>1427</v>
      </c>
      <c r="O1381" s="25">
        <f t="shared" si="44"/>
        <v>6.9466371960846818E-3</v>
      </c>
    </row>
    <row r="1382" spans="1:15" ht="13.5" customHeight="1">
      <c r="A1382" s="65">
        <v>334.69810216207389</v>
      </c>
      <c r="B1382" s="65">
        <v>335.34714078909224</v>
      </c>
      <c r="C1382" s="65">
        <v>333.64266319105445</v>
      </c>
      <c r="D1382" s="65">
        <v>335.1300433779715</v>
      </c>
      <c r="E1382" s="65">
        <v>2227635.9017983265</v>
      </c>
      <c r="F1382" s="65" t="s">
        <v>1428</v>
      </c>
      <c r="G1382" s="25">
        <f t="shared" si="43"/>
        <v>-1.288876435976416E-3</v>
      </c>
      <c r="I1382" s="65">
        <v>63.64</v>
      </c>
      <c r="J1382" s="65">
        <v>64.44</v>
      </c>
      <c r="K1382" s="65">
        <v>55.51</v>
      </c>
      <c r="L1382" s="65">
        <v>56.39</v>
      </c>
      <c r="M1382" s="65">
        <v>85645975</v>
      </c>
      <c r="N1382" s="65" t="s">
        <v>1428</v>
      </c>
      <c r="O1382" s="25">
        <f t="shared" si="44"/>
        <v>0.12856889519418346</v>
      </c>
    </row>
    <row r="1383" spans="1:15" ht="13.5" customHeight="1">
      <c r="A1383" s="65">
        <v>333.36471840865073</v>
      </c>
      <c r="B1383" s="65">
        <v>333.3834984615159</v>
      </c>
      <c r="C1383" s="65">
        <v>330.45381021455802</v>
      </c>
      <c r="D1383" s="65">
        <v>330.64161074320913</v>
      </c>
      <c r="E1383" s="65">
        <v>2117504.1564376955</v>
      </c>
      <c r="F1383" s="65" t="s">
        <v>1429</v>
      </c>
      <c r="G1383" s="25">
        <f t="shared" si="43"/>
        <v>8.2358286947630255E-3</v>
      </c>
      <c r="I1383" s="65">
        <v>58.31</v>
      </c>
      <c r="J1383" s="65">
        <v>60.33</v>
      </c>
      <c r="K1383" s="65">
        <v>58.31</v>
      </c>
      <c r="L1383" s="65">
        <v>60.13</v>
      </c>
      <c r="M1383" s="65">
        <v>32019178</v>
      </c>
      <c r="N1383" s="65" t="s">
        <v>1429</v>
      </c>
      <c r="O1383" s="25">
        <f t="shared" si="44"/>
        <v>-3.0267753201396963E-2</v>
      </c>
    </row>
    <row r="1384" spans="1:15" ht="13.5" customHeight="1">
      <c r="A1384" s="65">
        <v>329.67443802065571</v>
      </c>
      <c r="B1384" s="65">
        <v>331.28013254062307</v>
      </c>
      <c r="C1384" s="65">
        <v>328.5382448223163</v>
      </c>
      <c r="D1384" s="65">
        <v>330.24722963304174</v>
      </c>
      <c r="E1384" s="65">
        <v>3613204.9514113879</v>
      </c>
      <c r="F1384" s="65" t="s">
        <v>1430</v>
      </c>
      <c r="G1384" s="25">
        <f t="shared" si="43"/>
        <v>-1.7344327551891414E-3</v>
      </c>
      <c r="I1384" s="65">
        <v>59.26</v>
      </c>
      <c r="J1384" s="65">
        <v>60.52</v>
      </c>
      <c r="K1384" s="65">
        <v>57.900100000000002</v>
      </c>
      <c r="L1384" s="65">
        <v>60.35</v>
      </c>
      <c r="M1384" s="65">
        <v>22390867</v>
      </c>
      <c r="N1384" s="65" t="s">
        <v>1430</v>
      </c>
      <c r="O1384" s="25">
        <f t="shared" si="44"/>
        <v>-1.8061309030654615E-2</v>
      </c>
    </row>
    <row r="1385" spans="1:15" ht="13.5" customHeight="1">
      <c r="A1385" s="65">
        <v>329.34578709551624</v>
      </c>
      <c r="B1385" s="65">
        <v>330.84819132472541</v>
      </c>
      <c r="C1385" s="65">
        <v>327.71192249625125</v>
      </c>
      <c r="D1385" s="65">
        <v>327.75887262841405</v>
      </c>
      <c r="E1385" s="65">
        <v>3147199.8734248006</v>
      </c>
      <c r="F1385" s="65" t="s">
        <v>1431</v>
      </c>
      <c r="G1385" s="25">
        <f t="shared" si="43"/>
        <v>4.8417132216014291E-3</v>
      </c>
      <c r="I1385" s="65">
        <v>58.87</v>
      </c>
      <c r="J1385" s="65">
        <v>59.41</v>
      </c>
      <c r="K1385" s="65">
        <v>56.95</v>
      </c>
      <c r="L1385" s="65">
        <v>57.35</v>
      </c>
      <c r="M1385" s="65">
        <v>18725907</v>
      </c>
      <c r="N1385" s="65" t="s">
        <v>1431</v>
      </c>
      <c r="O1385" s="25">
        <f t="shared" si="44"/>
        <v>2.6503923278116792E-2</v>
      </c>
    </row>
    <row r="1386" spans="1:15" ht="13.5" customHeight="1">
      <c r="A1386" s="65">
        <v>324.67894395853523</v>
      </c>
      <c r="B1386" s="65">
        <v>325.69306681325145</v>
      </c>
      <c r="C1386" s="65">
        <v>320.57550240750766</v>
      </c>
      <c r="D1386" s="65">
        <v>322.66947830196796</v>
      </c>
      <c r="E1386" s="65">
        <v>3550585.3193769911</v>
      </c>
      <c r="F1386" s="65" t="s">
        <v>1432</v>
      </c>
      <c r="G1386" s="25">
        <f t="shared" si="43"/>
        <v>6.2276285539679677E-3</v>
      </c>
      <c r="I1386" s="65">
        <v>56.85</v>
      </c>
      <c r="J1386" s="65">
        <v>56.91</v>
      </c>
      <c r="K1386" s="65">
        <v>52.9</v>
      </c>
      <c r="L1386" s="65">
        <v>54</v>
      </c>
      <c r="M1386" s="65">
        <v>21208787</v>
      </c>
      <c r="N1386" s="65" t="s">
        <v>1432</v>
      </c>
      <c r="O1386" s="25">
        <f t="shared" si="44"/>
        <v>5.2777777777777812E-2</v>
      </c>
    </row>
    <row r="1387" spans="1:15" ht="13.5" customHeight="1">
      <c r="A1387" s="65">
        <v>319.42991918273566</v>
      </c>
      <c r="B1387" s="65">
        <v>325.10149514800031</v>
      </c>
      <c r="C1387" s="65">
        <v>317.91812492709391</v>
      </c>
      <c r="D1387" s="65">
        <v>324.24700274263762</v>
      </c>
      <c r="E1387" s="65">
        <v>6180650.3332913369</v>
      </c>
      <c r="F1387" s="65" t="s">
        <v>1433</v>
      </c>
      <c r="G1387" s="25">
        <f t="shared" si="43"/>
        <v>-1.485621615360122E-2</v>
      </c>
      <c r="I1387" s="65">
        <v>52.94</v>
      </c>
      <c r="J1387" s="65">
        <v>53.31</v>
      </c>
      <c r="K1387" s="65">
        <v>50.76</v>
      </c>
      <c r="L1387" s="65">
        <v>52.6</v>
      </c>
      <c r="M1387" s="65">
        <v>15104844</v>
      </c>
      <c r="N1387" s="65" t="s">
        <v>1433</v>
      </c>
      <c r="O1387" s="25">
        <f t="shared" si="44"/>
        <v>6.4638783269961309E-3</v>
      </c>
    </row>
    <row r="1388" spans="1:15" ht="13.5" customHeight="1">
      <c r="A1388" s="65">
        <v>325.955987553363</v>
      </c>
      <c r="B1388" s="65">
        <v>329.65631526964091</v>
      </c>
      <c r="C1388" s="65">
        <v>324.50053345631665</v>
      </c>
      <c r="D1388" s="65">
        <v>324.86674448718639</v>
      </c>
      <c r="E1388" s="65">
        <v>3655142.0005590497</v>
      </c>
      <c r="F1388" s="65" t="s">
        <v>1434</v>
      </c>
      <c r="G1388" s="25">
        <f t="shared" si="43"/>
        <v>3.3528918692371512E-3</v>
      </c>
      <c r="I1388" s="65">
        <v>53.13</v>
      </c>
      <c r="J1388" s="65">
        <v>54.78</v>
      </c>
      <c r="K1388" s="65">
        <v>50.28</v>
      </c>
      <c r="L1388" s="65">
        <v>50.81</v>
      </c>
      <c r="M1388" s="65">
        <v>25526693</v>
      </c>
      <c r="N1388" s="65" t="s">
        <v>1434</v>
      </c>
      <c r="O1388" s="25">
        <f t="shared" si="44"/>
        <v>4.5660303089942955E-2</v>
      </c>
    </row>
    <row r="1389" spans="1:15" ht="13.5" customHeight="1">
      <c r="A1389" s="65">
        <v>323.24226991435398</v>
      </c>
      <c r="B1389" s="65">
        <v>328.23776397647447</v>
      </c>
      <c r="C1389" s="65">
        <v>321.12951396702857</v>
      </c>
      <c r="D1389" s="65">
        <v>328.21898392360936</v>
      </c>
      <c r="E1389" s="65">
        <v>5335844.4046844309</v>
      </c>
      <c r="F1389" s="65" t="s">
        <v>1435</v>
      </c>
      <c r="G1389" s="25">
        <f t="shared" si="43"/>
        <v>-1.5162785375064325E-2</v>
      </c>
      <c r="I1389" s="65">
        <v>48.95</v>
      </c>
      <c r="J1389" s="65">
        <v>52.15</v>
      </c>
      <c r="K1389" s="65">
        <v>48.14</v>
      </c>
      <c r="L1389" s="65">
        <v>51.76</v>
      </c>
      <c r="M1389" s="65">
        <v>24099059</v>
      </c>
      <c r="N1389" s="65" t="s">
        <v>1435</v>
      </c>
      <c r="O1389" s="25">
        <f t="shared" si="44"/>
        <v>-5.4289026275115781E-2</v>
      </c>
    </row>
    <row r="1390" spans="1:15" ht="13.5" customHeight="1">
      <c r="A1390" s="65">
        <v>331.28013254062307</v>
      </c>
      <c r="B1390" s="65">
        <v>333.01259241742986</v>
      </c>
      <c r="C1390" s="65">
        <v>331.09233201197191</v>
      </c>
      <c r="D1390" s="65">
        <v>332.62290632047876</v>
      </c>
      <c r="E1390" s="65">
        <v>2588111.9903707569</v>
      </c>
      <c r="F1390" s="65" t="s">
        <v>1436</v>
      </c>
      <c r="G1390" s="25">
        <f t="shared" si="43"/>
        <v>-4.0369251616181323E-3</v>
      </c>
      <c r="I1390" s="65">
        <v>53.29</v>
      </c>
      <c r="J1390" s="65">
        <v>54.44</v>
      </c>
      <c r="K1390" s="65">
        <v>52.4</v>
      </c>
      <c r="L1390" s="65">
        <v>54.12</v>
      </c>
      <c r="M1390" s="65">
        <v>13339968</v>
      </c>
      <c r="N1390" s="65" t="s">
        <v>1436</v>
      </c>
      <c r="O1390" s="25">
        <f t="shared" si="44"/>
        <v>-1.5336289726533558E-2</v>
      </c>
    </row>
    <row r="1391" spans="1:15" ht="13.5" customHeight="1">
      <c r="A1391" s="65">
        <v>331.77780394154854</v>
      </c>
      <c r="B1391" s="65">
        <v>332.10776947038863</v>
      </c>
      <c r="C1391" s="65">
        <v>326.74474977369789</v>
      </c>
      <c r="D1391" s="65">
        <v>331.19562230272999</v>
      </c>
      <c r="E1391" s="65">
        <v>3779538.8814826184</v>
      </c>
      <c r="F1391" s="65" t="s">
        <v>1437</v>
      </c>
      <c r="G1391" s="25">
        <f t="shared" si="43"/>
        <v>1.7578180374813179E-3</v>
      </c>
      <c r="I1391" s="65">
        <v>53.65</v>
      </c>
      <c r="J1391" s="65">
        <v>55.3399</v>
      </c>
      <c r="K1391" s="65">
        <v>50.91</v>
      </c>
      <c r="L1391" s="65">
        <v>54.898400000000002</v>
      </c>
      <c r="M1391" s="65">
        <v>14822811</v>
      </c>
      <c r="N1391" s="65" t="s">
        <v>1437</v>
      </c>
      <c r="O1391" s="25">
        <f t="shared" si="44"/>
        <v>-2.2740189149410561E-2</v>
      </c>
    </row>
    <row r="1392" spans="1:15" ht="13.5" customHeight="1">
      <c r="A1392" s="65">
        <v>330.43503016169285</v>
      </c>
      <c r="B1392" s="65">
        <v>331.50549317500446</v>
      </c>
      <c r="C1392" s="65">
        <v>329.58053775633016</v>
      </c>
      <c r="D1392" s="65">
        <v>329.94674878719991</v>
      </c>
      <c r="E1392" s="65">
        <v>1929892.3309915119</v>
      </c>
      <c r="F1392" s="65" t="s">
        <v>1438</v>
      </c>
      <c r="G1392" s="25">
        <f t="shared" si="43"/>
        <v>1.4798793329158233E-3</v>
      </c>
      <c r="I1392" s="65">
        <v>53.57</v>
      </c>
      <c r="J1392" s="65">
        <v>54.43</v>
      </c>
      <c r="K1392" s="65">
        <v>53.15</v>
      </c>
      <c r="L1392" s="65">
        <v>53.9</v>
      </c>
      <c r="M1392" s="65">
        <v>16258705</v>
      </c>
      <c r="N1392" s="65" t="s">
        <v>1438</v>
      </c>
      <c r="O1392" s="25">
        <f t="shared" si="44"/>
        <v>-6.1224489795917991E-3</v>
      </c>
    </row>
    <row r="1393" spans="1:15" ht="13.5" customHeight="1">
      <c r="A1393" s="65">
        <v>331.61817349219513</v>
      </c>
      <c r="B1393" s="65">
        <v>332.25200027639272</v>
      </c>
      <c r="C1393" s="65">
        <v>330.81250922428171</v>
      </c>
      <c r="D1393" s="65">
        <v>331.89987428517179</v>
      </c>
      <c r="E1393" s="65">
        <v>2750324.5262927846</v>
      </c>
      <c r="F1393" s="65" t="s">
        <v>1439</v>
      </c>
      <c r="G1393" s="25">
        <f t="shared" si="43"/>
        <v>-8.4875233406878081E-4</v>
      </c>
      <c r="I1393" s="65">
        <v>54.4</v>
      </c>
      <c r="J1393" s="65">
        <v>54.848199999999999</v>
      </c>
      <c r="K1393" s="65">
        <v>53.01</v>
      </c>
      <c r="L1393" s="65">
        <v>53.96</v>
      </c>
      <c r="M1393" s="65">
        <v>19747398</v>
      </c>
      <c r="N1393" s="65" t="s">
        <v>1439</v>
      </c>
      <c r="O1393" s="25">
        <f t="shared" si="44"/>
        <v>8.1541882876203786E-3</v>
      </c>
    </row>
    <row r="1394" spans="1:15" ht="13.5" customHeight="1">
      <c r="A1394" s="65">
        <v>331.30830261992071</v>
      </c>
      <c r="B1394" s="65">
        <v>332.13462494598576</v>
      </c>
      <c r="C1394" s="65">
        <v>328.62275506020933</v>
      </c>
      <c r="D1394" s="65">
        <v>328.9514059853488</v>
      </c>
      <c r="E1394" s="65">
        <v>3110292.6290747318</v>
      </c>
      <c r="F1394" s="65" t="s">
        <v>1440</v>
      </c>
      <c r="G1394" s="25">
        <f t="shared" si="43"/>
        <v>7.1648778259876256E-3</v>
      </c>
      <c r="I1394" s="65">
        <v>52.2</v>
      </c>
      <c r="J1394" s="65">
        <v>52.23</v>
      </c>
      <c r="K1394" s="65">
        <v>49.95</v>
      </c>
      <c r="L1394" s="65">
        <v>50.61</v>
      </c>
      <c r="M1394" s="65">
        <v>15595052</v>
      </c>
      <c r="N1394" s="65" t="s">
        <v>1440</v>
      </c>
      <c r="O1394" s="25">
        <f t="shared" si="44"/>
        <v>3.1416716064019079E-2</v>
      </c>
    </row>
    <row r="1395" spans="1:15" ht="13.5" customHeight="1">
      <c r="A1395" s="65">
        <v>326.86682011732108</v>
      </c>
      <c r="B1395" s="65">
        <v>327.32411440458662</v>
      </c>
      <c r="C1395" s="65">
        <v>325.23295551805614</v>
      </c>
      <c r="D1395" s="65">
        <v>326.58511932434436</v>
      </c>
      <c r="E1395" s="65">
        <v>3656848.0660440684</v>
      </c>
      <c r="F1395" s="65" t="s">
        <v>1441</v>
      </c>
      <c r="G1395" s="25">
        <f t="shared" si="43"/>
        <v>8.6256469235190814E-4</v>
      </c>
      <c r="I1395" s="65">
        <v>50.39</v>
      </c>
      <c r="J1395" s="65">
        <v>51.49</v>
      </c>
      <c r="K1395" s="65">
        <v>49.12</v>
      </c>
      <c r="L1395" s="65">
        <v>51.34</v>
      </c>
      <c r="M1395" s="65">
        <v>21063908</v>
      </c>
      <c r="N1395" s="65" t="s">
        <v>1441</v>
      </c>
      <c r="O1395" s="25">
        <f t="shared" si="44"/>
        <v>-1.8504090377873039E-2</v>
      </c>
    </row>
    <row r="1396" spans="1:15" ht="13.5" customHeight="1">
      <c r="A1396" s="65">
        <v>324.30334290123295</v>
      </c>
      <c r="B1396" s="65">
        <v>325.89025736833514</v>
      </c>
      <c r="C1396" s="65">
        <v>322.57557803764234</v>
      </c>
      <c r="D1396" s="65">
        <v>325.14844528016306</v>
      </c>
      <c r="E1396" s="65">
        <v>3857441.750580376</v>
      </c>
      <c r="F1396" s="65" t="s">
        <v>1442</v>
      </c>
      <c r="G1396" s="25">
        <f t="shared" si="43"/>
        <v>-2.5991278482108138E-3</v>
      </c>
      <c r="I1396" s="65">
        <v>50.31</v>
      </c>
      <c r="J1396" s="65">
        <v>51.07</v>
      </c>
      <c r="K1396" s="65">
        <v>49.05</v>
      </c>
      <c r="L1396" s="65">
        <v>50.7</v>
      </c>
      <c r="M1396" s="65">
        <v>22625728</v>
      </c>
      <c r="N1396" s="65" t="s">
        <v>1442</v>
      </c>
      <c r="O1396" s="25">
        <f t="shared" si="44"/>
        <v>-7.692307692307665E-3</v>
      </c>
    </row>
    <row r="1397" spans="1:15" ht="13.5" customHeight="1">
      <c r="A1397" s="65">
        <v>326.63206945650717</v>
      </c>
      <c r="B1397" s="65">
        <v>328.94980968085531</v>
      </c>
      <c r="C1397" s="65">
        <v>326.35036866353045</v>
      </c>
      <c r="D1397" s="65">
        <v>328.51007474301866</v>
      </c>
      <c r="E1397" s="65">
        <v>3724635.9476407599</v>
      </c>
      <c r="F1397" s="65" t="s">
        <v>1443</v>
      </c>
      <c r="G1397" s="25">
        <f t="shared" si="43"/>
        <v>-5.716735743890311E-3</v>
      </c>
      <c r="I1397" s="65">
        <v>49.03</v>
      </c>
      <c r="J1397" s="65">
        <v>54.435000000000002</v>
      </c>
      <c r="K1397" s="65">
        <v>48.71</v>
      </c>
      <c r="L1397" s="65">
        <v>53.3</v>
      </c>
      <c r="M1397" s="65">
        <v>31962674</v>
      </c>
      <c r="N1397" s="65" t="s">
        <v>1443</v>
      </c>
      <c r="O1397" s="25">
        <f t="shared" si="44"/>
        <v>-8.0112570356472679E-2</v>
      </c>
    </row>
    <row r="1398" spans="1:15" ht="13.5" customHeight="1">
      <c r="A1398" s="65">
        <v>327.74009257554889</v>
      </c>
      <c r="B1398" s="65">
        <v>328.70726529810236</v>
      </c>
      <c r="C1398" s="65">
        <v>326.13439805558158</v>
      </c>
      <c r="D1398" s="65">
        <v>326.87621014375367</v>
      </c>
      <c r="E1398" s="65">
        <v>3237398.7675475436</v>
      </c>
      <c r="F1398" s="65" t="s">
        <v>1444</v>
      </c>
      <c r="G1398" s="25">
        <f t="shared" si="43"/>
        <v>2.642842779581045E-3</v>
      </c>
      <c r="I1398" s="65">
        <v>53.43</v>
      </c>
      <c r="J1398" s="65">
        <v>57.39</v>
      </c>
      <c r="K1398" s="65">
        <v>53.43</v>
      </c>
      <c r="L1398" s="65">
        <v>56.75</v>
      </c>
      <c r="M1398" s="65">
        <v>14848196</v>
      </c>
      <c r="N1398" s="65" t="s">
        <v>1444</v>
      </c>
      <c r="O1398" s="25">
        <f t="shared" si="44"/>
        <v>-5.8502202643171852E-2</v>
      </c>
    </row>
    <row r="1399" spans="1:15" ht="13.5" customHeight="1">
      <c r="A1399" s="65">
        <v>326.92316027591647</v>
      </c>
      <c r="B1399" s="65">
        <v>327.85277289273961</v>
      </c>
      <c r="C1399" s="65">
        <v>324.86674448718639</v>
      </c>
      <c r="D1399" s="65">
        <v>327.05462064597225</v>
      </c>
      <c r="E1399" s="65">
        <v>2447690.6604128075</v>
      </c>
      <c r="F1399" s="65" t="s">
        <v>1445</v>
      </c>
      <c r="G1399" s="25">
        <f t="shared" si="43"/>
        <v>-4.0195233993678414E-4</v>
      </c>
      <c r="I1399" s="65">
        <v>56.45</v>
      </c>
      <c r="J1399" s="65">
        <v>56.65</v>
      </c>
      <c r="K1399" s="65">
        <v>54.25</v>
      </c>
      <c r="L1399" s="65">
        <v>55.22</v>
      </c>
      <c r="M1399" s="65">
        <v>19234840</v>
      </c>
      <c r="N1399" s="65" t="s">
        <v>1445</v>
      </c>
      <c r="O1399" s="25">
        <f t="shared" si="44"/>
        <v>2.2274538210793171E-2</v>
      </c>
    </row>
    <row r="1400" spans="1:15" ht="13.5" customHeight="1">
      <c r="A1400" s="65">
        <v>326.89499019661878</v>
      </c>
      <c r="B1400" s="65">
        <v>328.48190466372097</v>
      </c>
      <c r="C1400" s="65">
        <v>326.02359574367745</v>
      </c>
      <c r="D1400" s="65">
        <v>326.17195816131186</v>
      </c>
      <c r="E1400" s="65">
        <v>3181948.4444052484</v>
      </c>
      <c r="F1400" s="65" t="s">
        <v>1446</v>
      </c>
      <c r="G1400" s="25">
        <f t="shared" si="43"/>
        <v>2.2167204053431533E-3</v>
      </c>
      <c r="I1400" s="65">
        <v>54.38</v>
      </c>
      <c r="J1400" s="65">
        <v>55.79</v>
      </c>
      <c r="K1400" s="65">
        <v>51.09</v>
      </c>
      <c r="L1400" s="65">
        <v>51.86</v>
      </c>
      <c r="M1400" s="65">
        <v>17815978</v>
      </c>
      <c r="N1400" s="65" t="s">
        <v>1446</v>
      </c>
      <c r="O1400" s="25">
        <f t="shared" si="44"/>
        <v>4.8592364057076898E-2</v>
      </c>
    </row>
    <row r="1401" spans="1:15" ht="13.5" customHeight="1">
      <c r="A1401" s="65">
        <v>329.04530624967441</v>
      </c>
      <c r="B1401" s="65">
        <v>329.23216777568229</v>
      </c>
      <c r="C1401" s="65">
        <v>325.4958762581677</v>
      </c>
      <c r="D1401" s="65">
        <v>328.5382448223163</v>
      </c>
      <c r="E1401" s="65">
        <v>4002610.6710078721</v>
      </c>
      <c r="F1401" s="65" t="s">
        <v>1447</v>
      </c>
      <c r="G1401" s="25">
        <f t="shared" si="43"/>
        <v>1.5433863038756268E-3</v>
      </c>
      <c r="I1401" s="65">
        <v>52.73</v>
      </c>
      <c r="J1401" s="65">
        <v>53.68</v>
      </c>
      <c r="K1401" s="65">
        <v>52.18</v>
      </c>
      <c r="L1401" s="65">
        <v>53.43</v>
      </c>
      <c r="M1401" s="65">
        <v>11944201</v>
      </c>
      <c r="N1401" s="65" t="s">
        <v>1447</v>
      </c>
      <c r="O1401" s="25">
        <f t="shared" si="44"/>
        <v>-1.3101253977166438E-2</v>
      </c>
    </row>
    <row r="1402" spans="1:15" ht="13.5" customHeight="1">
      <c r="A1402" s="65">
        <v>327.20486106889314</v>
      </c>
      <c r="B1402" s="65">
        <v>327.89972302490236</v>
      </c>
      <c r="C1402" s="65">
        <v>324.46297335058642</v>
      </c>
      <c r="D1402" s="65">
        <v>324.65077387923759</v>
      </c>
      <c r="E1402" s="65">
        <v>3875236.1626834841</v>
      </c>
      <c r="F1402" s="65" t="s">
        <v>1448</v>
      </c>
      <c r="G1402" s="25">
        <f t="shared" si="43"/>
        <v>7.8671834326371481E-3</v>
      </c>
      <c r="I1402" s="65">
        <v>52.44</v>
      </c>
      <c r="J1402" s="65">
        <v>53.82</v>
      </c>
      <c r="K1402" s="65">
        <v>50.35</v>
      </c>
      <c r="L1402" s="65">
        <v>50.35</v>
      </c>
      <c r="M1402" s="65">
        <v>20559787</v>
      </c>
      <c r="N1402" s="65" t="s">
        <v>1448</v>
      </c>
      <c r="O1402" s="25">
        <f t="shared" si="44"/>
        <v>4.1509433962264142E-2</v>
      </c>
    </row>
    <row r="1403" spans="1:15" ht="13.5" customHeight="1">
      <c r="A1403" s="65">
        <v>322.38777750899123</v>
      </c>
      <c r="B1403" s="65">
        <v>325.36441588811192</v>
      </c>
      <c r="C1403" s="65">
        <v>318.60359685667066</v>
      </c>
      <c r="D1403" s="65">
        <v>319.06370815186597</v>
      </c>
      <c r="E1403" s="65">
        <v>5117078.2473414056</v>
      </c>
      <c r="F1403" s="65" t="s">
        <v>1449</v>
      </c>
      <c r="G1403" s="25">
        <f t="shared" si="43"/>
        <v>1.0418199476146972E-2</v>
      </c>
      <c r="I1403" s="65">
        <v>49.82</v>
      </c>
      <c r="J1403" s="65">
        <v>51.08</v>
      </c>
      <c r="K1403" s="65">
        <v>48.47</v>
      </c>
      <c r="L1403" s="65">
        <v>49.11</v>
      </c>
      <c r="M1403" s="65">
        <v>15054123</v>
      </c>
      <c r="N1403" s="65" t="s">
        <v>1449</v>
      </c>
      <c r="O1403" s="25">
        <f t="shared" si="44"/>
        <v>1.4457340663815987E-2</v>
      </c>
    </row>
    <row r="1404" spans="1:15" ht="13.5" customHeight="1">
      <c r="A1404" s="65">
        <v>320.44404203745188</v>
      </c>
      <c r="B1404" s="65">
        <v>321.50511502433085</v>
      </c>
      <c r="C1404" s="65">
        <v>317.74910445130791</v>
      </c>
      <c r="D1404" s="65">
        <v>317.75849447774044</v>
      </c>
      <c r="E1404" s="65">
        <v>3514064.6554083591</v>
      </c>
      <c r="F1404" s="65" t="s">
        <v>1450</v>
      </c>
      <c r="G1404" s="25">
        <f t="shared" si="43"/>
        <v>8.4515366430262251E-3</v>
      </c>
      <c r="I1404" s="65">
        <v>50.31</v>
      </c>
      <c r="J1404" s="65">
        <v>50.64</v>
      </c>
      <c r="K1404" s="65">
        <v>49.26</v>
      </c>
      <c r="L1404" s="65">
        <v>49.35</v>
      </c>
      <c r="M1404" s="65">
        <v>8863435</v>
      </c>
      <c r="N1404" s="65" t="s">
        <v>1450</v>
      </c>
      <c r="O1404" s="25">
        <f t="shared" si="44"/>
        <v>1.9452887537994012E-2</v>
      </c>
    </row>
    <row r="1405" spans="1:15" ht="13.5" customHeight="1">
      <c r="A1405" s="65">
        <v>318.35006614299158</v>
      </c>
      <c r="B1405" s="65">
        <v>324.04042216112128</v>
      </c>
      <c r="C1405" s="65">
        <v>314.91331646867559</v>
      </c>
      <c r="D1405" s="65">
        <v>323.97469197609342</v>
      </c>
      <c r="E1405" s="65">
        <v>5753566.3385013668</v>
      </c>
      <c r="F1405" s="65" t="s">
        <v>1451</v>
      </c>
      <c r="G1405" s="25">
        <f t="shared" si="43"/>
        <v>-1.7361312387687677E-2</v>
      </c>
      <c r="I1405" s="65">
        <v>49.59</v>
      </c>
      <c r="J1405" s="65">
        <v>50.7</v>
      </c>
      <c r="K1405" s="65">
        <v>48.098999999999997</v>
      </c>
      <c r="L1405" s="65">
        <v>50.44</v>
      </c>
      <c r="M1405" s="65">
        <v>18844890</v>
      </c>
      <c r="N1405" s="65" t="s">
        <v>1451</v>
      </c>
      <c r="O1405" s="25">
        <f t="shared" si="44"/>
        <v>-1.6851704996034833E-2</v>
      </c>
    </row>
    <row r="1406" spans="1:15" ht="13.5" customHeight="1">
      <c r="A1406" s="65">
        <v>322.72581846056329</v>
      </c>
      <c r="B1406" s="65">
        <v>323.36434025797718</v>
      </c>
      <c r="C1406" s="65">
        <v>320.41587195815418</v>
      </c>
      <c r="D1406" s="65">
        <v>320.96988351767504</v>
      </c>
      <c r="E1406" s="65">
        <v>3735154.5548789185</v>
      </c>
      <c r="F1406" s="65" t="s">
        <v>1452</v>
      </c>
      <c r="G1406" s="25">
        <f t="shared" si="43"/>
        <v>5.4707155813000785E-3</v>
      </c>
      <c r="I1406" s="65">
        <v>50.07</v>
      </c>
      <c r="J1406" s="65">
        <v>50.45</v>
      </c>
      <c r="K1406" s="65">
        <v>49.03</v>
      </c>
      <c r="L1406" s="65">
        <v>49.5</v>
      </c>
      <c r="M1406" s="65">
        <v>15597018</v>
      </c>
      <c r="N1406" s="65" t="s">
        <v>1452</v>
      </c>
      <c r="O1406" s="25">
        <f t="shared" si="44"/>
        <v>1.1515151515151478E-2</v>
      </c>
    </row>
    <row r="1407" spans="1:15" ht="13.5" customHeight="1">
      <c r="A1407" s="65">
        <v>320.9980535969728</v>
      </c>
      <c r="B1407" s="65">
        <v>321.99339639882385</v>
      </c>
      <c r="C1407" s="65">
        <v>320.73043784364484</v>
      </c>
      <c r="D1407" s="65">
        <v>321.40182473357271</v>
      </c>
      <c r="E1407" s="65">
        <v>2139647.8640719</v>
      </c>
      <c r="F1407" s="65" t="s">
        <v>1453</v>
      </c>
      <c r="G1407" s="25">
        <f t="shared" si="43"/>
        <v>-1.2562814070350425E-3</v>
      </c>
      <c r="I1407" s="65">
        <v>49.35</v>
      </c>
      <c r="J1407" s="65">
        <v>51.83</v>
      </c>
      <c r="K1407" s="65">
        <v>49.32</v>
      </c>
      <c r="L1407" s="65">
        <v>51.37</v>
      </c>
      <c r="M1407" s="65">
        <v>17746242</v>
      </c>
      <c r="N1407" s="65" t="s">
        <v>1453</v>
      </c>
      <c r="O1407" s="25">
        <f t="shared" si="44"/>
        <v>-3.9322561806501732E-2</v>
      </c>
    </row>
    <row r="1408" spans="1:15" ht="13.5" customHeight="1">
      <c r="A1408" s="65">
        <v>320.56611238107507</v>
      </c>
      <c r="B1408" s="65">
        <v>322.80093867202373</v>
      </c>
      <c r="C1408" s="65">
        <v>320.07783100658213</v>
      </c>
      <c r="D1408" s="65">
        <v>322.66947830196796</v>
      </c>
      <c r="E1408" s="65">
        <v>2721549.3144293595</v>
      </c>
      <c r="F1408" s="65" t="s">
        <v>1454</v>
      </c>
      <c r="G1408" s="25">
        <f t="shared" ref="G1408:G1446" si="45">A1408/D1408-1</f>
        <v>-6.5186392340600419E-3</v>
      </c>
      <c r="I1408" s="65">
        <v>51.23</v>
      </c>
      <c r="J1408" s="65">
        <v>53.78</v>
      </c>
      <c r="K1408" s="65">
        <v>50.46</v>
      </c>
      <c r="L1408" s="65">
        <v>51.48</v>
      </c>
      <c r="M1408" s="65">
        <v>49966075</v>
      </c>
      <c r="N1408" s="65" t="s">
        <v>1454</v>
      </c>
      <c r="O1408" s="25">
        <f t="shared" ref="O1408:O1446" si="46">I1408/L1408-1</f>
        <v>-4.8562548562548491E-3</v>
      </c>
    </row>
    <row r="1409" spans="1:15" ht="13.5" customHeight="1">
      <c r="A1409" s="65">
        <v>321.24219428421924</v>
      </c>
      <c r="B1409" s="65">
        <v>321.57084520935871</v>
      </c>
      <c r="C1409" s="65">
        <v>320.28441158809835</v>
      </c>
      <c r="D1409" s="65">
        <v>320.8947633062146</v>
      </c>
      <c r="E1409" s="65">
        <v>2980657.2112467885</v>
      </c>
      <c r="F1409" s="65" t="s">
        <v>1455</v>
      </c>
      <c r="G1409" s="25">
        <f t="shared" si="45"/>
        <v>1.0826944460702315E-3</v>
      </c>
      <c r="I1409" s="65">
        <v>48.26</v>
      </c>
      <c r="J1409" s="65">
        <v>50.83</v>
      </c>
      <c r="K1409" s="65">
        <v>47.82</v>
      </c>
      <c r="L1409" s="65">
        <v>50.77</v>
      </c>
      <c r="M1409" s="65">
        <v>13711156</v>
      </c>
      <c r="N1409" s="65" t="s">
        <v>1455</v>
      </c>
      <c r="O1409" s="25">
        <f t="shared" si="46"/>
        <v>-4.9438644869017279E-2</v>
      </c>
    </row>
    <row r="1410" spans="1:15" ht="13.5" customHeight="1">
      <c r="A1410" s="65">
        <v>318.47213648661483</v>
      </c>
      <c r="B1410" s="65">
        <v>318.49091653947994</v>
      </c>
      <c r="C1410" s="65">
        <v>317.16692281248936</v>
      </c>
      <c r="D1410" s="65">
        <v>317.7303243984428</v>
      </c>
      <c r="E1410" s="65">
        <v>1541707.0552438612</v>
      </c>
      <c r="F1410" s="65" t="s">
        <v>1456</v>
      </c>
      <c r="G1410" s="25">
        <f t="shared" si="45"/>
        <v>2.334722345361584E-3</v>
      </c>
      <c r="I1410" s="65">
        <v>50.15</v>
      </c>
      <c r="J1410" s="65">
        <v>51.98</v>
      </c>
      <c r="K1410" s="65">
        <v>49.88</v>
      </c>
      <c r="L1410" s="65">
        <v>51.92</v>
      </c>
      <c r="M1410" s="65">
        <v>9450369</v>
      </c>
      <c r="N1410" s="65" t="s">
        <v>1456</v>
      </c>
      <c r="O1410" s="25">
        <f t="shared" si="46"/>
        <v>-3.4090909090909172E-2</v>
      </c>
    </row>
    <row r="1411" spans="1:15" ht="13.5" customHeight="1">
      <c r="A1411" s="65">
        <v>317.20448291821958</v>
      </c>
      <c r="B1411" s="65">
        <v>319.02614804613569</v>
      </c>
      <c r="C1411" s="65">
        <v>317.09180260102892</v>
      </c>
      <c r="D1411" s="65">
        <v>317.88995484779628</v>
      </c>
      <c r="E1411" s="65">
        <v>3921359.5685237856</v>
      </c>
      <c r="F1411" s="65" t="s">
        <v>1457</v>
      </c>
      <c r="G1411" s="25">
        <f t="shared" si="45"/>
        <v>-2.1563183080286485E-3</v>
      </c>
      <c r="I1411" s="65">
        <v>51.74</v>
      </c>
      <c r="J1411" s="65">
        <v>53.79</v>
      </c>
      <c r="K1411" s="65">
        <v>51.5</v>
      </c>
      <c r="L1411" s="65">
        <v>52.14</v>
      </c>
      <c r="M1411" s="65">
        <v>12929281</v>
      </c>
      <c r="N1411" s="65" t="s">
        <v>1457</v>
      </c>
      <c r="O1411" s="25">
        <f t="shared" si="46"/>
        <v>-7.6716532412735017E-3</v>
      </c>
    </row>
    <row r="1412" spans="1:15" ht="13.5" customHeight="1">
      <c r="A1412" s="65">
        <v>316.95095220454056</v>
      </c>
      <c r="B1412" s="65">
        <v>317.89934487422886</v>
      </c>
      <c r="C1412" s="65">
        <v>315.94621937625692</v>
      </c>
      <c r="D1412" s="65">
        <v>317.82422466276842</v>
      </c>
      <c r="E1412" s="65">
        <v>2536015.2254134328</v>
      </c>
      <c r="F1412" s="65" t="s">
        <v>1458</v>
      </c>
      <c r="G1412" s="25">
        <f t="shared" si="45"/>
        <v>-2.7476585812628018E-3</v>
      </c>
      <c r="I1412" s="65">
        <v>52.09</v>
      </c>
      <c r="J1412" s="65">
        <v>53.305</v>
      </c>
      <c r="K1412" s="65">
        <v>50.8</v>
      </c>
      <c r="L1412" s="65">
        <v>52.59</v>
      </c>
      <c r="M1412" s="65">
        <v>16253269</v>
      </c>
      <c r="N1412" s="65" t="s">
        <v>1458</v>
      </c>
      <c r="O1412" s="25">
        <f t="shared" si="46"/>
        <v>-9.507510933637553E-3</v>
      </c>
    </row>
    <row r="1413" spans="1:15" ht="13.5" customHeight="1">
      <c r="A1413" s="65">
        <v>317.57736086785633</v>
      </c>
      <c r="B1413" s="65">
        <v>318.31615210165478</v>
      </c>
      <c r="C1413" s="65">
        <v>312.45258117011537</v>
      </c>
      <c r="D1413" s="65">
        <v>314.99626744344664</v>
      </c>
      <c r="E1413" s="65">
        <v>4189664.1546298307</v>
      </c>
      <c r="F1413" s="65" t="s">
        <v>1459</v>
      </c>
      <c r="G1413" s="25">
        <f t="shared" si="45"/>
        <v>8.1940444734733831E-3</v>
      </c>
      <c r="I1413" s="65">
        <v>52.36</v>
      </c>
      <c r="J1413" s="65">
        <v>53.24</v>
      </c>
      <c r="K1413" s="65">
        <v>51.86</v>
      </c>
      <c r="L1413" s="65">
        <v>52.38</v>
      </c>
      <c r="M1413" s="65">
        <v>10785219</v>
      </c>
      <c r="N1413" s="65" t="s">
        <v>1459</v>
      </c>
      <c r="O1413" s="25">
        <f t="shared" si="46"/>
        <v>-3.8182512409323799E-4</v>
      </c>
    </row>
    <row r="1414" spans="1:15" ht="13.5" customHeight="1">
      <c r="A1414" s="65">
        <v>318.55929858366437</v>
      </c>
      <c r="B1414" s="65">
        <v>320.29873110881005</v>
      </c>
      <c r="C1414" s="65">
        <v>316.74505175636187</v>
      </c>
      <c r="D1414" s="65">
        <v>320.19586144334443</v>
      </c>
      <c r="E1414" s="65">
        <v>6443313.4588313522</v>
      </c>
      <c r="F1414" s="65" t="s">
        <v>1460</v>
      </c>
      <c r="G1414" s="25">
        <f t="shared" si="45"/>
        <v>-5.1111305820847885E-3</v>
      </c>
      <c r="I1414" s="65">
        <v>52.99</v>
      </c>
      <c r="J1414" s="65">
        <v>54.29</v>
      </c>
      <c r="K1414" s="65">
        <v>52.42</v>
      </c>
      <c r="L1414" s="65">
        <v>53.56</v>
      </c>
      <c r="M1414" s="65">
        <v>24450166</v>
      </c>
      <c r="N1414" s="65" t="s">
        <v>1460</v>
      </c>
      <c r="O1414" s="25">
        <f t="shared" si="46"/>
        <v>-1.0642270351008176E-2</v>
      </c>
    </row>
    <row r="1415" spans="1:15" ht="13.5" customHeight="1">
      <c r="A1415" s="65">
        <v>319.8404935080996</v>
      </c>
      <c r="B1415" s="65">
        <v>320.06493641457001</v>
      </c>
      <c r="C1415" s="65">
        <v>318.85855579229155</v>
      </c>
      <c r="D1415" s="65">
        <v>319.61605060162918</v>
      </c>
      <c r="E1415" s="65">
        <v>2809083.2092442587</v>
      </c>
      <c r="F1415" s="65" t="s">
        <v>1461</v>
      </c>
      <c r="G1415" s="25">
        <f t="shared" si="45"/>
        <v>7.0222664364916199E-4</v>
      </c>
      <c r="I1415" s="65">
        <v>53.25</v>
      </c>
      <c r="J1415" s="65">
        <v>54.71</v>
      </c>
      <c r="K1415" s="65">
        <v>51.9</v>
      </c>
      <c r="L1415" s="65">
        <v>52.56</v>
      </c>
      <c r="M1415" s="65">
        <v>25356112</v>
      </c>
      <c r="N1415" s="65" t="s">
        <v>1461</v>
      </c>
      <c r="O1415" s="25">
        <f t="shared" si="46"/>
        <v>1.3127853881278462E-2</v>
      </c>
    </row>
    <row r="1416" spans="1:15" ht="13.5" customHeight="1">
      <c r="A1416" s="65">
        <v>318.1104127707236</v>
      </c>
      <c r="B1416" s="65">
        <v>318.93337009444838</v>
      </c>
      <c r="C1416" s="65">
        <v>316.98819823837152</v>
      </c>
      <c r="D1416" s="65">
        <v>317.80180377432674</v>
      </c>
      <c r="E1416" s="65">
        <v>3147156.535745244</v>
      </c>
      <c r="F1416" s="65" t="s">
        <v>1462</v>
      </c>
      <c r="G1416" s="25">
        <f t="shared" si="45"/>
        <v>9.7107377218041968E-4</v>
      </c>
      <c r="I1416" s="65">
        <v>51.65</v>
      </c>
      <c r="J1416" s="65">
        <v>52.52</v>
      </c>
      <c r="K1416" s="65">
        <v>50.29</v>
      </c>
      <c r="L1416" s="65">
        <v>52.11</v>
      </c>
      <c r="M1416" s="65">
        <v>27167733</v>
      </c>
      <c r="N1416" s="65" t="s">
        <v>1462</v>
      </c>
      <c r="O1416" s="25">
        <f t="shared" si="46"/>
        <v>-8.8274803300709692E-3</v>
      </c>
    </row>
    <row r="1417" spans="1:15" ht="13.5" customHeight="1">
      <c r="A1417" s="65">
        <v>317.6241198067043</v>
      </c>
      <c r="B1417" s="65">
        <v>317.6241198067043</v>
      </c>
      <c r="C1417" s="65">
        <v>314.44451196504025</v>
      </c>
      <c r="D1417" s="65">
        <v>315.75376225278427</v>
      </c>
      <c r="E1417" s="65">
        <v>2954088.6385171646</v>
      </c>
      <c r="F1417" s="65" t="s">
        <v>1463</v>
      </c>
      <c r="G1417" s="25">
        <f t="shared" si="45"/>
        <v>5.9234687833193966E-3</v>
      </c>
      <c r="I1417" s="65">
        <v>51.35</v>
      </c>
      <c r="J1417" s="65">
        <v>52.654499999999999</v>
      </c>
      <c r="K1417" s="65">
        <v>51.13</v>
      </c>
      <c r="L1417" s="65">
        <v>51.79</v>
      </c>
      <c r="M1417" s="65">
        <v>14553256</v>
      </c>
      <c r="N1417" s="65" t="s">
        <v>1463</v>
      </c>
      <c r="O1417" s="25">
        <f t="shared" si="46"/>
        <v>-8.4958486194245397E-3</v>
      </c>
    </row>
    <row r="1418" spans="1:15" ht="13.5" customHeight="1">
      <c r="A1418" s="65">
        <v>313.29424206937938</v>
      </c>
      <c r="B1418" s="65">
        <v>317.76439662324839</v>
      </c>
      <c r="C1418" s="65">
        <v>313.1820206161442</v>
      </c>
      <c r="D1418" s="65">
        <v>316.80116248297952</v>
      </c>
      <c r="E1418" s="65">
        <v>2838637.9860216421</v>
      </c>
      <c r="F1418" s="65" t="s">
        <v>1464</v>
      </c>
      <c r="G1418" s="25">
        <f t="shared" si="45"/>
        <v>-1.1069783917817988E-2</v>
      </c>
      <c r="I1418" s="65">
        <v>51.6</v>
      </c>
      <c r="J1418" s="65">
        <v>53.73</v>
      </c>
      <c r="K1418" s="65">
        <v>51.277500000000003</v>
      </c>
      <c r="L1418" s="65">
        <v>53.68</v>
      </c>
      <c r="M1418" s="65">
        <v>18931196</v>
      </c>
      <c r="N1418" s="65" t="s">
        <v>1464</v>
      </c>
      <c r="O1418" s="25">
        <f t="shared" si="46"/>
        <v>-3.8748137108792768E-2</v>
      </c>
    </row>
    <row r="1419" spans="1:15" ht="13.5" customHeight="1">
      <c r="A1419" s="65">
        <v>314.73441738589787</v>
      </c>
      <c r="B1419" s="65">
        <v>314.96821208013785</v>
      </c>
      <c r="C1419" s="65">
        <v>312.13462038594895</v>
      </c>
      <c r="D1419" s="65">
        <v>313.57479570246744</v>
      </c>
      <c r="E1419" s="65">
        <v>2553403.7542664008</v>
      </c>
      <c r="F1419" s="65" t="s">
        <v>1465</v>
      </c>
      <c r="G1419" s="25">
        <f t="shared" si="45"/>
        <v>3.6980704422773236E-3</v>
      </c>
      <c r="I1419" s="65">
        <v>53.33</v>
      </c>
      <c r="J1419" s="65">
        <v>53.85</v>
      </c>
      <c r="K1419" s="65">
        <v>51.88</v>
      </c>
      <c r="L1419" s="65">
        <v>52.88</v>
      </c>
      <c r="M1419" s="65">
        <v>26837740</v>
      </c>
      <c r="N1419" s="65" t="s">
        <v>1465</v>
      </c>
      <c r="O1419" s="25">
        <f t="shared" si="46"/>
        <v>8.5098335854765228E-3</v>
      </c>
    </row>
    <row r="1420" spans="1:15" ht="13.5" customHeight="1">
      <c r="A1420" s="65">
        <v>315.13654425999067</v>
      </c>
      <c r="B1420" s="65">
        <v>316.09033309461222</v>
      </c>
      <c r="C1420" s="65">
        <v>313.13713203485008</v>
      </c>
      <c r="D1420" s="65">
        <v>313.97692257656024</v>
      </c>
      <c r="E1420" s="65">
        <v>2928380.1851258753</v>
      </c>
      <c r="F1420" s="65" t="s">
        <v>1466</v>
      </c>
      <c r="G1420" s="25">
        <f t="shared" si="45"/>
        <v>3.6933341275986464E-3</v>
      </c>
      <c r="I1420" s="65">
        <v>53.15</v>
      </c>
      <c r="J1420" s="65">
        <v>53.265000000000001</v>
      </c>
      <c r="K1420" s="65">
        <v>48.6</v>
      </c>
      <c r="L1420" s="65">
        <v>48.85</v>
      </c>
      <c r="M1420" s="65">
        <v>31519725</v>
      </c>
      <c r="N1420" s="65" t="s">
        <v>1466</v>
      </c>
      <c r="O1420" s="25">
        <f t="shared" si="46"/>
        <v>8.8024564994882315E-2</v>
      </c>
    </row>
    <row r="1421" spans="1:15" ht="13.5" customHeight="1">
      <c r="A1421" s="65">
        <v>315.28617286430426</v>
      </c>
      <c r="B1421" s="65">
        <v>318.83321244743598</v>
      </c>
      <c r="C1421" s="65">
        <v>314.46321554057943</v>
      </c>
      <c r="D1421" s="65">
        <v>318.6995754002084</v>
      </c>
      <c r="E1421" s="65">
        <v>2722247.4062933214</v>
      </c>
      <c r="F1421" s="65" t="s">
        <v>1467</v>
      </c>
      <c r="G1421" s="25">
        <f t="shared" si="45"/>
        <v>-1.0710408169253949E-2</v>
      </c>
      <c r="I1421" s="65">
        <v>49.15</v>
      </c>
      <c r="J1421" s="65">
        <v>50.976999999999997</v>
      </c>
      <c r="K1421" s="65">
        <v>48.46</v>
      </c>
      <c r="L1421" s="65">
        <v>50</v>
      </c>
      <c r="M1421" s="65">
        <v>18354711</v>
      </c>
      <c r="N1421" s="65" t="s">
        <v>1467</v>
      </c>
      <c r="O1421" s="25">
        <f t="shared" si="46"/>
        <v>-1.7000000000000015E-2</v>
      </c>
    </row>
    <row r="1422" spans="1:15" ht="13.5" customHeight="1">
      <c r="A1422" s="65">
        <v>318.1104127707236</v>
      </c>
      <c r="B1422" s="65">
        <v>318.61540931028196</v>
      </c>
      <c r="C1422" s="65">
        <v>315.95014979594589</v>
      </c>
      <c r="D1422" s="65">
        <v>315.9875569470243</v>
      </c>
      <c r="E1422" s="65">
        <v>2083231.6215867978</v>
      </c>
      <c r="F1422" s="65" t="s">
        <v>1468</v>
      </c>
      <c r="G1422" s="25">
        <f t="shared" si="45"/>
        <v>6.7181627156767121E-3</v>
      </c>
      <c r="I1422" s="65">
        <v>50</v>
      </c>
      <c r="J1422" s="65">
        <v>50.43</v>
      </c>
      <c r="K1422" s="65">
        <v>49.18</v>
      </c>
      <c r="L1422" s="65">
        <v>49.33</v>
      </c>
      <c r="M1422" s="65">
        <v>12446520</v>
      </c>
      <c r="N1422" s="65" t="s">
        <v>1468</v>
      </c>
      <c r="O1422" s="25">
        <f t="shared" si="46"/>
        <v>1.3581998783701588E-2</v>
      </c>
    </row>
    <row r="1423" spans="1:15" ht="13.5" customHeight="1">
      <c r="A1423" s="65">
        <v>317.19393756930276</v>
      </c>
      <c r="B1423" s="65">
        <v>317.61476801893474</v>
      </c>
      <c r="C1423" s="65">
        <v>316.00626052256354</v>
      </c>
      <c r="D1423" s="65">
        <v>317.09106790383714</v>
      </c>
      <c r="E1423" s="65">
        <v>2077764.2177855473</v>
      </c>
      <c r="F1423" s="65" t="s">
        <v>1469</v>
      </c>
      <c r="G1423" s="25">
        <f t="shared" si="45"/>
        <v>3.2441678709416166E-4</v>
      </c>
      <c r="I1423" s="65">
        <v>49.45</v>
      </c>
      <c r="J1423" s="65">
        <v>49.65</v>
      </c>
      <c r="K1423" s="65">
        <v>47.8</v>
      </c>
      <c r="L1423" s="65">
        <v>48</v>
      </c>
      <c r="M1423" s="65">
        <v>18759954</v>
      </c>
      <c r="N1423" s="65" t="s">
        <v>1469</v>
      </c>
      <c r="O1423" s="25">
        <f t="shared" si="46"/>
        <v>3.0208333333333393E-2</v>
      </c>
    </row>
    <row r="1424" spans="1:15" ht="13.5" customHeight="1">
      <c r="A1424" s="65">
        <v>317.78310019878757</v>
      </c>
      <c r="B1424" s="65">
        <v>317.8111555620963</v>
      </c>
      <c r="C1424" s="65">
        <v>315.57607828516188</v>
      </c>
      <c r="D1424" s="65">
        <v>315.62704552850619</v>
      </c>
      <c r="E1424" s="65">
        <v>3108801.3026243658</v>
      </c>
      <c r="F1424" s="65" t="s">
        <v>1470</v>
      </c>
      <c r="G1424" s="25">
        <f t="shared" si="45"/>
        <v>6.831020030844126E-3</v>
      </c>
      <c r="I1424" s="65">
        <v>48.1</v>
      </c>
      <c r="J1424" s="65">
        <v>48.6</v>
      </c>
      <c r="K1424" s="65">
        <v>47.4</v>
      </c>
      <c r="L1424" s="65">
        <v>47.99</v>
      </c>
      <c r="M1424" s="65">
        <v>13089388</v>
      </c>
      <c r="N1424" s="65" t="s">
        <v>1470</v>
      </c>
      <c r="O1424" s="25">
        <f t="shared" si="46"/>
        <v>2.2921441967076461E-3</v>
      </c>
    </row>
    <row r="1425" spans="1:15" ht="13.5" customHeight="1">
      <c r="A1425" s="65">
        <v>315.07108174560346</v>
      </c>
      <c r="B1425" s="65">
        <v>316.37098024557793</v>
      </c>
      <c r="C1425" s="65">
        <v>314.1078476053346</v>
      </c>
      <c r="D1425" s="65">
        <v>315.07108174560346</v>
      </c>
      <c r="E1425" s="65">
        <v>3048706.9106379636</v>
      </c>
      <c r="F1425" s="65" t="s">
        <v>1471</v>
      </c>
      <c r="G1425" s="25">
        <f t="shared" si="45"/>
        <v>0</v>
      </c>
      <c r="I1425" s="65">
        <v>47.95</v>
      </c>
      <c r="J1425" s="65">
        <v>48.6</v>
      </c>
      <c r="K1425" s="65">
        <v>46.221899999999998</v>
      </c>
      <c r="L1425" s="65">
        <v>47.05</v>
      </c>
      <c r="M1425" s="65">
        <v>21367555</v>
      </c>
      <c r="N1425" s="65" t="s">
        <v>1471</v>
      </c>
      <c r="O1425" s="25">
        <f t="shared" si="46"/>
        <v>1.9128586609989506E-2</v>
      </c>
    </row>
    <row r="1426" spans="1:15" ht="13.5" customHeight="1">
      <c r="A1426" s="65">
        <v>315.16459962329947</v>
      </c>
      <c r="B1426" s="65">
        <v>315.25811750099547</v>
      </c>
      <c r="C1426" s="65">
        <v>312.95757770967379</v>
      </c>
      <c r="D1426" s="65">
        <v>313.49062961254106</v>
      </c>
      <c r="E1426" s="65">
        <v>2427702.6552935098</v>
      </c>
      <c r="F1426" s="65" t="s">
        <v>1472</v>
      </c>
      <c r="G1426" s="25">
        <f t="shared" si="45"/>
        <v>5.3397768629555031E-3</v>
      </c>
      <c r="I1426" s="65">
        <v>47.49</v>
      </c>
      <c r="J1426" s="65">
        <v>47.5</v>
      </c>
      <c r="K1426" s="65">
        <v>43.53</v>
      </c>
      <c r="L1426" s="65">
        <v>44.43</v>
      </c>
      <c r="M1426" s="65">
        <v>24355687</v>
      </c>
      <c r="N1426" s="65" t="s">
        <v>1472</v>
      </c>
      <c r="O1426" s="25">
        <f t="shared" si="46"/>
        <v>6.8872383524645642E-2</v>
      </c>
    </row>
    <row r="1427" spans="1:15" ht="13.5" customHeight="1">
      <c r="A1427" s="65">
        <v>314.50062269165784</v>
      </c>
      <c r="B1427" s="65">
        <v>315.90339085709792</v>
      </c>
      <c r="C1427" s="65">
        <v>313.584147490237</v>
      </c>
      <c r="D1427" s="65">
        <v>314.14525475641307</v>
      </c>
      <c r="E1427" s="65">
        <v>3461525.3037744672</v>
      </c>
      <c r="F1427" s="65" t="s">
        <v>1473</v>
      </c>
      <c r="G1427" s="25">
        <f t="shared" si="45"/>
        <v>1.1312217194567875E-3</v>
      </c>
      <c r="I1427" s="65">
        <v>44.5</v>
      </c>
      <c r="J1427" s="65">
        <v>45.2</v>
      </c>
      <c r="K1427" s="65">
        <v>43.38</v>
      </c>
      <c r="L1427" s="65">
        <v>44.9</v>
      </c>
      <c r="M1427" s="65">
        <v>17089787</v>
      </c>
      <c r="N1427" s="65" t="s">
        <v>1473</v>
      </c>
      <c r="O1427" s="25">
        <f t="shared" si="46"/>
        <v>-8.9086859688195519E-3</v>
      </c>
    </row>
    <row r="1428" spans="1:15" ht="13.5" customHeight="1">
      <c r="A1428" s="65">
        <v>311.07786836798414</v>
      </c>
      <c r="B1428" s="65">
        <v>312.00369535717454</v>
      </c>
      <c r="C1428" s="65">
        <v>308.6464035478881</v>
      </c>
      <c r="D1428" s="65">
        <v>311.78860423847374</v>
      </c>
      <c r="E1428" s="65">
        <v>4465143.032409166</v>
      </c>
      <c r="F1428" s="65" t="s">
        <v>1474</v>
      </c>
      <c r="G1428" s="25">
        <f t="shared" si="45"/>
        <v>-2.2795440911816955E-3</v>
      </c>
      <c r="I1428" s="65">
        <v>44.42</v>
      </c>
      <c r="J1428" s="65">
        <v>46.25</v>
      </c>
      <c r="K1428" s="65">
        <v>43.26</v>
      </c>
      <c r="L1428" s="65">
        <v>46.02</v>
      </c>
      <c r="M1428" s="65">
        <v>18893279</v>
      </c>
      <c r="N1428" s="65" t="s">
        <v>1474</v>
      </c>
      <c r="O1428" s="25">
        <f t="shared" si="46"/>
        <v>-3.4767492394611077E-2</v>
      </c>
    </row>
    <row r="1429" spans="1:15" ht="13.5" customHeight="1">
      <c r="A1429" s="65">
        <v>312.48063653342416</v>
      </c>
      <c r="B1429" s="65">
        <v>312.92017055859543</v>
      </c>
      <c r="C1429" s="65">
        <v>311.58286490754256</v>
      </c>
      <c r="D1429" s="65">
        <v>312.61623745608341</v>
      </c>
      <c r="E1429" s="65">
        <v>1052964.443013753</v>
      </c>
      <c r="F1429" s="65" t="s">
        <v>1475</v>
      </c>
      <c r="G1429" s="25">
        <f t="shared" si="45"/>
        <v>-4.3376161060193485E-4</v>
      </c>
      <c r="I1429" s="65">
        <v>46.03</v>
      </c>
      <c r="J1429" s="65">
        <v>46.34</v>
      </c>
      <c r="K1429" s="65">
        <v>45.17</v>
      </c>
      <c r="L1429" s="65">
        <v>45.82</v>
      </c>
      <c r="M1429" s="65">
        <v>7690656</v>
      </c>
      <c r="N1429" s="65" t="s">
        <v>1475</v>
      </c>
      <c r="O1429" s="25">
        <f t="shared" si="46"/>
        <v>4.5831514622436398E-3</v>
      </c>
    </row>
    <row r="1430" spans="1:15" ht="13.5" customHeight="1">
      <c r="A1430" s="65">
        <v>311.59221669531217</v>
      </c>
      <c r="B1430" s="65">
        <v>312.041102508253</v>
      </c>
      <c r="C1430" s="65">
        <v>310.61963076727369</v>
      </c>
      <c r="D1430" s="65">
        <v>312.041102508253</v>
      </c>
      <c r="E1430" s="65">
        <v>2413292.5763524477</v>
      </c>
      <c r="F1430" s="65" t="s">
        <v>1476</v>
      </c>
      <c r="G1430" s="25">
        <f t="shared" si="45"/>
        <v>-1.4385470674619372E-3</v>
      </c>
      <c r="I1430" s="65">
        <v>45.56</v>
      </c>
      <c r="J1430" s="65">
        <v>45.69</v>
      </c>
      <c r="K1430" s="65">
        <v>43.7</v>
      </c>
      <c r="L1430" s="65">
        <v>44.12</v>
      </c>
      <c r="M1430" s="65">
        <v>17817623</v>
      </c>
      <c r="N1430" s="65" t="s">
        <v>1476</v>
      </c>
      <c r="O1430" s="25">
        <f t="shared" si="46"/>
        <v>3.2638259292837812E-2</v>
      </c>
    </row>
    <row r="1431" spans="1:15" ht="13.5" customHeight="1">
      <c r="A1431" s="65">
        <v>312.10656502264015</v>
      </c>
      <c r="B1431" s="65">
        <v>312.58350619888978</v>
      </c>
      <c r="C1431" s="65">
        <v>308.70251427450569</v>
      </c>
      <c r="D1431" s="65">
        <v>309.56287874930888</v>
      </c>
      <c r="E1431" s="65">
        <v>2844088.2807947644</v>
      </c>
      <c r="F1431" s="65" t="s">
        <v>1477</v>
      </c>
      <c r="G1431" s="25">
        <f t="shared" si="45"/>
        <v>8.2170261615612805E-3</v>
      </c>
      <c r="I1431" s="65">
        <v>44.29</v>
      </c>
      <c r="J1431" s="65">
        <v>45.69</v>
      </c>
      <c r="K1431" s="65">
        <v>43.361800000000002</v>
      </c>
      <c r="L1431" s="65">
        <v>45.6</v>
      </c>
      <c r="M1431" s="65">
        <v>24445736</v>
      </c>
      <c r="N1431" s="65" t="s">
        <v>1477</v>
      </c>
      <c r="O1431" s="25">
        <f t="shared" si="46"/>
        <v>-2.8728070175438658E-2</v>
      </c>
    </row>
    <row r="1432" spans="1:15" ht="13.5" customHeight="1">
      <c r="A1432" s="65">
        <v>307.13141392921284</v>
      </c>
      <c r="B1432" s="65">
        <v>308.23492488602568</v>
      </c>
      <c r="C1432" s="65">
        <v>304.92439201558716</v>
      </c>
      <c r="D1432" s="65">
        <v>307.00048890043837</v>
      </c>
      <c r="E1432" s="65">
        <v>2376695.2958717518</v>
      </c>
      <c r="F1432" s="65" t="s">
        <v>1478</v>
      </c>
      <c r="G1432" s="25">
        <f t="shared" si="45"/>
        <v>4.264652126235724E-4</v>
      </c>
      <c r="I1432" s="65">
        <v>45.26</v>
      </c>
      <c r="J1432" s="65">
        <v>47.27</v>
      </c>
      <c r="K1432" s="65">
        <v>45.11</v>
      </c>
      <c r="L1432" s="65">
        <v>47.1</v>
      </c>
      <c r="M1432" s="65">
        <v>37072544</v>
      </c>
      <c r="N1432" s="65" t="s">
        <v>1478</v>
      </c>
      <c r="O1432" s="25">
        <f t="shared" si="46"/>
        <v>-3.9065817409766557E-2</v>
      </c>
    </row>
    <row r="1433" spans="1:15" ht="13.5" customHeight="1">
      <c r="A1433" s="65">
        <v>305.32651888967996</v>
      </c>
      <c r="B1433" s="65">
        <v>307.35398647812929</v>
      </c>
      <c r="C1433" s="65">
        <v>305.24235279975352</v>
      </c>
      <c r="D1433" s="65">
        <v>307.12206214144322</v>
      </c>
      <c r="E1433" s="65">
        <v>3761373.8534940523</v>
      </c>
      <c r="F1433" s="65" t="s">
        <v>1479</v>
      </c>
      <c r="G1433" s="25">
        <f t="shared" si="45"/>
        <v>-5.8463505983374908E-3</v>
      </c>
      <c r="I1433" s="65">
        <v>44.29</v>
      </c>
      <c r="J1433" s="65">
        <v>44.32</v>
      </c>
      <c r="K1433" s="65">
        <v>42.22</v>
      </c>
      <c r="L1433" s="65">
        <v>42.62</v>
      </c>
      <c r="M1433" s="65">
        <v>28635846</v>
      </c>
      <c r="N1433" s="65" t="s">
        <v>1479</v>
      </c>
      <c r="O1433" s="25">
        <f t="shared" si="46"/>
        <v>3.9183481933364739E-2</v>
      </c>
    </row>
    <row r="1434" spans="1:15" ht="13.5" customHeight="1">
      <c r="A1434" s="65">
        <v>307.38391219899199</v>
      </c>
      <c r="B1434" s="65">
        <v>307.757983709776</v>
      </c>
      <c r="C1434" s="65">
        <v>304.31652581056312</v>
      </c>
      <c r="D1434" s="65">
        <v>305.57901715945917</v>
      </c>
      <c r="E1434" s="65">
        <v>3167480.9918474085</v>
      </c>
      <c r="F1434" s="65" t="s">
        <v>1480</v>
      </c>
      <c r="G1434" s="25">
        <f t="shared" si="45"/>
        <v>5.9064757008200353E-3</v>
      </c>
      <c r="I1434" s="65">
        <v>42.29</v>
      </c>
      <c r="J1434" s="65">
        <v>42.42</v>
      </c>
      <c r="K1434" s="65">
        <v>39.96</v>
      </c>
      <c r="L1434" s="65">
        <v>40.6</v>
      </c>
      <c r="M1434" s="65">
        <v>28472658</v>
      </c>
      <c r="N1434" s="65" t="s">
        <v>1480</v>
      </c>
      <c r="O1434" s="25">
        <f t="shared" si="46"/>
        <v>4.1625615763546842E-2</v>
      </c>
    </row>
    <row r="1435" spans="1:15" ht="13.5" customHeight="1">
      <c r="A1435" s="65">
        <v>306.10271727455677</v>
      </c>
      <c r="B1435" s="65">
        <v>310.61027897950413</v>
      </c>
      <c r="C1435" s="65">
        <v>306.07466191124797</v>
      </c>
      <c r="D1435" s="65">
        <v>310.13333780325451</v>
      </c>
      <c r="E1435" s="65">
        <v>2831359.1638673078</v>
      </c>
      <c r="F1435" s="65" t="s">
        <v>1481</v>
      </c>
      <c r="G1435" s="25">
        <f t="shared" si="45"/>
        <v>-1.2996411663600993E-2</v>
      </c>
      <c r="I1435" s="65">
        <v>40.630000000000003</v>
      </c>
      <c r="J1435" s="65">
        <v>40.98</v>
      </c>
      <c r="K1435" s="65">
        <v>39.19</v>
      </c>
      <c r="L1435" s="65">
        <v>39.31</v>
      </c>
      <c r="M1435" s="65">
        <v>18370840</v>
      </c>
      <c r="N1435" s="65" t="s">
        <v>1481</v>
      </c>
      <c r="O1435" s="25">
        <f t="shared" si="46"/>
        <v>3.3579241923174852E-2</v>
      </c>
    </row>
    <row r="1436" spans="1:15" ht="13.5" customHeight="1">
      <c r="A1436" s="65">
        <v>309.86213595793606</v>
      </c>
      <c r="B1436" s="65">
        <v>310.94694333920972</v>
      </c>
      <c r="C1436" s="65">
        <v>307.90761231408965</v>
      </c>
      <c r="D1436" s="65">
        <v>309.29167690399049</v>
      </c>
      <c r="E1436" s="65">
        <v>3263692.5422126558</v>
      </c>
      <c r="F1436" s="65" t="s">
        <v>1482</v>
      </c>
      <c r="G1436" s="25">
        <f t="shared" si="45"/>
        <v>1.8444048014996106E-3</v>
      </c>
      <c r="I1436" s="65">
        <v>39.270000000000003</v>
      </c>
      <c r="J1436" s="65">
        <v>39.765000000000001</v>
      </c>
      <c r="K1436" s="65">
        <v>38.51</v>
      </c>
      <c r="L1436" s="65">
        <v>39.01</v>
      </c>
      <c r="M1436" s="65">
        <v>25704928</v>
      </c>
      <c r="N1436" s="65" t="s">
        <v>1482</v>
      </c>
      <c r="O1436" s="25">
        <f t="shared" si="46"/>
        <v>6.6649577031532292E-3</v>
      </c>
    </row>
    <row r="1437" spans="1:15" ht="13.5" customHeight="1">
      <c r="A1437" s="65">
        <v>311.41453272768973</v>
      </c>
      <c r="B1437" s="65">
        <v>311.52675418092497</v>
      </c>
      <c r="C1437" s="65">
        <v>308.98774380147847</v>
      </c>
      <c r="D1437" s="65">
        <v>310.15204137879368</v>
      </c>
      <c r="E1437" s="65">
        <v>3227997.7629657281</v>
      </c>
      <c r="F1437" s="65" t="s">
        <v>1483</v>
      </c>
      <c r="G1437" s="25">
        <f t="shared" si="45"/>
        <v>4.070556309362372E-3</v>
      </c>
      <c r="I1437" s="65">
        <v>39.08</v>
      </c>
      <c r="J1437" s="65">
        <v>41.31</v>
      </c>
      <c r="K1437" s="65">
        <v>38.700000000000003</v>
      </c>
      <c r="L1437" s="65">
        <v>39.03</v>
      </c>
      <c r="M1437" s="65">
        <v>27157169</v>
      </c>
      <c r="N1437" s="65" t="s">
        <v>1483</v>
      </c>
      <c r="O1437" s="25">
        <f t="shared" si="46"/>
        <v>1.281065846784557E-3</v>
      </c>
    </row>
    <row r="1438" spans="1:15" ht="13.5" customHeight="1">
      <c r="A1438" s="65">
        <v>307.68316940761923</v>
      </c>
      <c r="B1438" s="65">
        <v>308.35649812703048</v>
      </c>
      <c r="C1438" s="65">
        <v>304.76541162350395</v>
      </c>
      <c r="D1438" s="65">
        <v>305.28911173860155</v>
      </c>
      <c r="E1438" s="65">
        <v>2136966.8016807614</v>
      </c>
      <c r="F1438" s="65" t="s">
        <v>1484</v>
      </c>
      <c r="G1438" s="25">
        <f t="shared" si="45"/>
        <v>7.8419359779446918E-3</v>
      </c>
      <c r="I1438" s="65">
        <v>40.43</v>
      </c>
      <c r="J1438" s="65">
        <v>40.96</v>
      </c>
      <c r="K1438" s="65">
        <v>39.24</v>
      </c>
      <c r="L1438" s="65">
        <v>40.450000000000003</v>
      </c>
      <c r="M1438" s="65">
        <v>18618501</v>
      </c>
      <c r="N1438" s="65" t="s">
        <v>1484</v>
      </c>
      <c r="O1438" s="25">
        <f t="shared" si="46"/>
        <v>-4.9443757725597948E-4</v>
      </c>
    </row>
    <row r="1439" spans="1:15" ht="13.5" customHeight="1">
      <c r="A1439" s="65">
        <v>303.55903100122555</v>
      </c>
      <c r="B1439" s="65">
        <v>306.214938727792</v>
      </c>
      <c r="C1439" s="65">
        <v>301.81024668831026</v>
      </c>
      <c r="D1439" s="65">
        <v>305.56031358391999</v>
      </c>
      <c r="E1439" s="65">
        <v>2715826.1741739181</v>
      </c>
      <c r="F1439" s="65" t="s">
        <v>1485</v>
      </c>
      <c r="G1439" s="25">
        <f t="shared" si="45"/>
        <v>-6.5495501009976698E-3</v>
      </c>
      <c r="I1439" s="65">
        <v>40.299999999999997</v>
      </c>
      <c r="J1439" s="65">
        <v>41.798999999999999</v>
      </c>
      <c r="K1439" s="65">
        <v>39.15</v>
      </c>
      <c r="L1439" s="65">
        <v>39.520000000000003</v>
      </c>
      <c r="M1439" s="65">
        <v>36542232</v>
      </c>
      <c r="N1439" s="65" t="s">
        <v>1485</v>
      </c>
      <c r="O1439" s="25">
        <f t="shared" si="46"/>
        <v>1.9736842105263053E-2</v>
      </c>
    </row>
    <row r="1440" spans="1:15" ht="13.5" customHeight="1">
      <c r="A1440" s="65">
        <v>306.39262269541439</v>
      </c>
      <c r="B1440" s="65">
        <v>307.20622823136961</v>
      </c>
      <c r="C1440" s="65">
        <v>305.02726168105278</v>
      </c>
      <c r="D1440" s="65">
        <v>306.19623515225283</v>
      </c>
      <c r="E1440" s="65">
        <v>2965723.846958668</v>
      </c>
      <c r="F1440" s="65" t="s">
        <v>1486</v>
      </c>
      <c r="G1440" s="25">
        <f t="shared" si="45"/>
        <v>6.4137804654551545E-4</v>
      </c>
      <c r="I1440" s="65">
        <v>38.46</v>
      </c>
      <c r="J1440" s="65">
        <v>40.147500000000001</v>
      </c>
      <c r="K1440" s="65">
        <v>38.340000000000003</v>
      </c>
      <c r="L1440" s="65">
        <v>39.590000000000003</v>
      </c>
      <c r="M1440" s="65">
        <v>31819418</v>
      </c>
      <c r="N1440" s="65" t="s">
        <v>1486</v>
      </c>
      <c r="O1440" s="25">
        <f t="shared" si="46"/>
        <v>-2.8542561252841714E-2</v>
      </c>
    </row>
    <row r="1441" spans="1:15" ht="13.5" customHeight="1">
      <c r="A1441" s="65">
        <v>304.25106329617591</v>
      </c>
      <c r="B1441" s="65">
        <v>305.14883492205757</v>
      </c>
      <c r="C1441" s="65">
        <v>301.18367690774704</v>
      </c>
      <c r="D1441" s="65">
        <v>303.7180113933087</v>
      </c>
      <c r="E1441" s="65">
        <v>4406452.6500435425</v>
      </c>
      <c r="F1441" s="65" t="s">
        <v>1487</v>
      </c>
      <c r="G1441" s="25">
        <f t="shared" si="45"/>
        <v>1.7550882162762349E-3</v>
      </c>
      <c r="I1441" s="65">
        <v>38.54</v>
      </c>
      <c r="J1441" s="65">
        <v>40.68</v>
      </c>
      <c r="K1441" s="65">
        <v>37.35</v>
      </c>
      <c r="L1441" s="65">
        <v>40.67</v>
      </c>
      <c r="M1441" s="65">
        <v>42098245</v>
      </c>
      <c r="N1441" s="65" t="s">
        <v>1487</v>
      </c>
      <c r="O1441" s="25">
        <f t="shared" si="46"/>
        <v>-5.2372756331448334E-2</v>
      </c>
    </row>
    <row r="1442" spans="1:15" ht="13.5" customHeight="1">
      <c r="A1442" s="65">
        <v>304.6438383824991</v>
      </c>
      <c r="B1442" s="65">
        <v>313.47192603700182</v>
      </c>
      <c r="C1442" s="65">
        <v>304.19495256955827</v>
      </c>
      <c r="D1442" s="65">
        <v>312.6863758643554</v>
      </c>
      <c r="E1442" s="65">
        <v>8658538.0244852249</v>
      </c>
      <c r="F1442" s="65" t="s">
        <v>1488</v>
      </c>
      <c r="G1442" s="25">
        <f t="shared" si="45"/>
        <v>-2.5720779997607468E-2</v>
      </c>
      <c r="I1442" s="65">
        <v>41.1</v>
      </c>
      <c r="J1442" s="65">
        <v>44.53</v>
      </c>
      <c r="K1442" s="65">
        <v>41.09</v>
      </c>
      <c r="L1442" s="65">
        <v>43.2</v>
      </c>
      <c r="M1442" s="65">
        <v>35135792</v>
      </c>
      <c r="N1442" s="65" t="s">
        <v>1488</v>
      </c>
      <c r="O1442" s="25">
        <f t="shared" si="46"/>
        <v>-4.861111111111116E-2</v>
      </c>
    </row>
    <row r="1443" spans="1:15" ht="13.5" customHeight="1">
      <c r="A1443" s="65">
        <v>300.89377148688942</v>
      </c>
      <c r="B1443" s="65">
        <v>301.98793065593264</v>
      </c>
      <c r="C1443" s="65">
        <v>298.71948083045737</v>
      </c>
      <c r="D1443" s="65">
        <v>300.6038660660318</v>
      </c>
      <c r="E1443" s="65">
        <v>3892965.8047143691</v>
      </c>
      <c r="F1443" s="65" t="s">
        <v>1489</v>
      </c>
      <c r="G1443" s="25">
        <f t="shared" si="45"/>
        <v>9.6441015430559496E-4</v>
      </c>
      <c r="I1443" s="65">
        <v>45.38</v>
      </c>
      <c r="J1443" s="65">
        <v>45.6</v>
      </c>
      <c r="K1443" s="65">
        <v>41.14</v>
      </c>
      <c r="L1443" s="65">
        <v>41.68</v>
      </c>
      <c r="M1443" s="65">
        <v>45874563</v>
      </c>
      <c r="N1443" s="65" t="s">
        <v>1489</v>
      </c>
      <c r="O1443" s="25">
        <f t="shared" si="46"/>
        <v>8.8771593090211098E-2</v>
      </c>
    </row>
    <row r="1444" spans="1:15" ht="13.5" customHeight="1">
      <c r="A1444" s="65">
        <v>300.93117863796783</v>
      </c>
      <c r="B1444" s="65">
        <v>302.5770932854175</v>
      </c>
      <c r="C1444" s="65">
        <v>299.74350159122855</v>
      </c>
      <c r="D1444" s="65">
        <v>300.13627667755179</v>
      </c>
      <c r="E1444" s="65">
        <v>4224091.7964810058</v>
      </c>
      <c r="F1444" s="65" t="s">
        <v>1490</v>
      </c>
      <c r="G1444" s="25">
        <f t="shared" si="45"/>
        <v>2.64847011902547E-3</v>
      </c>
      <c r="I1444" s="65">
        <v>41.55</v>
      </c>
      <c r="J1444" s="65">
        <v>42.53</v>
      </c>
      <c r="K1444" s="65">
        <v>41.22</v>
      </c>
      <c r="L1444" s="65">
        <v>42.289700000000003</v>
      </c>
      <c r="M1444" s="65">
        <v>25087438</v>
      </c>
      <c r="N1444" s="65" t="s">
        <v>1490</v>
      </c>
      <c r="O1444" s="25">
        <f t="shared" si="46"/>
        <v>-1.7491256736273941E-2</v>
      </c>
    </row>
    <row r="1445" spans="1:15" ht="13.5" customHeight="1">
      <c r="A1445" s="65">
        <v>295.15177379635486</v>
      </c>
      <c r="B1445" s="65">
        <v>298.92989605527333</v>
      </c>
      <c r="C1445" s="65">
        <v>291.77577841152913</v>
      </c>
      <c r="D1445" s="65">
        <v>292.88864115611159</v>
      </c>
      <c r="E1445" s="65">
        <v>6148741.9749750905</v>
      </c>
      <c r="F1445" s="65" t="s">
        <v>1491</v>
      </c>
      <c r="G1445" s="25">
        <f t="shared" si="45"/>
        <v>7.7269389188672211E-3</v>
      </c>
      <c r="I1445" s="65">
        <v>41.99</v>
      </c>
      <c r="J1445" s="65">
        <v>42.54</v>
      </c>
      <c r="K1445" s="65">
        <v>41.06</v>
      </c>
      <c r="L1445" s="65">
        <v>41.56</v>
      </c>
      <c r="M1445" s="65">
        <v>23314755</v>
      </c>
      <c r="N1445" s="65" t="s">
        <v>1491</v>
      </c>
      <c r="O1445" s="25">
        <f t="shared" si="46"/>
        <v>1.0346487006737348E-2</v>
      </c>
    </row>
    <row r="1446" spans="1:15" ht="13.5" customHeight="1">
      <c r="A1446" s="65">
        <v>288.65228129648267</v>
      </c>
      <c r="B1446" s="65">
        <v>290.59745315255952</v>
      </c>
      <c r="C1446" s="65">
        <v>286.24887183969531</v>
      </c>
      <c r="D1446" s="65">
        <v>286.69775765263614</v>
      </c>
      <c r="E1446" s="65">
        <v>3612510.3383782143</v>
      </c>
      <c r="F1446" s="65" t="s">
        <v>1492</v>
      </c>
      <c r="G1446" s="25">
        <f t="shared" si="45"/>
        <v>6.8173663437389731E-3</v>
      </c>
      <c r="I1446" s="65">
        <v>41.17</v>
      </c>
      <c r="J1446" s="65">
        <v>41.69</v>
      </c>
      <c r="K1446" s="65">
        <v>40.35</v>
      </c>
      <c r="L1446" s="65">
        <v>40.700000000000003</v>
      </c>
      <c r="M1446" s="65">
        <v>22719781</v>
      </c>
      <c r="N1446" s="65" t="s">
        <v>1492</v>
      </c>
      <c r="O1446" s="25">
        <f t="shared" si="46"/>
        <v>1.1547911547911571E-2</v>
      </c>
    </row>
    <row r="1447" spans="1:15" ht="13.5" customHeight="1">
      <c r="A1447" s="65">
        <v>283.6490748397465</v>
      </c>
      <c r="B1447" s="65">
        <v>285.51943239366653</v>
      </c>
      <c r="C1447" s="65">
        <v>281.14279571749358</v>
      </c>
      <c r="D1447" s="65">
        <v>283.70518556636409</v>
      </c>
      <c r="E1447" s="65">
        <v>4363225.6211631298</v>
      </c>
      <c r="F1447" s="65" t="s">
        <v>1493</v>
      </c>
      <c r="G1447" s="25">
        <f>A1447/D1447-1</f>
        <v>-1.9777829053624352E-4</v>
      </c>
      <c r="I1447" s="65">
        <v>40.79</v>
      </c>
      <c r="J1447" s="65">
        <v>40.954000000000001</v>
      </c>
      <c r="K1447" s="65">
        <v>38.67</v>
      </c>
      <c r="L1447" s="65">
        <v>39.53</v>
      </c>
      <c r="M1447" s="65">
        <v>37493805</v>
      </c>
      <c r="N1447" s="65" t="s">
        <v>1493</v>
      </c>
      <c r="O1447" s="25">
        <f>I1447/L1447-1</f>
        <v>3.1874525676701237E-2</v>
      </c>
    </row>
    <row r="1448" spans="1:15" ht="13.5" customHeight="1">
      <c r="G1448" s="25"/>
      <c r="O1448" s="25"/>
    </row>
    <row r="1449" spans="1:15" ht="13.5" customHeight="1">
      <c r="G1449" s="25"/>
      <c r="O1449" s="25"/>
    </row>
    <row r="1450" spans="1:15" ht="13.5" customHeight="1">
      <c r="G1450" s="25"/>
      <c r="O1450" s="25"/>
    </row>
    <row r="1451" spans="1:15" ht="13.5" customHeight="1">
      <c r="G1451" s="25"/>
      <c r="O1451" s="25"/>
    </row>
    <row r="1452" spans="1:15" ht="13.5" customHeight="1">
      <c r="G1452" s="25"/>
      <c r="O1452" s="25"/>
    </row>
    <row r="1453" spans="1:15" ht="13.5" customHeight="1">
      <c r="G1453" s="25"/>
      <c r="O1453" s="25"/>
    </row>
    <row r="1454" spans="1:15" ht="13.5" customHeight="1">
      <c r="G1454" s="25"/>
      <c r="O1454" s="25"/>
    </row>
    <row r="1455" spans="1:15" ht="13.5" customHeight="1">
      <c r="G1455" s="25"/>
      <c r="O1455" s="25"/>
    </row>
    <row r="1456" spans="1:15" ht="13.5" customHeight="1">
      <c r="G1456" s="25"/>
      <c r="O1456" s="25"/>
    </row>
    <row r="1457" spans="7:15" ht="13.5" customHeight="1">
      <c r="G1457" s="25"/>
      <c r="O1457" s="25"/>
    </row>
    <row r="1458" spans="7:15" ht="13.5" customHeight="1">
      <c r="G1458" s="25"/>
      <c r="O1458" s="25"/>
    </row>
    <row r="1459" spans="7:15" ht="13.5" customHeight="1">
      <c r="G1459" s="25"/>
      <c r="O1459" s="25"/>
    </row>
    <row r="1460" spans="7:15" ht="13.5" customHeight="1">
      <c r="G1460" s="25"/>
      <c r="O1460" s="25"/>
    </row>
    <row r="1461" spans="7:15" ht="13.5" customHeight="1">
      <c r="G1461" s="25"/>
      <c r="O1461" s="25"/>
    </row>
    <row r="1462" spans="7:15" ht="13.5" customHeight="1">
      <c r="G1462" s="25"/>
      <c r="O1462" s="25"/>
    </row>
    <row r="1463" spans="7:15" ht="13.5" customHeight="1">
      <c r="G1463" s="25"/>
      <c r="O1463" s="25"/>
    </row>
    <row r="1464" spans="7:15" ht="13.5" customHeight="1">
      <c r="G1464" s="25"/>
      <c r="O1464" s="25"/>
    </row>
    <row r="1465" spans="7:15" ht="13.5" customHeight="1">
      <c r="G1465" s="25"/>
      <c r="O1465" s="25"/>
    </row>
    <row r="1466" spans="7:15" ht="13.5" customHeight="1">
      <c r="G1466" s="25"/>
      <c r="O1466" s="25"/>
    </row>
    <row r="1467" spans="7:15" ht="13.5" customHeight="1">
      <c r="G1467" s="25"/>
      <c r="O1467" s="25"/>
    </row>
    <row r="1468" spans="7:15" ht="13.5" customHeight="1">
      <c r="G1468" s="25"/>
      <c r="O1468" s="25"/>
    </row>
    <row r="1469" spans="7:15" ht="13.5" customHeight="1">
      <c r="G1469" s="25"/>
      <c r="O1469" s="25"/>
    </row>
    <row r="1470" spans="7:15" ht="13.5" customHeight="1">
      <c r="G1470" s="25"/>
      <c r="O1470" s="25"/>
    </row>
    <row r="1471" spans="7:15" ht="13.5" customHeight="1">
      <c r="G1471" s="25"/>
      <c r="O1471" s="25"/>
    </row>
    <row r="1472" spans="7:15" ht="13.5" customHeight="1">
      <c r="G1472" s="25"/>
      <c r="O1472" s="25"/>
    </row>
    <row r="1473" spans="7:15" ht="13.5" customHeight="1">
      <c r="G1473" s="25"/>
      <c r="O1473" s="25"/>
    </row>
    <row r="1474" spans="7:15" ht="13.5" customHeight="1">
      <c r="G1474" s="25"/>
      <c r="O1474" s="25"/>
    </row>
    <row r="1475" spans="7:15" ht="13.5" customHeight="1">
      <c r="G1475" s="25"/>
      <c r="O1475" s="25"/>
    </row>
    <row r="1476" spans="7:15" ht="13.5" customHeight="1">
      <c r="G1476" s="25"/>
      <c r="O1476" s="25"/>
    </row>
    <row r="1477" spans="7:15" ht="13.5" customHeight="1">
      <c r="G1477" s="25"/>
      <c r="O1477" s="25"/>
    </row>
    <row r="1478" spans="7:15" ht="13.5" customHeight="1">
      <c r="G1478" s="25"/>
      <c r="O1478" s="25"/>
    </row>
    <row r="1479" spans="7:15" ht="13.5" customHeight="1">
      <c r="G1479" s="25"/>
      <c r="O1479" s="25"/>
    </row>
    <row r="1480" spans="7:15" ht="13.5" customHeight="1">
      <c r="G1480" s="25"/>
      <c r="O1480" s="25"/>
    </row>
    <row r="1481" spans="7:15" ht="13.5" customHeight="1">
      <c r="G1481" s="25"/>
      <c r="O1481" s="25"/>
    </row>
    <row r="1482" spans="7:15" ht="13.5" customHeight="1">
      <c r="G1482" s="25"/>
      <c r="O1482" s="25"/>
    </row>
    <row r="1483" spans="7:15" ht="13.5" customHeight="1">
      <c r="G1483" s="25"/>
      <c r="O1483" s="25"/>
    </row>
    <row r="1484" spans="7:15" ht="13.5" customHeight="1">
      <c r="G1484" s="25"/>
      <c r="O1484" s="25"/>
    </row>
    <row r="1485" spans="7:15" ht="13.5" customHeight="1">
      <c r="G1485" s="25"/>
      <c r="O1485" s="25"/>
    </row>
    <row r="1486" spans="7:15" ht="13.5" customHeight="1">
      <c r="G1486" s="25"/>
      <c r="O1486" s="25"/>
    </row>
    <row r="1487" spans="7:15" ht="13.5" customHeight="1">
      <c r="G1487" s="25"/>
      <c r="O1487" s="25"/>
    </row>
    <row r="1488" spans="7:15" ht="13.5" customHeight="1">
      <c r="G1488" s="25"/>
      <c r="O1488" s="25"/>
    </row>
    <row r="1489" spans="7:15" ht="13.5" customHeight="1">
      <c r="G1489" s="25"/>
      <c r="O1489" s="25"/>
    </row>
    <row r="1490" spans="7:15" ht="13.5" customHeight="1">
      <c r="G1490" s="25"/>
      <c r="O1490" s="25"/>
    </row>
    <row r="1491" spans="7:15" ht="13.5" customHeight="1">
      <c r="G1491" s="25"/>
      <c r="O1491" s="25"/>
    </row>
    <row r="1492" spans="7:15" ht="13.5" customHeight="1">
      <c r="G1492" s="25"/>
      <c r="O1492" s="25"/>
    </row>
    <row r="1493" spans="7:15" ht="13.5" customHeight="1">
      <c r="G1493" s="25"/>
      <c r="O1493" s="25"/>
    </row>
    <row r="1494" spans="7:15" ht="13.5" customHeight="1">
      <c r="G1494" s="25"/>
      <c r="O1494" s="25"/>
    </row>
    <row r="1495" spans="7:15" ht="13.5" customHeight="1">
      <c r="G1495" s="25"/>
      <c r="O1495" s="25"/>
    </row>
    <row r="1496" spans="7:15" ht="13.5" customHeight="1">
      <c r="G1496" s="25"/>
      <c r="O1496" s="25"/>
    </row>
    <row r="1497" spans="7:15" ht="13.5" customHeight="1">
      <c r="G1497" s="25"/>
      <c r="O1497" s="25"/>
    </row>
    <row r="1498" spans="7:15" ht="13.5" customHeight="1">
      <c r="G1498" s="25"/>
      <c r="O1498" s="25"/>
    </row>
    <row r="1499" spans="7:15" ht="13.5" customHeight="1">
      <c r="G1499" s="25"/>
      <c r="O1499" s="25"/>
    </row>
    <row r="1500" spans="7:15" ht="13.5" customHeight="1">
      <c r="G1500" s="25"/>
      <c r="O1500" s="25"/>
    </row>
    <row r="1501" spans="7:15" ht="13.5" customHeight="1">
      <c r="G1501" s="25"/>
      <c r="O1501" s="25"/>
    </row>
    <row r="1502" spans="7:15" ht="13.5" customHeight="1">
      <c r="G1502" s="25"/>
      <c r="O1502" s="25"/>
    </row>
    <row r="1503" spans="7:15" ht="13.5" customHeight="1">
      <c r="G1503" s="25"/>
      <c r="O1503" s="25"/>
    </row>
    <row r="1504" spans="7:15" ht="13.5" customHeight="1">
      <c r="G1504" s="25"/>
      <c r="O1504" s="25"/>
    </row>
    <row r="1505" spans="7:15" ht="13.5" customHeight="1">
      <c r="G1505" s="25"/>
      <c r="O1505" s="25"/>
    </row>
    <row r="1506" spans="7:15" ht="13.5" customHeight="1">
      <c r="G1506" s="25"/>
      <c r="O1506" s="25"/>
    </row>
    <row r="1507" spans="7:15" ht="13.5" customHeight="1">
      <c r="G1507" s="25"/>
      <c r="O1507" s="25"/>
    </row>
    <row r="1508" spans="7:15" ht="13.5" customHeight="1">
      <c r="G1508" s="25"/>
      <c r="O1508" s="25"/>
    </row>
    <row r="1509" spans="7:15" ht="13.5" customHeight="1">
      <c r="G1509" s="25"/>
      <c r="O1509" s="25"/>
    </row>
    <row r="1510" spans="7:15" ht="13.5" customHeight="1">
      <c r="G1510" s="25"/>
      <c r="O1510" s="25"/>
    </row>
    <row r="1511" spans="7:15" ht="13.5" customHeight="1">
      <c r="G1511" s="25"/>
      <c r="O1511" s="25"/>
    </row>
    <row r="1512" spans="7:15" ht="13.5" customHeight="1">
      <c r="G1512" s="25"/>
      <c r="O1512" s="25"/>
    </row>
    <row r="1513" spans="7:15" ht="13.5" customHeight="1">
      <c r="G1513" s="25"/>
      <c r="O1513" s="25"/>
    </row>
    <row r="1514" spans="7:15" ht="13.5" customHeight="1">
      <c r="G1514" s="25"/>
      <c r="O1514" s="25"/>
    </row>
    <row r="1515" spans="7:15" ht="13.5" customHeight="1">
      <c r="G1515" s="25"/>
      <c r="O1515" s="25"/>
    </row>
    <row r="1516" spans="7:15" ht="13.5" customHeight="1">
      <c r="G1516" s="25"/>
      <c r="O1516" s="25"/>
    </row>
    <row r="1517" spans="7:15" ht="13.5" customHeight="1">
      <c r="G1517" s="25"/>
      <c r="O1517" s="25"/>
    </row>
    <row r="1518" spans="7:15" ht="13.5" customHeight="1">
      <c r="G1518" s="25"/>
      <c r="O1518" s="25"/>
    </row>
    <row r="1519" spans="7:15" ht="13.5" customHeight="1">
      <c r="G1519" s="25"/>
      <c r="O1519" s="25"/>
    </row>
    <row r="1520" spans="7:15" ht="13.5" customHeight="1">
      <c r="G1520" s="25"/>
      <c r="O1520" s="25"/>
    </row>
    <row r="1521" spans="7:15" ht="13.5" customHeight="1">
      <c r="G1521" s="25"/>
      <c r="O1521" s="25"/>
    </row>
    <row r="1522" spans="7:15" ht="13.5" customHeight="1">
      <c r="G1522" s="25"/>
      <c r="O1522" s="25"/>
    </row>
    <row r="1523" spans="7:15" ht="13.5" customHeight="1">
      <c r="G1523" s="25"/>
      <c r="O1523" s="25"/>
    </row>
    <row r="1524" spans="7:15" ht="13.5" customHeight="1">
      <c r="G1524" s="25"/>
      <c r="O1524" s="25"/>
    </row>
    <row r="1525" spans="7:15" ht="13.5" customHeight="1">
      <c r="G1525" s="25"/>
      <c r="O1525" s="25"/>
    </row>
    <row r="1526" spans="7:15" ht="13.5" customHeight="1">
      <c r="G1526" s="25"/>
      <c r="O1526" s="25"/>
    </row>
    <row r="1527" spans="7:15" ht="13.5" customHeight="1">
      <c r="G1527" s="25"/>
      <c r="O1527" s="25"/>
    </row>
    <row r="1528" spans="7:15" ht="13.5" customHeight="1">
      <c r="G1528" s="25"/>
      <c r="O1528" s="25"/>
    </row>
    <row r="1529" spans="7:15" ht="13.5" customHeight="1">
      <c r="G1529" s="25"/>
      <c r="O1529" s="25"/>
    </row>
    <row r="1530" spans="7:15" ht="13.5" customHeight="1">
      <c r="G1530" s="25"/>
      <c r="O1530" s="25"/>
    </row>
    <row r="1531" spans="7:15" ht="13.5" customHeight="1">
      <c r="G1531" s="25"/>
      <c r="O1531" s="25"/>
    </row>
    <row r="1532" spans="7:15" ht="13.5" customHeight="1">
      <c r="G1532" s="25"/>
      <c r="O1532" s="25"/>
    </row>
    <row r="1533" spans="7:15" ht="13.5" customHeight="1">
      <c r="G1533" s="25"/>
      <c r="O1533" s="25"/>
    </row>
    <row r="1534" spans="7:15" ht="13.5" customHeight="1">
      <c r="G1534" s="25"/>
      <c r="O1534" s="25"/>
    </row>
    <row r="1535" spans="7:15" ht="13.5" customHeight="1">
      <c r="G1535" s="25"/>
      <c r="O1535" s="25"/>
    </row>
    <row r="1536" spans="7:15" ht="13.5" customHeight="1">
      <c r="G1536" s="25"/>
      <c r="O1536" s="25"/>
    </row>
    <row r="1537" spans="7:15" ht="13.5" customHeight="1">
      <c r="G1537" s="25"/>
      <c r="O1537" s="25"/>
    </row>
    <row r="1538" spans="7:15" ht="13.5" customHeight="1">
      <c r="G1538" s="25"/>
      <c r="O1538" s="25"/>
    </row>
    <row r="1539" spans="7:15" ht="13.5" customHeight="1">
      <c r="G1539" s="25"/>
      <c r="O1539" s="25"/>
    </row>
    <row r="1540" spans="7:15" ht="13.5" customHeight="1">
      <c r="G1540" s="25"/>
      <c r="O1540" s="25"/>
    </row>
    <row r="1541" spans="7:15" ht="13.5" customHeight="1">
      <c r="G1541" s="25"/>
      <c r="O1541" s="25"/>
    </row>
    <row r="1542" spans="7:15" ht="13.5" customHeight="1">
      <c r="G1542" s="25"/>
      <c r="O1542" s="25"/>
    </row>
    <row r="1543" spans="7:15" ht="13.5" customHeight="1">
      <c r="G1543" s="25"/>
      <c r="O1543" s="25"/>
    </row>
    <row r="1544" spans="7:15" ht="13.5" customHeight="1">
      <c r="G1544" s="25"/>
      <c r="O1544" s="25"/>
    </row>
    <row r="1545" spans="7:15" ht="13.5" customHeight="1">
      <c r="G1545" s="25"/>
      <c r="O1545" s="25"/>
    </row>
    <row r="1546" spans="7:15" ht="13.5" customHeight="1">
      <c r="G1546" s="25"/>
      <c r="O1546" s="25"/>
    </row>
    <row r="1547" spans="7:15" ht="13.5" customHeight="1">
      <c r="G1547" s="25"/>
      <c r="O1547" s="25"/>
    </row>
    <row r="1548" spans="7:15" ht="13.5" customHeight="1">
      <c r="G1548" s="25"/>
      <c r="O1548" s="25"/>
    </row>
    <row r="1549" spans="7:15" ht="13.5" customHeight="1">
      <c r="G1549" s="25"/>
      <c r="O1549" s="25"/>
    </row>
    <row r="1550" spans="7:15" ht="13.5" customHeight="1">
      <c r="G1550" s="25"/>
      <c r="O1550" s="25"/>
    </row>
    <row r="1551" spans="7:15" ht="13.5" customHeight="1">
      <c r="G1551" s="25"/>
      <c r="O1551" s="25"/>
    </row>
    <row r="1552" spans="7:15" ht="13.5" customHeight="1">
      <c r="G1552" s="25"/>
      <c r="O1552" s="25"/>
    </row>
    <row r="1553" spans="7:15" ht="13.5" customHeight="1">
      <c r="G1553" s="25"/>
      <c r="O1553" s="25"/>
    </row>
    <row r="1554" spans="7:15" ht="13.5" customHeight="1">
      <c r="G1554" s="25"/>
      <c r="O1554" s="25"/>
    </row>
    <row r="1555" spans="7:15" ht="13.5" customHeight="1">
      <c r="G1555" s="25"/>
      <c r="O1555" s="25"/>
    </row>
    <row r="1556" spans="7:15" ht="13.5" customHeight="1">
      <c r="G1556" s="25"/>
      <c r="O1556" s="25"/>
    </row>
    <row r="1557" spans="7:15" ht="13.5" customHeight="1">
      <c r="G1557" s="25"/>
      <c r="O1557" s="25"/>
    </row>
    <row r="1558" spans="7:15" ht="13.5" customHeight="1">
      <c r="G1558" s="25"/>
      <c r="O1558" s="25"/>
    </row>
    <row r="1559" spans="7:15" ht="13.5" customHeight="1">
      <c r="G1559" s="25"/>
      <c r="O1559" s="25"/>
    </row>
    <row r="1560" spans="7:15" ht="13.5" customHeight="1">
      <c r="G1560" s="25"/>
      <c r="O1560" s="25"/>
    </row>
    <row r="1561" spans="7:15" ht="13.5" customHeight="1">
      <c r="G1561" s="25"/>
      <c r="O1561" s="25"/>
    </row>
    <row r="1562" spans="7:15" ht="13.5" customHeight="1">
      <c r="G1562" s="25"/>
      <c r="O1562" s="25"/>
    </row>
  </sheetData>
  <sortState xmlns:xlrd2="http://schemas.microsoft.com/office/spreadsheetml/2017/richdata2" ref="Q249:Q329">
    <sortCondition ref="Q249"/>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D15" sqref="D15"/>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2026-01-10T10:43:01Z</dcterms:modified>
</cp:coreProperties>
</file>