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DD3F09F4-26A7-4EFA-8F88-4A587C6E6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Economics" sheetId="7" r:id="rId5"/>
    <sheet name="Management" sheetId="6" r:id="rId6"/>
    <sheet name="Table Formatting" sheetId="4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7" i="2" l="1"/>
  <c r="AN42" i="2"/>
  <c r="AN43" i="2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211" i="3"/>
  <c r="S206" i="3"/>
  <c r="S204" i="3"/>
  <c r="S203" i="3"/>
  <c r="S202" i="3"/>
  <c r="S201" i="3"/>
  <c r="S200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U22" i="2"/>
  <c r="AN41" i="2"/>
  <c r="AG41" i="2"/>
  <c r="AF41" i="2"/>
  <c r="AN47" i="2"/>
  <c r="AN49" i="2"/>
  <c r="U5" i="2"/>
  <c r="V5" i="2" s="1"/>
  <c r="W5" i="2" s="1"/>
  <c r="X5" i="2" s="1"/>
  <c r="Y5" i="2" s="1"/>
  <c r="Z5" i="2" s="1"/>
  <c r="AA5" i="2" s="1"/>
  <c r="AB5" i="2" s="1"/>
  <c r="AC5" i="2" s="1"/>
  <c r="AD5" i="2" s="1"/>
  <c r="U4" i="2"/>
  <c r="V4" i="2" s="1"/>
  <c r="S13" i="2"/>
  <c r="R13" i="2"/>
  <c r="S12" i="2"/>
  <c r="R12" i="2"/>
  <c r="S10" i="2"/>
  <c r="S9" i="2"/>
  <c r="S8" i="2"/>
  <c r="T10" i="2"/>
  <c r="T9" i="2"/>
  <c r="T13" i="2"/>
  <c r="T12" i="2"/>
  <c r="T8" i="2"/>
  <c r="T80" i="2"/>
  <c r="S80" i="2"/>
  <c r="T79" i="2"/>
  <c r="S79" i="2"/>
  <c r="T78" i="2"/>
  <c r="S78" i="2"/>
  <c r="T75" i="2"/>
  <c r="S75" i="2"/>
  <c r="T76" i="2"/>
  <c r="S76" i="2"/>
  <c r="T74" i="2"/>
  <c r="S74" i="2"/>
  <c r="T73" i="2"/>
  <c r="S73" i="2"/>
  <c r="T72" i="2"/>
  <c r="S72" i="2"/>
  <c r="T71" i="2"/>
  <c r="S71" i="2"/>
  <c r="L75" i="2"/>
  <c r="K75" i="2"/>
  <c r="J75" i="2"/>
  <c r="I75" i="2"/>
  <c r="H75" i="2"/>
  <c r="G75" i="2"/>
  <c r="F75" i="2"/>
  <c r="L71" i="2"/>
  <c r="K71" i="2"/>
  <c r="J71" i="2"/>
  <c r="I71" i="2"/>
  <c r="H71" i="2"/>
  <c r="G71" i="2"/>
  <c r="F71" i="2"/>
  <c r="T69" i="2"/>
  <c r="S69" i="2"/>
  <c r="T68" i="2"/>
  <c r="S68" i="2"/>
  <c r="T67" i="2"/>
  <c r="S67" i="2"/>
  <c r="T66" i="2"/>
  <c r="S66" i="2"/>
  <c r="T65" i="2"/>
  <c r="S65" i="2"/>
  <c r="T64" i="2"/>
  <c r="S64" i="2"/>
  <c r="K51" i="2"/>
  <c r="J51" i="2"/>
  <c r="I51" i="2"/>
  <c r="H51" i="2"/>
  <c r="G51" i="2"/>
  <c r="F51" i="2"/>
  <c r="L51" i="2"/>
  <c r="T37" i="2"/>
  <c r="R37" i="2"/>
  <c r="K37" i="2"/>
  <c r="J37" i="2"/>
  <c r="I37" i="2"/>
  <c r="H37" i="2"/>
  <c r="G37" i="2"/>
  <c r="E37" i="2"/>
  <c r="D37" i="2"/>
  <c r="L37" i="2"/>
  <c r="S61" i="2"/>
  <c r="S59" i="2"/>
  <c r="S58" i="2"/>
  <c r="S57" i="2"/>
  <c r="S56" i="2"/>
  <c r="S55" i="2"/>
  <c r="S54" i="2"/>
  <c r="S53" i="2"/>
  <c r="S50" i="2"/>
  <c r="S49" i="2"/>
  <c r="S48" i="2"/>
  <c r="S47" i="2"/>
  <c r="S46" i="2"/>
  <c r="S45" i="2"/>
  <c r="S44" i="2"/>
  <c r="S43" i="2"/>
  <c r="S42" i="2"/>
  <c r="S41" i="2"/>
  <c r="S40" i="2"/>
  <c r="S39" i="2"/>
  <c r="T61" i="2"/>
  <c r="T59" i="2"/>
  <c r="T58" i="2"/>
  <c r="T57" i="2"/>
  <c r="T56" i="2"/>
  <c r="T55" i="2"/>
  <c r="T54" i="2"/>
  <c r="T53" i="2"/>
  <c r="T50" i="2"/>
  <c r="T49" i="2"/>
  <c r="T48" i="2"/>
  <c r="T47" i="2"/>
  <c r="T46" i="2"/>
  <c r="T45" i="2"/>
  <c r="T44" i="2"/>
  <c r="T43" i="2"/>
  <c r="T42" i="2"/>
  <c r="T41" i="2"/>
  <c r="T40" i="2"/>
  <c r="T39" i="2"/>
  <c r="F65" i="2"/>
  <c r="F64" i="2"/>
  <c r="G65" i="2"/>
  <c r="G64" i="2"/>
  <c r="H65" i="2"/>
  <c r="H64" i="2"/>
  <c r="I65" i="2"/>
  <c r="I64" i="2"/>
  <c r="J65" i="2"/>
  <c r="J64" i="2"/>
  <c r="K65" i="2"/>
  <c r="K64" i="2"/>
  <c r="L65" i="2"/>
  <c r="L64" i="2"/>
  <c r="T28" i="2"/>
  <c r="S28" i="2"/>
  <c r="K9" i="2"/>
  <c r="I9" i="2"/>
  <c r="H9" i="2"/>
  <c r="G9" i="2"/>
  <c r="K8" i="2"/>
  <c r="I8" i="2"/>
  <c r="H8" i="2"/>
  <c r="G8" i="2"/>
  <c r="F26" i="2"/>
  <c r="S26" i="2" s="1"/>
  <c r="F24" i="2"/>
  <c r="S24" i="2" s="1"/>
  <c r="F22" i="2"/>
  <c r="S22" i="2" s="1"/>
  <c r="F20" i="2"/>
  <c r="F19" i="2"/>
  <c r="F18" i="2"/>
  <c r="F16" i="2"/>
  <c r="J26" i="2"/>
  <c r="T26" i="2" s="1"/>
  <c r="J24" i="2"/>
  <c r="T24" i="2" s="1"/>
  <c r="J22" i="2"/>
  <c r="T22" i="2" s="1"/>
  <c r="J20" i="2"/>
  <c r="T20" i="2" s="1"/>
  <c r="J19" i="2"/>
  <c r="T19" i="2" s="1"/>
  <c r="J18" i="2"/>
  <c r="T18" i="2" s="1"/>
  <c r="J16" i="2"/>
  <c r="T16" i="2" s="1"/>
  <c r="R6" i="2"/>
  <c r="R15" i="2" s="1"/>
  <c r="F5" i="2"/>
  <c r="F4" i="2"/>
  <c r="J5" i="2"/>
  <c r="J4" i="2"/>
  <c r="C3" i="2" a="1"/>
  <c r="K60" i="2"/>
  <c r="J60" i="2"/>
  <c r="T60" i="2" s="1"/>
  <c r="I60" i="2"/>
  <c r="H60" i="2"/>
  <c r="G60" i="2"/>
  <c r="F60" i="2"/>
  <c r="S60" i="2" s="1"/>
  <c r="L74" i="2"/>
  <c r="L60" i="2"/>
  <c r="K6" i="2"/>
  <c r="I6" i="2"/>
  <c r="H6" i="2"/>
  <c r="G6" i="2"/>
  <c r="E6" i="2"/>
  <c r="D6" i="2"/>
  <c r="C6" i="2"/>
  <c r="L6" i="2"/>
  <c r="L9" i="2"/>
  <c r="L8" i="2"/>
  <c r="C6" i="1"/>
  <c r="K74" i="2"/>
  <c r="I74" i="2"/>
  <c r="H74" i="2"/>
  <c r="G74" i="2"/>
  <c r="F74" i="2"/>
  <c r="J74" i="2"/>
  <c r="V6" i="2" l="1"/>
  <c r="V15" i="2" s="1"/>
  <c r="W4" i="2"/>
  <c r="U6" i="2"/>
  <c r="U10" i="2" s="1"/>
  <c r="S51" i="2"/>
  <c r="T51" i="2"/>
  <c r="R17" i="2"/>
  <c r="R33" i="2"/>
  <c r="R34" i="2"/>
  <c r="R32" i="2"/>
  <c r="S20" i="2"/>
  <c r="S19" i="2"/>
  <c r="S18" i="2"/>
  <c r="J8" i="2"/>
  <c r="K13" i="2"/>
  <c r="K12" i="2"/>
  <c r="K10" i="2"/>
  <c r="I13" i="2"/>
  <c r="I12" i="2"/>
  <c r="I10" i="2"/>
  <c r="H13" i="2"/>
  <c r="H12" i="2"/>
  <c r="H10" i="2"/>
  <c r="G13" i="2"/>
  <c r="G12" i="2"/>
  <c r="E13" i="2"/>
  <c r="E12" i="2"/>
  <c r="D13" i="2"/>
  <c r="D12" i="2"/>
  <c r="J9" i="2"/>
  <c r="C12" i="2"/>
  <c r="G10" i="2"/>
  <c r="C13" i="2"/>
  <c r="D15" i="2"/>
  <c r="E15" i="2"/>
  <c r="I15" i="2"/>
  <c r="F6" i="2"/>
  <c r="T4" i="2"/>
  <c r="T5" i="2"/>
  <c r="J6" i="2"/>
  <c r="G15" i="2"/>
  <c r="K15" i="2"/>
  <c r="K62" i="2"/>
  <c r="J62" i="2"/>
  <c r="I62" i="2"/>
  <c r="H62" i="2"/>
  <c r="G62" i="2"/>
  <c r="F62" i="2"/>
  <c r="L62" i="2"/>
  <c r="T6" i="2"/>
  <c r="C15" i="2"/>
  <c r="H15" i="2"/>
  <c r="L76" i="2"/>
  <c r="L13" i="2"/>
  <c r="L12" i="2"/>
  <c r="L10" i="2"/>
  <c r="L15" i="2"/>
  <c r="K76" i="2"/>
  <c r="AI58" i="2"/>
  <c r="X4" i="2" l="1"/>
  <c r="W6" i="2"/>
  <c r="U15" i="2"/>
  <c r="V10" i="2"/>
  <c r="V20" i="2"/>
  <c r="V19" i="2"/>
  <c r="V18" i="2"/>
  <c r="V16" i="2"/>
  <c r="V17" i="2"/>
  <c r="U17" i="2"/>
  <c r="U21" i="2" s="1"/>
  <c r="U20" i="2"/>
  <c r="U19" i="2"/>
  <c r="U16" i="2"/>
  <c r="U18" i="2"/>
  <c r="I67" i="2"/>
  <c r="I66" i="2"/>
  <c r="G66" i="2"/>
  <c r="G67" i="2"/>
  <c r="K66" i="2"/>
  <c r="K67" i="2"/>
  <c r="T62" i="2"/>
  <c r="S62" i="2"/>
  <c r="H66" i="2"/>
  <c r="H67" i="2"/>
  <c r="L66" i="2"/>
  <c r="L67" i="2"/>
  <c r="R31" i="2"/>
  <c r="R21" i="2"/>
  <c r="D34" i="2"/>
  <c r="D33" i="2"/>
  <c r="D32" i="2"/>
  <c r="E34" i="2"/>
  <c r="E33" i="2"/>
  <c r="E32" i="2"/>
  <c r="I34" i="2"/>
  <c r="I33" i="2"/>
  <c r="I32" i="2"/>
  <c r="G34" i="2"/>
  <c r="G33" i="2"/>
  <c r="G32" i="2"/>
  <c r="K33" i="2"/>
  <c r="K32" i="2"/>
  <c r="K34" i="2"/>
  <c r="C33" i="2"/>
  <c r="C32" i="2"/>
  <c r="C34" i="2"/>
  <c r="H33" i="2"/>
  <c r="H32" i="2"/>
  <c r="H34" i="2"/>
  <c r="L34" i="2"/>
  <c r="L32" i="2"/>
  <c r="L33" i="2"/>
  <c r="J13" i="2"/>
  <c r="J12" i="2"/>
  <c r="F13" i="2"/>
  <c r="F12" i="2"/>
  <c r="J10" i="2"/>
  <c r="F15" i="2"/>
  <c r="J15" i="2"/>
  <c r="L17" i="2"/>
  <c r="L79" i="2"/>
  <c r="L80" i="2"/>
  <c r="L78" i="2"/>
  <c r="K17" i="2"/>
  <c r="K79" i="2"/>
  <c r="K78" i="2"/>
  <c r="K80" i="2"/>
  <c r="I76" i="2"/>
  <c r="H76" i="2"/>
  <c r="G76" i="2"/>
  <c r="F76" i="2"/>
  <c r="J76" i="2"/>
  <c r="S16" i="2"/>
  <c r="G187" i="3"/>
  <c r="S6" i="2"/>
  <c r="S5" i="2"/>
  <c r="S4" i="2"/>
  <c r="T3" i="2"/>
  <c r="U3" i="2" s="1"/>
  <c r="O187" i="3"/>
  <c r="S205" i="3" s="1"/>
  <c r="C5" i="1"/>
  <c r="X6" i="2" l="1"/>
  <c r="Y4" i="2"/>
  <c r="W15" i="2"/>
  <c r="W19" i="2" s="1"/>
  <c r="W10" i="2"/>
  <c r="AK41" i="2"/>
  <c r="U35" i="2"/>
  <c r="U23" i="2"/>
  <c r="V21" i="2"/>
  <c r="F66" i="2"/>
  <c r="F67" i="2"/>
  <c r="J66" i="2"/>
  <c r="J67" i="2"/>
  <c r="R35" i="2"/>
  <c r="R23" i="2"/>
  <c r="F34" i="2"/>
  <c r="F33" i="2"/>
  <c r="F32" i="2"/>
  <c r="J34" i="2"/>
  <c r="J33" i="2"/>
  <c r="J32" i="2"/>
  <c r="L21" i="2"/>
  <c r="L31" i="2"/>
  <c r="K21" i="2"/>
  <c r="K31" i="2"/>
  <c r="I17" i="2"/>
  <c r="I80" i="2"/>
  <c r="I78" i="2"/>
  <c r="I79" i="2"/>
  <c r="H17" i="2"/>
  <c r="H78" i="2"/>
  <c r="H80" i="2"/>
  <c r="H79" i="2"/>
  <c r="F79" i="2"/>
  <c r="F78" i="2"/>
  <c r="F80" i="2"/>
  <c r="F17" i="2"/>
  <c r="C8" i="1"/>
  <c r="AI44" i="2"/>
  <c r="AI41" i="2"/>
  <c r="V3" i="2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E17" i="2"/>
  <c r="X222" i="3"/>
  <c r="W16" i="2" l="1"/>
  <c r="W20" i="2"/>
  <c r="W17" i="2"/>
  <c r="W21" i="2" s="1"/>
  <c r="W35" i="2" s="1"/>
  <c r="W18" i="2"/>
  <c r="Z4" i="2"/>
  <c r="Y6" i="2"/>
  <c r="X10" i="2"/>
  <c r="X15" i="2"/>
  <c r="AN44" i="2"/>
  <c r="AI51" i="2"/>
  <c r="AI53" i="2" s="1"/>
  <c r="AK42" i="2"/>
  <c r="U24" i="2"/>
  <c r="U25" i="2" s="1"/>
  <c r="U27" i="2" s="1"/>
  <c r="U39" i="2" s="1"/>
  <c r="V22" i="2" s="1"/>
  <c r="V35" i="2"/>
  <c r="R36" i="2"/>
  <c r="R25" i="2"/>
  <c r="R27" i="2" s="1"/>
  <c r="R29" i="2" s="1"/>
  <c r="L35" i="2"/>
  <c r="L23" i="2"/>
  <c r="K35" i="2"/>
  <c r="K23" i="2"/>
  <c r="I21" i="2"/>
  <c r="I31" i="2"/>
  <c r="H21" i="2"/>
  <c r="H31" i="2"/>
  <c r="E21" i="2"/>
  <c r="E31" i="2"/>
  <c r="F21" i="2"/>
  <c r="F31" i="2"/>
  <c r="G79" i="2"/>
  <c r="T15" i="2"/>
  <c r="G80" i="2"/>
  <c r="G78" i="2"/>
  <c r="G17" i="2"/>
  <c r="C17" i="2"/>
  <c r="J17" i="2"/>
  <c r="J80" i="2"/>
  <c r="J78" i="2"/>
  <c r="J79" i="2"/>
  <c r="AI46" i="2"/>
  <c r="AI45" i="2"/>
  <c r="D17" i="2"/>
  <c r="S15" i="2"/>
  <c r="X212" i="3"/>
  <c r="X211" i="3"/>
  <c r="X214" i="3"/>
  <c r="X221" i="3"/>
  <c r="X213" i="3"/>
  <c r="X224" i="3"/>
  <c r="X220" i="3"/>
  <c r="X216" i="3"/>
  <c r="X219" i="3"/>
  <c r="X223" i="3"/>
  <c r="X218" i="3"/>
  <c r="X215" i="3"/>
  <c r="X217" i="3"/>
  <c r="X17" i="2" l="1"/>
  <c r="X18" i="2"/>
  <c r="X19" i="2"/>
  <c r="X20" i="2"/>
  <c r="X16" i="2"/>
  <c r="Y15" i="2"/>
  <c r="Y10" i="2"/>
  <c r="Z6" i="2"/>
  <c r="AA4" i="2"/>
  <c r="X21" i="2"/>
  <c r="X35" i="2" s="1"/>
  <c r="U37" i="2"/>
  <c r="L36" i="2"/>
  <c r="L25" i="2"/>
  <c r="L27" i="2" s="1"/>
  <c r="K36" i="2"/>
  <c r="K25" i="2"/>
  <c r="K27" i="2" s="1"/>
  <c r="I35" i="2"/>
  <c r="I23" i="2"/>
  <c r="H35" i="2"/>
  <c r="H23" i="2"/>
  <c r="E35" i="2"/>
  <c r="E23" i="2"/>
  <c r="T34" i="2"/>
  <c r="T33" i="2"/>
  <c r="T32" i="2"/>
  <c r="G21" i="2"/>
  <c r="G31" i="2"/>
  <c r="T17" i="2"/>
  <c r="T31" i="2" s="1"/>
  <c r="J21" i="2"/>
  <c r="J31" i="2"/>
  <c r="D21" i="2"/>
  <c r="D31" i="2"/>
  <c r="S34" i="2"/>
  <c r="S33" i="2"/>
  <c r="S32" i="2"/>
  <c r="F35" i="2"/>
  <c r="F23" i="2"/>
  <c r="C21" i="2"/>
  <c r="C31" i="2"/>
  <c r="S17" i="2"/>
  <c r="S31" i="2" s="1"/>
  <c r="AI60" i="2"/>
  <c r="Z15" i="2" l="1"/>
  <c r="Z20" i="2" s="1"/>
  <c r="Z10" i="2"/>
  <c r="Y17" i="2"/>
  <c r="Y19" i="2"/>
  <c r="Y18" i="2"/>
  <c r="Y16" i="2"/>
  <c r="Y20" i="2"/>
  <c r="AA6" i="2"/>
  <c r="AB4" i="2"/>
  <c r="V23" i="2"/>
  <c r="V24" i="2" s="1"/>
  <c r="V25" i="2" s="1"/>
  <c r="V27" i="2" s="1"/>
  <c r="Z19" i="2"/>
  <c r="Z18" i="2"/>
  <c r="Z17" i="2"/>
  <c r="Z16" i="2"/>
  <c r="K29" i="2"/>
  <c r="K69" i="2"/>
  <c r="K68" i="2"/>
  <c r="L29" i="2"/>
  <c r="L69" i="2"/>
  <c r="L68" i="2"/>
  <c r="I36" i="2"/>
  <c r="I25" i="2"/>
  <c r="I27" i="2" s="1"/>
  <c r="H36" i="2"/>
  <c r="H25" i="2"/>
  <c r="H27" i="2" s="1"/>
  <c r="E36" i="2"/>
  <c r="E25" i="2"/>
  <c r="E27" i="2" s="1"/>
  <c r="E29" i="2" s="1"/>
  <c r="G35" i="2"/>
  <c r="T21" i="2"/>
  <c r="T35" i="2" s="1"/>
  <c r="G23" i="2"/>
  <c r="J35" i="2"/>
  <c r="J23" i="2"/>
  <c r="D35" i="2"/>
  <c r="D23" i="2"/>
  <c r="F36" i="2"/>
  <c r="F25" i="2"/>
  <c r="F27" i="2" s="1"/>
  <c r="F37" i="2" s="1"/>
  <c r="C35" i="2"/>
  <c r="S21" i="2"/>
  <c r="S35" i="2" s="1"/>
  <c r="C23" i="2"/>
  <c r="Y21" i="2" l="1"/>
  <c r="Y35" i="2" s="1"/>
  <c r="AA10" i="2"/>
  <c r="AA15" i="2"/>
  <c r="AC4" i="2"/>
  <c r="AB6" i="2"/>
  <c r="V37" i="2"/>
  <c r="V39" i="2"/>
  <c r="W22" i="2" s="1"/>
  <c r="W23" i="2" s="1"/>
  <c r="W24" i="2" s="1"/>
  <c r="W25" i="2" s="1"/>
  <c r="W27" i="2" s="1"/>
  <c r="Z21" i="2"/>
  <c r="Z35" i="2" s="1"/>
  <c r="I29" i="2"/>
  <c r="I69" i="2"/>
  <c r="I68" i="2"/>
  <c r="H29" i="2"/>
  <c r="H69" i="2"/>
  <c r="H68" i="2"/>
  <c r="F29" i="2"/>
  <c r="F69" i="2"/>
  <c r="F68" i="2"/>
  <c r="G36" i="2"/>
  <c r="T23" i="2"/>
  <c r="T36" i="2" s="1"/>
  <c r="G25" i="2"/>
  <c r="J36" i="2"/>
  <c r="J25" i="2"/>
  <c r="J27" i="2" s="1"/>
  <c r="D36" i="2"/>
  <c r="D25" i="2"/>
  <c r="D27" i="2" s="1"/>
  <c r="D29" i="2" s="1"/>
  <c r="C36" i="2"/>
  <c r="S23" i="2"/>
  <c r="S36" i="2" s="1"/>
  <c r="C25" i="2"/>
  <c r="AA19" i="2" l="1"/>
  <c r="AA18" i="2"/>
  <c r="AA16" i="2"/>
  <c r="AA20" i="2"/>
  <c r="AA17" i="2"/>
  <c r="AD4" i="2"/>
  <c r="AD6" i="2" s="1"/>
  <c r="AC6" i="2"/>
  <c r="AB10" i="2"/>
  <c r="AB15" i="2"/>
  <c r="AA21" i="2"/>
  <c r="AA35" i="2" s="1"/>
  <c r="W37" i="2"/>
  <c r="W39" i="2"/>
  <c r="X22" i="2" s="1"/>
  <c r="X23" i="2" s="1"/>
  <c r="J29" i="2"/>
  <c r="J69" i="2"/>
  <c r="J68" i="2"/>
  <c r="T25" i="2"/>
  <c r="G27" i="2"/>
  <c r="S25" i="2"/>
  <c r="C27" i="2"/>
  <c r="C37" i="2" s="1"/>
  <c r="AB17" i="2" l="1"/>
  <c r="AB18" i="2"/>
  <c r="AB20" i="2"/>
  <c r="AB16" i="2"/>
  <c r="AB19" i="2"/>
  <c r="AD15" i="2"/>
  <c r="AD10" i="2"/>
  <c r="AC10" i="2"/>
  <c r="AC15" i="2"/>
  <c r="X24" i="2"/>
  <c r="X25" i="2" s="1"/>
  <c r="X27" i="2" s="1"/>
  <c r="AC17" i="2"/>
  <c r="AC20" i="2"/>
  <c r="AC16" i="2"/>
  <c r="AC19" i="2"/>
  <c r="AC18" i="2"/>
  <c r="AB21" i="2"/>
  <c r="AB35" i="2" s="1"/>
  <c r="G69" i="2"/>
  <c r="G68" i="2"/>
  <c r="T27" i="2"/>
  <c r="G29" i="2"/>
  <c r="T29" i="2" s="1"/>
  <c r="C29" i="2"/>
  <c r="S29" i="2" s="1"/>
  <c r="S27" i="2"/>
  <c r="S37" i="2" s="1"/>
  <c r="AD19" i="2" l="1"/>
  <c r="AD16" i="2"/>
  <c r="AD17" i="2"/>
  <c r="AD20" i="2"/>
  <c r="AD18" i="2"/>
  <c r="AC21" i="2"/>
  <c r="AC35" i="2" s="1"/>
  <c r="X37" i="2"/>
  <c r="X39" i="2"/>
  <c r="Y22" i="2" s="1"/>
  <c r="Y23" i="2" s="1"/>
  <c r="Y24" i="2" s="1"/>
  <c r="Y25" i="2" s="1"/>
  <c r="Y27" i="2" s="1"/>
  <c r="AD21" i="2" l="1"/>
  <c r="AD35" i="2" s="1"/>
  <c r="Y39" i="2"/>
  <c r="Z22" i="2" s="1"/>
  <c r="Y37" i="2"/>
  <c r="Z23" i="2" l="1"/>
  <c r="Z24" i="2" l="1"/>
  <c r="Z25" i="2" s="1"/>
  <c r="Z27" i="2" s="1"/>
  <c r="Z39" i="2" l="1"/>
  <c r="AA22" i="2" s="1"/>
  <c r="Z37" i="2"/>
  <c r="AA23" i="2" l="1"/>
  <c r="AA24" i="2" l="1"/>
  <c r="AA25" i="2" s="1"/>
  <c r="AA27" i="2" s="1"/>
  <c r="AA39" i="2" l="1"/>
  <c r="AB22" i="2" s="1"/>
  <c r="AA37" i="2"/>
  <c r="AB23" i="2" l="1"/>
  <c r="AB24" i="2" l="1"/>
  <c r="AB25" i="2" s="1"/>
  <c r="AB27" i="2" s="1"/>
  <c r="AB39" i="2" l="1"/>
  <c r="AC22" i="2" s="1"/>
  <c r="AB37" i="2"/>
  <c r="AC23" i="2" l="1"/>
  <c r="AC24" i="2" l="1"/>
  <c r="AC25" i="2"/>
  <c r="AC27" i="2" s="1"/>
  <c r="AC39" i="2" l="1"/>
  <c r="AD22" i="2" s="1"/>
  <c r="AC37" i="2"/>
  <c r="AD23" i="2" l="1"/>
  <c r="AD24" i="2" l="1"/>
  <c r="AD25" i="2" s="1"/>
  <c r="AD27" i="2" s="1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BA27" i="2" s="1"/>
  <c r="BB27" i="2" s="1"/>
  <c r="BC27" i="2" s="1"/>
  <c r="BD27" i="2" s="1"/>
  <c r="BE27" i="2" s="1"/>
  <c r="BF27" i="2" s="1"/>
  <c r="BG27" i="2" s="1"/>
  <c r="BH27" i="2" s="1"/>
  <c r="BI27" i="2" s="1"/>
  <c r="BJ27" i="2" s="1"/>
  <c r="BK27" i="2" s="1"/>
  <c r="BL27" i="2" s="1"/>
  <c r="BM27" i="2" s="1"/>
  <c r="BN27" i="2" s="1"/>
  <c r="BO27" i="2" s="1"/>
  <c r="BP27" i="2" s="1"/>
  <c r="BQ27" i="2" s="1"/>
  <c r="BR27" i="2" s="1"/>
  <c r="BS27" i="2" s="1"/>
  <c r="BT27" i="2" s="1"/>
  <c r="BU27" i="2" s="1"/>
  <c r="BV27" i="2" s="1"/>
  <c r="BW27" i="2" s="1"/>
  <c r="BX27" i="2" s="1"/>
  <c r="BY27" i="2" s="1"/>
  <c r="BZ27" i="2" s="1"/>
  <c r="CA27" i="2" s="1"/>
  <c r="CB27" i="2" s="1"/>
  <c r="AD39" i="2" l="1"/>
  <c r="AN46" i="2"/>
  <c r="AN48" i="2" s="1"/>
  <c r="AN50" i="2" s="1"/>
  <c r="AD37" i="2"/>
  <c r="AO50" i="2" l="1"/>
  <c r="AM5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<sst xmlns="http://schemas.openxmlformats.org/spreadsheetml/2006/main" count="754" uniqueCount="458">
  <si>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</si>
  <si>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</si>
  <si>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</si>
  <si>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</si>
  <si>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</si>
  <si>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</si>
  <si>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</si>
  <si>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</si>
  <si>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</si>
  <si>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</si>
  <si>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</si>
  <si>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</si>
  <si>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</si>
  <si>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</si>
  <si>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</si>
  <si>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</si>
  <si>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</si>
  <si>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</si>
  <si>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</si>
  <si>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</si>
  <si>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</si>
  <si>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</si>
  <si>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</si>
  <si>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</si>
  <si>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</si>
  <si>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</si>
  <si>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</si>
  <si>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</si>
  <si>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</si>
  <si>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</si>
  <si>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</si>
  <si>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</si>
  <si>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</si>
  <si>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</si>
  <si>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</si>
  <si>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</si>
  <si>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</si>
  <si>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</si>
  <si>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</si>
  <si>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</si>
  <si>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</si>
  <si>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</si>
  <si>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</si>
  <si>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</si>
  <si>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2024</t>
  </si>
  <si>
    <t>Q1 2025</t>
  </si>
  <si>
    <t>[Use for Graphing]</t>
  </si>
  <si>
    <t>Quarterly</t>
  </si>
  <si>
    <t>Revenues</t>
  </si>
  <si>
    <t>Ttl Revenues</t>
  </si>
  <si>
    <t>U.S. Revenues</t>
  </si>
  <si>
    <t>U.S. % of Revenues</t>
  </si>
  <si>
    <t>COGS</t>
  </si>
  <si>
    <t>GP</t>
  </si>
  <si>
    <t>Gross Profit Margin</t>
  </si>
  <si>
    <t>R&amp;D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</si>
  <si>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</si>
  <si>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</si>
  <si>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</si>
  <si>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</si>
  <si>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</si>
  <si>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</si>
  <si>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</si>
  <si>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Cash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</si>
  <si>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</si>
  <si>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</si>
  <si>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</si>
  <si>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</si>
  <si>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</si>
  <si>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</si>
  <si>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</si>
  <si>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</si>
  <si>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</si>
  <si>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</si>
  <si>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</si>
  <si>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</si>
  <si>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</si>
  <si>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</si>
  <si>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</si>
  <si>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</si>
  <si>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</si>
  <si>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</si>
  <si>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</si>
  <si>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</si>
  <si>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</si>
  <si>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</si>
  <si>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</si>
  <si>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</si>
  <si>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</si>
  <si>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</si>
  <si>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</si>
  <si>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</si>
  <si>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</si>
  <si>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</si>
  <si>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</si>
  <si>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</si>
  <si>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</si>
  <si>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</si>
  <si>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</si>
  <si>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</si>
  <si>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</si>
  <si>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</si>
  <si>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</si>
  <si>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</si>
  <si>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</si>
  <si>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</si>
  <si>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</si>
  <si>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</si>
  <si>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</si>
  <si>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</si>
  <si>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</si>
  <si>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</si>
  <si>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</si>
  <si>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</si>
  <si>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</si>
  <si>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</si>
  <si>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</si>
  <si>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</si>
  <si>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</si>
  <si>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</si>
  <si>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</si>
  <si>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</si>
  <si>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</si>
  <si>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</si>
  <si>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</si>
  <si>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</si>
  <si>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</si>
  <si>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</si>
  <si>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</si>
  <si>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</si>
  <si>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</si>
  <si>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</si>
  <si>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</si>
  <si>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LT Debt / Equity</t>
  </si>
  <si>
    <t>CFFO Margin</t>
  </si>
  <si>
    <t>FCF Margin</t>
  </si>
  <si>
    <t>CapEx as % of Revenue</t>
  </si>
  <si>
    <t>Q1 2026</t>
  </si>
  <si>
    <t>FIG</t>
  </si>
  <si>
    <t>10/22/2026</t>
  </si>
  <si>
    <t>Figma, Inc. (FIG)</t>
  </si>
  <si>
    <t>Founder(s): Dylan Field and Evan Wallace</t>
  </si>
  <si>
    <t>https://stockanalysis.com/stocks/fig/company/</t>
  </si>
  <si>
    <t>https://www.sec.gov/edgar/browse/?CIK=1579878&amp;owner=exclude</t>
  </si>
  <si>
    <t>https://www.figma.com/</t>
  </si>
  <si>
    <t>https://investor.figma.com/overview/default.aspx</t>
  </si>
  <si>
    <t>https://seekingalpha.com/symbol/FIG/earnings/transcripts</t>
  </si>
  <si>
    <t>https://www.macrotrends.net/stocks/charts/FIG/figma/income-statement</t>
  </si>
  <si>
    <t>https://www.gurufocus.com/term/wacc/FIG</t>
  </si>
  <si>
    <t>Founded: 2012</t>
  </si>
  <si>
    <t>Headquarters: San Francisco, CA</t>
  </si>
  <si>
    <t>Current CEO: Dylan Field</t>
  </si>
  <si>
    <t>Employees: 1,886</t>
  </si>
  <si>
    <t>Industry: Software Services</t>
  </si>
  <si>
    <t>Sector: Technology</t>
  </si>
  <si>
    <t>IPO: Jul 31, 2025 -- $19.3B valuation</t>
  </si>
  <si>
    <t>Fiscal Year: [January - December]</t>
  </si>
  <si>
    <t>Registered Exchange: NASDAQ</t>
  </si>
  <si>
    <t>Address: 760 Market Street, San Francisco, CA 94102 U.S.</t>
  </si>
  <si>
    <t>(415) 890 - 5404</t>
  </si>
  <si>
    <t>Figma, Inc. develops and sells a collaborative, browser-based platform for designing, prototyping, building digital experiences, and subscriptions for access to its platform</t>
  </si>
  <si>
    <t>Dev Mode to inspect designs and translate them into code without changing the design file</t>
  </si>
  <si>
    <t>FigJam to define ideas, align decisions, and move work forward—all in one place</t>
  </si>
  <si>
    <t>Figma Slides, a presentation tool built for designers and their teams</t>
  </si>
  <si>
    <t>It also provides Figma Draw to create expressive designs with illustration tools; Figma Buzz, which publishes brand templates to create social media assets, display ads, one-pagers, and others</t>
  </si>
  <si>
    <t>The Company offers Figma Design, a collaborative design tool for teams that explore ideas and gather feedback, build realistic prototypes, and streamline product development with design systems</t>
  </si>
  <si>
    <t>Figma Sites to design, prototype, and publish; Payload CMS is an open-source, headless content management system and application framework acquired by Figma; Figma Make, an AI tool to design and prompt way to a functional prototype; Figma Weave for AI-powered media generation and editing</t>
  </si>
  <si>
    <t>The Company was incorporated in 2012 and is headquartered in San Francisco, California</t>
  </si>
  <si>
    <t>U.S. Growth Y/y</t>
  </si>
  <si>
    <t>International % of Revenues</t>
  </si>
  <si>
    <t>R&amp;D</t>
  </si>
  <si>
    <t>S&amp;M</t>
  </si>
  <si>
    <t>G&amp;A</t>
  </si>
  <si>
    <t>OI</t>
  </si>
  <si>
    <t>Other Income</t>
  </si>
  <si>
    <t>Pretax Income</t>
  </si>
  <si>
    <t>Taxes</t>
  </si>
  <si>
    <t>Net Income attr to FIG</t>
  </si>
  <si>
    <t>non-controlling interests</t>
  </si>
  <si>
    <t>Q2'26</t>
  </si>
  <si>
    <t>S&amp;M as % of Revenue</t>
  </si>
  <si>
    <t>G&amp;A as % of Revenue</t>
  </si>
  <si>
    <t>A/R</t>
  </si>
  <si>
    <t>Other ST Assets</t>
  </si>
  <si>
    <t>PP&amp;E</t>
  </si>
  <si>
    <t>Intangibles</t>
  </si>
  <si>
    <t>Goodwill</t>
  </si>
  <si>
    <t>LT Operating Lease Assets</t>
  </si>
  <si>
    <t>LT Restricted Cash</t>
  </si>
  <si>
    <t>Other LT Assets</t>
  </si>
  <si>
    <t>A/P</t>
  </si>
  <si>
    <t>ST Accrued &amp; Other Liabilities</t>
  </si>
  <si>
    <t>ST Operating Lease Liabilities</t>
  </si>
  <si>
    <t>ST Comp Liabilities</t>
  </si>
  <si>
    <t>ST Deferred Revenues</t>
  </si>
  <si>
    <t>LT Operating Lease</t>
  </si>
  <si>
    <t>Other LT Liabilities</t>
  </si>
  <si>
    <t>LT Investments</t>
  </si>
  <si>
    <t>Thu, 22 Oct 2026 00:00:00 GMT</t>
  </si>
  <si>
    <t>Wed, 21 Oct 2026 00:00:00 GMT</t>
  </si>
  <si>
    <t>Tue, 20 Oct 2026 00:00:00 GMT</t>
  </si>
  <si>
    <t>Mon, 19 Oct 2026 00:00:00 GMT</t>
  </si>
  <si>
    <t>Fri, 16 Oct 2026 00:00:00 GMT</t>
  </si>
  <si>
    <t>Thu, 15 Oct 2026 00:00:00 GMT</t>
  </si>
  <si>
    <t>Wed, 14 Oct 2026 00:00:00 GMT</t>
  </si>
  <si>
    <t>Tue, 13 Oct 2026 00:00:00 GMT</t>
  </si>
  <si>
    <t>Mon, 12 Oct 2026 00:00:00 GMT</t>
  </si>
  <si>
    <t>Fri, 09 Oct 2026 00:00:00 GMT</t>
  </si>
  <si>
    <t>Thu, 08 Oct 2026 00:00:00 GMT</t>
  </si>
  <si>
    <t>Wed, 07 Oct 2026 00:00:00 GMT</t>
  </si>
  <si>
    <t>Tue, 06 Oct 2026 00:00:00 GMT</t>
  </si>
  <si>
    <t>Mon, 05 Oct 2026 00:00:00 GMT</t>
  </si>
  <si>
    <t>Fri, 02 Oct 2026 00:00:00 GMT</t>
  </si>
  <si>
    <t>Thu, 01 Oct 2026 00:00:00 GMT</t>
  </si>
  <si>
    <t>Wed, 30 Sep 2026 00:00:00 GMT</t>
  </si>
  <si>
    <t>Tue, 29 Sep 2026 00:00:00 GMT</t>
  </si>
  <si>
    <t>Mon, 28 Sep 2026 00:00:00 GMT</t>
  </si>
  <si>
    <t>Fri, 25 Sep 2026 00:00:00 GMT</t>
  </si>
  <si>
    <t>Thu, 24 Sep 2026 00:00:00 GMT</t>
  </si>
  <si>
    <t>Wed, 23 Sep 2026 00:00:00 GMT</t>
  </si>
  <si>
    <t>Tue, 22 Sep 2026 00:00:00 GMT</t>
  </si>
  <si>
    <t>Mon, 21 Sep 2026 00:00:00 GMT</t>
  </si>
  <si>
    <t>Fri, 18 Sep 2026 00:00:00 GMT</t>
  </si>
  <si>
    <t>Thu, 17 Sep 2026 00:00:00 GMT</t>
  </si>
  <si>
    <t>Wed, 16 Sep 2026 00:00:00 GMT</t>
  </si>
  <si>
    <t>Tue, 15 Sep 2026 00:00:00 GMT</t>
  </si>
  <si>
    <t>Mon, 14 Sep 2026 00:00:00 GMT</t>
  </si>
  <si>
    <t>Fri, 11 Sep 2026 00:00:00 GMT</t>
  </si>
  <si>
    <t>Thu, 10 Sep 2026 00:00:00 GMT</t>
  </si>
  <si>
    <t>Wed, 09 Sep 2026 00:00:00 GMT</t>
  </si>
  <si>
    <t>Tue, 08 Sep 2026 00:00:00 GMT</t>
  </si>
  <si>
    <t>Fri, 04 Sep 2026 00:00:00 GMT</t>
  </si>
  <si>
    <t>Thu, 03 Sep 2026 00:00:00 GMT</t>
  </si>
  <si>
    <t>Wed, 02 Sep 2026 00:00:00 GMT</t>
  </si>
  <si>
    <t>Tue, 01 Sep 2026 00:00:00 GMT</t>
  </si>
  <si>
    <t>Mon, 31 Aug 2026 00:00:00 GMT</t>
  </si>
  <si>
    <t>Fri, 28 Aug 2026 00:00:00 GMT</t>
  </si>
  <si>
    <t>Thu, 27 Aug 2026 00:00:00 GMT</t>
  </si>
  <si>
    <t>Wed, 26 Aug 2026 00:00:00 GMT</t>
  </si>
  <si>
    <t>Tue, 25 Aug 2026 00:00:00 GMT</t>
  </si>
  <si>
    <t>Mon, 24 Aug 2026 00:00:00 GMT</t>
  </si>
  <si>
    <t>Fri, 21 Aug 2026 00:00:00 GMT</t>
  </si>
  <si>
    <t>Thu, 20 Aug 2026 00:00:00 GMT</t>
  </si>
  <si>
    <t>Wed, 19 Aug 2026 00:00:00 GMT</t>
  </si>
  <si>
    <t>Tue, 18 Aug 2026 00:00:00 GMT</t>
  </si>
  <si>
    <t>Mon, 17 Aug 2026 00:00:00 GMT</t>
  </si>
  <si>
    <t>Fri, 14 Aug 2026 00:00:00 GMT</t>
  </si>
  <si>
    <t>Thu, 13 Aug 2026 00:00:00 GMT</t>
  </si>
  <si>
    <t>Wed, 12 Aug 2026 00:00:00 GMT</t>
  </si>
  <si>
    <t>Tue, 11 Aug 2026 00:00:00 GMT</t>
  </si>
  <si>
    <t>Mon, 10 Aug 2026 00:00:00 GMT</t>
  </si>
  <si>
    <t>Fri, 07 Aug 2026 00:00:00 GMT</t>
  </si>
  <si>
    <t>Thu, 06 Aug 2026 00:00:00 GMT</t>
  </si>
  <si>
    <t>Wed, 05 Aug 2026 00:00:00 GMT</t>
  </si>
  <si>
    <t>Tue, 04 Aug 2026 00:00:00 GMT</t>
  </si>
  <si>
    <t>Mon, 03 Aug 2026 00:00:00 GMT</t>
  </si>
  <si>
    <t>Fri, 31 Jul 2026 00:00:00 GMT</t>
  </si>
  <si>
    <t>Thu, 30 Jul 2026 00:00:00 GMT</t>
  </si>
  <si>
    <t>Wed, 29 Jul 2026 00:00:00 GMT</t>
  </si>
  <si>
    <t>Tue, 28 Jul 2026 00:00:00 GMT</t>
  </si>
  <si>
    <t>Mon, 27 Jul 2026 00:00:00 GMT</t>
  </si>
  <si>
    <t>Fri, 24 Jul 2026 00:00:00 GMT</t>
  </si>
  <si>
    <t>Thu, 23 Jul 2026 00:00:00 GMT</t>
  </si>
  <si>
    <t>Wed, 22 Jul 2026 00:00:00 GMT</t>
  </si>
  <si>
    <t>Tue, 21 Jul 2026 00:00:00 GMT</t>
  </si>
  <si>
    <t>Mon, 20 Jul 2026 00:00:00 GMT</t>
  </si>
  <si>
    <t>Fri, 17 Jul 2026 00:00:00 GMT</t>
  </si>
  <si>
    <t>Thu, 16 Jul 2026 00:00:00 GMT</t>
  </si>
  <si>
    <t>Wed, 15 Jul 2026 00:00:00 GMT</t>
  </si>
  <si>
    <t>Tue, 14 Jul 2026 00:00:00 GMT</t>
  </si>
  <si>
    <t>Mon, 13 Jul 2026 00:00:00 GMT</t>
  </si>
  <si>
    <t>Fri, 10 Jul 2026 00:00:00 GMT</t>
  </si>
  <si>
    <t>Thu, 09 Jul 2026 00:00:00 GMT</t>
  </si>
  <si>
    <t>Wed, 08 Jul 2026 00:00:00 GMT</t>
  </si>
  <si>
    <t>Tue, 07 Jul 2026 00:00:00 GMT</t>
  </si>
  <si>
    <t>Mon, 06 Jul 2026 00:00:00 GMT</t>
  </si>
  <si>
    <t>Thu, 02 Jul 2026 00:00:00 GMT</t>
  </si>
  <si>
    <t>Wed, 01 Jul 2026 00:00:00 GMT</t>
  </si>
  <si>
    <t>Tue, 30 Jun 2026 00:00:00 GMT</t>
  </si>
  <si>
    <t>Mon, 29 Jun 2026 00:00:00 GMT</t>
  </si>
  <si>
    <t>Fri, 26 Jun 2026 00:00:00 GMT</t>
  </si>
  <si>
    <t>Thu, 25 Jun 2026 00:00:00 GMT</t>
  </si>
  <si>
    <t>Wed, 24 Jun 2026 00:00:00 GMT</t>
  </si>
  <si>
    <t>Tue, 23 Jun 2026 00:00:00 GMT</t>
  </si>
  <si>
    <t>Mon, 22 Jun 2026 00:00:00 GMT</t>
  </si>
  <si>
    <t>Thu, 18 Jun 2026 00:00:00 GMT</t>
  </si>
  <si>
    <t>Wed, 17 Jun 2026 00:00:00 GMT</t>
  </si>
  <si>
    <t>Tue, 16 Jun 2026 00:00:00 GMT</t>
  </si>
  <si>
    <t>Mon, 15 Jun 2026 00:00:00 GMT</t>
  </si>
  <si>
    <t>Fri, 12 Jun 2026 00:00:00 GMT</t>
  </si>
  <si>
    <t>Thu, 11 Jun 2026 00:00:00 GMT</t>
  </si>
  <si>
    <t>Wed, 10 Jun 2026 00:00:00 GMT</t>
  </si>
  <si>
    <t>Tue, 09 Jun 2026 00:00:00 GMT</t>
  </si>
  <si>
    <t>Mon, 08 Jun 2026 00:00:00 GMT</t>
  </si>
  <si>
    <t>Fri, 05 Jun 2026 00:00:00 GMT</t>
  </si>
  <si>
    <t>Thu, 04 Jun 2026 00:00:00 GMT</t>
  </si>
  <si>
    <t>Wed, 03 Jun 2026 00:00:00 GMT</t>
  </si>
  <si>
    <t>Tue, 02 Jun 2026 00:00:00 GMT</t>
  </si>
  <si>
    <t>Mon, 01 Jun 2026 00:00:00 GMT</t>
  </si>
  <si>
    <t>Fri, 29 May 2026 00:00:00 GMT</t>
  </si>
  <si>
    <t>Thu, 28 May 2026 00:00:00 GMT</t>
  </si>
  <si>
    <t>Wed, 27 May 2026 00:00:00 GMT</t>
  </si>
  <si>
    <t>Tue, 26 May 2026 00:00:00 GMT</t>
  </si>
  <si>
    <t>Fri, 22 May 2026 00:00:00 GMT</t>
  </si>
  <si>
    <t>Thu, 21 May 2026 00:00:00 GMT</t>
  </si>
  <si>
    <t>Wed, 20 May 2026 00:00:00 GMT</t>
  </si>
  <si>
    <t>Tue, 19 May 2026 00:00:00 GMT</t>
  </si>
  <si>
    <t>Mon, 18 May 2026 00:00:00 GMT</t>
  </si>
  <si>
    <t>Fri, 15 May 2026 00:00:00 GMT</t>
  </si>
  <si>
    <t>Thu, 14 May 2026 00:00:00 GMT</t>
  </si>
  <si>
    <t>Wed, 13 May 2026 00:00:00 GMT</t>
  </si>
  <si>
    <t>Tue, 12 May 2026 00:00:00 GMT</t>
  </si>
  <si>
    <t>Mon, 11 May 2026 00:00:00 GMT</t>
  </si>
  <si>
    <t>Fri, 08 May 2026 00:00:00 GMT</t>
  </si>
  <si>
    <t>Thu, 07 May 2026 00:00:00 GMT</t>
  </si>
  <si>
    <t>Wed, 06 May 2026 00:00:00 GMT</t>
  </si>
  <si>
    <t>Tue, 05 May 2026 00:00:00 GMT</t>
  </si>
  <si>
    <t>Mon, 04 May 2026 00:00:00 GMT</t>
  </si>
  <si>
    <t>Fri, 01 May 2026 00:00:00 GMT</t>
  </si>
  <si>
    <t>Thu, 30 Apr 2026 00:00:00 GMT</t>
  </si>
  <si>
    <t>Wed, 29 Apr 2026 00:00:00 GMT</t>
  </si>
  <si>
    <t>Tue, 28 Apr 2026 00:00:00 GMT</t>
  </si>
  <si>
    <t>Mon, 27 Apr 2026 00:00:00 GMT</t>
  </si>
  <si>
    <t>Fri, 24 Apr 2026 00:00:00 GMT</t>
  </si>
  <si>
    <t>Thu, 23 Apr 2026 00:00:00 GMT</t>
  </si>
  <si>
    <t>Wed, 22 Apr 2026 00:00:00 GMT</t>
  </si>
  <si>
    <t>Tue, 21 Apr 2026 00:00:00 GMT</t>
  </si>
  <si>
    <t>Mon, 20 Apr 2026 00:00:00 GMT</t>
  </si>
  <si>
    <t>Fri, 17 Apr 2026 00:00:00 GMT</t>
  </si>
  <si>
    <t>Thu, 16 Apr 2026 00:00:00 GMT</t>
  </si>
  <si>
    <t>Wed, 15 Apr 2026 00:00:00 GMT</t>
  </si>
  <si>
    <t>Tue, 14 Apr 2026 00:00:00 GMT</t>
  </si>
  <si>
    <t>Mon, 13 Apr 2026 00:00:00 GMT</t>
  </si>
  <si>
    <t>Fri, 10 Apr 2026 00:00:00 GMT</t>
  </si>
  <si>
    <t>Thu, 09 Apr 2026 00:00:00 GMT</t>
  </si>
  <si>
    <t>Wed, 08 Apr 2026 00:00:00 GMT</t>
  </si>
  <si>
    <t>Tue, 07 Apr 2026 00:00:00 GMT</t>
  </si>
  <si>
    <t>Mon, 06 Apr 2026 00:00:00 GMT</t>
  </si>
  <si>
    <t>Thu, 02 Apr 2026 00:00:00 GMT</t>
  </si>
  <si>
    <t>Wed, 01 Apr 2026 00:00:00 GMT</t>
  </si>
  <si>
    <t>Tue, 31 Mar 2026 00:00:00 GMT</t>
  </si>
  <si>
    <t>Mon, 30 Mar 2026 00:00:00 GMT</t>
  </si>
  <si>
    <t>Fri, 27 Mar 2026 00:00:00 GMT</t>
  </si>
  <si>
    <t>Thu, 26 Mar 2026 00:00:00 GMT</t>
  </si>
  <si>
    <t>Wed, 25 Mar 2026 00:00:00 GMT</t>
  </si>
  <si>
    <t>Tue, 24 Mar 2026 00:00:00 GMT</t>
  </si>
  <si>
    <t>Mon, 23 Mar 2026 00:00:00 GMT</t>
  </si>
  <si>
    <t>Fri, 20 Mar 2026 00:00:00 GMT</t>
  </si>
  <si>
    <t>Thu, 19 Mar 2026 00:00:00 GMT</t>
  </si>
  <si>
    <t>Wed, 18 Mar 2026 00:00:00 GMT</t>
  </si>
  <si>
    <t>Tue, 17 Mar 2026 00:00:00 GMT</t>
  </si>
  <si>
    <t>Mon, 16 Mar 2026 00:00:00 GMT</t>
  </si>
  <si>
    <t>Fri, 13 Mar 2026 00:00:00 GMT</t>
  </si>
  <si>
    <t>Thu, 12 Mar 2026 00:00:00 GMT</t>
  </si>
  <si>
    <t>Wed, 11 Mar 2026 00:00:00 GMT</t>
  </si>
  <si>
    <t>Tue, 10 Mar 2026 00:00:00 GMT</t>
  </si>
  <si>
    <t>Mon, 09 Mar 2026 00:00:00 GMT</t>
  </si>
  <si>
    <t>Fri, 06 Mar 2026 00:00:00 GMT</t>
  </si>
  <si>
    <t>Thu, 05 Mar 2026 00:00:00 GMT</t>
  </si>
  <si>
    <t>Wed, 04 Mar 2026 00:00:00 GMT</t>
  </si>
  <si>
    <t>Tue, 03 Mar 2026 00:00:00 GMT</t>
  </si>
  <si>
    <t>Mon, 02 Mar 2026 00:00:00 GMT</t>
  </si>
  <si>
    <t>Fri, 27 Feb 2026 00:00:00 GMT</t>
  </si>
  <si>
    <t>Thu, 26 Feb 2026 00:00:00 GMT</t>
  </si>
  <si>
    <t>Wed, 25 Feb 2026 00:00:00 GMT</t>
  </si>
  <si>
    <t>Tue, 24 Feb 2026 00:00:00 GMT</t>
  </si>
  <si>
    <t>Mon, 23 Feb 2026 00:00:00 GMT</t>
  </si>
  <si>
    <t>Fri, 20 Feb 2026 00:00:00 GMT</t>
  </si>
  <si>
    <t>Thu, 19 Feb 2026 00:00:00 GMT</t>
  </si>
  <si>
    <t>Wed, 18 Feb 2026 00:00:00 GMT</t>
  </si>
  <si>
    <t>Tue, 17 Feb 2026 00:00:00 GMT</t>
  </si>
  <si>
    <t>Fri, 13 Feb 2026 00:00:00 GMT</t>
  </si>
  <si>
    <t>Thu, 12 Feb 2026 00:00:00 GMT</t>
  </si>
  <si>
    <t>Wed, 11 Feb 2026 00:00:00 GMT</t>
  </si>
  <si>
    <t>Tue, 10 Feb 2026 00:00:00 GMT</t>
  </si>
  <si>
    <t>Mon, 09 Feb 2026 00:00:00 GMT</t>
  </si>
  <si>
    <t>Fri, 06 Feb 2026 00:00:00 GMT</t>
  </si>
  <si>
    <t>Thu, 05 Feb 2026 00:00:00 GMT</t>
  </si>
  <si>
    <t>Wed, 04 Feb 2026 00:00:00 GMT</t>
  </si>
  <si>
    <t>Tue, 03 Feb 2026 00:00:00 GMT</t>
  </si>
  <si>
    <t>Mon, 02 Feb 2026 00:00:00 GMT</t>
  </si>
  <si>
    <t>Fri, 30 Jan 2026 00:00:00 GMT</t>
  </si>
  <si>
    <t>Thu, 29 Jan 2026 00:00:00 GMT</t>
  </si>
  <si>
    <t>Wed, 28 Jan 2026 00:00:00 GMT</t>
  </si>
  <si>
    <t>Tue, 27 Jan 2026 00:00:00 GMT</t>
  </si>
  <si>
    <t>Mon, 26 Jan 2026 00:00:00 GMT</t>
  </si>
  <si>
    <t>Fri, 23 Jan 2026 00:00:00 GMT</t>
  </si>
  <si>
    <t>Thu, 22 Jan 2026 00:00:00 GMT</t>
  </si>
  <si>
    <t>Wed, 21 Jan 2026 00:00:00 GMT</t>
  </si>
  <si>
    <t>Tue, 20 Jan 2026 00:00:00 GMT</t>
  </si>
  <si>
    <t>Fri, 16 Jan 2026 00:00:00 GMT</t>
  </si>
  <si>
    <t>Thu, 15 Jan 2026 00:00:00 GMT</t>
  </si>
  <si>
    <t>Wed, 14 Jan 2026 00:00:00 GMT</t>
  </si>
  <si>
    <t>Tue, 13 Jan 2026 00:00:00 GMT</t>
  </si>
  <si>
    <t>Mon, 12 Jan 2026 00:00:00 GMT</t>
  </si>
  <si>
    <t>Fri, 09 Jan 2026 00:00:00 GMT</t>
  </si>
  <si>
    <t>Thu, 08 Jan 2026 00:00:00 GMT</t>
  </si>
  <si>
    <t>Wed, 07 Jan 2026 00:00:00 GMT</t>
  </si>
  <si>
    <t>Tue, 06 Jan 2026 00:00:00 GMT</t>
  </si>
  <si>
    <t>Mon, 05 Jan 2026 00:00:00 GMT</t>
  </si>
  <si>
    <t>Fri, 02 Jan 2026 00:00:00 GMT</t>
  </si>
  <si>
    <t>Wed, 31 Dec 2025 00:00:00 GMT</t>
  </si>
  <si>
    <t>Tue, 30 Dec 2025 00:00:00 GMT</t>
  </si>
  <si>
    <t>Mon, 29 Dec 2025 00:00:00 GMT</t>
  </si>
  <si>
    <t>Fri, 26 Dec 2025 00:00:00 GMT</t>
  </si>
  <si>
    <t>Wed, 24 Dec 2025 00:00:00 GMT</t>
  </si>
  <si>
    <t>Tue, 23 Dec 2025 00:00:00 GMT</t>
  </si>
  <si>
    <t>Mon, 22 Dec 2025 00:00:00 GMT</t>
  </si>
  <si>
    <t>Fri, 19 Dec 2025 00:00:00 GMT</t>
  </si>
  <si>
    <t>Thu, 18 Dec 2025 00:00:00 GMT</t>
  </si>
  <si>
    <t>Wed, 17 Dec 2025 00:00:00 GMT</t>
  </si>
  <si>
    <t>Tue, 16 Dec 2025 00:00:00 GMT</t>
  </si>
  <si>
    <t>Mon, 15 Dec 2025 00:00:00 GMT</t>
  </si>
  <si>
    <t>Fri, 12 Dec 2025 00:00:00 GMT</t>
  </si>
  <si>
    <t>Thu, 11 Dec 2025 00:00:00 GMT</t>
  </si>
  <si>
    <t>Wed, 10 Dec 2025 00:00:00 GMT</t>
  </si>
  <si>
    <t>Tue, 09 Dec 2025 00:00:00 GMT</t>
  </si>
  <si>
    <t>Mon, 08 Dec 2025 00:00:00 GMT</t>
  </si>
  <si>
    <t>Fri, 05 Dec 2025 00:00:00 GMT</t>
  </si>
  <si>
    <t>Thu, 04 Dec 2025 00:00:00 GMT</t>
  </si>
  <si>
    <t>Wed, 03 Dec 2025 00:00:00 GMT</t>
  </si>
  <si>
    <t>Tue, 02 Dec 2025 00:00:00 GMT</t>
  </si>
  <si>
    <t>Mon, 01 Dec 2025 00:00:00 GMT</t>
  </si>
  <si>
    <t>Fri, 28 Nov 2025 00:00:00 GMT</t>
  </si>
  <si>
    <t>Wed, 26 Nov 2025 00:00:00 GMT</t>
  </si>
  <si>
    <t>Tue, 25 Nov 2025 00:00:00 GMT</t>
  </si>
  <si>
    <t>Mon, 24 Nov 2025 00:00:00 GMT</t>
  </si>
  <si>
    <t>Fri, 21 Nov 2025 00:00:00 GMT</t>
  </si>
  <si>
    <t>Thu, 20 Nov 2025 00:00:00 GMT</t>
  </si>
  <si>
    <t>Wed, 19 Nov 2025 00:00:00 GMT</t>
  </si>
  <si>
    <t>Tue, 18 Nov 2025 00:00:00 GMT</t>
  </si>
  <si>
    <t>Mon, 17 Nov 2025 00:00:00 GMT</t>
  </si>
  <si>
    <t>Fri, 14 Nov 2025 00:00:00 GMT</t>
  </si>
  <si>
    <t>Thu, 13 Nov 2025 00:00:00 GMT</t>
  </si>
  <si>
    <t>Wed, 12 Nov 2025 00:00:00 GMT</t>
  </si>
  <si>
    <t>Tue, 11 Nov 2025 00:00:00 GMT</t>
  </si>
  <si>
    <t>Mon, 10 Nov 2025 00:00:00 GMT</t>
  </si>
  <si>
    <t>Fri, 07 Nov 2025 00:00:00 GMT</t>
  </si>
  <si>
    <t>Thu, 06 Nov 2025 00:00:00 GMT</t>
  </si>
  <si>
    <t>Wed, 05 Nov 2025 00:00:00 GMT</t>
  </si>
  <si>
    <t>Tue, 04 Nov 2025 00:00:00 GMT</t>
  </si>
  <si>
    <t>Mon, 03 Nov 2025 00:00:00 GMT</t>
  </si>
  <si>
    <t>Fri, 31 Oct 2025 00:00:00 GMT</t>
  </si>
  <si>
    <t>Thu, 30 Oct 2025 00:00:00 GMT</t>
  </si>
  <si>
    <t>Wed, 29 Oct 2025 00:00:00 GMT</t>
  </si>
  <si>
    <t>Tue, 28 Oct 2025 00:00:00 GMT</t>
  </si>
  <si>
    <t>Mon, 27 Oct 2025 00:00:00 GMT</t>
  </si>
  <si>
    <t>Fri, 24 Oct 2025 00:00:00 GMT</t>
  </si>
  <si>
    <t>Thu, 23 Oct 2025 00:00:00 GMT</t>
  </si>
  <si>
    <t>Wed, 22 Oct 2025 00:00:00 GMT</t>
  </si>
  <si>
    <r>
      <rPr>
        <i/>
        <sz val="11"/>
        <color theme="1"/>
        <rFont val="Calibre"/>
      </rPr>
      <t xml:space="preserve">252 </t>
    </r>
    <r>
      <rPr>
        <sz val="11"/>
        <color theme="1"/>
        <rFont val="Calibre"/>
      </rPr>
      <t xml:space="preserve">Trading Days? (From: </t>
    </r>
    <r>
      <rPr>
        <i/>
        <sz val="11"/>
        <color theme="1"/>
        <rFont val="Calibre"/>
      </rPr>
      <t>10/22/2026 - 10/22/2026</t>
    </r>
    <r>
      <rPr>
        <sz val="11"/>
        <color theme="1"/>
        <rFont val="Calibre"/>
      </rPr>
      <t>)</t>
    </r>
  </si>
  <si>
    <t>FIG Historical Returns</t>
  </si>
  <si>
    <t>More</t>
  </si>
  <si>
    <t xml:space="preserve">General Notes/Observations </t>
  </si>
  <si>
    <t xml:space="preserve">Financial Stmts. Notes/Observations </t>
  </si>
  <si>
    <t xml:space="preserve">Institutional Ownership Snapshot </t>
  </si>
  <si>
    <t>International Revenues</t>
  </si>
  <si>
    <t>International Growth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</si>
</sst>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1" fontId="13" fillId="0" borderId="0" xfId="0" applyNumberFormat="1" applyFont="1"/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165" fontId="2" fillId="0" borderId="0" xfId="1" applyNumberFormat="1" applyFont="1"/>
    <xf numFmtId="164" fontId="2" fillId="0" borderId="0" xfId="0" applyNumberFormat="1" applyFont="1"/>
    <xf numFmtId="164" fontId="3" fillId="0" borderId="0" xfId="0" applyNumberFormat="1" applyFont="1"/>
    <xf numFmtId="9" fontId="2" fillId="0" borderId="0" xfId="1" applyFont="1"/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164" fontId="13" fillId="0" borderId="0" xfId="0" applyNumberFormat="1" applyFont="1"/>
    <xf numFmtId="164" fontId="12" fillId="0" borderId="0" xfId="0" applyNumberFormat="1" applyFont="1"/>
    <xf numFmtId="165" fontId="13" fillId="0" borderId="0" xfId="0" applyNumberFormat="1" applyFont="1" applyAlignment="1">
      <alignment vertical="top"/>
    </xf>
    <xf numFmtId="165" fontId="3" fillId="0" borderId="0" xfId="1" applyNumberFormat="1" applyFont="1"/>
    <xf numFmtId="0" fontId="17" fillId="0" borderId="0" xfId="4"/>
    <xf numFmtId="4" fontId="17" fillId="0" borderId="0" xfId="4" applyNumberFormat="1"/>
    <xf numFmtId="3" fontId="17" fillId="0" borderId="0" xfId="4" applyNumberForma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0" fontId="13" fillId="0" borderId="0" xfId="0" applyFont="1" applyAlignment="1">
      <alignment horizontal="center"/>
    </xf>
    <xf numFmtId="165" fontId="13" fillId="0" borderId="0" xfId="1" applyNumberFormat="1" applyFont="1"/>
    <xf numFmtId="165" fontId="12" fillId="0" borderId="0" xfId="1" applyNumberFormat="1" applyFont="1"/>
  </cellXfs>
  <cellStyles count="5">
    <cellStyle name="Comma" xfId="3" builtinId="3"/>
    <cellStyle name="Hyperlink" xfId="2" builtinId="8"/>
    <cellStyle name="Normal" xfId="0" builtinId="0"/>
    <cellStyle name="Normal 2" xfId="4" xr:uid="{9D054ABF-C128-4AD6-B585-B5E2A70A261A}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(FIG)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Model!$B$4</c:f>
              <c:strCache>
                <c:ptCount val="1"/>
                <c:pt idx="0">
                  <c:v>U.S. Revenues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Model!$C$1:$L$1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Model!$C$4:$L$4</c:f>
              <c:numCache>
                <c:formatCode>0.0</c:formatCode>
                <c:ptCount val="10"/>
                <c:pt idx="0">
                  <c:v>73</c:v>
                </c:pt>
                <c:pt idx="1">
                  <c:v>85.197999999999993</c:v>
                </c:pt>
                <c:pt idx="2">
                  <c:v>94.668000000000006</c:v>
                </c:pt>
                <c:pt idx="3">
                  <c:v>106.54000000000002</c:v>
                </c:pt>
                <c:pt idx="4">
                  <c:v>107.46299999999999</c:v>
                </c:pt>
                <c:pt idx="5">
                  <c:v>116.76600000000001</c:v>
                </c:pt>
                <c:pt idx="6">
                  <c:v>126.792</c:v>
                </c:pt>
                <c:pt idx="7">
                  <c:v>140.52700000000004</c:v>
                </c:pt>
                <c:pt idx="8">
                  <c:v>155.05099999999999</c:v>
                </c:pt>
                <c:pt idx="9">
                  <c:v>170.79400000000001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1"/>
          <c:tx>
            <c:strRef>
              <c:f>Model!$B$5</c:f>
              <c:strCache>
                <c:ptCount val="1"/>
                <c:pt idx="0">
                  <c:v>International Revenues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Model!$C$1:$L$1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Model!$C$5:$L$5</c:f>
              <c:numCache>
                <c:formatCode>0.0</c:formatCode>
                <c:ptCount val="10"/>
                <c:pt idx="0">
                  <c:v>83.2</c:v>
                </c:pt>
                <c:pt idx="1">
                  <c:v>92</c:v>
                </c:pt>
                <c:pt idx="2">
                  <c:v>103.971</c:v>
                </c:pt>
                <c:pt idx="3">
                  <c:v>110.43400000000003</c:v>
                </c:pt>
                <c:pt idx="4">
                  <c:v>120.736</c:v>
                </c:pt>
                <c:pt idx="5">
                  <c:v>132.874</c:v>
                </c:pt>
                <c:pt idx="6">
                  <c:v>147.381</c:v>
                </c:pt>
                <c:pt idx="7">
                  <c:v>163.24900000000002</c:v>
                </c:pt>
                <c:pt idx="8">
                  <c:v>178.38800000000001</c:v>
                </c:pt>
                <c:pt idx="9">
                  <c:v>199.28899999999999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(FIG)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Model!$C$27:$L$27</c:f>
              <c:numCache>
                <c:formatCode>0.0</c:formatCode>
                <c:ptCount val="10"/>
                <c:pt idx="0">
                  <c:v>-2.9000000000012349E-2</c:v>
                </c:pt>
                <c:pt idx="1">
                  <c:v>-827.85400000000016</c:v>
                </c:pt>
                <c:pt idx="2">
                  <c:v>-15.597999999999985</c:v>
                </c:pt>
                <c:pt idx="3">
                  <c:v>111.36100000000013</c:v>
                </c:pt>
                <c:pt idx="4">
                  <c:v>8.6110000000000255</c:v>
                </c:pt>
                <c:pt idx="5">
                  <c:v>0.84599999999999653</c:v>
                </c:pt>
                <c:pt idx="6">
                  <c:v>-1097.0149999999999</c:v>
                </c:pt>
                <c:pt idx="7">
                  <c:v>-162.90499999999997</c:v>
                </c:pt>
                <c:pt idx="8">
                  <c:v>-142.40100000000001</c:v>
                </c:pt>
                <c:pt idx="9">
                  <c:v>-112.15199999999999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Model!$C$74:$L$74</c:f>
              <c:numCache>
                <c:formatCode>General</c:formatCode>
                <c:ptCount val="10"/>
                <c:pt idx="3" formatCode="0.0">
                  <c:v>70.824999999999989</c:v>
                </c:pt>
                <c:pt idx="4" formatCode="0.0">
                  <c:v>94.582000000000008</c:v>
                </c:pt>
                <c:pt idx="5" formatCode="0.0">
                  <c:v>60.603000000000002</c:v>
                </c:pt>
                <c:pt idx="6" formatCode="0.0">
                  <c:v>49.046999999999997</c:v>
                </c:pt>
                <c:pt idx="7" formatCode="0.0">
                  <c:v>38.452000000000005</c:v>
                </c:pt>
                <c:pt idx="8" formatCode="0.0">
                  <c:v>88.608000000000004</c:v>
                </c:pt>
                <c:pt idx="9" formatCode="0.0">
                  <c:v>53.21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Model!$C$1:$L$1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Model!$C$6:$L$6</c:f>
              <c:numCache>
                <c:formatCode>0.0</c:formatCode>
                <c:ptCount val="10"/>
                <c:pt idx="0">
                  <c:v>156.19999999999999</c:v>
                </c:pt>
                <c:pt idx="1">
                  <c:v>177.19799999999998</c:v>
                </c:pt>
                <c:pt idx="2">
                  <c:v>198.63900000000001</c:v>
                </c:pt>
                <c:pt idx="3">
                  <c:v>216.97400000000005</c:v>
                </c:pt>
                <c:pt idx="4">
                  <c:v>228.19900000000001</c:v>
                </c:pt>
                <c:pt idx="5">
                  <c:v>249.64</c:v>
                </c:pt>
                <c:pt idx="6">
                  <c:v>274.173</c:v>
                </c:pt>
                <c:pt idx="7">
                  <c:v>303.77600000000007</c:v>
                </c:pt>
                <c:pt idx="8">
                  <c:v>333.43899999999996</c:v>
                </c:pt>
                <c:pt idx="9">
                  <c:v>370.08299999999997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(FIG) 1-Day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Analysis'!$Q$209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55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Analysis'!$Q$211:$Q$315</c:f>
              <c:numCache>
                <c:formatCode>0.00%</c:formatCode>
                <c:ptCount val="105"/>
                <c:pt idx="0">
                  <c:v>-0.13000000000000006</c:v>
                </c:pt>
                <c:pt idx="1">
                  <c:v>-0.12750000000000006</c:v>
                </c:pt>
                <c:pt idx="2">
                  <c:v>-0.12500000000000006</c:v>
                </c:pt>
                <c:pt idx="3">
                  <c:v>-0.12250000000000007</c:v>
                </c:pt>
                <c:pt idx="4">
                  <c:v>-0.12000000000000006</c:v>
                </c:pt>
                <c:pt idx="5">
                  <c:v>-0.11750000000000006</c:v>
                </c:pt>
                <c:pt idx="6">
                  <c:v>-0.11500000000000006</c:v>
                </c:pt>
                <c:pt idx="7">
                  <c:v>-0.11250000000000006</c:v>
                </c:pt>
                <c:pt idx="8">
                  <c:v>-0.11000000000000006</c:v>
                </c:pt>
                <c:pt idx="9">
                  <c:v>-0.10750000000000005</c:v>
                </c:pt>
                <c:pt idx="10">
                  <c:v>-0.10500000000000005</c:v>
                </c:pt>
                <c:pt idx="11">
                  <c:v>-0.10250000000000005</c:v>
                </c:pt>
                <c:pt idx="12">
                  <c:v>-0.10000000000000005</c:v>
                </c:pt>
                <c:pt idx="13">
                  <c:v>-9.7500000000000045E-2</c:v>
                </c:pt>
                <c:pt idx="14">
                  <c:v>-9.5000000000000043E-2</c:v>
                </c:pt>
                <c:pt idx="15">
                  <c:v>-9.2500000000000041E-2</c:v>
                </c:pt>
                <c:pt idx="16">
                  <c:v>-9.0000000000000038E-2</c:v>
                </c:pt>
                <c:pt idx="17">
                  <c:v>-8.7500000000000036E-2</c:v>
                </c:pt>
                <c:pt idx="18">
                  <c:v>-8.5000000000000034E-2</c:v>
                </c:pt>
                <c:pt idx="19">
                  <c:v>-8.2500000000000032E-2</c:v>
                </c:pt>
                <c:pt idx="20">
                  <c:v>-8.0000000000000029E-2</c:v>
                </c:pt>
                <c:pt idx="21">
                  <c:v>-7.7500000000000027E-2</c:v>
                </c:pt>
                <c:pt idx="22">
                  <c:v>-7.5000000000000025E-2</c:v>
                </c:pt>
                <c:pt idx="23">
                  <c:v>-7.2500000000000023E-2</c:v>
                </c:pt>
                <c:pt idx="24">
                  <c:v>-7.0000000000000021E-2</c:v>
                </c:pt>
                <c:pt idx="25">
                  <c:v>-6.7500000000000018E-2</c:v>
                </c:pt>
                <c:pt idx="26">
                  <c:v>-6.5000000000000016E-2</c:v>
                </c:pt>
                <c:pt idx="27">
                  <c:v>-6.2500000000000014E-2</c:v>
                </c:pt>
                <c:pt idx="28">
                  <c:v>-6.0000000000000019E-2</c:v>
                </c:pt>
                <c:pt idx="29">
                  <c:v>-5.7500000000000016E-2</c:v>
                </c:pt>
                <c:pt idx="30">
                  <c:v>-5.5000000000000014E-2</c:v>
                </c:pt>
                <c:pt idx="31">
                  <c:v>-5.2500000000000012E-2</c:v>
                </c:pt>
                <c:pt idx="32">
                  <c:v>-5.000000000000001E-2</c:v>
                </c:pt>
                <c:pt idx="33">
                  <c:v>-4.7500000000000007E-2</c:v>
                </c:pt>
                <c:pt idx="34">
                  <c:v>-4.5000000000000005E-2</c:v>
                </c:pt>
                <c:pt idx="35">
                  <c:v>-4.2500000000000003E-2</c:v>
                </c:pt>
                <c:pt idx="36">
                  <c:v>-0.04</c:v>
                </c:pt>
                <c:pt idx="37">
                  <c:v>-3.7499999999999999E-2</c:v>
                </c:pt>
                <c:pt idx="38">
                  <c:v>-3.4999999999999996E-2</c:v>
                </c:pt>
                <c:pt idx="39">
                  <c:v>-3.2499999999999994E-2</c:v>
                </c:pt>
                <c:pt idx="40">
                  <c:v>-2.9999999999999995E-2</c:v>
                </c:pt>
                <c:pt idx="41">
                  <c:v>-2.7499999999999997E-2</c:v>
                </c:pt>
                <c:pt idx="42">
                  <c:v>-2.4999999999999998E-2</c:v>
                </c:pt>
                <c:pt idx="43">
                  <c:v>-2.2499999999999999E-2</c:v>
                </c:pt>
                <c:pt idx="44">
                  <c:v>-0.02</c:v>
                </c:pt>
                <c:pt idx="45">
                  <c:v>-1.7500000000000002E-2</c:v>
                </c:pt>
                <c:pt idx="46">
                  <c:v>-1.5000000000000001E-2</c:v>
                </c:pt>
                <c:pt idx="47">
                  <c:v>-1.2500000000000001E-2</c:v>
                </c:pt>
                <c:pt idx="48">
                  <c:v>-0.01</c:v>
                </c:pt>
                <c:pt idx="49">
                  <c:v>-7.4999999999999997E-3</c:v>
                </c:pt>
                <c:pt idx="50">
                  <c:v>-5.0000000000000001E-3</c:v>
                </c:pt>
                <c:pt idx="51">
                  <c:v>-2.5000000000000001E-3</c:v>
                </c:pt>
                <c:pt idx="52">
                  <c:v>0</c:v>
                </c:pt>
                <c:pt idx="53">
                  <c:v>2.5000000000000001E-3</c:v>
                </c:pt>
                <c:pt idx="54">
                  <c:v>5.0000000000000001E-3</c:v>
                </c:pt>
                <c:pt idx="55">
                  <c:v>7.4999999999999997E-3</c:v>
                </c:pt>
                <c:pt idx="56">
                  <c:v>0.01</c:v>
                </c:pt>
                <c:pt idx="57">
                  <c:v>1.2500000000000001E-2</c:v>
                </c:pt>
                <c:pt idx="58">
                  <c:v>1.5000000000000001E-2</c:v>
                </c:pt>
                <c:pt idx="59">
                  <c:v>1.7500000000000002E-2</c:v>
                </c:pt>
                <c:pt idx="60">
                  <c:v>0.02</c:v>
                </c:pt>
                <c:pt idx="61">
                  <c:v>2.2499999999999999E-2</c:v>
                </c:pt>
                <c:pt idx="62">
                  <c:v>2.4999999999999998E-2</c:v>
                </c:pt>
                <c:pt idx="63">
                  <c:v>2.7499999999999997E-2</c:v>
                </c:pt>
                <c:pt idx="64">
                  <c:v>2.9999999999999995E-2</c:v>
                </c:pt>
                <c:pt idx="65">
                  <c:v>3.2499999999999994E-2</c:v>
                </c:pt>
                <c:pt idx="66">
                  <c:v>3.4999999999999996E-2</c:v>
                </c:pt>
                <c:pt idx="67">
                  <c:v>3.7499999999999999E-2</c:v>
                </c:pt>
                <c:pt idx="68">
                  <c:v>0.04</c:v>
                </c:pt>
                <c:pt idx="69">
                  <c:v>4.2500000000000003E-2</c:v>
                </c:pt>
                <c:pt idx="70">
                  <c:v>4.5000000000000005E-2</c:v>
                </c:pt>
                <c:pt idx="71">
                  <c:v>4.7500000000000007E-2</c:v>
                </c:pt>
                <c:pt idx="72">
                  <c:v>5.000000000000001E-2</c:v>
                </c:pt>
                <c:pt idx="73">
                  <c:v>5.2500000000000012E-2</c:v>
                </c:pt>
                <c:pt idx="74">
                  <c:v>5.5000000000000014E-2</c:v>
                </c:pt>
                <c:pt idx="75">
                  <c:v>5.7500000000000016E-2</c:v>
                </c:pt>
                <c:pt idx="76">
                  <c:v>6.0000000000000019E-2</c:v>
                </c:pt>
                <c:pt idx="77">
                  <c:v>6.2500000000000014E-2</c:v>
                </c:pt>
                <c:pt idx="78">
                  <c:v>6.5000000000000016E-2</c:v>
                </c:pt>
                <c:pt idx="79">
                  <c:v>6.7500000000000018E-2</c:v>
                </c:pt>
                <c:pt idx="80">
                  <c:v>7.0000000000000021E-2</c:v>
                </c:pt>
                <c:pt idx="81">
                  <c:v>7.2500000000000023E-2</c:v>
                </c:pt>
                <c:pt idx="82">
                  <c:v>7.5000000000000025E-2</c:v>
                </c:pt>
                <c:pt idx="83">
                  <c:v>7.7500000000000027E-2</c:v>
                </c:pt>
                <c:pt idx="84">
                  <c:v>8.0000000000000029E-2</c:v>
                </c:pt>
                <c:pt idx="85">
                  <c:v>8.2500000000000032E-2</c:v>
                </c:pt>
                <c:pt idx="86">
                  <c:v>8.5000000000000034E-2</c:v>
                </c:pt>
                <c:pt idx="87">
                  <c:v>8.7500000000000036E-2</c:v>
                </c:pt>
                <c:pt idx="88">
                  <c:v>9.0000000000000038E-2</c:v>
                </c:pt>
                <c:pt idx="89">
                  <c:v>9.2500000000000041E-2</c:v>
                </c:pt>
                <c:pt idx="90">
                  <c:v>9.5000000000000043E-2</c:v>
                </c:pt>
                <c:pt idx="91">
                  <c:v>9.7500000000000045E-2</c:v>
                </c:pt>
                <c:pt idx="92">
                  <c:v>0.10000000000000005</c:v>
                </c:pt>
                <c:pt idx="93">
                  <c:v>0.10250000000000005</c:v>
                </c:pt>
                <c:pt idx="94">
                  <c:v>0.10500000000000005</c:v>
                </c:pt>
                <c:pt idx="95">
                  <c:v>0.10750000000000005</c:v>
                </c:pt>
                <c:pt idx="96">
                  <c:v>0.11000000000000006</c:v>
                </c:pt>
                <c:pt idx="97">
                  <c:v>0.11250000000000006</c:v>
                </c:pt>
                <c:pt idx="98">
                  <c:v>0.11500000000000006</c:v>
                </c:pt>
                <c:pt idx="99">
                  <c:v>0.11750000000000006</c:v>
                </c:pt>
                <c:pt idx="100">
                  <c:v>0.12000000000000006</c:v>
                </c:pt>
                <c:pt idx="101">
                  <c:v>0.12250000000000007</c:v>
                </c:pt>
                <c:pt idx="102">
                  <c:v>0.12500000000000006</c:v>
                </c:pt>
                <c:pt idx="103">
                  <c:v>0.12750000000000006</c:v>
                </c:pt>
                <c:pt idx="104">
                  <c:v>0.13000000000000006</c:v>
                </c:pt>
              </c:numCache>
            </c:numRef>
          </c:xVal>
          <c:yVal>
            <c:numRef>
              <c:f>'Notes | Quant Analysis'!$R$211:$R$315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3</c:v>
                </c:pt>
                <c:pt idx="33">
                  <c:v>3</c:v>
                </c:pt>
                <c:pt idx="34">
                  <c:v>6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7</c:v>
                </c:pt>
                <c:pt idx="40">
                  <c:v>6</c:v>
                </c:pt>
                <c:pt idx="41">
                  <c:v>0</c:v>
                </c:pt>
                <c:pt idx="42">
                  <c:v>5</c:v>
                </c:pt>
                <c:pt idx="43">
                  <c:v>13</c:v>
                </c:pt>
                <c:pt idx="44">
                  <c:v>5</c:v>
                </c:pt>
                <c:pt idx="45">
                  <c:v>9</c:v>
                </c:pt>
                <c:pt idx="46">
                  <c:v>5</c:v>
                </c:pt>
                <c:pt idx="47">
                  <c:v>6</c:v>
                </c:pt>
                <c:pt idx="48">
                  <c:v>7</c:v>
                </c:pt>
                <c:pt idx="49">
                  <c:v>4</c:v>
                </c:pt>
                <c:pt idx="50">
                  <c:v>13</c:v>
                </c:pt>
                <c:pt idx="51">
                  <c:v>6</c:v>
                </c:pt>
                <c:pt idx="52">
                  <c:v>8</c:v>
                </c:pt>
                <c:pt idx="53">
                  <c:v>7</c:v>
                </c:pt>
                <c:pt idx="54">
                  <c:v>8</c:v>
                </c:pt>
                <c:pt idx="55">
                  <c:v>4</c:v>
                </c:pt>
                <c:pt idx="56">
                  <c:v>5</c:v>
                </c:pt>
                <c:pt idx="57">
                  <c:v>4</c:v>
                </c:pt>
                <c:pt idx="58">
                  <c:v>6</c:v>
                </c:pt>
                <c:pt idx="59">
                  <c:v>9</c:v>
                </c:pt>
                <c:pt idx="60">
                  <c:v>2</c:v>
                </c:pt>
                <c:pt idx="61">
                  <c:v>0</c:v>
                </c:pt>
                <c:pt idx="62">
                  <c:v>7</c:v>
                </c:pt>
                <c:pt idx="63">
                  <c:v>1</c:v>
                </c:pt>
                <c:pt idx="64">
                  <c:v>5</c:v>
                </c:pt>
                <c:pt idx="65">
                  <c:v>8</c:v>
                </c:pt>
                <c:pt idx="66">
                  <c:v>1</c:v>
                </c:pt>
                <c:pt idx="67">
                  <c:v>6</c:v>
                </c:pt>
                <c:pt idx="68">
                  <c:v>5</c:v>
                </c:pt>
                <c:pt idx="69">
                  <c:v>2</c:v>
                </c:pt>
                <c:pt idx="70">
                  <c:v>3</c:v>
                </c:pt>
                <c:pt idx="71">
                  <c:v>4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Analysis'!$T$209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Analysis'!$T$211:$T$315</c:f>
              <c:numCache>
                <c:formatCode>0.00%</c:formatCode>
                <c:ptCount val="105"/>
                <c:pt idx="0">
                  <c:v>-0.13000000000000006</c:v>
                </c:pt>
                <c:pt idx="1">
                  <c:v>-0.12750000000000006</c:v>
                </c:pt>
                <c:pt idx="2">
                  <c:v>-0.12500000000000006</c:v>
                </c:pt>
                <c:pt idx="3">
                  <c:v>-0.12250000000000007</c:v>
                </c:pt>
                <c:pt idx="4">
                  <c:v>-0.12000000000000006</c:v>
                </c:pt>
                <c:pt idx="5">
                  <c:v>-0.11750000000000006</c:v>
                </c:pt>
                <c:pt idx="6">
                  <c:v>-0.11500000000000006</c:v>
                </c:pt>
                <c:pt idx="7">
                  <c:v>-0.11250000000000006</c:v>
                </c:pt>
                <c:pt idx="8">
                  <c:v>-0.11000000000000006</c:v>
                </c:pt>
                <c:pt idx="9">
                  <c:v>-0.10750000000000005</c:v>
                </c:pt>
                <c:pt idx="10">
                  <c:v>-0.10500000000000005</c:v>
                </c:pt>
                <c:pt idx="11">
                  <c:v>-0.10250000000000005</c:v>
                </c:pt>
                <c:pt idx="12">
                  <c:v>-0.10000000000000005</c:v>
                </c:pt>
                <c:pt idx="13">
                  <c:v>-9.7500000000000045E-2</c:v>
                </c:pt>
                <c:pt idx="14">
                  <c:v>-9.5000000000000043E-2</c:v>
                </c:pt>
                <c:pt idx="15">
                  <c:v>-9.2500000000000041E-2</c:v>
                </c:pt>
                <c:pt idx="16">
                  <c:v>-9.0000000000000038E-2</c:v>
                </c:pt>
                <c:pt idx="17">
                  <c:v>-8.7500000000000036E-2</c:v>
                </c:pt>
                <c:pt idx="18">
                  <c:v>-8.5000000000000034E-2</c:v>
                </c:pt>
                <c:pt idx="19">
                  <c:v>-8.2500000000000032E-2</c:v>
                </c:pt>
                <c:pt idx="20">
                  <c:v>-8.0000000000000029E-2</c:v>
                </c:pt>
                <c:pt idx="21">
                  <c:v>-7.7500000000000027E-2</c:v>
                </c:pt>
                <c:pt idx="22">
                  <c:v>-7.5000000000000025E-2</c:v>
                </c:pt>
                <c:pt idx="23">
                  <c:v>-7.2500000000000023E-2</c:v>
                </c:pt>
                <c:pt idx="24">
                  <c:v>-7.0000000000000021E-2</c:v>
                </c:pt>
                <c:pt idx="25">
                  <c:v>-6.7500000000000018E-2</c:v>
                </c:pt>
                <c:pt idx="26">
                  <c:v>-6.5000000000000016E-2</c:v>
                </c:pt>
                <c:pt idx="27">
                  <c:v>-6.2500000000000014E-2</c:v>
                </c:pt>
                <c:pt idx="28">
                  <c:v>-6.0000000000000019E-2</c:v>
                </c:pt>
                <c:pt idx="29">
                  <c:v>-5.7500000000000016E-2</c:v>
                </c:pt>
                <c:pt idx="30">
                  <c:v>-5.5000000000000014E-2</c:v>
                </c:pt>
                <c:pt idx="31">
                  <c:v>-5.2500000000000012E-2</c:v>
                </c:pt>
                <c:pt idx="32">
                  <c:v>-5.000000000000001E-2</c:v>
                </c:pt>
                <c:pt idx="33">
                  <c:v>-4.7500000000000007E-2</c:v>
                </c:pt>
                <c:pt idx="34">
                  <c:v>-4.5000000000000005E-2</c:v>
                </c:pt>
                <c:pt idx="35">
                  <c:v>-4.2500000000000003E-2</c:v>
                </c:pt>
                <c:pt idx="36">
                  <c:v>-0.04</c:v>
                </c:pt>
                <c:pt idx="37">
                  <c:v>-3.7499999999999999E-2</c:v>
                </c:pt>
                <c:pt idx="38">
                  <c:v>-3.4999999999999996E-2</c:v>
                </c:pt>
                <c:pt idx="39">
                  <c:v>-3.2499999999999994E-2</c:v>
                </c:pt>
                <c:pt idx="40">
                  <c:v>-2.9999999999999995E-2</c:v>
                </c:pt>
                <c:pt idx="41">
                  <c:v>-2.7499999999999997E-2</c:v>
                </c:pt>
                <c:pt idx="42">
                  <c:v>-2.4999999999999998E-2</c:v>
                </c:pt>
                <c:pt idx="43">
                  <c:v>-2.2499999999999999E-2</c:v>
                </c:pt>
                <c:pt idx="44">
                  <c:v>-0.02</c:v>
                </c:pt>
                <c:pt idx="45">
                  <c:v>-1.7500000000000002E-2</c:v>
                </c:pt>
                <c:pt idx="46">
                  <c:v>-1.5000000000000001E-2</c:v>
                </c:pt>
                <c:pt idx="47">
                  <c:v>-1.2500000000000001E-2</c:v>
                </c:pt>
                <c:pt idx="48">
                  <c:v>-0.01</c:v>
                </c:pt>
                <c:pt idx="49">
                  <c:v>-7.4999999999999997E-3</c:v>
                </c:pt>
                <c:pt idx="50">
                  <c:v>-5.0000000000000001E-3</c:v>
                </c:pt>
                <c:pt idx="51">
                  <c:v>-2.5000000000000001E-3</c:v>
                </c:pt>
                <c:pt idx="52">
                  <c:v>0</c:v>
                </c:pt>
                <c:pt idx="53">
                  <c:v>2.5000000000000001E-3</c:v>
                </c:pt>
                <c:pt idx="54">
                  <c:v>5.0000000000000001E-3</c:v>
                </c:pt>
                <c:pt idx="55">
                  <c:v>7.4999999999999997E-3</c:v>
                </c:pt>
                <c:pt idx="56">
                  <c:v>0.01</c:v>
                </c:pt>
                <c:pt idx="57">
                  <c:v>1.2500000000000001E-2</c:v>
                </c:pt>
                <c:pt idx="58">
                  <c:v>1.5000000000000001E-2</c:v>
                </c:pt>
                <c:pt idx="59">
                  <c:v>1.7500000000000002E-2</c:v>
                </c:pt>
                <c:pt idx="60">
                  <c:v>0.02</c:v>
                </c:pt>
                <c:pt idx="61">
                  <c:v>2.2499999999999999E-2</c:v>
                </c:pt>
                <c:pt idx="62">
                  <c:v>2.4999999999999998E-2</c:v>
                </c:pt>
                <c:pt idx="63">
                  <c:v>2.7499999999999997E-2</c:v>
                </c:pt>
                <c:pt idx="64">
                  <c:v>2.9999999999999995E-2</c:v>
                </c:pt>
                <c:pt idx="65">
                  <c:v>3.2499999999999994E-2</c:v>
                </c:pt>
                <c:pt idx="66">
                  <c:v>3.4999999999999996E-2</c:v>
                </c:pt>
                <c:pt idx="67">
                  <c:v>3.7499999999999999E-2</c:v>
                </c:pt>
                <c:pt idx="68">
                  <c:v>0.04</c:v>
                </c:pt>
                <c:pt idx="69">
                  <c:v>4.2500000000000003E-2</c:v>
                </c:pt>
                <c:pt idx="70">
                  <c:v>4.5000000000000005E-2</c:v>
                </c:pt>
                <c:pt idx="71">
                  <c:v>4.7500000000000007E-2</c:v>
                </c:pt>
                <c:pt idx="72">
                  <c:v>5.000000000000001E-2</c:v>
                </c:pt>
                <c:pt idx="73">
                  <c:v>5.2500000000000012E-2</c:v>
                </c:pt>
                <c:pt idx="74">
                  <c:v>5.5000000000000014E-2</c:v>
                </c:pt>
                <c:pt idx="75">
                  <c:v>5.7500000000000016E-2</c:v>
                </c:pt>
                <c:pt idx="76">
                  <c:v>6.0000000000000019E-2</c:v>
                </c:pt>
                <c:pt idx="77">
                  <c:v>6.2500000000000014E-2</c:v>
                </c:pt>
                <c:pt idx="78">
                  <c:v>6.5000000000000016E-2</c:v>
                </c:pt>
                <c:pt idx="79">
                  <c:v>6.7500000000000018E-2</c:v>
                </c:pt>
                <c:pt idx="80">
                  <c:v>7.0000000000000021E-2</c:v>
                </c:pt>
                <c:pt idx="81">
                  <c:v>7.2500000000000023E-2</c:v>
                </c:pt>
                <c:pt idx="82">
                  <c:v>7.5000000000000025E-2</c:v>
                </c:pt>
                <c:pt idx="83">
                  <c:v>7.7500000000000027E-2</c:v>
                </c:pt>
                <c:pt idx="84">
                  <c:v>8.0000000000000029E-2</c:v>
                </c:pt>
                <c:pt idx="85">
                  <c:v>8.2500000000000032E-2</c:v>
                </c:pt>
                <c:pt idx="86">
                  <c:v>8.5000000000000034E-2</c:v>
                </c:pt>
                <c:pt idx="87">
                  <c:v>8.7500000000000036E-2</c:v>
                </c:pt>
                <c:pt idx="88">
                  <c:v>9.0000000000000038E-2</c:v>
                </c:pt>
                <c:pt idx="89">
                  <c:v>9.2500000000000041E-2</c:v>
                </c:pt>
                <c:pt idx="90">
                  <c:v>9.5000000000000043E-2</c:v>
                </c:pt>
                <c:pt idx="91">
                  <c:v>9.7500000000000045E-2</c:v>
                </c:pt>
                <c:pt idx="92">
                  <c:v>0.10000000000000005</c:v>
                </c:pt>
                <c:pt idx="93">
                  <c:v>0.10250000000000005</c:v>
                </c:pt>
                <c:pt idx="94">
                  <c:v>0.10500000000000005</c:v>
                </c:pt>
                <c:pt idx="95">
                  <c:v>0.10750000000000005</c:v>
                </c:pt>
                <c:pt idx="96">
                  <c:v>0.11000000000000006</c:v>
                </c:pt>
                <c:pt idx="97">
                  <c:v>0.11250000000000006</c:v>
                </c:pt>
                <c:pt idx="98">
                  <c:v>0.11500000000000006</c:v>
                </c:pt>
                <c:pt idx="99">
                  <c:v>0.11750000000000006</c:v>
                </c:pt>
                <c:pt idx="100">
                  <c:v>0.12000000000000006</c:v>
                </c:pt>
                <c:pt idx="101">
                  <c:v>0.12250000000000007</c:v>
                </c:pt>
                <c:pt idx="102">
                  <c:v>0.12500000000000006</c:v>
                </c:pt>
                <c:pt idx="103">
                  <c:v>0.12750000000000006</c:v>
                </c:pt>
                <c:pt idx="104">
                  <c:v>0.13000000000000006</c:v>
                </c:pt>
              </c:numCache>
            </c:numRef>
          </c:xVal>
          <c:yVal>
            <c:numRef>
              <c:f>'Notes | Quant Analysis'!$U$211:$U$315</c:f>
              <c:numCache>
                <c:formatCode>General</c:formatCode>
                <c:ptCount val="105"/>
                <c:pt idx="0">
                  <c:v>7.6793393001075322E-2</c:v>
                </c:pt>
                <c:pt idx="1">
                  <c:v>9.2315317970576641E-2</c:v>
                </c:pt>
                <c:pt idx="2">
                  <c:v>0.11057783940779047</c:v>
                </c:pt>
                <c:pt idx="3">
                  <c:v>0.13197961186013502</c:v>
                </c:pt>
                <c:pt idx="4">
                  <c:v>0.15696036879475861</c:v>
                </c:pt>
                <c:pt idx="5">
                  <c:v>0.18600199009859153</c:v>
                </c:pt>
                <c:pt idx="6">
                  <c:v>0.21962895144168143</c:v>
                </c:pt>
                <c:pt idx="7">
                  <c:v>0.25840802822992948</c:v>
                </c:pt>
                <c:pt idx="8">
                  <c:v>0.30294712340215879</c:v>
                </c:pt>
                <c:pt idx="9">
                  <c:v>0.35389308827642585</c:v>
                </c:pt>
                <c:pt idx="10">
                  <c:v>0.41192840964740374</c:v>
                </c:pt>
                <c:pt idx="11">
                  <c:v>0.4777666449621823</c:v>
                </c:pt>
                <c:pt idx="12">
                  <c:v>0.55214650116131458</c:v>
                </c:pt>
                <c:pt idx="13">
                  <c:v>0.63582447205938364</c:v>
                </c:pt>
                <c:pt idx="14">
                  <c:v>0.72956597420207014</c:v>
                </c:pt>
                <c:pt idx="15">
                  <c:v>0.83413495204046895</c:v>
                </c:pt>
                <c:pt idx="16">
                  <c:v>0.95028195986026331</c:v>
                </c:pt>
                <c:pt idx="17">
                  <c:v>1.0787307698047359</c:v>
                </c:pt>
                <c:pt idx="18">
                  <c:v>1.220163601885986</c:v>
                </c:pt>
                <c:pt idx="19">
                  <c:v>1.3752051221650177</c:v>
                </c:pt>
                <c:pt idx="20">
                  <c:v>1.5444054081009302</c:v>
                </c:pt>
                <c:pt idx="21">
                  <c:v>1.728222133962674</c:v>
                </c:pt>
                <c:pt idx="22">
                  <c:v>1.9270022824661774</c:v>
                </c:pt>
                <c:pt idx="23">
                  <c:v>2.1409637395498007</c:v>
                </c:pt>
                <c:pt idx="24">
                  <c:v>2.3701771753915426</c:v>
                </c:pt>
                <c:pt idx="25">
                  <c:v>2.6145486542837055</c:v>
                </c:pt>
                <c:pt idx="26">
                  <c:v>2.8738034466964928</c:v>
                </c:pt>
                <c:pt idx="27">
                  <c:v>3.1474715367507042</c:v>
                </c:pt>
                <c:pt idx="28">
                  <c:v>3.4348753255324977</c:v>
                </c:pt>
                <c:pt idx="29">
                  <c:v>3.735120023648633</c:v>
                </c:pt>
                <c:pt idx="30">
                  <c:v>4.0470872039387729</c:v>
                </c:pt>
                <c:pt idx="31">
                  <c:v>4.3694319465900451</c:v>
                </c:pt>
                <c:pt idx="32">
                  <c:v>4.700583953828894</c:v>
                </c:pt>
                <c:pt idx="33">
                  <c:v>5.0387529402777913</c:v>
                </c:pt>
                <c:pt idx="34">
                  <c:v>5.3819385189688864</c:v>
                </c:pt>
                <c:pt idx="35">
                  <c:v>5.7279447035529492</c:v>
                </c:pt>
                <c:pt idx="36">
                  <c:v>6.0743990367043859</c:v>
                </c:pt>
                <c:pt idx="37">
                  <c:v>6.4187762359578366</c:v>
                </c:pt>
                <c:pt idx="38">
                  <c:v>6.7584261245823889</c:v>
                </c:pt>
                <c:pt idx="39">
                  <c:v>7.0906054903773521</c:v>
                </c:pt>
                <c:pt idx="40">
                  <c:v>7.4125133935115741</c:v>
                </c:pt>
                <c:pt idx="41">
                  <c:v>7.7213293299156716</c:v>
                </c:pt>
                <c:pt idx="42">
                  <c:v>8.0142535534370989</c:v>
                </c:pt>
                <c:pt idx="43">
                  <c:v>8.2885487719525717</c:v>
                </c:pt>
                <c:pt idx="44">
                  <c:v>8.541582363508434</c:v>
                </c:pt>
                <c:pt idx="45">
                  <c:v>8.7708682114111127</c:v>
                </c:pt>
                <c:pt idx="46">
                  <c:v>8.9741072344296953</c:v>
                </c:pt>
                <c:pt idx="47">
                  <c:v>9.1492256915215187</c:v>
                </c:pt>
                <c:pt idx="48">
                  <c:v>9.2944103704829288</c:v>
                </c:pt>
                <c:pt idx="49">
                  <c:v>9.4081398264513911</c:v>
                </c:pt>
                <c:pt idx="50">
                  <c:v>9.4892109180690571</c:v>
                </c:pt>
                <c:pt idx="51">
                  <c:v>9.5367599942487509</c:v>
                </c:pt>
                <c:pt idx="52">
                  <c:v>9.5502782098719656</c:v>
                </c:pt>
                <c:pt idx="53">
                  <c:v>9.5296205906310565</c:v>
                </c:pt>
                <c:pt idx="54">
                  <c:v>9.475008621204287</c:v>
                </c:pt>
                <c:pt idx="55">
                  <c:v>9.3870262921527363</c:v>
                </c:pt>
                <c:pt idx="56">
                  <c:v>9.2666097041995172</c:v>
                </c:pt>
                <c:pt idx="57">
                  <c:v>9.1150304886612563</c:v>
                </c:pt>
                <c:pt idx="58">
                  <c:v>8.9338734546394516</c:v>
                </c:pt>
                <c:pt idx="59">
                  <c:v>8.7250090123581554</c:v>
                </c:pt>
                <c:pt idx="60">
                  <c:v>8.4905610434748446</c:v>
                </c:pt>
                <c:pt idx="61">
                  <c:v>8.2328709896809098</c:v>
                </c:pt>
                <c:pt idx="62">
                  <c:v>7.9544590076339032</c:v>
                </c:pt>
                <c:pt idx="63">
                  <c:v>7.6579830893051559</c:v>
                </c:pt>
                <c:pt idx="64">
                  <c:v>7.3461970712116855</c:v>
                </c:pt>
                <c:pt idx="65">
                  <c:v>7.0219084537208376</c:v>
                </c:pt>
                <c:pt idx="66">
                  <c:v>6.6879369235948891</c:v>
                </c:pt>
                <c:pt idx="67">
                  <c:v>6.347074420975841</c:v>
                </c:pt>
                <c:pt idx="68">
                  <c:v>6.0020475186621098</c:v>
                </c:pt>
                <c:pt idx="69">
                  <c:v>5.6554827900049656</c:v>
                </c:pt>
                <c:pt idx="70">
                  <c:v>5.3098757357504072</c:v>
                </c:pt>
                <c:pt idx="71">
                  <c:v>4.9675637236971983</c:v>
                </c:pt>
                <c:pt idx="72">
                  <c:v>4.6307032723167429</c:v>
                </c:pt>
                <c:pt idx="73">
                  <c:v>4.3012518846590337</c:v>
                </c:pt>
                <c:pt idx="74">
                  <c:v>3.9809545159565314</c:v>
                </c:pt>
                <c:pt idx="75">
                  <c:v>3.6713346410302323</c:v>
                </c:pt>
                <c:pt idx="76">
                  <c:v>3.37368977916441</c:v>
                </c:pt>
                <c:pt idx="77">
                  <c:v>3.0890912372879993</c:v>
                </c:pt>
                <c:pt idx="78">
                  <c:v>2.818387749227937</c:v>
                </c:pt>
                <c:pt idx="79">
                  <c:v>2.5622126209990257</c:v>
                </c:pt>
                <c:pt idx="80">
                  <c:v>2.3209939404422215</c:v>
                </c:pt>
                <c:pt idx="81">
                  <c:v>2.0949673742729207</c:v>
                </c:pt>
                <c:pt idx="82">
                  <c:v>1.8841910564264479</c:v>
                </c:pt>
                <c:pt idx="83">
                  <c:v>1.6885620676453035</c:v>
                </c:pt>
                <c:pt idx="84">
                  <c:v>1.5078340162563375</c:v>
                </c:pt>
                <c:pt idx="85">
                  <c:v>1.3416352523988511</c:v>
                </c:pt>
                <c:pt idx="86">
                  <c:v>1.1894872806917438</c:v>
                </c:pt>
                <c:pt idx="87">
                  <c:v>1.050822977412798</c:v>
                </c:pt>
                <c:pt idx="88">
                  <c:v>0.92500426558068993</c:v>
                </c:pt>
                <c:pt idx="89">
                  <c:v>0.81133895277192225</c:v>
                </c:pt>
                <c:pt idx="90">
                  <c:v>0.70909649005555875</c:v>
                </c:pt>
                <c:pt idx="91">
                  <c:v>0.61752246423021762</c:v>
                </c:pt>
                <c:pt idx="92">
                  <c:v>0.5358516879500167</c:v>
                </c:pt>
                <c:pt idx="93">
                  <c:v>0.46331980192227618</c:v>
                </c:pt>
                <c:pt idx="94">
                  <c:v>0.39917334900933532</c:v>
                </c:pt>
                <c:pt idx="95">
                  <c:v>0.34267832090388278</c:v>
                </c:pt>
                <c:pt idx="96">
                  <c:v>0.2931272134775646</c:v>
                </c:pt>
                <c:pt idx="97">
                  <c:v>0.24984465658975241</c:v>
                </c:pt>
                <c:pt idx="98">
                  <c:v>0.21219170798661402</c:v>
                </c:pt>
                <c:pt idx="99">
                  <c:v>0.17956891902639416</c:v>
                </c:pt>
                <c:pt idx="100">
                  <c:v>0.15141829261607123</c:v>
                </c:pt>
                <c:pt idx="101">
                  <c:v>0.12722426135748233</c:v>
                </c:pt>
                <c:pt idx="102">
                  <c:v>0.10651381700176071</c:v>
                </c:pt>
                <c:pt idx="103">
                  <c:v>8.8855921492969864E-2</c:v>
                </c:pt>
                <c:pt idx="104">
                  <c:v>7.3860325776255426E-2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Analysis'!$W$211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5.7221468200472525E-2"/>
                  <c:y val="-3.09493236422370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51893134129328"/>
                      <c:h val="7.48843125378558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Analysis'!$X$211:$X$212</c:f>
              <c:numCache>
                <c:formatCode>0.00%</c:formatCode>
                <c:ptCount val="2"/>
                <c:pt idx="0">
                  <c:v>-2.6135136547729838E-4</c:v>
                </c:pt>
                <c:pt idx="1">
                  <c:v>-2.6135136547729838E-4</c:v>
                </c:pt>
              </c:numCache>
            </c:numRef>
          </c:xVal>
          <c:yVal>
            <c:numRef>
              <c:f>'Notes | Quant Analysis'!$Y$211:$Y$212</c:f>
              <c:numCache>
                <c:formatCode>General</c:formatCode>
                <c:ptCount val="2"/>
                <c:pt idx="0">
                  <c:v>0</c:v>
                </c:pt>
                <c:pt idx="1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Analysis'!$W$213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Analysis'!$X$213:$X$214</c:f>
              <c:numCache>
                <c:formatCode>0.00%</c:formatCode>
                <c:ptCount val="2"/>
                <c:pt idx="0">
                  <c:v>-0.1255774301354447</c:v>
                </c:pt>
                <c:pt idx="1">
                  <c:v>-0.1255774301354447</c:v>
                </c:pt>
              </c:numCache>
            </c:numRef>
          </c:xVal>
          <c:yVal>
            <c:numRef>
              <c:f>'Notes | Quant Analysis'!$Y$213:$Y$214</c:f>
              <c:numCache>
                <c:formatCode>General</c:formatCode>
                <c:ptCount val="2"/>
                <c:pt idx="0">
                  <c:v>0</c:v>
                </c:pt>
                <c:pt idx="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Analysis'!$W$215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5.9521676086918177E-2"/>
                  <c:y val="-2.51855441146780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Analysis'!$X$215:$X$216</c:f>
              <c:numCache>
                <c:formatCode>0.00%</c:formatCode>
                <c:ptCount val="2"/>
                <c:pt idx="0">
                  <c:v>-8.3805403878788889E-2</c:v>
                </c:pt>
                <c:pt idx="1">
                  <c:v>-8.3805403878788889E-2</c:v>
                </c:pt>
              </c:numCache>
            </c:numRef>
          </c:xVal>
          <c:yVal>
            <c:numRef>
              <c:f>'Notes | Quant Analysis'!$Y$215:$Y$216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Analysis'!$W$217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Analysis'!$X$217:$X$218</c:f>
              <c:numCache>
                <c:formatCode>0.00%</c:formatCode>
                <c:ptCount val="2"/>
                <c:pt idx="0">
                  <c:v>-4.2033377622133099E-2</c:v>
                </c:pt>
                <c:pt idx="1">
                  <c:v>-4.2033377622133099E-2</c:v>
                </c:pt>
              </c:numCache>
            </c:numRef>
          </c:xVal>
          <c:yVal>
            <c:numRef>
              <c:f>'Notes | Quant Analysis'!$Y$217:$Y$218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Analysis'!$W$219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Analysis'!$X$219:$X$220</c:f>
              <c:numCache>
                <c:formatCode>0.00%</c:formatCode>
                <c:ptCount val="2"/>
                <c:pt idx="0">
                  <c:v>4.1510674891178496E-2</c:v>
                </c:pt>
                <c:pt idx="1">
                  <c:v>4.1510674891178496E-2</c:v>
                </c:pt>
              </c:numCache>
            </c:numRef>
          </c:xVal>
          <c:yVal>
            <c:numRef>
              <c:f>'Notes | Quant Analysis'!$Y$219:$Y$220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Analysis'!$W$221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2631122721710072E-2"/>
                  <c:y val="-3.558917062647466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Analysis'!$X$221:$X$222</c:f>
              <c:numCache>
                <c:formatCode>0.00%</c:formatCode>
                <c:ptCount val="2"/>
                <c:pt idx="0">
                  <c:v>8.3282701147834301E-2</c:v>
                </c:pt>
                <c:pt idx="1">
                  <c:v>8.3282701147834301E-2</c:v>
                </c:pt>
              </c:numCache>
            </c:numRef>
          </c:xVal>
          <c:yVal>
            <c:numRef>
              <c:f>'Notes | Quant Analysis'!$Y$221:$Y$222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Analysis'!$W$223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Analysis'!$X$223:$X$224</c:f>
              <c:numCache>
                <c:formatCode>0.00%</c:formatCode>
                <c:ptCount val="2"/>
                <c:pt idx="0">
                  <c:v>0.12505472740449008</c:v>
                </c:pt>
                <c:pt idx="1">
                  <c:v>0.12505472740449008</c:v>
                </c:pt>
              </c:numCache>
            </c:numRef>
          </c:xVal>
          <c:yVal>
            <c:numRef>
              <c:f>'Notes | Quant Analysis'!$Y$223:$Y$224</c:f>
              <c:numCache>
                <c:formatCode>General</c:formatCode>
                <c:ptCount val="2"/>
                <c:pt idx="0">
                  <c:v>0</c:v>
                </c:pt>
                <c:pt idx="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0.14000000000000001"/>
          <c:min val="-0.140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2.0000000000000004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(FIG)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Model!$R$27:$T$27</c:f>
              <c:numCache>
                <c:formatCode>0.0</c:formatCode>
                <c:ptCount val="3"/>
                <c:pt idx="0">
                  <c:v>285.85899999999998</c:v>
                </c:pt>
                <c:pt idx="1">
                  <c:v>-732.12</c:v>
                </c:pt>
                <c:pt idx="2">
                  <c:v>-1250.4629999999997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Model!$R$74:$T$74</c:f>
              <c:numCache>
                <c:formatCode>0.0</c:formatCode>
                <c:ptCount val="3"/>
                <c:pt idx="1">
                  <c:v>70.824999999999989</c:v>
                </c:pt>
                <c:pt idx="2">
                  <c:v>242.684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Model!$R$3:$T$3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Model!$R$15:$T$15</c:f>
              <c:numCache>
                <c:formatCode>0.0</c:formatCode>
                <c:ptCount val="3"/>
                <c:pt idx="0">
                  <c:v>504.87400000000002</c:v>
                </c:pt>
                <c:pt idx="1">
                  <c:v>749.01100000000008</c:v>
                </c:pt>
                <c:pt idx="2">
                  <c:v>1055.788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(FIG)</a:t>
            </a:r>
            <a:r>
              <a:rPr lang="en-US" baseline="0"/>
              <a:t> Customer Mix Chart: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2492641934959"/>
          <c:y val="0.17644407257262365"/>
          <c:w val="0.82176439166326731"/>
          <c:h val="0.737995088510377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Model!$B$12</c:f>
              <c:strCache>
                <c:ptCount val="1"/>
                <c:pt idx="0">
                  <c:v>U.S. % of Revenues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Model!$C$1:$L$1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Model!$C$12:$L$12</c:f>
              <c:numCache>
                <c:formatCode>0.0%</c:formatCode>
                <c:ptCount val="10"/>
                <c:pt idx="0">
                  <c:v>0.46734955185659416</c:v>
                </c:pt>
                <c:pt idx="1">
                  <c:v>0.48080678111491104</c:v>
                </c:pt>
                <c:pt idx="2">
                  <c:v>0.47658314832434717</c:v>
                </c:pt>
                <c:pt idx="3">
                  <c:v>0.49102657461262639</c:v>
                </c:pt>
                <c:pt idx="4">
                  <c:v>0.47091792689713796</c:v>
                </c:pt>
                <c:pt idx="5">
                  <c:v>0.46773754206056728</c:v>
                </c:pt>
                <c:pt idx="6">
                  <c:v>0.46245253909028239</c:v>
                </c:pt>
                <c:pt idx="7">
                  <c:v>0.46260073211840308</c:v>
                </c:pt>
                <c:pt idx="8">
                  <c:v>0.46500559322694707</c:v>
                </c:pt>
                <c:pt idx="9">
                  <c:v>0.46150187930815528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E-444D-8805-E34312DE5FF5}"/>
            </c:ext>
          </c:extLst>
        </c:ser>
        <c:ser>
          <c:idx val="1"/>
          <c:order val="1"/>
          <c:tx>
            <c:strRef>
              <c:f>Model!$B$13</c:f>
              <c:strCache>
                <c:ptCount val="1"/>
                <c:pt idx="0">
                  <c:v>International % of Revenues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Model!$C$1:$L$1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Model!$C$13:$L$13</c:f>
              <c:numCache>
                <c:formatCode>0.0%</c:formatCode>
                <c:ptCount val="10"/>
                <c:pt idx="0">
                  <c:v>0.5326504481434059</c:v>
                </c:pt>
                <c:pt idx="1">
                  <c:v>0.51919321888508907</c:v>
                </c:pt>
                <c:pt idx="2">
                  <c:v>0.52341685167565277</c:v>
                </c:pt>
                <c:pt idx="3">
                  <c:v>0.50897342538737367</c:v>
                </c:pt>
                <c:pt idx="4">
                  <c:v>0.52908207310286193</c:v>
                </c:pt>
                <c:pt idx="5">
                  <c:v>0.53226245793943283</c:v>
                </c:pt>
                <c:pt idx="6">
                  <c:v>0.53754746090971761</c:v>
                </c:pt>
                <c:pt idx="7">
                  <c:v>0.53739926788159698</c:v>
                </c:pt>
                <c:pt idx="8">
                  <c:v>0.53499440677305299</c:v>
                </c:pt>
                <c:pt idx="9">
                  <c:v>0.53849812069184477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E-444D-8805-E34312DE5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7718351"/>
        <c:axId val="1852422639"/>
      </c:barChart>
      <c:catAx>
        <c:axId val="185771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22639"/>
        <c:crosses val="autoZero"/>
        <c:auto val="1"/>
        <c:lblAlgn val="ctr"/>
        <c:lblOffset val="100"/>
        <c:noMultiLvlLbl val="0"/>
      </c:catAx>
      <c:valAx>
        <c:axId val="18524226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18351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00871452550721"/>
          <c:y val="8.7475275455283039E-2"/>
          <c:w val="0.66562845214696642"/>
          <c:h val="8.2905937059580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11206</xdr:colOff>
      <xdr:row>2</xdr:row>
      <xdr:rowOff>11206</xdr:rowOff>
    </xdr:from>
    <xdr:to>
      <xdr:col>8</xdr:col>
      <xdr:colOff>1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A9675-C049-333C-00CA-343D8B1C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3882" y="381000"/>
          <a:ext cx="1804148" cy="1064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5093</xdr:colOff>
      <xdr:row>0</xdr:row>
      <xdr:rowOff>0</xdr:rowOff>
    </xdr:from>
    <xdr:to>
      <xdr:col>12</xdr:col>
      <xdr:colOff>5093</xdr:colOff>
      <xdr:row>84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8698820" y="0"/>
          <a:ext cx="0" cy="228738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0</xdr:row>
      <xdr:rowOff>0</xdr:rowOff>
    </xdr:from>
    <xdr:to>
      <xdr:col>20</xdr:col>
      <xdr:colOff>0</xdr:colOff>
      <xdr:row>83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13542818" y="0"/>
          <a:ext cx="0" cy="226244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69</xdr:row>
      <xdr:rowOff>0</xdr:rowOff>
    </xdr:from>
    <xdr:to>
      <xdr:col>39</xdr:col>
      <xdr:colOff>0</xdr:colOff>
      <xdr:row>100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65F3C6-E3BA-4823-97B1-522A94E05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36</xdr:row>
      <xdr:rowOff>0</xdr:rowOff>
    </xdr:from>
    <xdr:to>
      <xdr:col>30</xdr:col>
      <xdr:colOff>13607</xdr:colOff>
      <xdr:row>64</xdr:row>
      <xdr:rowOff>19049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590F08-2658-44BC-8D73-DD611737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6543675"/>
          <a:ext cx="8548007" cy="5086349"/>
        </a:xfrm>
        <a:prstGeom prst="rect">
          <a:avLst/>
        </a:prstGeom>
      </xdr:spPr>
    </xdr:pic>
    <xdr:clientData/>
  </xdr:twoCellAnchor>
  <xdr:twoCellAnchor editAs="oneCell">
    <xdr:from>
      <xdr:col>16</xdr:col>
      <xdr:colOff>17317</xdr:colOff>
      <xdr:row>2</xdr:row>
      <xdr:rowOff>17317</xdr:rowOff>
    </xdr:from>
    <xdr:to>
      <xdr:col>27</xdr:col>
      <xdr:colOff>69272</xdr:colOff>
      <xdr:row>31</xdr:row>
      <xdr:rowOff>-1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2E59BD-75F6-E51D-7EB1-ADF484C5F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5135" y="380999"/>
          <a:ext cx="6719455" cy="5004955"/>
        </a:xfrm>
        <a:prstGeom prst="rect">
          <a:avLst/>
        </a:prstGeom>
      </xdr:spPr>
    </xdr:pic>
    <xdr:clientData/>
  </xdr:twoCellAnchor>
  <xdr:twoCellAnchor editAs="oneCell">
    <xdr:from>
      <xdr:col>27</xdr:col>
      <xdr:colOff>17318</xdr:colOff>
      <xdr:row>2</xdr:row>
      <xdr:rowOff>17318</xdr:rowOff>
    </xdr:from>
    <xdr:to>
      <xdr:col>38</xdr:col>
      <xdr:colOff>0</xdr:colOff>
      <xdr:row>31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51FD25-F1B0-7CEA-7B7E-E89AF95F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92636" y="381000"/>
          <a:ext cx="6650182" cy="5004956"/>
        </a:xfrm>
        <a:prstGeom prst="rect">
          <a:avLst/>
        </a:prstGeom>
      </xdr:spPr>
    </xdr:pic>
    <xdr:clientData/>
  </xdr:twoCellAnchor>
  <xdr:twoCellAnchor editAs="oneCell">
    <xdr:from>
      <xdr:col>40</xdr:col>
      <xdr:colOff>17318</xdr:colOff>
      <xdr:row>138</xdr:row>
      <xdr:rowOff>0</xdr:rowOff>
    </xdr:from>
    <xdr:to>
      <xdr:col>52</xdr:col>
      <xdr:colOff>17318</xdr:colOff>
      <xdr:row>170</xdr:row>
      <xdr:rowOff>13408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16E1B6-367B-69E3-AF57-63F62272C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56773" y="24003000"/>
          <a:ext cx="7273636" cy="55725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BSX_Model.xlsx" TargetMode="External"/><Relationship Id="rId1" Type="http://schemas.openxmlformats.org/officeDocument/2006/relationships/externalLinkPath" Target="file:///C:\Users\User\OneDrive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PEN Acquisition"/>
      <sheetName val="Notes | Analysis"/>
      <sheetName val="VC Channel"/>
      <sheetName val="M&amp;A Scope"/>
      <sheetName val="Clinical Trial Channel"/>
      <sheetName val="Management"/>
      <sheetName val="Debt Schedule"/>
      <sheetName val="Portfolio | Product Lines"/>
      <sheetName val="Interventional Cardiology"/>
      <sheetName val="Watchman"/>
    </sheetNames>
    <sheetDataSet>
      <sheetData sheetId="0"/>
      <sheetData sheetId="1">
        <row r="50">
          <cell r="AW50">
            <v>2659</v>
          </cell>
          <cell r="AX50">
            <v>2708</v>
          </cell>
          <cell r="AY50">
            <v>2752</v>
          </cell>
          <cell r="AZ50">
            <v>3077</v>
          </cell>
          <cell r="BA50">
            <v>2932</v>
          </cell>
          <cell r="BB50">
            <v>3127</v>
          </cell>
          <cell r="BC50">
            <v>3026</v>
          </cell>
          <cell r="BD50">
            <v>3244</v>
          </cell>
          <cell r="BE50">
            <v>3170</v>
          </cell>
          <cell r="BF50">
            <v>3242</v>
          </cell>
          <cell r="BG50">
            <v>3389</v>
          </cell>
          <cell r="BH50">
            <v>3599</v>
          </cell>
          <cell r="BI50">
            <v>3527</v>
          </cell>
          <cell r="BJ50">
            <v>3725</v>
          </cell>
          <cell r="BK50">
            <v>3857</v>
          </cell>
          <cell r="BL50">
            <v>4120</v>
          </cell>
          <cell r="BM50">
            <v>4209</v>
          </cell>
          <cell r="BN50">
            <v>4561</v>
          </cell>
          <cell r="BO50">
            <v>4663</v>
          </cell>
          <cell r="BP50">
            <v>5061</v>
          </cell>
          <cell r="BQ50">
            <v>5065</v>
          </cell>
        </row>
        <row r="70">
          <cell r="AW70">
            <v>-169</v>
          </cell>
          <cell r="AX70">
            <v>196</v>
          </cell>
          <cell r="AY70">
            <v>327</v>
          </cell>
          <cell r="AZ70">
            <v>172</v>
          </cell>
          <cell r="BA70">
            <v>405</v>
          </cell>
          <cell r="BB70">
            <v>80</v>
          </cell>
          <cell r="BC70">
            <v>97</v>
          </cell>
          <cell r="BD70">
            <v>246</v>
          </cell>
          <cell r="BE70">
            <v>174</v>
          </cell>
          <cell r="BF70">
            <v>124</v>
          </cell>
          <cell r="BG70">
            <v>300</v>
          </cell>
          <cell r="BH70">
            <v>261</v>
          </cell>
          <cell r="BI70">
            <v>504</v>
          </cell>
          <cell r="BJ70">
            <v>504</v>
          </cell>
          <cell r="BK70">
            <v>495</v>
          </cell>
          <cell r="BL70">
            <v>324</v>
          </cell>
          <cell r="BM70">
            <v>468</v>
          </cell>
          <cell r="BN70">
            <v>565</v>
          </cell>
          <cell r="BO70">
            <v>674</v>
          </cell>
          <cell r="BP70">
            <v>797</v>
          </cell>
          <cell r="BQ70">
            <v>755</v>
          </cell>
        </row>
        <row r="115">
          <cell r="AX115">
            <v>0.4710676446617767</v>
          </cell>
          <cell r="AY115">
            <v>0.59416445623342173</v>
          </cell>
          <cell r="AZ115">
            <v>0.65676405597839427</v>
          </cell>
          <cell r="BA115">
            <v>0.4840875186474391</v>
          </cell>
          <cell r="BB115">
            <v>0.45050315937280599</v>
          </cell>
          <cell r="BC115">
            <v>7.6041179223210104E-2</v>
          </cell>
          <cell r="BD115">
            <v>7.107906258047901E-2</v>
          </cell>
          <cell r="BE115">
            <v>9.5519864750633982E-2</v>
          </cell>
          <cell r="BF115">
            <v>0.2440178806205627</v>
          </cell>
          <cell r="BG115">
            <v>0.13960323291697282</v>
          </cell>
          <cell r="BH115">
            <v>9.3380096448925906E-2</v>
          </cell>
          <cell r="BI115">
            <v>0.20790565625682464</v>
          </cell>
          <cell r="BJ115">
            <v>0.17551682205107419</v>
          </cell>
          <cell r="BK115">
            <v>0.47375915378356387</v>
          </cell>
          <cell r="BL115">
            <v>0.52241750358680061</v>
          </cell>
          <cell r="BM115">
            <v>0.42327863305701235</v>
          </cell>
          <cell r="BN115">
            <v>6.4697609001406475E-2</v>
          </cell>
          <cell r="BO115">
            <v>0.14333728746540134</v>
          </cell>
          <cell r="BP115">
            <v>0.1028703525332306</v>
          </cell>
          <cell r="BQ115">
            <v>0.2393018018018018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figma.com/" TargetMode="External"/><Relationship Id="rId1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2"/>
  <sheetViews>
    <sheetView tabSelected="1" zoomScale="85" zoomScaleNormal="85" workbookViewId="0">
      <selection activeCell="J7" sqref="J7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138</v>
      </c>
    </row>
    <row r="3" spans="2:18">
      <c r="B3" s="1" t="s">
        <v>0</v>
      </c>
      <c r="C3" s="70">
        <v>23.95</v>
      </c>
      <c r="D3" s="42" t="s">
        <v>139</v>
      </c>
    </row>
    <row r="4" spans="2:18">
      <c r="B4" s="1" t="s">
        <v>1</v>
      </c>
      <c r="C4" s="71">
        <v>455.11360000000002</v>
      </c>
      <c r="D4" s="1" t="s">
        <v>179</v>
      </c>
    </row>
    <row r="5" spans="2:18">
      <c r="B5" s="1" t="s">
        <v>2</v>
      </c>
      <c r="C5" s="72">
        <f>C3*C4</f>
        <v>10899.970719999999</v>
      </c>
    </row>
    <row r="6" spans="2:18">
      <c r="B6" s="1" t="s">
        <v>3</v>
      </c>
      <c r="C6" s="72">
        <f>15.82+1221.293+445.845</f>
        <v>1682.9579999999999</v>
      </c>
      <c r="D6" s="1" t="s">
        <v>179</v>
      </c>
    </row>
    <row r="7" spans="2:18">
      <c r="B7" s="1" t="s">
        <v>4</v>
      </c>
      <c r="C7" s="72">
        <v>0</v>
      </c>
      <c r="D7" s="1" t="s">
        <v>179</v>
      </c>
    </row>
    <row r="8" spans="2:18">
      <c r="B8" s="1" t="s">
        <v>5</v>
      </c>
      <c r="C8" s="72">
        <f>C5-C6+C7</f>
        <v>9217.0127199999988</v>
      </c>
    </row>
    <row r="10" spans="2:18" ht="15">
      <c r="B10" s="2" t="s">
        <v>140</v>
      </c>
    </row>
    <row r="12" spans="2:18" ht="15">
      <c r="B12" s="1" t="s">
        <v>141</v>
      </c>
      <c r="F12" s="1" t="s">
        <v>157</v>
      </c>
      <c r="N12" s="1" t="s">
        <v>92</v>
      </c>
      <c r="Q12" s="2"/>
    </row>
    <row r="13" spans="2:18">
      <c r="B13" s="1" t="s">
        <v>149</v>
      </c>
      <c r="F13" s="1" t="s">
        <v>158</v>
      </c>
      <c r="N13" s="1" t="s">
        <v>7</v>
      </c>
      <c r="Q13" s="43" t="s">
        <v>143</v>
      </c>
    </row>
    <row r="14" spans="2:18">
      <c r="B14" s="1" t="s">
        <v>150</v>
      </c>
      <c r="F14" s="1" t="s">
        <v>6</v>
      </c>
      <c r="N14" s="1" t="s">
        <v>96</v>
      </c>
      <c r="Q14" s="43" t="s">
        <v>144</v>
      </c>
    </row>
    <row r="15" spans="2:18">
      <c r="B15" s="1" t="s">
        <v>151</v>
      </c>
      <c r="F15" s="1" t="s">
        <v>89</v>
      </c>
      <c r="O15" s="1" t="s">
        <v>95</v>
      </c>
      <c r="R15" s="43" t="s">
        <v>145</v>
      </c>
    </row>
    <row r="16" spans="2:18">
      <c r="B16" s="1" t="s">
        <v>152</v>
      </c>
      <c r="F16" s="1" t="s">
        <v>83</v>
      </c>
      <c r="G16" s="1" t="s">
        <v>159</v>
      </c>
      <c r="I16" s="1" t="s">
        <v>84</v>
      </c>
      <c r="N16" s="1" t="s">
        <v>86</v>
      </c>
      <c r="Q16" s="43" t="s">
        <v>146</v>
      </c>
    </row>
    <row r="17" spans="1:17">
      <c r="B17" s="1" t="s">
        <v>153</v>
      </c>
      <c r="N17" s="1" t="s">
        <v>87</v>
      </c>
      <c r="Q17" s="43" t="s">
        <v>142</v>
      </c>
    </row>
    <row r="18" spans="1:17">
      <c r="B18" s="1" t="s">
        <v>154</v>
      </c>
      <c r="N18" s="1" t="s">
        <v>97</v>
      </c>
      <c r="Q18" s="43" t="s">
        <v>147</v>
      </c>
    </row>
    <row r="19" spans="1:17">
      <c r="B19" s="1" t="s">
        <v>155</v>
      </c>
      <c r="N19" s="1" t="s">
        <v>98</v>
      </c>
      <c r="Q19" s="43" t="s">
        <v>148</v>
      </c>
    </row>
    <row r="20" spans="1:17">
      <c r="B20" s="1" t="s">
        <v>156</v>
      </c>
      <c r="N20" s="1" t="s">
        <v>8</v>
      </c>
      <c r="Q20" s="43" t="s">
        <v>88</v>
      </c>
    </row>
    <row r="21" spans="1:17">
      <c r="Q21" s="43"/>
    </row>
    <row r="22" spans="1:17" ht="15">
      <c r="A22" s="2" t="s">
        <v>9</v>
      </c>
      <c r="N22" s="2"/>
    </row>
    <row r="23" spans="1:17">
      <c r="B23" s="1" t="s">
        <v>160</v>
      </c>
    </row>
    <row r="24" spans="1:17">
      <c r="B24" s="1" t="s">
        <v>165</v>
      </c>
    </row>
    <row r="25" spans="1:17">
      <c r="C25" s="1" t="s">
        <v>161</v>
      </c>
    </row>
    <row r="26" spans="1:17">
      <c r="C26" s="1" t="s">
        <v>162</v>
      </c>
    </row>
    <row r="27" spans="1:17">
      <c r="C27" s="1" t="s">
        <v>163</v>
      </c>
    </row>
    <row r="28" spans="1:17">
      <c r="B28" s="1" t="s">
        <v>164</v>
      </c>
    </row>
    <row r="29" spans="1:17">
      <c r="C29" s="1" t="s">
        <v>166</v>
      </c>
    </row>
    <row r="30" spans="1:17">
      <c r="B30" s="1" t="s">
        <v>167</v>
      </c>
    </row>
    <row r="32" spans="1:17" ht="15">
      <c r="A32" s="2" t="s">
        <v>90</v>
      </c>
    </row>
  </sheetData>
  <hyperlinks>
    <hyperlink ref="Q20" r:id="rId1" xr:uid="{14375537-5C3D-4253-9650-337AB6789785}"/>
    <hyperlink ref="Q14" r:id="rId2" xr:uid="{753359C2-9F9F-47D5-A42A-4DC7CC32CADB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CE80"/>
  <sheetViews>
    <sheetView zoomScale="85" zoomScaleNormal="85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AG14" sqref="AG14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12" width="9.140625" style="1"/>
    <col min="13" max="14" width="9.140625" style="35"/>
    <col min="15" max="20" width="9.140625" style="1"/>
    <col min="21" max="82" width="9.140625" style="35"/>
    <col min="83" max="16384" width="9.140625" style="1"/>
  </cols>
  <sheetData>
    <row r="1" spans="2:83" ht="15">
      <c r="B1" s="1" t="s">
        <v>46</v>
      </c>
      <c r="C1" s="33" t="s">
        <v>44</v>
      </c>
      <c r="G1" s="33" t="s">
        <v>45</v>
      </c>
      <c r="K1" s="33" t="s">
        <v>137</v>
      </c>
    </row>
    <row r="2" spans="2:83" ht="15">
      <c r="B2" s="1" t="s">
        <v>47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34"/>
      <c r="BV2" s="34"/>
    </row>
    <row r="3" spans="2:83" ht="15">
      <c r="B3" s="2" t="s">
        <v>48</v>
      </c>
      <c r="C3" s="2" t="str" cm="1">
        <f t="array" ref="C3:N3">"Q"&amp;MOD(_xlfn.SEQUENCE(1,12)-1,4)+1&amp;" "&amp;(2024+INT((_xlfn.SEQUENCE(1,12)-1)/4))</f>
        <v>Q1 2024</v>
      </c>
      <c r="D3" s="2" t="str">
        <v>Q2 2024</v>
      </c>
      <c r="E3" s="2" t="str">
        <v>Q3 2024</v>
      </c>
      <c r="F3" s="2" t="str">
        <v>Q4 2024</v>
      </c>
      <c r="G3" s="2" t="str">
        <v>Q1 2025</v>
      </c>
      <c r="H3" s="2" t="str">
        <v>Q2 2025</v>
      </c>
      <c r="I3" s="2" t="str">
        <v>Q3 2025</v>
      </c>
      <c r="J3" s="2" t="str">
        <v>Q4 2025</v>
      </c>
      <c r="K3" s="2" t="str">
        <v>Q1 2026</v>
      </c>
      <c r="L3" s="2" t="str">
        <v>Q2 2026</v>
      </c>
      <c r="M3" s="34" t="str">
        <v>Q3 2026</v>
      </c>
      <c r="N3" s="34" t="str">
        <v>Q4 2026</v>
      </c>
      <c r="R3" s="2">
        <v>2023</v>
      </c>
      <c r="S3" s="2">
        <v>2024</v>
      </c>
      <c r="T3" s="2">
        <f t="shared" ref="T3:BQ3" si="0">S3+1</f>
        <v>2025</v>
      </c>
      <c r="U3" s="34">
        <f>T3+1</f>
        <v>2026</v>
      </c>
      <c r="V3" s="34">
        <f t="shared" si="0"/>
        <v>2027</v>
      </c>
      <c r="W3" s="34">
        <f t="shared" si="0"/>
        <v>2028</v>
      </c>
      <c r="X3" s="34">
        <f t="shared" si="0"/>
        <v>2029</v>
      </c>
      <c r="Y3" s="34">
        <f t="shared" si="0"/>
        <v>2030</v>
      </c>
      <c r="Z3" s="34">
        <f t="shared" si="0"/>
        <v>2031</v>
      </c>
      <c r="AA3" s="34">
        <f t="shared" si="0"/>
        <v>2032</v>
      </c>
      <c r="AB3" s="34">
        <f t="shared" si="0"/>
        <v>2033</v>
      </c>
      <c r="AC3" s="34">
        <f t="shared" si="0"/>
        <v>2034</v>
      </c>
      <c r="AD3" s="34">
        <f t="shared" si="0"/>
        <v>2035</v>
      </c>
      <c r="AE3" s="34">
        <f t="shared" si="0"/>
        <v>2036</v>
      </c>
      <c r="AF3" s="34">
        <f t="shared" si="0"/>
        <v>2037</v>
      </c>
      <c r="AG3" s="34">
        <f t="shared" si="0"/>
        <v>2038</v>
      </c>
      <c r="AH3" s="34">
        <f t="shared" si="0"/>
        <v>2039</v>
      </c>
      <c r="AI3" s="34">
        <f t="shared" si="0"/>
        <v>2040</v>
      </c>
      <c r="AJ3" s="34">
        <f t="shared" si="0"/>
        <v>2041</v>
      </c>
      <c r="AK3" s="34">
        <f t="shared" si="0"/>
        <v>2042</v>
      </c>
      <c r="AL3" s="34">
        <f t="shared" si="0"/>
        <v>2043</v>
      </c>
      <c r="AM3" s="34">
        <f t="shared" si="0"/>
        <v>2044</v>
      </c>
      <c r="AN3" s="34">
        <f t="shared" si="0"/>
        <v>2045</v>
      </c>
      <c r="AO3" s="34">
        <f t="shared" si="0"/>
        <v>2046</v>
      </c>
      <c r="AP3" s="34">
        <f t="shared" si="0"/>
        <v>2047</v>
      </c>
      <c r="AQ3" s="34">
        <f t="shared" si="0"/>
        <v>2048</v>
      </c>
      <c r="AR3" s="34">
        <f t="shared" si="0"/>
        <v>2049</v>
      </c>
      <c r="AS3" s="34">
        <f t="shared" si="0"/>
        <v>2050</v>
      </c>
      <c r="AT3" s="34">
        <f t="shared" si="0"/>
        <v>2051</v>
      </c>
      <c r="AU3" s="34">
        <f t="shared" si="0"/>
        <v>2052</v>
      </c>
      <c r="AV3" s="34">
        <f t="shared" si="0"/>
        <v>2053</v>
      </c>
      <c r="AW3" s="34">
        <f t="shared" si="0"/>
        <v>2054</v>
      </c>
      <c r="AX3" s="34">
        <f t="shared" si="0"/>
        <v>2055</v>
      </c>
      <c r="AY3" s="34">
        <f t="shared" si="0"/>
        <v>2056</v>
      </c>
      <c r="AZ3" s="34">
        <f t="shared" si="0"/>
        <v>2057</v>
      </c>
      <c r="BA3" s="34">
        <f t="shared" si="0"/>
        <v>2058</v>
      </c>
      <c r="BB3" s="34">
        <f t="shared" si="0"/>
        <v>2059</v>
      </c>
      <c r="BC3" s="34">
        <f t="shared" si="0"/>
        <v>2060</v>
      </c>
      <c r="BD3" s="34">
        <f t="shared" si="0"/>
        <v>2061</v>
      </c>
      <c r="BE3" s="34">
        <f t="shared" si="0"/>
        <v>2062</v>
      </c>
      <c r="BF3" s="34">
        <f t="shared" si="0"/>
        <v>2063</v>
      </c>
      <c r="BG3" s="34">
        <f t="shared" si="0"/>
        <v>2064</v>
      </c>
      <c r="BH3" s="34">
        <f t="shared" si="0"/>
        <v>2065</v>
      </c>
      <c r="BI3" s="34">
        <f t="shared" si="0"/>
        <v>2066</v>
      </c>
      <c r="BJ3" s="34">
        <f t="shared" si="0"/>
        <v>2067</v>
      </c>
      <c r="BK3" s="34">
        <f t="shared" si="0"/>
        <v>2068</v>
      </c>
      <c r="BL3" s="34">
        <f t="shared" si="0"/>
        <v>2069</v>
      </c>
      <c r="BM3" s="34">
        <f t="shared" si="0"/>
        <v>2070</v>
      </c>
      <c r="BN3" s="34">
        <f t="shared" si="0"/>
        <v>2071</v>
      </c>
      <c r="BO3" s="34">
        <f t="shared" si="0"/>
        <v>2072</v>
      </c>
      <c r="BP3" s="34">
        <f t="shared" si="0"/>
        <v>2073</v>
      </c>
      <c r="BQ3" s="34">
        <f t="shared" si="0"/>
        <v>2074</v>
      </c>
      <c r="BR3" s="34">
        <f t="shared" ref="BR3:CB3" si="1">BQ3+1</f>
        <v>2075</v>
      </c>
      <c r="BS3" s="34">
        <f t="shared" si="1"/>
        <v>2076</v>
      </c>
      <c r="BT3" s="34">
        <f t="shared" si="1"/>
        <v>2077</v>
      </c>
      <c r="BU3" s="34">
        <f t="shared" si="1"/>
        <v>2078</v>
      </c>
      <c r="BV3" s="34">
        <f t="shared" si="1"/>
        <v>2079</v>
      </c>
      <c r="BW3" s="34">
        <f t="shared" si="1"/>
        <v>2080</v>
      </c>
      <c r="BX3" s="34">
        <f t="shared" si="1"/>
        <v>2081</v>
      </c>
      <c r="BY3" s="34">
        <f t="shared" si="1"/>
        <v>2082</v>
      </c>
      <c r="BZ3" s="34">
        <f t="shared" si="1"/>
        <v>2083</v>
      </c>
      <c r="CA3" s="34">
        <f t="shared" si="1"/>
        <v>2084</v>
      </c>
      <c r="CB3" s="34">
        <f t="shared" si="1"/>
        <v>2085</v>
      </c>
      <c r="CC3" s="34"/>
      <c r="CD3" s="34"/>
      <c r="CE3" s="2"/>
    </row>
    <row r="4" spans="2:83">
      <c r="B4" s="1" t="s">
        <v>50</v>
      </c>
      <c r="C4" s="75">
        <v>73</v>
      </c>
      <c r="D4" s="75">
        <v>85.197999999999993</v>
      </c>
      <c r="E4" s="75">
        <v>94.668000000000006</v>
      </c>
      <c r="F4" s="75">
        <f>359.406-SUM(C4:E4)</f>
        <v>106.54000000000002</v>
      </c>
      <c r="G4" s="75">
        <v>107.46299999999999</v>
      </c>
      <c r="H4" s="75">
        <v>116.76600000000001</v>
      </c>
      <c r="I4" s="75">
        <v>126.792</v>
      </c>
      <c r="J4" s="75">
        <f>491.548-SUM(G4:I4)</f>
        <v>140.52700000000004</v>
      </c>
      <c r="K4" s="75">
        <v>155.05099999999999</v>
      </c>
      <c r="L4" s="75">
        <v>170.79400000000001</v>
      </c>
      <c r="R4" s="75">
        <v>252.28899999999999</v>
      </c>
      <c r="S4" s="75">
        <f>SUM(C4:F4)</f>
        <v>359.40600000000001</v>
      </c>
      <c r="T4" s="75">
        <f>SUM(G4:J4)</f>
        <v>491.548</v>
      </c>
      <c r="U4" s="82">
        <f>T4*(1+U8)</f>
        <v>712.74459999999999</v>
      </c>
      <c r="V4" s="82">
        <f t="shared" ref="V4:AD4" si="2">U4*(1+V8)</f>
        <v>983.58754799999986</v>
      </c>
      <c r="W4" s="82">
        <f t="shared" si="2"/>
        <v>1308.1714388399998</v>
      </c>
      <c r="X4" s="82">
        <f t="shared" si="2"/>
        <v>1661.3777273267999</v>
      </c>
      <c r="Y4" s="82">
        <f t="shared" si="2"/>
        <v>2043.494604611964</v>
      </c>
      <c r="Z4" s="82">
        <f t="shared" si="2"/>
        <v>2452.1935255343565</v>
      </c>
      <c r="AA4" s="82">
        <f t="shared" si="2"/>
        <v>2869.0664248751968</v>
      </c>
      <c r="AB4" s="82">
        <f t="shared" si="2"/>
        <v>3270.7357243577248</v>
      </c>
      <c r="AC4" s="82">
        <f t="shared" si="2"/>
        <v>3630.5166540370751</v>
      </c>
      <c r="AD4" s="82">
        <f t="shared" si="2"/>
        <v>3957.263152900412</v>
      </c>
    </row>
    <row r="5" spans="2:83">
      <c r="B5" s="1" t="s">
        <v>456</v>
      </c>
      <c r="C5" s="75">
        <v>83.2</v>
      </c>
      <c r="D5" s="75">
        <v>92</v>
      </c>
      <c r="E5" s="75">
        <v>103.971</v>
      </c>
      <c r="F5" s="75">
        <f>389.605-SUM(C5:E5)</f>
        <v>110.43400000000003</v>
      </c>
      <c r="G5" s="75">
        <v>120.736</v>
      </c>
      <c r="H5" s="75">
        <v>132.874</v>
      </c>
      <c r="I5" s="75">
        <v>147.381</v>
      </c>
      <c r="J5" s="75">
        <f>564.24-SUM(G5:I5)</f>
        <v>163.24900000000002</v>
      </c>
      <c r="K5" s="75">
        <v>178.38800000000001</v>
      </c>
      <c r="L5" s="75">
        <v>199.28899999999999</v>
      </c>
      <c r="R5" s="75">
        <v>252.58500000000001</v>
      </c>
      <c r="S5" s="75">
        <f>SUM(C5:F5)</f>
        <v>389.60500000000002</v>
      </c>
      <c r="T5" s="75">
        <f>SUM(G5:J5)</f>
        <v>564.24</v>
      </c>
      <c r="U5" s="82">
        <f>T5*(1+U9)</f>
        <v>835.0752</v>
      </c>
      <c r="V5" s="82">
        <f t="shared" ref="V5:AD5" si="3">U5*(1+V9)</f>
        <v>1185.8067839999999</v>
      </c>
      <c r="W5" s="82">
        <f t="shared" si="3"/>
        <v>1612.6972262399997</v>
      </c>
      <c r="X5" s="82">
        <f t="shared" si="3"/>
        <v>2112.6333663743999</v>
      </c>
      <c r="Y5" s="82">
        <f t="shared" si="3"/>
        <v>2661.918041631744</v>
      </c>
      <c r="Z5" s="82">
        <f t="shared" si="3"/>
        <v>3220.9208303744103</v>
      </c>
      <c r="AA5" s="82">
        <f t="shared" si="3"/>
        <v>3800.6865798418039</v>
      </c>
      <c r="AB5" s="82">
        <f t="shared" si="3"/>
        <v>4408.796432616492</v>
      </c>
      <c r="AC5" s="82">
        <f t="shared" si="3"/>
        <v>5026.0279331828015</v>
      </c>
      <c r="AD5" s="82">
        <f t="shared" si="3"/>
        <v>5629.1512851647385</v>
      </c>
    </row>
    <row r="6" spans="2:83" ht="15">
      <c r="B6" s="2" t="s">
        <v>49</v>
      </c>
      <c r="C6" s="76">
        <f t="shared" ref="C6:K6" si="4">SUM(C4:C5)</f>
        <v>156.19999999999999</v>
      </c>
      <c r="D6" s="76">
        <f t="shared" si="4"/>
        <v>177.19799999999998</v>
      </c>
      <c r="E6" s="76">
        <f t="shared" si="4"/>
        <v>198.63900000000001</v>
      </c>
      <c r="F6" s="76">
        <f t="shared" si="4"/>
        <v>216.97400000000005</v>
      </c>
      <c r="G6" s="76">
        <f t="shared" si="4"/>
        <v>228.19900000000001</v>
      </c>
      <c r="H6" s="76">
        <f t="shared" si="4"/>
        <v>249.64</v>
      </c>
      <c r="I6" s="76">
        <f t="shared" si="4"/>
        <v>274.173</v>
      </c>
      <c r="J6" s="76">
        <f t="shared" si="4"/>
        <v>303.77600000000007</v>
      </c>
      <c r="K6" s="76">
        <f t="shared" si="4"/>
        <v>333.43899999999996</v>
      </c>
      <c r="L6" s="76">
        <f>SUM(L4:L5)</f>
        <v>370.08299999999997</v>
      </c>
      <c r="R6" s="76">
        <f>SUM(R4:R5)</f>
        <v>504.87400000000002</v>
      </c>
      <c r="S6" s="76">
        <f>SUM(C6:F6)</f>
        <v>749.01100000000008</v>
      </c>
      <c r="T6" s="76">
        <f>SUM(G6:J6)</f>
        <v>1055.788</v>
      </c>
      <c r="U6" s="83">
        <f>U4+U5</f>
        <v>1547.8198</v>
      </c>
      <c r="V6" s="83">
        <f t="shared" ref="V6:AD6" si="5">V4+V5</f>
        <v>2169.3943319999998</v>
      </c>
      <c r="W6" s="83">
        <f t="shared" si="5"/>
        <v>2920.8686650799996</v>
      </c>
      <c r="X6" s="83">
        <f t="shared" si="5"/>
        <v>3774.0110937011996</v>
      </c>
      <c r="Y6" s="83">
        <f t="shared" si="5"/>
        <v>4705.412646243708</v>
      </c>
      <c r="Z6" s="83">
        <f t="shared" si="5"/>
        <v>5673.1143559087668</v>
      </c>
      <c r="AA6" s="83">
        <f t="shared" si="5"/>
        <v>6669.7530047170003</v>
      </c>
      <c r="AB6" s="83">
        <f t="shared" si="5"/>
        <v>7679.5321569742173</v>
      </c>
      <c r="AC6" s="83">
        <f t="shared" si="5"/>
        <v>8656.5445872198761</v>
      </c>
      <c r="AD6" s="83">
        <f t="shared" si="5"/>
        <v>9586.4144380651505</v>
      </c>
    </row>
    <row r="8" spans="2:83">
      <c r="B8" s="1" t="s">
        <v>168</v>
      </c>
      <c r="C8" s="74"/>
      <c r="D8" s="74"/>
      <c r="E8" s="74"/>
      <c r="F8" s="74"/>
      <c r="G8" s="74">
        <f t="shared" ref="G8:K8" si="6">G4/C4-1</f>
        <v>0.4720958904109589</v>
      </c>
      <c r="H8" s="74">
        <f t="shared" si="6"/>
        <v>0.37052512969788043</v>
      </c>
      <c r="I8" s="74">
        <f t="shared" si="6"/>
        <v>0.33933324882748117</v>
      </c>
      <c r="J8" s="74">
        <f t="shared" si="6"/>
        <v>0.31900694574807598</v>
      </c>
      <c r="K8" s="74">
        <f t="shared" si="6"/>
        <v>0.44283148618594304</v>
      </c>
      <c r="L8" s="74">
        <f>L4/H4-1</f>
        <v>0.46270318414607003</v>
      </c>
      <c r="R8" s="74"/>
      <c r="S8" s="74">
        <f t="shared" ref="S8" si="7">S4/R4-1</f>
        <v>0.42458054057053629</v>
      </c>
      <c r="T8" s="74">
        <f>T4/S4-1</f>
        <v>0.36766776291992898</v>
      </c>
      <c r="U8" s="93">
        <v>0.45</v>
      </c>
      <c r="V8" s="93">
        <v>0.38</v>
      </c>
      <c r="W8" s="93">
        <v>0.33</v>
      </c>
      <c r="X8" s="93">
        <v>0.27</v>
      </c>
      <c r="Y8" s="93">
        <v>0.23</v>
      </c>
      <c r="Z8" s="93">
        <v>0.2</v>
      </c>
      <c r="AA8" s="93">
        <v>0.17</v>
      </c>
      <c r="AB8" s="93">
        <v>0.14000000000000001</v>
      </c>
      <c r="AC8" s="93">
        <v>0.11</v>
      </c>
      <c r="AD8" s="93">
        <v>0.09</v>
      </c>
    </row>
    <row r="9" spans="2:83">
      <c r="B9" s="1" t="s">
        <v>457</v>
      </c>
      <c r="C9" s="74"/>
      <c r="D9" s="74"/>
      <c r="E9" s="74"/>
      <c r="F9" s="74"/>
      <c r="G9" s="74">
        <f t="shared" ref="G9:K9" si="8">G5/C5-1</f>
        <v>0.45115384615384624</v>
      </c>
      <c r="H9" s="74">
        <f t="shared" si="8"/>
        <v>0.44428260869565217</v>
      </c>
      <c r="I9" s="74">
        <f t="shared" si="8"/>
        <v>0.41752027007530934</v>
      </c>
      <c r="J9" s="74">
        <f t="shared" si="8"/>
        <v>0.47824945216147197</v>
      </c>
      <c r="K9" s="74">
        <f t="shared" si="8"/>
        <v>0.47750463821892386</v>
      </c>
      <c r="L9" s="74">
        <f>L5/H5-1</f>
        <v>0.49983442961000635</v>
      </c>
      <c r="R9" s="74"/>
      <c r="S9" s="74">
        <f t="shared" ref="S9:T10" si="9">S5/R5-1</f>
        <v>0.54247085139655971</v>
      </c>
      <c r="T9" s="74">
        <f t="shared" si="9"/>
        <v>0.44823603393180278</v>
      </c>
      <c r="U9" s="93">
        <v>0.48</v>
      </c>
      <c r="V9" s="93">
        <v>0.42</v>
      </c>
      <c r="W9" s="93">
        <v>0.36</v>
      </c>
      <c r="X9" s="93">
        <v>0.31</v>
      </c>
      <c r="Y9" s="93">
        <v>0.26</v>
      </c>
      <c r="Z9" s="93">
        <v>0.21</v>
      </c>
      <c r="AA9" s="93">
        <v>0.18</v>
      </c>
      <c r="AB9" s="93">
        <v>0.16</v>
      </c>
      <c r="AC9" s="93">
        <v>0.14000000000000001</v>
      </c>
      <c r="AD9" s="93">
        <v>0.12</v>
      </c>
    </row>
    <row r="10" spans="2:83" s="2" customFormat="1" ht="15">
      <c r="B10" s="2" t="s">
        <v>99</v>
      </c>
      <c r="C10" s="85"/>
      <c r="D10" s="85"/>
      <c r="E10" s="85"/>
      <c r="F10" s="85"/>
      <c r="G10" s="85">
        <f t="shared" ref="G10:K10" si="10">G6/C6-1</f>
        <v>0.46094110115236897</v>
      </c>
      <c r="H10" s="85">
        <f t="shared" si="10"/>
        <v>0.40881951263558292</v>
      </c>
      <c r="I10" s="85">
        <f t="shared" si="10"/>
        <v>0.38025765333091677</v>
      </c>
      <c r="J10" s="85">
        <f t="shared" si="10"/>
        <v>0.40005714970457285</v>
      </c>
      <c r="K10" s="85">
        <f t="shared" si="10"/>
        <v>0.46117642934456304</v>
      </c>
      <c r="L10" s="85">
        <f>L6/H6-1</f>
        <v>0.48246675212305723</v>
      </c>
      <c r="M10" s="34"/>
      <c r="N10" s="34"/>
      <c r="R10" s="85"/>
      <c r="S10" s="85">
        <f t="shared" si="9"/>
        <v>0.48356025463779084</v>
      </c>
      <c r="T10" s="85">
        <f t="shared" si="9"/>
        <v>0.40957609434307352</v>
      </c>
      <c r="U10" s="94">
        <f>U6/T6-1</f>
        <v>0.46603276415340966</v>
      </c>
      <c r="V10" s="94">
        <f t="shared" ref="V10:AD10" si="11">V6/U6-1</f>
        <v>0.40158068271254832</v>
      </c>
      <c r="W10" s="94">
        <f t="shared" si="11"/>
        <v>0.34639821907675183</v>
      </c>
      <c r="X10" s="94">
        <f t="shared" si="11"/>
        <v>0.29208517275042678</v>
      </c>
      <c r="Y10" s="94">
        <f t="shared" si="11"/>
        <v>0.24679353860326803</v>
      </c>
      <c r="Z10" s="94">
        <f t="shared" si="11"/>
        <v>0.20565714049278272</v>
      </c>
      <c r="AA10" s="94">
        <f t="shared" si="11"/>
        <v>0.17567751789988084</v>
      </c>
      <c r="AB10" s="94">
        <f t="shared" si="11"/>
        <v>0.15139678359049857</v>
      </c>
      <c r="AC10" s="94">
        <f t="shared" si="11"/>
        <v>0.12722291023397547</v>
      </c>
      <c r="AD10" s="94">
        <f t="shared" si="11"/>
        <v>0.10741813219770058</v>
      </c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</row>
    <row r="11" spans="2:83">
      <c r="C11" s="74"/>
      <c r="D11" s="74"/>
      <c r="E11" s="74"/>
      <c r="F11" s="74"/>
      <c r="G11" s="74"/>
      <c r="H11" s="74"/>
      <c r="I11" s="74"/>
      <c r="J11" s="74"/>
      <c r="K11" s="74"/>
      <c r="L11" s="74"/>
    </row>
    <row r="12" spans="2:83">
      <c r="B12" s="37" t="s">
        <v>51</v>
      </c>
      <c r="C12" s="74">
        <f t="shared" ref="C12:K12" si="12">C4/C6</f>
        <v>0.46734955185659416</v>
      </c>
      <c r="D12" s="74">
        <f t="shared" si="12"/>
        <v>0.48080678111491104</v>
      </c>
      <c r="E12" s="74">
        <f t="shared" si="12"/>
        <v>0.47658314832434717</v>
      </c>
      <c r="F12" s="74">
        <f t="shared" si="12"/>
        <v>0.49102657461262639</v>
      </c>
      <c r="G12" s="74">
        <f t="shared" si="12"/>
        <v>0.47091792689713796</v>
      </c>
      <c r="H12" s="74">
        <f t="shared" si="12"/>
        <v>0.46773754206056728</v>
      </c>
      <c r="I12" s="74">
        <f t="shared" si="12"/>
        <v>0.46245253909028239</v>
      </c>
      <c r="J12" s="74">
        <f t="shared" si="12"/>
        <v>0.46260073211840308</v>
      </c>
      <c r="K12" s="74">
        <f t="shared" si="12"/>
        <v>0.46500559322694707</v>
      </c>
      <c r="L12" s="74">
        <f>L4/L6</f>
        <v>0.46150187930815528</v>
      </c>
      <c r="R12" s="74">
        <f t="shared" ref="R12:S12" si="13">R4/R6</f>
        <v>0.49970685755257743</v>
      </c>
      <c r="S12" s="74">
        <f t="shared" si="13"/>
        <v>0.47984075000233639</v>
      </c>
      <c r="T12" s="74">
        <f>T4/T6</f>
        <v>0.46557452821968048</v>
      </c>
    </row>
    <row r="13" spans="2:83">
      <c r="B13" s="1" t="s">
        <v>169</v>
      </c>
      <c r="C13" s="74">
        <f t="shared" ref="C13:K13" si="14">C5/C6</f>
        <v>0.5326504481434059</v>
      </c>
      <c r="D13" s="74">
        <f t="shared" si="14"/>
        <v>0.51919321888508907</v>
      </c>
      <c r="E13" s="74">
        <f t="shared" si="14"/>
        <v>0.52341685167565277</v>
      </c>
      <c r="F13" s="74">
        <f t="shared" si="14"/>
        <v>0.50897342538737367</v>
      </c>
      <c r="G13" s="74">
        <f t="shared" si="14"/>
        <v>0.52908207310286193</v>
      </c>
      <c r="H13" s="74">
        <f t="shared" si="14"/>
        <v>0.53226245793943283</v>
      </c>
      <c r="I13" s="74">
        <f t="shared" si="14"/>
        <v>0.53754746090971761</v>
      </c>
      <c r="J13" s="74">
        <f t="shared" si="14"/>
        <v>0.53739926788159698</v>
      </c>
      <c r="K13" s="74">
        <f t="shared" si="14"/>
        <v>0.53499440677305299</v>
      </c>
      <c r="L13" s="74">
        <f>L5/L6</f>
        <v>0.53849812069184477</v>
      </c>
      <c r="R13" s="74">
        <f t="shared" ref="R13:S13" si="15">R5/R6</f>
        <v>0.50029314244742251</v>
      </c>
      <c r="S13" s="74">
        <f t="shared" si="15"/>
        <v>0.52015924999766361</v>
      </c>
      <c r="T13" s="74">
        <f>T5/T6</f>
        <v>0.53442547178031952</v>
      </c>
    </row>
    <row r="15" spans="2:83" s="2" customFormat="1" ht="15">
      <c r="B15" s="2" t="s">
        <v>48</v>
      </c>
      <c r="C15" s="76">
        <f t="shared" ref="C15:J15" si="16">C6</f>
        <v>156.19999999999999</v>
      </c>
      <c r="D15" s="76">
        <f t="shared" si="16"/>
        <v>177.19799999999998</v>
      </c>
      <c r="E15" s="76">
        <f t="shared" si="16"/>
        <v>198.63900000000001</v>
      </c>
      <c r="F15" s="76">
        <f t="shared" si="16"/>
        <v>216.97400000000005</v>
      </c>
      <c r="G15" s="76">
        <f t="shared" si="16"/>
        <v>228.19900000000001</v>
      </c>
      <c r="H15" s="76">
        <f t="shared" si="16"/>
        <v>249.64</v>
      </c>
      <c r="I15" s="76">
        <f t="shared" si="16"/>
        <v>274.173</v>
      </c>
      <c r="J15" s="76">
        <f t="shared" si="16"/>
        <v>303.77600000000007</v>
      </c>
      <c r="K15" s="76">
        <f>K6</f>
        <v>333.43899999999996</v>
      </c>
      <c r="L15" s="76">
        <f>L6</f>
        <v>370.08299999999997</v>
      </c>
      <c r="M15" s="34"/>
      <c r="N15" s="34"/>
      <c r="R15" s="76">
        <f>R6</f>
        <v>504.87400000000002</v>
      </c>
      <c r="S15" s="76">
        <f>SUM(C15:F15)</f>
        <v>749.01100000000008</v>
      </c>
      <c r="T15" s="76">
        <f>SUM(G15:J15)</f>
        <v>1055.788</v>
      </c>
      <c r="U15" s="83">
        <f>U6</f>
        <v>1547.8198</v>
      </c>
      <c r="V15" s="83">
        <f t="shared" ref="V15:AD15" si="17">V6</f>
        <v>2169.3943319999998</v>
      </c>
      <c r="W15" s="83">
        <f t="shared" si="17"/>
        <v>2920.8686650799996</v>
      </c>
      <c r="X15" s="83">
        <f t="shared" si="17"/>
        <v>3774.0110937011996</v>
      </c>
      <c r="Y15" s="83">
        <f t="shared" si="17"/>
        <v>4705.412646243708</v>
      </c>
      <c r="Z15" s="83">
        <f t="shared" si="17"/>
        <v>5673.1143559087668</v>
      </c>
      <c r="AA15" s="83">
        <f t="shared" si="17"/>
        <v>6669.7530047170003</v>
      </c>
      <c r="AB15" s="83">
        <f t="shared" si="17"/>
        <v>7679.5321569742173</v>
      </c>
      <c r="AC15" s="83">
        <f t="shared" si="17"/>
        <v>8656.5445872198761</v>
      </c>
      <c r="AD15" s="83">
        <f t="shared" si="17"/>
        <v>9586.4144380651505</v>
      </c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</row>
    <row r="16" spans="2:83">
      <c r="B16" s="1" t="s">
        <v>52</v>
      </c>
      <c r="C16" s="75">
        <v>12.79</v>
      </c>
      <c r="D16" s="75">
        <v>39.558</v>
      </c>
      <c r="E16" s="75">
        <v>18.702999999999999</v>
      </c>
      <c r="F16" s="75">
        <f>87.514-SUM(C16:E16)</f>
        <v>16.462999999999994</v>
      </c>
      <c r="G16" s="75">
        <v>19.452000000000002</v>
      </c>
      <c r="H16" s="75">
        <v>27.888999999999999</v>
      </c>
      <c r="I16" s="75">
        <v>83.884</v>
      </c>
      <c r="J16" s="75">
        <f>185.527-SUM(G16:I16)</f>
        <v>54.301999999999992</v>
      </c>
      <c r="K16" s="75">
        <v>68.665999999999997</v>
      </c>
      <c r="L16" s="75">
        <v>60.472000000000001</v>
      </c>
      <c r="R16" s="75">
        <v>44.5</v>
      </c>
      <c r="S16" s="75">
        <f>SUM(C16:F16)</f>
        <v>87.513999999999996</v>
      </c>
      <c r="T16" s="75">
        <f>SUM(G16:J16)</f>
        <v>185.52699999999999</v>
      </c>
      <c r="U16" s="82">
        <f>U15*(1-U31)</f>
        <v>271.98866063508945</v>
      </c>
      <c r="V16" s="82">
        <f t="shared" ref="V16:AD16" si="18">V15*(1-V31)</f>
        <v>381.2140526630003</v>
      </c>
      <c r="W16" s="82">
        <f t="shared" si="18"/>
        <v>513.26592159249469</v>
      </c>
      <c r="X16" s="82">
        <f t="shared" si="18"/>
        <v>663.18328696774552</v>
      </c>
      <c r="Y16" s="82">
        <f t="shared" si="18"/>
        <v>826.85263710106187</v>
      </c>
      <c r="Z16" s="82">
        <f t="shared" si="18"/>
        <v>996.90078605618282</v>
      </c>
      <c r="AA16" s="82">
        <f t="shared" si="18"/>
        <v>1172.0338417429732</v>
      </c>
      <c r="AB16" s="82">
        <f t="shared" si="18"/>
        <v>1349.4759956420748</v>
      </c>
      <c r="AC16" s="82">
        <f t="shared" si="18"/>
        <v>1521.160259098551</v>
      </c>
      <c r="AD16" s="82">
        <f t="shared" si="18"/>
        <v>1684.5604529042878</v>
      </c>
    </row>
    <row r="17" spans="2:82">
      <c r="B17" s="1" t="s">
        <v>53</v>
      </c>
      <c r="C17" s="75">
        <f t="shared" ref="C17:F17" si="19">C15-C16</f>
        <v>143.41</v>
      </c>
      <c r="D17" s="75">
        <f t="shared" si="19"/>
        <v>137.63999999999999</v>
      </c>
      <c r="E17" s="75">
        <f t="shared" si="19"/>
        <v>179.93600000000001</v>
      </c>
      <c r="F17" s="75">
        <f t="shared" si="19"/>
        <v>200.51100000000005</v>
      </c>
      <c r="G17" s="75">
        <f>G15-G16</f>
        <v>208.74700000000001</v>
      </c>
      <c r="H17" s="75">
        <f t="shared" ref="H17:J17" si="20">H15-H16</f>
        <v>221.75099999999998</v>
      </c>
      <c r="I17" s="75">
        <f t="shared" si="20"/>
        <v>190.28899999999999</v>
      </c>
      <c r="J17" s="75">
        <f t="shared" si="20"/>
        <v>249.47400000000007</v>
      </c>
      <c r="K17" s="75">
        <f t="shared" ref="K17:L17" si="21">K15-K16</f>
        <v>264.77299999999997</v>
      </c>
      <c r="L17" s="75">
        <f t="shared" si="21"/>
        <v>309.61099999999999</v>
      </c>
      <c r="R17" s="75">
        <f t="shared" ref="R17" si="22">R15-R16</f>
        <v>460.37400000000002</v>
      </c>
      <c r="S17" s="75">
        <f t="shared" ref="S17:S29" si="23">SUM(C17:F17)</f>
        <v>661.49700000000007</v>
      </c>
      <c r="T17" s="75">
        <f t="shared" ref="T17:T29" si="24">SUM(G17:J17)</f>
        <v>870.26100000000008</v>
      </c>
      <c r="U17" s="82">
        <f>U15*U31</f>
        <v>1275.8311393649105</v>
      </c>
      <c r="V17" s="82">
        <f t="shared" ref="V17:AD17" si="25">V15*V31</f>
        <v>1788.1802793369995</v>
      </c>
      <c r="W17" s="82">
        <f t="shared" si="25"/>
        <v>2407.602743487505</v>
      </c>
      <c r="X17" s="82">
        <f t="shared" si="25"/>
        <v>3110.8278067334541</v>
      </c>
      <c r="Y17" s="82">
        <f t="shared" si="25"/>
        <v>3878.5600091426459</v>
      </c>
      <c r="Z17" s="82">
        <f t="shared" si="25"/>
        <v>4676.2135698525835</v>
      </c>
      <c r="AA17" s="82">
        <f t="shared" si="25"/>
        <v>5497.7191629740273</v>
      </c>
      <c r="AB17" s="82">
        <f t="shared" si="25"/>
        <v>6330.0561613321424</v>
      </c>
      <c r="AC17" s="82">
        <f t="shared" si="25"/>
        <v>7135.3843281213249</v>
      </c>
      <c r="AD17" s="82">
        <f t="shared" si="25"/>
        <v>7901.853985160863</v>
      </c>
    </row>
    <row r="18" spans="2:82">
      <c r="B18" s="1" t="s">
        <v>170</v>
      </c>
      <c r="C18" s="75">
        <v>52.710999999999999</v>
      </c>
      <c r="D18" s="75">
        <v>535.67600000000004</v>
      </c>
      <c r="E18" s="75">
        <v>104.182</v>
      </c>
      <c r="F18" s="75">
        <f>751.12-SUM(C18:E18)</f>
        <v>58.550999999999931</v>
      </c>
      <c r="G18" s="75">
        <v>69.924999999999997</v>
      </c>
      <c r="H18" s="75">
        <v>83.052000000000007</v>
      </c>
      <c r="I18" s="75">
        <v>680.88499999999999</v>
      </c>
      <c r="J18" s="75">
        <f>1029.7-SUM(G18:I18)</f>
        <v>195.83800000000008</v>
      </c>
      <c r="K18" s="75">
        <v>172.97399999999999</v>
      </c>
      <c r="L18" s="75">
        <v>167.32900000000001</v>
      </c>
      <c r="R18" s="75">
        <v>164.774</v>
      </c>
      <c r="S18" s="75">
        <f t="shared" si="23"/>
        <v>751.12</v>
      </c>
      <c r="T18" s="75">
        <f t="shared" si="24"/>
        <v>1029.7</v>
      </c>
      <c r="U18" s="82">
        <f>U15*U32</f>
        <v>742.95350399999995</v>
      </c>
      <c r="V18" s="82">
        <f t="shared" ref="V18:AD18" si="26">V15*V32</f>
        <v>954.53350607999994</v>
      </c>
      <c r="W18" s="82">
        <f t="shared" si="26"/>
        <v>1197.5561526827998</v>
      </c>
      <c r="X18" s="82">
        <f t="shared" si="26"/>
        <v>1434.1242156064559</v>
      </c>
      <c r="Y18" s="82">
        <f t="shared" si="26"/>
        <v>1646.8944261852978</v>
      </c>
      <c r="Z18" s="82">
        <f t="shared" si="26"/>
        <v>1928.8588810089809</v>
      </c>
      <c r="AA18" s="82">
        <f t="shared" si="26"/>
        <v>2201.0184915566101</v>
      </c>
      <c r="AB18" s="82">
        <f t="shared" si="26"/>
        <v>2457.4502902317495</v>
      </c>
      <c r="AC18" s="82">
        <f t="shared" si="26"/>
        <v>2683.5288220381617</v>
      </c>
      <c r="AD18" s="82">
        <f t="shared" si="26"/>
        <v>2875.9243314195451</v>
      </c>
    </row>
    <row r="19" spans="2:82">
      <c r="B19" s="1" t="s">
        <v>171</v>
      </c>
      <c r="C19" s="75">
        <v>55.334000000000003</v>
      </c>
      <c r="D19" s="75">
        <v>276.24599999999998</v>
      </c>
      <c r="E19" s="75">
        <v>79.290000000000006</v>
      </c>
      <c r="F19" s="75">
        <f>472.076-SUM(C19:E19)</f>
        <v>61.206000000000017</v>
      </c>
      <c r="G19" s="75">
        <v>68.84</v>
      </c>
      <c r="H19" s="75">
        <v>97.700999999999993</v>
      </c>
      <c r="I19" s="75">
        <v>274.75900000000001</v>
      </c>
      <c r="J19" s="75">
        <f>575.508-SUM(G19:I19)</f>
        <v>134.20800000000003</v>
      </c>
      <c r="K19" s="75">
        <v>125.568</v>
      </c>
      <c r="L19" s="75">
        <v>154.85599999999999</v>
      </c>
      <c r="R19" s="75">
        <v>201.37700000000001</v>
      </c>
      <c r="S19" s="75">
        <f t="shared" si="23"/>
        <v>472.07600000000002</v>
      </c>
      <c r="T19" s="75">
        <f t="shared" si="24"/>
        <v>575.50800000000004</v>
      </c>
      <c r="U19" s="82">
        <f>U15*U33</f>
        <v>588.17152399999998</v>
      </c>
      <c r="V19" s="82">
        <f t="shared" ref="V19:AD19" si="27">V15*V33</f>
        <v>780.98195951999992</v>
      </c>
      <c r="W19" s="82">
        <f t="shared" si="27"/>
        <v>993.09534612719995</v>
      </c>
      <c r="X19" s="82">
        <f t="shared" si="27"/>
        <v>1207.6835499843839</v>
      </c>
      <c r="Y19" s="82">
        <f t="shared" si="27"/>
        <v>1411.6237938731124</v>
      </c>
      <c r="Z19" s="82">
        <f t="shared" si="27"/>
        <v>1645.2031632135422</v>
      </c>
      <c r="AA19" s="82">
        <f t="shared" si="27"/>
        <v>1867.5308413207604</v>
      </c>
      <c r="AB19" s="82">
        <f t="shared" si="27"/>
        <v>2073.473682383039</v>
      </c>
      <c r="AC19" s="82">
        <f t="shared" si="27"/>
        <v>2250.7015926771678</v>
      </c>
      <c r="AD19" s="82">
        <f t="shared" si="27"/>
        <v>2396.6036095162876</v>
      </c>
    </row>
    <row r="20" spans="2:82">
      <c r="B20" s="1" t="s">
        <v>172</v>
      </c>
      <c r="C20" s="75">
        <v>22.873000000000001</v>
      </c>
      <c r="D20" s="75">
        <v>220.005</v>
      </c>
      <c r="E20" s="75">
        <v>43.8</v>
      </c>
      <c r="F20" s="75">
        <f>315.734-SUM(C20:E20)</f>
        <v>29.055999999999983</v>
      </c>
      <c r="G20" s="75">
        <v>30.233000000000001</v>
      </c>
      <c r="H20" s="75">
        <v>38.921999999999997</v>
      </c>
      <c r="I20" s="75">
        <v>371.42500000000001</v>
      </c>
      <c r="J20" s="75">
        <f>555.51-SUM(G20:I20)</f>
        <v>114.92999999999995</v>
      </c>
      <c r="K20" s="75">
        <v>103.629</v>
      </c>
      <c r="L20" s="75">
        <v>104.715</v>
      </c>
      <c r="R20" s="75">
        <v>167.679</v>
      </c>
      <c r="S20" s="75">
        <f t="shared" si="23"/>
        <v>315.73399999999998</v>
      </c>
      <c r="T20" s="75">
        <f t="shared" si="24"/>
        <v>555.51</v>
      </c>
      <c r="U20" s="82">
        <f>U15*U34</f>
        <v>433.38954400000006</v>
      </c>
      <c r="V20" s="82">
        <f t="shared" ref="V20:AD20" si="28">V15*V34</f>
        <v>542.34858299999996</v>
      </c>
      <c r="W20" s="82">
        <f t="shared" si="28"/>
        <v>642.59110631759995</v>
      </c>
      <c r="X20" s="82">
        <f t="shared" si="28"/>
        <v>717.06210780322795</v>
      </c>
      <c r="Y20" s="82">
        <f t="shared" si="28"/>
        <v>799.92014986143045</v>
      </c>
      <c r="Z20" s="82">
        <f t="shared" si="28"/>
        <v>850.96715338631498</v>
      </c>
      <c r="AA20" s="82">
        <f t="shared" si="28"/>
        <v>867.06789061321012</v>
      </c>
      <c r="AB20" s="82">
        <f t="shared" si="28"/>
        <v>921.543858836906</v>
      </c>
      <c r="AC20" s="82">
        <f t="shared" si="28"/>
        <v>952.21990459418635</v>
      </c>
      <c r="AD20" s="82">
        <f t="shared" si="28"/>
        <v>958.6414438065151</v>
      </c>
    </row>
    <row r="21" spans="2:82">
      <c r="B21" s="1" t="s">
        <v>173</v>
      </c>
      <c r="C21" s="75">
        <f t="shared" ref="C21:K21" si="29">C17-SUM(C18:C20)</f>
        <v>12.49199999999999</v>
      </c>
      <c r="D21" s="75">
        <f t="shared" si="29"/>
        <v>-894.28700000000015</v>
      </c>
      <c r="E21" s="75">
        <f t="shared" si="29"/>
        <v>-47.335999999999984</v>
      </c>
      <c r="F21" s="75">
        <f t="shared" si="29"/>
        <v>51.698000000000121</v>
      </c>
      <c r="G21" s="75">
        <f t="shared" si="29"/>
        <v>39.749000000000024</v>
      </c>
      <c r="H21" s="75">
        <f t="shared" si="29"/>
        <v>2.0759999999999934</v>
      </c>
      <c r="I21" s="75">
        <f t="shared" si="29"/>
        <v>-1136.78</v>
      </c>
      <c r="J21" s="75">
        <f t="shared" si="29"/>
        <v>-195.50199999999998</v>
      </c>
      <c r="K21" s="75">
        <f t="shared" si="29"/>
        <v>-137.39800000000002</v>
      </c>
      <c r="L21" s="75">
        <f>L17-SUM(L18:L20)</f>
        <v>-117.28899999999999</v>
      </c>
      <c r="R21" s="75">
        <f>R17-SUM(R18:R20)</f>
        <v>-73.456000000000017</v>
      </c>
      <c r="S21" s="75">
        <f t="shared" si="23"/>
        <v>-877.43300000000011</v>
      </c>
      <c r="T21" s="75">
        <f t="shared" si="24"/>
        <v>-1290.4569999999999</v>
      </c>
      <c r="U21" s="82">
        <f>U17-SUM(U18:U20)</f>
        <v>-488.6834326350895</v>
      </c>
      <c r="V21" s="82">
        <f t="shared" ref="V21:AD21" si="30">V17-SUM(V18:V20)</f>
        <v>-489.68376926300039</v>
      </c>
      <c r="W21" s="82">
        <f t="shared" si="30"/>
        <v>-425.63986164009475</v>
      </c>
      <c r="X21" s="82">
        <f t="shared" si="30"/>
        <v>-248.04206666061418</v>
      </c>
      <c r="Y21" s="82">
        <f t="shared" si="30"/>
        <v>20.121639222805243</v>
      </c>
      <c r="Z21" s="82">
        <f t="shared" si="30"/>
        <v>251.1843722437452</v>
      </c>
      <c r="AA21" s="82">
        <f t="shared" si="30"/>
        <v>562.10193948344659</v>
      </c>
      <c r="AB21" s="82">
        <f t="shared" si="30"/>
        <v>877.58832988044833</v>
      </c>
      <c r="AC21" s="82">
        <f t="shared" si="30"/>
        <v>1248.9340088118088</v>
      </c>
      <c r="AD21" s="82">
        <f t="shared" si="30"/>
        <v>1670.6846004185154</v>
      </c>
    </row>
    <row r="22" spans="2:82">
      <c r="B22" s="1" t="s">
        <v>174</v>
      </c>
      <c r="C22" s="75">
        <v>17.184999999999999</v>
      </c>
      <c r="D22" s="75">
        <v>10.138999999999999</v>
      </c>
      <c r="E22" s="75">
        <v>17.91</v>
      </c>
      <c r="F22" s="75">
        <f>84.362-SUM(C22:E22)</f>
        <v>39.128</v>
      </c>
      <c r="G22" s="75">
        <v>7.274</v>
      </c>
      <c r="H22" s="75">
        <v>36.978000000000002</v>
      </c>
      <c r="I22" s="75">
        <v>29.305</v>
      </c>
      <c r="J22" s="75">
        <f>64.815-SUM(G22:I22)</f>
        <v>-8.7420000000000044</v>
      </c>
      <c r="K22" s="75">
        <v>-4.3250000000000002</v>
      </c>
      <c r="L22" s="75">
        <v>7.6139999999999999</v>
      </c>
      <c r="R22" s="75">
        <v>1019.375</v>
      </c>
      <c r="S22" s="75">
        <f t="shared" si="23"/>
        <v>84.361999999999995</v>
      </c>
      <c r="T22" s="75">
        <f t="shared" si="24"/>
        <v>64.814999999999998</v>
      </c>
      <c r="U22" s="82">
        <f>SUM(T39:T41)*($AN$39)</f>
        <v>334.30360000000002</v>
      </c>
      <c r="V22" s="82">
        <f t="shared" ref="V22:AD22" si="31">SUM(U39:U41)*($AN$39)</f>
        <v>302.81011414244176</v>
      </c>
      <c r="W22" s="82">
        <f t="shared" si="31"/>
        <v>264.68788849784778</v>
      </c>
      <c r="X22" s="82">
        <f t="shared" si="31"/>
        <v>231.85368597682941</v>
      </c>
      <c r="Y22" s="82">
        <f t="shared" si="31"/>
        <v>228.55125631733733</v>
      </c>
      <c r="Z22" s="82">
        <f t="shared" si="31"/>
        <v>279.28052700752642</v>
      </c>
      <c r="AA22" s="82">
        <f t="shared" si="31"/>
        <v>387.49536645478588</v>
      </c>
      <c r="AB22" s="82">
        <f t="shared" si="31"/>
        <v>581.21321686618523</v>
      </c>
      <c r="AC22" s="82">
        <f t="shared" si="31"/>
        <v>878.80873240249844</v>
      </c>
      <c r="AD22" s="82">
        <f t="shared" si="31"/>
        <v>1312.8682516102172</v>
      </c>
    </row>
    <row r="23" spans="2:82">
      <c r="B23" s="1" t="s">
        <v>175</v>
      </c>
      <c r="C23" s="75">
        <f t="shared" ref="C23:K23" si="32">C21+C22</f>
        <v>29.676999999999989</v>
      </c>
      <c r="D23" s="75">
        <f t="shared" si="32"/>
        <v>-884.14800000000014</v>
      </c>
      <c r="E23" s="75">
        <f t="shared" si="32"/>
        <v>-29.425999999999984</v>
      </c>
      <c r="F23" s="75">
        <f t="shared" si="32"/>
        <v>90.826000000000121</v>
      </c>
      <c r="G23" s="75">
        <f t="shared" si="32"/>
        <v>47.023000000000025</v>
      </c>
      <c r="H23" s="75">
        <f t="shared" si="32"/>
        <v>39.053999999999995</v>
      </c>
      <c r="I23" s="75">
        <f t="shared" si="32"/>
        <v>-1107.4749999999999</v>
      </c>
      <c r="J23" s="75">
        <f t="shared" si="32"/>
        <v>-204.24399999999997</v>
      </c>
      <c r="K23" s="75">
        <f t="shared" si="32"/>
        <v>-141.72300000000001</v>
      </c>
      <c r="L23" s="75">
        <f>L21+L22</f>
        <v>-109.67499999999998</v>
      </c>
      <c r="R23" s="75">
        <f>R21+R22</f>
        <v>945.91899999999998</v>
      </c>
      <c r="S23" s="75">
        <f t="shared" si="23"/>
        <v>-793.07099999999991</v>
      </c>
      <c r="T23" s="75">
        <f t="shared" si="24"/>
        <v>-1225.6419999999998</v>
      </c>
      <c r="U23" s="82">
        <f>U21+U22</f>
        <v>-154.37983263508949</v>
      </c>
      <c r="V23" s="82">
        <f t="shared" ref="V23:AD23" si="33">V21+V22</f>
        <v>-186.87365512055862</v>
      </c>
      <c r="W23" s="82">
        <f t="shared" si="33"/>
        <v>-160.95197314224697</v>
      </c>
      <c r="X23" s="82">
        <f t="shared" si="33"/>
        <v>-16.188380683784771</v>
      </c>
      <c r="Y23" s="82">
        <f t="shared" si="33"/>
        <v>248.67289554014258</v>
      </c>
      <c r="Z23" s="82">
        <f t="shared" si="33"/>
        <v>530.46489925127162</v>
      </c>
      <c r="AA23" s="82">
        <f t="shared" si="33"/>
        <v>949.59730593823247</v>
      </c>
      <c r="AB23" s="82">
        <f t="shared" si="33"/>
        <v>1458.8015467466334</v>
      </c>
      <c r="AC23" s="82">
        <f t="shared" si="33"/>
        <v>2127.742741214307</v>
      </c>
      <c r="AD23" s="82">
        <f t="shared" si="33"/>
        <v>2983.5528520287326</v>
      </c>
    </row>
    <row r="24" spans="2:82">
      <c r="B24" s="1" t="s">
        <v>176</v>
      </c>
      <c r="C24" s="75">
        <v>16.181000000000001</v>
      </c>
      <c r="D24" s="75">
        <v>-56.293999999999997</v>
      </c>
      <c r="E24" s="75">
        <v>-13.827999999999999</v>
      </c>
      <c r="F24" s="75">
        <f>-60.951-SUM(C24:E24)</f>
        <v>-7.009999999999998</v>
      </c>
      <c r="G24" s="75">
        <v>2.141</v>
      </c>
      <c r="H24" s="75">
        <v>10.827</v>
      </c>
      <c r="I24" s="75">
        <v>-10.46</v>
      </c>
      <c r="J24" s="75">
        <f>24.821-SUM(G24:I24)</f>
        <v>22.313000000000002</v>
      </c>
      <c r="K24" s="75">
        <v>0.67800000000000005</v>
      </c>
      <c r="L24" s="75">
        <v>2.4769999999999999</v>
      </c>
      <c r="R24" s="75">
        <v>208.078</v>
      </c>
      <c r="S24" s="75">
        <f t="shared" si="23"/>
        <v>-60.951000000000001</v>
      </c>
      <c r="T24" s="75">
        <f t="shared" si="24"/>
        <v>24.821000000000002</v>
      </c>
      <c r="U24" s="82">
        <f>U23*U36</f>
        <v>3.08759665270179</v>
      </c>
      <c r="V24" s="82">
        <f t="shared" ref="V24:AD24" si="34">V23*V36</f>
        <v>3.7374731024111725</v>
      </c>
      <c r="W24" s="82">
        <f t="shared" si="34"/>
        <v>3.2190394628449397</v>
      </c>
      <c r="X24" s="82">
        <f t="shared" si="34"/>
        <v>0.32376761367569545</v>
      </c>
      <c r="Y24" s="82">
        <f t="shared" si="34"/>
        <v>-4.9734579108028516</v>
      </c>
      <c r="Z24" s="82">
        <f t="shared" si="34"/>
        <v>-10.609297985025433</v>
      </c>
      <c r="AA24" s="82">
        <f t="shared" si="34"/>
        <v>-18.991946118764648</v>
      </c>
      <c r="AB24" s="82">
        <f t="shared" si="34"/>
        <v>-29.176030934932669</v>
      </c>
      <c r="AC24" s="82">
        <f t="shared" si="34"/>
        <v>-42.554854824286139</v>
      </c>
      <c r="AD24" s="82">
        <f t="shared" si="34"/>
        <v>-59.671057040574652</v>
      </c>
    </row>
    <row r="25" spans="2:82" s="2" customFormat="1" ht="15">
      <c r="B25" s="1" t="s">
        <v>66</v>
      </c>
      <c r="C25" s="75">
        <f t="shared" ref="C25:K25" si="35">C23-C24</f>
        <v>13.495999999999988</v>
      </c>
      <c r="D25" s="75">
        <f t="shared" si="35"/>
        <v>-827.85400000000016</v>
      </c>
      <c r="E25" s="75">
        <f t="shared" si="35"/>
        <v>-15.597999999999985</v>
      </c>
      <c r="F25" s="75">
        <f t="shared" si="35"/>
        <v>97.836000000000126</v>
      </c>
      <c r="G25" s="75">
        <f t="shared" si="35"/>
        <v>44.882000000000026</v>
      </c>
      <c r="H25" s="75">
        <f t="shared" si="35"/>
        <v>28.226999999999997</v>
      </c>
      <c r="I25" s="75">
        <f t="shared" si="35"/>
        <v>-1097.0149999999999</v>
      </c>
      <c r="J25" s="75">
        <f t="shared" si="35"/>
        <v>-226.55699999999996</v>
      </c>
      <c r="K25" s="75">
        <f t="shared" si="35"/>
        <v>-142.40100000000001</v>
      </c>
      <c r="L25" s="75">
        <f>L23-L24</f>
        <v>-112.15199999999999</v>
      </c>
      <c r="M25" s="34"/>
      <c r="N25" s="34"/>
      <c r="R25" s="75">
        <f>R23-R24</f>
        <v>737.84100000000001</v>
      </c>
      <c r="S25" s="75">
        <f t="shared" si="23"/>
        <v>-732.12</v>
      </c>
      <c r="T25" s="75">
        <f t="shared" si="24"/>
        <v>-1250.4629999999997</v>
      </c>
      <c r="U25" s="83">
        <f>U23-U24</f>
        <v>-157.46742928779128</v>
      </c>
      <c r="V25" s="83">
        <f t="shared" ref="V25:AD25" si="36">V23-V24</f>
        <v>-190.6111282229698</v>
      </c>
      <c r="W25" s="83">
        <f t="shared" si="36"/>
        <v>-164.1710126050919</v>
      </c>
      <c r="X25" s="83">
        <f t="shared" si="36"/>
        <v>-16.512148297460467</v>
      </c>
      <c r="Y25" s="83">
        <f t="shared" si="36"/>
        <v>253.64635345094544</v>
      </c>
      <c r="Z25" s="83">
        <f t="shared" si="36"/>
        <v>541.0741972362971</v>
      </c>
      <c r="AA25" s="83">
        <f t="shared" si="36"/>
        <v>968.58925205699711</v>
      </c>
      <c r="AB25" s="83">
        <f t="shared" si="36"/>
        <v>1487.9775776815661</v>
      </c>
      <c r="AC25" s="83">
        <f t="shared" si="36"/>
        <v>2170.2975960385929</v>
      </c>
      <c r="AD25" s="83">
        <f t="shared" si="36"/>
        <v>3043.2239090693074</v>
      </c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</row>
    <row r="26" spans="2:82" s="2" customFormat="1" ht="15">
      <c r="B26" s="1" t="s">
        <v>178</v>
      </c>
      <c r="C26" s="75">
        <v>-13.525</v>
      </c>
      <c r="D26" s="75">
        <v>0</v>
      </c>
      <c r="E26" s="75">
        <v>0</v>
      </c>
      <c r="F26" s="75">
        <f>0-SUM(C26:E26)</f>
        <v>13.525</v>
      </c>
      <c r="G26" s="75">
        <v>-36.271000000000001</v>
      </c>
      <c r="H26" s="75">
        <v>-27.381</v>
      </c>
      <c r="I26" s="75">
        <v>0</v>
      </c>
      <c r="J26" s="75">
        <f>0-SUM(G26:I26)</f>
        <v>63.652000000000001</v>
      </c>
      <c r="K26" s="75">
        <v>0</v>
      </c>
      <c r="L26" s="75">
        <v>0</v>
      </c>
      <c r="M26" s="34"/>
      <c r="N26" s="34"/>
      <c r="R26" s="75">
        <v>-451.98200000000003</v>
      </c>
      <c r="S26" s="75">
        <f t="shared" si="23"/>
        <v>0</v>
      </c>
      <c r="T26" s="75">
        <f t="shared" si="24"/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</row>
    <row r="27" spans="2:82" s="2" customFormat="1" ht="15">
      <c r="B27" s="2" t="s">
        <v>177</v>
      </c>
      <c r="C27" s="76">
        <f t="shared" ref="C27:F27" si="37">C25+C26</f>
        <v>-2.9000000000012349E-2</v>
      </c>
      <c r="D27" s="76">
        <f t="shared" si="37"/>
        <v>-827.85400000000016</v>
      </c>
      <c r="E27" s="76">
        <f t="shared" si="37"/>
        <v>-15.597999999999985</v>
      </c>
      <c r="F27" s="76">
        <f t="shared" si="37"/>
        <v>111.36100000000013</v>
      </c>
      <c r="G27" s="76">
        <f>G25+G26</f>
        <v>8.6110000000000255</v>
      </c>
      <c r="H27" s="76">
        <f t="shared" ref="H27:L27" si="38">H25+H26</f>
        <v>0.84599999999999653</v>
      </c>
      <c r="I27" s="76">
        <f t="shared" si="38"/>
        <v>-1097.0149999999999</v>
      </c>
      <c r="J27" s="76">
        <f t="shared" si="38"/>
        <v>-162.90499999999997</v>
      </c>
      <c r="K27" s="76">
        <f t="shared" si="38"/>
        <v>-142.40100000000001</v>
      </c>
      <c r="L27" s="76">
        <f t="shared" si="38"/>
        <v>-112.15199999999999</v>
      </c>
      <c r="M27" s="34"/>
      <c r="N27" s="34"/>
      <c r="R27" s="76">
        <f t="shared" ref="R27" si="39">R25+R26</f>
        <v>285.85899999999998</v>
      </c>
      <c r="S27" s="76">
        <f t="shared" si="23"/>
        <v>-732.12</v>
      </c>
      <c r="T27" s="76">
        <f t="shared" si="24"/>
        <v>-1250.4629999999997</v>
      </c>
      <c r="U27" s="83">
        <f>U25+U26</f>
        <v>-157.46742928779128</v>
      </c>
      <c r="V27" s="83">
        <f t="shared" ref="V27:AD27" si="40">V25+V26</f>
        <v>-190.6111282229698</v>
      </c>
      <c r="W27" s="83">
        <f t="shared" si="40"/>
        <v>-164.1710126050919</v>
      </c>
      <c r="X27" s="83">
        <f t="shared" si="40"/>
        <v>-16.512148297460467</v>
      </c>
      <c r="Y27" s="83">
        <f t="shared" si="40"/>
        <v>253.64635345094544</v>
      </c>
      <c r="Z27" s="83">
        <f t="shared" si="40"/>
        <v>541.0741972362971</v>
      </c>
      <c r="AA27" s="83">
        <f t="shared" si="40"/>
        <v>968.58925205699711</v>
      </c>
      <c r="AB27" s="83">
        <f t="shared" si="40"/>
        <v>1487.9775776815661</v>
      </c>
      <c r="AC27" s="83">
        <f t="shared" si="40"/>
        <v>2170.2975960385929</v>
      </c>
      <c r="AD27" s="83">
        <f t="shared" si="40"/>
        <v>3043.2239090693074</v>
      </c>
      <c r="AE27" s="83">
        <f>AD27*(1+$AN$40)</f>
        <v>3111.6964470233665</v>
      </c>
      <c r="AF27" s="83">
        <f t="shared" ref="AF27:CB27" si="41">AE27*(1+$AN$40)</f>
        <v>3181.709617081392</v>
      </c>
      <c r="AG27" s="83">
        <f t="shared" si="41"/>
        <v>3253.2980834657233</v>
      </c>
      <c r="AH27" s="83">
        <f t="shared" si="41"/>
        <v>3326.4972903437019</v>
      </c>
      <c r="AI27" s="83">
        <f t="shared" si="41"/>
        <v>3401.343479376435</v>
      </c>
      <c r="AJ27" s="83">
        <f t="shared" si="41"/>
        <v>3477.8737076624047</v>
      </c>
      <c r="AK27" s="83">
        <f t="shared" si="41"/>
        <v>3556.1258660848089</v>
      </c>
      <c r="AL27" s="83">
        <f t="shared" si="41"/>
        <v>3636.138698071717</v>
      </c>
      <c r="AM27" s="83">
        <f t="shared" si="41"/>
        <v>3717.9518187783306</v>
      </c>
      <c r="AN27" s="83">
        <f t="shared" si="41"/>
        <v>3801.6057347008427</v>
      </c>
      <c r="AO27" s="83">
        <f t="shared" si="41"/>
        <v>3887.1418637316115</v>
      </c>
      <c r="AP27" s="83">
        <f t="shared" si="41"/>
        <v>3974.6025556655727</v>
      </c>
      <c r="AQ27" s="83">
        <f t="shared" si="41"/>
        <v>4064.0311131680478</v>
      </c>
      <c r="AR27" s="83">
        <f t="shared" si="41"/>
        <v>4155.4718132143289</v>
      </c>
      <c r="AS27" s="83">
        <f t="shared" si="41"/>
        <v>4248.9699290116514</v>
      </c>
      <c r="AT27" s="83">
        <f t="shared" si="41"/>
        <v>4344.5717524144138</v>
      </c>
      <c r="AU27" s="83">
        <f t="shared" si="41"/>
        <v>4442.3246168437381</v>
      </c>
      <c r="AV27" s="83">
        <f t="shared" si="41"/>
        <v>4542.276920722722</v>
      </c>
      <c r="AW27" s="83">
        <f t="shared" si="41"/>
        <v>4644.4781514389833</v>
      </c>
      <c r="AX27" s="83">
        <f t="shared" si="41"/>
        <v>4748.9789098463607</v>
      </c>
      <c r="AY27" s="83">
        <f t="shared" si="41"/>
        <v>4855.8309353179038</v>
      </c>
      <c r="AZ27" s="83">
        <f t="shared" si="41"/>
        <v>4965.0871313625566</v>
      </c>
      <c r="BA27" s="83">
        <f t="shared" si="41"/>
        <v>5076.8015918182136</v>
      </c>
      <c r="BB27" s="83">
        <f t="shared" si="41"/>
        <v>5191.0296276341232</v>
      </c>
      <c r="BC27" s="83">
        <f t="shared" si="41"/>
        <v>5307.8277942558907</v>
      </c>
      <c r="BD27" s="83">
        <f t="shared" si="41"/>
        <v>5427.253919626648</v>
      </c>
      <c r="BE27" s="83">
        <f t="shared" si="41"/>
        <v>5549.3671328182472</v>
      </c>
      <c r="BF27" s="83">
        <f t="shared" si="41"/>
        <v>5674.2278933066573</v>
      </c>
      <c r="BG27" s="83">
        <f t="shared" si="41"/>
        <v>5801.8980209060564</v>
      </c>
      <c r="BH27" s="83">
        <f t="shared" si="41"/>
        <v>5932.4407263764424</v>
      </c>
      <c r="BI27" s="83">
        <f t="shared" si="41"/>
        <v>6065.9206427199124</v>
      </c>
      <c r="BJ27" s="83">
        <f t="shared" si="41"/>
        <v>6202.4038571811107</v>
      </c>
      <c r="BK27" s="83">
        <f t="shared" si="41"/>
        <v>6341.9579439676854</v>
      </c>
      <c r="BL27" s="83">
        <f t="shared" si="41"/>
        <v>6484.6519977069584</v>
      </c>
      <c r="BM27" s="83">
        <f t="shared" si="41"/>
        <v>6630.5566676553644</v>
      </c>
      <c r="BN27" s="83">
        <f t="shared" si="41"/>
        <v>6779.74419267761</v>
      </c>
      <c r="BO27" s="83">
        <f t="shared" si="41"/>
        <v>6932.2884370128559</v>
      </c>
      <c r="BP27" s="83">
        <f t="shared" si="41"/>
        <v>7088.2649268456453</v>
      </c>
      <c r="BQ27" s="83">
        <f t="shared" si="41"/>
        <v>7247.7508876996717</v>
      </c>
      <c r="BR27" s="83">
        <f t="shared" si="41"/>
        <v>7410.825282672914</v>
      </c>
      <c r="BS27" s="83">
        <f t="shared" si="41"/>
        <v>7577.5688515330539</v>
      </c>
      <c r="BT27" s="83">
        <f t="shared" si="41"/>
        <v>7748.0641506925476</v>
      </c>
      <c r="BU27" s="83">
        <f t="shared" si="41"/>
        <v>7922.3955940831293</v>
      </c>
      <c r="BV27" s="83">
        <f t="shared" si="41"/>
        <v>8100.6494949499993</v>
      </c>
      <c r="BW27" s="83">
        <f t="shared" si="41"/>
        <v>8282.9141085863739</v>
      </c>
      <c r="BX27" s="83">
        <f t="shared" si="41"/>
        <v>8469.2796760295678</v>
      </c>
      <c r="BY27" s="83">
        <f t="shared" si="41"/>
        <v>8659.8384687402322</v>
      </c>
      <c r="BZ27" s="83">
        <f t="shared" si="41"/>
        <v>8854.6848342868871</v>
      </c>
      <c r="CA27" s="83">
        <f t="shared" si="41"/>
        <v>9053.9152430583417</v>
      </c>
      <c r="CB27" s="83">
        <f t="shared" si="41"/>
        <v>9257.6283360271536</v>
      </c>
      <c r="CC27" s="34"/>
      <c r="CD27" s="34"/>
    </row>
    <row r="28" spans="2:82">
      <c r="B28" s="1" t="s">
        <v>70</v>
      </c>
      <c r="C28" s="75">
        <v>180.6</v>
      </c>
      <c r="D28" s="75">
        <v>188.78200000000001</v>
      </c>
      <c r="E28" s="75">
        <v>210.768</v>
      </c>
      <c r="F28" s="75">
        <v>195.61199999999999</v>
      </c>
      <c r="G28" s="75">
        <v>214.88300000000001</v>
      </c>
      <c r="H28" s="75">
        <v>215.06200000000001</v>
      </c>
      <c r="I28" s="75">
        <v>403.21199999999999</v>
      </c>
      <c r="J28" s="75">
        <v>337.04399999999998</v>
      </c>
      <c r="K28" s="75">
        <v>523.48500000000001</v>
      </c>
      <c r="L28" s="75">
        <v>527.46</v>
      </c>
      <c r="R28" s="75">
        <v>168.399</v>
      </c>
      <c r="S28" s="75">
        <f>AVERAGE(C28:F28)</f>
        <v>193.94049999999999</v>
      </c>
      <c r="T28" s="75">
        <f>AVERAGE(G28:J28)</f>
        <v>292.55025000000001</v>
      </c>
    </row>
    <row r="29" spans="2:82">
      <c r="B29" s="1" t="s">
        <v>130</v>
      </c>
      <c r="C29" s="39">
        <f t="shared" ref="C29:K29" si="42">C27/C28</f>
        <v>-1.6057585825034524E-4</v>
      </c>
      <c r="D29" s="39">
        <f t="shared" si="42"/>
        <v>-4.3852379993855353</v>
      </c>
      <c r="E29" s="39">
        <f t="shared" si="42"/>
        <v>-7.4005541638199279E-2</v>
      </c>
      <c r="F29" s="39">
        <f t="shared" si="42"/>
        <v>0.56929533975420799</v>
      </c>
      <c r="G29" s="39">
        <f t="shared" si="42"/>
        <v>4.0072969941782388E-2</v>
      </c>
      <c r="H29" s="39">
        <f t="shared" si="42"/>
        <v>3.9337493374003614E-3</v>
      </c>
      <c r="I29" s="39">
        <f t="shared" si="42"/>
        <v>-2.720690356437804</v>
      </c>
      <c r="J29" s="39">
        <f t="shared" si="42"/>
        <v>-0.48333452012200184</v>
      </c>
      <c r="K29" s="39">
        <f t="shared" si="42"/>
        <v>-0.27202498638929484</v>
      </c>
      <c r="L29" s="39">
        <f>L27/L28</f>
        <v>-0.21262654988055962</v>
      </c>
      <c r="R29" s="39">
        <f>R27/R28</f>
        <v>1.6975100802261296</v>
      </c>
      <c r="S29" s="75">
        <f t="shared" si="23"/>
        <v>-3.890108777127776</v>
      </c>
      <c r="T29" s="75">
        <f t="shared" si="24"/>
        <v>-3.1600181572806232</v>
      </c>
    </row>
    <row r="31" spans="2:82">
      <c r="B31" s="36" t="s">
        <v>54</v>
      </c>
      <c r="C31" s="74">
        <f t="shared" ref="C31:K31" si="43">C17/C15</f>
        <v>0.91811779769526258</v>
      </c>
      <c r="D31" s="74">
        <f t="shared" si="43"/>
        <v>0.77675820268851792</v>
      </c>
      <c r="E31" s="74">
        <f t="shared" si="43"/>
        <v>0.90584427025911329</v>
      </c>
      <c r="F31" s="74">
        <f t="shared" si="43"/>
        <v>0.92412454948519185</v>
      </c>
      <c r="G31" s="74">
        <f t="shared" si="43"/>
        <v>0.9147586098098589</v>
      </c>
      <c r="H31" s="74">
        <f t="shared" si="43"/>
        <v>0.88828312770389362</v>
      </c>
      <c r="I31" s="74">
        <f t="shared" si="43"/>
        <v>0.69404718918347175</v>
      </c>
      <c r="J31" s="74">
        <f t="shared" si="43"/>
        <v>0.82124328452543982</v>
      </c>
      <c r="K31" s="74">
        <f t="shared" si="43"/>
        <v>0.79406728067202692</v>
      </c>
      <c r="L31" s="74">
        <f>L17/L15</f>
        <v>0.83659881702212746</v>
      </c>
      <c r="R31" s="74">
        <f t="shared" ref="R31:T31" si="44">R17/R15</f>
        <v>0.91185919655201098</v>
      </c>
      <c r="S31" s="74">
        <f t="shared" si="44"/>
        <v>0.88316059443719785</v>
      </c>
      <c r="T31" s="74">
        <f t="shared" si="44"/>
        <v>0.82427627516130142</v>
      </c>
      <c r="U31" s="84">
        <v>0.82427627516130142</v>
      </c>
      <c r="V31" s="84">
        <v>0.82427627516130142</v>
      </c>
      <c r="W31" s="84">
        <v>0.82427627516130142</v>
      </c>
      <c r="X31" s="84">
        <v>0.82427627516130142</v>
      </c>
      <c r="Y31" s="84">
        <v>0.82427627516130142</v>
      </c>
      <c r="Z31" s="84">
        <v>0.82427627516130142</v>
      </c>
      <c r="AA31" s="84">
        <v>0.82427627516130142</v>
      </c>
      <c r="AB31" s="84">
        <v>0.82427627516130142</v>
      </c>
      <c r="AC31" s="84">
        <v>0.82427627516130142</v>
      </c>
      <c r="AD31" s="84">
        <v>0.82427627516130142</v>
      </c>
    </row>
    <row r="32" spans="2:82">
      <c r="B32" s="36" t="s">
        <v>55</v>
      </c>
      <c r="C32" s="74">
        <f t="shared" ref="C32:K32" si="45">C18/C15</f>
        <v>0.33745838668373879</v>
      </c>
      <c r="D32" s="74">
        <f t="shared" si="45"/>
        <v>3.02303637738575</v>
      </c>
      <c r="E32" s="74">
        <f t="shared" si="45"/>
        <v>0.52447908014035505</v>
      </c>
      <c r="F32" s="74">
        <f t="shared" si="45"/>
        <v>0.26985260906836728</v>
      </c>
      <c r="G32" s="74">
        <f t="shared" si="45"/>
        <v>0.30642114996121805</v>
      </c>
      <c r="H32" s="74">
        <f t="shared" si="45"/>
        <v>0.33268706937990711</v>
      </c>
      <c r="I32" s="74">
        <f t="shared" si="45"/>
        <v>2.4834137570074368</v>
      </c>
      <c r="J32" s="74">
        <f t="shared" si="45"/>
        <v>0.64467897398082807</v>
      </c>
      <c r="K32" s="74">
        <f t="shared" si="45"/>
        <v>0.51875755385542788</v>
      </c>
      <c r="L32" s="74">
        <f>L18/L15</f>
        <v>0.45213911473912616</v>
      </c>
      <c r="R32" s="74">
        <f t="shared" ref="R32:T32" si="46">R18/R15</f>
        <v>0.32636657859188628</v>
      </c>
      <c r="S32" s="74">
        <f t="shared" si="46"/>
        <v>1.0028157129868587</v>
      </c>
      <c r="T32" s="74">
        <f t="shared" si="46"/>
        <v>0.97529049392491673</v>
      </c>
      <c r="U32" s="84">
        <v>0.48</v>
      </c>
      <c r="V32" s="84">
        <v>0.44</v>
      </c>
      <c r="W32" s="84">
        <v>0.41</v>
      </c>
      <c r="X32" s="84">
        <v>0.38</v>
      </c>
      <c r="Y32" s="84">
        <v>0.35</v>
      </c>
      <c r="Z32" s="84">
        <v>0.34</v>
      </c>
      <c r="AA32" s="84">
        <v>0.33</v>
      </c>
      <c r="AB32" s="84">
        <v>0.32</v>
      </c>
      <c r="AC32" s="84">
        <v>0.31</v>
      </c>
      <c r="AD32" s="84">
        <v>0.3</v>
      </c>
    </row>
    <row r="33" spans="2:41">
      <c r="B33" s="36" t="s">
        <v>180</v>
      </c>
      <c r="C33" s="74">
        <f t="shared" ref="C33:K33" si="47">C19/C15</f>
        <v>0.35425096030729836</v>
      </c>
      <c r="D33" s="74">
        <f t="shared" si="47"/>
        <v>1.5589679341753293</v>
      </c>
      <c r="E33" s="74">
        <f t="shared" si="47"/>
        <v>0.39916632685424314</v>
      </c>
      <c r="F33" s="74">
        <f t="shared" si="47"/>
        <v>0.28208909823296802</v>
      </c>
      <c r="G33" s="74">
        <f t="shared" si="47"/>
        <v>0.30166652789889525</v>
      </c>
      <c r="H33" s="74">
        <f t="shared" si="47"/>
        <v>0.39136756929979172</v>
      </c>
      <c r="I33" s="74">
        <f t="shared" si="47"/>
        <v>1.002137336645111</v>
      </c>
      <c r="J33" s="74">
        <f t="shared" si="47"/>
        <v>0.4417992204782471</v>
      </c>
      <c r="K33" s="74">
        <f t="shared" si="47"/>
        <v>0.37658462267461218</v>
      </c>
      <c r="L33" s="74">
        <f>L19/L15</f>
        <v>0.41843586438717806</v>
      </c>
      <c r="R33" s="74">
        <f t="shared" ref="R33:T33" si="48">R19/R15</f>
        <v>0.39886585563922877</v>
      </c>
      <c r="S33" s="74">
        <f t="shared" si="48"/>
        <v>0.63026577713811938</v>
      </c>
      <c r="T33" s="74">
        <f t="shared" si="48"/>
        <v>0.54509806893050505</v>
      </c>
      <c r="U33" s="84">
        <v>0.38</v>
      </c>
      <c r="V33" s="84">
        <v>0.36</v>
      </c>
      <c r="W33" s="84">
        <v>0.34</v>
      </c>
      <c r="X33" s="84">
        <v>0.32</v>
      </c>
      <c r="Y33" s="84">
        <v>0.3</v>
      </c>
      <c r="Z33" s="84">
        <v>0.28999999999999998</v>
      </c>
      <c r="AA33" s="84">
        <v>0.28000000000000003</v>
      </c>
      <c r="AB33" s="84">
        <v>0.27</v>
      </c>
      <c r="AC33" s="84">
        <v>0.26</v>
      </c>
      <c r="AD33" s="84">
        <v>0.25</v>
      </c>
    </row>
    <row r="34" spans="2:41">
      <c r="B34" s="36" t="s">
        <v>181</v>
      </c>
      <c r="C34" s="74">
        <f t="shared" ref="C34:K34" si="49">C20/C15</f>
        <v>0.14643405889884764</v>
      </c>
      <c r="D34" s="74">
        <f t="shared" si="49"/>
        <v>1.2415772187045002</v>
      </c>
      <c r="E34" s="74">
        <f t="shared" si="49"/>
        <v>0.22050050594294168</v>
      </c>
      <c r="F34" s="74">
        <f t="shared" si="49"/>
        <v>0.13391466258630055</v>
      </c>
      <c r="G34" s="74">
        <f t="shared" si="49"/>
        <v>0.13248524314304619</v>
      </c>
      <c r="H34" s="74">
        <f t="shared" si="49"/>
        <v>0.15591251402018907</v>
      </c>
      <c r="I34" s="74">
        <f t="shared" si="49"/>
        <v>1.3547103471166015</v>
      </c>
      <c r="J34" s="74">
        <f t="shared" si="49"/>
        <v>0.37833798588433559</v>
      </c>
      <c r="K34" s="74">
        <f t="shared" si="49"/>
        <v>0.31078848005182363</v>
      </c>
      <c r="L34" s="74">
        <f>L20/L15</f>
        <v>0.28295004093676285</v>
      </c>
      <c r="R34" s="74">
        <f t="shared" ref="R34:T34" si="50">R20/R15</f>
        <v>0.33212048946865952</v>
      </c>
      <c r="S34" s="74">
        <f t="shared" si="50"/>
        <v>0.42153453020049098</v>
      </c>
      <c r="T34" s="74">
        <f t="shared" si="50"/>
        <v>0.52615676632051134</v>
      </c>
      <c r="U34" s="84">
        <v>0.28000000000000003</v>
      </c>
      <c r="V34" s="84">
        <v>0.25</v>
      </c>
      <c r="W34" s="84">
        <v>0.22</v>
      </c>
      <c r="X34" s="84">
        <v>0.19</v>
      </c>
      <c r="Y34" s="84">
        <v>0.17</v>
      </c>
      <c r="Z34" s="84">
        <v>0.15</v>
      </c>
      <c r="AA34" s="84">
        <v>0.13</v>
      </c>
      <c r="AB34" s="84">
        <v>0.12</v>
      </c>
      <c r="AC34" s="84">
        <v>0.11</v>
      </c>
      <c r="AD34" s="84">
        <v>0.1</v>
      </c>
    </row>
    <row r="35" spans="2:41">
      <c r="B35" s="36" t="s">
        <v>56</v>
      </c>
      <c r="C35" s="74">
        <f t="shared" ref="C35:K35" si="51">C21/C15</f>
        <v>7.9974391805377659E-2</v>
      </c>
      <c r="D35" s="74">
        <f t="shared" si="51"/>
        <v>-5.0468233275770622</v>
      </c>
      <c r="E35" s="74">
        <f t="shared" si="51"/>
        <v>-0.2383016426784266</v>
      </c>
      <c r="F35" s="74">
        <f t="shared" si="51"/>
        <v>0.23826817959755597</v>
      </c>
      <c r="G35" s="74">
        <f t="shared" si="51"/>
        <v>0.17418568880669952</v>
      </c>
      <c r="H35" s="74">
        <f t="shared" si="51"/>
        <v>8.3159750040057417E-3</v>
      </c>
      <c r="I35" s="74">
        <f t="shared" si="51"/>
        <v>-4.1462142515856772</v>
      </c>
      <c r="J35" s="74">
        <f t="shared" si="51"/>
        <v>-0.64357289581797095</v>
      </c>
      <c r="K35" s="74">
        <f t="shared" si="51"/>
        <v>-0.41206337590983672</v>
      </c>
      <c r="L35" s="74">
        <f>L21/L15</f>
        <v>-0.31692620304093944</v>
      </c>
      <c r="R35" s="74">
        <f t="shared" ref="R35:T35" si="52">R21/R15</f>
        <v>-0.14549372714776362</v>
      </c>
      <c r="S35" s="74">
        <f t="shared" si="52"/>
        <v>-1.1714554258882715</v>
      </c>
      <c r="T35" s="74">
        <f t="shared" si="52"/>
        <v>-1.2222690540146317</v>
      </c>
      <c r="U35" s="84">
        <f>U21/U15</f>
        <v>-0.31572372483869859</v>
      </c>
      <c r="V35" s="84">
        <f t="shared" ref="V35:AD35" si="53">V21/V15</f>
        <v>-0.22572372483869863</v>
      </c>
      <c r="W35" s="84">
        <f t="shared" si="53"/>
        <v>-0.14572372483869861</v>
      </c>
      <c r="X35" s="84">
        <f t="shared" si="53"/>
        <v>-6.572372483869876E-2</v>
      </c>
      <c r="Y35" s="84">
        <f t="shared" si="53"/>
        <v>4.2762751613013537E-3</v>
      </c>
      <c r="Z35" s="84">
        <f t="shared" si="53"/>
        <v>4.4276275161301309E-2</v>
      </c>
      <c r="AA35" s="84">
        <f t="shared" si="53"/>
        <v>8.4276275161301387E-2</v>
      </c>
      <c r="AB35" s="84">
        <f t="shared" si="53"/>
        <v>0.11427627516130143</v>
      </c>
      <c r="AC35" s="84">
        <f t="shared" si="53"/>
        <v>0.14427627516130137</v>
      </c>
      <c r="AD35" s="84">
        <f t="shared" si="53"/>
        <v>0.17427627516130148</v>
      </c>
    </row>
    <row r="36" spans="2:41">
      <c r="B36" s="36" t="s">
        <v>57</v>
      </c>
      <c r="C36" s="74">
        <f t="shared" ref="C36:K36" si="54">C24/C23</f>
        <v>0.54523705226269525</v>
      </c>
      <c r="D36" s="74">
        <f t="shared" si="54"/>
        <v>6.3670335735646053E-2</v>
      </c>
      <c r="E36" s="74">
        <f t="shared" si="54"/>
        <v>0.46992455651464715</v>
      </c>
      <c r="F36" s="74">
        <f t="shared" si="54"/>
        <v>-7.7180543016316785E-2</v>
      </c>
      <c r="G36" s="74">
        <f t="shared" si="54"/>
        <v>4.5530910405546202E-2</v>
      </c>
      <c r="H36" s="74">
        <f t="shared" si="54"/>
        <v>0.27723152557996622</v>
      </c>
      <c r="I36" s="74">
        <f t="shared" si="54"/>
        <v>9.4449084629449898E-3</v>
      </c>
      <c r="J36" s="74">
        <f t="shared" si="54"/>
        <v>-0.10924678325923898</v>
      </c>
      <c r="K36" s="74">
        <f t="shared" si="54"/>
        <v>-4.7839800173578037E-3</v>
      </c>
      <c r="L36" s="74">
        <f>L24/L23</f>
        <v>-2.2584909961249146E-2</v>
      </c>
      <c r="R36" s="74">
        <f t="shared" ref="R36:T36" si="55">R24/R23</f>
        <v>0.21997443755754986</v>
      </c>
      <c r="S36" s="74">
        <f t="shared" si="55"/>
        <v>7.685440521718738E-2</v>
      </c>
      <c r="T36" s="74">
        <f t="shared" si="55"/>
        <v>-2.025142741518323E-2</v>
      </c>
      <c r="U36" s="84">
        <v>-0.02</v>
      </c>
      <c r="V36" s="84">
        <v>-0.02</v>
      </c>
      <c r="W36" s="84">
        <v>-0.02</v>
      </c>
      <c r="X36" s="84">
        <v>-0.02</v>
      </c>
      <c r="Y36" s="84">
        <v>-0.02</v>
      </c>
      <c r="Z36" s="84">
        <v>-0.02</v>
      </c>
      <c r="AA36" s="84">
        <v>-0.02</v>
      </c>
      <c r="AB36" s="84">
        <v>-0.02</v>
      </c>
      <c r="AC36" s="84">
        <v>-0.02</v>
      </c>
      <c r="AD36" s="84">
        <v>-0.02</v>
      </c>
    </row>
    <row r="37" spans="2:41">
      <c r="B37" s="36" t="s">
        <v>58</v>
      </c>
      <c r="C37" s="74">
        <f t="shared" ref="C37:K37" si="56">C27/C15</f>
        <v>-1.8565941101160276E-4</v>
      </c>
      <c r="D37" s="74">
        <f t="shared" si="56"/>
        <v>-4.6719150329010501</v>
      </c>
      <c r="E37" s="74">
        <f t="shared" si="56"/>
        <v>-7.8524358257945237E-2</v>
      </c>
      <c r="F37" s="74">
        <f t="shared" si="56"/>
        <v>0.5132458266889125</v>
      </c>
      <c r="G37" s="74">
        <f t="shared" si="56"/>
        <v>3.7734608828259658E-2</v>
      </c>
      <c r="H37" s="74">
        <f t="shared" si="56"/>
        <v>3.3888799871815275E-3</v>
      </c>
      <c r="I37" s="74">
        <f t="shared" si="56"/>
        <v>-4.0011780882873218</v>
      </c>
      <c r="J37" s="74">
        <f t="shared" si="56"/>
        <v>-0.53626685452438616</v>
      </c>
      <c r="K37" s="74">
        <f t="shared" si="56"/>
        <v>-0.4270676195645981</v>
      </c>
      <c r="L37" s="74">
        <f>L27/L15</f>
        <v>-0.30304553302907727</v>
      </c>
      <c r="R37" s="74">
        <f t="shared" ref="R37:T37" si="57">R27/R15</f>
        <v>0.56619869511997045</v>
      </c>
      <c r="S37" s="74">
        <f t="shared" si="57"/>
        <v>-0.9774489293214651</v>
      </c>
      <c r="T37" s="74">
        <f t="shared" si="57"/>
        <v>-1.1843883431143372</v>
      </c>
      <c r="U37" s="84">
        <f>U27/U15</f>
        <v>-0.10173498832860987</v>
      </c>
      <c r="V37" s="84">
        <f t="shared" ref="V37:AD37" si="58">V27/V15</f>
        <v>-8.7863753219656615E-2</v>
      </c>
      <c r="W37" s="84">
        <f t="shared" si="58"/>
        <v>-5.6206228841376348E-2</v>
      </c>
      <c r="X37" s="84">
        <f t="shared" si="58"/>
        <v>-4.3752251616374785E-3</v>
      </c>
      <c r="Y37" s="84">
        <f t="shared" si="58"/>
        <v>5.3905230533485567E-2</v>
      </c>
      <c r="Z37" s="84">
        <f t="shared" si="58"/>
        <v>9.537516138252132E-2</v>
      </c>
      <c r="AA37" s="84">
        <f t="shared" si="58"/>
        <v>0.14522115757090087</v>
      </c>
      <c r="AB37" s="84">
        <f t="shared" si="58"/>
        <v>0.19375888364895374</v>
      </c>
      <c r="AC37" s="84">
        <f t="shared" si="58"/>
        <v>0.25071176774653486</v>
      </c>
      <c r="AD37" s="84">
        <f t="shared" si="58"/>
        <v>0.31745173638492608</v>
      </c>
    </row>
    <row r="38" spans="2:41">
      <c r="B38" s="36"/>
    </row>
    <row r="39" spans="2:41" ht="14.25" customHeight="1">
      <c r="B39" s="1" t="s">
        <v>59</v>
      </c>
      <c r="F39" s="75">
        <v>486.95400000000001</v>
      </c>
      <c r="G39" s="75">
        <v>571</v>
      </c>
      <c r="H39" s="75">
        <v>621.61900000000003</v>
      </c>
      <c r="I39" s="75">
        <v>340.48500000000001</v>
      </c>
      <c r="J39" s="75">
        <v>403.46899999999999</v>
      </c>
      <c r="K39" s="75">
        <v>405.654</v>
      </c>
      <c r="L39" s="75">
        <v>445.84500000000003</v>
      </c>
      <c r="S39" s="75">
        <f>F39</f>
        <v>486.95400000000001</v>
      </c>
      <c r="T39" s="75">
        <f>J39</f>
        <v>403.46899999999999</v>
      </c>
      <c r="U39" s="82">
        <f>SUM(T39:T41)+U27</f>
        <v>1514.0505707122088</v>
      </c>
      <c r="V39" s="82">
        <f t="shared" ref="V39:AD39" si="59">U39+V27</f>
        <v>1323.4394424892389</v>
      </c>
      <c r="W39" s="82">
        <f t="shared" si="59"/>
        <v>1159.2684298841471</v>
      </c>
      <c r="X39" s="82">
        <f t="shared" si="59"/>
        <v>1142.7562815866866</v>
      </c>
      <c r="Y39" s="82">
        <f t="shared" si="59"/>
        <v>1396.4026350376321</v>
      </c>
      <c r="Z39" s="82">
        <f t="shared" si="59"/>
        <v>1937.4768322739292</v>
      </c>
      <c r="AA39" s="82">
        <f t="shared" si="59"/>
        <v>2906.0660843309261</v>
      </c>
      <c r="AB39" s="82">
        <f t="shared" si="59"/>
        <v>4394.043662012492</v>
      </c>
      <c r="AC39" s="82">
        <f t="shared" si="59"/>
        <v>6564.3412580510849</v>
      </c>
      <c r="AD39" s="82">
        <f t="shared" si="59"/>
        <v>9607.5651671203923</v>
      </c>
      <c r="AF39" s="80" t="s">
        <v>101</v>
      </c>
      <c r="AI39" s="73" t="s">
        <v>125</v>
      </c>
      <c r="AJ39" s="45"/>
      <c r="AK39" s="81" t="s">
        <v>100</v>
      </c>
      <c r="AL39" s="45"/>
      <c r="AM39" s="46" t="s">
        <v>102</v>
      </c>
      <c r="AN39" s="47">
        <v>0.2</v>
      </c>
      <c r="AO39" s="45"/>
    </row>
    <row r="40" spans="2:41" ht="14.25" customHeight="1">
      <c r="B40" s="1" t="s">
        <v>60</v>
      </c>
      <c r="F40" s="75">
        <v>0</v>
      </c>
      <c r="G40" s="75">
        <v>0</v>
      </c>
      <c r="H40" s="75">
        <v>30.135999999999999</v>
      </c>
      <c r="I40" s="75">
        <v>30.32</v>
      </c>
      <c r="J40" s="75">
        <v>15.574999999999999</v>
      </c>
      <c r="K40" s="75">
        <v>15.696</v>
      </c>
      <c r="L40" s="75">
        <v>15.82</v>
      </c>
      <c r="S40" s="75">
        <f t="shared" ref="S40:S51" si="60">F40</f>
        <v>0</v>
      </c>
      <c r="T40" s="75">
        <f t="shared" ref="T40:T51" si="61">J40</f>
        <v>15.574999999999999</v>
      </c>
      <c r="AF40" s="45">
        <v>2024</v>
      </c>
      <c r="AG40" s="45">
        <v>2025</v>
      </c>
      <c r="AI40" s="44" t="s">
        <v>124</v>
      </c>
      <c r="AJ40" s="45"/>
      <c r="AK40" s="45">
        <v>2025</v>
      </c>
      <c r="AL40" s="45"/>
      <c r="AM40" s="46" t="s">
        <v>103</v>
      </c>
      <c r="AN40" s="47">
        <v>2.2499999999999999E-2</v>
      </c>
      <c r="AO40" s="45"/>
    </row>
    <row r="41" spans="2:41" ht="14.25" customHeight="1">
      <c r="B41" s="1" t="s">
        <v>61</v>
      </c>
      <c r="F41" s="75">
        <v>970.88300000000004</v>
      </c>
      <c r="G41" s="75">
        <v>970.8</v>
      </c>
      <c r="H41" s="75">
        <v>971.71900000000005</v>
      </c>
      <c r="I41" s="75">
        <v>1237.048</v>
      </c>
      <c r="J41" s="75">
        <v>1252.4739999999999</v>
      </c>
      <c r="K41" s="75">
        <v>1232.81</v>
      </c>
      <c r="L41" s="75">
        <v>1221.2929999999999</v>
      </c>
      <c r="S41" s="75">
        <f t="shared" si="60"/>
        <v>970.88300000000004</v>
      </c>
      <c r="T41" s="75">
        <f t="shared" si="61"/>
        <v>1252.4739999999999</v>
      </c>
      <c r="AF41" s="49">
        <f>SUM(S39:S43)-S53+S46+S48+S47</f>
        <v>1676.577</v>
      </c>
      <c r="AG41" s="49">
        <f>SUM(T39:T43)-T53+T46+T48+T47</f>
        <v>2174.1210000000001</v>
      </c>
      <c r="AI41" s="49">
        <f>AVERAGE(AF41:AG41)</f>
        <v>1925.3490000000002</v>
      </c>
      <c r="AJ41" s="45"/>
      <c r="AK41" s="62">
        <f>U21*(1-U36)</f>
        <v>-498.45710128779132</v>
      </c>
      <c r="AL41" s="45"/>
      <c r="AM41" s="46" t="s">
        <v>104</v>
      </c>
      <c r="AN41" s="47">
        <f>AI50</f>
        <v>5.1700000000000003E-2</v>
      </c>
      <c r="AO41" s="45"/>
    </row>
    <row r="42" spans="2:41" ht="14.25" customHeight="1">
      <c r="B42" s="1" t="s">
        <v>182</v>
      </c>
      <c r="F42" s="75">
        <v>131.315</v>
      </c>
      <c r="G42" s="75">
        <v>373</v>
      </c>
      <c r="H42" s="75">
        <v>124.721</v>
      </c>
      <c r="I42" s="75">
        <v>156.00399999999999</v>
      </c>
      <c r="J42" s="75">
        <v>247.91499999999999</v>
      </c>
      <c r="K42" s="75">
        <v>188.351</v>
      </c>
      <c r="L42" s="75">
        <v>190.876</v>
      </c>
      <c r="S42" s="75">
        <f t="shared" si="60"/>
        <v>131.315</v>
      </c>
      <c r="T42" s="75">
        <f t="shared" si="61"/>
        <v>247.91499999999999</v>
      </c>
      <c r="Y42" s="44"/>
      <c r="Z42" s="45"/>
      <c r="AA42" s="44"/>
      <c r="AB42" s="45"/>
      <c r="AC42" s="46"/>
      <c r="AD42" s="47"/>
      <c r="AG42" s="45"/>
      <c r="AH42" s="45"/>
      <c r="AI42" s="45"/>
      <c r="AJ42" s="45"/>
      <c r="AK42" s="56">
        <f>AK41/AI41</f>
        <v>-0.25889181716550674</v>
      </c>
      <c r="AL42" s="45"/>
      <c r="AM42" s="46" t="s">
        <v>105</v>
      </c>
      <c r="AN42" s="67">
        <f>9.5%-AN41</f>
        <v>4.3299999999999998E-2</v>
      </c>
      <c r="AO42" s="45"/>
    </row>
    <row r="43" spans="2:41" ht="14.25" customHeight="1">
      <c r="B43" s="1" t="s">
        <v>183</v>
      </c>
      <c r="F43" s="75">
        <v>48.872999999999998</v>
      </c>
      <c r="G43" s="75"/>
      <c r="H43" s="75">
        <v>60.058999999999997</v>
      </c>
      <c r="I43" s="75">
        <v>79.903999999999996</v>
      </c>
      <c r="J43" s="75">
        <v>85.266999999999996</v>
      </c>
      <c r="K43" s="75">
        <v>93.882000000000005</v>
      </c>
      <c r="L43" s="75">
        <v>103.206</v>
      </c>
      <c r="S43" s="75">
        <f t="shared" si="60"/>
        <v>48.872999999999998</v>
      </c>
      <c r="T43" s="75">
        <f t="shared" si="61"/>
        <v>85.266999999999996</v>
      </c>
      <c r="AF43" s="50" t="s">
        <v>114</v>
      </c>
      <c r="AG43" s="45"/>
      <c r="AH43" s="45"/>
      <c r="AJ43" s="45"/>
      <c r="AK43" s="45"/>
      <c r="AL43" s="45"/>
      <c r="AM43" s="46" t="s">
        <v>106</v>
      </c>
      <c r="AN43" s="63">
        <f>'Notes | Quant Analysis'!S206</f>
        <v>1.6046879551133124</v>
      </c>
      <c r="AO43" s="45"/>
    </row>
    <row r="44" spans="2:41" ht="13.5" customHeight="1">
      <c r="B44" s="1" t="s">
        <v>184</v>
      </c>
      <c r="F44" s="75">
        <v>15.016999999999999</v>
      </c>
      <c r="G44" s="75"/>
      <c r="H44" s="75">
        <v>16.593</v>
      </c>
      <c r="I44" s="75">
        <v>17.946000000000002</v>
      </c>
      <c r="J44" s="75">
        <v>19.995999999999999</v>
      </c>
      <c r="K44" s="75">
        <v>30.981999999999999</v>
      </c>
      <c r="L44" s="75">
        <v>38.320999999999998</v>
      </c>
      <c r="S44" s="75">
        <f t="shared" si="60"/>
        <v>15.016999999999999</v>
      </c>
      <c r="T44" s="75">
        <f t="shared" si="61"/>
        <v>19.995999999999999</v>
      </c>
      <c r="AF44" s="57" t="s">
        <v>115</v>
      </c>
      <c r="AI44" s="48">
        <f>Main!C5</f>
        <v>10899.970719999999</v>
      </c>
      <c r="AJ44" s="45"/>
      <c r="AK44" s="45"/>
      <c r="AL44" s="45"/>
      <c r="AM44" s="46" t="s">
        <v>107</v>
      </c>
      <c r="AN44" s="67">
        <f>+AN41+(AN42*AN43)</f>
        <v>0.12118298845640643</v>
      </c>
      <c r="AO44" s="45"/>
    </row>
    <row r="45" spans="2:41" ht="13.5" customHeight="1">
      <c r="B45" s="1" t="s">
        <v>197</v>
      </c>
      <c r="F45" s="75">
        <v>0</v>
      </c>
      <c r="G45" s="75"/>
      <c r="H45" s="75">
        <v>0</v>
      </c>
      <c r="I45" s="75">
        <v>0</v>
      </c>
      <c r="J45" s="75">
        <v>19.082999999999998</v>
      </c>
      <c r="K45" s="75">
        <v>12.663</v>
      </c>
      <c r="L45" s="75">
        <v>13.371</v>
      </c>
      <c r="S45" s="75">
        <f t="shared" si="60"/>
        <v>0</v>
      </c>
      <c r="T45" s="75">
        <f t="shared" si="61"/>
        <v>19.082999999999998</v>
      </c>
      <c r="AF45" s="57" t="s">
        <v>116</v>
      </c>
      <c r="AI45" s="56">
        <f>Main!C7/(Main!C7+AI44)</f>
        <v>0</v>
      </c>
      <c r="AJ45" s="45"/>
      <c r="AK45" s="45"/>
      <c r="AL45" s="45"/>
      <c r="AM45" s="46"/>
      <c r="AN45" s="51"/>
      <c r="AO45" s="45"/>
    </row>
    <row r="46" spans="2:41" ht="13.5" customHeight="1">
      <c r="B46" s="1" t="s">
        <v>185</v>
      </c>
      <c r="F46" s="75">
        <v>2.5110000000000001</v>
      </c>
      <c r="G46" s="75"/>
      <c r="H46" s="75">
        <v>13.227</v>
      </c>
      <c r="I46" s="75">
        <v>16.044</v>
      </c>
      <c r="J46" s="75">
        <v>15.116</v>
      </c>
      <c r="K46" s="75">
        <v>11.787000000000001</v>
      </c>
      <c r="L46" s="75">
        <v>10.115</v>
      </c>
      <c r="S46" s="75">
        <f t="shared" si="60"/>
        <v>2.5110000000000001</v>
      </c>
      <c r="T46" s="75">
        <f t="shared" si="61"/>
        <v>15.116</v>
      </c>
      <c r="AF46" s="57" t="s">
        <v>117</v>
      </c>
      <c r="AI46" s="56">
        <f>AI44/(AI44+Main!C7)</f>
        <v>1</v>
      </c>
      <c r="AJ46" s="45"/>
      <c r="AL46" s="45"/>
      <c r="AM46" s="46" t="s">
        <v>108</v>
      </c>
      <c r="AN46" s="62">
        <f>NPV(AN44,U27:CC27)</f>
        <v>12717.772921613698</v>
      </c>
      <c r="AO46" s="45"/>
    </row>
    <row r="47" spans="2:41" ht="13.5" customHeight="1">
      <c r="B47" s="1" t="s">
        <v>186</v>
      </c>
      <c r="F47" s="75">
        <v>11.398</v>
      </c>
      <c r="G47" s="75"/>
      <c r="H47" s="75">
        <v>24.541</v>
      </c>
      <c r="I47" s="75">
        <v>24.541</v>
      </c>
      <c r="J47" s="75">
        <v>101.396</v>
      </c>
      <c r="K47" s="75">
        <v>101.396</v>
      </c>
      <c r="L47" s="75">
        <v>101.396</v>
      </c>
      <c r="S47" s="75">
        <f t="shared" si="60"/>
        <v>11.398</v>
      </c>
      <c r="T47" s="75">
        <f t="shared" si="61"/>
        <v>101.396</v>
      </c>
      <c r="AF47" s="58" t="s">
        <v>133</v>
      </c>
      <c r="AG47" s="34"/>
      <c r="AH47" s="34"/>
      <c r="AI47" s="59">
        <f>T52/T61</f>
        <v>0</v>
      </c>
      <c r="AJ47" s="50"/>
      <c r="AL47" s="45"/>
      <c r="AM47" s="46" t="s">
        <v>70</v>
      </c>
      <c r="AN47" s="49">
        <f>Main!C4</f>
        <v>455.11360000000002</v>
      </c>
      <c r="AO47" s="60"/>
    </row>
    <row r="48" spans="2:41" ht="13.5" customHeight="1">
      <c r="B48" s="1" t="s">
        <v>187</v>
      </c>
      <c r="F48" s="75">
        <v>28.806000000000001</v>
      </c>
      <c r="G48" s="75"/>
      <c r="H48" s="75">
        <v>64.260999999999996</v>
      </c>
      <c r="I48" s="75">
        <v>60.728000000000002</v>
      </c>
      <c r="J48" s="75">
        <v>57.411000000000001</v>
      </c>
      <c r="K48" s="75">
        <v>54.457999999999998</v>
      </c>
      <c r="L48" s="75">
        <v>62.32</v>
      </c>
      <c r="S48" s="75">
        <f t="shared" si="60"/>
        <v>28.806000000000001</v>
      </c>
      <c r="T48" s="75">
        <f t="shared" si="61"/>
        <v>57.411000000000001</v>
      </c>
      <c r="AJ48" s="45"/>
      <c r="AL48" s="45"/>
      <c r="AM48" s="46" t="s">
        <v>109</v>
      </c>
      <c r="AN48" s="51">
        <f>AN46/AN47</f>
        <v>27.944172447524522</v>
      </c>
      <c r="AO48" s="44"/>
    </row>
    <row r="49" spans="2:82" ht="13.5" customHeight="1">
      <c r="B49" s="1" t="s">
        <v>188</v>
      </c>
      <c r="F49" s="75">
        <v>3.6309999999999998</v>
      </c>
      <c r="G49" s="75"/>
      <c r="H49" s="75">
        <v>9.7989999999999995</v>
      </c>
      <c r="I49" s="75">
        <v>9.7989999999999995</v>
      </c>
      <c r="J49" s="75">
        <v>9.7989999999999995</v>
      </c>
      <c r="K49" s="75">
        <v>9.8000000000000007</v>
      </c>
      <c r="L49" s="75">
        <v>9.8000000000000007</v>
      </c>
      <c r="S49" s="75">
        <f t="shared" si="60"/>
        <v>3.6309999999999998</v>
      </c>
      <c r="T49" s="75">
        <f t="shared" si="61"/>
        <v>9.7989999999999995</v>
      </c>
      <c r="AF49" s="34" t="s">
        <v>113</v>
      </c>
      <c r="AI49" s="45"/>
      <c r="AJ49" s="45"/>
      <c r="AK49" s="45"/>
      <c r="AL49" s="45"/>
      <c r="AM49" s="46" t="s">
        <v>110</v>
      </c>
      <c r="AN49" s="51">
        <f>Main!C3</f>
        <v>23.95</v>
      </c>
      <c r="AO49" s="52"/>
    </row>
    <row r="50" spans="2:82" ht="13.5" customHeight="1">
      <c r="B50" s="1" t="s">
        <v>189</v>
      </c>
      <c r="F50" s="75">
        <v>93.76</v>
      </c>
      <c r="G50" s="75"/>
      <c r="H50" s="75">
        <v>97.988</v>
      </c>
      <c r="I50" s="75">
        <v>100.40600000000001</v>
      </c>
      <c r="J50" s="75">
        <v>120.706</v>
      </c>
      <c r="K50" s="75">
        <v>133.309</v>
      </c>
      <c r="L50" s="75">
        <v>138.911</v>
      </c>
      <c r="S50" s="75">
        <f t="shared" si="60"/>
        <v>93.76</v>
      </c>
      <c r="T50" s="75">
        <f t="shared" si="61"/>
        <v>120.706</v>
      </c>
      <c r="AF50" s="61" t="s">
        <v>104</v>
      </c>
      <c r="AI50" s="56">
        <v>5.1700000000000003E-2</v>
      </c>
      <c r="AJ50" s="45"/>
      <c r="AK50" s="45"/>
      <c r="AL50" s="45"/>
      <c r="AM50" s="46" t="s">
        <v>111</v>
      </c>
      <c r="AN50" s="47">
        <f>AN48/AN49-1</f>
        <v>0.16677129217221398</v>
      </c>
      <c r="AO50" s="44" t="str">
        <f>IF(AN50&gt;0,"Upside","Downside")</f>
        <v>Upside</v>
      </c>
    </row>
    <row r="51" spans="2:82" ht="13.5" customHeight="1">
      <c r="B51" s="2" t="s">
        <v>126</v>
      </c>
      <c r="F51" s="76">
        <f t="shared" ref="F51:K51" si="62">SUM(F39:F50)</f>
        <v>1793.1480000000001</v>
      </c>
      <c r="G51" s="76">
        <f t="shared" si="62"/>
        <v>1914.8</v>
      </c>
      <c r="H51" s="76">
        <f t="shared" si="62"/>
        <v>2034.6630000000002</v>
      </c>
      <c r="I51" s="76">
        <f t="shared" si="62"/>
        <v>2073.2249999999999</v>
      </c>
      <c r="J51" s="76">
        <f t="shared" si="62"/>
        <v>2348.2070000000008</v>
      </c>
      <c r="K51" s="76">
        <f t="shared" si="62"/>
        <v>2290.7880000000005</v>
      </c>
      <c r="L51" s="76">
        <f>SUM(L39:L50)</f>
        <v>2351.2740000000003</v>
      </c>
      <c r="S51" s="76">
        <f t="shared" si="60"/>
        <v>1793.1480000000001</v>
      </c>
      <c r="T51" s="76">
        <f t="shared" si="61"/>
        <v>2348.2070000000008</v>
      </c>
      <c r="AF51" s="61" t="s">
        <v>106</v>
      </c>
      <c r="AI51" s="51">
        <f>'Notes | Quant Analysis'!S206</f>
        <v>1.6046879551133124</v>
      </c>
      <c r="AJ51" s="50"/>
      <c r="AK51" s="50"/>
      <c r="AL51" s="50"/>
      <c r="AM51" s="92" t="str" cm="1">
        <f t="array" ref="AM51">_xlfn.IFS(AN50&gt;=25%,"Strong Buy",AN50&gt;=10.00001%,"Buy",AND(AN50&lt;=10%,AN50&gt;=-4.9999%),"Hold",AND(AN50&lt;=-5%,AN50&gt;=-14.999999%),"Sell",AN50&lt;=-15%,"Strong Sell")</f>
        <v>Buy</v>
      </c>
      <c r="AN51" s="92"/>
    </row>
    <row r="52" spans="2:82" ht="13.5" customHeight="1">
      <c r="F52" s="75"/>
      <c r="G52" s="75"/>
      <c r="H52" s="75"/>
      <c r="I52" s="75"/>
      <c r="J52" s="75"/>
      <c r="K52" s="75"/>
      <c r="L52" s="75"/>
      <c r="S52" s="75"/>
      <c r="AF52" s="57" t="s">
        <v>118</v>
      </c>
      <c r="AI52" s="56">
        <v>0.16</v>
      </c>
      <c r="AJ52" s="45"/>
      <c r="AK52" s="45"/>
      <c r="AL52" s="45"/>
    </row>
    <row r="53" spans="2:82" ht="13.5" customHeight="1">
      <c r="B53" s="1" t="s">
        <v>190</v>
      </c>
      <c r="F53" s="75">
        <v>4.1630000000000003</v>
      </c>
      <c r="G53" s="75">
        <v>544.39099999999996</v>
      </c>
      <c r="H53" s="75">
        <v>12.029</v>
      </c>
      <c r="I53" s="75">
        <v>13.364000000000001</v>
      </c>
      <c r="J53" s="75">
        <v>4.5019999999999998</v>
      </c>
      <c r="K53" s="75">
        <v>8.9280000000000008</v>
      </c>
      <c r="L53" s="75">
        <v>26.149000000000001</v>
      </c>
      <c r="S53" s="75">
        <f t="shared" ref="S53:S62" si="63">F53</f>
        <v>4.1630000000000003</v>
      </c>
      <c r="T53" s="75">
        <f t="shared" ref="T53:T62" si="64">J53</f>
        <v>4.5019999999999998</v>
      </c>
      <c r="AF53" s="58" t="s">
        <v>119</v>
      </c>
      <c r="AG53" s="45"/>
      <c r="AH53" s="2"/>
      <c r="AI53" s="59">
        <f>(AI50+AI51)*(AI52-AI50)</f>
        <v>0.17938681553877175</v>
      </c>
    </row>
    <row r="54" spans="2:82" ht="13.5" customHeight="1">
      <c r="B54" s="1" t="s">
        <v>191</v>
      </c>
      <c r="F54" s="75">
        <v>31.119</v>
      </c>
      <c r="G54" s="75"/>
      <c r="H54" s="75">
        <v>52.761000000000003</v>
      </c>
      <c r="I54" s="75">
        <v>51.84</v>
      </c>
      <c r="J54" s="75">
        <v>66.534999999999997</v>
      </c>
      <c r="K54" s="75">
        <v>82.156999999999996</v>
      </c>
      <c r="L54" s="75">
        <v>91.557000000000002</v>
      </c>
      <c r="S54" s="75">
        <f t="shared" si="63"/>
        <v>31.119</v>
      </c>
      <c r="T54" s="75">
        <f t="shared" si="64"/>
        <v>66.534999999999997</v>
      </c>
      <c r="AF54" s="2"/>
      <c r="AG54" s="2"/>
      <c r="AH54" s="2"/>
      <c r="AI54" s="2"/>
    </row>
    <row r="55" spans="2:82" ht="13.5" customHeight="1">
      <c r="B55" s="1" t="s">
        <v>193</v>
      </c>
      <c r="F55" s="75">
        <v>19.376999999999999</v>
      </c>
      <c r="G55" s="75"/>
      <c r="H55" s="75">
        <v>39.225000000000001</v>
      </c>
      <c r="I55" s="75">
        <v>79.031000000000006</v>
      </c>
      <c r="J55" s="75">
        <v>107.105</v>
      </c>
      <c r="K55" s="75">
        <v>53.173000000000002</v>
      </c>
      <c r="L55" s="75">
        <v>53.527999999999999</v>
      </c>
      <c r="S55" s="75">
        <f t="shared" si="63"/>
        <v>19.376999999999999</v>
      </c>
      <c r="T55" s="75">
        <f t="shared" si="64"/>
        <v>107.105</v>
      </c>
      <c r="AF55" s="34" t="s">
        <v>120</v>
      </c>
      <c r="AG55" s="63"/>
      <c r="AI55" s="55"/>
    </row>
    <row r="56" spans="2:82" ht="13.5" customHeight="1">
      <c r="B56" s="1" t="s">
        <v>192</v>
      </c>
      <c r="F56" s="75">
        <v>10.936999999999999</v>
      </c>
      <c r="G56" s="75"/>
      <c r="H56" s="75">
        <v>9.4</v>
      </c>
      <c r="I56" s="75">
        <v>4.6769999999999996</v>
      </c>
      <c r="J56" s="75">
        <v>2.63</v>
      </c>
      <c r="K56" s="75">
        <v>2.54</v>
      </c>
      <c r="L56" s="75">
        <v>8.6609999999999996</v>
      </c>
      <c r="S56" s="75">
        <f t="shared" si="63"/>
        <v>10.936999999999999</v>
      </c>
      <c r="T56" s="75">
        <f t="shared" si="64"/>
        <v>2.63</v>
      </c>
      <c r="AF56" s="64" t="s">
        <v>120</v>
      </c>
      <c r="AI56" s="65">
        <v>0</v>
      </c>
      <c r="AJ56" s="2"/>
      <c r="AK56" s="69"/>
      <c r="AL56" s="59"/>
    </row>
    <row r="57" spans="2:82" ht="13.5" customHeight="1">
      <c r="B57" s="1" t="s">
        <v>194</v>
      </c>
      <c r="F57" s="75">
        <v>381.363</v>
      </c>
      <c r="G57" s="75"/>
      <c r="H57" s="75">
        <v>433.14699999999999</v>
      </c>
      <c r="I57" s="75">
        <v>473.56700000000001</v>
      </c>
      <c r="J57" s="75">
        <v>595.33399999999995</v>
      </c>
      <c r="K57" s="75">
        <v>627.66399999999999</v>
      </c>
      <c r="L57" s="75">
        <v>626.78300000000002</v>
      </c>
      <c r="S57" s="75">
        <f t="shared" si="63"/>
        <v>381.363</v>
      </c>
      <c r="T57" s="75">
        <f t="shared" si="64"/>
        <v>595.33399999999995</v>
      </c>
      <c r="AF57" s="57" t="s">
        <v>121</v>
      </c>
      <c r="AI57" s="56">
        <v>0.14599999999999999</v>
      </c>
      <c r="AM57" s="68"/>
      <c r="AN57" s="2"/>
      <c r="AO57" s="2"/>
    </row>
    <row r="58" spans="2:82" ht="13.5" customHeight="1">
      <c r="B58" s="1" t="s">
        <v>195</v>
      </c>
      <c r="F58" s="75">
        <v>17.832999999999998</v>
      </c>
      <c r="G58" s="75"/>
      <c r="H58" s="75">
        <v>55.298000000000002</v>
      </c>
      <c r="I58" s="75">
        <v>56.558999999999997</v>
      </c>
      <c r="J58" s="75">
        <v>55.844999999999999</v>
      </c>
      <c r="K58" s="75">
        <v>53.624000000000002</v>
      </c>
      <c r="L58" s="75">
        <v>59.09</v>
      </c>
      <c r="S58" s="75">
        <f t="shared" si="63"/>
        <v>17.832999999999998</v>
      </c>
      <c r="T58" s="75">
        <f t="shared" si="64"/>
        <v>55.844999999999999</v>
      </c>
      <c r="AF58" s="66" t="s">
        <v>122</v>
      </c>
      <c r="AI58" s="59">
        <f>AI56*(1-AI57)</f>
        <v>0</v>
      </c>
      <c r="AL58" s="34"/>
      <c r="AM58" s="46"/>
    </row>
    <row r="59" spans="2:82" ht="13.5" customHeight="1">
      <c r="B59" s="1" t="s">
        <v>196</v>
      </c>
      <c r="F59" s="75">
        <v>4.3029999999999999</v>
      </c>
      <c r="G59" s="75"/>
      <c r="H59" s="75">
        <v>5.5890000000000004</v>
      </c>
      <c r="I59" s="75">
        <v>5.6669999999999998</v>
      </c>
      <c r="J59" s="75">
        <v>5.6150000000000002</v>
      </c>
      <c r="K59" s="75">
        <v>5.7409999999999997</v>
      </c>
      <c r="L59" s="75">
        <v>7.5990000000000002</v>
      </c>
      <c r="S59" s="75">
        <f t="shared" si="63"/>
        <v>4.3029999999999999</v>
      </c>
      <c r="T59" s="75">
        <f t="shared" si="64"/>
        <v>5.6150000000000002</v>
      </c>
      <c r="AJ59" s="34"/>
      <c r="AM59" s="68"/>
      <c r="AN59" s="34"/>
      <c r="AO59" s="34"/>
    </row>
    <row r="60" spans="2:82" s="2" customFormat="1" ht="15">
      <c r="B60" s="2" t="s">
        <v>127</v>
      </c>
      <c r="F60" s="76">
        <f t="shared" ref="F60:L60" si="65">SUM(F53:F59)</f>
        <v>469.09500000000003</v>
      </c>
      <c r="G60" s="76">
        <f t="shared" si="65"/>
        <v>544.39099999999996</v>
      </c>
      <c r="H60" s="76">
        <f t="shared" si="65"/>
        <v>607.44900000000007</v>
      </c>
      <c r="I60" s="76">
        <f t="shared" si="65"/>
        <v>684.70500000000004</v>
      </c>
      <c r="J60" s="76">
        <f t="shared" si="65"/>
        <v>837.56600000000003</v>
      </c>
      <c r="K60" s="76">
        <f t="shared" si="65"/>
        <v>833.827</v>
      </c>
      <c r="L60" s="76">
        <f t="shared" si="65"/>
        <v>873.36700000000008</v>
      </c>
      <c r="M60" s="34"/>
      <c r="N60" s="34"/>
      <c r="S60" s="76">
        <f t="shared" si="63"/>
        <v>469.09500000000003</v>
      </c>
      <c r="T60" s="76">
        <f t="shared" si="64"/>
        <v>837.56600000000003</v>
      </c>
      <c r="U60" s="34"/>
      <c r="AF60" s="34" t="s">
        <v>123</v>
      </c>
      <c r="AG60" s="35"/>
      <c r="AH60" s="35"/>
      <c r="AI60" s="59">
        <f>(AI46*AI53)+(AI45*AI58*(1-AI57))</f>
        <v>0.17938681553877175</v>
      </c>
      <c r="AJ60" s="35"/>
      <c r="AK60" s="35"/>
      <c r="AL60" s="35"/>
      <c r="AM60" s="46"/>
      <c r="AN60" s="67"/>
      <c r="AO60" s="35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</row>
    <row r="61" spans="2:82" ht="15">
      <c r="B61" s="1" t="s">
        <v>128</v>
      </c>
      <c r="F61" s="75">
        <v>1324.0530000000001</v>
      </c>
      <c r="G61" s="75">
        <v>1370.36</v>
      </c>
      <c r="H61" s="75">
        <v>1427.2139999999999</v>
      </c>
      <c r="I61" s="75">
        <v>1388.52</v>
      </c>
      <c r="J61" s="75">
        <v>1510.6410000000001</v>
      </c>
      <c r="K61" s="75">
        <v>1456.961</v>
      </c>
      <c r="L61" s="75">
        <v>1477.9069999999999</v>
      </c>
      <c r="S61" s="75">
        <f t="shared" si="63"/>
        <v>1324.0530000000001</v>
      </c>
      <c r="T61" s="75">
        <f t="shared" si="64"/>
        <v>1510.6410000000001</v>
      </c>
      <c r="AF61" s="2"/>
      <c r="AG61" s="2"/>
      <c r="AH61" s="2"/>
      <c r="AI61" s="2"/>
    </row>
    <row r="62" spans="2:82" s="2" customFormat="1" ht="15">
      <c r="B62" s="2" t="s">
        <v>129</v>
      </c>
      <c r="F62" s="76">
        <f t="shared" ref="F62:I62" si="66">F60+F61</f>
        <v>1793.1480000000001</v>
      </c>
      <c r="G62" s="76">
        <f t="shared" si="66"/>
        <v>1914.7509999999997</v>
      </c>
      <c r="H62" s="76">
        <f t="shared" si="66"/>
        <v>2034.663</v>
      </c>
      <c r="I62" s="76">
        <f t="shared" si="66"/>
        <v>2073.2249999999999</v>
      </c>
      <c r="J62" s="76">
        <f>J60+J61</f>
        <v>2348.2070000000003</v>
      </c>
      <c r="K62" s="76">
        <f>K60+K61</f>
        <v>2290.788</v>
      </c>
      <c r="L62" s="76">
        <f>L60+L61</f>
        <v>2351.2739999999999</v>
      </c>
      <c r="M62" s="34"/>
      <c r="N62" s="34"/>
      <c r="S62" s="76">
        <f t="shared" si="63"/>
        <v>1793.1480000000001</v>
      </c>
      <c r="T62" s="76">
        <f t="shared" si="64"/>
        <v>2348.2070000000003</v>
      </c>
      <c r="U62" s="34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</row>
    <row r="64" spans="2:82" ht="15">
      <c r="B64" s="1" t="s">
        <v>62</v>
      </c>
      <c r="F64" s="78">
        <f t="shared" ref="F64:L64" si="67">SUM(F39:F44)/SUM(F53:F57)</f>
        <v>3.6984197655713391</v>
      </c>
      <c r="G64" s="78">
        <f t="shared" si="67"/>
        <v>3.5173248639305208</v>
      </c>
      <c r="H64" s="78">
        <f t="shared" si="67"/>
        <v>3.3387740091700486</v>
      </c>
      <c r="I64" s="78">
        <f t="shared" si="67"/>
        <v>2.9907948701883913</v>
      </c>
      <c r="J64" s="78">
        <f t="shared" si="67"/>
        <v>2.6087879748384886</v>
      </c>
      <c r="K64" s="78">
        <f t="shared" si="67"/>
        <v>2.5403118551975434</v>
      </c>
      <c r="L64" s="78">
        <f t="shared" si="67"/>
        <v>2.4983463042254774</v>
      </c>
      <c r="R64" s="78"/>
      <c r="S64" s="78">
        <f t="shared" ref="S64:T64" si="68">SUM(S39:S44)/SUM(S53:S57)</f>
        <v>3.6984197655713391</v>
      </c>
      <c r="T64" s="78">
        <f t="shared" si="68"/>
        <v>2.6087879748384886</v>
      </c>
      <c r="AO64" s="34"/>
    </row>
    <row r="65" spans="2:82">
      <c r="B65" s="1" t="s">
        <v>63</v>
      </c>
      <c r="F65" s="78">
        <f t="shared" ref="F65:L65" si="69">SUM(F39:F41)/SUM(F53:F57)</f>
        <v>3.2616794829055911</v>
      </c>
      <c r="G65" s="78">
        <f t="shared" si="69"/>
        <v>2.8321555646584899</v>
      </c>
      <c r="H65" s="78">
        <f t="shared" si="69"/>
        <v>2.9703382232939726</v>
      </c>
      <c r="I65" s="78">
        <f t="shared" si="69"/>
        <v>2.5829835223356934</v>
      </c>
      <c r="J65" s="78">
        <f t="shared" si="69"/>
        <v>2.1537238470002809</v>
      </c>
      <c r="K65" s="78">
        <f t="shared" si="69"/>
        <v>2.1358827160015594</v>
      </c>
      <c r="L65" s="78">
        <f t="shared" si="69"/>
        <v>2.0862822588442969</v>
      </c>
      <c r="R65" s="78"/>
      <c r="S65" s="78">
        <f t="shared" ref="S65:T65" si="70">SUM(S39:S41)/SUM(S53:S57)</f>
        <v>3.2616794829055911</v>
      </c>
      <c r="T65" s="78">
        <f t="shared" si="70"/>
        <v>2.1537238470002809</v>
      </c>
    </row>
    <row r="66" spans="2:82">
      <c r="B66" s="1" t="s">
        <v>131</v>
      </c>
      <c r="F66" s="74">
        <f t="shared" ref="F66:L66" si="71">F48/F15</f>
        <v>0.13276245080055674</v>
      </c>
      <c r="G66" s="74">
        <f t="shared" si="71"/>
        <v>0</v>
      </c>
      <c r="H66" s="74">
        <f t="shared" si="71"/>
        <v>0.25741467713507449</v>
      </c>
      <c r="I66" s="74">
        <f t="shared" si="71"/>
        <v>0.22149518734521634</v>
      </c>
      <c r="J66" s="74">
        <f t="shared" si="71"/>
        <v>0.18899123038028018</v>
      </c>
      <c r="K66" s="74">
        <f t="shared" si="71"/>
        <v>0.16332222685408726</v>
      </c>
      <c r="L66" s="74">
        <f t="shared" si="71"/>
        <v>0.16839465741468806</v>
      </c>
      <c r="R66" s="74"/>
      <c r="S66" s="74">
        <f t="shared" ref="S66:T66" si="72">S48/S15</f>
        <v>3.8458714224490695E-2</v>
      </c>
      <c r="T66" s="74">
        <f t="shared" si="72"/>
        <v>5.437739394651199E-2</v>
      </c>
    </row>
    <row r="67" spans="2:82">
      <c r="B67" s="1" t="s">
        <v>132</v>
      </c>
      <c r="F67" s="74">
        <f t="shared" ref="F67:L67" si="73">F51/F15</f>
        <v>8.2643450367325109</v>
      </c>
      <c r="G67" s="74">
        <f t="shared" si="73"/>
        <v>8.390921958466075</v>
      </c>
      <c r="H67" s="74">
        <f t="shared" si="73"/>
        <v>8.1503885595257177</v>
      </c>
      <c r="I67" s="74">
        <f t="shared" si="73"/>
        <v>7.5617402151196504</v>
      </c>
      <c r="J67" s="74">
        <f t="shared" si="73"/>
        <v>7.7300609659749302</v>
      </c>
      <c r="K67" s="74">
        <f t="shared" si="73"/>
        <v>6.8701861509901381</v>
      </c>
      <c r="L67" s="74">
        <f t="shared" si="73"/>
        <v>6.3533693793014017</v>
      </c>
      <c r="R67" s="74"/>
      <c r="S67" s="74">
        <f t="shared" ref="S67:T67" si="74">S51/S15</f>
        <v>2.3940209155806791</v>
      </c>
      <c r="T67" s="74">
        <f t="shared" si="74"/>
        <v>2.2241273816334348</v>
      </c>
    </row>
    <row r="68" spans="2:82">
      <c r="B68" s="1" t="s">
        <v>64</v>
      </c>
      <c r="F68" s="77">
        <f t="shared" ref="F68:L68" si="75">F62/F27</f>
        <v>16.102118335862627</v>
      </c>
      <c r="G68" s="77">
        <f t="shared" si="75"/>
        <v>222.36104981999699</v>
      </c>
      <c r="H68" s="77">
        <f t="shared" si="75"/>
        <v>2405.0390070922085</v>
      </c>
      <c r="I68" s="77">
        <f t="shared" si="75"/>
        <v>-1.8898784428654123</v>
      </c>
      <c r="J68" s="77">
        <f t="shared" si="75"/>
        <v>-14.414579049139073</v>
      </c>
      <c r="K68" s="77">
        <f t="shared" si="75"/>
        <v>-16.08688141234963</v>
      </c>
      <c r="L68" s="77">
        <f t="shared" si="75"/>
        <v>-20.965065268564093</v>
      </c>
      <c r="R68" s="77"/>
      <c r="S68" s="77">
        <f t="shared" ref="S68:T68" si="76">S62/S27</f>
        <v>-2.4492542206195709</v>
      </c>
      <c r="T68" s="77">
        <f t="shared" si="76"/>
        <v>-1.8778700369383188</v>
      </c>
    </row>
    <row r="69" spans="2:82">
      <c r="B69" s="1" t="s">
        <v>65</v>
      </c>
      <c r="F69" s="77">
        <f t="shared" ref="F69:L69" si="77">F61/F27</f>
        <v>11.889736981528529</v>
      </c>
      <c r="G69" s="77">
        <f t="shared" si="77"/>
        <v>159.14063407269722</v>
      </c>
      <c r="H69" s="77">
        <f t="shared" si="77"/>
        <v>1687.0141843971699</v>
      </c>
      <c r="I69" s="77">
        <f t="shared" si="77"/>
        <v>-1.2657256281819302</v>
      </c>
      <c r="J69" s="77">
        <f t="shared" si="77"/>
        <v>-9.2731407875755831</v>
      </c>
      <c r="K69" s="77">
        <f t="shared" si="77"/>
        <v>-10.231395846939277</v>
      </c>
      <c r="L69" s="77">
        <f t="shared" si="77"/>
        <v>-13.177714173621515</v>
      </c>
      <c r="R69" s="77"/>
      <c r="S69" s="77">
        <f t="shared" ref="S69:T69" si="78">S61/S27</f>
        <v>-1.8085190952302903</v>
      </c>
      <c r="T69" s="77">
        <f t="shared" si="78"/>
        <v>-1.2080653326008051</v>
      </c>
    </row>
    <row r="70" spans="2:82">
      <c r="K70" s="79"/>
    </row>
    <row r="71" spans="2:82">
      <c r="B71" s="1" t="s">
        <v>66</v>
      </c>
      <c r="C71" s="75"/>
      <c r="D71" s="75"/>
      <c r="E71" s="75"/>
      <c r="F71" s="75">
        <f t="shared" ref="F71:L71" si="79">F27</f>
        <v>111.36100000000013</v>
      </c>
      <c r="G71" s="75">
        <f t="shared" si="79"/>
        <v>8.6110000000000255</v>
      </c>
      <c r="H71" s="75">
        <f t="shared" si="79"/>
        <v>0.84599999999999653</v>
      </c>
      <c r="I71" s="75">
        <f t="shared" si="79"/>
        <v>-1097.0149999999999</v>
      </c>
      <c r="J71" s="75">
        <f t="shared" si="79"/>
        <v>-162.90499999999997</v>
      </c>
      <c r="K71" s="75">
        <f t="shared" si="79"/>
        <v>-142.40100000000001</v>
      </c>
      <c r="L71" s="75">
        <f t="shared" si="79"/>
        <v>-112.15199999999999</v>
      </c>
      <c r="S71" s="75">
        <f t="shared" ref="S71:S76" si="80">SUM(C71:F71)</f>
        <v>111.36100000000013</v>
      </c>
      <c r="T71" s="75">
        <f t="shared" ref="T71:T76" si="81">SUM(G71:J71)</f>
        <v>-1250.4629999999997</v>
      </c>
    </row>
    <row r="72" spans="2:82" s="2" customFormat="1" ht="15">
      <c r="B72" s="2" t="s">
        <v>67</v>
      </c>
      <c r="F72" s="76">
        <v>73.090999999999994</v>
      </c>
      <c r="G72" s="76">
        <v>97.177000000000007</v>
      </c>
      <c r="H72" s="76">
        <v>62.454999999999998</v>
      </c>
      <c r="I72" s="76">
        <v>51.162999999999997</v>
      </c>
      <c r="J72" s="76">
        <v>39.886000000000003</v>
      </c>
      <c r="K72" s="76">
        <v>97.308000000000007</v>
      </c>
      <c r="L72" s="76">
        <v>60.893000000000001</v>
      </c>
      <c r="M72" s="34"/>
      <c r="N72" s="34"/>
      <c r="S72" s="76">
        <f t="shared" si="80"/>
        <v>73.090999999999994</v>
      </c>
      <c r="T72" s="76">
        <f t="shared" si="81"/>
        <v>250.68100000000001</v>
      </c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</row>
    <row r="73" spans="2:82">
      <c r="B73" s="1" t="s">
        <v>68</v>
      </c>
      <c r="F73" s="75">
        <v>-2.266</v>
      </c>
      <c r="G73" s="75">
        <v>-2.5950000000000002</v>
      </c>
      <c r="H73" s="75">
        <v>-1.8520000000000001</v>
      </c>
      <c r="I73" s="75">
        <v>-2.1160000000000001</v>
      </c>
      <c r="J73" s="75">
        <v>-1.4339999999999999</v>
      </c>
      <c r="K73" s="75">
        <v>-8.6999999999999993</v>
      </c>
      <c r="L73" s="75">
        <v>-7.6829999999999998</v>
      </c>
      <c r="S73" s="75">
        <f t="shared" si="80"/>
        <v>-2.266</v>
      </c>
      <c r="T73" s="75">
        <f t="shared" si="81"/>
        <v>-7.9970000000000008</v>
      </c>
    </row>
    <row r="74" spans="2:82" s="2" customFormat="1" ht="15">
      <c r="B74" s="2" t="s">
        <v>69</v>
      </c>
      <c r="F74" s="76">
        <f t="shared" ref="F74:I74" si="82">F72+F73</f>
        <v>70.824999999999989</v>
      </c>
      <c r="G74" s="76">
        <f t="shared" si="82"/>
        <v>94.582000000000008</v>
      </c>
      <c r="H74" s="76">
        <f t="shared" si="82"/>
        <v>60.603000000000002</v>
      </c>
      <c r="I74" s="76">
        <f t="shared" si="82"/>
        <v>49.046999999999997</v>
      </c>
      <c r="J74" s="76">
        <f>J72+J73</f>
        <v>38.452000000000005</v>
      </c>
      <c r="K74" s="76">
        <f>K72+K73</f>
        <v>88.608000000000004</v>
      </c>
      <c r="L74" s="76">
        <f>L72+L73</f>
        <v>53.21</v>
      </c>
      <c r="M74" s="34"/>
      <c r="N74" s="34"/>
      <c r="S74" s="76">
        <f t="shared" si="80"/>
        <v>70.824999999999989</v>
      </c>
      <c r="T74" s="76">
        <f t="shared" si="81"/>
        <v>242.684</v>
      </c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</row>
    <row r="75" spans="2:82">
      <c r="B75" s="1" t="s">
        <v>70</v>
      </c>
      <c r="F75" s="75">
        <f>F28</f>
        <v>195.61199999999999</v>
      </c>
      <c r="G75" s="75">
        <f t="shared" ref="G75:L75" si="83">G28</f>
        <v>214.88300000000001</v>
      </c>
      <c r="H75" s="75">
        <f t="shared" si="83"/>
        <v>215.06200000000001</v>
      </c>
      <c r="I75" s="75">
        <f t="shared" si="83"/>
        <v>403.21199999999999</v>
      </c>
      <c r="J75" s="75">
        <f t="shared" si="83"/>
        <v>337.04399999999998</v>
      </c>
      <c r="K75" s="75">
        <f t="shared" si="83"/>
        <v>523.48500000000001</v>
      </c>
      <c r="L75" s="75">
        <f t="shared" si="83"/>
        <v>527.46</v>
      </c>
      <c r="S75" s="75">
        <f>S28</f>
        <v>193.94049999999999</v>
      </c>
      <c r="T75" s="75">
        <f>T28</f>
        <v>292.55025000000001</v>
      </c>
    </row>
    <row r="76" spans="2:82">
      <c r="B76" s="1" t="s">
        <v>71</v>
      </c>
      <c r="F76" s="39">
        <f t="shared" ref="F76:I76" si="84">F74/F75</f>
        <v>0.36206878923583413</v>
      </c>
      <c r="G76" s="39">
        <f t="shared" si="84"/>
        <v>0.44015580571753005</v>
      </c>
      <c r="H76" s="39">
        <f t="shared" si="84"/>
        <v>0.28179315732207455</v>
      </c>
      <c r="I76" s="39">
        <f t="shared" si="84"/>
        <v>0.12164072497842325</v>
      </c>
      <c r="J76" s="39">
        <f>J74/J75</f>
        <v>0.11408599470692256</v>
      </c>
      <c r="K76" s="39">
        <f>K74/K75</f>
        <v>0.16926559500272215</v>
      </c>
      <c r="L76" s="39">
        <f>L74/L75</f>
        <v>0.10087968755924619</v>
      </c>
      <c r="S76" s="75">
        <f t="shared" si="80"/>
        <v>0.36206878923583413</v>
      </c>
      <c r="T76" s="75">
        <f t="shared" si="81"/>
        <v>0.95767568272495041</v>
      </c>
    </row>
    <row r="78" spans="2:82">
      <c r="B78" s="1" t="s">
        <v>134</v>
      </c>
      <c r="C78" s="74"/>
      <c r="D78" s="74"/>
      <c r="E78" s="74"/>
      <c r="F78" s="74">
        <f t="shared" ref="F78:L78" si="85">F72/F15</f>
        <v>0.3368652465272336</v>
      </c>
      <c r="G78" s="74">
        <f t="shared" si="85"/>
        <v>0.42584323331828799</v>
      </c>
      <c r="H78" s="74">
        <f t="shared" si="85"/>
        <v>0.25018025957378626</v>
      </c>
      <c r="I78" s="74">
        <f t="shared" si="85"/>
        <v>0.18660845524541073</v>
      </c>
      <c r="J78" s="74">
        <f t="shared" si="85"/>
        <v>0.13130069524913091</v>
      </c>
      <c r="K78" s="74">
        <f t="shared" si="85"/>
        <v>0.29183148941785458</v>
      </c>
      <c r="L78" s="74">
        <f t="shared" si="85"/>
        <v>0.16453876562825098</v>
      </c>
      <c r="S78" s="74">
        <f t="shared" ref="S78:T78" si="86">S72/S15</f>
        <v>9.7583346573014262E-2</v>
      </c>
      <c r="T78" s="74">
        <f t="shared" si="86"/>
        <v>0.23743497747653886</v>
      </c>
    </row>
    <row r="79" spans="2:82">
      <c r="B79" s="1" t="s">
        <v>135</v>
      </c>
      <c r="C79" s="74"/>
      <c r="D79" s="74"/>
      <c r="E79" s="74"/>
      <c r="F79" s="74">
        <f t="shared" ref="F79:L79" si="87">F74/F15</f>
        <v>0.32642159890125072</v>
      </c>
      <c r="G79" s="74">
        <f t="shared" si="87"/>
        <v>0.41447157963005976</v>
      </c>
      <c r="H79" s="74">
        <f t="shared" si="87"/>
        <v>0.2427615766704054</v>
      </c>
      <c r="I79" s="74">
        <f t="shared" si="87"/>
        <v>0.17889070039719446</v>
      </c>
      <c r="J79" s="74">
        <f t="shared" si="87"/>
        <v>0.12658011166122404</v>
      </c>
      <c r="K79" s="74">
        <f t="shared" si="87"/>
        <v>0.26573976049592285</v>
      </c>
      <c r="L79" s="74">
        <f t="shared" si="87"/>
        <v>0.14377855778298382</v>
      </c>
      <c r="S79" s="74">
        <f t="shared" ref="S79:T79" si="88">S74/S15</f>
        <v>9.4558023847446812E-2</v>
      </c>
      <c r="T79" s="74">
        <f t="shared" si="88"/>
        <v>0.22986054018420365</v>
      </c>
    </row>
    <row r="80" spans="2:82">
      <c r="B80" s="1" t="s">
        <v>136</v>
      </c>
      <c r="C80" s="74"/>
      <c r="D80" s="74"/>
      <c r="E80" s="74"/>
      <c r="F80" s="74">
        <f t="shared" ref="F80:L80" si="89">F73/F15</f>
        <v>-1.0443647625982834E-2</v>
      </c>
      <c r="G80" s="74">
        <f t="shared" si="89"/>
        <v>-1.1371653688228256E-2</v>
      </c>
      <c r="H80" s="74">
        <f t="shared" si="89"/>
        <v>-7.4186829033808695E-3</v>
      </c>
      <c r="I80" s="74">
        <f t="shared" si="89"/>
        <v>-7.7177548482162727E-3</v>
      </c>
      <c r="J80" s="74">
        <f t="shared" si="89"/>
        <v>-4.7205835879068772E-3</v>
      </c>
      <c r="K80" s="74">
        <f t="shared" si="89"/>
        <v>-2.6091728921931748E-2</v>
      </c>
      <c r="L80" s="74">
        <f t="shared" si="89"/>
        <v>-2.0760207845267144E-2</v>
      </c>
      <c r="S80" s="74">
        <f t="shared" ref="S80:T80" si="90">S73/S15</f>
        <v>-3.0253227255674481E-3</v>
      </c>
      <c r="T80" s="74">
        <f t="shared" si="90"/>
        <v>-7.5744372923352045E-3</v>
      </c>
    </row>
  </sheetData>
  <mergeCells count="1">
    <mergeCell ref="AM51:AN51"/>
  </mergeCells>
  <conditionalFormatting sqref="AM5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Sell",AM51)))</formula>
    </cfRule>
    <cfRule type="containsText" dxfId="3" priority="3" operator="containsText" text="Sell">
      <formula>NOT(ISERROR(SEARCH("Sell",AM51)))</formula>
    </cfRule>
    <cfRule type="containsText" dxfId="2" priority="4" operator="containsText" text="Hold">
      <formula>NOT(ISERROR(SEARCH("Hold",AM51)))</formula>
    </cfRule>
    <cfRule type="beginsWith" dxfId="1" priority="5" operator="beginsWith" text="Buy">
      <formula>LEFT(AM51,LEN("Buy"))="Buy"</formula>
    </cfRule>
    <cfRule type="beginsWith" dxfId="0" priority="6" operator="beginsWith" text="Strong">
      <formula>LEFT(AM51,LEN("Strong"))="Strong"</formula>
    </cfRule>
  </conditionalFormatting>
  <pageMargins left="0.7" right="0.7" top="0.75" bottom="0.75" header="0.3" footer="0.3"/>
  <ignoredErrors>
    <ignoredError sqref="I7:K7 L8:L13" evalError="1"/>
    <ignoredError sqref="J26 R28" formula="1"/>
    <ignoredError sqref="F64:L69 R6:T6 S72:T74" formulaRange="1"/>
    <ignoredError sqref="S75:T75 S28:T28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L1557"/>
  <sheetViews>
    <sheetView topLeftCell="P1" zoomScale="55" zoomScaleNormal="55" workbookViewId="0">
      <selection activeCell="BD169" sqref="BD169"/>
    </sheetView>
  </sheetViews>
  <sheetFormatPr defaultColWidth="9.140625" defaultRowHeight="14.25"/>
  <cols>
    <col min="1" max="7" width="0" style="1" hidden="1" customWidth="1"/>
    <col min="8" max="8" width="3.140625" style="1" hidden="1" customWidth="1"/>
    <col min="9" max="15" width="0" style="1" hidden="1" customWidth="1"/>
    <col min="16" max="16" width="3.140625" style="1" customWidth="1"/>
    <col min="17" max="39" width="9.140625" style="1"/>
    <col min="40" max="40" width="2.85546875" style="1" customWidth="1"/>
    <col min="41" max="16384" width="9.140625" style="1"/>
  </cols>
  <sheetData>
    <row r="1" spans="16:90">
      <c r="CL1" s="1">
        <v>0</v>
      </c>
    </row>
    <row r="2" spans="16:90" ht="15">
      <c r="P2" s="2" t="s">
        <v>91</v>
      </c>
      <c r="AO2" s="2" t="s">
        <v>453</v>
      </c>
    </row>
    <row r="32" spans="17:18">
      <c r="Q32" s="1" t="s">
        <v>15</v>
      </c>
      <c r="R32" s="1" t="s">
        <v>16</v>
      </c>
    </row>
    <row r="33" spans="16:41">
      <c r="R33" s="1" t="s">
        <v>17</v>
      </c>
    </row>
    <row r="34" spans="16:41">
      <c r="R34" s="1" t="s">
        <v>18</v>
      </c>
    </row>
    <row r="35" spans="16:41" ht="15">
      <c r="AO35" s="2" t="s">
        <v>454</v>
      </c>
    </row>
    <row r="36" spans="16:41" ht="15">
      <c r="P36" s="2" t="s">
        <v>455</v>
      </c>
      <c r="AO36" s="2" t="s">
        <v>72</v>
      </c>
    </row>
    <row r="65" spans="16:41">
      <c r="Q65" s="1" t="s">
        <v>15</v>
      </c>
      <c r="R65" s="1" t="s">
        <v>16</v>
      </c>
    </row>
    <row r="66" spans="16:41">
      <c r="R66" s="1" t="s">
        <v>17</v>
      </c>
    </row>
    <row r="67" spans="16:41">
      <c r="R67" s="1" t="s">
        <v>18</v>
      </c>
    </row>
    <row r="69" spans="16:41" ht="15">
      <c r="P69" s="2" t="s">
        <v>14</v>
      </c>
      <c r="AO69" s="2" t="s">
        <v>73</v>
      </c>
    </row>
    <row r="101" spans="16:41">
      <c r="Q101" s="1" t="s">
        <v>15</v>
      </c>
      <c r="R101" s="1" t="s">
        <v>16</v>
      </c>
    </row>
    <row r="102" spans="16:41">
      <c r="R102" s="1" t="s">
        <v>17</v>
      </c>
    </row>
    <row r="103" spans="16:41">
      <c r="R103" s="1" t="s">
        <v>18</v>
      </c>
    </row>
    <row r="105" spans="16:41" ht="15">
      <c r="P105" s="2" t="s">
        <v>94</v>
      </c>
      <c r="AO105" s="2" t="s">
        <v>74</v>
      </c>
    </row>
    <row r="134" spans="16:41">
      <c r="Q134" s="1" t="s">
        <v>15</v>
      </c>
      <c r="R134" s="1" t="s">
        <v>16</v>
      </c>
    </row>
    <row r="135" spans="16:41">
      <c r="R135" s="1" t="s">
        <v>17</v>
      </c>
    </row>
    <row r="136" spans="16:41">
      <c r="R136" s="1" t="s">
        <v>18</v>
      </c>
    </row>
    <row r="138" spans="16:41" ht="15">
      <c r="P138" s="2" t="s">
        <v>93</v>
      </c>
      <c r="AO138" s="2" t="s">
        <v>75</v>
      </c>
    </row>
    <row r="154" ht="15" customHeight="1"/>
    <row r="167" spans="17:18">
      <c r="Q167" s="1" t="s">
        <v>15</v>
      </c>
      <c r="R167" s="1" t="s">
        <v>16</v>
      </c>
    </row>
    <row r="168" spans="17:18">
      <c r="R168" s="1" t="s">
        <v>17</v>
      </c>
    </row>
    <row r="169" spans="17:18">
      <c r="R169" s="1" t="s">
        <v>18</v>
      </c>
    </row>
    <row r="184" spans="1:15">
      <c r="A184" s="1" t="s">
        <v>112</v>
      </c>
      <c r="I184" s="1" t="s">
        <v>451</v>
      </c>
    </row>
    <row r="185" spans="1:15">
      <c r="A185" s="1" t="s">
        <v>450</v>
      </c>
      <c r="I185" s="1" t="s">
        <v>450</v>
      </c>
    </row>
    <row r="186" spans="1:15">
      <c r="A186" s="24" t="s">
        <v>19</v>
      </c>
      <c r="B186" s="24" t="s">
        <v>20</v>
      </c>
      <c r="C186" s="24" t="s">
        <v>21</v>
      </c>
      <c r="D186" s="24" t="s">
        <v>22</v>
      </c>
      <c r="E186" s="24" t="s">
        <v>23</v>
      </c>
      <c r="F186" s="24" t="s">
        <v>24</v>
      </c>
      <c r="G186" s="24" t="s">
        <v>25</v>
      </c>
      <c r="I186" s="24" t="s">
        <v>19</v>
      </c>
      <c r="J186" s="24" t="s">
        <v>20</v>
      </c>
      <c r="K186" s="24" t="s">
        <v>21</v>
      </c>
      <c r="L186" s="24" t="s">
        <v>22</v>
      </c>
      <c r="M186" s="24" t="s">
        <v>23</v>
      </c>
      <c r="N186" s="24" t="s">
        <v>24</v>
      </c>
      <c r="O186" s="24" t="s">
        <v>25</v>
      </c>
    </row>
    <row r="187" spans="1:15">
      <c r="A187" s="87">
        <v>702.3</v>
      </c>
      <c r="B187" s="87">
        <v>705.66</v>
      </c>
      <c r="C187" s="87">
        <v>699.68</v>
      </c>
      <c r="D187" s="87">
        <v>704.41</v>
      </c>
      <c r="E187" s="88">
        <v>6041430.3376449998</v>
      </c>
      <c r="F187" s="86" t="s">
        <v>198</v>
      </c>
      <c r="G187" s="25">
        <f>A187/D187-1</f>
        <v>-2.9954146022912465E-3</v>
      </c>
      <c r="I187" s="87">
        <v>24.1</v>
      </c>
      <c r="J187" s="87">
        <v>24.38</v>
      </c>
      <c r="K187" s="87">
        <v>22.95</v>
      </c>
      <c r="L187" s="87">
        <v>23.18</v>
      </c>
      <c r="M187" s="88">
        <v>14463543.869909</v>
      </c>
      <c r="N187" s="86" t="s">
        <v>198</v>
      </c>
      <c r="O187" s="25">
        <f>I187/L187-1</f>
        <v>3.9689387402933596E-2</v>
      </c>
    </row>
    <row r="188" spans="1:15">
      <c r="A188" s="87">
        <v>710.72</v>
      </c>
      <c r="B188" s="87">
        <v>711.83</v>
      </c>
      <c r="C188" s="87">
        <v>706.33</v>
      </c>
      <c r="D188" s="87">
        <v>708.84</v>
      </c>
      <c r="E188" s="88">
        <v>6210315.5918140002</v>
      </c>
      <c r="F188" s="86" t="s">
        <v>199</v>
      </c>
      <c r="G188" s="25">
        <f t="shared" ref="G188:G251" si="0">A188/D188-1</f>
        <v>2.6522205293155743E-3</v>
      </c>
      <c r="I188" s="87">
        <v>22.98</v>
      </c>
      <c r="J188" s="87">
        <v>23.49</v>
      </c>
      <c r="K188" s="87">
        <v>22.49</v>
      </c>
      <c r="L188" s="87">
        <v>22.785</v>
      </c>
      <c r="M188" s="88">
        <v>7603418.1508419998</v>
      </c>
      <c r="N188" s="86" t="s">
        <v>199</v>
      </c>
      <c r="O188" s="25">
        <f t="shared" ref="O188:O251" si="1">I188/L188-1</f>
        <v>8.5582620144832866E-3</v>
      </c>
    </row>
    <row r="189" spans="1:15">
      <c r="A189" s="87">
        <v>706.8</v>
      </c>
      <c r="B189" s="87">
        <v>709.81</v>
      </c>
      <c r="C189" s="87">
        <v>702.49</v>
      </c>
      <c r="D189" s="87">
        <v>704.01</v>
      </c>
      <c r="E189" s="88">
        <v>5798006.4659799999</v>
      </c>
      <c r="F189" s="86" t="s">
        <v>200</v>
      </c>
      <c r="G189" s="25">
        <f t="shared" si="0"/>
        <v>3.9630118890356947E-3</v>
      </c>
      <c r="I189" s="87">
        <v>22.71</v>
      </c>
      <c r="J189" s="87">
        <v>23.26</v>
      </c>
      <c r="K189" s="87">
        <v>21.56</v>
      </c>
      <c r="L189" s="87">
        <v>21.78</v>
      </c>
      <c r="M189" s="88">
        <v>15122659.601811999</v>
      </c>
      <c r="N189" s="86" t="s">
        <v>200</v>
      </c>
      <c r="O189" s="25">
        <f t="shared" si="1"/>
        <v>4.2699724517906379E-2</v>
      </c>
    </row>
    <row r="190" spans="1:15">
      <c r="A190" s="87">
        <v>704.6</v>
      </c>
      <c r="B190" s="87">
        <v>708.17</v>
      </c>
      <c r="C190" s="87">
        <v>703.98050000000001</v>
      </c>
      <c r="D190" s="87">
        <v>705.27</v>
      </c>
      <c r="E190" s="88">
        <v>5588525.677588</v>
      </c>
      <c r="F190" s="86" t="s">
        <v>201</v>
      </c>
      <c r="G190" s="25">
        <f t="shared" si="0"/>
        <v>-9.499907836714172E-4</v>
      </c>
      <c r="I190" s="87">
        <v>21.54</v>
      </c>
      <c r="J190" s="87">
        <v>21.844999999999999</v>
      </c>
      <c r="K190" s="87">
        <v>21.14</v>
      </c>
      <c r="L190" s="87">
        <v>21.3</v>
      </c>
      <c r="M190" s="88">
        <v>6379348.3010750003</v>
      </c>
      <c r="N190" s="86" t="s">
        <v>201</v>
      </c>
      <c r="O190" s="25">
        <f t="shared" si="1"/>
        <v>1.1267605633802802E-2</v>
      </c>
    </row>
    <row r="191" spans="1:15">
      <c r="A191" s="87">
        <v>701.61</v>
      </c>
      <c r="B191" s="87">
        <v>710.85</v>
      </c>
      <c r="C191" s="87">
        <v>699.19100000000003</v>
      </c>
      <c r="D191" s="87">
        <v>710.75</v>
      </c>
      <c r="E191" s="88">
        <v>6095662.410224</v>
      </c>
      <c r="F191" s="86" t="s">
        <v>202</v>
      </c>
      <c r="G191" s="25">
        <f t="shared" si="0"/>
        <v>-1.2859655293703809E-2</v>
      </c>
      <c r="I191" s="87">
        <v>21.49</v>
      </c>
      <c r="J191" s="87">
        <v>23.53</v>
      </c>
      <c r="K191" s="87">
        <v>21.33</v>
      </c>
      <c r="L191" s="87">
        <v>23.3</v>
      </c>
      <c r="M191" s="88">
        <v>9254550.3037190009</v>
      </c>
      <c r="N191" s="86" t="s">
        <v>202</v>
      </c>
      <c r="O191" s="25">
        <f t="shared" si="1"/>
        <v>-7.7682403433476543E-2</v>
      </c>
    </row>
    <row r="192" spans="1:15">
      <c r="A192" s="87">
        <v>709.43</v>
      </c>
      <c r="B192" s="87">
        <v>710.4</v>
      </c>
      <c r="C192" s="87">
        <v>702.69</v>
      </c>
      <c r="D192" s="87">
        <v>704.33</v>
      </c>
      <c r="E192" s="88">
        <v>6035492.2764090002</v>
      </c>
      <c r="F192" s="86" t="s">
        <v>203</v>
      </c>
      <c r="G192" s="25">
        <f t="shared" si="0"/>
        <v>7.2409239986936935E-3</v>
      </c>
      <c r="I192" s="87">
        <v>22.99</v>
      </c>
      <c r="J192" s="87">
        <v>23.09</v>
      </c>
      <c r="K192" s="87">
        <v>21.25</v>
      </c>
      <c r="L192" s="87">
        <v>21.31</v>
      </c>
      <c r="M192" s="88">
        <v>14702773.719981</v>
      </c>
      <c r="N192" s="86" t="s">
        <v>203</v>
      </c>
      <c r="O192" s="25">
        <f t="shared" si="1"/>
        <v>7.8836227123416203E-2</v>
      </c>
    </row>
    <row r="193" spans="1:21">
      <c r="A193" s="87">
        <v>707.43</v>
      </c>
      <c r="B193" s="87">
        <v>713.62</v>
      </c>
      <c r="C193" s="87">
        <v>704.76</v>
      </c>
      <c r="D193" s="87">
        <v>712.32</v>
      </c>
      <c r="E193" s="88">
        <v>6228217.0692999996</v>
      </c>
      <c r="F193" s="86" t="s">
        <v>204</v>
      </c>
      <c r="G193" s="25">
        <f t="shared" si="0"/>
        <v>-6.8648921832885623E-3</v>
      </c>
      <c r="I193" s="87">
        <v>21.48</v>
      </c>
      <c r="J193" s="87">
        <v>21.94</v>
      </c>
      <c r="K193" s="87">
        <v>21.08</v>
      </c>
      <c r="L193" s="87">
        <v>21.39</v>
      </c>
      <c r="M193" s="88">
        <v>12474997.1898</v>
      </c>
      <c r="N193" s="86" t="s">
        <v>204</v>
      </c>
      <c r="O193" s="25">
        <f t="shared" si="1"/>
        <v>4.2075736325386526E-3</v>
      </c>
    </row>
    <row r="194" spans="1:21">
      <c r="A194" s="87">
        <v>715.2</v>
      </c>
      <c r="B194" s="87">
        <v>715.83500000000004</v>
      </c>
      <c r="C194" s="87">
        <v>713.27</v>
      </c>
      <c r="D194" s="87">
        <v>714.54</v>
      </c>
      <c r="E194" s="88">
        <v>4959098.3596999999</v>
      </c>
      <c r="F194" s="86" t="s">
        <v>205</v>
      </c>
      <c r="G194" s="25">
        <f t="shared" si="0"/>
        <v>9.2367117306246804E-4</v>
      </c>
      <c r="I194" s="87">
        <v>21.76</v>
      </c>
      <c r="J194" s="87">
        <v>23.045000000000002</v>
      </c>
      <c r="K194" s="87">
        <v>21.76</v>
      </c>
      <c r="L194" s="87">
        <v>22.09</v>
      </c>
      <c r="M194" s="88">
        <v>12282745.1525</v>
      </c>
      <c r="N194" s="86" t="s">
        <v>205</v>
      </c>
      <c r="O194" s="25">
        <f t="shared" si="1"/>
        <v>-1.493888637392482E-2</v>
      </c>
    </row>
    <row r="195" spans="1:21">
      <c r="A195" s="87">
        <v>715.13</v>
      </c>
      <c r="B195" s="87">
        <v>716.41499999999996</v>
      </c>
      <c r="C195" s="87">
        <v>714.26</v>
      </c>
      <c r="D195" s="87">
        <v>715.81</v>
      </c>
      <c r="E195" s="88">
        <v>3635491.1856999998</v>
      </c>
      <c r="F195" s="86" t="s">
        <v>206</v>
      </c>
      <c r="G195" s="25">
        <f t="shared" si="0"/>
        <v>-9.4997275813402116E-4</v>
      </c>
      <c r="I195" s="87">
        <v>21.96</v>
      </c>
      <c r="J195" s="87">
        <v>22.286300000000001</v>
      </c>
      <c r="K195" s="87">
        <v>21.385000000000002</v>
      </c>
      <c r="L195" s="87">
        <v>22.23</v>
      </c>
      <c r="M195" s="88">
        <v>9125954.9655000009</v>
      </c>
      <c r="N195" s="86" t="s">
        <v>206</v>
      </c>
      <c r="O195" s="25">
        <f t="shared" si="1"/>
        <v>-1.2145748987854255E-2</v>
      </c>
    </row>
    <row r="196" spans="1:21">
      <c r="A196" s="87">
        <v>715.59</v>
      </c>
      <c r="B196" s="87">
        <v>716.43499999999995</v>
      </c>
      <c r="C196" s="87">
        <v>712.54</v>
      </c>
      <c r="D196" s="87">
        <v>713.54</v>
      </c>
      <c r="E196" s="88">
        <v>4345835.7269000001</v>
      </c>
      <c r="F196" s="86" t="s">
        <v>207</v>
      </c>
      <c r="G196" s="25">
        <f t="shared" si="0"/>
        <v>2.872999411385635E-3</v>
      </c>
      <c r="I196" s="87">
        <v>22.5</v>
      </c>
      <c r="J196" s="87">
        <v>23.19</v>
      </c>
      <c r="K196" s="87">
        <v>22.23</v>
      </c>
      <c r="L196" s="87">
        <v>22.71</v>
      </c>
      <c r="M196" s="88">
        <v>7799882.4189999998</v>
      </c>
      <c r="N196" s="86" t="s">
        <v>207</v>
      </c>
      <c r="O196" s="25">
        <f t="shared" si="1"/>
        <v>-9.2470277410832136E-3</v>
      </c>
    </row>
    <row r="197" spans="1:21">
      <c r="A197" s="87">
        <v>711.28</v>
      </c>
      <c r="B197" s="87">
        <v>714.27</v>
      </c>
      <c r="C197" s="87">
        <v>708.16</v>
      </c>
      <c r="D197" s="87">
        <v>712.25</v>
      </c>
      <c r="E197" s="88">
        <v>4763330.7484999998</v>
      </c>
      <c r="F197" s="86" t="s">
        <v>208</v>
      </c>
      <c r="G197" s="25">
        <f t="shared" si="0"/>
        <v>-1.3618813618814229E-3</v>
      </c>
      <c r="I197" s="87">
        <v>22.63</v>
      </c>
      <c r="J197" s="87">
        <v>22.664999999999999</v>
      </c>
      <c r="K197" s="87">
        <v>21.45</v>
      </c>
      <c r="L197" s="87">
        <v>21.62</v>
      </c>
      <c r="M197" s="88">
        <v>10579588.134500001</v>
      </c>
      <c r="N197" s="86" t="s">
        <v>208</v>
      </c>
      <c r="O197" s="25">
        <f t="shared" si="1"/>
        <v>4.6716003700277398E-2</v>
      </c>
    </row>
    <row r="198" spans="1:21">
      <c r="A198" s="87">
        <v>714.34</v>
      </c>
      <c r="B198" s="87">
        <v>715.05499999999995</v>
      </c>
      <c r="C198" s="87">
        <v>711.06</v>
      </c>
      <c r="D198" s="87">
        <v>713.06</v>
      </c>
      <c r="E198" s="88">
        <v>4675948.0927999998</v>
      </c>
      <c r="F198" s="86" t="s">
        <v>209</v>
      </c>
      <c r="G198" s="25">
        <f t="shared" si="0"/>
        <v>1.7950803578943297E-3</v>
      </c>
      <c r="I198" s="87">
        <v>21.62</v>
      </c>
      <c r="J198" s="87">
        <v>22.292999999999999</v>
      </c>
      <c r="K198" s="87">
        <v>21.24</v>
      </c>
      <c r="L198" s="87">
        <v>22.02</v>
      </c>
      <c r="M198" s="88">
        <v>5704414.6857000003</v>
      </c>
      <c r="N198" s="86" t="s">
        <v>209</v>
      </c>
      <c r="O198" s="25">
        <f t="shared" si="1"/>
        <v>-1.8165304268846438E-2</v>
      </c>
    </row>
    <row r="199" spans="1:21">
      <c r="A199" s="87">
        <v>716.2</v>
      </c>
      <c r="B199" s="87">
        <v>718.47</v>
      </c>
      <c r="C199" s="87">
        <v>715.09</v>
      </c>
      <c r="D199" s="87">
        <v>715.21</v>
      </c>
      <c r="E199" s="88">
        <v>4568431.3262999998</v>
      </c>
      <c r="F199" s="86" t="s">
        <v>210</v>
      </c>
      <c r="G199" s="25">
        <f t="shared" si="0"/>
        <v>1.3842088337692182E-3</v>
      </c>
      <c r="I199" s="87">
        <v>21.93</v>
      </c>
      <c r="J199" s="87">
        <v>22.315000000000001</v>
      </c>
      <c r="K199" s="87">
        <v>21.8</v>
      </c>
      <c r="L199" s="87">
        <v>22.21</v>
      </c>
      <c r="M199" s="88">
        <v>6759920.0537999999</v>
      </c>
      <c r="N199" s="86" t="s">
        <v>210</v>
      </c>
      <c r="O199" s="25">
        <f t="shared" si="1"/>
        <v>-1.2606933813597565E-2</v>
      </c>
    </row>
    <row r="200" spans="1:21">
      <c r="A200" s="87">
        <v>712.32</v>
      </c>
      <c r="B200" s="87">
        <v>713.85829999999999</v>
      </c>
      <c r="C200" s="87">
        <v>707.42</v>
      </c>
      <c r="D200" s="87">
        <v>707.44</v>
      </c>
      <c r="E200" s="88">
        <v>6172916.9342999998</v>
      </c>
      <c r="F200" s="86" t="s">
        <v>211</v>
      </c>
      <c r="G200" s="25">
        <f t="shared" si="0"/>
        <v>6.8981115006219174E-3</v>
      </c>
      <c r="I200" s="87">
        <v>22.01</v>
      </c>
      <c r="J200" s="87">
        <v>22.06</v>
      </c>
      <c r="K200" s="87">
        <v>21.08</v>
      </c>
      <c r="L200" s="87">
        <v>21.25</v>
      </c>
      <c r="M200" s="88">
        <v>7726450.2950999998</v>
      </c>
      <c r="N200" s="86" t="s">
        <v>211</v>
      </c>
      <c r="O200" s="25">
        <f t="shared" si="1"/>
        <v>3.5764705882352921E-2</v>
      </c>
      <c r="Q200" s="26"/>
      <c r="R200" s="26" t="s">
        <v>26</v>
      </c>
      <c r="S200" s="27">
        <f>MIN(O187:O438)</f>
        <v>-0.10444444444444456</v>
      </c>
    </row>
    <row r="201" spans="1:21">
      <c r="A201" s="87">
        <v>707.54</v>
      </c>
      <c r="B201" s="87">
        <v>710.2</v>
      </c>
      <c r="C201" s="87">
        <v>705.12</v>
      </c>
      <c r="D201" s="87">
        <v>708.31</v>
      </c>
      <c r="E201" s="88">
        <v>6612533.0992000001</v>
      </c>
      <c r="F201" s="86" t="s">
        <v>212</v>
      </c>
      <c r="G201" s="25">
        <f t="shared" si="0"/>
        <v>-1.0870946337055987E-3</v>
      </c>
      <c r="I201" s="87">
        <v>21.36</v>
      </c>
      <c r="J201" s="87">
        <v>21.75</v>
      </c>
      <c r="K201" s="87">
        <v>21.01</v>
      </c>
      <c r="L201" s="87">
        <v>21.75</v>
      </c>
      <c r="M201" s="88">
        <v>7927050.9789000005</v>
      </c>
      <c r="N201" s="86" t="s">
        <v>212</v>
      </c>
      <c r="O201" s="25">
        <f t="shared" si="1"/>
        <v>-1.7931034482758679E-2</v>
      </c>
      <c r="Q201" s="26"/>
      <c r="R201" s="26" t="s">
        <v>27</v>
      </c>
      <c r="S201" s="27">
        <f>MAX(O187:O438)</f>
        <v>0.11181434599156126</v>
      </c>
    </row>
    <row r="202" spans="1:21">
      <c r="A202" s="87">
        <v>702.35</v>
      </c>
      <c r="B202" s="87">
        <v>703.72500000000002</v>
      </c>
      <c r="C202" s="87">
        <v>697.47</v>
      </c>
      <c r="D202" s="87">
        <v>702.55499999999995</v>
      </c>
      <c r="E202" s="88">
        <v>8433749.3027999997</v>
      </c>
      <c r="F202" s="86" t="s">
        <v>213</v>
      </c>
      <c r="G202" s="25">
        <f t="shared" si="0"/>
        <v>-2.9179210168583936E-4</v>
      </c>
      <c r="I202" s="87">
        <v>21.57</v>
      </c>
      <c r="J202" s="87">
        <v>22.03</v>
      </c>
      <c r="K202" s="87">
        <v>20.92</v>
      </c>
      <c r="L202" s="87">
        <v>21.7</v>
      </c>
      <c r="M202" s="88">
        <v>10993744.760500001</v>
      </c>
      <c r="N202" s="86" t="s">
        <v>213</v>
      </c>
      <c r="O202" s="25">
        <f t="shared" si="1"/>
        <v>-5.9907834101382562E-3</v>
      </c>
      <c r="Q202" s="26"/>
      <c r="R202" s="26" t="s">
        <v>28</v>
      </c>
      <c r="S202" s="27">
        <f>AVERAGE(O187:O438)</f>
        <v>-2.6135136547729838E-4</v>
      </c>
    </row>
    <row r="203" spans="1:21">
      <c r="A203" s="87">
        <v>700.86</v>
      </c>
      <c r="B203" s="87">
        <v>707.2</v>
      </c>
      <c r="C203" s="87">
        <v>700.56</v>
      </c>
      <c r="D203" s="87">
        <v>704.58</v>
      </c>
      <c r="E203" s="88">
        <v>9876125.1484999992</v>
      </c>
      <c r="F203" s="86" t="s">
        <v>214</v>
      </c>
      <c r="G203" s="25">
        <f t="shared" si="0"/>
        <v>-5.2797411223708401E-3</v>
      </c>
      <c r="I203" s="87">
        <v>21.02</v>
      </c>
      <c r="J203" s="87">
        <v>21.55</v>
      </c>
      <c r="K203" s="87">
        <v>20.67</v>
      </c>
      <c r="L203" s="87">
        <v>20.78</v>
      </c>
      <c r="M203" s="88">
        <v>10538586.860099999</v>
      </c>
      <c r="N203" s="86" t="s">
        <v>214</v>
      </c>
      <c r="O203" s="25">
        <f t="shared" si="1"/>
        <v>1.1549566891241536E-2</v>
      </c>
      <c r="Q203" s="26"/>
      <c r="R203" s="26" t="s">
        <v>29</v>
      </c>
      <c r="S203" s="27">
        <f>MEDIAN(O187:O438)</f>
        <v>-3.7219656992084627E-3</v>
      </c>
    </row>
    <row r="204" spans="1:21" ht="15">
      <c r="A204" s="87">
        <v>702.46</v>
      </c>
      <c r="B204" s="87">
        <v>705</v>
      </c>
      <c r="C204" s="87">
        <v>700.74</v>
      </c>
      <c r="D204" s="87">
        <v>704.82</v>
      </c>
      <c r="E204" s="88">
        <v>7643258.5592</v>
      </c>
      <c r="F204" s="86" t="s">
        <v>215</v>
      </c>
      <c r="G204" s="25">
        <f t="shared" si="0"/>
        <v>-3.3483726341477782E-3</v>
      </c>
      <c r="I204" s="87">
        <v>20.72</v>
      </c>
      <c r="J204" s="87">
        <v>20.815000000000001</v>
      </c>
      <c r="K204" s="87">
        <v>19.86</v>
      </c>
      <c r="L204" s="87">
        <v>20.23</v>
      </c>
      <c r="M204" s="88">
        <v>11148728.9362</v>
      </c>
      <c r="N204" s="86" t="s">
        <v>215</v>
      </c>
      <c r="O204" s="25">
        <f t="shared" si="1"/>
        <v>2.4221453287197159E-2</v>
      </c>
      <c r="Q204" s="26"/>
      <c r="R204" s="26" t="s">
        <v>30</v>
      </c>
      <c r="S204" s="27">
        <f>_xlfn.STDEV.P(O187:O438)</f>
        <v>4.1772026256655798E-2</v>
      </c>
      <c r="U204" s="2"/>
    </row>
    <row r="205" spans="1:21" ht="15">
      <c r="A205" s="87">
        <v>703.61</v>
      </c>
      <c r="B205" s="87">
        <v>707.33</v>
      </c>
      <c r="C205" s="87">
        <v>701.97</v>
      </c>
      <c r="D205" s="87">
        <v>706.29</v>
      </c>
      <c r="E205" s="88">
        <v>8539385.1866999995</v>
      </c>
      <c r="F205" s="86" t="s">
        <v>216</v>
      </c>
      <c r="G205" s="25">
        <f t="shared" si="0"/>
        <v>-3.7944753571478307E-3</v>
      </c>
      <c r="I205" s="87">
        <v>20.25</v>
      </c>
      <c r="J205" s="87">
        <v>20.537600000000001</v>
      </c>
      <c r="K205" s="87">
        <v>19.579999999999998</v>
      </c>
      <c r="L205" s="87">
        <v>20.3</v>
      </c>
      <c r="M205" s="88">
        <v>10201878.810900001</v>
      </c>
      <c r="N205" s="86" t="s">
        <v>216</v>
      </c>
      <c r="O205" s="25">
        <f t="shared" si="1"/>
        <v>-2.4630541871921707E-3</v>
      </c>
      <c r="Q205" s="26"/>
      <c r="R205" s="28" t="s">
        <v>31</v>
      </c>
      <c r="S205" s="27">
        <f>3*S204</f>
        <v>0.12531607876996739</v>
      </c>
      <c r="T205" s="26"/>
      <c r="U205" s="2" t="s">
        <v>85</v>
      </c>
    </row>
    <row r="206" spans="1:21" ht="15">
      <c r="A206" s="87">
        <v>708.96740002961099</v>
      </c>
      <c r="B206" s="87">
        <v>709.82020764793049</v>
      </c>
      <c r="C206" s="87">
        <v>704.36423376230744</v>
      </c>
      <c r="D206" s="87">
        <v>706.6234258739961</v>
      </c>
      <c r="E206" s="88">
        <v>5482247.9407130741</v>
      </c>
      <c r="F206" s="86" t="s">
        <v>217</v>
      </c>
      <c r="G206" s="25">
        <f t="shared" si="0"/>
        <v>3.3171475354298874E-3</v>
      </c>
      <c r="I206" s="87">
        <v>20.85</v>
      </c>
      <c r="J206" s="87">
        <v>21.65</v>
      </c>
      <c r="K206" s="87">
        <v>20.8</v>
      </c>
      <c r="L206" s="87">
        <v>21.25</v>
      </c>
      <c r="M206" s="88">
        <v>10433071.1577</v>
      </c>
      <c r="N206" s="86" t="s">
        <v>217</v>
      </c>
      <c r="O206" s="25">
        <f t="shared" si="1"/>
        <v>-1.8823529411764683E-2</v>
      </c>
      <c r="Q206" s="26"/>
      <c r="R206" s="28" t="s">
        <v>32</v>
      </c>
      <c r="S206" s="54">
        <f>_xlfn.COVARIANCE.P(O187:O435,G187:G435)/_xlfn.VAR.P(G187:G435)</f>
        <v>1.6046879551133124</v>
      </c>
      <c r="T206" s="26"/>
      <c r="U206" s="2" t="s">
        <v>33</v>
      </c>
    </row>
    <row r="207" spans="1:21">
      <c r="A207" s="87">
        <v>705.17714394819097</v>
      </c>
      <c r="B207" s="87">
        <v>706.7680540665765</v>
      </c>
      <c r="C207" s="87">
        <v>701.54548016070419</v>
      </c>
      <c r="D207" s="87">
        <v>702.26463138036308</v>
      </c>
      <c r="E207" s="88">
        <v>9443877.9588237461</v>
      </c>
      <c r="F207" s="86" t="s">
        <v>218</v>
      </c>
      <c r="G207" s="25">
        <f t="shared" si="0"/>
        <v>4.1473148976662877E-3</v>
      </c>
      <c r="I207" s="87">
        <v>21.34</v>
      </c>
      <c r="J207" s="87">
        <v>22</v>
      </c>
      <c r="K207" s="87">
        <v>21.12</v>
      </c>
      <c r="L207" s="87">
        <v>21.62</v>
      </c>
      <c r="M207" s="88">
        <v>10739081.0112</v>
      </c>
      <c r="N207" s="86" t="s">
        <v>218</v>
      </c>
      <c r="O207" s="25">
        <f t="shared" si="1"/>
        <v>-1.2950971322849281E-2</v>
      </c>
    </row>
    <row r="208" spans="1:21">
      <c r="A208" s="87">
        <v>705.78557979284005</v>
      </c>
      <c r="B208" s="87">
        <v>710.55332296894198</v>
      </c>
      <c r="C208" s="87">
        <v>704.55215066908102</v>
      </c>
      <c r="D208" s="87">
        <v>710.30895119527145</v>
      </c>
      <c r="E208" s="88">
        <v>13844441.704714816</v>
      </c>
      <c r="F208" s="86" t="s">
        <v>219</v>
      </c>
      <c r="G208" s="25">
        <f t="shared" si="0"/>
        <v>-6.3681745736411388E-3</v>
      </c>
      <c r="I208" s="87">
        <v>21.76</v>
      </c>
      <c r="J208" s="87">
        <v>22.48</v>
      </c>
      <c r="K208" s="87">
        <v>21.67</v>
      </c>
      <c r="L208" s="87">
        <v>21.77</v>
      </c>
      <c r="M208" s="88">
        <v>8946501.5215000007</v>
      </c>
      <c r="N208" s="86" t="s">
        <v>219</v>
      </c>
      <c r="O208" s="25">
        <f t="shared" si="1"/>
        <v>-4.5934772622868714E-4</v>
      </c>
      <c r="Q208" s="29" t="s">
        <v>34</v>
      </c>
      <c r="R208" s="30">
        <v>252</v>
      </c>
    </row>
    <row r="209" spans="1:25" ht="15" thickBot="1">
      <c r="A209" s="87">
        <v>710.95229729330197</v>
      </c>
      <c r="B209" s="87">
        <v>712.46839972586997</v>
      </c>
      <c r="C209" s="87">
        <v>710.154348644582</v>
      </c>
      <c r="D209" s="87">
        <v>711.45101519875197</v>
      </c>
      <c r="E209" s="88">
        <v>20783008.039680563</v>
      </c>
      <c r="F209" s="86" t="s">
        <v>220</v>
      </c>
      <c r="G209" s="25">
        <f t="shared" si="0"/>
        <v>-7.0098698968146245E-4</v>
      </c>
      <c r="I209" s="87">
        <v>21.8</v>
      </c>
      <c r="J209" s="87">
        <v>23.19</v>
      </c>
      <c r="K209" s="87">
        <v>21.07</v>
      </c>
      <c r="L209" s="87">
        <v>23.17</v>
      </c>
      <c r="M209" s="88">
        <v>18423931.1197</v>
      </c>
      <c r="N209" s="86" t="s">
        <v>220</v>
      </c>
      <c r="O209" s="25">
        <f t="shared" si="1"/>
        <v>-5.9128182995252465E-2</v>
      </c>
      <c r="Q209" s="1" t="s">
        <v>35</v>
      </c>
      <c r="T209" s="1" t="s">
        <v>36</v>
      </c>
      <c r="X209" s="1" t="s">
        <v>37</v>
      </c>
    </row>
    <row r="210" spans="1:25" ht="13.5" customHeight="1">
      <c r="A210" s="87">
        <v>710.95229729330197</v>
      </c>
      <c r="B210" s="87">
        <v>712.24397666841753</v>
      </c>
      <c r="C210" s="87">
        <v>704.14978506296404</v>
      </c>
      <c r="D210" s="87">
        <v>704.37919529947101</v>
      </c>
      <c r="E210" s="88">
        <v>8882600.7463133484</v>
      </c>
      <c r="F210" s="86" t="s">
        <v>221</v>
      </c>
      <c r="G210" s="25">
        <f t="shared" si="0"/>
        <v>9.3317662385477007E-3</v>
      </c>
      <c r="I210" s="87">
        <v>22.33</v>
      </c>
      <c r="J210" s="87">
        <v>22.99</v>
      </c>
      <c r="K210" s="87">
        <v>22.234999999999999</v>
      </c>
      <c r="L210" s="87">
        <v>22.85</v>
      </c>
      <c r="M210" s="88">
        <v>10842730.6438</v>
      </c>
      <c r="N210" s="86" t="s">
        <v>221</v>
      </c>
      <c r="O210" s="25">
        <f t="shared" si="1"/>
        <v>-2.2757111597374369E-2</v>
      </c>
      <c r="Q210" s="91" t="s">
        <v>38</v>
      </c>
      <c r="R210" s="91" t="s">
        <v>39</v>
      </c>
      <c r="T210" s="31" t="s">
        <v>40</v>
      </c>
      <c r="U210" s="32" t="s">
        <v>41</v>
      </c>
      <c r="X210" s="31" t="s">
        <v>42</v>
      </c>
      <c r="Y210" s="32" t="s">
        <v>43</v>
      </c>
    </row>
    <row r="211" spans="1:25" ht="15">
      <c r="A211" s="87">
        <v>699.98050337340192</v>
      </c>
      <c r="B211" s="87">
        <v>700.38945205587106</v>
      </c>
      <c r="C211" s="87">
        <v>696.70891391365001</v>
      </c>
      <c r="D211" s="87">
        <v>699.7810162112221</v>
      </c>
      <c r="E211" s="88">
        <v>9618703.4225722924</v>
      </c>
      <c r="F211" s="86" t="s">
        <v>222</v>
      </c>
      <c r="G211" s="25">
        <f t="shared" si="0"/>
        <v>2.8507084010342965E-4</v>
      </c>
      <c r="I211" s="87">
        <v>22.69</v>
      </c>
      <c r="J211" s="87">
        <v>23.59</v>
      </c>
      <c r="K211" s="87">
        <v>22.5563</v>
      </c>
      <c r="L211" s="87">
        <v>23.504999999999999</v>
      </c>
      <c r="M211" s="88">
        <v>33913581.967100002</v>
      </c>
      <c r="N211" s="86" t="s">
        <v>222</v>
      </c>
      <c r="O211" s="25">
        <f t="shared" si="1"/>
        <v>-3.4673473728993764E-2</v>
      </c>
      <c r="Q211" s="89">
        <v>-0.13000000000000006</v>
      </c>
      <c r="R211">
        <v>0</v>
      </c>
      <c r="T211" s="89">
        <v>-0.13000000000000006</v>
      </c>
      <c r="U211" s="1">
        <f>_xlfn.NORM.DIST(T211,$S$202,$S$204,FALSE)</f>
        <v>7.6793393001075322E-2</v>
      </c>
      <c r="W211" s="1" t="s">
        <v>76</v>
      </c>
      <c r="X211" s="53">
        <f>S202</f>
        <v>-2.6135136547729838E-4</v>
      </c>
      <c r="Y211" s="1">
        <v>0</v>
      </c>
    </row>
    <row r="212" spans="1:25" ht="15">
      <c r="A212" s="87">
        <v>699.23242651522696</v>
      </c>
      <c r="B212" s="87">
        <v>700.08024695449194</v>
      </c>
      <c r="C212" s="87">
        <v>696.81863185284897</v>
      </c>
      <c r="D212" s="87">
        <v>699.80096492744008</v>
      </c>
      <c r="E212" s="88">
        <v>9928828.2189949192</v>
      </c>
      <c r="F212" s="86" t="s">
        <v>223</v>
      </c>
      <c r="G212" s="25">
        <f t="shared" si="0"/>
        <v>-8.1242873432174623E-4</v>
      </c>
      <c r="I212" s="87">
        <v>23.29</v>
      </c>
      <c r="J212" s="87">
        <v>23.625900000000001</v>
      </c>
      <c r="K212" s="87">
        <v>22.75</v>
      </c>
      <c r="L212" s="87">
        <v>23.03</v>
      </c>
      <c r="M212" s="88">
        <v>8378688.0245000003</v>
      </c>
      <c r="N212" s="86" t="s">
        <v>223</v>
      </c>
      <c r="O212" s="25">
        <f t="shared" si="1"/>
        <v>1.1289622231871466E-2</v>
      </c>
      <c r="Q212" s="89">
        <v>-0.12750000000000006</v>
      </c>
      <c r="R212">
        <v>0</v>
      </c>
      <c r="T212" s="89">
        <v>-0.12750000000000006</v>
      </c>
      <c r="U212" s="1">
        <f t="shared" ref="U212:U275" si="2">_xlfn.NORM.DIST(T212,$S$202,$S$204,FALSE)</f>
        <v>9.2315317970576641E-2</v>
      </c>
      <c r="X212" s="53">
        <f>S202</f>
        <v>-2.6135136547729838E-4</v>
      </c>
      <c r="Y212" s="1">
        <v>9.5</v>
      </c>
    </row>
    <row r="213" spans="1:25" ht="15">
      <c r="A213" s="87">
        <v>691.46240154831605</v>
      </c>
      <c r="B213" s="87">
        <v>698.30481121109005</v>
      </c>
      <c r="C213" s="87">
        <v>687.27317114253594</v>
      </c>
      <c r="D213" s="87">
        <v>696.37976009605291</v>
      </c>
      <c r="E213" s="88">
        <v>14204832.559616694</v>
      </c>
      <c r="F213" s="86" t="s">
        <v>224</v>
      </c>
      <c r="G213" s="25">
        <f t="shared" si="0"/>
        <v>-7.0613174441752635E-3</v>
      </c>
      <c r="I213" s="87">
        <v>23.06</v>
      </c>
      <c r="J213" s="87">
        <v>23.7</v>
      </c>
      <c r="K213" s="87">
        <v>22.66</v>
      </c>
      <c r="L213" s="87">
        <v>23.454999999999998</v>
      </c>
      <c r="M213" s="88">
        <v>11326230.2619</v>
      </c>
      <c r="N213" s="86" t="s">
        <v>224</v>
      </c>
      <c r="O213" s="25">
        <f t="shared" si="1"/>
        <v>-1.6840758900021346E-2</v>
      </c>
      <c r="Q213" s="89">
        <v>-0.12500000000000006</v>
      </c>
      <c r="R213">
        <v>0</v>
      </c>
      <c r="T213" s="89">
        <v>-0.12500000000000006</v>
      </c>
      <c r="U213" s="1">
        <f t="shared" si="2"/>
        <v>0.11057783940779047</v>
      </c>
      <c r="W213" s="38" t="s">
        <v>77</v>
      </c>
      <c r="X213" s="53">
        <f>($S$204*-3)+$S$202</f>
        <v>-0.1255774301354447</v>
      </c>
      <c r="Y213" s="1">
        <v>0</v>
      </c>
    </row>
    <row r="214" spans="1:25" ht="15">
      <c r="A214" s="87">
        <v>694.41481154858002</v>
      </c>
      <c r="B214" s="87">
        <v>697.14778567044607</v>
      </c>
      <c r="C214" s="87">
        <v>693.30765779848105</v>
      </c>
      <c r="D214" s="87">
        <v>696.97822158259294</v>
      </c>
      <c r="E214" s="88">
        <v>9682716.0846426357</v>
      </c>
      <c r="F214" s="86" t="s">
        <v>225</v>
      </c>
      <c r="G214" s="25">
        <f t="shared" si="0"/>
        <v>-3.677891151594781E-3</v>
      </c>
      <c r="I214" s="87">
        <v>23.88</v>
      </c>
      <c r="J214" s="87">
        <v>24.785</v>
      </c>
      <c r="K214" s="87">
        <v>23.48</v>
      </c>
      <c r="L214" s="87">
        <v>23.54</v>
      </c>
      <c r="M214" s="88">
        <v>8486956.5438999999</v>
      </c>
      <c r="N214" s="86" t="s">
        <v>225</v>
      </c>
      <c r="O214" s="25">
        <f t="shared" si="1"/>
        <v>1.4443500424808908E-2</v>
      </c>
      <c r="Q214" s="89">
        <v>-0.12250000000000007</v>
      </c>
      <c r="R214">
        <v>0</v>
      </c>
      <c r="T214" s="89">
        <v>-0.12250000000000007</v>
      </c>
      <c r="U214" s="1">
        <f t="shared" si="2"/>
        <v>0.13197961186013502</v>
      </c>
      <c r="W214" s="39"/>
      <c r="X214" s="53">
        <f>($S$204*-3)+$S$202</f>
        <v>-0.1255774301354447</v>
      </c>
      <c r="Y214" s="1">
        <v>0.1</v>
      </c>
    </row>
    <row r="215" spans="1:25" ht="15">
      <c r="A215" s="87">
        <v>697.50686256236997</v>
      </c>
      <c r="B215" s="87">
        <v>700.05032388016502</v>
      </c>
      <c r="C215" s="87">
        <v>694.93347817024801</v>
      </c>
      <c r="D215" s="87">
        <v>695.99076012980197</v>
      </c>
      <c r="E215" s="88">
        <v>6793476.3852982894</v>
      </c>
      <c r="F215" s="86" t="s">
        <v>226</v>
      </c>
      <c r="G215" s="25">
        <f t="shared" si="0"/>
        <v>2.1783370116654766E-3</v>
      </c>
      <c r="I215" s="87">
        <v>23.91</v>
      </c>
      <c r="J215" s="87">
        <v>24.28</v>
      </c>
      <c r="K215" s="87">
        <v>23.15</v>
      </c>
      <c r="L215" s="87">
        <v>24</v>
      </c>
      <c r="M215" s="88">
        <v>14279760.2026</v>
      </c>
      <c r="N215" s="86" t="s">
        <v>226</v>
      </c>
      <c r="O215" s="25">
        <f t="shared" si="1"/>
        <v>-3.7500000000000311E-3</v>
      </c>
      <c r="Q215" s="89">
        <v>-0.12000000000000006</v>
      </c>
      <c r="R215">
        <v>0</v>
      </c>
      <c r="T215" s="89">
        <v>-0.12000000000000006</v>
      </c>
      <c r="U215" s="1">
        <f t="shared" si="2"/>
        <v>0.15696036879475861</v>
      </c>
      <c r="W215" s="38" t="s">
        <v>78</v>
      </c>
      <c r="X215" s="53">
        <f>($S$204*-2)+$S$202</f>
        <v>-8.3805403878788889E-2</v>
      </c>
      <c r="Y215" s="1">
        <v>0</v>
      </c>
    </row>
    <row r="216" spans="1:25" ht="15">
      <c r="A216" s="87">
        <v>700.7585033059039</v>
      </c>
      <c r="B216" s="87">
        <v>702.68894057431987</v>
      </c>
      <c r="C216" s="87">
        <v>700.13011874503695</v>
      </c>
      <c r="D216" s="87">
        <v>701.19737506269996</v>
      </c>
      <c r="E216" s="88">
        <v>5812878.2292951858</v>
      </c>
      <c r="F216" s="86" t="s">
        <v>227</v>
      </c>
      <c r="G216" s="25">
        <f t="shared" si="0"/>
        <v>-6.2588904694171887E-4</v>
      </c>
      <c r="I216" s="87">
        <v>23.2</v>
      </c>
      <c r="J216" s="87">
        <v>23.36</v>
      </c>
      <c r="K216" s="87">
        <v>21.8</v>
      </c>
      <c r="L216" s="87">
        <v>21.9</v>
      </c>
      <c r="M216" s="88">
        <v>13544510.632200001</v>
      </c>
      <c r="N216" s="86" t="s">
        <v>227</v>
      </c>
      <c r="O216" s="25">
        <f t="shared" si="1"/>
        <v>5.9360730593607247E-2</v>
      </c>
      <c r="Q216" s="89">
        <v>-0.11750000000000006</v>
      </c>
      <c r="R216">
        <v>0</v>
      </c>
      <c r="T216" s="89">
        <v>-0.11750000000000006</v>
      </c>
      <c r="U216" s="1">
        <f t="shared" si="2"/>
        <v>0.18600199009859153</v>
      </c>
      <c r="W216" s="39"/>
      <c r="X216" s="53">
        <f>($S$204*-2)+$S$202</f>
        <v>-8.3805403878788889E-2</v>
      </c>
      <c r="Y216" s="1">
        <v>2</v>
      </c>
    </row>
    <row r="217" spans="1:25" ht="15">
      <c r="A217" s="87">
        <v>694.86365766348501</v>
      </c>
      <c r="B217" s="87">
        <v>696.848554927176</v>
      </c>
      <c r="C217" s="87">
        <v>693.75859852858889</v>
      </c>
      <c r="D217" s="87">
        <v>694.99332431890195</v>
      </c>
      <c r="E217" s="88">
        <v>18360495.179309387</v>
      </c>
      <c r="F217" s="86" t="s">
        <v>228</v>
      </c>
      <c r="G217" s="25">
        <f t="shared" si="0"/>
        <v>-1.8657251930298546E-4</v>
      </c>
      <c r="I217" s="87">
        <v>22.14</v>
      </c>
      <c r="J217" s="87">
        <v>22.574999999999999</v>
      </c>
      <c r="K217" s="87">
        <v>21.62</v>
      </c>
      <c r="L217" s="87">
        <v>21.96</v>
      </c>
      <c r="M217" s="88">
        <v>16774136.8376</v>
      </c>
      <c r="N217" s="86" t="s">
        <v>228</v>
      </c>
      <c r="O217" s="25">
        <f t="shared" si="1"/>
        <v>8.1967213114753079E-3</v>
      </c>
      <c r="Q217" s="89">
        <v>-0.11500000000000006</v>
      </c>
      <c r="R217">
        <v>0</v>
      </c>
      <c r="T217" s="89">
        <v>-0.11500000000000006</v>
      </c>
      <c r="U217" s="1">
        <f t="shared" si="2"/>
        <v>0.21962895144168143</v>
      </c>
      <c r="W217" s="40" t="s">
        <v>79</v>
      </c>
      <c r="X217" s="53">
        <f>($S$204*-1)+$S$202</f>
        <v>-4.2033377622133099E-2</v>
      </c>
      <c r="Y217" s="1">
        <v>0</v>
      </c>
    </row>
    <row r="218" spans="1:25" ht="15">
      <c r="A218" s="87">
        <v>699.07283678548299</v>
      </c>
      <c r="B218" s="87">
        <v>700.90811867753905</v>
      </c>
      <c r="C218" s="87">
        <v>697.69138818738656</v>
      </c>
      <c r="D218" s="87">
        <v>700.54904178561503</v>
      </c>
      <c r="E218" s="88">
        <v>4311927.8365584891</v>
      </c>
      <c r="F218" s="86" t="s">
        <v>229</v>
      </c>
      <c r="G218" s="25">
        <f t="shared" si="0"/>
        <v>-2.107211504235873E-3</v>
      </c>
      <c r="I218" s="87">
        <v>22.01</v>
      </c>
      <c r="J218" s="87">
        <v>23.1434</v>
      </c>
      <c r="K218" s="87">
        <v>21.83</v>
      </c>
      <c r="L218" s="87">
        <v>23.05</v>
      </c>
      <c r="M218" s="88">
        <v>17918806.244399998</v>
      </c>
      <c r="N218" s="86" t="s">
        <v>229</v>
      </c>
      <c r="O218" s="25">
        <f t="shared" si="1"/>
        <v>-4.5119305856832881E-2</v>
      </c>
      <c r="Q218" s="89">
        <v>-0.11250000000000006</v>
      </c>
      <c r="R218">
        <v>0</v>
      </c>
      <c r="T218" s="89">
        <v>-0.11250000000000006</v>
      </c>
      <c r="U218" s="1">
        <f t="shared" si="2"/>
        <v>0.25840802822992948</v>
      </c>
      <c r="X218" s="53">
        <f>($S$204*-1)+$S$202</f>
        <v>-4.2033377622133099E-2</v>
      </c>
      <c r="Y218" s="1">
        <v>6</v>
      </c>
    </row>
    <row r="219" spans="1:25" ht="15">
      <c r="A219" s="87">
        <v>702.26463138036308</v>
      </c>
      <c r="B219" s="87">
        <v>705.69581056985896</v>
      </c>
      <c r="C219" s="87">
        <v>701.56642631273303</v>
      </c>
      <c r="D219" s="87">
        <v>705.16716959008204</v>
      </c>
      <c r="E219" s="88">
        <v>7847676.9531034688</v>
      </c>
      <c r="F219" s="86" t="s">
        <v>230</v>
      </c>
      <c r="G219" s="25">
        <f t="shared" si="0"/>
        <v>-4.1160994653313132E-3</v>
      </c>
      <c r="I219" s="87">
        <v>22.75</v>
      </c>
      <c r="J219" s="87">
        <v>24.1</v>
      </c>
      <c r="K219" s="87">
        <v>22.57</v>
      </c>
      <c r="L219" s="87">
        <v>24</v>
      </c>
      <c r="M219" s="88">
        <v>19428484.935699999</v>
      </c>
      <c r="N219" s="86" t="s">
        <v>230</v>
      </c>
      <c r="O219" s="25">
        <f t="shared" si="1"/>
        <v>-5.208333333333337E-2</v>
      </c>
      <c r="Q219" s="89">
        <v>-0.11000000000000006</v>
      </c>
      <c r="R219">
        <v>0</v>
      </c>
      <c r="T219" s="89">
        <v>-0.11000000000000006</v>
      </c>
      <c r="U219" s="1">
        <f t="shared" si="2"/>
        <v>0.30294712340215879</v>
      </c>
      <c r="W219" s="1" t="s">
        <v>80</v>
      </c>
      <c r="X219" s="53">
        <f>($S$204*1)+$S$202</f>
        <v>4.1510674891178496E-2</v>
      </c>
      <c r="Y219" s="1">
        <v>0</v>
      </c>
    </row>
    <row r="220" spans="1:25" ht="15" customHeight="1">
      <c r="A220" s="87">
        <v>706.19452847530897</v>
      </c>
      <c r="B220" s="87">
        <v>708.62827185390506</v>
      </c>
      <c r="C220" s="87">
        <v>705.08737472521</v>
      </c>
      <c r="D220" s="87">
        <v>707.90014371194798</v>
      </c>
      <c r="E220" s="88">
        <v>6833680.7221205411</v>
      </c>
      <c r="F220" s="86" t="s">
        <v>231</v>
      </c>
      <c r="G220" s="25">
        <f t="shared" si="0"/>
        <v>-2.4094008904920194E-3</v>
      </c>
      <c r="I220" s="87">
        <v>24.12</v>
      </c>
      <c r="J220" s="87">
        <v>25.02</v>
      </c>
      <c r="K220" s="87">
        <v>23.895</v>
      </c>
      <c r="L220" s="87">
        <v>24.69</v>
      </c>
      <c r="M220" s="88">
        <v>16510724.0275</v>
      </c>
      <c r="N220" s="86" t="s">
        <v>231</v>
      </c>
      <c r="O220" s="25">
        <f t="shared" si="1"/>
        <v>-2.3086269744835963E-2</v>
      </c>
      <c r="Q220" s="89">
        <v>-0.10750000000000005</v>
      </c>
      <c r="R220">
        <v>0</v>
      </c>
      <c r="T220" s="89">
        <v>-0.10750000000000005</v>
      </c>
      <c r="U220" s="1">
        <f t="shared" si="2"/>
        <v>0.35389308827642585</v>
      </c>
      <c r="X220" s="53">
        <f>($S$204*1)+$S$202</f>
        <v>4.1510674891178496E-2</v>
      </c>
      <c r="Y220" s="1">
        <v>6</v>
      </c>
    </row>
    <row r="221" spans="1:25" ht="15">
      <c r="A221" s="87">
        <v>708.89757952284799</v>
      </c>
      <c r="B221" s="87">
        <v>709.69054099251343</v>
      </c>
      <c r="C221" s="87">
        <v>703.70093894805893</v>
      </c>
      <c r="D221" s="87">
        <v>704.01014404943805</v>
      </c>
      <c r="E221" s="88">
        <v>8616616.3817048483</v>
      </c>
      <c r="F221" s="86" t="s">
        <v>232</v>
      </c>
      <c r="G221" s="25">
        <f t="shared" si="0"/>
        <v>6.9422799013911796E-3</v>
      </c>
      <c r="I221" s="87">
        <v>25.22</v>
      </c>
      <c r="J221" s="87">
        <v>26.75</v>
      </c>
      <c r="K221" s="87">
        <v>25.13</v>
      </c>
      <c r="L221" s="87">
        <v>26.36</v>
      </c>
      <c r="M221" s="88">
        <v>16821595.579799999</v>
      </c>
      <c r="N221" s="86" t="s">
        <v>232</v>
      </c>
      <c r="O221" s="25">
        <f t="shared" si="1"/>
        <v>-4.3247344461305071E-2</v>
      </c>
      <c r="Q221" s="89">
        <v>-0.10500000000000005</v>
      </c>
      <c r="R221">
        <v>0</v>
      </c>
      <c r="T221" s="89">
        <v>-0.10500000000000005</v>
      </c>
      <c r="U221" s="1">
        <f t="shared" si="2"/>
        <v>0.41192840964740374</v>
      </c>
      <c r="W221" s="41" t="s">
        <v>81</v>
      </c>
      <c r="X221" s="53">
        <f>($S$204*2)+$S$202</f>
        <v>8.3282701147834301E-2</v>
      </c>
      <c r="Y221" s="1">
        <v>0</v>
      </c>
    </row>
    <row r="222" spans="1:25" ht="15">
      <c r="A222" s="87">
        <v>701.60632374516899</v>
      </c>
      <c r="B222" s="87">
        <v>702.72345185337701</v>
      </c>
      <c r="C222" s="87">
        <v>698.38460607596198</v>
      </c>
      <c r="D222" s="87">
        <v>699.05288806926501</v>
      </c>
      <c r="E222" s="88">
        <v>7724754.4959787652</v>
      </c>
      <c r="F222" s="86" t="s">
        <v>233</v>
      </c>
      <c r="G222" s="25">
        <f t="shared" si="0"/>
        <v>3.6527074266961002E-3</v>
      </c>
      <c r="I222" s="87">
        <v>25.73</v>
      </c>
      <c r="J222" s="87">
        <v>27.24</v>
      </c>
      <c r="K222" s="87">
        <v>25.68</v>
      </c>
      <c r="L222" s="87">
        <v>26.78</v>
      </c>
      <c r="M222" s="88">
        <v>9572905.4426000006</v>
      </c>
      <c r="N222" s="86" t="s">
        <v>233</v>
      </c>
      <c r="O222" s="25">
        <f t="shared" si="1"/>
        <v>-3.9208364451082889E-2</v>
      </c>
      <c r="Q222" s="89">
        <v>-0.10250000000000005</v>
      </c>
      <c r="R222">
        <v>1</v>
      </c>
      <c r="T222" s="89">
        <v>-0.10250000000000005</v>
      </c>
      <c r="U222" s="1">
        <f t="shared" si="2"/>
        <v>0.4777666449621823</v>
      </c>
      <c r="X222" s="53">
        <f>($S$204*2)+$S$202</f>
        <v>8.3282701147834301E-2</v>
      </c>
      <c r="Y222" s="1">
        <v>2</v>
      </c>
    </row>
    <row r="223" spans="1:25" ht="15">
      <c r="A223" s="87">
        <v>698.48434965705201</v>
      </c>
      <c r="B223" s="87">
        <v>701.10760583971899</v>
      </c>
      <c r="C223" s="87">
        <v>696.34963753456384</v>
      </c>
      <c r="D223" s="87">
        <v>698.65391374490503</v>
      </c>
      <c r="E223" s="88">
        <v>6503579.9945329595</v>
      </c>
      <c r="F223" s="86" t="s">
        <v>234</v>
      </c>
      <c r="G223" s="25">
        <f t="shared" si="0"/>
        <v>-2.42701120708122E-4</v>
      </c>
      <c r="I223" s="87">
        <v>27.2</v>
      </c>
      <c r="J223" s="87">
        <v>28.39</v>
      </c>
      <c r="K223" s="87">
        <v>26.57</v>
      </c>
      <c r="L223" s="87">
        <v>27.06</v>
      </c>
      <c r="M223" s="88">
        <v>10645291.074999999</v>
      </c>
      <c r="N223" s="86" t="s">
        <v>234</v>
      </c>
      <c r="O223" s="25">
        <f t="shared" si="1"/>
        <v>5.1736881005173263E-3</v>
      </c>
      <c r="Q223" s="89">
        <v>-0.10000000000000005</v>
      </c>
      <c r="R223">
        <v>0</v>
      </c>
      <c r="T223" s="89">
        <v>-0.10000000000000005</v>
      </c>
      <c r="U223" s="1">
        <f t="shared" si="2"/>
        <v>0.55214650116131458</v>
      </c>
      <c r="W223" s="41" t="s">
        <v>82</v>
      </c>
      <c r="X223" s="53">
        <f>($S$204*3)+$S$202</f>
        <v>0.12505472740449008</v>
      </c>
      <c r="Y223" s="1">
        <v>0</v>
      </c>
    </row>
    <row r="224" spans="1:25" ht="15">
      <c r="A224" s="87">
        <v>703.08252874530103</v>
      </c>
      <c r="B224" s="87">
        <v>704.12983634674606</v>
      </c>
      <c r="C224" s="87">
        <v>701.157477630264</v>
      </c>
      <c r="D224" s="87">
        <v>703.55132357642401</v>
      </c>
      <c r="E224" s="88">
        <v>5756351.8934810283</v>
      </c>
      <c r="F224" s="86" t="s">
        <v>235</v>
      </c>
      <c r="G224" s="25">
        <f t="shared" si="0"/>
        <v>-6.6632641488029165E-4</v>
      </c>
      <c r="I224" s="87">
        <v>27.49</v>
      </c>
      <c r="J224" s="87">
        <v>28</v>
      </c>
      <c r="K224" s="87">
        <v>27.31</v>
      </c>
      <c r="L224" s="87">
        <v>27.6</v>
      </c>
      <c r="M224" s="88">
        <v>19939599.568399999</v>
      </c>
      <c r="N224" s="86" t="s">
        <v>235</v>
      </c>
      <c r="O224" s="25">
        <f t="shared" si="1"/>
        <v>-3.9855072463769181E-3</v>
      </c>
      <c r="Q224" s="89">
        <v>-9.7500000000000045E-2</v>
      </c>
      <c r="R224">
        <v>1</v>
      </c>
      <c r="T224" s="89">
        <v>-9.7500000000000045E-2</v>
      </c>
      <c r="U224" s="1">
        <f t="shared" si="2"/>
        <v>0.63582447205938364</v>
      </c>
      <c r="W224" s="41"/>
      <c r="X224" s="53">
        <f>($S$204*3)+$S$202</f>
        <v>0.12505472740449008</v>
      </c>
      <c r="Y224" s="1">
        <v>0.1</v>
      </c>
    </row>
    <row r="225" spans="1:21" ht="15">
      <c r="A225" s="87">
        <v>705.42650290091603</v>
      </c>
      <c r="B225" s="87">
        <v>710.8417814054543</v>
      </c>
      <c r="C225" s="87">
        <v>704.449015806234</v>
      </c>
      <c r="D225" s="87">
        <v>707.57098989435099</v>
      </c>
      <c r="E225" s="88">
        <v>8105322.4741401756</v>
      </c>
      <c r="F225" s="86" t="s">
        <v>236</v>
      </c>
      <c r="G225" s="25">
        <f t="shared" si="0"/>
        <v>-3.0307729175770293E-3</v>
      </c>
      <c r="I225" s="87">
        <v>28.82</v>
      </c>
      <c r="J225" s="87">
        <v>30.919899999999998</v>
      </c>
      <c r="K225" s="87">
        <v>28.765000000000001</v>
      </c>
      <c r="L225" s="87">
        <v>30.18</v>
      </c>
      <c r="M225" s="88">
        <v>19101092.746399999</v>
      </c>
      <c r="N225" s="86" t="s">
        <v>236</v>
      </c>
      <c r="O225" s="25">
        <f t="shared" si="1"/>
        <v>-4.5062955599734944E-2</v>
      </c>
      <c r="Q225" s="89">
        <v>-9.5000000000000043E-2</v>
      </c>
      <c r="R225">
        <v>0</v>
      </c>
      <c r="T225" s="89">
        <v>-9.5000000000000043E-2</v>
      </c>
      <c r="U225" s="1">
        <f t="shared" si="2"/>
        <v>0.72956597420207014</v>
      </c>
    </row>
    <row r="226" spans="1:21" ht="15">
      <c r="A226" s="87">
        <v>706.93263097537499</v>
      </c>
      <c r="B226" s="87">
        <v>708.13454112750958</v>
      </c>
      <c r="C226" s="87">
        <v>703.40210717911339</v>
      </c>
      <c r="D226" s="87">
        <v>704.57868246165094</v>
      </c>
      <c r="E226" s="88">
        <v>6773106.5507906759</v>
      </c>
      <c r="F226" s="86" t="s">
        <v>237</v>
      </c>
      <c r="G226" s="25">
        <f t="shared" si="0"/>
        <v>3.3409306473761724E-3</v>
      </c>
      <c r="I226" s="87">
        <v>30.62</v>
      </c>
      <c r="J226" s="87">
        <v>31.22</v>
      </c>
      <c r="K226" s="87">
        <v>27.74</v>
      </c>
      <c r="L226" s="87">
        <v>28</v>
      </c>
      <c r="M226" s="88">
        <v>27594583.051600002</v>
      </c>
      <c r="N226" s="86" t="s">
        <v>237</v>
      </c>
      <c r="O226" s="25">
        <f t="shared" si="1"/>
        <v>9.3571428571428639E-2</v>
      </c>
      <c r="Q226" s="89">
        <v>-9.2500000000000041E-2</v>
      </c>
      <c r="R226">
        <v>0</v>
      </c>
      <c r="T226" s="89">
        <v>-9.2500000000000041E-2</v>
      </c>
      <c r="U226" s="1">
        <f t="shared" si="2"/>
        <v>0.83413495204046895</v>
      </c>
    </row>
    <row r="227" spans="1:21" ht="15">
      <c r="A227" s="87">
        <v>702.39429803578003</v>
      </c>
      <c r="B227" s="87">
        <v>703.51142614398805</v>
      </c>
      <c r="C227" s="87">
        <v>700.42934948830703</v>
      </c>
      <c r="D227" s="87">
        <v>701.09763148160994</v>
      </c>
      <c r="E227" s="88">
        <v>7176219.4065815648</v>
      </c>
      <c r="F227" s="86" t="s">
        <v>238</v>
      </c>
      <c r="G227" s="25">
        <f t="shared" si="0"/>
        <v>1.849480722720287E-3</v>
      </c>
      <c r="I227" s="87">
        <v>27.03</v>
      </c>
      <c r="J227" s="87">
        <v>27.42</v>
      </c>
      <c r="K227" s="87">
        <v>25.63</v>
      </c>
      <c r="L227" s="87">
        <v>26.03</v>
      </c>
      <c r="M227" s="88">
        <v>10282047.0847</v>
      </c>
      <c r="N227" s="86" t="s">
        <v>238</v>
      </c>
      <c r="O227" s="25">
        <f t="shared" si="1"/>
        <v>3.8417210910487887E-2</v>
      </c>
      <c r="Q227" s="89">
        <v>-9.0000000000000038E-2</v>
      </c>
      <c r="R227">
        <v>0</v>
      </c>
      <c r="T227" s="89">
        <v>-9.0000000000000038E-2</v>
      </c>
      <c r="U227" s="1">
        <f t="shared" si="2"/>
        <v>0.95028195986026331</v>
      </c>
    </row>
    <row r="228" spans="1:21" ht="15">
      <c r="A228" s="87">
        <v>702.21475958981796</v>
      </c>
      <c r="B228" s="87">
        <v>703.02796900644478</v>
      </c>
      <c r="C228" s="87">
        <v>699.65134955580504</v>
      </c>
      <c r="D228" s="87">
        <v>702.47908007970648</v>
      </c>
      <c r="E228" s="88">
        <v>4335609.914885601</v>
      </c>
      <c r="F228" s="86" t="s">
        <v>239</v>
      </c>
      <c r="G228" s="25">
        <f t="shared" si="0"/>
        <v>-3.7626813008939664E-4</v>
      </c>
      <c r="I228" s="87">
        <v>27.27</v>
      </c>
      <c r="J228" s="87">
        <v>27.97</v>
      </c>
      <c r="K228" s="87">
        <v>26.86</v>
      </c>
      <c r="L228" s="87">
        <v>27.2</v>
      </c>
      <c r="M228" s="88">
        <v>10665031.5207</v>
      </c>
      <c r="N228" s="86" t="s">
        <v>239</v>
      </c>
      <c r="O228" s="25">
        <f t="shared" si="1"/>
        <v>2.5735294117648078E-3</v>
      </c>
      <c r="Q228" s="89">
        <v>-8.7500000000000036E-2</v>
      </c>
      <c r="R228">
        <v>0</v>
      </c>
      <c r="T228" s="89">
        <v>-8.7500000000000036E-2</v>
      </c>
      <c r="U228" s="1">
        <f t="shared" si="2"/>
        <v>1.0787307698047359</v>
      </c>
    </row>
    <row r="229" spans="1:21" ht="15">
      <c r="A229" s="87">
        <v>700.03037516394704</v>
      </c>
      <c r="B229" s="87">
        <v>701.58627528536988</v>
      </c>
      <c r="C229" s="87">
        <v>698.73370860977695</v>
      </c>
      <c r="D229" s="87">
        <v>701.16745198837305</v>
      </c>
      <c r="E229" s="88">
        <v>7757366.3376076007</v>
      </c>
      <c r="F229" s="86" t="s">
        <v>240</v>
      </c>
      <c r="G229" s="25">
        <f t="shared" si="0"/>
        <v>-1.6216908260665575E-3</v>
      </c>
      <c r="I229" s="87">
        <v>27.44</v>
      </c>
      <c r="J229" s="87">
        <v>27.6</v>
      </c>
      <c r="K229" s="87">
        <v>26.63</v>
      </c>
      <c r="L229" s="87">
        <v>26.97</v>
      </c>
      <c r="M229" s="88">
        <v>8378159.5190000003</v>
      </c>
      <c r="N229" s="86" t="s">
        <v>240</v>
      </c>
      <c r="O229" s="25">
        <f t="shared" si="1"/>
        <v>1.7426770485724941E-2</v>
      </c>
      <c r="Q229" s="89">
        <v>-8.5000000000000034E-2</v>
      </c>
      <c r="R229">
        <v>2</v>
      </c>
      <c r="T229" s="89">
        <v>-8.5000000000000034E-2</v>
      </c>
      <c r="U229" s="1">
        <f t="shared" si="2"/>
        <v>1.220163601885986</v>
      </c>
    </row>
    <row r="230" spans="1:21" ht="15">
      <c r="A230" s="87">
        <v>701.90555448843907</v>
      </c>
      <c r="B230" s="87">
        <v>703.99019533321996</v>
      </c>
      <c r="C230" s="87">
        <v>700.63881100859601</v>
      </c>
      <c r="D230" s="87">
        <v>702.26463138036308</v>
      </c>
      <c r="E230" s="88">
        <v>10705588.617542185</v>
      </c>
      <c r="F230" s="86" t="s">
        <v>241</v>
      </c>
      <c r="G230" s="25">
        <f t="shared" si="0"/>
        <v>-5.1131279560279186E-4</v>
      </c>
      <c r="I230" s="87">
        <v>27.1</v>
      </c>
      <c r="J230" s="87">
        <v>27.78</v>
      </c>
      <c r="K230" s="87">
        <v>26.47</v>
      </c>
      <c r="L230" s="87">
        <v>27.2</v>
      </c>
      <c r="M230" s="88">
        <v>10663740.5253</v>
      </c>
      <c r="N230" s="86" t="s">
        <v>241</v>
      </c>
      <c r="O230" s="25">
        <f t="shared" si="1"/>
        <v>-3.67647058823517E-3</v>
      </c>
      <c r="Q230" s="89">
        <v>-8.2500000000000032E-2</v>
      </c>
      <c r="R230">
        <v>0</v>
      </c>
      <c r="T230" s="89">
        <v>-8.2500000000000032E-2</v>
      </c>
      <c r="U230" s="1">
        <f t="shared" si="2"/>
        <v>1.3752051221650177</v>
      </c>
    </row>
    <row r="231" spans="1:21" ht="15">
      <c r="A231" s="87">
        <v>699.21247779900898</v>
      </c>
      <c r="B231" s="87">
        <v>704.26947736027205</v>
      </c>
      <c r="C231" s="87">
        <v>698.67595707632586</v>
      </c>
      <c r="D231" s="87">
        <v>702.24468266414499</v>
      </c>
      <c r="E231" s="88">
        <v>8480359.9772176575</v>
      </c>
      <c r="F231" s="86" t="s">
        <v>242</v>
      </c>
      <c r="G231" s="25">
        <f t="shared" si="0"/>
        <v>-4.3178751509126423E-3</v>
      </c>
      <c r="I231" s="87">
        <v>27.31</v>
      </c>
      <c r="J231" s="87">
        <v>28.03</v>
      </c>
      <c r="K231" s="87">
        <v>26.84</v>
      </c>
      <c r="L231" s="87">
        <v>27.11</v>
      </c>
      <c r="M231" s="88">
        <v>15444896.265799999</v>
      </c>
      <c r="N231" s="86" t="s">
        <v>242</v>
      </c>
      <c r="O231" s="25">
        <f t="shared" si="1"/>
        <v>7.3773515308004356E-3</v>
      </c>
      <c r="Q231" s="89">
        <v>-8.0000000000000029E-2</v>
      </c>
      <c r="R231">
        <v>0</v>
      </c>
      <c r="T231" s="89">
        <v>-8.0000000000000029E-2</v>
      </c>
      <c r="U231" s="1">
        <f t="shared" si="2"/>
        <v>1.5444054081009302</v>
      </c>
    </row>
    <row r="232" spans="1:21" ht="15">
      <c r="A232" s="87">
        <v>705.09734908331893</v>
      </c>
      <c r="B232" s="87">
        <v>708.27916932008998</v>
      </c>
      <c r="C232" s="87">
        <v>704.28443889743551</v>
      </c>
      <c r="D232" s="87">
        <v>706.37406692127104</v>
      </c>
      <c r="E232" s="88">
        <v>7039831.7362038074</v>
      </c>
      <c r="F232" s="86" t="s">
        <v>243</v>
      </c>
      <c r="G232" s="25">
        <f t="shared" si="0"/>
        <v>-1.8074245612055284E-3</v>
      </c>
      <c r="I232" s="87">
        <v>26.79</v>
      </c>
      <c r="J232" s="87">
        <v>27.3</v>
      </c>
      <c r="K232" s="87">
        <v>26.09</v>
      </c>
      <c r="L232" s="87">
        <v>26.35</v>
      </c>
      <c r="M232" s="88">
        <v>13560415.8906</v>
      </c>
      <c r="N232" s="86" t="s">
        <v>243</v>
      </c>
      <c r="O232" s="25">
        <f t="shared" si="1"/>
        <v>1.6698292220113764E-2</v>
      </c>
      <c r="Q232" s="89">
        <v>-7.7500000000000027E-2</v>
      </c>
      <c r="R232">
        <v>3</v>
      </c>
      <c r="T232" s="89">
        <v>-7.7500000000000027E-2</v>
      </c>
      <c r="U232" s="1">
        <f t="shared" si="2"/>
        <v>1.728222133962674</v>
      </c>
    </row>
    <row r="233" spans="1:21" ht="15">
      <c r="A233" s="87">
        <v>703.59122100885997</v>
      </c>
      <c r="B233" s="87">
        <v>705.53622084011499</v>
      </c>
      <c r="C233" s="87">
        <v>703.15234925206403</v>
      </c>
      <c r="D233" s="87">
        <v>704.79811834004897</v>
      </c>
      <c r="E233" s="88">
        <v>5292120.7156549674</v>
      </c>
      <c r="F233" s="86" t="s">
        <v>244</v>
      </c>
      <c r="G233" s="25">
        <f t="shared" si="0"/>
        <v>-1.7124014661552556E-3</v>
      </c>
      <c r="I233" s="87">
        <v>26.01</v>
      </c>
      <c r="J233" s="87">
        <v>26.47</v>
      </c>
      <c r="K233" s="87">
        <v>25.25</v>
      </c>
      <c r="L233" s="87">
        <v>25.25</v>
      </c>
      <c r="M233" s="88">
        <v>13818107.3517</v>
      </c>
      <c r="N233" s="86" t="s">
        <v>244</v>
      </c>
      <c r="O233" s="25">
        <f t="shared" si="1"/>
        <v>3.0099009900990126E-2</v>
      </c>
      <c r="Q233" s="89">
        <v>-7.5000000000000025E-2</v>
      </c>
      <c r="R233">
        <v>2</v>
      </c>
      <c r="T233" s="89">
        <v>-7.5000000000000025E-2</v>
      </c>
      <c r="U233" s="1">
        <f t="shared" si="2"/>
        <v>1.9270022824661774</v>
      </c>
    </row>
    <row r="234" spans="1:21" ht="15">
      <c r="A234" s="87">
        <v>708.448733407943</v>
      </c>
      <c r="B234" s="87">
        <v>712.2140535940905</v>
      </c>
      <c r="C234" s="87">
        <v>708.27916932008998</v>
      </c>
      <c r="D234" s="87">
        <v>711.67045107715001</v>
      </c>
      <c r="E234" s="88">
        <v>5759776.8433000222</v>
      </c>
      <c r="F234" s="86" t="s">
        <v>245</v>
      </c>
      <c r="G234" s="25">
        <f t="shared" si="0"/>
        <v>-4.5269796776453708E-3</v>
      </c>
      <c r="I234" s="87">
        <v>24.99</v>
      </c>
      <c r="J234" s="87">
        <v>25.98</v>
      </c>
      <c r="K234" s="87">
        <v>24.66</v>
      </c>
      <c r="L234" s="87">
        <v>24.98</v>
      </c>
      <c r="M234" s="88">
        <v>10337581.581599999</v>
      </c>
      <c r="N234" s="86" t="s">
        <v>245</v>
      </c>
      <c r="O234" s="25">
        <f t="shared" si="1"/>
        <v>4.0032025620484468E-4</v>
      </c>
      <c r="Q234" s="89">
        <v>-7.2500000000000023E-2</v>
      </c>
      <c r="R234">
        <v>0</v>
      </c>
      <c r="T234" s="89">
        <v>-7.2500000000000023E-2</v>
      </c>
      <c r="U234" s="1">
        <f t="shared" si="2"/>
        <v>2.1409637395498007</v>
      </c>
    </row>
    <row r="235" spans="1:21" ht="15">
      <c r="A235" s="87">
        <v>711.78016901634896</v>
      </c>
      <c r="B235" s="87">
        <v>714.05432266520097</v>
      </c>
      <c r="C235" s="87">
        <v>710.97224600951995</v>
      </c>
      <c r="D235" s="87">
        <v>713.79498935436698</v>
      </c>
      <c r="E235" s="88">
        <v>4224899.2813859275</v>
      </c>
      <c r="F235" s="86" t="s">
        <v>246</v>
      </c>
      <c r="G235" s="25">
        <f t="shared" si="0"/>
        <v>-2.8226877017453189E-3</v>
      </c>
      <c r="I235" s="87">
        <v>25.42</v>
      </c>
      <c r="J235" s="87">
        <v>26.5</v>
      </c>
      <c r="K235" s="87">
        <v>25.225000000000001</v>
      </c>
      <c r="L235" s="87">
        <v>26.29</v>
      </c>
      <c r="M235" s="88">
        <v>12402740.9342</v>
      </c>
      <c r="N235" s="86" t="s">
        <v>246</v>
      </c>
      <c r="O235" s="25">
        <f t="shared" si="1"/>
        <v>-3.30924305819702E-2</v>
      </c>
      <c r="Q235" s="89">
        <v>-7.0000000000000021E-2</v>
      </c>
      <c r="R235">
        <v>1</v>
      </c>
      <c r="T235" s="89">
        <v>-7.0000000000000021E-2</v>
      </c>
      <c r="U235" s="1">
        <f t="shared" si="2"/>
        <v>2.3701771753915426</v>
      </c>
    </row>
    <row r="236" spans="1:21" ht="15">
      <c r="A236" s="87">
        <v>713.11673300295502</v>
      </c>
      <c r="B236" s="87">
        <v>714.55304057065098</v>
      </c>
      <c r="C236" s="87">
        <v>709.78031021549452</v>
      </c>
      <c r="D236" s="87">
        <v>710.47352810406994</v>
      </c>
      <c r="E236" s="88">
        <v>4562935.4456336983</v>
      </c>
      <c r="F236" s="86" t="s">
        <v>247</v>
      </c>
      <c r="G236" s="25">
        <f t="shared" si="0"/>
        <v>3.7203425522955857E-3</v>
      </c>
      <c r="I236" s="87">
        <v>26.35</v>
      </c>
      <c r="J236" s="87">
        <v>26.795000000000002</v>
      </c>
      <c r="K236" s="87">
        <v>23.37</v>
      </c>
      <c r="L236" s="87">
        <v>23.7</v>
      </c>
      <c r="M236" s="88">
        <v>23317329.6439</v>
      </c>
      <c r="N236" s="86" t="s">
        <v>247</v>
      </c>
      <c r="O236" s="25">
        <f t="shared" si="1"/>
        <v>0.11181434599156126</v>
      </c>
      <c r="Q236" s="89">
        <v>-6.7500000000000018E-2</v>
      </c>
      <c r="R236">
        <v>1</v>
      </c>
      <c r="T236" s="89">
        <v>-6.7500000000000018E-2</v>
      </c>
      <c r="U236" s="1">
        <f t="shared" si="2"/>
        <v>2.6145486542837055</v>
      </c>
    </row>
    <row r="237" spans="1:21" ht="15">
      <c r="A237" s="87">
        <v>708.34898982685297</v>
      </c>
      <c r="B237" s="87">
        <v>710.43363067163398</v>
      </c>
      <c r="C237" s="87">
        <v>707.11216942133694</v>
      </c>
      <c r="D237" s="87">
        <v>710.29398965810799</v>
      </c>
      <c r="E237" s="88">
        <v>4883810.5144877145</v>
      </c>
      <c r="F237" s="86" t="s">
        <v>248</v>
      </c>
      <c r="G237" s="25">
        <f t="shared" si="0"/>
        <v>-2.7383025332808897E-3</v>
      </c>
      <c r="I237" s="87">
        <v>23.75</v>
      </c>
      <c r="J237" s="87">
        <v>24.96</v>
      </c>
      <c r="K237" s="87">
        <v>23.41</v>
      </c>
      <c r="L237" s="87">
        <v>24.3233</v>
      </c>
      <c r="M237" s="88">
        <v>13993853.450300001</v>
      </c>
      <c r="N237" s="86" t="s">
        <v>248</v>
      </c>
      <c r="O237" s="25">
        <f t="shared" si="1"/>
        <v>-2.3569992558575503E-2</v>
      </c>
      <c r="Q237" s="89">
        <v>-6.5000000000000016E-2</v>
      </c>
      <c r="R237">
        <v>3</v>
      </c>
      <c r="T237" s="89">
        <v>-6.5000000000000016E-2</v>
      </c>
      <c r="U237" s="1">
        <f t="shared" si="2"/>
        <v>2.8738034466964928</v>
      </c>
    </row>
    <row r="238" spans="1:21" ht="15">
      <c r="A238" s="87">
        <v>706.603477157778</v>
      </c>
      <c r="B238" s="87">
        <v>710.17429736079998</v>
      </c>
      <c r="C238" s="87">
        <v>705.18711830630002</v>
      </c>
      <c r="D238" s="87">
        <v>710.13439992836402</v>
      </c>
      <c r="E238" s="88">
        <v>5023320.7228433192</v>
      </c>
      <c r="F238" s="86" t="s">
        <v>249</v>
      </c>
      <c r="G238" s="25">
        <f t="shared" si="0"/>
        <v>-4.9721894488454765E-3</v>
      </c>
      <c r="I238" s="87">
        <v>24.87</v>
      </c>
      <c r="J238" s="87">
        <v>25.62</v>
      </c>
      <c r="K238" s="87">
        <v>24.538799999999998</v>
      </c>
      <c r="L238" s="87">
        <v>24.864999999999998</v>
      </c>
      <c r="M238" s="88">
        <v>16780813.2489</v>
      </c>
      <c r="N238" s="86" t="s">
        <v>249</v>
      </c>
      <c r="O238" s="25">
        <f t="shared" si="1"/>
        <v>2.0108586366385239E-4</v>
      </c>
      <c r="Q238" s="89">
        <v>-6.2500000000000014E-2</v>
      </c>
      <c r="R238">
        <v>2</v>
      </c>
      <c r="T238" s="89">
        <v>-6.2500000000000014E-2</v>
      </c>
      <c r="U238" s="1">
        <f t="shared" si="2"/>
        <v>3.1474715367507042</v>
      </c>
    </row>
    <row r="239" spans="1:21" ht="15">
      <c r="A239" s="87">
        <v>708.827759016085</v>
      </c>
      <c r="B239" s="87">
        <v>710.61097475881206</v>
      </c>
      <c r="C239" s="87">
        <v>707.68070783354995</v>
      </c>
      <c r="D239" s="87">
        <v>708.48863084037896</v>
      </c>
      <c r="E239" s="88">
        <v>6675037.2232900541</v>
      </c>
      <c r="F239" s="86" t="s">
        <v>250</v>
      </c>
      <c r="G239" s="25">
        <f t="shared" si="0"/>
        <v>4.7866424518883122E-4</v>
      </c>
      <c r="I239" s="87">
        <v>25.39</v>
      </c>
      <c r="J239" s="87">
        <v>25.46</v>
      </c>
      <c r="K239" s="87">
        <v>22.801100000000002</v>
      </c>
      <c r="L239" s="87">
        <v>22.9</v>
      </c>
      <c r="M239" s="88">
        <v>25591891.2513</v>
      </c>
      <c r="N239" s="86" t="s">
        <v>250</v>
      </c>
      <c r="O239" s="25">
        <f t="shared" si="1"/>
        <v>0.10873362445414858</v>
      </c>
      <c r="Q239" s="89">
        <v>-6.0000000000000019E-2</v>
      </c>
      <c r="R239">
        <v>3</v>
      </c>
      <c r="T239" s="89">
        <v>-6.0000000000000019E-2</v>
      </c>
      <c r="U239" s="1">
        <f t="shared" si="2"/>
        <v>3.4348753255324977</v>
      </c>
    </row>
    <row r="240" spans="1:21" ht="15">
      <c r="A240" s="87">
        <v>708.88760516473906</v>
      </c>
      <c r="B240" s="87">
        <v>709.54591279993303</v>
      </c>
      <c r="C240" s="87">
        <v>705.62599006309608</v>
      </c>
      <c r="D240" s="87">
        <v>706.91268225915701</v>
      </c>
      <c r="E240" s="88">
        <v>4665094.1327256085</v>
      </c>
      <c r="F240" s="86" t="s">
        <v>251</v>
      </c>
      <c r="G240" s="25">
        <f t="shared" si="0"/>
        <v>2.7937296290547753E-3</v>
      </c>
      <c r="I240" s="87">
        <v>23.29</v>
      </c>
      <c r="J240" s="87">
        <v>24.56</v>
      </c>
      <c r="K240" s="87">
        <v>23.25</v>
      </c>
      <c r="L240" s="87">
        <v>24.065000000000001</v>
      </c>
      <c r="M240" s="88">
        <v>31623417.289900001</v>
      </c>
      <c r="N240" s="86" t="s">
        <v>251</v>
      </c>
      <c r="O240" s="25">
        <f t="shared" si="1"/>
        <v>-3.2204446291294486E-2</v>
      </c>
      <c r="Q240" s="89">
        <v>-5.7500000000000016E-2</v>
      </c>
      <c r="R240">
        <v>3</v>
      </c>
      <c r="T240" s="89">
        <v>-5.7500000000000016E-2</v>
      </c>
      <c r="U240" s="1">
        <f t="shared" si="2"/>
        <v>3.735120023648633</v>
      </c>
    </row>
    <row r="241" spans="1:21" ht="15">
      <c r="A241" s="87">
        <v>704.58865681975999</v>
      </c>
      <c r="B241" s="87">
        <v>707.64270552915468</v>
      </c>
      <c r="C241" s="87">
        <v>703.621144083187</v>
      </c>
      <c r="D241" s="87">
        <v>706.11473361043693</v>
      </c>
      <c r="E241" s="88">
        <v>4680742.7225691155</v>
      </c>
      <c r="F241" s="86" t="s">
        <v>252</v>
      </c>
      <c r="G241" s="25">
        <f t="shared" si="0"/>
        <v>-2.1612306301469486E-3</v>
      </c>
      <c r="I241" s="87">
        <v>23.97</v>
      </c>
      <c r="J241" s="87">
        <v>24.628</v>
      </c>
      <c r="K241" s="87">
        <v>22.14</v>
      </c>
      <c r="L241" s="87">
        <v>23.23</v>
      </c>
      <c r="M241" s="88">
        <v>53408009.979199998</v>
      </c>
      <c r="N241" s="86" t="s">
        <v>252</v>
      </c>
      <c r="O241" s="25">
        <f t="shared" si="1"/>
        <v>3.1855359448988319E-2</v>
      </c>
      <c r="Q241" s="89">
        <v>-5.5000000000000014E-2</v>
      </c>
      <c r="R241">
        <v>0</v>
      </c>
      <c r="T241" s="89">
        <v>-5.5000000000000014E-2</v>
      </c>
      <c r="U241" s="1">
        <f t="shared" si="2"/>
        <v>4.0470872039387729</v>
      </c>
    </row>
    <row r="242" spans="1:21" ht="15">
      <c r="A242" s="87">
        <v>705.78557979284005</v>
      </c>
      <c r="B242" s="87">
        <v>712.32875871234398</v>
      </c>
      <c r="C242" s="87">
        <v>705.50629776578808</v>
      </c>
      <c r="D242" s="87">
        <v>711.31137418522599</v>
      </c>
      <c r="E242" s="88">
        <v>5200806.9451800352</v>
      </c>
      <c r="F242" s="86" t="s">
        <v>253</v>
      </c>
      <c r="G242" s="25">
        <f t="shared" si="0"/>
        <v>-7.7684606108197052E-3</v>
      </c>
      <c r="I242" s="87">
        <v>28.15</v>
      </c>
      <c r="J242" s="87">
        <v>28.48</v>
      </c>
      <c r="K242" s="87">
        <v>27.164999999999999</v>
      </c>
      <c r="L242" s="87">
        <v>27.48</v>
      </c>
      <c r="M242" s="88">
        <v>42163276.450000003</v>
      </c>
      <c r="N242" s="86" t="s">
        <v>253</v>
      </c>
      <c r="O242" s="25">
        <f t="shared" si="1"/>
        <v>2.4381368267831105E-2</v>
      </c>
      <c r="Q242" s="89">
        <v>-5.2500000000000012E-2</v>
      </c>
      <c r="R242">
        <v>1</v>
      </c>
      <c r="T242" s="89">
        <v>-5.2500000000000012E-2</v>
      </c>
      <c r="U242" s="1">
        <f t="shared" si="2"/>
        <v>4.3694319465900451</v>
      </c>
    </row>
    <row r="243" spans="1:21" ht="15">
      <c r="A243" s="87">
        <v>707.16204121188207</v>
      </c>
      <c r="B243" s="87">
        <v>709.08539668604055</v>
      </c>
      <c r="C243" s="87">
        <v>697.27745232586301</v>
      </c>
      <c r="D243" s="87">
        <v>697.36722154884399</v>
      </c>
      <c r="E243" s="88">
        <v>6527590.6302433321</v>
      </c>
      <c r="F243" s="86" t="s">
        <v>254</v>
      </c>
      <c r="G243" s="25">
        <f t="shared" si="0"/>
        <v>1.4045425939699152E-2</v>
      </c>
      <c r="I243" s="87">
        <v>27.12</v>
      </c>
      <c r="J243" s="87">
        <v>27.31</v>
      </c>
      <c r="K243" s="87">
        <v>24.5</v>
      </c>
      <c r="L243" s="87">
        <v>24.704999999999998</v>
      </c>
      <c r="M243" s="88">
        <v>22725576.6884</v>
      </c>
      <c r="N243" s="86" t="s">
        <v>254</v>
      </c>
      <c r="O243" s="25">
        <f t="shared" si="1"/>
        <v>9.7753491196114206E-2</v>
      </c>
      <c r="Q243" s="89">
        <v>-5.000000000000001E-2</v>
      </c>
      <c r="R243">
        <v>3</v>
      </c>
      <c r="T243" s="89">
        <v>-5.000000000000001E-2</v>
      </c>
      <c r="U243" s="1">
        <f t="shared" si="2"/>
        <v>4.700583953828894</v>
      </c>
    </row>
    <row r="244" spans="1:21" ht="15">
      <c r="A244" s="87">
        <v>694.61429871075995</v>
      </c>
      <c r="B244" s="87">
        <v>695.52196529867899</v>
      </c>
      <c r="C244" s="87">
        <v>686.84427374384904</v>
      </c>
      <c r="D244" s="87">
        <v>687.06370962224707</v>
      </c>
      <c r="E244" s="88">
        <v>7262939.5601541065</v>
      </c>
      <c r="F244" s="86" t="s">
        <v>255</v>
      </c>
      <c r="G244" s="25">
        <f t="shared" si="0"/>
        <v>1.09896491151662E-2</v>
      </c>
      <c r="I244" s="87">
        <v>24.92</v>
      </c>
      <c r="J244" s="87">
        <v>26.105</v>
      </c>
      <c r="K244" s="87">
        <v>23.79</v>
      </c>
      <c r="L244" s="87">
        <v>23.9</v>
      </c>
      <c r="M244" s="88">
        <v>25410589.904199999</v>
      </c>
      <c r="N244" s="86" t="s">
        <v>255</v>
      </c>
      <c r="O244" s="25">
        <f t="shared" si="1"/>
        <v>4.2677824267782549E-2</v>
      </c>
      <c r="Q244" s="89">
        <v>-4.7500000000000007E-2</v>
      </c>
      <c r="R244">
        <v>3</v>
      </c>
      <c r="T244" s="89">
        <v>-4.7500000000000007E-2</v>
      </c>
      <c r="U244" s="1">
        <f t="shared" si="2"/>
        <v>5.0387529402777913</v>
      </c>
    </row>
    <row r="245" spans="1:21" ht="15">
      <c r="A245" s="87">
        <v>684.88929955448498</v>
      </c>
      <c r="B245" s="87">
        <v>686.58494043301505</v>
      </c>
      <c r="C245" s="87">
        <v>676.32132593885399</v>
      </c>
      <c r="D245" s="87">
        <v>682.74481256105003</v>
      </c>
      <c r="E245" s="88">
        <v>7681264.3957377691</v>
      </c>
      <c r="F245" s="86" t="s">
        <v>256</v>
      </c>
      <c r="G245" s="25">
        <f t="shared" si="0"/>
        <v>3.1409788166543162E-3</v>
      </c>
      <c r="I245" s="87">
        <v>24.32</v>
      </c>
      <c r="J245" s="87">
        <v>25.05</v>
      </c>
      <c r="K245" s="87">
        <v>23.1</v>
      </c>
      <c r="L245" s="87">
        <v>23.49</v>
      </c>
      <c r="M245" s="88">
        <v>16098512.874500001</v>
      </c>
      <c r="N245" s="86" t="s">
        <v>256</v>
      </c>
      <c r="O245" s="25">
        <f t="shared" si="1"/>
        <v>3.5334184759472143E-2</v>
      </c>
      <c r="Q245" s="89">
        <v>-4.5000000000000005E-2</v>
      </c>
      <c r="R245">
        <v>6</v>
      </c>
      <c r="T245" s="89">
        <v>-4.5000000000000005E-2</v>
      </c>
      <c r="U245" s="1">
        <f t="shared" si="2"/>
        <v>5.3819385189688864</v>
      </c>
    </row>
    <row r="246" spans="1:21" ht="15">
      <c r="A246" s="87">
        <v>680.04176151351101</v>
      </c>
      <c r="B246" s="87">
        <v>680.68640427809567</v>
      </c>
      <c r="C246" s="87">
        <v>673.47863387778898</v>
      </c>
      <c r="D246" s="87">
        <v>674.80522350628598</v>
      </c>
      <c r="E246" s="88">
        <v>6024552.5603075176</v>
      </c>
      <c r="F246" s="86" t="s">
        <v>257</v>
      </c>
      <c r="G246" s="25">
        <f t="shared" si="0"/>
        <v>7.7600733142164646E-3</v>
      </c>
      <c r="I246" s="87">
        <v>23.76</v>
      </c>
      <c r="J246" s="87">
        <v>24.37</v>
      </c>
      <c r="K246" s="87">
        <v>22.99</v>
      </c>
      <c r="L246" s="87">
        <v>23.81</v>
      </c>
      <c r="M246" s="88">
        <v>15647672.475500001</v>
      </c>
      <c r="N246" s="86" t="s">
        <v>257</v>
      </c>
      <c r="O246" s="25">
        <f t="shared" si="1"/>
        <v>-2.0999580008398411E-3</v>
      </c>
      <c r="Q246" s="89">
        <v>-4.2500000000000003E-2</v>
      </c>
      <c r="R246">
        <v>3</v>
      </c>
      <c r="T246" s="89">
        <v>-4.2500000000000003E-2</v>
      </c>
      <c r="U246" s="1">
        <f t="shared" si="2"/>
        <v>5.7279447035529492</v>
      </c>
    </row>
    <row r="247" spans="1:21" ht="15">
      <c r="A247" s="87">
        <v>668.91037786386698</v>
      </c>
      <c r="B247" s="87">
        <v>680.87960759466705</v>
      </c>
      <c r="C247" s="87">
        <v>668.43659585368948</v>
      </c>
      <c r="D247" s="87">
        <v>678.37604370930796</v>
      </c>
      <c r="E247" s="88">
        <v>7865612.4309602929</v>
      </c>
      <c r="F247" s="86" t="s">
        <v>258</v>
      </c>
      <c r="G247" s="25">
        <f t="shared" si="0"/>
        <v>-1.3953419984708559E-2</v>
      </c>
      <c r="I247" s="87">
        <v>24.76</v>
      </c>
      <c r="J247" s="87">
        <v>25.555</v>
      </c>
      <c r="K247" s="87">
        <v>24.21</v>
      </c>
      <c r="L247" s="87">
        <v>24.34</v>
      </c>
      <c r="M247" s="88">
        <v>18369979.9538</v>
      </c>
      <c r="N247" s="86" t="s">
        <v>258</v>
      </c>
      <c r="O247" s="25">
        <f t="shared" si="1"/>
        <v>1.7255546425636981E-2</v>
      </c>
      <c r="Q247" s="89">
        <v>-0.04</v>
      </c>
      <c r="R247">
        <v>2</v>
      </c>
      <c r="T247" s="89">
        <v>-0.04</v>
      </c>
      <c r="U247" s="1">
        <f t="shared" si="2"/>
        <v>6.0743990367043859</v>
      </c>
    </row>
    <row r="248" spans="1:21" ht="15">
      <c r="A248" s="87">
        <v>679.21388979046401</v>
      </c>
      <c r="B248" s="87">
        <v>681.00428707102947</v>
      </c>
      <c r="C248" s="87">
        <v>674.74547710121305</v>
      </c>
      <c r="D248" s="87">
        <v>677.70776171600505</v>
      </c>
      <c r="E248" s="88">
        <v>5033988.0650258698</v>
      </c>
      <c r="F248" s="86" t="s">
        <v>259</v>
      </c>
      <c r="G248" s="25">
        <f t="shared" si="0"/>
        <v>2.2223857531826763E-3</v>
      </c>
      <c r="I248" s="87">
        <v>24.38</v>
      </c>
      <c r="J248" s="87">
        <v>24.58</v>
      </c>
      <c r="K248" s="87">
        <v>22.65</v>
      </c>
      <c r="L248" s="87">
        <v>23.15</v>
      </c>
      <c r="M248" s="88">
        <v>17939395.108899999</v>
      </c>
      <c r="N248" s="86" t="s">
        <v>259</v>
      </c>
      <c r="O248" s="25">
        <f t="shared" si="1"/>
        <v>5.3131749460043176E-2</v>
      </c>
      <c r="Q248" s="89">
        <v>-3.7499999999999999E-2</v>
      </c>
      <c r="R248">
        <v>2</v>
      </c>
      <c r="T248" s="89">
        <v>-3.7499999999999999E-2</v>
      </c>
      <c r="U248" s="1">
        <f t="shared" si="2"/>
        <v>6.4187762359578366</v>
      </c>
    </row>
    <row r="249" spans="1:21" ht="15">
      <c r="A249" s="87">
        <v>677.56812070247895</v>
      </c>
      <c r="B249" s="87">
        <v>683.4820173688862</v>
      </c>
      <c r="C249" s="87">
        <v>674.66059531370547</v>
      </c>
      <c r="D249" s="87">
        <v>682.93432536512103</v>
      </c>
      <c r="E249" s="88">
        <v>5221145.8172942158</v>
      </c>
      <c r="F249" s="86" t="s">
        <v>260</v>
      </c>
      <c r="G249" s="25">
        <f t="shared" si="0"/>
        <v>-7.8575705793864081E-3</v>
      </c>
      <c r="I249" s="87">
        <v>22.94</v>
      </c>
      <c r="J249" s="87">
        <v>22.96</v>
      </c>
      <c r="K249" s="87">
        <v>21.62</v>
      </c>
      <c r="L249" s="87">
        <v>21.89</v>
      </c>
      <c r="M249" s="88">
        <v>13647216.786</v>
      </c>
      <c r="N249" s="86" t="s">
        <v>260</v>
      </c>
      <c r="O249" s="25">
        <f t="shared" si="1"/>
        <v>4.7967108268615943E-2</v>
      </c>
      <c r="Q249" s="89">
        <v>-3.4999999999999996E-2</v>
      </c>
      <c r="R249">
        <v>2</v>
      </c>
      <c r="T249" s="89">
        <v>-3.4999999999999996E-2</v>
      </c>
      <c r="U249" s="1">
        <f t="shared" si="2"/>
        <v>6.7584261245823889</v>
      </c>
    </row>
    <row r="250" spans="1:21" ht="15">
      <c r="A250" s="87">
        <v>677.39855661462593</v>
      </c>
      <c r="B250" s="87">
        <v>681.79724854069491</v>
      </c>
      <c r="C250" s="87">
        <v>675.96224904693008</v>
      </c>
      <c r="D250" s="87">
        <v>677.05942843892001</v>
      </c>
      <c r="E250" s="88">
        <v>6302968.9782516705</v>
      </c>
      <c r="F250" s="86" t="s">
        <v>261</v>
      </c>
      <c r="G250" s="25">
        <f t="shared" si="0"/>
        <v>5.0088391278713118E-4</v>
      </c>
      <c r="I250" s="87">
        <v>21.12</v>
      </c>
      <c r="J250" s="87">
        <v>21.305</v>
      </c>
      <c r="K250" s="87">
        <v>20.37</v>
      </c>
      <c r="L250" s="87">
        <v>20.399999999999999</v>
      </c>
      <c r="M250" s="88">
        <v>14199719.977600001</v>
      </c>
      <c r="N250" s="86" t="s">
        <v>261</v>
      </c>
      <c r="O250" s="25">
        <f t="shared" si="1"/>
        <v>3.529411764705892E-2</v>
      </c>
      <c r="Q250" s="89">
        <v>-3.2499999999999994E-2</v>
      </c>
      <c r="R250">
        <v>7</v>
      </c>
      <c r="T250" s="89">
        <v>-3.2499999999999994E-2</v>
      </c>
      <c r="U250" s="1">
        <f t="shared" si="2"/>
        <v>7.0906054903773521</v>
      </c>
    </row>
    <row r="251" spans="1:21" ht="15">
      <c r="A251" s="87">
        <v>676.86991563484901</v>
      </c>
      <c r="B251" s="87">
        <v>680.79931401188946</v>
      </c>
      <c r="C251" s="87">
        <v>674.02223639472948</v>
      </c>
      <c r="D251" s="87">
        <v>677.80750529709496</v>
      </c>
      <c r="E251" s="88">
        <v>4955511.6808369253</v>
      </c>
      <c r="F251" s="86" t="s">
        <v>262</v>
      </c>
      <c r="G251" s="25">
        <f t="shared" si="0"/>
        <v>-1.383268339342103E-3</v>
      </c>
      <c r="I251" s="87">
        <v>20</v>
      </c>
      <c r="J251" s="87">
        <v>21.78</v>
      </c>
      <c r="K251" s="87">
        <v>19.899999999999999</v>
      </c>
      <c r="L251" s="87">
        <v>21.69</v>
      </c>
      <c r="M251" s="88">
        <v>15544776.445699999</v>
      </c>
      <c r="N251" s="86" t="s">
        <v>262</v>
      </c>
      <c r="O251" s="25">
        <f t="shared" si="1"/>
        <v>-7.7916090364223201E-2</v>
      </c>
      <c r="Q251" s="89">
        <v>-2.9999999999999995E-2</v>
      </c>
      <c r="R251">
        <v>6</v>
      </c>
      <c r="T251" s="89">
        <v>-2.9999999999999995E-2</v>
      </c>
      <c r="U251" s="1">
        <f t="shared" si="2"/>
        <v>7.4125133935115741</v>
      </c>
    </row>
    <row r="252" spans="1:21" ht="15">
      <c r="A252" s="87">
        <v>685.26832516262698</v>
      </c>
      <c r="B252" s="87">
        <v>687.63224803445996</v>
      </c>
      <c r="C252" s="87">
        <v>684.26091499361803</v>
      </c>
      <c r="D252" s="87">
        <v>684.53022266256096</v>
      </c>
      <c r="E252" s="88">
        <v>3357712.487762053</v>
      </c>
      <c r="F252" s="86" t="s">
        <v>263</v>
      </c>
      <c r="G252" s="25">
        <f t="shared" ref="G252:G315" si="3">A252/D252-1</f>
        <v>1.0782613763860027E-3</v>
      </c>
      <c r="I252" s="87">
        <v>21.47</v>
      </c>
      <c r="J252" s="87">
        <v>22.0426</v>
      </c>
      <c r="K252" s="87">
        <v>20.9</v>
      </c>
      <c r="L252" s="87">
        <v>22</v>
      </c>
      <c r="M252" s="88">
        <v>13288830.114499999</v>
      </c>
      <c r="N252" s="86" t="s">
        <v>263</v>
      </c>
      <c r="O252" s="25">
        <f t="shared" ref="O252:O315" si="4">I252/L252-1</f>
        <v>-2.4090909090909163E-2</v>
      </c>
      <c r="Q252" s="89">
        <v>-2.7499999999999997E-2</v>
      </c>
      <c r="R252">
        <v>0</v>
      </c>
      <c r="T252" s="89">
        <v>-2.7499999999999997E-2</v>
      </c>
      <c r="U252" s="1">
        <f t="shared" si="2"/>
        <v>7.7213293299156716</v>
      </c>
    </row>
    <row r="253" spans="1:21" ht="15">
      <c r="A253" s="87">
        <v>686.10617124378302</v>
      </c>
      <c r="B253" s="87">
        <v>686.71959426748651</v>
      </c>
      <c r="C253" s="87">
        <v>682.27601772992693</v>
      </c>
      <c r="D253" s="87">
        <v>684.19109448685504</v>
      </c>
      <c r="E253" s="88">
        <v>4065141.6649472136</v>
      </c>
      <c r="F253" s="86" t="s">
        <v>264</v>
      </c>
      <c r="G253" s="25">
        <f t="shared" si="3"/>
        <v>2.7990378307456432E-3</v>
      </c>
      <c r="I253" s="87">
        <v>21.93</v>
      </c>
      <c r="J253" s="87">
        <v>23.81</v>
      </c>
      <c r="K253" s="87">
        <v>21.76</v>
      </c>
      <c r="L253" s="87">
        <v>23.35</v>
      </c>
      <c r="M253" s="88">
        <v>28563105.3814</v>
      </c>
      <c r="N253" s="86" t="s">
        <v>264</v>
      </c>
      <c r="O253" s="25">
        <f t="shared" si="4"/>
        <v>-6.0813704496788024E-2</v>
      </c>
      <c r="Q253" s="89">
        <v>-2.4999999999999998E-2</v>
      </c>
      <c r="R253">
        <v>5</v>
      </c>
      <c r="T253" s="89">
        <v>-2.4999999999999998E-2</v>
      </c>
      <c r="U253" s="1">
        <f t="shared" si="2"/>
        <v>8.0142535534370989</v>
      </c>
    </row>
    <row r="254" spans="1:21" ht="15">
      <c r="A254" s="87">
        <v>680.46068455408908</v>
      </c>
      <c r="B254" s="87">
        <v>686.43532506138001</v>
      </c>
      <c r="C254" s="87">
        <v>679.82232563511309</v>
      </c>
      <c r="D254" s="87">
        <v>684.90924827070296</v>
      </c>
      <c r="E254" s="88">
        <v>5335666.9989599632</v>
      </c>
      <c r="F254" s="86" t="s">
        <v>265</v>
      </c>
      <c r="G254" s="25">
        <f t="shared" si="3"/>
        <v>-6.4951141013877001E-3</v>
      </c>
      <c r="I254" s="87">
        <v>24.02</v>
      </c>
      <c r="J254" s="87">
        <v>24.8675</v>
      </c>
      <c r="K254" s="87">
        <v>23.141999999999999</v>
      </c>
      <c r="L254" s="87">
        <v>23.33</v>
      </c>
      <c r="M254" s="88">
        <v>17355175.0134</v>
      </c>
      <c r="N254" s="86" t="s">
        <v>265</v>
      </c>
      <c r="O254" s="25">
        <f t="shared" si="4"/>
        <v>2.9575653664809298E-2</v>
      </c>
      <c r="Q254" s="89">
        <v>-2.2499999999999999E-2</v>
      </c>
      <c r="R254">
        <v>13</v>
      </c>
      <c r="T254" s="89">
        <v>-2.2499999999999999E-2</v>
      </c>
      <c r="U254" s="1">
        <f t="shared" si="2"/>
        <v>8.2885487719525717</v>
      </c>
    </row>
    <row r="255" spans="1:21" ht="15">
      <c r="A255" s="87">
        <v>681.41822293255291</v>
      </c>
      <c r="B255" s="87">
        <v>685.10404748457177</v>
      </c>
      <c r="C255" s="87">
        <v>679.17399235802793</v>
      </c>
      <c r="D255" s="87">
        <v>680.37091533110799</v>
      </c>
      <c r="E255" s="88">
        <v>5642108.8555283593</v>
      </c>
      <c r="F255" s="86" t="s">
        <v>266</v>
      </c>
      <c r="G255" s="25">
        <f t="shared" si="3"/>
        <v>1.5393185949685861E-3</v>
      </c>
      <c r="I255" s="87">
        <v>23.95</v>
      </c>
      <c r="J255" s="87">
        <v>24.39</v>
      </c>
      <c r="K255" s="87">
        <v>22.88</v>
      </c>
      <c r="L255" s="87">
        <v>22.93</v>
      </c>
      <c r="M255" s="88">
        <v>23554053.009</v>
      </c>
      <c r="N255" s="86" t="s">
        <v>266</v>
      </c>
      <c r="O255" s="25">
        <f t="shared" si="4"/>
        <v>4.4483209768861665E-2</v>
      </c>
      <c r="Q255" s="89">
        <v>-0.02</v>
      </c>
      <c r="R255">
        <v>5</v>
      </c>
      <c r="T255" s="89">
        <v>-0.02</v>
      </c>
      <c r="U255" s="1">
        <f t="shared" si="2"/>
        <v>8.541582363508434</v>
      </c>
    </row>
    <row r="256" spans="1:21" ht="15">
      <c r="A256" s="87">
        <v>688.37035053452598</v>
      </c>
      <c r="B256" s="87">
        <v>691.77160664969495</v>
      </c>
      <c r="C256" s="87">
        <v>685.66729948698696</v>
      </c>
      <c r="D256" s="87">
        <v>690.20563242658204</v>
      </c>
      <c r="E256" s="88">
        <v>4734752.0055839214</v>
      </c>
      <c r="F256" s="86" t="s">
        <v>267</v>
      </c>
      <c r="G256" s="25">
        <f t="shared" si="3"/>
        <v>-2.6590363883349788E-3</v>
      </c>
      <c r="I256" s="87">
        <v>23.41</v>
      </c>
      <c r="J256" s="87">
        <v>24.35</v>
      </c>
      <c r="K256" s="87">
        <v>22.22</v>
      </c>
      <c r="L256" s="87">
        <v>24.2</v>
      </c>
      <c r="M256" s="88">
        <v>16961631.9483</v>
      </c>
      <c r="N256" s="86" t="s">
        <v>267</v>
      </c>
      <c r="O256" s="25">
        <f t="shared" si="4"/>
        <v>-3.2644628099173567E-2</v>
      </c>
      <c r="Q256" s="89">
        <v>-1.7500000000000002E-2</v>
      </c>
      <c r="R256">
        <v>9</v>
      </c>
      <c r="T256" s="89">
        <v>-1.7500000000000002E-2</v>
      </c>
      <c r="U256" s="1">
        <f t="shared" si="2"/>
        <v>8.7708682114111127</v>
      </c>
    </row>
    <row r="257" spans="1:21" ht="15">
      <c r="A257" s="87">
        <v>692.02096560242001</v>
      </c>
      <c r="B257" s="87">
        <v>692.71917067004995</v>
      </c>
      <c r="C257" s="87">
        <v>687.81178648042203</v>
      </c>
      <c r="D257" s="87">
        <v>691.49232462264297</v>
      </c>
      <c r="E257" s="88">
        <v>4120626.0035835658</v>
      </c>
      <c r="F257" s="86" t="s">
        <v>268</v>
      </c>
      <c r="G257" s="25">
        <f t="shared" si="3"/>
        <v>7.6449291041003065E-4</v>
      </c>
      <c r="I257" s="87">
        <v>23.5</v>
      </c>
      <c r="J257" s="87">
        <v>24.28</v>
      </c>
      <c r="K257" s="87">
        <v>23.04</v>
      </c>
      <c r="L257" s="87">
        <v>24.15</v>
      </c>
      <c r="M257" s="88">
        <v>15153575.9047</v>
      </c>
      <c r="N257" s="86" t="s">
        <v>268</v>
      </c>
      <c r="O257" s="25">
        <f t="shared" si="4"/>
        <v>-2.6915113871635588E-2</v>
      </c>
      <c r="Q257" s="89">
        <v>-1.5000000000000001E-2</v>
      </c>
      <c r="R257">
        <v>5</v>
      </c>
      <c r="T257" s="89">
        <v>-1.5000000000000001E-2</v>
      </c>
      <c r="U257" s="1">
        <f t="shared" si="2"/>
        <v>8.9741072344296953</v>
      </c>
    </row>
    <row r="258" spans="1:21" ht="15">
      <c r="A258" s="87">
        <v>689.32788891299003</v>
      </c>
      <c r="B258" s="87">
        <v>690.62455546716001</v>
      </c>
      <c r="C258" s="87">
        <v>686.43532506138001</v>
      </c>
      <c r="D258" s="87">
        <v>688.44017104128909</v>
      </c>
      <c r="E258" s="88">
        <v>4581788.9784570597</v>
      </c>
      <c r="F258" s="86" t="s">
        <v>269</v>
      </c>
      <c r="G258" s="25">
        <f t="shared" si="3"/>
        <v>1.289462627316329E-3</v>
      </c>
      <c r="I258" s="87">
        <v>23.86</v>
      </c>
      <c r="J258" s="87">
        <v>24.87</v>
      </c>
      <c r="K258" s="87">
        <v>21.42</v>
      </c>
      <c r="L258" s="87">
        <v>22.035</v>
      </c>
      <c r="M258" s="88">
        <v>32559883.494800001</v>
      </c>
      <c r="N258" s="86" t="s">
        <v>269</v>
      </c>
      <c r="O258" s="25">
        <f t="shared" si="4"/>
        <v>8.2822781937826218E-2</v>
      </c>
      <c r="Q258" s="89">
        <v>-1.2500000000000001E-2</v>
      </c>
      <c r="R258">
        <v>6</v>
      </c>
      <c r="T258" s="89">
        <v>-1.2500000000000001E-2</v>
      </c>
      <c r="U258" s="1">
        <f t="shared" si="2"/>
        <v>9.1492256915215187</v>
      </c>
    </row>
    <row r="259" spans="1:21" ht="15">
      <c r="A259" s="87">
        <v>686.73455580464997</v>
      </c>
      <c r="B259" s="87">
        <v>691.18311952126408</v>
      </c>
      <c r="C259" s="87">
        <v>685.77701742618592</v>
      </c>
      <c r="D259" s="87">
        <v>689.82660681844004</v>
      </c>
      <c r="E259" s="88">
        <v>6604827.383584369</v>
      </c>
      <c r="F259" s="86" t="s">
        <v>270</v>
      </c>
      <c r="G259" s="25">
        <f t="shared" si="3"/>
        <v>-4.4823597455176944E-3</v>
      </c>
      <c r="I259" s="87">
        <v>23.65</v>
      </c>
      <c r="J259" s="87">
        <v>23.89</v>
      </c>
      <c r="K259" s="87">
        <v>21.55</v>
      </c>
      <c r="L259" s="87">
        <v>21.57</v>
      </c>
      <c r="M259" s="88">
        <v>26995629.710499998</v>
      </c>
      <c r="N259" s="86" t="s">
        <v>270</v>
      </c>
      <c r="O259" s="25">
        <f t="shared" si="4"/>
        <v>9.6430227167362048E-2</v>
      </c>
      <c r="Q259" s="89">
        <v>-0.01</v>
      </c>
      <c r="R259">
        <v>7</v>
      </c>
      <c r="T259" s="89">
        <v>-0.01</v>
      </c>
      <c r="U259" s="1">
        <f t="shared" si="2"/>
        <v>9.2944103704829288</v>
      </c>
    </row>
    <row r="260" spans="1:21" ht="15">
      <c r="A260" s="87">
        <v>692.08081175107407</v>
      </c>
      <c r="B260" s="87">
        <v>692.54960658219704</v>
      </c>
      <c r="C260" s="87">
        <v>685.86678664916701</v>
      </c>
      <c r="D260" s="87">
        <v>689.47750428462496</v>
      </c>
      <c r="E260" s="88">
        <v>4678890.4153030142</v>
      </c>
      <c r="F260" s="86" t="s">
        <v>271</v>
      </c>
      <c r="G260" s="25">
        <f t="shared" si="3"/>
        <v>3.7757685352624026E-3</v>
      </c>
      <c r="I260" s="87">
        <v>21.11</v>
      </c>
      <c r="J260" s="87">
        <v>23.11</v>
      </c>
      <c r="K260" s="87">
        <v>20.970099999999999</v>
      </c>
      <c r="L260" s="87">
        <v>22.85</v>
      </c>
      <c r="M260" s="88">
        <v>14394691.5133</v>
      </c>
      <c r="N260" s="86" t="s">
        <v>271</v>
      </c>
      <c r="O260" s="25">
        <f t="shared" si="4"/>
        <v>-7.6148796498905935E-2</v>
      </c>
      <c r="Q260" s="89">
        <v>-7.4999999999999997E-3</v>
      </c>
      <c r="R260">
        <v>4</v>
      </c>
      <c r="T260" s="89">
        <v>-7.4999999999999997E-3</v>
      </c>
      <c r="U260" s="1">
        <f t="shared" si="2"/>
        <v>9.4081398264513911</v>
      </c>
    </row>
    <row r="261" spans="1:21" ht="15">
      <c r="A261" s="87">
        <v>688.918940230521</v>
      </c>
      <c r="B261" s="87">
        <v>689.41386787988961</v>
      </c>
      <c r="C261" s="87">
        <v>683.53278685166094</v>
      </c>
      <c r="D261" s="87">
        <v>685.18853029775505</v>
      </c>
      <c r="E261" s="88">
        <v>6412322.7891014963</v>
      </c>
      <c r="F261" s="86" t="s">
        <v>272</v>
      </c>
      <c r="G261" s="25">
        <f t="shared" si="3"/>
        <v>5.4443554843874864E-3</v>
      </c>
      <c r="I261" s="87">
        <v>22.26</v>
      </c>
      <c r="J261" s="87">
        <v>22.34</v>
      </c>
      <c r="K261" s="87">
        <v>20.440000000000001</v>
      </c>
      <c r="L261" s="87">
        <v>20.67</v>
      </c>
      <c r="M261" s="88">
        <v>24612145.614399999</v>
      </c>
      <c r="N261" s="86" t="s">
        <v>272</v>
      </c>
      <c r="O261" s="25">
        <f t="shared" si="4"/>
        <v>7.6923076923076872E-2</v>
      </c>
      <c r="Q261" s="89">
        <v>-5.0000000000000001E-3</v>
      </c>
      <c r="R261">
        <v>13</v>
      </c>
      <c r="T261" s="89">
        <v>-5.0000000000000001E-3</v>
      </c>
      <c r="U261" s="1">
        <f t="shared" si="2"/>
        <v>9.4892109180690571</v>
      </c>
    </row>
    <row r="262" spans="1:21" ht="15">
      <c r="A262" s="87">
        <v>683.50286377733403</v>
      </c>
      <c r="B262" s="87">
        <v>684.08137654765608</v>
      </c>
      <c r="C262" s="87">
        <v>677.98704374305703</v>
      </c>
      <c r="D262" s="87">
        <v>681.34840242579003</v>
      </c>
      <c r="E262" s="88">
        <v>4817716.278067112</v>
      </c>
      <c r="F262" s="86" t="s">
        <v>273</v>
      </c>
      <c r="G262" s="25">
        <f t="shared" si="3"/>
        <v>3.1620553359683612E-3</v>
      </c>
      <c r="I262" s="87">
        <v>21.67</v>
      </c>
      <c r="J262" s="87">
        <v>22.234999999999999</v>
      </c>
      <c r="K262" s="87">
        <v>21.3401</v>
      </c>
      <c r="L262" s="87">
        <v>21.81</v>
      </c>
      <c r="M262" s="88">
        <v>30360931.5693</v>
      </c>
      <c r="N262" s="86" t="s">
        <v>273</v>
      </c>
      <c r="O262" s="25">
        <f t="shared" si="4"/>
        <v>-6.4190738193488084E-3</v>
      </c>
      <c r="Q262" s="89">
        <v>-2.5000000000000001E-3</v>
      </c>
      <c r="R262">
        <v>6</v>
      </c>
      <c r="T262" s="89">
        <v>-2.5000000000000001E-3</v>
      </c>
      <c r="U262" s="1">
        <f t="shared" si="2"/>
        <v>9.5367599942487509</v>
      </c>
    </row>
    <row r="263" spans="1:21" ht="15">
      <c r="A263" s="87">
        <v>685.31819695317199</v>
      </c>
      <c r="B263" s="87">
        <v>688.47009411561601</v>
      </c>
      <c r="C263" s="87">
        <v>683.23255867258013</v>
      </c>
      <c r="D263" s="87">
        <v>687.81178648042203</v>
      </c>
      <c r="E263" s="88">
        <v>4828423.4676258704</v>
      </c>
      <c r="F263" s="86" t="s">
        <v>274</v>
      </c>
      <c r="G263" s="25">
        <f t="shared" si="3"/>
        <v>-3.6253951680733643E-3</v>
      </c>
      <c r="I263" s="87">
        <v>22.19</v>
      </c>
      <c r="J263" s="87">
        <v>23.42</v>
      </c>
      <c r="K263" s="87">
        <v>21.8</v>
      </c>
      <c r="L263" s="87">
        <v>22.33</v>
      </c>
      <c r="M263" s="88">
        <v>26683741.184300002</v>
      </c>
      <c r="N263" s="86" t="s">
        <v>274</v>
      </c>
      <c r="O263" s="25">
        <f t="shared" si="4"/>
        <v>-6.2695924764889499E-3</v>
      </c>
      <c r="Q263" s="89">
        <v>0</v>
      </c>
      <c r="R263">
        <v>8</v>
      </c>
      <c r="T263" s="89">
        <v>0</v>
      </c>
      <c r="U263" s="1">
        <f t="shared" si="2"/>
        <v>9.5502782098719656</v>
      </c>
    </row>
    <row r="264" spans="1:21" ht="15">
      <c r="A264" s="87">
        <v>688.84911972375801</v>
      </c>
      <c r="B264" s="87">
        <v>689.80167092316753</v>
      </c>
      <c r="C264" s="87">
        <v>685.23840208829995</v>
      </c>
      <c r="D264" s="87">
        <v>686.34555583839904</v>
      </c>
      <c r="E264" s="88">
        <v>5589993.0189683149</v>
      </c>
      <c r="F264" s="86" t="s">
        <v>275</v>
      </c>
      <c r="G264" s="25">
        <f t="shared" si="3"/>
        <v>3.6476726104837098E-3</v>
      </c>
      <c r="I264" s="87">
        <v>21.08</v>
      </c>
      <c r="J264" s="87">
        <v>21.754999999999999</v>
      </c>
      <c r="K264" s="87">
        <v>20.079999999999998</v>
      </c>
      <c r="L264" s="87">
        <v>20.76</v>
      </c>
      <c r="M264" s="88">
        <v>12230240.5666</v>
      </c>
      <c r="N264" s="86" t="s">
        <v>275</v>
      </c>
      <c r="O264" s="25">
        <f t="shared" si="4"/>
        <v>1.5414258188824581E-2</v>
      </c>
      <c r="Q264" s="89">
        <v>2.5000000000000001E-3</v>
      </c>
      <c r="R264">
        <v>7</v>
      </c>
      <c r="T264" s="89">
        <v>2.5000000000000001E-3</v>
      </c>
      <c r="U264" s="1">
        <f t="shared" si="2"/>
        <v>9.5296205906310565</v>
      </c>
    </row>
    <row r="265" spans="1:21" ht="15">
      <c r="A265" s="87">
        <v>683.08394073675606</v>
      </c>
      <c r="B265" s="87">
        <v>688.72942742645</v>
      </c>
      <c r="C265" s="87">
        <v>678.47080011134358</v>
      </c>
      <c r="D265" s="87">
        <v>685.21845337208197</v>
      </c>
      <c r="E265" s="88">
        <v>6998762.9653091291</v>
      </c>
      <c r="F265" s="86" t="s">
        <v>276</v>
      </c>
      <c r="G265" s="25">
        <f t="shared" si="3"/>
        <v>-3.1150834085416079E-3</v>
      </c>
      <c r="I265" s="87">
        <v>21.34</v>
      </c>
      <c r="J265" s="87">
        <v>21.88</v>
      </c>
      <c r="K265" s="87">
        <v>19.260000000000002</v>
      </c>
      <c r="L265" s="87">
        <v>19.489999999999998</v>
      </c>
      <c r="M265" s="88">
        <v>24422805.5482</v>
      </c>
      <c r="N265" s="86" t="s">
        <v>276</v>
      </c>
      <c r="O265" s="25">
        <f t="shared" si="4"/>
        <v>9.4920472036942094E-2</v>
      </c>
      <c r="Q265" s="89">
        <v>5.0000000000000001E-3</v>
      </c>
      <c r="R265">
        <v>8</v>
      </c>
      <c r="T265" s="89">
        <v>5.0000000000000001E-3</v>
      </c>
      <c r="U265" s="1">
        <f t="shared" si="2"/>
        <v>9.475008621204287</v>
      </c>
    </row>
    <row r="266" spans="1:21" ht="15">
      <c r="A266" s="87">
        <v>683.70235093951408</v>
      </c>
      <c r="B266" s="87">
        <v>687.06370962224707</v>
      </c>
      <c r="C266" s="87">
        <v>680.55045377706995</v>
      </c>
      <c r="D266" s="87">
        <v>682.97422279755699</v>
      </c>
      <c r="E266" s="88">
        <v>8650055.3813231848</v>
      </c>
      <c r="F266" s="86" t="s">
        <v>277</v>
      </c>
      <c r="G266" s="25">
        <f t="shared" si="3"/>
        <v>1.0661136506362467E-3</v>
      </c>
      <c r="I266" s="87">
        <v>19.489999999999998</v>
      </c>
      <c r="J266" s="87">
        <v>20.05</v>
      </c>
      <c r="K266" s="87">
        <v>18.61</v>
      </c>
      <c r="L266" s="87">
        <v>18.649999999999999</v>
      </c>
      <c r="M266" s="88">
        <v>16403739.9463</v>
      </c>
      <c r="N266" s="86" t="s">
        <v>277</v>
      </c>
      <c r="O266" s="25">
        <f t="shared" si="4"/>
        <v>4.5040214477211737E-2</v>
      </c>
      <c r="Q266" s="89">
        <v>7.4999999999999997E-3</v>
      </c>
      <c r="R266">
        <v>4</v>
      </c>
      <c r="T266" s="89">
        <v>7.4999999999999997E-3</v>
      </c>
      <c r="U266" s="1">
        <f t="shared" si="2"/>
        <v>9.3870262921527363</v>
      </c>
    </row>
    <row r="267" spans="1:21" ht="15">
      <c r="A267" s="87">
        <v>685.04888928422895</v>
      </c>
      <c r="B267" s="87">
        <v>685.76604563226613</v>
      </c>
      <c r="C267" s="87">
        <v>679.24381286479104</v>
      </c>
      <c r="D267" s="87">
        <v>679.57296668238803</v>
      </c>
      <c r="E267" s="88">
        <v>9879044.6329662669</v>
      </c>
      <c r="F267" s="86" t="s">
        <v>278</v>
      </c>
      <c r="G267" s="25">
        <f t="shared" si="3"/>
        <v>8.0578876298948998E-3</v>
      </c>
      <c r="I267" s="87">
        <v>18.09</v>
      </c>
      <c r="J267" s="87">
        <v>19.27</v>
      </c>
      <c r="K267" s="87">
        <v>17.940000000000001</v>
      </c>
      <c r="L267" s="87">
        <v>18.86</v>
      </c>
      <c r="M267" s="88">
        <v>16262413.7728</v>
      </c>
      <c r="N267" s="86" t="s">
        <v>278</v>
      </c>
      <c r="O267" s="25">
        <f t="shared" si="4"/>
        <v>-4.0827147401908737E-2</v>
      </c>
      <c r="Q267" s="89">
        <v>0.01</v>
      </c>
      <c r="R267">
        <v>5</v>
      </c>
      <c r="T267" s="89">
        <v>0.01</v>
      </c>
      <c r="U267" s="1">
        <f t="shared" si="2"/>
        <v>9.2666097041995172</v>
      </c>
    </row>
    <row r="268" spans="1:21" ht="15">
      <c r="A268" s="87">
        <v>679.26376158100902</v>
      </c>
      <c r="B268" s="87">
        <v>679.81733845605856</v>
      </c>
      <c r="C268" s="87">
        <v>671.20448022893697</v>
      </c>
      <c r="D268" s="87">
        <v>675.27401833740896</v>
      </c>
      <c r="E268" s="88">
        <v>5663751.7172183972</v>
      </c>
      <c r="F268" s="86" t="s">
        <v>279</v>
      </c>
      <c r="G268" s="25">
        <f t="shared" si="3"/>
        <v>5.9083322255211179E-3</v>
      </c>
      <c r="I268" s="87">
        <v>19.079999999999998</v>
      </c>
      <c r="J268" s="87">
        <v>19.3</v>
      </c>
      <c r="K268" s="87">
        <v>18.52</v>
      </c>
      <c r="L268" s="87">
        <v>19.05</v>
      </c>
      <c r="M268" s="88">
        <v>18668489.734000001</v>
      </c>
      <c r="N268" s="86" t="s">
        <v>279</v>
      </c>
      <c r="O268" s="25">
        <f t="shared" si="4"/>
        <v>1.5748031496061188E-3</v>
      </c>
      <c r="Q268" s="89">
        <v>1.2500000000000001E-2</v>
      </c>
      <c r="R268">
        <v>4</v>
      </c>
      <c r="T268" s="89">
        <v>1.2500000000000001E-2</v>
      </c>
      <c r="U268" s="1">
        <f t="shared" si="2"/>
        <v>9.1150304886612563</v>
      </c>
    </row>
    <row r="269" spans="1:21" ht="15">
      <c r="A269" s="87">
        <v>668.54132661383403</v>
      </c>
      <c r="B269" s="87">
        <v>675.21915936780954</v>
      </c>
      <c r="C269" s="87">
        <v>666.38686526229003</v>
      </c>
      <c r="D269" s="87">
        <v>668.24209587056407</v>
      </c>
      <c r="E269" s="88">
        <v>5950907.8819259387</v>
      </c>
      <c r="F269" s="86" t="s">
        <v>280</v>
      </c>
      <c r="G269" s="25">
        <f t="shared" si="3"/>
        <v>4.4778792763744413E-4</v>
      </c>
      <c r="I269" s="87">
        <v>18.62</v>
      </c>
      <c r="J269" s="87">
        <v>18.66</v>
      </c>
      <c r="K269" s="87">
        <v>16.809999999999999</v>
      </c>
      <c r="L269" s="87">
        <v>16.91</v>
      </c>
      <c r="M269" s="88">
        <v>31672503.756000001</v>
      </c>
      <c r="N269" s="86" t="s">
        <v>280</v>
      </c>
      <c r="O269" s="25">
        <f t="shared" si="4"/>
        <v>0.101123595505618</v>
      </c>
      <c r="Q269" s="89">
        <v>1.5000000000000001E-2</v>
      </c>
      <c r="R269">
        <v>6</v>
      </c>
      <c r="T269" s="89">
        <v>1.5000000000000001E-2</v>
      </c>
      <c r="U269" s="1">
        <f t="shared" si="2"/>
        <v>8.9338734546394516</v>
      </c>
    </row>
    <row r="270" spans="1:21" ht="15">
      <c r="A270" s="87">
        <v>672.02018322258823</v>
      </c>
      <c r="B270" s="87">
        <v>677.81834762475421</v>
      </c>
      <c r="C270" s="87">
        <v>668.90727506156247</v>
      </c>
      <c r="D270" s="87">
        <v>677.42053188532611</v>
      </c>
      <c r="E270" s="88">
        <v>23415648.27321526</v>
      </c>
      <c r="F270" s="86" t="s">
        <v>281</v>
      </c>
      <c r="G270" s="25">
        <f t="shared" si="3"/>
        <v>-7.9719294124555029E-3</v>
      </c>
      <c r="I270" s="87">
        <v>16.84</v>
      </c>
      <c r="J270" s="87">
        <v>18.27</v>
      </c>
      <c r="K270" s="87">
        <v>16.8</v>
      </c>
      <c r="L270" s="87">
        <v>18.21</v>
      </c>
      <c r="M270" s="88">
        <v>24952192.451900002</v>
      </c>
      <c r="N270" s="86" t="s">
        <v>281</v>
      </c>
      <c r="O270" s="25">
        <f t="shared" si="4"/>
        <v>-7.5233388248215349E-2</v>
      </c>
      <c r="Q270" s="89">
        <v>1.7500000000000002E-2</v>
      </c>
      <c r="R270">
        <v>9</v>
      </c>
      <c r="T270" s="89">
        <v>1.7500000000000002E-2</v>
      </c>
      <c r="U270" s="1">
        <f t="shared" si="2"/>
        <v>8.7250090123581554</v>
      </c>
    </row>
    <row r="271" spans="1:21" ht="15">
      <c r="A271" s="87">
        <v>672.00029243561676</v>
      </c>
      <c r="B271" s="87">
        <v>678.34545347949677</v>
      </c>
      <c r="C271" s="87">
        <v>670.00126834498997</v>
      </c>
      <c r="D271" s="87">
        <v>673.97942573927207</v>
      </c>
      <c r="E271" s="88">
        <v>9618278.8695581611</v>
      </c>
      <c r="F271" s="86" t="s">
        <v>282</v>
      </c>
      <c r="G271" s="25">
        <f t="shared" si="3"/>
        <v>-2.9364891984416941E-3</v>
      </c>
      <c r="I271" s="87">
        <v>18.64</v>
      </c>
      <c r="J271" s="87">
        <v>19.5</v>
      </c>
      <c r="K271" s="87">
        <v>18.350000000000001</v>
      </c>
      <c r="L271" s="87">
        <v>18.91</v>
      </c>
      <c r="M271" s="88">
        <v>17385498.572299998</v>
      </c>
      <c r="N271" s="86" t="s">
        <v>282</v>
      </c>
      <c r="O271" s="25">
        <f t="shared" si="4"/>
        <v>-1.4278159703860371E-2</v>
      </c>
      <c r="Q271" s="89">
        <v>0.02</v>
      </c>
      <c r="R271">
        <v>2</v>
      </c>
      <c r="T271" s="89">
        <v>0.02</v>
      </c>
      <c r="U271" s="1">
        <f t="shared" si="2"/>
        <v>8.4905610434748446</v>
      </c>
    </row>
    <row r="272" spans="1:21" ht="15">
      <c r="A272" s="87">
        <v>672.64674301218759</v>
      </c>
      <c r="B272" s="87">
        <v>678.00611665376437</v>
      </c>
      <c r="C272" s="87">
        <v>671.33395107207446</v>
      </c>
      <c r="D272" s="87">
        <v>672.66166110241613</v>
      </c>
      <c r="E272" s="88">
        <v>17308363.329658005</v>
      </c>
      <c r="F272" s="86" t="s">
        <v>283</v>
      </c>
      <c r="G272" s="25">
        <f t="shared" si="3"/>
        <v>-2.2177702537873323E-5</v>
      </c>
      <c r="I272" s="87">
        <v>18.989999999999998</v>
      </c>
      <c r="J272" s="87">
        <v>20.03</v>
      </c>
      <c r="K272" s="87">
        <v>18.945</v>
      </c>
      <c r="L272" s="87">
        <v>19.010000000000002</v>
      </c>
      <c r="M272" s="88">
        <v>16771667.4966</v>
      </c>
      <c r="N272" s="86" t="s">
        <v>283</v>
      </c>
      <c r="O272" s="25">
        <f t="shared" si="4"/>
        <v>-1.0520778537613795E-3</v>
      </c>
      <c r="Q272" s="89">
        <v>2.2499999999999999E-2</v>
      </c>
      <c r="R272">
        <v>0</v>
      </c>
      <c r="T272" s="89">
        <v>2.2499999999999999E-2</v>
      </c>
      <c r="U272" s="1">
        <f t="shared" si="2"/>
        <v>8.2328709896809098</v>
      </c>
    </row>
    <row r="273" spans="1:21" ht="15">
      <c r="A273" s="87">
        <v>682.35344705423586</v>
      </c>
      <c r="B273" s="87">
        <v>687.72395953651665</v>
      </c>
      <c r="C273" s="87">
        <v>681.25945377080825</v>
      </c>
      <c r="D273" s="87">
        <v>685.40668285434731</v>
      </c>
      <c r="E273" s="88">
        <v>13399543.572563859</v>
      </c>
      <c r="F273" s="86" t="s">
        <v>284</v>
      </c>
      <c r="G273" s="25">
        <f t="shared" si="3"/>
        <v>-4.4546338349027437E-3</v>
      </c>
      <c r="I273" s="87">
        <v>19.079999999999998</v>
      </c>
      <c r="J273" s="87">
        <v>20.13</v>
      </c>
      <c r="K273" s="87">
        <v>18.32</v>
      </c>
      <c r="L273" s="87">
        <v>18.495000000000001</v>
      </c>
      <c r="M273" s="88">
        <v>16997763.587499999</v>
      </c>
      <c r="N273" s="86" t="s">
        <v>284</v>
      </c>
      <c r="O273" s="25">
        <f t="shared" si="4"/>
        <v>3.1630170316301554E-2</v>
      </c>
      <c r="Q273" s="89">
        <v>2.4999999999999998E-2</v>
      </c>
      <c r="R273">
        <v>7</v>
      </c>
      <c r="T273" s="89">
        <v>2.4999999999999998E-2</v>
      </c>
      <c r="U273" s="1">
        <f t="shared" si="2"/>
        <v>7.9544590076339032</v>
      </c>
    </row>
    <row r="274" spans="1:21" ht="15">
      <c r="A274" s="87">
        <v>684.35247114486265</v>
      </c>
      <c r="B274" s="87">
        <v>685.93378870908975</v>
      </c>
      <c r="C274" s="87">
        <v>681.95563131480776</v>
      </c>
      <c r="D274" s="87">
        <v>685.53597296966154</v>
      </c>
      <c r="E274" s="88">
        <v>17814551.382371638</v>
      </c>
      <c r="F274" s="86" t="s">
        <v>285</v>
      </c>
      <c r="G274" s="25">
        <f t="shared" si="3"/>
        <v>-1.7263890903814749E-3</v>
      </c>
      <c r="I274" s="87">
        <v>18.88</v>
      </c>
      <c r="J274" s="87">
        <v>19.18</v>
      </c>
      <c r="K274" s="87">
        <v>18.29</v>
      </c>
      <c r="L274" s="87">
        <v>18.95</v>
      </c>
      <c r="M274" s="88">
        <v>18804360.171500001</v>
      </c>
      <c r="N274" s="86" t="s">
        <v>285</v>
      </c>
      <c r="O274" s="25">
        <f t="shared" si="4"/>
        <v>-3.6939313984168942E-3</v>
      </c>
      <c r="Q274" s="89">
        <v>2.7499999999999997E-2</v>
      </c>
      <c r="R274">
        <v>1</v>
      </c>
      <c r="T274" s="89">
        <v>2.7499999999999997E-2</v>
      </c>
      <c r="U274" s="1">
        <f t="shared" si="2"/>
        <v>7.6579830893051559</v>
      </c>
    </row>
    <row r="275" spans="1:21" ht="15">
      <c r="A275" s="87">
        <v>677.68905750944009</v>
      </c>
      <c r="B275" s="87">
        <v>687.75379571697374</v>
      </c>
      <c r="C275" s="87">
        <v>675.92872286247029</v>
      </c>
      <c r="D275" s="87">
        <v>686.98800041857453</v>
      </c>
      <c r="E275" s="88">
        <v>15043100.550424442</v>
      </c>
      <c r="F275" s="86" t="s">
        <v>286</v>
      </c>
      <c r="G275" s="25">
        <f t="shared" si="3"/>
        <v>-1.3535815623371472E-2</v>
      </c>
      <c r="I275" s="87">
        <v>18.649999999999999</v>
      </c>
      <c r="J275" s="87">
        <v>19.86</v>
      </c>
      <c r="K275" s="87">
        <v>18.23</v>
      </c>
      <c r="L275" s="87">
        <v>18.95</v>
      </c>
      <c r="M275" s="88">
        <v>29513718.5559</v>
      </c>
      <c r="N275" s="86" t="s">
        <v>286</v>
      </c>
      <c r="O275" s="25">
        <f t="shared" si="4"/>
        <v>-1.5831134564643801E-2</v>
      </c>
      <c r="Q275" s="89">
        <v>2.9999999999999995E-2</v>
      </c>
      <c r="R275">
        <v>5</v>
      </c>
      <c r="T275" s="89">
        <v>2.9999999999999995E-2</v>
      </c>
      <c r="U275" s="1">
        <f t="shared" si="2"/>
        <v>7.3461970712116855</v>
      </c>
    </row>
    <row r="276" spans="1:21" ht="15">
      <c r="A276" s="87">
        <v>685.98351567651832</v>
      </c>
      <c r="B276" s="87">
        <v>690.77719533662821</v>
      </c>
      <c r="C276" s="87">
        <v>685.67520847846151</v>
      </c>
      <c r="D276" s="87">
        <v>690.04123621868609</v>
      </c>
      <c r="E276" s="88">
        <v>13356562.333800968</v>
      </c>
      <c r="F276" s="86" t="s">
        <v>287</v>
      </c>
      <c r="G276" s="25">
        <f t="shared" si="3"/>
        <v>-5.8804029805572533E-3</v>
      </c>
      <c r="I276" s="87">
        <v>17.98</v>
      </c>
      <c r="J276" s="87">
        <v>18.5</v>
      </c>
      <c r="K276" s="87">
        <v>17.88</v>
      </c>
      <c r="L276" s="87">
        <v>18.28</v>
      </c>
      <c r="M276" s="88">
        <v>12788030.2104</v>
      </c>
      <c r="N276" s="86" t="s">
        <v>287</v>
      </c>
      <c r="O276" s="25">
        <f t="shared" si="4"/>
        <v>-1.6411378555798772E-2</v>
      </c>
      <c r="Q276" s="89">
        <v>3.2499999999999994E-2</v>
      </c>
      <c r="R276">
        <v>8</v>
      </c>
      <c r="T276" s="89">
        <v>3.2499999999999994E-2</v>
      </c>
      <c r="U276" s="1">
        <f t="shared" ref="U276:U316" si="5">_xlfn.NORM.DIST(T276,$S$202,$S$204,FALSE)</f>
        <v>7.0219084537208376</v>
      </c>
    </row>
    <row r="277" spans="1:21" ht="15">
      <c r="A277" s="87">
        <v>690.04123621868609</v>
      </c>
      <c r="B277" s="87">
        <v>691.95075176794137</v>
      </c>
      <c r="C277" s="87">
        <v>687.48527009285976</v>
      </c>
      <c r="D277" s="87">
        <v>687.5250516668026</v>
      </c>
      <c r="E277" s="88">
        <v>14094112.851087499</v>
      </c>
      <c r="F277" s="86" t="s">
        <v>288</v>
      </c>
      <c r="G277" s="25">
        <f t="shared" si="3"/>
        <v>3.6597714451034324E-3</v>
      </c>
      <c r="I277" s="87">
        <v>18.510000000000002</v>
      </c>
      <c r="J277" s="87">
        <v>19.399999999999999</v>
      </c>
      <c r="K277" s="87">
        <v>18.47</v>
      </c>
      <c r="L277" s="87">
        <v>18.87</v>
      </c>
      <c r="M277" s="88">
        <v>18216374.824900001</v>
      </c>
      <c r="N277" s="86" t="s">
        <v>288</v>
      </c>
      <c r="O277" s="25">
        <f t="shared" si="4"/>
        <v>-1.9077901430842537E-2</v>
      </c>
      <c r="Q277" s="89">
        <v>3.4999999999999996E-2</v>
      </c>
      <c r="R277">
        <v>1</v>
      </c>
      <c r="T277" s="89">
        <v>3.4999999999999996E-2</v>
      </c>
      <c r="U277" s="1">
        <f t="shared" si="5"/>
        <v>6.6879369235948891</v>
      </c>
    </row>
    <row r="278" spans="1:21" ht="15">
      <c r="A278" s="87">
        <v>678.22610875766827</v>
      </c>
      <c r="B278" s="87">
        <v>680.70121883445574</v>
      </c>
      <c r="C278" s="87">
        <v>672.11963715744514</v>
      </c>
      <c r="D278" s="87">
        <v>677.355886827669</v>
      </c>
      <c r="E278" s="88">
        <v>6330869.3153768443</v>
      </c>
      <c r="F278" s="86" t="s">
        <v>289</v>
      </c>
      <c r="G278" s="25">
        <f t="shared" si="3"/>
        <v>1.2847336930588149E-3</v>
      </c>
      <c r="I278" s="87">
        <v>18.54</v>
      </c>
      <c r="J278" s="87">
        <v>19.13</v>
      </c>
      <c r="K278" s="87">
        <v>17.829999999999998</v>
      </c>
      <c r="L278" s="87">
        <v>18.98</v>
      </c>
      <c r="M278" s="88">
        <v>23378131.2064</v>
      </c>
      <c r="N278" s="86" t="s">
        <v>289</v>
      </c>
      <c r="O278" s="25">
        <f t="shared" si="4"/>
        <v>-2.3182297154899945E-2</v>
      </c>
      <c r="Q278" s="89">
        <v>3.7499999999999999E-2</v>
      </c>
      <c r="R278">
        <v>6</v>
      </c>
      <c r="T278" s="89">
        <v>3.7499999999999999E-2</v>
      </c>
      <c r="U278" s="1">
        <f t="shared" si="5"/>
        <v>6.347074420975841</v>
      </c>
    </row>
    <row r="279" spans="1:21" ht="15">
      <c r="A279" s="87">
        <v>674.52642238098588</v>
      </c>
      <c r="B279" s="87">
        <v>676.66468198041252</v>
      </c>
      <c r="C279" s="87">
        <v>662.36320614796841</v>
      </c>
      <c r="D279" s="87">
        <v>666.44081747710754</v>
      </c>
      <c r="E279" s="88">
        <v>19977996.368628435</v>
      </c>
      <c r="F279" s="86" t="s">
        <v>290</v>
      </c>
      <c r="G279" s="25">
        <f t="shared" si="3"/>
        <v>1.2132517534696241E-2</v>
      </c>
      <c r="I279" s="87">
        <v>19.34</v>
      </c>
      <c r="J279" s="87">
        <v>19.73</v>
      </c>
      <c r="K279" s="87">
        <v>18.75</v>
      </c>
      <c r="L279" s="87">
        <v>19.47</v>
      </c>
      <c r="M279" s="88">
        <v>19849603.041299999</v>
      </c>
      <c r="N279" s="86" t="s">
        <v>290</v>
      </c>
      <c r="O279" s="25">
        <f t="shared" si="4"/>
        <v>-6.6769388803286089E-3</v>
      </c>
      <c r="Q279" s="89">
        <v>0.04</v>
      </c>
      <c r="R279">
        <v>5</v>
      </c>
      <c r="T279" s="89">
        <v>0.04</v>
      </c>
      <c r="U279" s="1">
        <f t="shared" si="5"/>
        <v>6.0020475186621098</v>
      </c>
    </row>
    <row r="280" spans="1:21" ht="15">
      <c r="A280" s="87">
        <v>663.40747246396734</v>
      </c>
      <c r="B280" s="87">
        <v>675.16790026081389</v>
      </c>
      <c r="C280" s="87">
        <v>663.23840077471039</v>
      </c>
      <c r="D280" s="87">
        <v>670.63280083133236</v>
      </c>
      <c r="E280" s="88">
        <v>16398150.973655067</v>
      </c>
      <c r="F280" s="86" t="s">
        <v>291</v>
      </c>
      <c r="G280" s="25">
        <f t="shared" si="3"/>
        <v>-1.0773896472716982E-2</v>
      </c>
      <c r="I280" s="87">
        <v>19.79</v>
      </c>
      <c r="J280" s="87">
        <v>20.63</v>
      </c>
      <c r="K280" s="87">
        <v>19.61</v>
      </c>
      <c r="L280" s="87">
        <v>19.71</v>
      </c>
      <c r="M280" s="88">
        <v>12427269.0011</v>
      </c>
      <c r="N280" s="86" t="s">
        <v>291</v>
      </c>
      <c r="O280" s="25">
        <f t="shared" si="4"/>
        <v>4.0588533739218668E-3</v>
      </c>
      <c r="Q280" s="89">
        <v>4.2500000000000003E-2</v>
      </c>
      <c r="R280">
        <v>2</v>
      </c>
      <c r="T280" s="89">
        <v>4.2500000000000003E-2</v>
      </c>
      <c r="U280" s="1">
        <f t="shared" si="5"/>
        <v>5.6554827900049656</v>
      </c>
    </row>
    <row r="281" spans="1:21" ht="15">
      <c r="A281" s="87">
        <v>673.99931652624355</v>
      </c>
      <c r="B281" s="87">
        <v>683.00984302429242</v>
      </c>
      <c r="C281" s="87">
        <v>660.69247949630471</v>
      </c>
      <c r="D281" s="87">
        <v>679.97649801115233</v>
      </c>
      <c r="E281" s="88">
        <v>13859820.889854478</v>
      </c>
      <c r="F281" s="86" t="s">
        <v>292</v>
      </c>
      <c r="G281" s="25">
        <f t="shared" si="3"/>
        <v>-8.7902765792513549E-3</v>
      </c>
      <c r="I281" s="87">
        <v>20.49</v>
      </c>
      <c r="J281" s="87">
        <v>21.132200000000001</v>
      </c>
      <c r="K281" s="87">
        <v>19.765000000000001</v>
      </c>
      <c r="L281" s="87">
        <v>20.69</v>
      </c>
      <c r="M281" s="88">
        <v>16538623.5296</v>
      </c>
      <c r="N281" s="86" t="s">
        <v>292</v>
      </c>
      <c r="O281" s="25">
        <f t="shared" si="4"/>
        <v>-9.6665055582407788E-3</v>
      </c>
      <c r="Q281" s="89">
        <v>4.5000000000000005E-2</v>
      </c>
      <c r="R281">
        <v>3</v>
      </c>
      <c r="T281" s="89">
        <v>4.5000000000000005E-2</v>
      </c>
      <c r="U281" s="1">
        <f t="shared" si="5"/>
        <v>5.3098757357504072</v>
      </c>
    </row>
    <row r="282" spans="1:21" ht="15">
      <c r="A282" s="87">
        <v>675.96850443641301</v>
      </c>
      <c r="B282" s="87">
        <v>681.5478701818937</v>
      </c>
      <c r="C282" s="87">
        <v>674.99385587481402</v>
      </c>
      <c r="D282" s="87">
        <v>679.73780856749545</v>
      </c>
      <c r="E282" s="88">
        <v>8792759.6476389263</v>
      </c>
      <c r="F282" s="86" t="s">
        <v>293</v>
      </c>
      <c r="G282" s="25">
        <f t="shared" si="3"/>
        <v>-5.5452324169315004E-3</v>
      </c>
      <c r="I282" s="87">
        <v>21.1</v>
      </c>
      <c r="J282" s="87">
        <v>21.94</v>
      </c>
      <c r="K282" s="87">
        <v>21.06</v>
      </c>
      <c r="L282" s="87">
        <v>21.6</v>
      </c>
      <c r="M282" s="88">
        <v>10994544.214299999</v>
      </c>
      <c r="N282" s="86" t="s">
        <v>293</v>
      </c>
      <c r="O282" s="25">
        <f t="shared" si="4"/>
        <v>-2.314814814814814E-2</v>
      </c>
      <c r="Q282" s="89">
        <v>4.7500000000000007E-2</v>
      </c>
      <c r="R282">
        <v>4</v>
      </c>
      <c r="T282" s="89">
        <v>4.7500000000000007E-2</v>
      </c>
      <c r="U282" s="1">
        <f t="shared" si="5"/>
        <v>4.9675637236971983</v>
      </c>
    </row>
    <row r="283" spans="1:21" ht="15">
      <c r="A283" s="87">
        <v>674.29767833081462</v>
      </c>
      <c r="B283" s="87">
        <v>688.40024629354457</v>
      </c>
      <c r="C283" s="87">
        <v>672.55723447081618</v>
      </c>
      <c r="D283" s="87">
        <v>687.93281279971654</v>
      </c>
      <c r="E283" s="88">
        <v>10747916.965441236</v>
      </c>
      <c r="F283" s="86" t="s">
        <v>294</v>
      </c>
      <c r="G283" s="25">
        <f t="shared" si="3"/>
        <v>-1.9820444984169794E-2</v>
      </c>
      <c r="I283" s="87">
        <v>21.75</v>
      </c>
      <c r="J283" s="87">
        <v>22.66</v>
      </c>
      <c r="K283" s="87">
        <v>21.26</v>
      </c>
      <c r="L283" s="87">
        <v>22.44</v>
      </c>
      <c r="M283" s="88">
        <v>16343821.0426</v>
      </c>
      <c r="N283" s="86" t="s">
        <v>294</v>
      </c>
      <c r="O283" s="25">
        <f t="shared" si="4"/>
        <v>-3.074866310160429E-2</v>
      </c>
      <c r="Q283" s="89">
        <v>5.000000000000001E-2</v>
      </c>
      <c r="R283">
        <v>1</v>
      </c>
      <c r="T283" s="89">
        <v>5.000000000000001E-2</v>
      </c>
      <c r="U283" s="1">
        <f t="shared" si="5"/>
        <v>4.6307032723167429</v>
      </c>
    </row>
    <row r="284" spans="1:21" ht="15">
      <c r="A284" s="87">
        <v>692.25905896599818</v>
      </c>
      <c r="B284" s="87">
        <v>693.39283382336873</v>
      </c>
      <c r="C284" s="87">
        <v>687.12723592737439</v>
      </c>
      <c r="D284" s="87">
        <v>687.71401414303102</v>
      </c>
      <c r="E284" s="88">
        <v>6610989.7924604565</v>
      </c>
      <c r="F284" s="86" t="s">
        <v>295</v>
      </c>
      <c r="G284" s="25">
        <f t="shared" si="3"/>
        <v>6.6089169763841049E-3</v>
      </c>
      <c r="I284" s="87">
        <v>22.51</v>
      </c>
      <c r="J284" s="87">
        <v>23.6</v>
      </c>
      <c r="K284" s="87">
        <v>22.43</v>
      </c>
      <c r="L284" s="87">
        <v>23.5</v>
      </c>
      <c r="M284" s="88">
        <v>14176131.945900001</v>
      </c>
      <c r="N284" s="86" t="s">
        <v>295</v>
      </c>
      <c r="O284" s="25">
        <f t="shared" si="4"/>
        <v>-4.2127659574468068E-2</v>
      </c>
      <c r="Q284" s="89">
        <v>5.2500000000000012E-2</v>
      </c>
      <c r="R284">
        <v>0</v>
      </c>
      <c r="T284" s="89">
        <v>5.2500000000000012E-2</v>
      </c>
      <c r="U284" s="1">
        <f t="shared" si="5"/>
        <v>4.3012518846590337</v>
      </c>
    </row>
    <row r="285" spans="1:21" ht="15">
      <c r="A285" s="87">
        <v>689.57380272485784</v>
      </c>
      <c r="B285" s="87">
        <v>693.84027707629059</v>
      </c>
      <c r="C285" s="87">
        <v>689.06658765708687</v>
      </c>
      <c r="D285" s="87">
        <v>693.27348910154024</v>
      </c>
      <c r="E285" s="88">
        <v>5914876.338231544</v>
      </c>
      <c r="F285" s="86" t="s">
        <v>296</v>
      </c>
      <c r="G285" s="25">
        <f t="shared" si="3"/>
        <v>-5.336546737820691E-3</v>
      </c>
      <c r="I285" s="87">
        <v>22.79</v>
      </c>
      <c r="J285" s="87">
        <v>23.9</v>
      </c>
      <c r="K285" s="87">
        <v>22.28</v>
      </c>
      <c r="L285" s="87">
        <v>23.9</v>
      </c>
      <c r="M285" s="88">
        <v>14519245.243000001</v>
      </c>
      <c r="N285" s="86" t="s">
        <v>296</v>
      </c>
      <c r="O285" s="25">
        <f t="shared" si="4"/>
        <v>-4.644351464435148E-2</v>
      </c>
      <c r="Q285" s="89">
        <v>5.5000000000000014E-2</v>
      </c>
      <c r="R285">
        <v>1</v>
      </c>
      <c r="T285" s="89">
        <v>5.5000000000000014E-2</v>
      </c>
      <c r="U285" s="1">
        <f t="shared" si="5"/>
        <v>3.9809545159565314</v>
      </c>
    </row>
    <row r="286" spans="1:21" ht="15">
      <c r="A286" s="87">
        <v>694.44704553285339</v>
      </c>
      <c r="B286" s="87">
        <v>695.33218555308122</v>
      </c>
      <c r="C286" s="87">
        <v>691.98058794839847</v>
      </c>
      <c r="D286" s="87">
        <v>692.25905896599818</v>
      </c>
      <c r="E286" s="88">
        <v>4724193.7123484621</v>
      </c>
      <c r="F286" s="86" t="s">
        <v>297</v>
      </c>
      <c r="G286" s="25">
        <f t="shared" si="3"/>
        <v>3.1606470706548873E-3</v>
      </c>
      <c r="I286" s="87">
        <v>24.29</v>
      </c>
      <c r="J286" s="87">
        <v>25.914999999999999</v>
      </c>
      <c r="K286" s="87">
        <v>24</v>
      </c>
      <c r="L286" s="87">
        <v>25.52</v>
      </c>
      <c r="M286" s="88">
        <v>20199649.173700001</v>
      </c>
      <c r="N286" s="86" t="s">
        <v>297</v>
      </c>
      <c r="O286" s="25">
        <f t="shared" si="4"/>
        <v>-4.8197492163009392E-2</v>
      </c>
      <c r="Q286" s="89">
        <v>5.7500000000000016E-2</v>
      </c>
      <c r="R286">
        <v>1</v>
      </c>
      <c r="T286" s="89">
        <v>5.7500000000000016E-2</v>
      </c>
      <c r="U286" s="1">
        <f t="shared" si="5"/>
        <v>3.6713346410302323</v>
      </c>
    </row>
    <row r="287" spans="1:21" ht="15">
      <c r="A287" s="87">
        <v>693.49228775822564</v>
      </c>
      <c r="B287" s="87">
        <v>695.24267701170982</v>
      </c>
      <c r="C287" s="87">
        <v>690.15063554702886</v>
      </c>
      <c r="D287" s="87">
        <v>690.747359156171</v>
      </c>
      <c r="E287" s="88">
        <v>10003458.272314427</v>
      </c>
      <c r="F287" s="86" t="s">
        <v>298</v>
      </c>
      <c r="G287" s="25">
        <f t="shared" si="3"/>
        <v>3.9738531977999703E-3</v>
      </c>
      <c r="I287" s="87">
        <v>27.12</v>
      </c>
      <c r="J287" s="87">
        <v>27.734999999999999</v>
      </c>
      <c r="K287" s="87">
        <v>25.35</v>
      </c>
      <c r="L287" s="87">
        <v>26.31</v>
      </c>
      <c r="M287" s="88">
        <v>23174634.466499999</v>
      </c>
      <c r="N287" s="86" t="s">
        <v>298</v>
      </c>
      <c r="O287" s="25">
        <f t="shared" si="4"/>
        <v>3.0786773090079933E-2</v>
      </c>
      <c r="Q287" s="89">
        <v>6.0000000000000019E-2</v>
      </c>
      <c r="R287">
        <v>3</v>
      </c>
      <c r="T287" s="89">
        <v>6.0000000000000019E-2</v>
      </c>
      <c r="U287" s="1">
        <f t="shared" si="5"/>
        <v>3.37368977916441</v>
      </c>
    </row>
    <row r="288" spans="1:21" ht="15">
      <c r="A288" s="87">
        <v>691.69217153731313</v>
      </c>
      <c r="B288" s="87">
        <v>693.19392595365457</v>
      </c>
      <c r="C288" s="87">
        <v>690.10090857960029</v>
      </c>
      <c r="D288" s="87">
        <v>691.20484725651352</v>
      </c>
      <c r="E288" s="88">
        <v>5066888.089891063</v>
      </c>
      <c r="F288" s="86" t="s">
        <v>299</v>
      </c>
      <c r="G288" s="25">
        <f t="shared" si="3"/>
        <v>7.0503597122306694E-4</v>
      </c>
      <c r="I288" s="87">
        <v>25.5</v>
      </c>
      <c r="J288" s="87">
        <v>25.76</v>
      </c>
      <c r="K288" s="87">
        <v>22.83</v>
      </c>
      <c r="L288" s="87">
        <v>23.39</v>
      </c>
      <c r="M288" s="88">
        <v>31920099.736000001</v>
      </c>
      <c r="N288" s="86" t="s">
        <v>299</v>
      </c>
      <c r="O288" s="25">
        <f t="shared" si="4"/>
        <v>9.0209491235570649E-2</v>
      </c>
      <c r="Q288" s="89">
        <v>6.2500000000000014E-2</v>
      </c>
      <c r="R288">
        <v>1</v>
      </c>
      <c r="T288" s="89">
        <v>6.2500000000000014E-2</v>
      </c>
      <c r="U288" s="1">
        <f t="shared" si="5"/>
        <v>3.0890912372879993</v>
      </c>
    </row>
    <row r="289" spans="1:21" ht="15">
      <c r="A289" s="87">
        <v>690.12079936657165</v>
      </c>
      <c r="B289" s="87">
        <v>690.49872431902838</v>
      </c>
      <c r="C289" s="87">
        <v>685.08843026280488</v>
      </c>
      <c r="D289" s="87">
        <v>685.99346107000395</v>
      </c>
      <c r="E289" s="88">
        <v>8491219.4834100865</v>
      </c>
      <c r="F289" s="86" t="s">
        <v>300</v>
      </c>
      <c r="G289" s="25">
        <f t="shared" si="3"/>
        <v>6.016585479007297E-3</v>
      </c>
      <c r="I289" s="87">
        <v>23.46</v>
      </c>
      <c r="J289" s="87">
        <v>23.75</v>
      </c>
      <c r="K289" s="87">
        <v>21.36</v>
      </c>
      <c r="L289" s="87">
        <v>21.7</v>
      </c>
      <c r="M289" s="88">
        <v>18587703.8281</v>
      </c>
      <c r="N289" s="86" t="s">
        <v>300</v>
      </c>
      <c r="O289" s="25">
        <f t="shared" si="4"/>
        <v>8.1105990783410187E-2</v>
      </c>
      <c r="Q289" s="89">
        <v>6.5000000000000016E-2</v>
      </c>
      <c r="R289">
        <v>0</v>
      </c>
      <c r="T289" s="89">
        <v>6.5000000000000016E-2</v>
      </c>
      <c r="U289" s="1">
        <f t="shared" si="5"/>
        <v>2.818387749227937</v>
      </c>
    </row>
    <row r="290" spans="1:21" ht="15">
      <c r="A290" s="87">
        <v>686.19236893971811</v>
      </c>
      <c r="B290" s="87">
        <v>687.00789120554589</v>
      </c>
      <c r="C290" s="87">
        <v>684.16350866863422</v>
      </c>
      <c r="D290" s="87">
        <v>686.59018467914632</v>
      </c>
      <c r="E290" s="88">
        <v>7375641.7633382827</v>
      </c>
      <c r="F290" s="86" t="s">
        <v>301</v>
      </c>
      <c r="G290" s="25">
        <f t="shared" si="3"/>
        <v>-5.7940784518217825E-4</v>
      </c>
      <c r="I290" s="87">
        <v>21.34</v>
      </c>
      <c r="J290" s="87">
        <v>22.43</v>
      </c>
      <c r="K290" s="87">
        <v>21.09</v>
      </c>
      <c r="L290" s="87">
        <v>21.58</v>
      </c>
      <c r="M290" s="88">
        <v>15799678.944800001</v>
      </c>
      <c r="N290" s="86" t="s">
        <v>301</v>
      </c>
      <c r="O290" s="25">
        <f t="shared" si="4"/>
        <v>-1.1121408711770031E-2</v>
      </c>
      <c r="Q290" s="89">
        <v>6.7500000000000018E-2</v>
      </c>
      <c r="R290">
        <v>1</v>
      </c>
      <c r="T290" s="89">
        <v>6.7500000000000018E-2</v>
      </c>
      <c r="U290" s="1">
        <f t="shared" si="5"/>
        <v>2.5622126209990257</v>
      </c>
    </row>
    <row r="291" spans="1:21" ht="15">
      <c r="A291" s="87">
        <v>686.24209590714656</v>
      </c>
      <c r="B291" s="87">
        <v>687.73440219967665</v>
      </c>
      <c r="C291" s="87">
        <v>684.32263496440555</v>
      </c>
      <c r="D291" s="87">
        <v>685.88406174166118</v>
      </c>
      <c r="E291" s="88">
        <v>6639066.6588409934</v>
      </c>
      <c r="F291" s="86" t="s">
        <v>302</v>
      </c>
      <c r="G291" s="25">
        <f t="shared" si="3"/>
        <v>5.220039150293232E-4</v>
      </c>
      <c r="I291" s="87">
        <v>21.96</v>
      </c>
      <c r="J291" s="87">
        <v>23.05</v>
      </c>
      <c r="K291" s="87">
        <v>21.84</v>
      </c>
      <c r="L291" s="87">
        <v>22.7</v>
      </c>
      <c r="M291" s="88">
        <v>13969716.653100001</v>
      </c>
      <c r="N291" s="86" t="s">
        <v>302</v>
      </c>
      <c r="O291" s="25">
        <f t="shared" si="4"/>
        <v>-3.2599118942731264E-2</v>
      </c>
      <c r="Q291" s="89">
        <v>7.0000000000000021E-2</v>
      </c>
      <c r="R291">
        <v>0</v>
      </c>
      <c r="T291" s="89">
        <v>7.0000000000000021E-2</v>
      </c>
      <c r="U291" s="1">
        <f t="shared" si="5"/>
        <v>2.3209939404422215</v>
      </c>
    </row>
    <row r="292" spans="1:21" ht="15">
      <c r="A292" s="87">
        <v>681.80645041252205</v>
      </c>
      <c r="B292" s="87">
        <v>684.81990463869079</v>
      </c>
      <c r="C292" s="87">
        <v>680.74219385561685</v>
      </c>
      <c r="D292" s="87">
        <v>682.35344705423586</v>
      </c>
      <c r="E292" s="88">
        <v>4287137.9216200598</v>
      </c>
      <c r="F292" s="86" t="s">
        <v>303</v>
      </c>
      <c r="G292" s="25">
        <f t="shared" si="3"/>
        <v>-8.0163241509989547E-4</v>
      </c>
      <c r="I292" s="87">
        <v>22.71</v>
      </c>
      <c r="J292" s="87">
        <v>23.09</v>
      </c>
      <c r="K292" s="87">
        <v>21.78</v>
      </c>
      <c r="L292" s="87">
        <v>21.87</v>
      </c>
      <c r="M292" s="88">
        <v>16723903.603700001</v>
      </c>
      <c r="N292" s="86" t="s">
        <v>303</v>
      </c>
      <c r="O292" s="25">
        <f t="shared" si="4"/>
        <v>3.8408779149519789E-2</v>
      </c>
      <c r="Q292" s="89">
        <v>7.2500000000000023E-2</v>
      </c>
      <c r="R292">
        <v>2</v>
      </c>
      <c r="T292" s="89">
        <v>7.2500000000000023E-2</v>
      </c>
      <c r="U292" s="1">
        <f t="shared" si="5"/>
        <v>2.0949673742729207</v>
      </c>
    </row>
    <row r="293" spans="1:21" ht="15">
      <c r="A293" s="87">
        <v>679.11124877789598</v>
      </c>
      <c r="B293" s="87">
        <v>681.08540938480849</v>
      </c>
      <c r="C293" s="87">
        <v>673.91975337835788</v>
      </c>
      <c r="D293" s="87">
        <v>675.37178082727087</v>
      </c>
      <c r="E293" s="88">
        <v>7328955.3834914351</v>
      </c>
      <c r="F293" s="86" t="s">
        <v>304</v>
      </c>
      <c r="G293" s="25">
        <f t="shared" si="3"/>
        <v>5.5369028685867683E-3</v>
      </c>
      <c r="I293" s="87">
        <v>21.59</v>
      </c>
      <c r="J293" s="87">
        <v>22.65</v>
      </c>
      <c r="K293" s="87">
        <v>21.41</v>
      </c>
      <c r="L293" s="87">
        <v>22.3</v>
      </c>
      <c r="M293" s="88">
        <v>15850314.76</v>
      </c>
      <c r="N293" s="86" t="s">
        <v>304</v>
      </c>
      <c r="O293" s="25">
        <f t="shared" si="4"/>
        <v>-3.183856502242155E-2</v>
      </c>
      <c r="Q293" s="89">
        <v>7.5000000000000025E-2</v>
      </c>
      <c r="R293">
        <v>0</v>
      </c>
      <c r="T293" s="89">
        <v>7.5000000000000025E-2</v>
      </c>
      <c r="U293" s="1">
        <f t="shared" si="5"/>
        <v>1.8841910564264479</v>
      </c>
    </row>
    <row r="294" spans="1:21" ht="15">
      <c r="A294" s="87">
        <v>677.84818380521142</v>
      </c>
      <c r="B294" s="87">
        <v>678.27583572509673</v>
      </c>
      <c r="C294" s="87">
        <v>671.05557950840955</v>
      </c>
      <c r="D294" s="87">
        <v>672.62685222521623</v>
      </c>
      <c r="E294" s="88">
        <v>5467375.9044481125</v>
      </c>
      <c r="F294" s="86" t="s">
        <v>305</v>
      </c>
      <c r="G294" s="25">
        <f t="shared" si="3"/>
        <v>7.762597586941089E-3</v>
      </c>
      <c r="I294" s="87">
        <v>22.58</v>
      </c>
      <c r="J294" s="87">
        <v>22.849900000000002</v>
      </c>
      <c r="K294" s="87">
        <v>21.78</v>
      </c>
      <c r="L294" s="87">
        <v>22.43</v>
      </c>
      <c r="M294" s="88">
        <v>17441462.668200001</v>
      </c>
      <c r="N294" s="86" t="s">
        <v>305</v>
      </c>
      <c r="O294" s="25">
        <f t="shared" si="4"/>
        <v>6.6874721355327793E-3</v>
      </c>
      <c r="Q294" s="89">
        <v>7.7500000000000027E-2</v>
      </c>
      <c r="R294">
        <v>1</v>
      </c>
      <c r="T294" s="89">
        <v>7.7500000000000027E-2</v>
      </c>
      <c r="U294" s="1">
        <f t="shared" si="5"/>
        <v>1.6885620676453035</v>
      </c>
    </row>
    <row r="295" spans="1:21" ht="15">
      <c r="A295" s="87">
        <v>670.90629915218915</v>
      </c>
      <c r="B295" s="87">
        <v>674.44685923310021</v>
      </c>
      <c r="C295" s="87">
        <v>668.87743888110526</v>
      </c>
      <c r="D295" s="87">
        <v>671.87100232030252</v>
      </c>
      <c r="E295" s="88">
        <v>5625822.8939277111</v>
      </c>
      <c r="F295" s="86" t="s">
        <v>306</v>
      </c>
      <c r="G295" s="25">
        <f t="shared" si="3"/>
        <v>-1.4358458168037824E-3</v>
      </c>
      <c r="I295" s="87">
        <v>23.27</v>
      </c>
      <c r="J295" s="87">
        <v>25.84</v>
      </c>
      <c r="K295" s="87">
        <v>23.09</v>
      </c>
      <c r="L295" s="87">
        <v>24.6</v>
      </c>
      <c r="M295" s="88">
        <v>34312955.359200001</v>
      </c>
      <c r="N295" s="86" t="s">
        <v>306</v>
      </c>
      <c r="O295" s="25">
        <f t="shared" si="4"/>
        <v>-5.4065040650406626E-2</v>
      </c>
      <c r="Q295" s="89">
        <v>8.0000000000000029E-2</v>
      </c>
      <c r="R295">
        <v>2</v>
      </c>
      <c r="T295" s="89">
        <v>8.0000000000000029E-2</v>
      </c>
      <c r="U295" s="1">
        <f t="shared" si="5"/>
        <v>1.5078340162563375</v>
      </c>
    </row>
    <row r="296" spans="1:21" ht="15">
      <c r="A296" s="87">
        <v>675.2027091380138</v>
      </c>
      <c r="B296" s="87">
        <v>677.88796537915425</v>
      </c>
      <c r="C296" s="87">
        <v>670.56815577367513</v>
      </c>
      <c r="D296" s="87">
        <v>676.46577411069836</v>
      </c>
      <c r="E296" s="88">
        <v>7589447.639300487</v>
      </c>
      <c r="F296" s="86" t="s">
        <v>307</v>
      </c>
      <c r="G296" s="25">
        <f t="shared" si="3"/>
        <v>-1.8671528124908354E-3</v>
      </c>
      <c r="I296" s="87">
        <v>24.36</v>
      </c>
      <c r="J296" s="87">
        <v>24.41</v>
      </c>
      <c r="K296" s="87">
        <v>21.6</v>
      </c>
      <c r="L296" s="87">
        <v>22.135999999999999</v>
      </c>
      <c r="M296" s="88">
        <v>39047298.493699998</v>
      </c>
      <c r="N296" s="86" t="s">
        <v>307</v>
      </c>
      <c r="O296" s="25">
        <f t="shared" si="4"/>
        <v>0.10046982291290196</v>
      </c>
      <c r="Q296" s="89">
        <v>8.2500000000000032E-2</v>
      </c>
      <c r="R296">
        <v>1</v>
      </c>
      <c r="T296" s="89">
        <v>8.2500000000000032E-2</v>
      </c>
      <c r="U296" s="1">
        <f t="shared" si="5"/>
        <v>1.3416352523988511</v>
      </c>
    </row>
    <row r="297" spans="1:21" ht="15">
      <c r="A297" s="87">
        <v>675.72981499275625</v>
      </c>
      <c r="B297" s="87">
        <v>679.7875355349239</v>
      </c>
      <c r="C297" s="87">
        <v>674.73627018353432</v>
      </c>
      <c r="D297" s="87">
        <v>678.31561729903956</v>
      </c>
      <c r="E297" s="88">
        <v>6438468.0519716404</v>
      </c>
      <c r="F297" s="86" t="s">
        <v>308</v>
      </c>
      <c r="G297" s="25">
        <f t="shared" si="3"/>
        <v>-3.8120931323675222E-3</v>
      </c>
      <c r="I297" s="87">
        <v>22.92</v>
      </c>
      <c r="J297" s="87">
        <v>23.93</v>
      </c>
      <c r="K297" s="87">
        <v>21.31</v>
      </c>
      <c r="L297" s="87">
        <v>22.28</v>
      </c>
      <c r="M297" s="88">
        <v>76466406.851500005</v>
      </c>
      <c r="N297" s="86" t="s">
        <v>308</v>
      </c>
      <c r="O297" s="25">
        <f t="shared" si="4"/>
        <v>2.8725314183123851E-2</v>
      </c>
      <c r="Q297" s="89">
        <v>8.5000000000000034E-2</v>
      </c>
      <c r="R297">
        <v>2</v>
      </c>
      <c r="T297" s="89">
        <v>8.5000000000000034E-2</v>
      </c>
      <c r="U297" s="1">
        <f t="shared" si="5"/>
        <v>1.1894872806917438</v>
      </c>
    </row>
    <row r="298" spans="1:21" ht="15">
      <c r="A298" s="87">
        <v>683.9745461924058</v>
      </c>
      <c r="B298" s="87">
        <v>685.33706509994749</v>
      </c>
      <c r="C298" s="87">
        <v>679.92677104372376</v>
      </c>
      <c r="D298" s="87">
        <v>680.00633419160943</v>
      </c>
      <c r="E298" s="88">
        <v>5367141.9009938678</v>
      </c>
      <c r="F298" s="86" t="s">
        <v>309</v>
      </c>
      <c r="G298" s="25">
        <f t="shared" si="3"/>
        <v>5.8355515254335799E-3</v>
      </c>
      <c r="I298" s="87">
        <v>20.239999999999998</v>
      </c>
      <c r="J298" s="87">
        <v>20.45</v>
      </c>
      <c r="K298" s="87">
        <v>19.05</v>
      </c>
      <c r="L298" s="87">
        <v>19.850000000000001</v>
      </c>
      <c r="M298" s="88">
        <v>40199622.204400003</v>
      </c>
      <c r="N298" s="86" t="s">
        <v>309</v>
      </c>
      <c r="O298" s="25">
        <f t="shared" si="4"/>
        <v>1.9647355163727731E-2</v>
      </c>
      <c r="Q298" s="89">
        <v>8.7500000000000036E-2</v>
      </c>
      <c r="R298">
        <v>0</v>
      </c>
      <c r="T298" s="89">
        <v>8.7500000000000036E-2</v>
      </c>
      <c r="U298" s="1">
        <f t="shared" si="5"/>
        <v>1.050822977412798</v>
      </c>
    </row>
    <row r="299" spans="1:21" ht="15">
      <c r="A299" s="87">
        <v>678.68359685801056</v>
      </c>
      <c r="B299" s="87">
        <v>680.17540588086638</v>
      </c>
      <c r="C299" s="87">
        <v>672.50750750338773</v>
      </c>
      <c r="D299" s="87">
        <v>675.19276374452807</v>
      </c>
      <c r="E299" s="88">
        <v>4909318.4452860085</v>
      </c>
      <c r="F299" s="86" t="s">
        <v>310</v>
      </c>
      <c r="G299" s="25">
        <f t="shared" si="3"/>
        <v>5.1701281484755057E-3</v>
      </c>
      <c r="I299" s="87">
        <v>18.940000000000001</v>
      </c>
      <c r="J299" s="87">
        <v>19.305</v>
      </c>
      <c r="K299" s="87">
        <v>18.515000000000001</v>
      </c>
      <c r="L299" s="87">
        <v>19.164999999999999</v>
      </c>
      <c r="M299" s="88">
        <v>12687241.273700001</v>
      </c>
      <c r="N299" s="86" t="s">
        <v>310</v>
      </c>
      <c r="O299" s="25">
        <f t="shared" si="4"/>
        <v>-1.174015131750572E-2</v>
      </c>
      <c r="Q299" s="89">
        <v>9.0000000000000038E-2</v>
      </c>
      <c r="R299">
        <v>0</v>
      </c>
      <c r="T299" s="89">
        <v>9.0000000000000038E-2</v>
      </c>
      <c r="U299" s="1">
        <f t="shared" si="5"/>
        <v>0.92500426558068993</v>
      </c>
    </row>
    <row r="300" spans="1:21" ht="15">
      <c r="A300" s="87">
        <v>674.96401969435681</v>
      </c>
      <c r="B300" s="87">
        <v>675.55079791001344</v>
      </c>
      <c r="C300" s="87">
        <v>669.12607371824788</v>
      </c>
      <c r="D300" s="87">
        <v>673.77057247607229</v>
      </c>
      <c r="E300" s="88">
        <v>6053085.8534182142</v>
      </c>
      <c r="F300" s="86" t="s">
        <v>311</v>
      </c>
      <c r="G300" s="25">
        <f t="shared" si="3"/>
        <v>1.771296145954615E-3</v>
      </c>
      <c r="I300" s="87">
        <v>19.329999999999998</v>
      </c>
      <c r="J300" s="87">
        <v>20.03</v>
      </c>
      <c r="K300" s="87">
        <v>19.155000000000001</v>
      </c>
      <c r="L300" s="87">
        <v>20</v>
      </c>
      <c r="M300" s="88">
        <v>9847992.7410000004</v>
      </c>
      <c r="N300" s="86" t="s">
        <v>311</v>
      </c>
      <c r="O300" s="25">
        <f t="shared" si="4"/>
        <v>-3.3500000000000085E-2</v>
      </c>
      <c r="Q300" s="89">
        <v>9.2500000000000041E-2</v>
      </c>
      <c r="R300">
        <v>1</v>
      </c>
      <c r="T300" s="89">
        <v>9.2500000000000041E-2</v>
      </c>
      <c r="U300" s="1">
        <f t="shared" si="5"/>
        <v>0.81133895277192225</v>
      </c>
    </row>
    <row r="301" spans="1:21" ht="15">
      <c r="A301" s="87">
        <v>675.8093781406418</v>
      </c>
      <c r="B301" s="87">
        <v>677.34096873744033</v>
      </c>
      <c r="C301" s="87">
        <v>673.38270213012981</v>
      </c>
      <c r="D301" s="87">
        <v>673.38270213012981</v>
      </c>
      <c r="E301" s="88">
        <v>5691574.1888302099</v>
      </c>
      <c r="F301" s="86" t="s">
        <v>312</v>
      </c>
      <c r="G301" s="25">
        <f t="shared" si="3"/>
        <v>3.6037100490340368E-3</v>
      </c>
      <c r="I301" s="87">
        <v>20.05</v>
      </c>
      <c r="J301" s="87">
        <v>21.19</v>
      </c>
      <c r="K301" s="87">
        <v>19.61</v>
      </c>
      <c r="L301" s="87">
        <v>20.5</v>
      </c>
      <c r="M301" s="88">
        <v>13839300.5847</v>
      </c>
      <c r="N301" s="86" t="s">
        <v>312</v>
      </c>
      <c r="O301" s="25">
        <f t="shared" si="4"/>
        <v>-2.1951219512195141E-2</v>
      </c>
      <c r="Q301" s="89">
        <v>9.5000000000000043E-2</v>
      </c>
      <c r="R301">
        <v>2</v>
      </c>
      <c r="T301" s="89">
        <v>9.5000000000000043E-2</v>
      </c>
      <c r="U301" s="1">
        <f t="shared" si="5"/>
        <v>0.70909649005555875</v>
      </c>
    </row>
    <row r="302" spans="1:21" ht="15">
      <c r="A302" s="87">
        <v>674.33745990475745</v>
      </c>
      <c r="B302" s="87">
        <v>674.82478418555695</v>
      </c>
      <c r="C302" s="87">
        <v>671.68203984407421</v>
      </c>
      <c r="D302" s="87">
        <v>672.01023782910249</v>
      </c>
      <c r="E302" s="88">
        <v>4333455.8999546627</v>
      </c>
      <c r="F302" s="86" t="s">
        <v>313</v>
      </c>
      <c r="G302" s="25">
        <f t="shared" si="3"/>
        <v>3.4630753292881344E-3</v>
      </c>
      <c r="I302" s="87">
        <v>20.66</v>
      </c>
      <c r="J302" s="87">
        <v>20.88</v>
      </c>
      <c r="K302" s="87">
        <v>19.63</v>
      </c>
      <c r="L302" s="87">
        <v>20</v>
      </c>
      <c r="M302" s="88">
        <v>10456559.961200001</v>
      </c>
      <c r="N302" s="86" t="s">
        <v>313</v>
      </c>
      <c r="O302" s="25">
        <f t="shared" si="4"/>
        <v>3.2999999999999918E-2</v>
      </c>
      <c r="Q302" s="89">
        <v>9.7500000000000045E-2</v>
      </c>
      <c r="R302">
        <v>2</v>
      </c>
      <c r="T302" s="89">
        <v>9.7500000000000045E-2</v>
      </c>
      <c r="U302" s="1">
        <f t="shared" si="5"/>
        <v>0.61752246423021762</v>
      </c>
    </row>
    <row r="303" spans="1:21" ht="15">
      <c r="A303" s="87">
        <v>668.86749348761953</v>
      </c>
      <c r="B303" s="87">
        <v>673.06454899252196</v>
      </c>
      <c r="C303" s="87">
        <v>667.25633974293532</v>
      </c>
      <c r="D303" s="87">
        <v>672.12958255093099</v>
      </c>
      <c r="E303" s="88">
        <v>6082581.6993514737</v>
      </c>
      <c r="F303" s="86" t="s">
        <v>314</v>
      </c>
      <c r="G303" s="25">
        <f t="shared" si="3"/>
        <v>-4.8533633215946947E-3</v>
      </c>
      <c r="I303" s="87">
        <v>20.56</v>
      </c>
      <c r="J303" s="87">
        <v>21.5</v>
      </c>
      <c r="K303" s="87">
        <v>20.09</v>
      </c>
      <c r="L303" s="87">
        <v>20.21</v>
      </c>
      <c r="M303" s="88">
        <v>18168349.4498</v>
      </c>
      <c r="N303" s="86" t="s">
        <v>314</v>
      </c>
      <c r="O303" s="25">
        <f t="shared" si="4"/>
        <v>1.7318159327065707E-2</v>
      </c>
      <c r="Q303" s="89">
        <v>0.10000000000000005</v>
      </c>
      <c r="R303">
        <v>1</v>
      </c>
      <c r="T303" s="89">
        <v>0.10000000000000005</v>
      </c>
      <c r="U303" s="1">
        <f t="shared" si="5"/>
        <v>0.5358516879500167</v>
      </c>
    </row>
    <row r="304" spans="1:21" ht="15">
      <c r="A304" s="87">
        <v>670.97591690658908</v>
      </c>
      <c r="B304" s="87">
        <v>671.65220366361712</v>
      </c>
      <c r="C304" s="87">
        <v>665.49600509596553</v>
      </c>
      <c r="D304" s="87">
        <v>665.79436690053672</v>
      </c>
      <c r="E304" s="88">
        <v>6432672.4269837653</v>
      </c>
      <c r="F304" s="86" t="s">
        <v>315</v>
      </c>
      <c r="G304" s="25">
        <f t="shared" si="3"/>
        <v>7.7825080289788406E-3</v>
      </c>
      <c r="I304" s="87">
        <v>19.29</v>
      </c>
      <c r="J304" s="87">
        <v>19.64</v>
      </c>
      <c r="K304" s="87">
        <v>18.79</v>
      </c>
      <c r="L304" s="87">
        <v>19.350000000000001</v>
      </c>
      <c r="M304" s="88">
        <v>15213066.6087</v>
      </c>
      <c r="N304" s="86" t="s">
        <v>315</v>
      </c>
      <c r="O304" s="25">
        <f t="shared" si="4"/>
        <v>-3.1007751937985883E-3</v>
      </c>
      <c r="Q304" s="89">
        <v>0.10250000000000005</v>
      </c>
      <c r="R304">
        <v>2</v>
      </c>
      <c r="T304" s="89">
        <v>0.10250000000000005</v>
      </c>
      <c r="U304" s="1">
        <f t="shared" si="5"/>
        <v>0.46331980192227618</v>
      </c>
    </row>
    <row r="305" spans="1:21" ht="15">
      <c r="A305" s="87">
        <v>661.6670286039689</v>
      </c>
      <c r="B305" s="87">
        <v>662.9102027896821</v>
      </c>
      <c r="C305" s="87">
        <v>659.70778608728506</v>
      </c>
      <c r="D305" s="87">
        <v>659.95642092442779</v>
      </c>
      <c r="E305" s="88">
        <v>4974776.3077562777</v>
      </c>
      <c r="F305" s="86" t="s">
        <v>316</v>
      </c>
      <c r="G305" s="25">
        <f t="shared" si="3"/>
        <v>2.5920009644651021E-3</v>
      </c>
      <c r="I305" s="87">
        <v>19.420000000000002</v>
      </c>
      <c r="J305" s="87">
        <v>20.04</v>
      </c>
      <c r="K305" s="87">
        <v>18.989999999999998</v>
      </c>
      <c r="L305" s="87">
        <v>20.04</v>
      </c>
      <c r="M305" s="88">
        <v>12638306.956700001</v>
      </c>
      <c r="N305" s="86" t="s">
        <v>316</v>
      </c>
      <c r="O305" s="25">
        <f t="shared" si="4"/>
        <v>-3.0938123752494828E-2</v>
      </c>
      <c r="Q305" s="89">
        <v>0.10500000000000005</v>
      </c>
      <c r="R305">
        <v>0</v>
      </c>
      <c r="T305" s="89">
        <v>0.10500000000000005</v>
      </c>
      <c r="U305" s="1">
        <f t="shared" si="5"/>
        <v>0.39917334900933532</v>
      </c>
    </row>
    <row r="306" spans="1:21" ht="15">
      <c r="A306" s="87">
        <v>656.51531477837364</v>
      </c>
      <c r="B306" s="87">
        <v>660.22494654854177</v>
      </c>
      <c r="C306" s="87">
        <v>653.80022235677609</v>
      </c>
      <c r="D306" s="87">
        <v>658.37510336020057</v>
      </c>
      <c r="E306" s="88">
        <v>5960001.3531085365</v>
      </c>
      <c r="F306" s="86" t="s">
        <v>317</v>
      </c>
      <c r="G306" s="25">
        <f t="shared" si="3"/>
        <v>-2.8248160848352022E-3</v>
      </c>
      <c r="I306" s="87">
        <v>19.96</v>
      </c>
      <c r="J306" s="87">
        <v>20.66</v>
      </c>
      <c r="K306" s="87">
        <v>18.7</v>
      </c>
      <c r="L306" s="87">
        <v>18.739999999999998</v>
      </c>
      <c r="M306" s="88">
        <v>19047862.529599998</v>
      </c>
      <c r="N306" s="86" t="s">
        <v>317</v>
      </c>
      <c r="O306" s="25">
        <f t="shared" si="4"/>
        <v>6.5101387406617084E-2</v>
      </c>
      <c r="Q306" s="89">
        <v>0.10750000000000005</v>
      </c>
      <c r="R306">
        <v>0</v>
      </c>
      <c r="T306" s="89">
        <v>0.10750000000000005</v>
      </c>
      <c r="U306" s="1">
        <f t="shared" si="5"/>
        <v>0.34267832090388278</v>
      </c>
    </row>
    <row r="307" spans="1:21" ht="15">
      <c r="A307" s="87">
        <v>658.9022092149429</v>
      </c>
      <c r="B307" s="87">
        <v>662.77593997762506</v>
      </c>
      <c r="C307" s="87">
        <v>658.76297370614304</v>
      </c>
      <c r="D307" s="87">
        <v>659.46909664362818</v>
      </c>
      <c r="E307" s="88">
        <v>4961324.2346741715</v>
      </c>
      <c r="F307" s="86" t="s">
        <v>318</v>
      </c>
      <c r="G307" s="25">
        <f t="shared" si="3"/>
        <v>-8.59611817400463E-4</v>
      </c>
      <c r="I307" s="87">
        <v>18.739999999999998</v>
      </c>
      <c r="J307" s="87">
        <v>19.28</v>
      </c>
      <c r="K307" s="87">
        <v>18.254999999999999</v>
      </c>
      <c r="L307" s="87">
        <v>18.725000000000001</v>
      </c>
      <c r="M307" s="88">
        <v>24087050.861299999</v>
      </c>
      <c r="N307" s="86" t="s">
        <v>318</v>
      </c>
      <c r="O307" s="25">
        <f t="shared" si="4"/>
        <v>8.0106809078750452E-4</v>
      </c>
      <c r="Q307" s="89">
        <v>0.11000000000000006</v>
      </c>
      <c r="R307">
        <v>2</v>
      </c>
      <c r="T307" s="89">
        <v>0.11000000000000006</v>
      </c>
      <c r="U307" s="1">
        <f t="shared" si="5"/>
        <v>0.2931272134775646</v>
      </c>
    </row>
    <row r="308" spans="1:21" ht="15">
      <c r="A308" s="87">
        <v>656.97280287871615</v>
      </c>
      <c r="B308" s="87">
        <v>658.15630470351505</v>
      </c>
      <c r="C308" s="87">
        <v>649.57840282209429</v>
      </c>
      <c r="D308" s="87">
        <v>653.41235201083362</v>
      </c>
      <c r="E308" s="88">
        <v>5935099.1155695217</v>
      </c>
      <c r="F308" s="86" t="s">
        <v>319</v>
      </c>
      <c r="G308" s="25">
        <f t="shared" si="3"/>
        <v>5.4490106544902162E-3</v>
      </c>
      <c r="I308" s="87">
        <v>17.7</v>
      </c>
      <c r="J308" s="87">
        <v>18</v>
      </c>
      <c r="K308" s="87">
        <v>16.600000000000001</v>
      </c>
      <c r="L308" s="87">
        <v>16.72</v>
      </c>
      <c r="M308" s="88">
        <v>12901319.484300001</v>
      </c>
      <c r="N308" s="86" t="s">
        <v>319</v>
      </c>
      <c r="O308" s="25">
        <f t="shared" si="4"/>
        <v>5.8612440191387671E-2</v>
      </c>
      <c r="Q308" s="89">
        <v>0.11250000000000006</v>
      </c>
      <c r="R308">
        <v>1</v>
      </c>
      <c r="T308" s="89">
        <v>0.11250000000000006</v>
      </c>
      <c r="U308" s="1">
        <f t="shared" si="5"/>
        <v>0.24984465658975241</v>
      </c>
    </row>
    <row r="309" spans="1:21" ht="15">
      <c r="A309" s="87">
        <v>650.66742340877897</v>
      </c>
      <c r="B309" s="87">
        <v>651.14848209168258</v>
      </c>
      <c r="C309" s="87">
        <v>647.70369615003881</v>
      </c>
      <c r="D309" s="87">
        <v>650.05080901266524</v>
      </c>
      <c r="E309" s="88">
        <v>6237160.3812517598</v>
      </c>
      <c r="F309" s="86" t="s">
        <v>320</v>
      </c>
      <c r="G309" s="25">
        <f t="shared" si="3"/>
        <v>9.4856338545334928E-4</v>
      </c>
      <c r="I309" s="87">
        <v>16.86</v>
      </c>
      <c r="J309" s="87">
        <v>17.25</v>
      </c>
      <c r="K309" s="87">
        <v>16.68</v>
      </c>
      <c r="L309" s="87">
        <v>17.13</v>
      </c>
      <c r="M309" s="88">
        <v>10662171.6996</v>
      </c>
      <c r="N309" s="86" t="s">
        <v>320</v>
      </c>
      <c r="O309" s="25">
        <f t="shared" si="4"/>
        <v>-1.5761821366024442E-2</v>
      </c>
      <c r="Q309" s="89">
        <v>0.11500000000000006</v>
      </c>
      <c r="R309">
        <v>0</v>
      </c>
      <c r="T309" s="89">
        <v>0.11500000000000006</v>
      </c>
      <c r="U309" s="1">
        <f t="shared" si="5"/>
        <v>0.21219170798661402</v>
      </c>
    </row>
    <row r="310" spans="1:21" ht="15">
      <c r="A310" s="87">
        <v>650.68731419575045</v>
      </c>
      <c r="B310" s="87">
        <v>651.81114365963515</v>
      </c>
      <c r="C310" s="87">
        <v>648.44960066146677</v>
      </c>
      <c r="D310" s="87">
        <v>650.83649509803593</v>
      </c>
      <c r="E310" s="88">
        <v>5539921.383421571</v>
      </c>
      <c r="F310" s="86" t="s">
        <v>321</v>
      </c>
      <c r="G310" s="25">
        <f t="shared" si="3"/>
        <v>-2.2921410125131825E-4</v>
      </c>
      <c r="I310" s="87">
        <v>17.18</v>
      </c>
      <c r="J310" s="87">
        <v>17.684999999999999</v>
      </c>
      <c r="K310" s="87">
        <v>17.135000000000002</v>
      </c>
      <c r="L310" s="87">
        <v>17.5</v>
      </c>
      <c r="M310" s="88">
        <v>9824636.4011000004</v>
      </c>
      <c r="N310" s="86" t="s">
        <v>321</v>
      </c>
      <c r="O310" s="25">
        <f t="shared" si="4"/>
        <v>-1.828571428571435E-2</v>
      </c>
      <c r="Q310" s="89">
        <v>0.11750000000000006</v>
      </c>
      <c r="R310">
        <v>0</v>
      </c>
      <c r="T310" s="89">
        <v>0.11750000000000006</v>
      </c>
      <c r="U310" s="1">
        <f t="shared" si="5"/>
        <v>0.17956891902639416</v>
      </c>
    </row>
    <row r="311" spans="1:21" ht="15">
      <c r="A311" s="87">
        <v>653.90962168511896</v>
      </c>
      <c r="B311" s="87">
        <v>654.30743742454706</v>
      </c>
      <c r="C311" s="87">
        <v>651.26414701792135</v>
      </c>
      <c r="D311" s="87">
        <v>652.08961467723486</v>
      </c>
      <c r="E311" s="88">
        <v>5311300.4697022615</v>
      </c>
      <c r="F311" s="86" t="s">
        <v>322</v>
      </c>
      <c r="G311" s="25">
        <f t="shared" si="3"/>
        <v>2.791038174691618E-3</v>
      </c>
      <c r="I311" s="87">
        <v>17.309999999999999</v>
      </c>
      <c r="J311" s="87">
        <v>17.805</v>
      </c>
      <c r="K311" s="87">
        <v>17.02</v>
      </c>
      <c r="L311" s="87">
        <v>17.350000000000001</v>
      </c>
      <c r="M311" s="88">
        <v>10668994.958000001</v>
      </c>
      <c r="N311" s="86" t="s">
        <v>322</v>
      </c>
      <c r="O311" s="25">
        <f t="shared" si="4"/>
        <v>-2.305475504322918E-3</v>
      </c>
      <c r="Q311" s="89">
        <v>0.12000000000000006</v>
      </c>
      <c r="R311">
        <v>0</v>
      </c>
      <c r="T311" s="89">
        <v>0.12000000000000006</v>
      </c>
      <c r="U311" s="1">
        <f t="shared" si="5"/>
        <v>0.15141829261607123</v>
      </c>
    </row>
    <row r="312" spans="1:21" ht="15">
      <c r="A312" s="87">
        <v>652.83551918866272</v>
      </c>
      <c r="B312" s="87">
        <v>653.23333492809104</v>
      </c>
      <c r="C312" s="87">
        <v>648.26083709310808</v>
      </c>
      <c r="D312" s="87">
        <v>649.83201035597972</v>
      </c>
      <c r="E312" s="88">
        <v>4748929.650283305</v>
      </c>
      <c r="F312" s="86" t="s">
        <v>323</v>
      </c>
      <c r="G312" s="25">
        <f t="shared" si="3"/>
        <v>4.6219773492501837E-3</v>
      </c>
      <c r="I312" s="87">
        <v>17.47</v>
      </c>
      <c r="J312" s="87">
        <v>17.5</v>
      </c>
      <c r="K312" s="87">
        <v>16.690000000000001</v>
      </c>
      <c r="L312" s="87">
        <v>17.350000000000001</v>
      </c>
      <c r="M312" s="88">
        <v>20804118.9987</v>
      </c>
      <c r="N312" s="86" t="s">
        <v>323</v>
      </c>
      <c r="O312" s="25">
        <f t="shared" si="4"/>
        <v>6.916426512968199E-3</v>
      </c>
      <c r="Q312" s="89">
        <v>0.12250000000000007</v>
      </c>
      <c r="R312">
        <v>0</v>
      </c>
      <c r="T312" s="89">
        <v>0.12250000000000007</v>
      </c>
      <c r="U312" s="1">
        <f t="shared" si="5"/>
        <v>0.12722426135748233</v>
      </c>
    </row>
    <row r="313" spans="1:21" ht="15">
      <c r="A313" s="87">
        <v>647.70369615003881</v>
      </c>
      <c r="B313" s="87">
        <v>651.32381937883554</v>
      </c>
      <c r="C313" s="87">
        <v>642.13427579804386</v>
      </c>
      <c r="D313" s="87">
        <v>648.6683993181523</v>
      </c>
      <c r="E313" s="88">
        <v>6049829.5016160915</v>
      </c>
      <c r="F313" s="86" t="s">
        <v>324</v>
      </c>
      <c r="G313" s="25">
        <f t="shared" si="3"/>
        <v>-1.4872054336662055E-3</v>
      </c>
      <c r="I313" s="87">
        <v>17.32</v>
      </c>
      <c r="J313" s="87">
        <v>18.559999999999999</v>
      </c>
      <c r="K313" s="87">
        <v>16.8</v>
      </c>
      <c r="L313" s="87">
        <v>18.5</v>
      </c>
      <c r="M313" s="88">
        <v>23239871.9353</v>
      </c>
      <c r="N313" s="86" t="s">
        <v>324</v>
      </c>
      <c r="O313" s="25">
        <f t="shared" si="4"/>
        <v>-6.3783783783783798E-2</v>
      </c>
      <c r="Q313" s="89">
        <v>0.12500000000000006</v>
      </c>
      <c r="R313">
        <v>0</v>
      </c>
      <c r="T313" s="89">
        <v>0.12500000000000006</v>
      </c>
      <c r="U313" s="1">
        <f t="shared" si="5"/>
        <v>0.10651381700176071</v>
      </c>
    </row>
    <row r="314" spans="1:21" ht="15">
      <c r="A314" s="87">
        <v>650.32928003026495</v>
      </c>
      <c r="B314" s="87">
        <v>650.61769644135052</v>
      </c>
      <c r="C314" s="87">
        <v>647.53462446078186</v>
      </c>
      <c r="D314" s="87">
        <v>648.41976448100968</v>
      </c>
      <c r="E314" s="88">
        <v>4516534.5547728017</v>
      </c>
      <c r="F314" s="86" t="s">
        <v>325</v>
      </c>
      <c r="G314" s="25">
        <f t="shared" si="3"/>
        <v>2.9448756096810413E-3</v>
      </c>
      <c r="I314" s="87">
        <v>19.170000000000002</v>
      </c>
      <c r="J314" s="87">
        <v>19.600000000000001</v>
      </c>
      <c r="K314" s="87">
        <v>18.8</v>
      </c>
      <c r="L314" s="87">
        <v>18.91</v>
      </c>
      <c r="M314" s="88">
        <v>10236702.8606</v>
      </c>
      <c r="N314" s="86" t="s">
        <v>325</v>
      </c>
      <c r="O314" s="25">
        <f t="shared" si="4"/>
        <v>1.3749338974087921E-2</v>
      </c>
      <c r="Q314" s="89">
        <v>0.12750000000000006</v>
      </c>
      <c r="R314">
        <v>0</v>
      </c>
      <c r="T314" s="89">
        <v>0.12750000000000006</v>
      </c>
      <c r="U314" s="1">
        <f t="shared" si="5"/>
        <v>8.8855921492969864E-2</v>
      </c>
    </row>
    <row r="315" spans="1:21" ht="15">
      <c r="A315" s="87">
        <v>643.71559336227108</v>
      </c>
      <c r="B315" s="87">
        <v>650.28949845632224</v>
      </c>
      <c r="C315" s="87">
        <v>642.41314463138303</v>
      </c>
      <c r="D315" s="87">
        <v>649.37452225563743</v>
      </c>
      <c r="E315" s="88">
        <v>8503460.7723218799</v>
      </c>
      <c r="F315" s="86" t="s">
        <v>326</v>
      </c>
      <c r="G315" s="25">
        <f t="shared" si="3"/>
        <v>-8.7144301160904103E-3</v>
      </c>
      <c r="I315" s="87">
        <v>18.72</v>
      </c>
      <c r="J315" s="87">
        <v>20.329999999999998</v>
      </c>
      <c r="K315" s="87">
        <v>18.66</v>
      </c>
      <c r="L315" s="87">
        <v>19</v>
      </c>
      <c r="M315" s="88">
        <v>21695183.129500002</v>
      </c>
      <c r="N315" s="86" t="s">
        <v>326</v>
      </c>
      <c r="O315" s="25">
        <f t="shared" si="4"/>
        <v>-1.473684210526327E-2</v>
      </c>
      <c r="Q315" s="89">
        <v>0.13000000000000006</v>
      </c>
      <c r="R315">
        <v>0</v>
      </c>
      <c r="T315" s="89">
        <v>0.13000000000000006</v>
      </c>
      <c r="U315" s="1">
        <f t="shared" si="5"/>
        <v>7.3860325776255426E-2</v>
      </c>
    </row>
    <row r="316" spans="1:21" ht="15.75" thickBot="1">
      <c r="A316" s="87">
        <v>647.98216716763852</v>
      </c>
      <c r="B316" s="87">
        <v>649.03637887712341</v>
      </c>
      <c r="C316" s="87">
        <v>645.62510891152647</v>
      </c>
      <c r="D316" s="87">
        <v>648.06173031552419</v>
      </c>
      <c r="E316" s="88">
        <v>6385417.708135739</v>
      </c>
      <c r="F316" s="86" t="s">
        <v>327</v>
      </c>
      <c r="G316" s="25">
        <f t="shared" ref="G316:G379" si="6">A316/D316-1</f>
        <v>-1.2277094011847733E-4</v>
      </c>
      <c r="I316" s="87">
        <v>19.010000000000002</v>
      </c>
      <c r="J316" s="87">
        <v>19.329999999999998</v>
      </c>
      <c r="K316" s="87">
        <v>18.5</v>
      </c>
      <c r="L316" s="87">
        <v>18.690000000000001</v>
      </c>
      <c r="M316" s="88">
        <v>13423283.162799999</v>
      </c>
      <c r="N316" s="86" t="s">
        <v>327</v>
      </c>
      <c r="O316" s="25">
        <f t="shared" ref="O316:O379" si="7">I316/L316-1</f>
        <v>1.7121455323702461E-2</v>
      </c>
      <c r="Q316" s="90" t="s">
        <v>452</v>
      </c>
      <c r="R316" s="90">
        <v>0</v>
      </c>
      <c r="T316" s="90" t="s">
        <v>452</v>
      </c>
      <c r="U316" s="1" t="e">
        <f t="shared" si="5"/>
        <v>#VALUE!</v>
      </c>
    </row>
    <row r="317" spans="1:21">
      <c r="A317" s="87">
        <v>649.21539595986599</v>
      </c>
      <c r="B317" s="87">
        <v>651.30392859186418</v>
      </c>
      <c r="C317" s="87">
        <v>645.31680171346966</v>
      </c>
      <c r="D317" s="87">
        <v>645.63505430501209</v>
      </c>
      <c r="E317" s="88">
        <v>7826716.5926497644</v>
      </c>
      <c r="F317" s="86" t="s">
        <v>328</v>
      </c>
      <c r="G317" s="25">
        <f t="shared" si="6"/>
        <v>5.5454573461906076E-3</v>
      </c>
      <c r="I317" s="87">
        <v>18.920000000000002</v>
      </c>
      <c r="J317" s="87">
        <v>21.45</v>
      </c>
      <c r="K317" s="87">
        <v>18.61</v>
      </c>
      <c r="L317" s="87">
        <v>20.97</v>
      </c>
      <c r="M317" s="88">
        <v>36413450.3552</v>
      </c>
      <c r="N317" s="86" t="s">
        <v>328</v>
      </c>
      <c r="O317" s="25">
        <f t="shared" si="7"/>
        <v>-9.7758702908917416E-2</v>
      </c>
    </row>
    <row r="318" spans="1:21">
      <c r="A318" s="87">
        <v>641.33864431918755</v>
      </c>
      <c r="B318" s="87">
        <v>642.54203693095792</v>
      </c>
      <c r="C318" s="87">
        <v>638.64344268456136</v>
      </c>
      <c r="D318" s="87">
        <v>640.9905555471878</v>
      </c>
      <c r="E318" s="88">
        <v>5890210.8880055081</v>
      </c>
      <c r="F318" s="86" t="s">
        <v>329</v>
      </c>
      <c r="G318" s="25">
        <f t="shared" si="6"/>
        <v>5.4304820716533087E-4</v>
      </c>
      <c r="I318" s="87">
        <v>20.32</v>
      </c>
      <c r="J318" s="87">
        <v>21.3</v>
      </c>
      <c r="K318" s="87">
        <v>19.3</v>
      </c>
      <c r="L318" s="87">
        <v>21.234999999999999</v>
      </c>
      <c r="M318" s="88">
        <v>21681625.051800001</v>
      </c>
      <c r="N318" s="86" t="s">
        <v>329</v>
      </c>
      <c r="O318" s="25">
        <f t="shared" si="7"/>
        <v>-4.3089239463150464E-2</v>
      </c>
    </row>
    <row r="319" spans="1:21">
      <c r="A319" s="87">
        <v>639.93634383770313</v>
      </c>
      <c r="B319" s="87">
        <v>640.27448721621704</v>
      </c>
      <c r="C319" s="87">
        <v>634.74484843816492</v>
      </c>
      <c r="D319" s="87">
        <v>635.69960621279267</v>
      </c>
      <c r="E319" s="88">
        <v>5078177.898500585</v>
      </c>
      <c r="F319" s="86" t="s">
        <v>330</v>
      </c>
      <c r="G319" s="25">
        <f t="shared" si="6"/>
        <v>6.6646849919429485E-3</v>
      </c>
      <c r="I319" s="87">
        <v>20.34</v>
      </c>
      <c r="J319" s="87">
        <v>20.48</v>
      </c>
      <c r="K319" s="87">
        <v>18.620100000000001</v>
      </c>
      <c r="L319" s="87">
        <v>18.97</v>
      </c>
      <c r="M319" s="88">
        <v>18190572.296599999</v>
      </c>
      <c r="N319" s="86" t="s">
        <v>330</v>
      </c>
      <c r="O319" s="25">
        <f t="shared" si="7"/>
        <v>7.2219293621507807E-2</v>
      </c>
    </row>
    <row r="320" spans="1:21">
      <c r="A320" s="87">
        <v>634.86419315999342</v>
      </c>
      <c r="B320" s="87">
        <v>635.03326484925037</v>
      </c>
      <c r="C320" s="87">
        <v>628.76766695325614</v>
      </c>
      <c r="D320" s="87">
        <v>628.77263964999895</v>
      </c>
      <c r="E320" s="88">
        <v>5026396.5040549859</v>
      </c>
      <c r="F320" s="86" t="s">
        <v>331</v>
      </c>
      <c r="G320" s="25">
        <f t="shared" si="6"/>
        <v>9.6880066432045719E-3</v>
      </c>
      <c r="I320" s="87">
        <v>18.420000000000002</v>
      </c>
      <c r="J320" s="87">
        <v>20.25</v>
      </c>
      <c r="K320" s="87">
        <v>17.649999999999999</v>
      </c>
      <c r="L320" s="87">
        <v>19.55</v>
      </c>
      <c r="M320" s="88">
        <v>23170285.841899998</v>
      </c>
      <c r="N320" s="86" t="s">
        <v>331</v>
      </c>
      <c r="O320" s="25">
        <f t="shared" si="7"/>
        <v>-5.780051150895138E-2</v>
      </c>
    </row>
    <row r="321" spans="1:15">
      <c r="A321" s="87">
        <v>627.27585793040032</v>
      </c>
      <c r="B321" s="87">
        <v>627.45487501314301</v>
      </c>
      <c r="C321" s="87">
        <v>618.58358402389399</v>
      </c>
      <c r="D321" s="87">
        <v>619.3493793222932</v>
      </c>
      <c r="E321" s="88">
        <v>5128925.1582973367</v>
      </c>
      <c r="F321" s="86" t="s">
        <v>332</v>
      </c>
      <c r="G321" s="25">
        <f t="shared" si="6"/>
        <v>1.2798073063027049E-2</v>
      </c>
      <c r="I321" s="87">
        <v>19.18</v>
      </c>
      <c r="J321" s="87">
        <v>19.41</v>
      </c>
      <c r="K321" s="87">
        <v>17.75</v>
      </c>
      <c r="L321" s="87">
        <v>18.114999999999998</v>
      </c>
      <c r="M321" s="88">
        <v>14696801.386</v>
      </c>
      <c r="N321" s="86" t="s">
        <v>332</v>
      </c>
      <c r="O321" s="25">
        <f t="shared" si="7"/>
        <v>5.8791057134971014E-2</v>
      </c>
    </row>
    <row r="322" spans="1:15">
      <c r="A322" s="87">
        <v>621.18927711714878</v>
      </c>
      <c r="B322" s="87">
        <v>623.5662261602323</v>
      </c>
      <c r="C322" s="87">
        <v>620.31408249040669</v>
      </c>
      <c r="D322" s="87">
        <v>622.90485749343293</v>
      </c>
      <c r="E322" s="88">
        <v>4599410.7842738964</v>
      </c>
      <c r="F322" s="86" t="s">
        <v>333</v>
      </c>
      <c r="G322" s="25">
        <f t="shared" si="6"/>
        <v>-2.7541611783019615E-3</v>
      </c>
      <c r="I322" s="87">
        <v>18.16</v>
      </c>
      <c r="J322" s="87">
        <v>19.149999999999999</v>
      </c>
      <c r="K322" s="87">
        <v>17.73</v>
      </c>
      <c r="L322" s="87">
        <v>19.079999999999998</v>
      </c>
      <c r="M322" s="88">
        <v>16471846.708000001</v>
      </c>
      <c r="N322" s="86" t="s">
        <v>333</v>
      </c>
      <c r="O322" s="25">
        <f t="shared" si="7"/>
        <v>-4.8218029350104774E-2</v>
      </c>
    </row>
    <row r="323" spans="1:15">
      <c r="A323" s="87">
        <v>621.60698364354835</v>
      </c>
      <c r="B323" s="87">
        <v>622.75070389440441</v>
      </c>
      <c r="C323" s="87">
        <v>616.01767250458192</v>
      </c>
      <c r="D323" s="87">
        <v>616.95253949223832</v>
      </c>
      <c r="E323" s="88">
        <v>5500332.8753785351</v>
      </c>
      <c r="F323" s="86" t="s">
        <v>334</v>
      </c>
      <c r="G323" s="25">
        <f t="shared" si="6"/>
        <v>7.5442499274591679E-3</v>
      </c>
      <c r="I323" s="87">
        <v>19.079999999999998</v>
      </c>
      <c r="J323" s="87">
        <v>20.215</v>
      </c>
      <c r="K323" s="87">
        <v>18.78</v>
      </c>
      <c r="L323" s="87">
        <v>20.010000000000002</v>
      </c>
      <c r="M323" s="88">
        <v>15714551.2881</v>
      </c>
      <c r="N323" s="86" t="s">
        <v>334</v>
      </c>
      <c r="O323" s="25">
        <f t="shared" si="7"/>
        <v>-4.6476761619190565E-2</v>
      </c>
    </row>
    <row r="324" spans="1:15">
      <c r="A324" s="87">
        <v>617.94707884080879</v>
      </c>
      <c r="B324" s="87">
        <v>619.09079909166496</v>
      </c>
      <c r="C324" s="87">
        <v>613.92913987258385</v>
      </c>
      <c r="D324" s="87">
        <v>618.39959424440838</v>
      </c>
      <c r="E324" s="88">
        <v>9819192.7761694994</v>
      </c>
      <c r="F324" s="86" t="s">
        <v>335</v>
      </c>
      <c r="G324" s="25">
        <f t="shared" si="6"/>
        <v>-7.3175242644285543E-4</v>
      </c>
      <c r="I324" s="87">
        <v>20.149999999999999</v>
      </c>
      <c r="J324" s="87">
        <v>23.15</v>
      </c>
      <c r="K324" s="87">
        <v>20.125</v>
      </c>
      <c r="L324" s="87">
        <v>22.5</v>
      </c>
      <c r="M324" s="88">
        <v>15301297.212400001</v>
      </c>
      <c r="N324" s="86" t="s">
        <v>335</v>
      </c>
      <c r="O324" s="25">
        <f t="shared" si="7"/>
        <v>-0.10444444444444456</v>
      </c>
    </row>
    <row r="325" spans="1:15">
      <c r="A325" s="87">
        <v>602.73062680767976</v>
      </c>
      <c r="B325" s="87">
        <v>602.99915243179373</v>
      </c>
      <c r="C325" s="87">
        <v>595.23180011945806</v>
      </c>
      <c r="D325" s="87">
        <v>600.2840600101963</v>
      </c>
      <c r="E325" s="88">
        <v>6180055.1076578777</v>
      </c>
      <c r="F325" s="86" t="s">
        <v>336</v>
      </c>
      <c r="G325" s="25">
        <f t="shared" si="6"/>
        <v>4.0756817654659105E-3</v>
      </c>
      <c r="I325" s="87">
        <v>21.19</v>
      </c>
      <c r="J325" s="87">
        <v>21.5</v>
      </c>
      <c r="K325" s="87">
        <v>20.67</v>
      </c>
      <c r="L325" s="87">
        <v>21.19</v>
      </c>
      <c r="M325" s="88">
        <v>5943943.6763000004</v>
      </c>
      <c r="N325" s="86" t="s">
        <v>336</v>
      </c>
      <c r="O325" s="25">
        <f t="shared" si="7"/>
        <v>0</v>
      </c>
    </row>
    <row r="326" spans="1:15">
      <c r="A326" s="87">
        <v>602.36264724870864</v>
      </c>
      <c r="B326" s="87">
        <v>603.12844254710808</v>
      </c>
      <c r="C326" s="87">
        <v>599.31935684208293</v>
      </c>
      <c r="D326" s="87">
        <v>599.62766404013973</v>
      </c>
      <c r="E326" s="88">
        <v>6317133.831788755</v>
      </c>
      <c r="F326" s="86" t="s">
        <v>337</v>
      </c>
      <c r="G326" s="25">
        <f t="shared" si="6"/>
        <v>4.5611358057453533E-3</v>
      </c>
      <c r="I326" s="87">
        <v>21.42</v>
      </c>
      <c r="J326" s="87">
        <v>21.698</v>
      </c>
      <c r="K326" s="87">
        <v>21.047799999999999</v>
      </c>
      <c r="L326" s="87">
        <v>21.38</v>
      </c>
      <c r="M326" s="88">
        <v>5674256.7724000001</v>
      </c>
      <c r="N326" s="86" t="s">
        <v>337</v>
      </c>
      <c r="O326" s="25">
        <f t="shared" si="7"/>
        <v>1.8709073900842199E-3</v>
      </c>
    </row>
    <row r="327" spans="1:15">
      <c r="A327" s="87">
        <v>599.69728179453966</v>
      </c>
      <c r="B327" s="87">
        <v>601.48745262196655</v>
      </c>
      <c r="C327" s="87">
        <v>589.79365896147442</v>
      </c>
      <c r="D327" s="87">
        <v>590.98511710106197</v>
      </c>
      <c r="E327" s="88">
        <v>12809464.146602983</v>
      </c>
      <c r="F327" s="86" t="s">
        <v>338</v>
      </c>
      <c r="G327" s="25">
        <f t="shared" si="6"/>
        <v>1.4741766656008348E-2</v>
      </c>
      <c r="I327" s="87">
        <v>21.27</v>
      </c>
      <c r="J327" s="87">
        <v>21.43</v>
      </c>
      <c r="K327" s="87">
        <v>19.700800000000001</v>
      </c>
      <c r="L327" s="87">
        <v>20.46</v>
      </c>
      <c r="M327" s="88">
        <v>8314839.9578</v>
      </c>
      <c r="N327" s="86" t="s">
        <v>338</v>
      </c>
      <c r="O327" s="25">
        <f t="shared" si="7"/>
        <v>3.9589442815249232E-2</v>
      </c>
    </row>
    <row r="328" spans="1:15">
      <c r="A328" s="87">
        <v>599.011049644026</v>
      </c>
      <c r="B328" s="87">
        <v>602.04439465716621</v>
      </c>
      <c r="C328" s="87">
        <v>596.99213476642785</v>
      </c>
      <c r="D328" s="87">
        <v>597.77782085179854</v>
      </c>
      <c r="E328" s="88">
        <v>11343588.144215105</v>
      </c>
      <c r="F328" s="86" t="s">
        <v>339</v>
      </c>
      <c r="G328" s="25">
        <f t="shared" si="6"/>
        <v>2.0630219944763883E-3</v>
      </c>
      <c r="I328" s="87">
        <v>20.420000000000002</v>
      </c>
      <c r="J328" s="87">
        <v>21.56</v>
      </c>
      <c r="K328" s="87">
        <v>20.3</v>
      </c>
      <c r="L328" s="87">
        <v>21.49</v>
      </c>
      <c r="M328" s="88">
        <v>9286096.1370000001</v>
      </c>
      <c r="N328" s="86" t="s">
        <v>339</v>
      </c>
      <c r="O328" s="25">
        <f t="shared" si="7"/>
        <v>-4.979060027919946E-2</v>
      </c>
    </row>
    <row r="329" spans="1:15">
      <c r="A329" s="87">
        <v>594.28698773831604</v>
      </c>
      <c r="B329" s="87">
        <v>595.57988889145781</v>
      </c>
      <c r="C329" s="87">
        <v>583.29732793661174</v>
      </c>
      <c r="D329" s="87">
        <v>584.14268638289673</v>
      </c>
      <c r="E329" s="88">
        <v>12407189.635016242</v>
      </c>
      <c r="F329" s="86" t="s">
        <v>340</v>
      </c>
      <c r="G329" s="25">
        <f t="shared" si="6"/>
        <v>1.7366136034732138E-2</v>
      </c>
      <c r="I329" s="87">
        <v>21.14</v>
      </c>
      <c r="J329" s="87">
        <v>21.46</v>
      </c>
      <c r="K329" s="87">
        <v>20.100000000000001</v>
      </c>
      <c r="L329" s="87">
        <v>20.309999999999999</v>
      </c>
      <c r="M329" s="88">
        <v>13232436.2907</v>
      </c>
      <c r="N329" s="86" t="s">
        <v>340</v>
      </c>
      <c r="O329" s="25">
        <f t="shared" si="7"/>
        <v>4.086656819300849E-2</v>
      </c>
    </row>
    <row r="330" spans="1:15">
      <c r="A330" s="87">
        <v>577.75774376507388</v>
      </c>
      <c r="B330" s="87">
        <v>585.45547832300974</v>
      </c>
      <c r="C330" s="87">
        <v>575.3012315741048</v>
      </c>
      <c r="D330" s="87">
        <v>585.17700730541003</v>
      </c>
      <c r="E330" s="88">
        <v>11806944.07031532</v>
      </c>
      <c r="F330" s="86" t="s">
        <v>341</v>
      </c>
      <c r="G330" s="25">
        <f t="shared" si="6"/>
        <v>-1.2678665510970744E-2</v>
      </c>
      <c r="I330" s="87">
        <v>20.16</v>
      </c>
      <c r="J330" s="87">
        <v>20.6</v>
      </c>
      <c r="K330" s="87">
        <v>19.829999999999998</v>
      </c>
      <c r="L330" s="87">
        <v>20.21</v>
      </c>
      <c r="M330" s="88">
        <v>7954133.9274000004</v>
      </c>
      <c r="N330" s="86" t="s">
        <v>341</v>
      </c>
      <c r="O330" s="25">
        <f t="shared" si="7"/>
        <v>-2.4740227610093868E-3</v>
      </c>
    </row>
    <row r="331" spans="1:15">
      <c r="A331" s="87">
        <v>579.77665864267215</v>
      </c>
      <c r="B331" s="87">
        <v>587.60368331592213</v>
      </c>
      <c r="C331" s="87">
        <v>578.85173704850149</v>
      </c>
      <c r="D331" s="87">
        <v>587.45450241363653</v>
      </c>
      <c r="E331" s="88">
        <v>11667574.414806742</v>
      </c>
      <c r="F331" s="86" t="s">
        <v>342</v>
      </c>
      <c r="G331" s="25">
        <f t="shared" si="6"/>
        <v>-1.306968239994577E-2</v>
      </c>
      <c r="I331" s="87">
        <v>20.190000000000001</v>
      </c>
      <c r="J331" s="87">
        <v>21.63</v>
      </c>
      <c r="K331" s="87">
        <v>19.82</v>
      </c>
      <c r="L331" s="87">
        <v>21.61</v>
      </c>
      <c r="M331" s="88">
        <v>16879811.717599999</v>
      </c>
      <c r="N331" s="86" t="s">
        <v>342</v>
      </c>
      <c r="O331" s="25">
        <f t="shared" si="7"/>
        <v>-6.5710319296621855E-2</v>
      </c>
    </row>
    <row r="332" spans="1:15">
      <c r="A332" s="87">
        <v>589.80917378984429</v>
      </c>
      <c r="B332" s="87">
        <v>598.71698564102053</v>
      </c>
      <c r="C332" s="87">
        <v>589.5712355767912</v>
      </c>
      <c r="D332" s="87">
        <v>596.12940757406784</v>
      </c>
      <c r="E332" s="88">
        <v>7652288.4902455918</v>
      </c>
      <c r="F332" s="86" t="s">
        <v>343</v>
      </c>
      <c r="G332" s="25">
        <f t="shared" si="6"/>
        <v>-1.0602117097265107E-2</v>
      </c>
      <c r="I332" s="87">
        <v>22.15</v>
      </c>
      <c r="J332" s="87">
        <v>22.425000000000001</v>
      </c>
      <c r="K332" s="87">
        <v>20.91</v>
      </c>
      <c r="L332" s="87">
        <v>20.99</v>
      </c>
      <c r="M332" s="88">
        <v>12740405.2925</v>
      </c>
      <c r="N332" s="86" t="s">
        <v>343</v>
      </c>
      <c r="O332" s="25">
        <f t="shared" si="7"/>
        <v>5.5264411624583065E-2</v>
      </c>
    </row>
    <row r="333" spans="1:15">
      <c r="A333" s="87">
        <v>600.4569088239715</v>
      </c>
      <c r="B333" s="87">
        <v>604.20443567955817</v>
      </c>
      <c r="C333" s="87">
        <v>598.17666761554574</v>
      </c>
      <c r="D333" s="87">
        <v>602.18196086860655</v>
      </c>
      <c r="E333" s="88">
        <v>23433605.954244886</v>
      </c>
      <c r="F333" s="86" t="s">
        <v>344</v>
      </c>
      <c r="G333" s="25">
        <f t="shared" si="6"/>
        <v>-2.8646690813300957E-3</v>
      </c>
      <c r="I333" s="87">
        <v>21.09</v>
      </c>
      <c r="J333" s="87">
        <v>22.45</v>
      </c>
      <c r="K333" s="87">
        <v>20.72</v>
      </c>
      <c r="L333" s="87">
        <v>22.25</v>
      </c>
      <c r="M333" s="88">
        <v>13372499.0167</v>
      </c>
      <c r="N333" s="86" t="s">
        <v>344</v>
      </c>
      <c r="O333" s="25">
        <f t="shared" si="7"/>
        <v>-5.2134831460674214E-2</v>
      </c>
    </row>
    <row r="334" spans="1:15">
      <c r="A334" s="87">
        <v>597.20508657891219</v>
      </c>
      <c r="B334" s="87">
        <v>600.70476112923518</v>
      </c>
      <c r="C334" s="87">
        <v>594.17137436248493</v>
      </c>
      <c r="D334" s="87">
        <v>595.47012044206656</v>
      </c>
      <c r="E334" s="88">
        <v>18356444.145375215</v>
      </c>
      <c r="F334" s="86" t="s">
        <v>345</v>
      </c>
      <c r="G334" s="25">
        <f t="shared" si="6"/>
        <v>2.913607378918659E-3</v>
      </c>
      <c r="I334" s="87">
        <v>21.87</v>
      </c>
      <c r="J334" s="87">
        <v>22.91</v>
      </c>
      <c r="K334" s="87">
        <v>21.31</v>
      </c>
      <c r="L334" s="87">
        <v>22.65</v>
      </c>
      <c r="M334" s="88">
        <v>22806313.088799998</v>
      </c>
      <c r="N334" s="86" t="s">
        <v>345</v>
      </c>
      <c r="O334" s="25">
        <f t="shared" si="7"/>
        <v>-3.4437086092715119E-2</v>
      </c>
    </row>
    <row r="335" spans="1:15">
      <c r="A335" s="87">
        <v>599.23747548207416</v>
      </c>
      <c r="B335" s="87">
        <v>605.77581929492976</v>
      </c>
      <c r="C335" s="87">
        <v>597.87924484922928</v>
      </c>
      <c r="D335" s="87">
        <v>601.64659988923711</v>
      </c>
      <c r="E335" s="88">
        <v>24174828.736617487</v>
      </c>
      <c r="F335" s="86" t="s">
        <v>346</v>
      </c>
      <c r="G335" s="25">
        <f t="shared" si="6"/>
        <v>-4.0042184358832777E-3</v>
      </c>
      <c r="I335" s="87">
        <v>23.2</v>
      </c>
      <c r="J335" s="87">
        <v>24.178899999999999</v>
      </c>
      <c r="K335" s="87">
        <v>22.75</v>
      </c>
      <c r="L335" s="87">
        <v>23.8</v>
      </c>
      <c r="M335" s="88">
        <v>14306006.145300001</v>
      </c>
      <c r="N335" s="86" t="s">
        <v>346</v>
      </c>
      <c r="O335" s="25">
        <f t="shared" si="7"/>
        <v>-2.5210084033613467E-2</v>
      </c>
    </row>
    <row r="336" spans="1:15">
      <c r="A336" s="87">
        <v>592.80322963742947</v>
      </c>
      <c r="B336" s="87">
        <v>600.39742427070826</v>
      </c>
      <c r="C336" s="87">
        <v>589.46218056247528</v>
      </c>
      <c r="D336" s="87">
        <v>600.22888470312887</v>
      </c>
      <c r="E336" s="88">
        <v>17684300.024816088</v>
      </c>
      <c r="F336" s="86" t="s">
        <v>347</v>
      </c>
      <c r="G336" s="25">
        <f t="shared" si="6"/>
        <v>-1.2371372412995574E-2</v>
      </c>
      <c r="I336" s="87">
        <v>23.73</v>
      </c>
      <c r="J336" s="87">
        <v>24.17</v>
      </c>
      <c r="K336" s="87">
        <v>23.05</v>
      </c>
      <c r="L336" s="87">
        <v>23.85</v>
      </c>
      <c r="M336" s="88">
        <v>18078269.5515</v>
      </c>
      <c r="N336" s="86" t="s">
        <v>347</v>
      </c>
      <c r="O336" s="25">
        <f t="shared" si="7"/>
        <v>-5.031446540880502E-3</v>
      </c>
    </row>
    <row r="337" spans="1:15">
      <c r="A337" s="87">
        <v>601.53754487492108</v>
      </c>
      <c r="B337" s="87">
        <v>604.45228798482185</v>
      </c>
      <c r="C337" s="87">
        <v>597.36371205428088</v>
      </c>
      <c r="D337" s="87">
        <v>598.94996680796839</v>
      </c>
      <c r="E337" s="88">
        <v>10276101.226859786</v>
      </c>
      <c r="F337" s="86" t="s">
        <v>348</v>
      </c>
      <c r="G337" s="25">
        <f t="shared" si="6"/>
        <v>4.3201906842784688E-3</v>
      </c>
      <c r="I337" s="87">
        <v>24.22</v>
      </c>
      <c r="J337" s="87">
        <v>25.72</v>
      </c>
      <c r="K337" s="87">
        <v>23.53</v>
      </c>
      <c r="L337" s="87">
        <v>25</v>
      </c>
      <c r="M337" s="88">
        <v>19166916.357900001</v>
      </c>
      <c r="N337" s="86" t="s">
        <v>348</v>
      </c>
      <c r="O337" s="25">
        <f t="shared" si="7"/>
        <v>-3.1200000000000006E-2</v>
      </c>
    </row>
    <row r="338" spans="1:15">
      <c r="A338" s="87">
        <v>603.15354190524022</v>
      </c>
      <c r="B338" s="87">
        <v>610.59902515536078</v>
      </c>
      <c r="C338" s="87">
        <v>602.90568959997654</v>
      </c>
      <c r="D338" s="87">
        <v>609.40933409009517</v>
      </c>
      <c r="E338" s="88">
        <v>12393947.692788729</v>
      </c>
      <c r="F338" s="86" t="s">
        <v>349</v>
      </c>
      <c r="G338" s="25">
        <f t="shared" si="6"/>
        <v>-1.0265336999137786E-2</v>
      </c>
      <c r="I338" s="87">
        <v>25.26</v>
      </c>
      <c r="J338" s="87">
        <v>27.32</v>
      </c>
      <c r="K338" s="87">
        <v>24.85</v>
      </c>
      <c r="L338" s="87">
        <v>27.09</v>
      </c>
      <c r="M338" s="88">
        <v>17037838.904199999</v>
      </c>
      <c r="N338" s="86" t="s">
        <v>349</v>
      </c>
      <c r="O338" s="25">
        <f t="shared" si="7"/>
        <v>-6.7552602436323328E-2</v>
      </c>
    </row>
    <row r="339" spans="1:15">
      <c r="A339" s="87">
        <v>611.59043437641537</v>
      </c>
      <c r="B339" s="87">
        <v>614.94139754358025</v>
      </c>
      <c r="C339" s="87">
        <v>610.97576065936153</v>
      </c>
      <c r="D339" s="87">
        <v>613.05772002357639</v>
      </c>
      <c r="E339" s="88">
        <v>8822710.7868685648</v>
      </c>
      <c r="F339" s="86" t="s">
        <v>350</v>
      </c>
      <c r="G339" s="25">
        <f t="shared" si="6"/>
        <v>-2.3933890712681816E-3</v>
      </c>
      <c r="I339" s="87">
        <v>27.45</v>
      </c>
      <c r="J339" s="87">
        <v>27.954999999999998</v>
      </c>
      <c r="K339" s="87">
        <v>27</v>
      </c>
      <c r="L339" s="87">
        <v>27.02</v>
      </c>
      <c r="M339" s="88">
        <v>5221933.5384</v>
      </c>
      <c r="N339" s="86" t="s">
        <v>350</v>
      </c>
      <c r="O339" s="25">
        <f t="shared" si="7"/>
        <v>1.5914137675795637E-2</v>
      </c>
    </row>
    <row r="340" spans="1:15">
      <c r="A340" s="87">
        <v>609.90503870062253</v>
      </c>
      <c r="B340" s="87">
        <v>612.77021134947051</v>
      </c>
      <c r="C340" s="87">
        <v>608.26921348588223</v>
      </c>
      <c r="D340" s="87">
        <v>609.43907636672679</v>
      </c>
      <c r="E340" s="88">
        <v>8295330.8616104685</v>
      </c>
      <c r="F340" s="86" t="s">
        <v>351</v>
      </c>
      <c r="G340" s="25">
        <f t="shared" si="6"/>
        <v>7.645757418011101E-4</v>
      </c>
      <c r="I340" s="87">
        <v>27.16</v>
      </c>
      <c r="J340" s="87">
        <v>27.2</v>
      </c>
      <c r="K340" s="87">
        <v>26.2363</v>
      </c>
      <c r="L340" s="87">
        <v>26.32</v>
      </c>
      <c r="M340" s="88">
        <v>8532195.9060999993</v>
      </c>
      <c r="N340" s="86" t="s">
        <v>351</v>
      </c>
      <c r="O340" s="25">
        <f t="shared" si="7"/>
        <v>3.1914893617021267E-2</v>
      </c>
    </row>
    <row r="341" spans="1:15">
      <c r="A341" s="87">
        <v>603.85744245218905</v>
      </c>
      <c r="B341" s="87">
        <v>613.02202929161831</v>
      </c>
      <c r="C341" s="87">
        <v>603.02465870650315</v>
      </c>
      <c r="D341" s="87">
        <v>610.25203192799165</v>
      </c>
      <c r="E341" s="88">
        <v>23721145.670283373</v>
      </c>
      <c r="F341" s="86" t="s">
        <v>352</v>
      </c>
      <c r="G341" s="25">
        <f t="shared" si="6"/>
        <v>-1.0478604152451498E-2</v>
      </c>
      <c r="I341" s="87">
        <v>26.03</v>
      </c>
      <c r="J341" s="87">
        <v>26.765000000000001</v>
      </c>
      <c r="K341" s="87">
        <v>25.430099999999999</v>
      </c>
      <c r="L341" s="87">
        <v>26.2</v>
      </c>
      <c r="M341" s="88">
        <v>9061204.6596000008</v>
      </c>
      <c r="N341" s="86" t="s">
        <v>352</v>
      </c>
      <c r="O341" s="25">
        <f t="shared" si="7"/>
        <v>-6.4885496183205715E-3</v>
      </c>
    </row>
    <row r="342" spans="1:15">
      <c r="A342" s="87">
        <v>607.23814789598543</v>
      </c>
      <c r="B342" s="87">
        <v>612.40338993768034</v>
      </c>
      <c r="C342" s="87">
        <v>607.15883515830103</v>
      </c>
      <c r="D342" s="87">
        <v>611.91759941936346</v>
      </c>
      <c r="E342" s="88">
        <v>12107120.92190446</v>
      </c>
      <c r="F342" s="86" t="s">
        <v>353</v>
      </c>
      <c r="G342" s="25">
        <f t="shared" si="6"/>
        <v>-7.6471922491169186E-3</v>
      </c>
      <c r="I342" s="87">
        <v>26.17</v>
      </c>
      <c r="J342" s="87">
        <v>28.5</v>
      </c>
      <c r="K342" s="87">
        <v>26.14</v>
      </c>
      <c r="L342" s="87">
        <v>27.89</v>
      </c>
      <c r="M342" s="88">
        <v>9414790.7127999999</v>
      </c>
      <c r="N342" s="86" t="s">
        <v>353</v>
      </c>
      <c r="O342" s="25">
        <f t="shared" si="7"/>
        <v>-6.1670849766941482E-2</v>
      </c>
    </row>
    <row r="343" spans="1:15">
      <c r="A343" s="87">
        <v>616.68627777263646</v>
      </c>
      <c r="B343" s="87">
        <v>620.05706912422227</v>
      </c>
      <c r="C343" s="87">
        <v>613.97973059915716</v>
      </c>
      <c r="D343" s="87">
        <v>617.84622656127044</v>
      </c>
      <c r="E343" s="88">
        <v>6381616.6919140611</v>
      </c>
      <c r="F343" s="86" t="s">
        <v>354</v>
      </c>
      <c r="G343" s="25">
        <f t="shared" si="6"/>
        <v>-1.8774069319640319E-3</v>
      </c>
      <c r="I343" s="87">
        <v>27.84</v>
      </c>
      <c r="J343" s="87">
        <v>29.77</v>
      </c>
      <c r="K343" s="87">
        <v>27.66</v>
      </c>
      <c r="L343" s="87">
        <v>28.6</v>
      </c>
      <c r="M343" s="88">
        <v>8884054.3476999998</v>
      </c>
      <c r="N343" s="86" t="s">
        <v>354</v>
      </c>
      <c r="O343" s="25">
        <f t="shared" si="7"/>
        <v>-2.6573426573426651E-2</v>
      </c>
    </row>
    <row r="344" spans="1:15">
      <c r="A344" s="87">
        <v>617.37035013516424</v>
      </c>
      <c r="B344" s="87">
        <v>623.10109199654858</v>
      </c>
      <c r="C344" s="87">
        <v>615.29830486315996</v>
      </c>
      <c r="D344" s="87">
        <v>617.96519566779705</v>
      </c>
      <c r="E344" s="88">
        <v>15669426.13078979</v>
      </c>
      <c r="F344" s="86" t="s">
        <v>355</v>
      </c>
      <c r="G344" s="25">
        <f t="shared" si="6"/>
        <v>-9.625874350253083E-4</v>
      </c>
      <c r="I344" s="87">
        <v>28.35</v>
      </c>
      <c r="J344" s="87">
        <v>30.3</v>
      </c>
      <c r="K344" s="87">
        <v>28.24</v>
      </c>
      <c r="L344" s="87">
        <v>30.1</v>
      </c>
      <c r="M344" s="88">
        <v>10161895.7338</v>
      </c>
      <c r="N344" s="86" t="s">
        <v>355</v>
      </c>
      <c r="O344" s="25">
        <f t="shared" si="7"/>
        <v>-5.8139534883720922E-2</v>
      </c>
    </row>
    <row r="345" spans="1:15">
      <c r="A345" s="87">
        <v>618.44107209390313</v>
      </c>
      <c r="B345" s="87">
        <v>619.94801410990635</v>
      </c>
      <c r="C345" s="87">
        <v>603.96649746650507</v>
      </c>
      <c r="D345" s="87">
        <v>607.59505521556514</v>
      </c>
      <c r="E345" s="88">
        <v>13293092.279170223</v>
      </c>
      <c r="F345" s="86" t="s">
        <v>356</v>
      </c>
      <c r="G345" s="25">
        <f t="shared" si="6"/>
        <v>1.7850732630616983E-2</v>
      </c>
      <c r="I345" s="87">
        <v>30.48</v>
      </c>
      <c r="J345" s="87">
        <v>30.66</v>
      </c>
      <c r="K345" s="87">
        <v>28.590699999999998</v>
      </c>
      <c r="L345" s="87">
        <v>28.7</v>
      </c>
      <c r="M345" s="88">
        <v>12888108.763599999</v>
      </c>
      <c r="N345" s="86" t="s">
        <v>356</v>
      </c>
      <c r="O345" s="25">
        <f t="shared" si="7"/>
        <v>6.2020905923344971E-2</v>
      </c>
    </row>
    <row r="346" spans="1:15">
      <c r="A346" s="87">
        <v>613.11720457683964</v>
      </c>
      <c r="B346" s="87">
        <v>616.47808183621498</v>
      </c>
      <c r="C346" s="87">
        <v>610.7080801696768</v>
      </c>
      <c r="D346" s="87">
        <v>614.01442992189413</v>
      </c>
      <c r="E346" s="88">
        <v>9746282.1071211006</v>
      </c>
      <c r="F346" s="86" t="s">
        <v>357</v>
      </c>
      <c r="G346" s="25">
        <f t="shared" si="6"/>
        <v>-1.461244722161692E-3</v>
      </c>
      <c r="I346" s="87">
        <v>29.11</v>
      </c>
      <c r="J346" s="87">
        <v>29.7</v>
      </c>
      <c r="K346" s="87">
        <v>28.718699999999998</v>
      </c>
      <c r="L346" s="87">
        <v>29.61</v>
      </c>
      <c r="M346" s="88">
        <v>8546871.2608000003</v>
      </c>
      <c r="N346" s="86" t="s">
        <v>357</v>
      </c>
      <c r="O346" s="25">
        <f t="shared" si="7"/>
        <v>-1.6886187098953065E-2</v>
      </c>
    </row>
    <row r="347" spans="1:15">
      <c r="A347" s="87">
        <v>621.42521384927772</v>
      </c>
      <c r="B347" s="87">
        <v>625.08351387496953</v>
      </c>
      <c r="C347" s="87">
        <v>616.06168996337203</v>
      </c>
      <c r="D347" s="87">
        <v>621.90109027538392</v>
      </c>
      <c r="E347" s="88">
        <v>12264399.336900564</v>
      </c>
      <c r="F347" s="86" t="s">
        <v>358</v>
      </c>
      <c r="G347" s="25">
        <f t="shared" si="6"/>
        <v>-7.6519632068094978E-4</v>
      </c>
      <c r="I347" s="87">
        <v>30.3</v>
      </c>
      <c r="J347" s="87">
        <v>31.94</v>
      </c>
      <c r="K347" s="87">
        <v>29.15</v>
      </c>
      <c r="L347" s="87">
        <v>29.58</v>
      </c>
      <c r="M347" s="88">
        <v>14125872.999299999</v>
      </c>
      <c r="N347" s="86" t="s">
        <v>358</v>
      </c>
      <c r="O347" s="25">
        <f t="shared" si="7"/>
        <v>2.4340770791075217E-2</v>
      </c>
    </row>
    <row r="348" spans="1:15">
      <c r="A348" s="87">
        <v>624.76626292423191</v>
      </c>
      <c r="B348" s="87">
        <v>626.53097133770939</v>
      </c>
      <c r="C348" s="87">
        <v>619.70016180464268</v>
      </c>
      <c r="D348" s="87">
        <v>621.53426886359375</v>
      </c>
      <c r="E348" s="88">
        <v>13501509.98934664</v>
      </c>
      <c r="F348" s="86" t="s">
        <v>359</v>
      </c>
      <c r="G348" s="25">
        <f t="shared" si="6"/>
        <v>5.2000255215975955E-3</v>
      </c>
      <c r="I348" s="87">
        <v>29.64</v>
      </c>
      <c r="J348" s="87">
        <v>31.3</v>
      </c>
      <c r="K348" s="87">
        <v>29.52</v>
      </c>
      <c r="L348" s="87">
        <v>30.57</v>
      </c>
      <c r="M348" s="88">
        <v>11983311.8189</v>
      </c>
      <c r="N348" s="86" t="s">
        <v>359</v>
      </c>
      <c r="O348" s="25">
        <f t="shared" si="7"/>
        <v>-3.0421982335623099E-2</v>
      </c>
    </row>
    <row r="349" spans="1:15">
      <c r="A349" s="87">
        <v>620.34457779832826</v>
      </c>
      <c r="B349" s="87">
        <v>622.39679488591128</v>
      </c>
      <c r="C349" s="87">
        <v>610.5891110631502</v>
      </c>
      <c r="D349" s="87">
        <v>615.47675852294969</v>
      </c>
      <c r="E349" s="88">
        <v>17904668.190413319</v>
      </c>
      <c r="F349" s="86" t="s">
        <v>360</v>
      </c>
      <c r="G349" s="25">
        <f t="shared" si="6"/>
        <v>7.9090220840516423E-3</v>
      </c>
      <c r="I349" s="87">
        <v>30.74</v>
      </c>
      <c r="J349" s="87">
        <v>30.9</v>
      </c>
      <c r="K349" s="87">
        <v>27.95</v>
      </c>
      <c r="L349" s="87">
        <v>28.47</v>
      </c>
      <c r="M349" s="88">
        <v>12173859.249399999</v>
      </c>
      <c r="N349" s="86" t="s">
        <v>360</v>
      </c>
      <c r="O349" s="25">
        <f t="shared" si="7"/>
        <v>7.9733052335791976E-2</v>
      </c>
    </row>
    <row r="350" spans="1:15">
      <c r="A350" s="87">
        <v>625.85681306739207</v>
      </c>
      <c r="B350" s="87">
        <v>627.89911606276485</v>
      </c>
      <c r="C350" s="87">
        <v>618.24279024969235</v>
      </c>
      <c r="D350" s="87">
        <v>618.82276464400923</v>
      </c>
      <c r="E350" s="88">
        <v>9220282.6347284149</v>
      </c>
      <c r="F350" s="86" t="s">
        <v>361</v>
      </c>
      <c r="G350" s="25">
        <f t="shared" si="6"/>
        <v>1.1366822336326576E-2</v>
      </c>
      <c r="I350" s="87">
        <v>29.29</v>
      </c>
      <c r="J350" s="87">
        <v>29.89</v>
      </c>
      <c r="K350" s="87">
        <v>28.28</v>
      </c>
      <c r="L350" s="87">
        <v>28.5</v>
      </c>
      <c r="M350" s="88">
        <v>11758799.954500001</v>
      </c>
      <c r="N350" s="86" t="s">
        <v>361</v>
      </c>
      <c r="O350" s="25">
        <f t="shared" si="7"/>
        <v>2.7719298245614032E-2</v>
      </c>
    </row>
    <row r="351" spans="1:15">
      <c r="A351" s="87">
        <v>625.61887485433897</v>
      </c>
      <c r="B351" s="87">
        <v>626.26329084802467</v>
      </c>
      <c r="C351" s="87">
        <v>621.55409704801491</v>
      </c>
      <c r="D351" s="87">
        <v>622.84292903538596</v>
      </c>
      <c r="E351" s="88">
        <v>10518490.717795083</v>
      </c>
      <c r="F351" s="86" t="s">
        <v>362</v>
      </c>
      <c r="G351" s="25">
        <f t="shared" si="6"/>
        <v>4.4568954539665473E-3</v>
      </c>
      <c r="I351" s="87">
        <v>29.39</v>
      </c>
      <c r="J351" s="87">
        <v>29.97</v>
      </c>
      <c r="K351" s="87">
        <v>28.496500000000001</v>
      </c>
      <c r="L351" s="87">
        <v>28.59</v>
      </c>
      <c r="M351" s="88">
        <v>13039193.907400001</v>
      </c>
      <c r="N351" s="86" t="s">
        <v>362</v>
      </c>
      <c r="O351" s="25">
        <f t="shared" si="7"/>
        <v>2.7981811822315628E-2</v>
      </c>
    </row>
    <row r="352" spans="1:15">
      <c r="A352" s="87">
        <v>628.50387568760812</v>
      </c>
      <c r="B352" s="87">
        <v>632.29105891203699</v>
      </c>
      <c r="C352" s="87">
        <v>624.02270600844099</v>
      </c>
      <c r="D352" s="87">
        <v>632.17208980551038</v>
      </c>
      <c r="E352" s="88">
        <v>9489584.1528401561</v>
      </c>
      <c r="F352" s="86" t="s">
        <v>363</v>
      </c>
      <c r="G352" s="25">
        <f t="shared" si="6"/>
        <v>-5.8025562612717962E-3</v>
      </c>
      <c r="I352" s="87">
        <v>30.22</v>
      </c>
      <c r="J352" s="87">
        <v>32.652500000000003</v>
      </c>
      <c r="K352" s="87">
        <v>29.87</v>
      </c>
      <c r="L352" s="87">
        <v>30.42</v>
      </c>
      <c r="M352" s="88">
        <v>25818045.826200001</v>
      </c>
      <c r="N352" s="86" t="s">
        <v>363</v>
      </c>
      <c r="O352" s="25">
        <f t="shared" si="7"/>
        <v>-6.5746219592374144E-3</v>
      </c>
    </row>
    <row r="353" spans="1:15">
      <c r="A353" s="87">
        <v>632.05312069898378</v>
      </c>
      <c r="B353" s="87">
        <v>632.51908303287951</v>
      </c>
      <c r="C353" s="87">
        <v>629.28708897224135</v>
      </c>
      <c r="D353" s="87">
        <v>629.31683124887297</v>
      </c>
      <c r="E353" s="88">
        <v>12096868.558516931</v>
      </c>
      <c r="F353" s="86" t="s">
        <v>364</v>
      </c>
      <c r="G353" s="25">
        <f t="shared" si="6"/>
        <v>4.3480315704900185E-3</v>
      </c>
      <c r="I353" s="87">
        <v>31.24</v>
      </c>
      <c r="J353" s="87">
        <v>31.64</v>
      </c>
      <c r="K353" s="87">
        <v>28.48</v>
      </c>
      <c r="L353" s="87">
        <v>28.48</v>
      </c>
      <c r="M353" s="88">
        <v>27842353.295899998</v>
      </c>
      <c r="N353" s="86" t="s">
        <v>364</v>
      </c>
      <c r="O353" s="25">
        <f t="shared" si="7"/>
        <v>9.6910112359550382E-2</v>
      </c>
    </row>
    <row r="354" spans="1:15">
      <c r="A354" s="87">
        <v>626.77882364297307</v>
      </c>
      <c r="B354" s="87">
        <v>627.65126375750117</v>
      </c>
      <c r="C354" s="87">
        <v>620.02732684759064</v>
      </c>
      <c r="D354" s="87">
        <v>621.76229298443639</v>
      </c>
      <c r="E354" s="88">
        <v>6952124.2548740897</v>
      </c>
      <c r="F354" s="86" t="s">
        <v>365</v>
      </c>
      <c r="G354" s="25">
        <f t="shared" si="6"/>
        <v>8.0682452363869395E-3</v>
      </c>
      <c r="I354" s="87">
        <v>27.43</v>
      </c>
      <c r="J354" s="87">
        <v>27.52</v>
      </c>
      <c r="K354" s="87">
        <v>24.74</v>
      </c>
      <c r="L354" s="87">
        <v>24.75</v>
      </c>
      <c r="M354" s="88">
        <v>23293115.6675</v>
      </c>
      <c r="N354" s="86" t="s">
        <v>365</v>
      </c>
      <c r="O354" s="25">
        <f t="shared" si="7"/>
        <v>0.10828282828282831</v>
      </c>
    </row>
    <row r="355" spans="1:15">
      <c r="A355" s="87">
        <v>622.23816941054258</v>
      </c>
      <c r="B355" s="87">
        <v>629.15820577350416</v>
      </c>
      <c r="C355" s="87">
        <v>620.37432007495977</v>
      </c>
      <c r="D355" s="87">
        <v>627.17538733139486</v>
      </c>
      <c r="E355" s="88">
        <v>10911504.879581373</v>
      </c>
      <c r="F355" s="86" t="s">
        <v>366</v>
      </c>
      <c r="G355" s="25">
        <f t="shared" si="6"/>
        <v>-7.8721487172191962E-3</v>
      </c>
      <c r="I355" s="87">
        <v>24.75</v>
      </c>
      <c r="J355" s="87">
        <v>25.23</v>
      </c>
      <c r="K355" s="87">
        <v>23.45</v>
      </c>
      <c r="L355" s="87">
        <v>25.2</v>
      </c>
      <c r="M355" s="88">
        <v>26467219.065499999</v>
      </c>
      <c r="N355" s="86" t="s">
        <v>366</v>
      </c>
      <c r="O355" s="25">
        <f t="shared" si="7"/>
        <v>-1.7857142857142794E-2</v>
      </c>
    </row>
    <row r="356" spans="1:15">
      <c r="A356" s="87">
        <v>628.57327433308194</v>
      </c>
      <c r="B356" s="87">
        <v>629.12846349687266</v>
      </c>
      <c r="C356" s="87">
        <v>621.64332387790978</v>
      </c>
      <c r="D356" s="87">
        <v>622.08945802738447</v>
      </c>
      <c r="E356" s="88">
        <v>7512598.0693186289</v>
      </c>
      <c r="F356" s="86" t="s">
        <v>367</v>
      </c>
      <c r="G356" s="25">
        <f t="shared" si="6"/>
        <v>1.0422642952763406E-2</v>
      </c>
      <c r="I356" s="87">
        <v>26.09</v>
      </c>
      <c r="J356" s="87">
        <v>28.42</v>
      </c>
      <c r="K356" s="87">
        <v>25.07</v>
      </c>
      <c r="L356" s="87">
        <v>25.49</v>
      </c>
      <c r="M356" s="88">
        <v>42470041</v>
      </c>
      <c r="N356" s="86" t="s">
        <v>367</v>
      </c>
      <c r="O356" s="25">
        <f t="shared" si="7"/>
        <v>2.3538642604943094E-2</v>
      </c>
    </row>
    <row r="357" spans="1:15">
      <c r="A357" s="87">
        <v>624.12184693054644</v>
      </c>
      <c r="B357" s="87">
        <v>625.65853122318128</v>
      </c>
      <c r="C357" s="87">
        <v>621.42521384927772</v>
      </c>
      <c r="D357" s="87">
        <v>623.54682958233479</v>
      </c>
      <c r="E357" s="88">
        <v>5215367.0655791443</v>
      </c>
      <c r="F357" s="86" t="s">
        <v>368</v>
      </c>
      <c r="G357" s="25">
        <f t="shared" si="6"/>
        <v>9.2217187375776E-4</v>
      </c>
      <c r="I357" s="87">
        <v>25.86</v>
      </c>
      <c r="J357" s="87">
        <v>26.5</v>
      </c>
      <c r="K357" s="87">
        <v>23.28</v>
      </c>
      <c r="L357" s="87">
        <v>26</v>
      </c>
      <c r="M357" s="88">
        <v>65762335</v>
      </c>
      <c r="N357" s="86" t="s">
        <v>368</v>
      </c>
      <c r="O357" s="25">
        <f t="shared" si="7"/>
        <v>-5.3846153846154321E-3</v>
      </c>
    </row>
    <row r="358" spans="1:15">
      <c r="A358" s="87">
        <v>625.727929868655</v>
      </c>
      <c r="B358" s="87">
        <v>628.35516430444989</v>
      </c>
      <c r="C358" s="87">
        <v>622.60499082233287</v>
      </c>
      <c r="D358" s="87">
        <v>623.70545505770349</v>
      </c>
      <c r="E358" s="88">
        <v>9591574.0927687287</v>
      </c>
      <c r="F358" s="86" t="s">
        <v>369</v>
      </c>
      <c r="G358" s="25">
        <f t="shared" si="6"/>
        <v>3.2426761615615973E-3</v>
      </c>
      <c r="I358" s="87">
        <v>24.19</v>
      </c>
      <c r="J358" s="87">
        <v>24.85</v>
      </c>
      <c r="K358" s="87">
        <v>22.841799999999999</v>
      </c>
      <c r="L358" s="87">
        <v>23.11</v>
      </c>
      <c r="M358" s="88">
        <v>25278148</v>
      </c>
      <c r="N358" s="86" t="s">
        <v>369</v>
      </c>
      <c r="O358" s="25">
        <f t="shared" si="7"/>
        <v>4.6733016010385153E-2</v>
      </c>
    </row>
    <row r="359" spans="1:15">
      <c r="A359" s="87">
        <v>622.59507673012229</v>
      </c>
      <c r="B359" s="87">
        <v>624.51841061896835</v>
      </c>
      <c r="C359" s="87">
        <v>616.17074497768806</v>
      </c>
      <c r="D359" s="87">
        <v>620.16612413853829</v>
      </c>
      <c r="E359" s="88">
        <v>8109088.3857702948</v>
      </c>
      <c r="F359" s="86" t="s">
        <v>370</v>
      </c>
      <c r="G359" s="25">
        <f t="shared" si="6"/>
        <v>3.9166160437382747E-3</v>
      </c>
      <c r="I359" s="87">
        <v>23.1</v>
      </c>
      <c r="J359" s="87">
        <v>23.58</v>
      </c>
      <c r="K359" s="87">
        <v>21.965</v>
      </c>
      <c r="L359" s="87">
        <v>23</v>
      </c>
      <c r="M359" s="88">
        <v>12169790</v>
      </c>
      <c r="N359" s="86" t="s">
        <v>370</v>
      </c>
      <c r="O359" s="25">
        <f t="shared" si="7"/>
        <v>4.3478260869564966E-3</v>
      </c>
    </row>
    <row r="360" spans="1:15">
      <c r="A360" s="87">
        <v>621.50452658696213</v>
      </c>
      <c r="B360" s="87">
        <v>625.74775805307604</v>
      </c>
      <c r="C360" s="87">
        <v>617.7619567774808</v>
      </c>
      <c r="D360" s="87">
        <v>621.54418295580433</v>
      </c>
      <c r="E360" s="88">
        <v>9328894.4701977801</v>
      </c>
      <c r="F360" s="86" t="s">
        <v>371</v>
      </c>
      <c r="G360" s="25">
        <f t="shared" si="6"/>
        <v>-6.3802976408844359E-5</v>
      </c>
      <c r="I360" s="87">
        <v>22.53</v>
      </c>
      <c r="J360" s="87">
        <v>23.37</v>
      </c>
      <c r="K360" s="87">
        <v>22.17</v>
      </c>
      <c r="L360" s="87">
        <v>22.47</v>
      </c>
      <c r="M360" s="88">
        <v>9340157</v>
      </c>
      <c r="N360" s="86" t="s">
        <v>371</v>
      </c>
      <c r="O360" s="25">
        <f t="shared" si="7"/>
        <v>2.6702269692924219E-3</v>
      </c>
    </row>
    <row r="361" spans="1:15">
      <c r="A361" s="87">
        <v>621.10796289854034</v>
      </c>
      <c r="B361" s="87">
        <v>634.02602504888262</v>
      </c>
      <c r="C361" s="87">
        <v>620.38423416717035</v>
      </c>
      <c r="D361" s="87">
        <v>633.02470173561744</v>
      </c>
      <c r="E361" s="88">
        <v>8943705.3960092701</v>
      </c>
      <c r="F361" s="86" t="s">
        <v>372</v>
      </c>
      <c r="G361" s="25">
        <f t="shared" si="6"/>
        <v>-1.8825077132699541E-2</v>
      </c>
      <c r="I361" s="87">
        <v>22.02</v>
      </c>
      <c r="J361" s="87">
        <v>22.835000000000001</v>
      </c>
      <c r="K361" s="87">
        <v>21.15</v>
      </c>
      <c r="L361" s="87">
        <v>22.6</v>
      </c>
      <c r="M361" s="88">
        <v>9577779</v>
      </c>
      <c r="N361" s="86" t="s">
        <v>372</v>
      </c>
      <c r="O361" s="25">
        <f t="shared" si="7"/>
        <v>-2.5663716814159354E-2</v>
      </c>
    </row>
    <row r="362" spans="1:15">
      <c r="A362" s="87">
        <v>630.88325781813933</v>
      </c>
      <c r="B362" s="87">
        <v>635.64202207920175</v>
      </c>
      <c r="C362" s="87">
        <v>628.39482067329209</v>
      </c>
      <c r="D362" s="87">
        <v>634.9876919933057</v>
      </c>
      <c r="E362" s="88">
        <v>5363165.7715908969</v>
      </c>
      <c r="F362" s="86" t="s">
        <v>373</v>
      </c>
      <c r="G362" s="25">
        <f t="shared" si="6"/>
        <v>-6.4638011522428762E-3</v>
      </c>
      <c r="I362" s="87">
        <v>22.57</v>
      </c>
      <c r="J362" s="87">
        <v>23.69</v>
      </c>
      <c r="K362" s="87">
        <v>22.17</v>
      </c>
      <c r="L362" s="87">
        <v>23.68</v>
      </c>
      <c r="M362" s="88">
        <v>12225797</v>
      </c>
      <c r="N362" s="86" t="s">
        <v>373</v>
      </c>
      <c r="O362" s="25">
        <f t="shared" si="7"/>
        <v>-4.6875E-2</v>
      </c>
    </row>
    <row r="363" spans="1:15">
      <c r="A363" s="87">
        <v>630.97248464803431</v>
      </c>
      <c r="B363" s="87">
        <v>635.11657519204277</v>
      </c>
      <c r="C363" s="87">
        <v>630.61557732845461</v>
      </c>
      <c r="D363" s="87">
        <v>633.64928954488187</v>
      </c>
      <c r="E363" s="88">
        <v>13737970.870909363</v>
      </c>
      <c r="F363" s="86" t="s">
        <v>374</v>
      </c>
      <c r="G363" s="25">
        <f t="shared" si="6"/>
        <v>-4.2244265732076514E-3</v>
      </c>
      <c r="I363" s="87">
        <v>24.1</v>
      </c>
      <c r="J363" s="87">
        <v>25.17</v>
      </c>
      <c r="K363" s="87">
        <v>21.9</v>
      </c>
      <c r="L363" s="87">
        <v>22.23</v>
      </c>
      <c r="M363" s="88">
        <v>26681821</v>
      </c>
      <c r="N363" s="86" t="s">
        <v>374</v>
      </c>
      <c r="O363" s="25">
        <f t="shared" si="7"/>
        <v>8.4120557804768348E-2</v>
      </c>
    </row>
    <row r="364" spans="1:15">
      <c r="A364" s="87">
        <v>632.74710715372214</v>
      </c>
      <c r="B364" s="87">
        <v>634.49198738277835</v>
      </c>
      <c r="C364" s="87">
        <v>627.67109194192221</v>
      </c>
      <c r="D364" s="87">
        <v>628.62284479413472</v>
      </c>
      <c r="E364" s="88">
        <v>8962171.0301906075</v>
      </c>
      <c r="F364" s="86" t="s">
        <v>375</v>
      </c>
      <c r="G364" s="25">
        <f t="shared" si="6"/>
        <v>6.5607898181587743E-3</v>
      </c>
      <c r="I364" s="87">
        <v>22.13</v>
      </c>
      <c r="J364" s="87">
        <v>22.43</v>
      </c>
      <c r="K364" s="87">
        <v>20.94</v>
      </c>
      <c r="L364" s="87">
        <v>21.54</v>
      </c>
      <c r="M364" s="88">
        <v>8830054</v>
      </c>
      <c r="N364" s="86" t="s">
        <v>375</v>
      </c>
      <c r="O364" s="25">
        <f t="shared" si="7"/>
        <v>2.7390900649953531E-2</v>
      </c>
    </row>
    <row r="365" spans="1:15">
      <c r="A365" s="87">
        <v>629.7827935827687</v>
      </c>
      <c r="B365" s="87">
        <v>631.25007922992961</v>
      </c>
      <c r="C365" s="87">
        <v>620.82045422443446</v>
      </c>
      <c r="D365" s="87">
        <v>621.33598701938286</v>
      </c>
      <c r="E365" s="88">
        <v>13071716.224520942</v>
      </c>
      <c r="F365" s="86" t="s">
        <v>376</v>
      </c>
      <c r="G365" s="25">
        <f t="shared" si="6"/>
        <v>1.3594587694664373E-2</v>
      </c>
      <c r="I365" s="87">
        <v>21.99</v>
      </c>
      <c r="J365" s="87">
        <v>22.95</v>
      </c>
      <c r="K365" s="87">
        <v>20.95</v>
      </c>
      <c r="L365" s="87">
        <v>22.524999999999999</v>
      </c>
      <c r="M365" s="88">
        <v>12004560</v>
      </c>
      <c r="N365" s="86" t="s">
        <v>376</v>
      </c>
      <c r="O365" s="25">
        <f t="shared" si="7"/>
        <v>-2.3751387347391795E-2</v>
      </c>
    </row>
    <row r="366" spans="1:15">
      <c r="A366" s="87">
        <v>617.74708563916499</v>
      </c>
      <c r="B366" s="87">
        <v>623.34854773812378</v>
      </c>
      <c r="C366" s="87">
        <v>616.16083088547748</v>
      </c>
      <c r="D366" s="87">
        <v>620.86011059327666</v>
      </c>
      <c r="E366" s="88">
        <v>11606691.521144789</v>
      </c>
      <c r="F366" s="86" t="s">
        <v>377</v>
      </c>
      <c r="G366" s="25">
        <f t="shared" si="6"/>
        <v>-5.0140521205926936E-3</v>
      </c>
      <c r="I366" s="87">
        <v>22.2</v>
      </c>
      <c r="J366" s="87">
        <v>22.969899999999999</v>
      </c>
      <c r="K366" s="87">
        <v>21.42</v>
      </c>
      <c r="L366" s="87">
        <v>21.83</v>
      </c>
      <c r="M366" s="88">
        <v>24732344</v>
      </c>
      <c r="N366" s="86" t="s">
        <v>377</v>
      </c>
      <c r="O366" s="25">
        <f t="shared" si="7"/>
        <v>1.6949152542372836E-2</v>
      </c>
    </row>
    <row r="367" spans="1:15">
      <c r="A367" s="87">
        <v>625.4899916556019</v>
      </c>
      <c r="B367" s="87">
        <v>630.4569518530858</v>
      </c>
      <c r="C367" s="87">
        <v>621.61358160127816</v>
      </c>
      <c r="D367" s="87">
        <v>629.47545672424167</v>
      </c>
      <c r="E367" s="88">
        <v>11325536.177740304</v>
      </c>
      <c r="F367" s="86" t="s">
        <v>378</v>
      </c>
      <c r="G367" s="25">
        <f t="shared" si="6"/>
        <v>-6.3314066117524659E-3</v>
      </c>
      <c r="I367" s="87">
        <v>22.51</v>
      </c>
      <c r="J367" s="87">
        <v>22.72</v>
      </c>
      <c r="K367" s="87">
        <v>19.850000000000001</v>
      </c>
      <c r="L367" s="87">
        <v>21.02</v>
      </c>
      <c r="M367" s="88">
        <v>24100426</v>
      </c>
      <c r="N367" s="86" t="s">
        <v>378</v>
      </c>
      <c r="O367" s="25">
        <f t="shared" si="7"/>
        <v>7.0884871550904061E-2</v>
      </c>
    </row>
    <row r="368" spans="1:15">
      <c r="A368" s="87">
        <v>628.70215753181901</v>
      </c>
      <c r="B368" s="87">
        <v>635.49331069604352</v>
      </c>
      <c r="C368" s="87">
        <v>623.70049801159826</v>
      </c>
      <c r="D368" s="87">
        <v>634.82906651793701</v>
      </c>
      <c r="E368" s="88">
        <v>9727764.0707642585</v>
      </c>
      <c r="F368" s="86" t="s">
        <v>379</v>
      </c>
      <c r="G368" s="25">
        <f t="shared" si="6"/>
        <v>-9.6512735620697399E-3</v>
      </c>
      <c r="I368" s="87">
        <v>21.39</v>
      </c>
      <c r="J368" s="87">
        <v>23.42</v>
      </c>
      <c r="K368" s="87">
        <v>20.9421</v>
      </c>
      <c r="L368" s="87">
        <v>23.4</v>
      </c>
      <c r="M368" s="88">
        <v>25439028</v>
      </c>
      <c r="N368" s="86" t="s">
        <v>379</v>
      </c>
      <c r="O368" s="25">
        <f t="shared" si="7"/>
        <v>-8.5897435897435814E-2</v>
      </c>
    </row>
    <row r="369" spans="1:15">
      <c r="A369" s="87">
        <v>634.18465052425131</v>
      </c>
      <c r="B369" s="87">
        <v>635.45365432720143</v>
      </c>
      <c r="C369" s="87">
        <v>628.62284479413472</v>
      </c>
      <c r="D369" s="87">
        <v>628.73189980845063</v>
      </c>
      <c r="E369" s="88">
        <v>9203597.0679123215</v>
      </c>
      <c r="F369" s="86" t="s">
        <v>380</v>
      </c>
      <c r="G369" s="25">
        <f t="shared" si="6"/>
        <v>8.6726166072723654E-3</v>
      </c>
      <c r="I369" s="87">
        <v>24</v>
      </c>
      <c r="J369" s="87">
        <v>25.82</v>
      </c>
      <c r="K369" s="87">
        <v>23.99</v>
      </c>
      <c r="L369" s="87">
        <v>25.67</v>
      </c>
      <c r="M369" s="88">
        <v>14174931</v>
      </c>
      <c r="N369" s="86" t="s">
        <v>380</v>
      </c>
      <c r="O369" s="25">
        <f t="shared" si="7"/>
        <v>-6.5056486170627204E-2</v>
      </c>
    </row>
    <row r="370" spans="1:15">
      <c r="A370" s="87">
        <v>630.75437461940226</v>
      </c>
      <c r="B370" s="87">
        <v>632.96521718235419</v>
      </c>
      <c r="C370" s="87">
        <v>626.52105724549881</v>
      </c>
      <c r="D370" s="87">
        <v>630.78411689603388</v>
      </c>
      <c r="E370" s="88">
        <v>6576045.351953093</v>
      </c>
      <c r="F370" s="86" t="s">
        <v>381</v>
      </c>
      <c r="G370" s="25">
        <f t="shared" si="6"/>
        <v>-4.71512770137128E-5</v>
      </c>
      <c r="I370" s="87">
        <v>25.92</v>
      </c>
      <c r="J370" s="87">
        <v>27.12</v>
      </c>
      <c r="K370" s="87">
        <v>25.91</v>
      </c>
      <c r="L370" s="87">
        <v>27</v>
      </c>
      <c r="M370" s="88">
        <v>9014496</v>
      </c>
      <c r="N370" s="86" t="s">
        <v>381</v>
      </c>
      <c r="O370" s="25">
        <f t="shared" si="7"/>
        <v>-3.9999999999999925E-2</v>
      </c>
    </row>
    <row r="371" spans="1:15">
      <c r="A371" s="87">
        <v>632.78676352256423</v>
      </c>
      <c r="B371" s="87">
        <v>635.53296706488572</v>
      </c>
      <c r="C371" s="87">
        <v>624.40935560465243</v>
      </c>
      <c r="D371" s="87">
        <v>634.92820744004234</v>
      </c>
      <c r="E371" s="88">
        <v>8559388.8172360025</v>
      </c>
      <c r="F371" s="86" t="s">
        <v>382</v>
      </c>
      <c r="G371" s="25">
        <f t="shared" si="6"/>
        <v>-3.372733944381201E-3</v>
      </c>
      <c r="I371" s="87">
        <v>27.07</v>
      </c>
      <c r="J371" s="87">
        <v>29.78</v>
      </c>
      <c r="K371" s="87">
        <v>26.75</v>
      </c>
      <c r="L371" s="87">
        <v>29.64</v>
      </c>
      <c r="M371" s="88">
        <v>11252668</v>
      </c>
      <c r="N371" s="86" t="s">
        <v>382</v>
      </c>
      <c r="O371" s="25">
        <f t="shared" si="7"/>
        <v>-8.6707152496626194E-2</v>
      </c>
    </row>
    <row r="372" spans="1:15">
      <c r="A372" s="87">
        <v>634.10533778656702</v>
      </c>
      <c r="B372" s="87">
        <v>636.2963521650978</v>
      </c>
      <c r="C372" s="87">
        <v>632.73719306151156</v>
      </c>
      <c r="D372" s="87">
        <v>635.54288115709619</v>
      </c>
      <c r="E372" s="88">
        <v>5535930.9591264632</v>
      </c>
      <c r="F372" s="86" t="s">
        <v>383</v>
      </c>
      <c r="G372" s="25">
        <f t="shared" si="6"/>
        <v>-2.2619140472660559E-3</v>
      </c>
      <c r="I372" s="87">
        <v>30.06</v>
      </c>
      <c r="J372" s="87">
        <v>30.26</v>
      </c>
      <c r="K372" s="87">
        <v>28.31</v>
      </c>
      <c r="L372" s="87">
        <v>28.85</v>
      </c>
      <c r="M372" s="88">
        <v>7471806</v>
      </c>
      <c r="N372" s="86" t="s">
        <v>383</v>
      </c>
      <c r="O372" s="25">
        <f t="shared" si="7"/>
        <v>4.1941074523396793E-2</v>
      </c>
    </row>
    <row r="373" spans="1:15">
      <c r="A373" s="87">
        <v>634.20447870867247</v>
      </c>
      <c r="B373" s="87">
        <v>635.09268222981541</v>
      </c>
      <c r="C373" s="87">
        <v>632.39019983414244</v>
      </c>
      <c r="D373" s="87">
        <v>632.93547490572246</v>
      </c>
      <c r="E373" s="88">
        <v>4345638.4190342566</v>
      </c>
      <c r="F373" s="86" t="s">
        <v>384</v>
      </c>
      <c r="G373" s="25">
        <f t="shared" si="6"/>
        <v>2.0049497196203969E-3</v>
      </c>
      <c r="I373" s="87">
        <v>28.46</v>
      </c>
      <c r="J373" s="87">
        <v>29.29</v>
      </c>
      <c r="K373" s="87">
        <v>27.98</v>
      </c>
      <c r="L373" s="87">
        <v>29.05</v>
      </c>
      <c r="M373" s="88">
        <v>6357876</v>
      </c>
      <c r="N373" s="86" t="s">
        <v>384</v>
      </c>
      <c r="O373" s="25">
        <f t="shared" si="7"/>
        <v>-2.0309810671256479E-2</v>
      </c>
    </row>
    <row r="374" spans="1:15">
      <c r="A374" s="87">
        <v>631.61690064171978</v>
      </c>
      <c r="B374" s="87">
        <v>632.90573262909083</v>
      </c>
      <c r="C374" s="87">
        <v>629.0689789436093</v>
      </c>
      <c r="D374" s="87">
        <v>629.57459764634712</v>
      </c>
      <c r="E374" s="88">
        <v>9054170.376235595</v>
      </c>
      <c r="F374" s="86" t="s">
        <v>385</v>
      </c>
      <c r="G374" s="25">
        <f t="shared" si="6"/>
        <v>3.2439412311229265E-3</v>
      </c>
      <c r="I374" s="87">
        <v>29.17</v>
      </c>
      <c r="J374" s="87">
        <v>29.69</v>
      </c>
      <c r="K374" s="87">
        <v>28.22</v>
      </c>
      <c r="L374" s="87">
        <v>28.94</v>
      </c>
      <c r="M374" s="88">
        <v>6736747</v>
      </c>
      <c r="N374" s="86" t="s">
        <v>385</v>
      </c>
      <c r="O374" s="25">
        <f t="shared" si="7"/>
        <v>7.9474775397374575E-3</v>
      </c>
    </row>
    <row r="375" spans="1:15">
      <c r="A375" s="87">
        <v>628.38490658108162</v>
      </c>
      <c r="B375" s="87">
        <v>630.01131340822178</v>
      </c>
      <c r="C375" s="87">
        <v>626.54088542991985</v>
      </c>
      <c r="D375" s="87">
        <v>627.44306782107958</v>
      </c>
      <c r="E375" s="88">
        <v>5877748.4375230186</v>
      </c>
      <c r="F375" s="86" t="s">
        <v>386</v>
      </c>
      <c r="G375" s="25">
        <f t="shared" si="6"/>
        <v>1.5010744532930609E-3</v>
      </c>
      <c r="I375" s="87">
        <v>28.93</v>
      </c>
      <c r="J375" s="87">
        <v>29.48</v>
      </c>
      <c r="K375" s="87">
        <v>27.87</v>
      </c>
      <c r="L375" s="87">
        <v>28.25</v>
      </c>
      <c r="M375" s="88">
        <v>6549940</v>
      </c>
      <c r="N375" s="86" t="s">
        <v>386</v>
      </c>
      <c r="O375" s="25">
        <f t="shared" si="7"/>
        <v>2.4070796460176958E-2</v>
      </c>
    </row>
    <row r="376" spans="1:15">
      <c r="A376" s="87">
        <v>628.12714018360737</v>
      </c>
      <c r="B376" s="87">
        <v>630.15952908676945</v>
      </c>
      <c r="C376" s="87">
        <v>626.3227754012878</v>
      </c>
      <c r="D376" s="87">
        <v>628.97975211371431</v>
      </c>
      <c r="E376" s="88">
        <v>6110276.0306744725</v>
      </c>
      <c r="F376" s="86" t="s">
        <v>387</v>
      </c>
      <c r="G376" s="25">
        <f t="shared" si="6"/>
        <v>-1.3555474993299788E-3</v>
      </c>
      <c r="I376" s="87">
        <v>28.42</v>
      </c>
      <c r="J376" s="87">
        <v>28.92</v>
      </c>
      <c r="K376" s="87">
        <v>27.07</v>
      </c>
      <c r="L376" s="87">
        <v>27.45</v>
      </c>
      <c r="M376" s="88">
        <v>11574747</v>
      </c>
      <c r="N376" s="86" t="s">
        <v>387</v>
      </c>
      <c r="O376" s="25">
        <f t="shared" si="7"/>
        <v>3.5336976320582858E-2</v>
      </c>
    </row>
    <row r="377" spans="1:15">
      <c r="A377" s="87">
        <v>624.87531793854794</v>
      </c>
      <c r="B377" s="87">
        <v>627.95860061602798</v>
      </c>
      <c r="C377" s="87">
        <v>618.29236071074502</v>
      </c>
      <c r="D377" s="87">
        <v>619.65059134358989</v>
      </c>
      <c r="E377" s="88">
        <v>10444706.161784818</v>
      </c>
      <c r="F377" s="86" t="s">
        <v>388</v>
      </c>
      <c r="G377" s="25">
        <f t="shared" si="6"/>
        <v>8.4317301846339454E-3</v>
      </c>
      <c r="I377" s="87">
        <v>27.07</v>
      </c>
      <c r="J377" s="87">
        <v>27.86</v>
      </c>
      <c r="K377" s="87">
        <v>26.79</v>
      </c>
      <c r="L377" s="87">
        <v>27.71</v>
      </c>
      <c r="M377" s="88">
        <v>11779187</v>
      </c>
      <c r="N377" s="86" t="s">
        <v>388</v>
      </c>
      <c r="O377" s="25">
        <f t="shared" si="7"/>
        <v>-2.3096355106459798E-2</v>
      </c>
    </row>
    <row r="378" spans="1:15">
      <c r="A378" s="87">
        <v>617.79665610021766</v>
      </c>
      <c r="B378" s="87">
        <v>624.34977191046698</v>
      </c>
      <c r="C378" s="87">
        <v>616.87464552463689</v>
      </c>
      <c r="D378" s="87">
        <v>621.37564338822506</v>
      </c>
      <c r="E378" s="88">
        <v>15006546.927385891</v>
      </c>
      <c r="F378" s="86" t="s">
        <v>389</v>
      </c>
      <c r="G378" s="25">
        <f t="shared" si="6"/>
        <v>-5.7597804582296686E-3</v>
      </c>
      <c r="I378" s="87">
        <v>27.76</v>
      </c>
      <c r="J378" s="87">
        <v>28.788</v>
      </c>
      <c r="K378" s="87">
        <v>27.48</v>
      </c>
      <c r="L378" s="87">
        <v>28.18</v>
      </c>
      <c r="M378" s="88">
        <v>14621783</v>
      </c>
      <c r="N378" s="86" t="s">
        <v>389</v>
      </c>
      <c r="O378" s="25">
        <f t="shared" si="7"/>
        <v>-1.490418736692678E-2</v>
      </c>
    </row>
    <row r="379" spans="1:15">
      <c r="A379" s="87">
        <v>630.62549142066518</v>
      </c>
      <c r="B379" s="87">
        <v>633.02460259469535</v>
      </c>
      <c r="C379" s="87">
        <v>629.22760441897799</v>
      </c>
      <c r="D379" s="87">
        <v>632.47942666403742</v>
      </c>
      <c r="E379" s="88">
        <v>6752046.3375142086</v>
      </c>
      <c r="F379" s="86" t="s">
        <v>390</v>
      </c>
      <c r="G379" s="25">
        <f t="shared" si="6"/>
        <v>-2.9312182581979762E-3</v>
      </c>
      <c r="I379" s="87">
        <v>29.57</v>
      </c>
      <c r="J379" s="87">
        <v>31.55</v>
      </c>
      <c r="K379" s="87">
        <v>29.48</v>
      </c>
      <c r="L379" s="87">
        <v>31.55</v>
      </c>
      <c r="M379" s="88">
        <v>14723941</v>
      </c>
      <c r="N379" s="86" t="s">
        <v>390</v>
      </c>
      <c r="O379" s="25">
        <f t="shared" si="7"/>
        <v>-6.275752773375598E-2</v>
      </c>
    </row>
    <row r="380" spans="1:15">
      <c r="A380" s="87">
        <v>631.15093830782405</v>
      </c>
      <c r="B380" s="87">
        <v>634.08550960214598</v>
      </c>
      <c r="C380" s="87">
        <v>630.23884182445386</v>
      </c>
      <c r="D380" s="87">
        <v>633.28246813309158</v>
      </c>
      <c r="E380" s="88">
        <v>6810105.1075736275</v>
      </c>
      <c r="F380" s="86" t="s">
        <v>391</v>
      </c>
      <c r="G380" s="25">
        <f t="shared" ref="G380:G438" si="8">A380/D380-1</f>
        <v>-3.3658437309203038E-3</v>
      </c>
      <c r="I380" s="87">
        <v>31.6</v>
      </c>
      <c r="J380" s="87">
        <v>32.469799999999999</v>
      </c>
      <c r="K380" s="87">
        <v>31.6</v>
      </c>
      <c r="L380" s="87">
        <v>32.299999999999997</v>
      </c>
      <c r="M380" s="88">
        <v>7785144</v>
      </c>
      <c r="N380" s="86" t="s">
        <v>391</v>
      </c>
      <c r="O380" s="25">
        <f t="shared" ref="O380:O438" si="9">I380/L380-1</f>
        <v>-2.1671826625386914E-2</v>
      </c>
    </row>
    <row r="381" spans="1:15">
      <c r="A381" s="87">
        <v>629.48537081645225</v>
      </c>
      <c r="B381" s="87">
        <v>630.65424228807569</v>
      </c>
      <c r="C381" s="87">
        <v>625.57921848549688</v>
      </c>
      <c r="D381" s="87">
        <v>630.03064588803227</v>
      </c>
      <c r="E381" s="88">
        <v>8650571.1444528438</v>
      </c>
      <c r="F381" s="86" t="s">
        <v>392</v>
      </c>
      <c r="G381" s="25">
        <f t="shared" si="8"/>
        <v>-8.6547388629243382E-4</v>
      </c>
      <c r="I381" s="87">
        <v>32.36</v>
      </c>
      <c r="J381" s="87">
        <v>34.14</v>
      </c>
      <c r="K381" s="87">
        <v>32.07</v>
      </c>
      <c r="L381" s="87">
        <v>33.86</v>
      </c>
      <c r="M381" s="88">
        <v>8891957</v>
      </c>
      <c r="N381" s="86" t="s">
        <v>392</v>
      </c>
      <c r="O381" s="25">
        <f t="shared" si="9"/>
        <v>-4.430005906674539E-2</v>
      </c>
    </row>
    <row r="382" spans="1:15">
      <c r="A382" s="87">
        <v>632.54882530951113</v>
      </c>
      <c r="B382" s="87">
        <v>634.65130684460189</v>
      </c>
      <c r="C382" s="87">
        <v>630.35285388487512</v>
      </c>
      <c r="D382" s="87">
        <v>634.18465052425131</v>
      </c>
      <c r="E382" s="88">
        <v>8913703.657707544</v>
      </c>
      <c r="F382" s="86" t="s">
        <v>393</v>
      </c>
      <c r="G382" s="25">
        <f t="shared" si="8"/>
        <v>-2.5794147073536777E-3</v>
      </c>
      <c r="I382" s="87">
        <v>33.56</v>
      </c>
      <c r="J382" s="87">
        <v>36.534999999999997</v>
      </c>
      <c r="K382" s="87">
        <v>33.03</v>
      </c>
      <c r="L382" s="87">
        <v>36.090000000000003</v>
      </c>
      <c r="M382" s="88">
        <v>13740813</v>
      </c>
      <c r="N382" s="86" t="s">
        <v>393</v>
      </c>
      <c r="O382" s="25">
        <f t="shared" si="9"/>
        <v>-7.0102521474092572E-2</v>
      </c>
    </row>
    <row r="383" spans="1:15">
      <c r="A383" s="87">
        <v>633.84757138909276</v>
      </c>
      <c r="B383" s="87">
        <v>634.66052695035762</v>
      </c>
      <c r="C383" s="87">
        <v>629.70348084508419</v>
      </c>
      <c r="D383" s="87">
        <v>629.73322312171592</v>
      </c>
      <c r="E383" s="88">
        <v>7958251.5801160997</v>
      </c>
      <c r="F383" s="86" t="s">
        <v>394</v>
      </c>
      <c r="G383" s="25">
        <f t="shared" si="8"/>
        <v>6.5334781718855428E-3</v>
      </c>
      <c r="I383" s="87">
        <v>36.4</v>
      </c>
      <c r="J383" s="87">
        <v>37.770000000000003</v>
      </c>
      <c r="K383" s="87">
        <v>36.049999999999997</v>
      </c>
      <c r="L383" s="87">
        <v>37.1</v>
      </c>
      <c r="M383" s="88">
        <v>5058406</v>
      </c>
      <c r="N383" s="86" t="s">
        <v>394</v>
      </c>
      <c r="O383" s="25">
        <f t="shared" si="9"/>
        <v>-1.8867924528301994E-2</v>
      </c>
    </row>
    <row r="384" spans="1:15">
      <c r="A384" s="87">
        <v>632.82641989140643</v>
      </c>
      <c r="B384" s="87">
        <v>633.94671231119833</v>
      </c>
      <c r="C384" s="87">
        <v>628.35516430444989</v>
      </c>
      <c r="D384" s="87">
        <v>629.69356675287372</v>
      </c>
      <c r="E384" s="88">
        <v>7911683.5242421729</v>
      </c>
      <c r="F384" s="86" t="s">
        <v>395</v>
      </c>
      <c r="G384" s="25">
        <f t="shared" si="8"/>
        <v>4.9752027080216532E-3</v>
      </c>
      <c r="I384" s="87">
        <v>37.33</v>
      </c>
      <c r="J384" s="87">
        <v>38.049999999999997</v>
      </c>
      <c r="K384" s="87">
        <v>35.97</v>
      </c>
      <c r="L384" s="87">
        <v>37.19</v>
      </c>
      <c r="M384" s="88">
        <v>4009764</v>
      </c>
      <c r="N384" s="86" t="s">
        <v>395</v>
      </c>
      <c r="O384" s="25">
        <f t="shared" si="9"/>
        <v>3.7644528098952357E-3</v>
      </c>
    </row>
    <row r="385" spans="1:15">
      <c r="A385" s="87">
        <v>628.61293070192403</v>
      </c>
      <c r="B385" s="87">
        <v>629.64409543274314</v>
      </c>
      <c r="C385" s="87">
        <v>626.80479856456463</v>
      </c>
      <c r="D385" s="87">
        <v>628.03791335371238</v>
      </c>
      <c r="E385" s="88">
        <v>9040463.6245619077</v>
      </c>
      <c r="F385" s="86" t="s">
        <v>396</v>
      </c>
      <c r="G385" s="25">
        <f t="shared" si="8"/>
        <v>9.155774452231924E-4</v>
      </c>
      <c r="I385" s="87">
        <v>37.270000000000003</v>
      </c>
      <c r="J385" s="87">
        <v>37.78</v>
      </c>
      <c r="K385" s="87">
        <v>36.15</v>
      </c>
      <c r="L385" s="87">
        <v>37.159999999999997</v>
      </c>
      <c r="M385" s="88">
        <v>3570579</v>
      </c>
      <c r="N385" s="86" t="s">
        <v>396</v>
      </c>
      <c r="O385" s="25">
        <f t="shared" si="9"/>
        <v>2.9601722282024401E-3</v>
      </c>
    </row>
    <row r="386" spans="1:15">
      <c r="A386" s="87">
        <v>628.72198571624006</v>
      </c>
      <c r="B386" s="87">
        <v>632.73719306151156</v>
      </c>
      <c r="C386" s="87">
        <v>628.48404750318696</v>
      </c>
      <c r="D386" s="87">
        <v>631.11128193898196</v>
      </c>
      <c r="E386" s="88">
        <v>8872984.8514440171</v>
      </c>
      <c r="F386" s="86" t="s">
        <v>397</v>
      </c>
      <c r="G386" s="25">
        <f t="shared" si="8"/>
        <v>-3.7858556662165865E-3</v>
      </c>
      <c r="I386" s="87">
        <v>37.26</v>
      </c>
      <c r="J386" s="87">
        <v>37.9</v>
      </c>
      <c r="K386" s="87">
        <v>36.441099999999999</v>
      </c>
      <c r="L386" s="87">
        <v>36.83</v>
      </c>
      <c r="M386" s="88">
        <v>3150053</v>
      </c>
      <c r="N386" s="86" t="s">
        <v>397</v>
      </c>
      <c r="O386" s="25">
        <f t="shared" si="9"/>
        <v>1.1675264729839707E-2</v>
      </c>
    </row>
    <row r="387" spans="1:15">
      <c r="A387" s="87">
        <v>630.74446052719168</v>
      </c>
      <c r="B387" s="87">
        <v>631.2104228610873</v>
      </c>
      <c r="C387" s="87">
        <v>627.09607459371045</v>
      </c>
      <c r="D387" s="87">
        <v>627.20512960802648</v>
      </c>
      <c r="E387" s="88">
        <v>8705688.6467309333</v>
      </c>
      <c r="F387" s="86" t="s">
        <v>398</v>
      </c>
      <c r="G387" s="25">
        <f t="shared" si="8"/>
        <v>5.6430197268588778E-3</v>
      </c>
      <c r="I387" s="87">
        <v>37.49</v>
      </c>
      <c r="J387" s="87">
        <v>37.5</v>
      </c>
      <c r="K387" s="87">
        <v>35.71</v>
      </c>
      <c r="L387" s="87">
        <v>36.799999999999997</v>
      </c>
      <c r="M387" s="88">
        <v>4966174</v>
      </c>
      <c r="N387" s="86" t="s">
        <v>398</v>
      </c>
      <c r="O387" s="25">
        <f t="shared" si="9"/>
        <v>1.8750000000000044E-2</v>
      </c>
    </row>
    <row r="388" spans="1:15">
      <c r="A388" s="87">
        <v>627.02667594823674</v>
      </c>
      <c r="B388" s="87">
        <v>628.59310251750298</v>
      </c>
      <c r="C388" s="87">
        <v>625.8072426063394</v>
      </c>
      <c r="D388" s="87">
        <v>625.95595398949763</v>
      </c>
      <c r="E388" s="88">
        <v>16280268.185149305</v>
      </c>
      <c r="F388" s="86" t="s">
        <v>399</v>
      </c>
      <c r="G388" s="25">
        <f t="shared" si="8"/>
        <v>1.7105388197282689E-3</v>
      </c>
      <c r="I388" s="87">
        <v>37.07</v>
      </c>
      <c r="J388" s="87">
        <v>38.54</v>
      </c>
      <c r="K388" s="87">
        <v>36.299999999999997</v>
      </c>
      <c r="L388" s="87">
        <v>38.1</v>
      </c>
      <c r="M388" s="88">
        <v>7199983</v>
      </c>
      <c r="N388" s="86" t="s">
        <v>399</v>
      </c>
      <c r="O388" s="25">
        <f t="shared" si="9"/>
        <v>-2.7034120734908185E-2</v>
      </c>
    </row>
    <row r="389" spans="1:15">
      <c r="A389" s="87">
        <v>622.90241358864921</v>
      </c>
      <c r="B389" s="87">
        <v>626.23354857139293</v>
      </c>
      <c r="C389" s="87">
        <v>619.83895909559033</v>
      </c>
      <c r="D389" s="87">
        <v>625.21735411981183</v>
      </c>
      <c r="E389" s="88">
        <v>11092840.137497121</v>
      </c>
      <c r="F389" s="86" t="s">
        <v>400</v>
      </c>
      <c r="G389" s="25">
        <f t="shared" si="8"/>
        <v>-3.7026172032950111E-3</v>
      </c>
      <c r="I389" s="87">
        <v>37.61</v>
      </c>
      <c r="J389" s="87">
        <v>38.17</v>
      </c>
      <c r="K389" s="87">
        <v>36.229999999999997</v>
      </c>
      <c r="L389" s="87">
        <v>38</v>
      </c>
      <c r="M389" s="88">
        <v>5328048</v>
      </c>
      <c r="N389" s="86" t="s">
        <v>400</v>
      </c>
      <c r="O389" s="25">
        <f t="shared" si="9"/>
        <v>-1.0263157894736863E-2</v>
      </c>
    </row>
    <row r="390" spans="1:15">
      <c r="A390" s="87">
        <v>621.74246480001523</v>
      </c>
      <c r="B390" s="87">
        <v>626.70942499749913</v>
      </c>
      <c r="C390" s="87">
        <v>621.55409704801491</v>
      </c>
      <c r="D390" s="87">
        <v>626.51114315328823</v>
      </c>
      <c r="E390" s="88">
        <v>5558948.6994453641</v>
      </c>
      <c r="F390" s="86" t="s">
        <v>401</v>
      </c>
      <c r="G390" s="25">
        <f t="shared" si="8"/>
        <v>-7.6114821027313262E-3</v>
      </c>
      <c r="I390" s="87">
        <v>37.369999999999997</v>
      </c>
      <c r="J390" s="87">
        <v>37.649500000000003</v>
      </c>
      <c r="K390" s="87">
        <v>36.53</v>
      </c>
      <c r="L390" s="87">
        <v>37.049999999999997</v>
      </c>
      <c r="M390" s="88">
        <v>4968273</v>
      </c>
      <c r="N390" s="86" t="s">
        <v>401</v>
      </c>
      <c r="O390" s="25">
        <f t="shared" si="9"/>
        <v>8.6369770580296823E-3</v>
      </c>
    </row>
    <row r="391" spans="1:15">
      <c r="A391" s="87">
        <v>626.29303312465618</v>
      </c>
      <c r="B391" s="87">
        <v>627.77023286402766</v>
      </c>
      <c r="C391" s="87">
        <v>625.98569626612925</v>
      </c>
      <c r="D391" s="87">
        <v>626.76890955076249</v>
      </c>
      <c r="E391" s="88">
        <v>4186835.1754730204</v>
      </c>
      <c r="F391" s="86" t="s">
        <v>402</v>
      </c>
      <c r="G391" s="25">
        <f t="shared" si="8"/>
        <v>-7.5925340082261261E-4</v>
      </c>
      <c r="I391" s="87">
        <v>37.630000000000003</v>
      </c>
      <c r="J391" s="87">
        <v>38.4</v>
      </c>
      <c r="K391" s="87">
        <v>37.470500000000001</v>
      </c>
      <c r="L391" s="87">
        <v>37.75</v>
      </c>
      <c r="M391" s="88">
        <v>3562261</v>
      </c>
      <c r="N391" s="86" t="s">
        <v>402</v>
      </c>
      <c r="O391" s="25">
        <f t="shared" si="9"/>
        <v>-3.1788079470197461E-3</v>
      </c>
    </row>
    <row r="392" spans="1:15">
      <c r="A392" s="87">
        <v>627.16547323918428</v>
      </c>
      <c r="B392" s="87">
        <v>628.34525021223931</v>
      </c>
      <c r="C392" s="87">
        <v>625.5296480244441</v>
      </c>
      <c r="D392" s="87">
        <v>626.86805047286782</v>
      </c>
      <c r="E392" s="88">
        <v>6553250.5266477978</v>
      </c>
      <c r="F392" s="86" t="s">
        <v>403</v>
      </c>
      <c r="G392" s="25">
        <f t="shared" si="8"/>
        <v>4.744583267437541E-4</v>
      </c>
      <c r="I392" s="87">
        <v>37.83</v>
      </c>
      <c r="J392" s="87">
        <v>38.679200000000002</v>
      </c>
      <c r="K392" s="87">
        <v>37.659999999999997</v>
      </c>
      <c r="L392" s="87">
        <v>37.770000000000003</v>
      </c>
      <c r="M392" s="88">
        <v>3609376</v>
      </c>
      <c r="N392" s="86" t="s">
        <v>403</v>
      </c>
      <c r="O392" s="25">
        <f t="shared" si="9"/>
        <v>1.5885623510720759E-3</v>
      </c>
    </row>
    <row r="393" spans="1:15">
      <c r="A393" s="87">
        <v>629.3862298943468</v>
      </c>
      <c r="B393" s="87">
        <v>630.61062028234937</v>
      </c>
      <c r="C393" s="87">
        <v>628.43447704213429</v>
      </c>
      <c r="D393" s="87">
        <v>629.68365266066314</v>
      </c>
      <c r="E393" s="88">
        <v>3863041.5358914714</v>
      </c>
      <c r="F393" s="86" t="s">
        <v>404</v>
      </c>
      <c r="G393" s="25">
        <f t="shared" si="8"/>
        <v>-4.7233680763292263E-4</v>
      </c>
      <c r="I393" s="87">
        <v>38.54</v>
      </c>
      <c r="J393" s="87">
        <v>39.369999999999997</v>
      </c>
      <c r="K393" s="87">
        <v>37.880000000000003</v>
      </c>
      <c r="L393" s="87">
        <v>39.26</v>
      </c>
      <c r="M393" s="88">
        <v>3270018</v>
      </c>
      <c r="N393" s="86" t="s">
        <v>404</v>
      </c>
      <c r="O393" s="25">
        <f t="shared" si="9"/>
        <v>-1.8339276617422295E-2</v>
      </c>
    </row>
    <row r="394" spans="1:15">
      <c r="A394" s="87">
        <v>629.32674534108344</v>
      </c>
      <c r="B394" s="87">
        <v>629.86210632045311</v>
      </c>
      <c r="C394" s="87">
        <v>627.10598868592103</v>
      </c>
      <c r="D394" s="87">
        <v>627.23487188465811</v>
      </c>
      <c r="E394" s="88">
        <v>3301779.8609112306</v>
      </c>
      <c r="F394" s="86" t="s">
        <v>405</v>
      </c>
      <c r="G394" s="25">
        <f t="shared" si="8"/>
        <v>3.3350719964593267E-3</v>
      </c>
      <c r="I394" s="87">
        <v>38.86</v>
      </c>
      <c r="J394" s="87">
        <v>38.934899999999999</v>
      </c>
      <c r="K394" s="87">
        <v>38.11</v>
      </c>
      <c r="L394" s="87">
        <v>38.299999999999997</v>
      </c>
      <c r="M394" s="88">
        <v>1551677</v>
      </c>
      <c r="N394" s="86" t="s">
        <v>405</v>
      </c>
      <c r="O394" s="25">
        <f t="shared" si="9"/>
        <v>1.4621409921671047E-2</v>
      </c>
    </row>
    <row r="395" spans="1:15">
      <c r="A395" s="87">
        <v>627.23487188465811</v>
      </c>
      <c r="B395" s="87">
        <v>627.44306782107958</v>
      </c>
      <c r="C395" s="87">
        <v>623.51708730570306</v>
      </c>
      <c r="D395" s="87">
        <v>623.53691549012433</v>
      </c>
      <c r="E395" s="88">
        <v>13878095.651927857</v>
      </c>
      <c r="F395" s="86" t="s">
        <v>406</v>
      </c>
      <c r="G395" s="25">
        <f t="shared" si="8"/>
        <v>5.9306134130439059E-3</v>
      </c>
      <c r="I395" s="87">
        <v>38.39</v>
      </c>
      <c r="J395" s="87">
        <v>38.869999999999997</v>
      </c>
      <c r="K395" s="87">
        <v>37.409999999999997</v>
      </c>
      <c r="L395" s="87">
        <v>38.6</v>
      </c>
      <c r="M395" s="88">
        <v>3846472</v>
      </c>
      <c r="N395" s="86" t="s">
        <v>406</v>
      </c>
      <c r="O395" s="25">
        <f t="shared" si="9"/>
        <v>-5.4404145077719956E-3</v>
      </c>
    </row>
    <row r="396" spans="1:15">
      <c r="A396" s="87">
        <v>624.32012877475745</v>
      </c>
      <c r="B396" s="87">
        <v>624.85548975412689</v>
      </c>
      <c r="C396" s="87">
        <v>622.40670897812186</v>
      </c>
      <c r="D396" s="87">
        <v>623.56170072065061</v>
      </c>
      <c r="E396" s="88">
        <v>9880951.0663808994</v>
      </c>
      <c r="F396" s="86" t="s">
        <v>407</v>
      </c>
      <c r="G396" s="25">
        <f t="shared" si="8"/>
        <v>1.2162838949703048E-3</v>
      </c>
      <c r="I396" s="87">
        <v>39.25</v>
      </c>
      <c r="J396" s="87">
        <v>40.18</v>
      </c>
      <c r="K396" s="87">
        <v>38.820900000000002</v>
      </c>
      <c r="L396" s="87">
        <v>40</v>
      </c>
      <c r="M396" s="88">
        <v>4547911</v>
      </c>
      <c r="N396" s="86" t="s">
        <v>407</v>
      </c>
      <c r="O396" s="25">
        <f t="shared" si="9"/>
        <v>-1.8750000000000044E-2</v>
      </c>
    </row>
    <row r="397" spans="1:15">
      <c r="A397" s="87">
        <v>620.41298504726694</v>
      </c>
      <c r="B397" s="87">
        <v>620.97649355876695</v>
      </c>
      <c r="C397" s="87">
        <v>616.75512277963537</v>
      </c>
      <c r="D397" s="87">
        <v>616.87375615047745</v>
      </c>
      <c r="E397" s="88">
        <v>10567676.793644959</v>
      </c>
      <c r="F397" s="86" t="s">
        <v>408</v>
      </c>
      <c r="G397" s="25">
        <f t="shared" si="8"/>
        <v>5.7373633770312349E-3</v>
      </c>
      <c r="I397" s="87">
        <v>39.479999999999997</v>
      </c>
      <c r="J397" s="87">
        <v>39.5</v>
      </c>
      <c r="K397" s="87">
        <v>37.435499999999998</v>
      </c>
      <c r="L397" s="87">
        <v>37.700000000000003</v>
      </c>
      <c r="M397" s="88">
        <v>5466995</v>
      </c>
      <c r="N397" s="86" t="s">
        <v>408</v>
      </c>
      <c r="O397" s="25">
        <f t="shared" si="9"/>
        <v>4.7214854111405691E-2</v>
      </c>
    </row>
    <row r="398" spans="1:15">
      <c r="A398" s="87">
        <v>614.92619164581959</v>
      </c>
      <c r="B398" s="87">
        <v>618.81143454089863</v>
      </c>
      <c r="C398" s="87">
        <v>613.50259119571433</v>
      </c>
      <c r="D398" s="87">
        <v>615.9543475264511</v>
      </c>
      <c r="E398" s="88">
        <v>33805939.522175051</v>
      </c>
      <c r="F398" s="86" t="s">
        <v>409</v>
      </c>
      <c r="G398" s="25">
        <f t="shared" si="8"/>
        <v>-1.6692079287375927E-3</v>
      </c>
      <c r="I398" s="87">
        <v>36.99</v>
      </c>
      <c r="J398" s="87">
        <v>38.49</v>
      </c>
      <c r="K398" s="87">
        <v>36.57</v>
      </c>
      <c r="L398" s="87">
        <v>37.880000000000003</v>
      </c>
      <c r="M398" s="88">
        <v>5542284</v>
      </c>
      <c r="N398" s="86" t="s">
        <v>409</v>
      </c>
      <c r="O398" s="25">
        <f t="shared" si="9"/>
        <v>-2.3495248152059167E-2</v>
      </c>
    </row>
    <row r="399" spans="1:15">
      <c r="A399" s="87">
        <v>610.31926241145118</v>
      </c>
      <c r="B399" s="87">
        <v>618.51485111379327</v>
      </c>
      <c r="C399" s="87">
        <v>610.13043762952748</v>
      </c>
      <c r="D399" s="87">
        <v>618.06997597313546</v>
      </c>
      <c r="E399" s="88">
        <v>21194451.629857816</v>
      </c>
      <c r="F399" s="86" t="s">
        <v>410</v>
      </c>
      <c r="G399" s="25">
        <f t="shared" si="8"/>
        <v>-1.2540187782913992E-2</v>
      </c>
      <c r="I399" s="87">
        <v>37.36</v>
      </c>
      <c r="J399" s="87">
        <v>37.799999999999997</v>
      </c>
      <c r="K399" s="87">
        <v>35.856999999999999</v>
      </c>
      <c r="L399" s="87">
        <v>36</v>
      </c>
      <c r="M399" s="88">
        <v>6057188</v>
      </c>
      <c r="N399" s="86" t="s">
        <v>410</v>
      </c>
      <c r="O399" s="25">
        <f t="shared" si="9"/>
        <v>3.7777777777777688E-2</v>
      </c>
    </row>
    <row r="400" spans="1:15">
      <c r="A400" s="87">
        <v>617.10113677792492</v>
      </c>
      <c r="B400" s="87">
        <v>619.08824573953018</v>
      </c>
      <c r="C400" s="87">
        <v>613.58168010960901</v>
      </c>
      <c r="D400" s="87">
        <v>617.43726466197745</v>
      </c>
      <c r="E400" s="88">
        <v>14082814.204306746</v>
      </c>
      <c r="F400" s="86" t="s">
        <v>411</v>
      </c>
      <c r="G400" s="25">
        <f t="shared" si="8"/>
        <v>-5.4439196221267583E-4</v>
      </c>
      <c r="I400" s="87">
        <v>35.94</v>
      </c>
      <c r="J400" s="87">
        <v>36.18</v>
      </c>
      <c r="K400" s="87">
        <v>34.659999999999997</v>
      </c>
      <c r="L400" s="87">
        <v>34.659999999999997</v>
      </c>
      <c r="M400" s="88">
        <v>4724699</v>
      </c>
      <c r="N400" s="86" t="s">
        <v>411</v>
      </c>
      <c r="O400" s="25">
        <f t="shared" si="9"/>
        <v>3.6930178880554054E-2</v>
      </c>
    </row>
    <row r="401" spans="1:15">
      <c r="A401" s="87">
        <v>618.83120676937222</v>
      </c>
      <c r="B401" s="87">
        <v>623.37881931831953</v>
      </c>
      <c r="C401" s="87">
        <v>617.45703689045126</v>
      </c>
      <c r="D401" s="87">
        <v>623.37881931831953</v>
      </c>
      <c r="E401" s="88">
        <v>11437177.164980516</v>
      </c>
      <c r="F401" s="86" t="s">
        <v>412</v>
      </c>
      <c r="G401" s="25">
        <f t="shared" si="8"/>
        <v>-7.2951027657953693E-3</v>
      </c>
      <c r="I401" s="87">
        <v>35.08</v>
      </c>
      <c r="J401" s="87">
        <v>35.909999999999997</v>
      </c>
      <c r="K401" s="87">
        <v>33.924999999999997</v>
      </c>
      <c r="L401" s="87">
        <v>35.81</v>
      </c>
      <c r="M401" s="88">
        <v>7185061</v>
      </c>
      <c r="N401" s="86" t="s">
        <v>412</v>
      </c>
      <c r="O401" s="25">
        <f t="shared" si="9"/>
        <v>-2.0385367215861594E-2</v>
      </c>
    </row>
    <row r="402" spans="1:15">
      <c r="A402" s="87">
        <v>619.73084316492486</v>
      </c>
      <c r="B402" s="87">
        <v>626.21613410429325</v>
      </c>
      <c r="C402" s="87">
        <v>617.36806186231956</v>
      </c>
      <c r="D402" s="87">
        <v>625.59330890737226</v>
      </c>
      <c r="E402" s="88">
        <v>8602756.1448820643</v>
      </c>
      <c r="F402" s="86" t="s">
        <v>413</v>
      </c>
      <c r="G402" s="25">
        <f t="shared" si="8"/>
        <v>-9.3710493046775811E-3</v>
      </c>
      <c r="I402" s="87">
        <v>36.07</v>
      </c>
      <c r="J402" s="87">
        <v>38.68</v>
      </c>
      <c r="K402" s="87">
        <v>36.01</v>
      </c>
      <c r="L402" s="87">
        <v>38.67</v>
      </c>
      <c r="M402" s="88">
        <v>4975325</v>
      </c>
      <c r="N402" s="86" t="s">
        <v>413</v>
      </c>
      <c r="O402" s="25">
        <f t="shared" si="9"/>
        <v>-6.7235583139384603E-2</v>
      </c>
    </row>
    <row r="403" spans="1:15">
      <c r="A403" s="87">
        <v>626.49294530292491</v>
      </c>
      <c r="B403" s="87">
        <v>626.65112313071438</v>
      </c>
      <c r="C403" s="87">
        <v>620.12628773439849</v>
      </c>
      <c r="D403" s="87">
        <v>622.82519692105643</v>
      </c>
      <c r="E403" s="88">
        <v>22383144.145285767</v>
      </c>
      <c r="F403" s="86" t="s">
        <v>414</v>
      </c>
      <c r="G403" s="25">
        <f t="shared" si="8"/>
        <v>5.8888888888890545E-3</v>
      </c>
      <c r="I403" s="87">
        <v>38.69</v>
      </c>
      <c r="J403" s="87">
        <v>38.909999999999997</v>
      </c>
      <c r="K403" s="87">
        <v>37.81</v>
      </c>
      <c r="L403" s="87">
        <v>38.909999999999997</v>
      </c>
      <c r="M403" s="88">
        <v>3994159</v>
      </c>
      <c r="N403" s="86" t="s">
        <v>414</v>
      </c>
      <c r="O403" s="25">
        <f t="shared" si="9"/>
        <v>-5.6540735029555478E-3</v>
      </c>
    </row>
    <row r="404" spans="1:15">
      <c r="A404" s="87">
        <v>624.96059759621437</v>
      </c>
      <c r="B404" s="87">
        <v>626.2902799610697</v>
      </c>
      <c r="C404" s="87">
        <v>619.33539859545124</v>
      </c>
      <c r="D404" s="87">
        <v>620.48218784692483</v>
      </c>
      <c r="E404" s="88">
        <v>22657269.037541274</v>
      </c>
      <c r="F404" s="86" t="s">
        <v>415</v>
      </c>
      <c r="G404" s="25">
        <f t="shared" si="8"/>
        <v>7.2176282204483577E-3</v>
      </c>
      <c r="I404" s="87">
        <v>39.26</v>
      </c>
      <c r="J404" s="87">
        <v>40.28</v>
      </c>
      <c r="K404" s="87">
        <v>38.127000000000002</v>
      </c>
      <c r="L404" s="87">
        <v>38.35</v>
      </c>
      <c r="M404" s="88">
        <v>6306503</v>
      </c>
      <c r="N404" s="86" t="s">
        <v>415</v>
      </c>
      <c r="O404" s="25">
        <f t="shared" si="9"/>
        <v>2.3728813559321882E-2</v>
      </c>
    </row>
    <row r="405" spans="1:15">
      <c r="A405" s="87">
        <v>620.94683521605646</v>
      </c>
      <c r="B405" s="87">
        <v>623.03280532003021</v>
      </c>
      <c r="C405" s="87">
        <v>620.51184618963532</v>
      </c>
      <c r="D405" s="87">
        <v>621.02592412995114</v>
      </c>
      <c r="E405" s="88">
        <v>9728636.3171463218</v>
      </c>
      <c r="F405" s="86" t="s">
        <v>416</v>
      </c>
      <c r="G405" s="25">
        <f t="shared" si="8"/>
        <v>-1.2735203285674235E-4</v>
      </c>
      <c r="I405" s="87">
        <v>38.47</v>
      </c>
      <c r="J405" s="87">
        <v>39.01</v>
      </c>
      <c r="K405" s="87">
        <v>36.99</v>
      </c>
      <c r="L405" s="87">
        <v>37.32</v>
      </c>
      <c r="M405" s="88">
        <v>4067249</v>
      </c>
      <c r="N405" s="86" t="s">
        <v>416</v>
      </c>
      <c r="O405" s="25">
        <f t="shared" si="9"/>
        <v>3.0814576634512258E-2</v>
      </c>
    </row>
    <row r="406" spans="1:15">
      <c r="A406" s="87">
        <v>621.45102704213537</v>
      </c>
      <c r="B406" s="87">
        <v>624.27845571387229</v>
      </c>
      <c r="C406" s="87">
        <v>619.56376783432222</v>
      </c>
      <c r="D406" s="87">
        <v>624.16970845726701</v>
      </c>
      <c r="E406" s="88">
        <v>6912612.8186263889</v>
      </c>
      <c r="F406" s="86" t="s">
        <v>417</v>
      </c>
      <c r="G406" s="25">
        <f t="shared" si="8"/>
        <v>-4.3556766345667075E-3</v>
      </c>
      <c r="I406" s="87">
        <v>37.65</v>
      </c>
      <c r="J406" s="87">
        <v>38.067500000000003</v>
      </c>
      <c r="K406" s="87">
        <v>36.64</v>
      </c>
      <c r="L406" s="87">
        <v>38</v>
      </c>
      <c r="M406" s="88">
        <v>4962002</v>
      </c>
      <c r="N406" s="86" t="s">
        <v>417</v>
      </c>
      <c r="O406" s="25">
        <f t="shared" si="9"/>
        <v>-9.2105263157895578E-3</v>
      </c>
    </row>
    <row r="407" spans="1:15">
      <c r="A407" s="87">
        <v>623.29973040442496</v>
      </c>
      <c r="B407" s="87">
        <v>625.77125896363543</v>
      </c>
      <c r="C407" s="87">
        <v>622.31111898074073</v>
      </c>
      <c r="D407" s="87">
        <v>623.12178034816168</v>
      </c>
      <c r="E407" s="88">
        <v>5065238.8593068877</v>
      </c>
      <c r="F407" s="86" t="s">
        <v>418</v>
      </c>
      <c r="G407" s="25">
        <f t="shared" si="8"/>
        <v>2.8557829604980434E-4</v>
      </c>
      <c r="I407" s="87">
        <v>37.97</v>
      </c>
      <c r="J407" s="87">
        <v>38.832999999999998</v>
      </c>
      <c r="K407" s="87">
        <v>37.4</v>
      </c>
      <c r="L407" s="87">
        <v>38.4</v>
      </c>
      <c r="M407" s="88">
        <v>4979852</v>
      </c>
      <c r="N407" s="86" t="s">
        <v>418</v>
      </c>
      <c r="O407" s="25">
        <f t="shared" si="9"/>
        <v>-1.1197916666666696E-2</v>
      </c>
    </row>
    <row r="408" spans="1:15">
      <c r="A408" s="87">
        <v>622.13316892447745</v>
      </c>
      <c r="B408" s="87">
        <v>623.0031469773196</v>
      </c>
      <c r="C408" s="87">
        <v>619.34528470968803</v>
      </c>
      <c r="D408" s="87">
        <v>622.95371640613541</v>
      </c>
      <c r="E408" s="88">
        <v>5173351.1038545901</v>
      </c>
      <c r="F408" s="86" t="s">
        <v>419</v>
      </c>
      <c r="G408" s="25">
        <f t="shared" si="8"/>
        <v>-1.3171885166554098E-3</v>
      </c>
      <c r="I408" s="87">
        <v>38.71</v>
      </c>
      <c r="J408" s="87">
        <v>39.149900000000002</v>
      </c>
      <c r="K408" s="87">
        <v>36.700000000000003</v>
      </c>
      <c r="L408" s="87">
        <v>37.32</v>
      </c>
      <c r="M408" s="88">
        <v>6430241</v>
      </c>
      <c r="N408" s="86" t="s">
        <v>419</v>
      </c>
      <c r="O408" s="25">
        <f t="shared" si="9"/>
        <v>3.7245444801714989E-2</v>
      </c>
    </row>
    <row r="409" spans="1:15">
      <c r="A409" s="87">
        <v>621.60920486992484</v>
      </c>
      <c r="B409" s="87">
        <v>622.60770240784586</v>
      </c>
      <c r="C409" s="87">
        <v>617.83270923145119</v>
      </c>
      <c r="D409" s="87">
        <v>618.64337059887225</v>
      </c>
      <c r="E409" s="88">
        <v>5208852.4132256731</v>
      </c>
      <c r="F409" s="86" t="s">
        <v>420</v>
      </c>
      <c r="G409" s="25">
        <f t="shared" si="8"/>
        <v>4.7940936765902276E-3</v>
      </c>
      <c r="I409" s="87">
        <v>37.369999999999997</v>
      </c>
      <c r="J409" s="87">
        <v>37.5</v>
      </c>
      <c r="K409" s="87">
        <v>35.325000000000003</v>
      </c>
      <c r="L409" s="87">
        <v>36.28</v>
      </c>
      <c r="M409" s="88">
        <v>4009819</v>
      </c>
      <c r="N409" s="86" t="s">
        <v>420</v>
      </c>
      <c r="O409" s="25">
        <f t="shared" si="9"/>
        <v>3.0044101433296388E-2</v>
      </c>
    </row>
    <row r="410" spans="1:15">
      <c r="A410" s="87">
        <v>619.44414585205652</v>
      </c>
      <c r="B410" s="87">
        <v>621.60920486992484</v>
      </c>
      <c r="C410" s="87">
        <v>617.50646746163534</v>
      </c>
      <c r="D410" s="87">
        <v>619.86924876424064</v>
      </c>
      <c r="E410" s="88">
        <v>5317354.0928848628</v>
      </c>
      <c r="F410" s="86" t="s">
        <v>421</v>
      </c>
      <c r="G410" s="25">
        <f t="shared" si="8"/>
        <v>-6.8579448493633066E-4</v>
      </c>
      <c r="I410" s="87">
        <v>36.18</v>
      </c>
      <c r="J410" s="87">
        <v>36.86</v>
      </c>
      <c r="K410" s="87">
        <v>35.83</v>
      </c>
      <c r="L410" s="87">
        <v>36.1</v>
      </c>
      <c r="M410" s="88">
        <v>5066618</v>
      </c>
      <c r="N410" s="86" t="s">
        <v>421</v>
      </c>
      <c r="O410" s="25">
        <f t="shared" si="9"/>
        <v>2.2160664819943499E-3</v>
      </c>
    </row>
    <row r="411" spans="1:15">
      <c r="A411" s="87">
        <v>618.39621774295119</v>
      </c>
      <c r="B411" s="87">
        <v>620.85786018792487</v>
      </c>
      <c r="C411" s="87">
        <v>616.99238952131964</v>
      </c>
      <c r="D411" s="87">
        <v>617.06159232097741</v>
      </c>
      <c r="E411" s="88">
        <v>8477913.3633369636</v>
      </c>
      <c r="F411" s="86" t="s">
        <v>422</v>
      </c>
      <c r="G411" s="25">
        <f t="shared" si="8"/>
        <v>2.1628722944071477E-3</v>
      </c>
      <c r="I411" s="87">
        <v>35.69</v>
      </c>
      <c r="J411" s="87">
        <v>36.1</v>
      </c>
      <c r="K411" s="87">
        <v>34.26</v>
      </c>
      <c r="L411" s="87">
        <v>35.1</v>
      </c>
      <c r="M411" s="88">
        <v>6016155</v>
      </c>
      <c r="N411" s="86" t="s">
        <v>422</v>
      </c>
      <c r="O411" s="25">
        <f t="shared" si="9"/>
        <v>1.6809116809116675E-2</v>
      </c>
    </row>
    <row r="412" spans="1:15">
      <c r="A412" s="87">
        <v>621.2533047573985</v>
      </c>
      <c r="B412" s="87">
        <v>621.47079927060906</v>
      </c>
      <c r="C412" s="87">
        <v>618.57911085633282</v>
      </c>
      <c r="D412" s="87">
        <v>618.89546651191165</v>
      </c>
      <c r="E412" s="88">
        <v>2983140.7258166848</v>
      </c>
      <c r="F412" s="86" t="s">
        <v>423</v>
      </c>
      <c r="G412" s="25">
        <f t="shared" si="8"/>
        <v>3.8097520067090773E-3</v>
      </c>
      <c r="I412" s="87">
        <v>35.97</v>
      </c>
      <c r="J412" s="87">
        <v>36.549999999999997</v>
      </c>
      <c r="K412" s="87">
        <v>35.6</v>
      </c>
      <c r="L412" s="87">
        <v>36.26</v>
      </c>
      <c r="M412" s="88">
        <v>2926144</v>
      </c>
      <c r="N412" s="86" t="s">
        <v>423</v>
      </c>
      <c r="O412" s="25">
        <f t="shared" si="9"/>
        <v>-7.9977937120794262E-3</v>
      </c>
    </row>
    <row r="413" spans="1:15">
      <c r="A413" s="87">
        <v>617.83270923145119</v>
      </c>
      <c r="B413" s="87">
        <v>619.67152647950377</v>
      </c>
      <c r="C413" s="87">
        <v>615.17334450174064</v>
      </c>
      <c r="D413" s="87">
        <v>615.96423364068801</v>
      </c>
      <c r="E413" s="88">
        <v>5353501.763389037</v>
      </c>
      <c r="F413" s="86" t="s">
        <v>424</v>
      </c>
      <c r="G413" s="25">
        <f t="shared" si="8"/>
        <v>3.0334157224023439E-3</v>
      </c>
      <c r="I413" s="87">
        <v>36.130000000000003</v>
      </c>
      <c r="J413" s="87">
        <v>36.450000000000003</v>
      </c>
      <c r="K413" s="87">
        <v>34.82</v>
      </c>
      <c r="L413" s="87">
        <v>35.6</v>
      </c>
      <c r="M413" s="88">
        <v>4781588</v>
      </c>
      <c r="N413" s="86" t="s">
        <v>424</v>
      </c>
      <c r="O413" s="25">
        <f t="shared" si="9"/>
        <v>1.4887640449438244E-2</v>
      </c>
    </row>
    <row r="414" spans="1:15">
      <c r="A414" s="87">
        <v>613.5915662238458</v>
      </c>
      <c r="B414" s="87">
        <v>614.66915267566173</v>
      </c>
      <c r="C414" s="87">
        <v>604.03169375681955</v>
      </c>
      <c r="D414" s="87">
        <v>607.77853105258271</v>
      </c>
      <c r="E414" s="88">
        <v>7373883.0296265623</v>
      </c>
      <c r="F414" s="86" t="s">
        <v>425</v>
      </c>
      <c r="G414" s="25">
        <f t="shared" si="8"/>
        <v>9.5643970200720574E-3</v>
      </c>
      <c r="I414" s="87">
        <v>35.5</v>
      </c>
      <c r="J414" s="87">
        <v>35.630000000000003</v>
      </c>
      <c r="K414" s="87">
        <v>33.5</v>
      </c>
      <c r="L414" s="87">
        <v>35.01</v>
      </c>
      <c r="M414" s="88">
        <v>5365274</v>
      </c>
      <c r="N414" s="86" t="s">
        <v>425</v>
      </c>
      <c r="O414" s="25">
        <f t="shared" si="9"/>
        <v>1.3996001142530856E-2</v>
      </c>
    </row>
    <row r="415" spans="1:15">
      <c r="A415" s="87">
        <v>607.93670888037218</v>
      </c>
      <c r="B415" s="87">
        <v>609.07361201760909</v>
      </c>
      <c r="C415" s="87">
        <v>601.37727208422734</v>
      </c>
      <c r="D415" s="87">
        <v>602.34116822231942</v>
      </c>
      <c r="E415" s="88">
        <v>6290195.3700125758</v>
      </c>
      <c r="F415" s="86" t="s">
        <v>426</v>
      </c>
      <c r="G415" s="25">
        <f t="shared" si="8"/>
        <v>9.2896533613446852E-3</v>
      </c>
      <c r="I415" s="87">
        <v>35.47</v>
      </c>
      <c r="J415" s="87">
        <v>35.715000000000003</v>
      </c>
      <c r="K415" s="87">
        <v>33.35</v>
      </c>
      <c r="L415" s="87">
        <v>34.369999999999997</v>
      </c>
      <c r="M415" s="88">
        <v>7088856</v>
      </c>
      <c r="N415" s="86" t="s">
        <v>426</v>
      </c>
      <c r="O415" s="25">
        <f t="shared" si="9"/>
        <v>3.2004655222577894E-2</v>
      </c>
    </row>
    <row r="416" spans="1:15">
      <c r="A416" s="87">
        <v>599.02931995297729</v>
      </c>
      <c r="B416" s="87">
        <v>604.05146598529313</v>
      </c>
      <c r="C416" s="87">
        <v>591.56530370416158</v>
      </c>
      <c r="D416" s="87">
        <v>595.39122991381942</v>
      </c>
      <c r="E416" s="88">
        <v>9902643.0055972021</v>
      </c>
      <c r="F416" s="86" t="s">
        <v>427</v>
      </c>
      <c r="G416" s="25">
        <f t="shared" si="8"/>
        <v>6.1104192611041164E-3</v>
      </c>
      <c r="I416" s="87">
        <v>34.31</v>
      </c>
      <c r="J416" s="87">
        <v>34.56</v>
      </c>
      <c r="K416" s="87">
        <v>32.83</v>
      </c>
      <c r="L416" s="87">
        <v>33.549999999999997</v>
      </c>
      <c r="M416" s="88">
        <v>7266409</v>
      </c>
      <c r="N416" s="86" t="s">
        <v>427</v>
      </c>
      <c r="O416" s="25">
        <f t="shared" si="9"/>
        <v>2.2652757078986729E-2</v>
      </c>
    </row>
    <row r="417" spans="1:15">
      <c r="A417" s="87">
        <v>593.12730975358261</v>
      </c>
      <c r="B417" s="87">
        <v>614.05502725926897</v>
      </c>
      <c r="C417" s="87">
        <v>592.53414289937211</v>
      </c>
      <c r="D417" s="87">
        <v>611.67366006189854</v>
      </c>
      <c r="E417" s="88">
        <v>14017291.999678964</v>
      </c>
      <c r="F417" s="86" t="s">
        <v>428</v>
      </c>
      <c r="G417" s="25">
        <f t="shared" si="8"/>
        <v>-3.0320662011895538E-2</v>
      </c>
      <c r="I417" s="87">
        <v>33.57</v>
      </c>
      <c r="J417" s="87">
        <v>36.893999999999998</v>
      </c>
      <c r="K417" s="87">
        <v>33.42</v>
      </c>
      <c r="L417" s="87">
        <v>36.409999999999997</v>
      </c>
      <c r="M417" s="88">
        <v>8459237</v>
      </c>
      <c r="N417" s="86" t="s">
        <v>428</v>
      </c>
      <c r="O417" s="25">
        <f t="shared" si="9"/>
        <v>-7.8000549299642841E-2</v>
      </c>
    </row>
    <row r="418" spans="1:15">
      <c r="A418" s="87">
        <v>602.26207930842486</v>
      </c>
      <c r="B418" s="87">
        <v>606.58221236878239</v>
      </c>
      <c r="C418" s="87">
        <v>598.77228098281944</v>
      </c>
      <c r="D418" s="87">
        <v>600.60121211663522</v>
      </c>
      <c r="E418" s="88">
        <v>7381361.1952868868</v>
      </c>
      <c r="F418" s="86" t="s">
        <v>429</v>
      </c>
      <c r="G418" s="25">
        <f t="shared" si="8"/>
        <v>2.7653410587307192E-3</v>
      </c>
      <c r="I418" s="87">
        <v>35.74</v>
      </c>
      <c r="J418" s="87">
        <v>36.700000000000003</v>
      </c>
      <c r="K418" s="87">
        <v>35.500100000000003</v>
      </c>
      <c r="L418" s="87">
        <v>36.590000000000003</v>
      </c>
      <c r="M418" s="88">
        <v>6467131</v>
      </c>
      <c r="N418" s="86" t="s">
        <v>429</v>
      </c>
      <c r="O418" s="25">
        <f t="shared" si="9"/>
        <v>-2.323039081716316E-2</v>
      </c>
    </row>
    <row r="419" spans="1:15">
      <c r="A419" s="87">
        <v>600.08713417631952</v>
      </c>
      <c r="B419" s="87">
        <v>604.54577169713525</v>
      </c>
      <c r="C419" s="87">
        <v>596.13268848158259</v>
      </c>
      <c r="D419" s="87">
        <v>601.78754582505633</v>
      </c>
      <c r="E419" s="88">
        <v>8583316.7579403464</v>
      </c>
      <c r="F419" s="86" t="s">
        <v>430</v>
      </c>
      <c r="G419" s="25">
        <f t="shared" si="8"/>
        <v>-2.8256012616637571E-3</v>
      </c>
      <c r="I419" s="87">
        <v>36.76</v>
      </c>
      <c r="J419" s="87">
        <v>37.325000000000003</v>
      </c>
      <c r="K419" s="87">
        <v>35.72</v>
      </c>
      <c r="L419" s="87">
        <v>36.479999999999997</v>
      </c>
      <c r="M419" s="88">
        <v>9078023</v>
      </c>
      <c r="N419" s="86" t="s">
        <v>430</v>
      </c>
      <c r="O419" s="25">
        <f t="shared" si="9"/>
        <v>7.6754385964912242E-3</v>
      </c>
    </row>
    <row r="420" spans="1:15">
      <c r="A420" s="87">
        <v>605.06973575168786</v>
      </c>
      <c r="B420" s="87">
        <v>612.39386348405242</v>
      </c>
      <c r="C420" s="87">
        <v>601.87652085318791</v>
      </c>
      <c r="D420" s="87">
        <v>608.72759801931954</v>
      </c>
      <c r="E420" s="88">
        <v>8960921.1341965124</v>
      </c>
      <c r="F420" s="86" t="s">
        <v>431</v>
      </c>
      <c r="G420" s="25">
        <f t="shared" si="8"/>
        <v>-6.0090297852991581E-3</v>
      </c>
      <c r="I420" s="87">
        <v>37.380000000000003</v>
      </c>
      <c r="J420" s="87">
        <v>38.53</v>
      </c>
      <c r="K420" s="87">
        <v>36.56</v>
      </c>
      <c r="L420" s="87">
        <v>37.799999999999997</v>
      </c>
      <c r="M420" s="88">
        <v>14023265</v>
      </c>
      <c r="N420" s="86" t="s">
        <v>431</v>
      </c>
      <c r="O420" s="25">
        <f t="shared" si="9"/>
        <v>-1.1111111111110961E-2</v>
      </c>
    </row>
    <row r="421" spans="1:15">
      <c r="A421" s="87">
        <v>610.7937958948196</v>
      </c>
      <c r="B421" s="87">
        <v>614.14508975996671</v>
      </c>
      <c r="C421" s="87">
        <v>602.88490450534584</v>
      </c>
      <c r="D421" s="87">
        <v>604.78303843881952</v>
      </c>
      <c r="E421" s="88">
        <v>9763082.6113971937</v>
      </c>
      <c r="F421" s="86" t="s">
        <v>432</v>
      </c>
      <c r="G421" s="25">
        <f t="shared" si="8"/>
        <v>9.9387004495301579E-3</v>
      </c>
      <c r="I421" s="87">
        <v>38.53</v>
      </c>
      <c r="J421" s="87">
        <v>41.238999999999997</v>
      </c>
      <c r="K421" s="87">
        <v>38.53</v>
      </c>
      <c r="L421" s="87">
        <v>40</v>
      </c>
      <c r="M421" s="88">
        <v>8483899</v>
      </c>
      <c r="N421" s="86" t="s">
        <v>432</v>
      </c>
      <c r="O421" s="25">
        <f t="shared" si="9"/>
        <v>-3.6749999999999949E-2</v>
      </c>
    </row>
    <row r="422" spans="1:15">
      <c r="A422" s="87">
        <v>610.95197372260907</v>
      </c>
      <c r="B422" s="87">
        <v>618.89052345479331</v>
      </c>
      <c r="C422" s="87">
        <v>609.48882881555642</v>
      </c>
      <c r="D422" s="87">
        <v>618.54450945650376</v>
      </c>
      <c r="E422" s="88">
        <v>10647662.719465353</v>
      </c>
      <c r="F422" s="86" t="s">
        <v>433</v>
      </c>
      <c r="G422" s="25">
        <f t="shared" si="8"/>
        <v>-1.2274841370051193E-2</v>
      </c>
      <c r="I422" s="87">
        <v>40.56</v>
      </c>
      <c r="J422" s="87">
        <v>43.314999999999998</v>
      </c>
      <c r="K422" s="87">
        <v>40.020000000000003</v>
      </c>
      <c r="L422" s="87">
        <v>43.21</v>
      </c>
      <c r="M422" s="88">
        <v>10328527</v>
      </c>
      <c r="N422" s="86" t="s">
        <v>433</v>
      </c>
      <c r="O422" s="25">
        <f t="shared" si="9"/>
        <v>-6.1328396204582192E-2</v>
      </c>
    </row>
    <row r="423" spans="1:15">
      <c r="A423" s="87">
        <v>621.06546858689865</v>
      </c>
      <c r="B423" s="87">
        <v>622.59781629360907</v>
      </c>
      <c r="C423" s="87">
        <v>618.96961236868799</v>
      </c>
      <c r="D423" s="87">
        <v>622.479182922767</v>
      </c>
      <c r="E423" s="88">
        <v>6135702.9209664008</v>
      </c>
      <c r="F423" s="86" t="s">
        <v>434</v>
      </c>
      <c r="G423" s="25">
        <f t="shared" si="8"/>
        <v>-2.2711029937265703E-3</v>
      </c>
      <c r="I423" s="87">
        <v>44</v>
      </c>
      <c r="J423" s="87">
        <v>45.42</v>
      </c>
      <c r="K423" s="87">
        <v>43.41</v>
      </c>
      <c r="L423" s="87">
        <v>44.24</v>
      </c>
      <c r="M423" s="88">
        <v>5287223</v>
      </c>
      <c r="N423" s="86" t="s">
        <v>434</v>
      </c>
      <c r="O423" s="25">
        <f t="shared" si="9"/>
        <v>-5.4249547920434127E-3</v>
      </c>
    </row>
    <row r="424" spans="1:15">
      <c r="A424" s="87">
        <v>620.75899904555638</v>
      </c>
      <c r="B424" s="87">
        <v>621.33239367129329</v>
      </c>
      <c r="C424" s="87">
        <v>616.96273117860915</v>
      </c>
      <c r="D424" s="87">
        <v>618.04031763042485</v>
      </c>
      <c r="E424" s="88">
        <v>5675509.9785213806</v>
      </c>
      <c r="F424" s="86" t="s">
        <v>435</v>
      </c>
      <c r="G424" s="25">
        <f t="shared" si="8"/>
        <v>4.3988738882845269E-3</v>
      </c>
      <c r="I424" s="87">
        <v>44.48</v>
      </c>
      <c r="J424" s="87">
        <v>44.98</v>
      </c>
      <c r="K424" s="87">
        <v>42.9</v>
      </c>
      <c r="L424" s="87">
        <v>43.83</v>
      </c>
      <c r="M424" s="88">
        <v>9595252</v>
      </c>
      <c r="N424" s="86" t="s">
        <v>435</v>
      </c>
      <c r="O424" s="25">
        <f t="shared" si="9"/>
        <v>1.4830025096965516E-2</v>
      </c>
    </row>
    <row r="425" spans="1:15">
      <c r="A425" s="87">
        <v>619.33539859545124</v>
      </c>
      <c r="B425" s="87">
        <v>620.06697104897751</v>
      </c>
      <c r="C425" s="87">
        <v>613.5915662238458</v>
      </c>
      <c r="D425" s="87">
        <v>615.59844741392487</v>
      </c>
      <c r="E425" s="88">
        <v>8480371.3563782983</v>
      </c>
      <c r="F425" s="86" t="s">
        <v>436</v>
      </c>
      <c r="G425" s="25">
        <f t="shared" si="8"/>
        <v>6.0704363326855582E-3</v>
      </c>
      <c r="I425" s="87">
        <v>44.42</v>
      </c>
      <c r="J425" s="87">
        <v>44.834299999999999</v>
      </c>
      <c r="K425" s="87">
        <v>42.24</v>
      </c>
      <c r="L425" s="87">
        <v>44.75</v>
      </c>
      <c r="M425" s="88">
        <v>12775074</v>
      </c>
      <c r="N425" s="86" t="s">
        <v>436</v>
      </c>
      <c r="O425" s="25">
        <f t="shared" si="9"/>
        <v>-7.3743016759776348E-3</v>
      </c>
    </row>
    <row r="426" spans="1:15">
      <c r="A426" s="87">
        <v>609.86450115655634</v>
      </c>
      <c r="B426" s="87">
        <v>609.99302064163533</v>
      </c>
      <c r="C426" s="87">
        <v>600.99665668610896</v>
      </c>
      <c r="D426" s="87">
        <v>607.09638917024063</v>
      </c>
      <c r="E426" s="88">
        <v>7613909.5904321112</v>
      </c>
      <c r="F426" s="86" t="s">
        <v>437</v>
      </c>
      <c r="G426" s="25">
        <f t="shared" si="8"/>
        <v>4.5595922421792778E-3</v>
      </c>
      <c r="I426" s="87">
        <v>44.25</v>
      </c>
      <c r="J426" s="87">
        <v>45.02</v>
      </c>
      <c r="K426" s="87">
        <v>43</v>
      </c>
      <c r="L426" s="87">
        <v>44.52</v>
      </c>
      <c r="M426" s="88">
        <v>31900067</v>
      </c>
      <c r="N426" s="86" t="s">
        <v>437</v>
      </c>
      <c r="O426" s="25">
        <f t="shared" si="9"/>
        <v>-6.0646900269542003E-3</v>
      </c>
    </row>
    <row r="427" spans="1:15">
      <c r="A427" s="87">
        <v>609.22190373116166</v>
      </c>
      <c r="B427" s="87">
        <v>615.69730855629325</v>
      </c>
      <c r="C427" s="87">
        <v>607.8180755095301</v>
      </c>
      <c r="D427" s="87">
        <v>614.8767610746354</v>
      </c>
      <c r="E427" s="88">
        <v>7113124.3596131122</v>
      </c>
      <c r="F427" s="86" t="s">
        <v>438</v>
      </c>
      <c r="G427" s="25">
        <f t="shared" si="8"/>
        <v>-9.1967329088687988E-3</v>
      </c>
      <c r="I427" s="87">
        <v>45.98</v>
      </c>
      <c r="J427" s="87">
        <v>46.789900000000003</v>
      </c>
      <c r="K427" s="87">
        <v>43</v>
      </c>
      <c r="L427" s="87">
        <v>45.82</v>
      </c>
      <c r="M427" s="88">
        <v>20561165</v>
      </c>
      <c r="N427" s="86" t="s">
        <v>438</v>
      </c>
      <c r="O427" s="25">
        <f t="shared" si="9"/>
        <v>3.4919249236140537E-3</v>
      </c>
    </row>
    <row r="428" spans="1:15">
      <c r="A428" s="87">
        <v>615.76651135595114</v>
      </c>
      <c r="B428" s="87">
        <v>618.87075122631961</v>
      </c>
      <c r="C428" s="87">
        <v>612.77101874218806</v>
      </c>
      <c r="D428" s="87">
        <v>613.52236342418803</v>
      </c>
      <c r="E428" s="88">
        <v>10382705.23088623</v>
      </c>
      <c r="F428" s="86" t="s">
        <v>439</v>
      </c>
      <c r="G428" s="25">
        <f t="shared" si="8"/>
        <v>3.6578095038590774E-3</v>
      </c>
      <c r="I428" s="87">
        <v>44.01</v>
      </c>
      <c r="J428" s="87">
        <v>46.54</v>
      </c>
      <c r="K428" s="87">
        <v>43.8</v>
      </c>
      <c r="L428" s="87">
        <v>46.12</v>
      </c>
      <c r="M428" s="88">
        <v>12857641</v>
      </c>
      <c r="N428" s="86" t="s">
        <v>439</v>
      </c>
      <c r="O428" s="25">
        <f t="shared" si="9"/>
        <v>-4.5750216825672152E-2</v>
      </c>
    </row>
    <row r="429" spans="1:15">
      <c r="A429" s="87">
        <v>613.91780799366165</v>
      </c>
      <c r="B429" s="87">
        <v>618.05020374466164</v>
      </c>
      <c r="C429" s="87">
        <v>613.1368049689512</v>
      </c>
      <c r="D429" s="87">
        <v>614.57029153329324</v>
      </c>
      <c r="E429" s="88">
        <v>8297853.7405818244</v>
      </c>
      <c r="F429" s="86" t="s">
        <v>440</v>
      </c>
      <c r="G429" s="25">
        <f t="shared" si="8"/>
        <v>-1.0616906619480559E-3</v>
      </c>
      <c r="I429" s="87">
        <v>45.81</v>
      </c>
      <c r="J429" s="87">
        <v>48.69</v>
      </c>
      <c r="K429" s="87">
        <v>45.44</v>
      </c>
      <c r="L429" s="87">
        <v>46.35</v>
      </c>
      <c r="M429" s="88">
        <v>7448610</v>
      </c>
      <c r="N429" s="86" t="s">
        <v>440</v>
      </c>
      <c r="O429" s="25">
        <f t="shared" si="9"/>
        <v>-1.1650485436893177E-2</v>
      </c>
    </row>
    <row r="430" spans="1:15">
      <c r="A430" s="87">
        <v>621.11489915808272</v>
      </c>
      <c r="B430" s="87">
        <v>623.35904708984594</v>
      </c>
      <c r="C430" s="87">
        <v>618.04031763042485</v>
      </c>
      <c r="D430" s="87">
        <v>623.24041371900375</v>
      </c>
      <c r="E430" s="88">
        <v>5573703.5482204612</v>
      </c>
      <c r="F430" s="86" t="s">
        <v>441</v>
      </c>
      <c r="G430" s="25">
        <f t="shared" si="8"/>
        <v>-3.4104247961675993E-3</v>
      </c>
      <c r="I430" s="87">
        <v>48.17</v>
      </c>
      <c r="J430" s="87">
        <v>50.04</v>
      </c>
      <c r="K430" s="87">
        <v>47.43</v>
      </c>
      <c r="L430" s="87">
        <v>49.95</v>
      </c>
      <c r="M430" s="88">
        <v>8509724</v>
      </c>
      <c r="N430" s="86" t="s">
        <v>441</v>
      </c>
      <c r="O430" s="25">
        <f t="shared" si="9"/>
        <v>-3.5635635635635654E-2</v>
      </c>
    </row>
    <row r="431" spans="1:15">
      <c r="A431" s="87">
        <v>619.89890710695113</v>
      </c>
      <c r="B431" s="87">
        <v>622.76588023563545</v>
      </c>
      <c r="C431" s="87">
        <v>617.38783409079326</v>
      </c>
      <c r="D431" s="87">
        <v>622.66701909326707</v>
      </c>
      <c r="E431" s="88">
        <v>7100137.4572848408</v>
      </c>
      <c r="F431" s="86" t="s">
        <v>442</v>
      </c>
      <c r="G431" s="25">
        <f t="shared" si="8"/>
        <v>-4.4455734789790036E-3</v>
      </c>
      <c r="I431" s="87">
        <v>49.84</v>
      </c>
      <c r="J431" s="87">
        <v>50.3</v>
      </c>
      <c r="K431" s="87">
        <v>46.88</v>
      </c>
      <c r="L431" s="87">
        <v>48.47</v>
      </c>
      <c r="M431" s="88">
        <v>7947331</v>
      </c>
      <c r="N431" s="86" t="s">
        <v>442</v>
      </c>
      <c r="O431" s="25">
        <f t="shared" si="9"/>
        <v>2.8264906127501543E-2</v>
      </c>
    </row>
    <row r="432" spans="1:15">
      <c r="A432" s="87">
        <v>618.11940654431965</v>
      </c>
      <c r="B432" s="87">
        <v>623.44802211797753</v>
      </c>
      <c r="C432" s="87">
        <v>617.98100094500387</v>
      </c>
      <c r="D432" s="87">
        <v>621.64874932687223</v>
      </c>
      <c r="E432" s="88">
        <v>6242774.3116706731</v>
      </c>
      <c r="F432" s="86" t="s">
        <v>443</v>
      </c>
      <c r="G432" s="25">
        <f t="shared" si="8"/>
        <v>-5.6773906267393315E-3</v>
      </c>
      <c r="I432" s="87">
        <v>48.84</v>
      </c>
      <c r="J432" s="87">
        <v>50.42</v>
      </c>
      <c r="K432" s="87">
        <v>48.68</v>
      </c>
      <c r="L432" s="87">
        <v>50.07</v>
      </c>
      <c r="M432" s="88">
        <v>6311284</v>
      </c>
      <c r="N432" s="86" t="s">
        <v>443</v>
      </c>
      <c r="O432" s="25">
        <f t="shared" si="9"/>
        <v>-2.4565608148591878E-2</v>
      </c>
    </row>
    <row r="433" spans="1:15">
      <c r="A433" s="87">
        <v>624.75298919724071</v>
      </c>
      <c r="B433" s="87">
        <v>626.90816210087223</v>
      </c>
      <c r="C433" s="87">
        <v>620.7194545886091</v>
      </c>
      <c r="D433" s="87">
        <v>625.99863959108279</v>
      </c>
      <c r="E433" s="88">
        <v>6106937.3217443917</v>
      </c>
      <c r="F433" s="86" t="s">
        <v>444</v>
      </c>
      <c r="G433" s="25">
        <f t="shared" si="8"/>
        <v>-1.9898611834935354E-3</v>
      </c>
      <c r="I433" s="87">
        <v>50.81</v>
      </c>
      <c r="J433" s="87">
        <v>52.64</v>
      </c>
      <c r="K433" s="87">
        <v>50.206000000000003</v>
      </c>
      <c r="L433" s="87">
        <v>52.1</v>
      </c>
      <c r="M433" s="88">
        <v>5429109</v>
      </c>
      <c r="N433" s="86" t="s">
        <v>444</v>
      </c>
      <c r="O433" s="25">
        <f t="shared" si="9"/>
        <v>-2.4760076775431794E-2</v>
      </c>
    </row>
    <row r="434" spans="1:15">
      <c r="A434" s="87">
        <v>624.49595022708286</v>
      </c>
      <c r="B434" s="87">
        <v>626.17658964734596</v>
      </c>
      <c r="C434" s="87">
        <v>622.46929680853009</v>
      </c>
      <c r="D434" s="87">
        <v>624.51572245555656</v>
      </c>
      <c r="E434" s="88">
        <v>5639502.90926525</v>
      </c>
      <c r="F434" s="86" t="s">
        <v>445</v>
      </c>
      <c r="G434" s="25">
        <f t="shared" si="8"/>
        <v>-3.1660097196573034E-5</v>
      </c>
      <c r="I434" s="87">
        <v>51.89</v>
      </c>
      <c r="J434" s="87">
        <v>54.75</v>
      </c>
      <c r="K434" s="87">
        <v>51.82</v>
      </c>
      <c r="L434" s="87">
        <v>54.75</v>
      </c>
      <c r="M434" s="88">
        <v>4743028</v>
      </c>
      <c r="N434" s="86" t="s">
        <v>445</v>
      </c>
      <c r="O434" s="25">
        <f t="shared" si="9"/>
        <v>-5.2237442922374422E-2</v>
      </c>
    </row>
    <row r="435" spans="1:15">
      <c r="A435" s="87">
        <v>622.82519692105643</v>
      </c>
      <c r="B435" s="87">
        <v>623.11189423392489</v>
      </c>
      <c r="C435" s="87">
        <v>620.01754047779332</v>
      </c>
      <c r="D435" s="87">
        <v>620.59093510353011</v>
      </c>
      <c r="E435" s="88">
        <v>7894219.9260817599</v>
      </c>
      <c r="F435" s="86" t="s">
        <v>446</v>
      </c>
      <c r="G435" s="25">
        <f t="shared" si="8"/>
        <v>3.600216650205379E-3</v>
      </c>
      <c r="I435" s="87">
        <v>53.14</v>
      </c>
      <c r="J435" s="87">
        <v>55.27</v>
      </c>
      <c r="K435" s="87">
        <v>52.73</v>
      </c>
      <c r="L435" s="87">
        <v>54.48</v>
      </c>
      <c r="M435" s="88">
        <v>4333207</v>
      </c>
      <c r="N435" s="86" t="s">
        <v>446</v>
      </c>
      <c r="O435" s="25">
        <f t="shared" si="9"/>
        <v>-2.4596182085168783E-2</v>
      </c>
    </row>
    <row r="436" spans="1:15">
      <c r="A436" s="87">
        <v>615.46004181460899</v>
      </c>
      <c r="B436" s="87">
        <v>616.68582111883507</v>
      </c>
      <c r="C436" s="87">
        <v>614.13233667260113</v>
      </c>
      <c r="D436" s="87">
        <v>614.837216617688</v>
      </c>
      <c r="E436" s="88">
        <v>5715940.4237321448</v>
      </c>
      <c r="F436" s="86" t="s">
        <v>447</v>
      </c>
      <c r="G436" s="25">
        <f t="shared" si="8"/>
        <v>1.0129920246975122E-3</v>
      </c>
      <c r="I436" s="87">
        <v>53.36</v>
      </c>
      <c r="J436" s="87">
        <v>55.48</v>
      </c>
      <c r="K436" s="87">
        <v>53</v>
      </c>
      <c r="L436" s="87">
        <v>54.55</v>
      </c>
      <c r="M436" s="88">
        <v>4393100</v>
      </c>
      <c r="N436" s="86" t="s">
        <v>447</v>
      </c>
      <c r="O436" s="25">
        <f t="shared" si="9"/>
        <v>-2.181484876260309E-2</v>
      </c>
    </row>
    <row r="437" spans="1:15">
      <c r="A437" s="87">
        <v>610.40823743958276</v>
      </c>
      <c r="B437" s="87">
        <v>611.4304616516722</v>
      </c>
      <c r="C437" s="87">
        <v>606.99752802787214</v>
      </c>
      <c r="D437" s="87">
        <v>607.2545669980301</v>
      </c>
      <c r="E437" s="88">
        <v>5892466.8079303354</v>
      </c>
      <c r="F437" s="86" t="s">
        <v>448</v>
      </c>
      <c r="G437" s="25">
        <f t="shared" si="8"/>
        <v>5.1933251933251601E-3</v>
      </c>
      <c r="I437" s="87">
        <v>53.35</v>
      </c>
      <c r="J437" s="87">
        <v>53.68</v>
      </c>
      <c r="K437" s="87">
        <v>52</v>
      </c>
      <c r="L437" s="87">
        <v>53.36</v>
      </c>
      <c r="M437" s="88">
        <v>3498081</v>
      </c>
      <c r="N437" s="86" t="s">
        <v>448</v>
      </c>
      <c r="O437" s="25">
        <f t="shared" si="9"/>
        <v>-1.8740629685154442E-4</v>
      </c>
    </row>
    <row r="438" spans="1:15">
      <c r="A438" s="87">
        <v>606.97775579939855</v>
      </c>
      <c r="B438" s="87">
        <v>610.7937958948196</v>
      </c>
      <c r="C438" s="87">
        <v>602.88490450534584</v>
      </c>
      <c r="D438" s="87">
        <v>610.7937958948196</v>
      </c>
      <c r="E438" s="88">
        <v>6189515.7727355435</v>
      </c>
      <c r="F438" s="86" t="s">
        <v>449</v>
      </c>
      <c r="G438" s="25">
        <f t="shared" si="8"/>
        <v>-6.247673308191537E-3</v>
      </c>
      <c r="I438" s="87">
        <v>52.81</v>
      </c>
      <c r="J438" s="87">
        <v>54.85</v>
      </c>
      <c r="K438" s="87">
        <v>51.1</v>
      </c>
      <c r="L438" s="87">
        <v>54.72</v>
      </c>
      <c r="M438" s="88">
        <v>8677575</v>
      </c>
      <c r="N438" s="86" t="s">
        <v>449</v>
      </c>
      <c r="O438" s="25">
        <f t="shared" si="9"/>
        <v>-3.4904970760233911E-2</v>
      </c>
    </row>
    <row r="439" spans="1:15">
      <c r="G439" s="25"/>
      <c r="O439" s="25"/>
    </row>
    <row r="440" spans="1:15">
      <c r="G440" s="25"/>
      <c r="O440" s="25"/>
    </row>
    <row r="441" spans="1:15">
      <c r="G441" s="25"/>
      <c r="O441" s="25"/>
    </row>
    <row r="442" spans="1:15">
      <c r="G442" s="25"/>
      <c r="O442" s="25"/>
    </row>
    <row r="443" spans="1:15">
      <c r="G443" s="25"/>
      <c r="O443" s="25"/>
    </row>
    <row r="444" spans="1:15">
      <c r="G444" s="25"/>
      <c r="O444" s="25"/>
    </row>
    <row r="445" spans="1:15">
      <c r="G445" s="25"/>
      <c r="O445" s="25"/>
    </row>
    <row r="446" spans="1:15">
      <c r="G446" s="25"/>
      <c r="O446" s="25"/>
    </row>
    <row r="447" spans="1:15">
      <c r="G447" s="25"/>
      <c r="O447" s="25"/>
    </row>
    <row r="448" spans="1:15">
      <c r="G448" s="25"/>
      <c r="O448" s="25"/>
    </row>
    <row r="449" spans="7:15">
      <c r="G449" s="25"/>
      <c r="O449" s="25"/>
    </row>
    <row r="450" spans="7:15">
      <c r="G450" s="25"/>
      <c r="O450" s="25"/>
    </row>
    <row r="451" spans="7:15">
      <c r="G451" s="25"/>
      <c r="O451" s="25"/>
    </row>
    <row r="452" spans="7:15">
      <c r="G452" s="25"/>
      <c r="O452" s="25"/>
    </row>
    <row r="453" spans="7:15">
      <c r="G453" s="25"/>
      <c r="O453" s="25"/>
    </row>
    <row r="454" spans="7:15">
      <c r="G454" s="25"/>
      <c r="O454" s="25"/>
    </row>
    <row r="455" spans="7:15">
      <c r="G455" s="25"/>
      <c r="O455" s="25"/>
    </row>
    <row r="456" spans="7:15">
      <c r="G456" s="25"/>
      <c r="O456" s="25"/>
    </row>
    <row r="457" spans="7:15">
      <c r="G457" s="25"/>
      <c r="O457" s="25"/>
    </row>
    <row r="458" spans="7:15">
      <c r="G458" s="25"/>
      <c r="O458" s="25"/>
    </row>
    <row r="459" spans="7:15">
      <c r="G459" s="25"/>
      <c r="O459" s="25"/>
    </row>
    <row r="460" spans="7:15">
      <c r="G460" s="25"/>
      <c r="O460" s="25"/>
    </row>
    <row r="461" spans="7:15">
      <c r="G461" s="25"/>
      <c r="O461" s="25"/>
    </row>
    <row r="462" spans="7:15">
      <c r="G462" s="25"/>
      <c r="O462" s="25"/>
    </row>
    <row r="463" spans="7:15">
      <c r="G463" s="25"/>
      <c r="O463" s="25"/>
    </row>
    <row r="464" spans="7:15">
      <c r="G464" s="25"/>
      <c r="O464" s="25"/>
    </row>
    <row r="465" spans="7:15">
      <c r="G465" s="25"/>
      <c r="O465" s="25"/>
    </row>
    <row r="466" spans="7:15">
      <c r="G466" s="25"/>
      <c r="O466" s="25"/>
    </row>
    <row r="467" spans="7:15">
      <c r="G467" s="25"/>
      <c r="O467" s="25"/>
    </row>
    <row r="468" spans="7:15">
      <c r="G468" s="25"/>
      <c r="O468" s="25"/>
    </row>
    <row r="469" spans="7:15">
      <c r="G469" s="25"/>
      <c r="O469" s="25"/>
    </row>
    <row r="470" spans="7:15">
      <c r="G470" s="25"/>
      <c r="O470" s="25"/>
    </row>
    <row r="471" spans="7:15">
      <c r="G471" s="25"/>
      <c r="O471" s="25"/>
    </row>
    <row r="472" spans="7:15">
      <c r="G472" s="25"/>
      <c r="O472" s="25"/>
    </row>
    <row r="473" spans="7:15">
      <c r="G473" s="25"/>
      <c r="O473" s="25"/>
    </row>
    <row r="474" spans="7:15">
      <c r="G474" s="25"/>
      <c r="O474" s="25"/>
    </row>
    <row r="475" spans="7:15">
      <c r="G475" s="25"/>
      <c r="O475" s="25"/>
    </row>
    <row r="476" spans="7:15">
      <c r="G476" s="25"/>
      <c r="O476" s="25"/>
    </row>
    <row r="477" spans="7:15">
      <c r="G477" s="25"/>
      <c r="O477" s="25"/>
    </row>
    <row r="478" spans="7:15">
      <c r="G478" s="25"/>
      <c r="O478" s="25"/>
    </row>
    <row r="479" spans="7:15">
      <c r="G479" s="25"/>
      <c r="O479" s="25"/>
    </row>
    <row r="480" spans="7:15">
      <c r="G480" s="25"/>
      <c r="O480" s="25"/>
    </row>
    <row r="481" spans="7:15">
      <c r="G481" s="25"/>
      <c r="O481" s="25"/>
    </row>
    <row r="482" spans="7:15">
      <c r="G482" s="25"/>
      <c r="O482" s="25"/>
    </row>
    <row r="483" spans="7:15">
      <c r="G483" s="25"/>
      <c r="O483" s="25"/>
    </row>
    <row r="484" spans="7:15">
      <c r="G484" s="25"/>
      <c r="O484" s="25"/>
    </row>
    <row r="485" spans="7:15">
      <c r="G485" s="25"/>
      <c r="O485" s="25"/>
    </row>
    <row r="486" spans="7:15">
      <c r="G486" s="25"/>
      <c r="O486" s="25"/>
    </row>
    <row r="487" spans="7:15">
      <c r="G487" s="25"/>
      <c r="O487" s="25"/>
    </row>
    <row r="488" spans="7:15">
      <c r="G488" s="25"/>
      <c r="O488" s="25"/>
    </row>
    <row r="489" spans="7:15">
      <c r="G489" s="25"/>
      <c r="O489" s="25"/>
    </row>
    <row r="490" spans="7:15">
      <c r="G490" s="25"/>
      <c r="O490" s="25"/>
    </row>
    <row r="491" spans="7:15">
      <c r="G491" s="25"/>
      <c r="O491" s="25"/>
    </row>
    <row r="492" spans="7:15">
      <c r="G492" s="25"/>
      <c r="O492" s="25"/>
    </row>
    <row r="493" spans="7:15">
      <c r="G493" s="25"/>
      <c r="O493" s="25"/>
    </row>
    <row r="494" spans="7:15">
      <c r="G494" s="25"/>
      <c r="O494" s="25"/>
    </row>
    <row r="495" spans="7:15">
      <c r="G495" s="25"/>
      <c r="O495" s="25"/>
    </row>
    <row r="496" spans="7:15">
      <c r="G496" s="25"/>
      <c r="O496" s="25"/>
    </row>
    <row r="497" spans="7:15">
      <c r="G497" s="25"/>
      <c r="O497" s="25"/>
    </row>
    <row r="498" spans="7:15">
      <c r="G498" s="25"/>
      <c r="O498" s="25"/>
    </row>
    <row r="499" spans="7:15">
      <c r="G499" s="25"/>
      <c r="O499" s="25"/>
    </row>
    <row r="500" spans="7:15">
      <c r="G500" s="25"/>
      <c r="O500" s="25"/>
    </row>
    <row r="501" spans="7:15">
      <c r="G501" s="25"/>
      <c r="O501" s="25"/>
    </row>
    <row r="502" spans="7:15">
      <c r="G502" s="25"/>
      <c r="O502" s="25"/>
    </row>
    <row r="503" spans="7:15">
      <c r="G503" s="25"/>
      <c r="O503" s="25"/>
    </row>
    <row r="504" spans="7:15">
      <c r="G504" s="25"/>
      <c r="O504" s="25"/>
    </row>
    <row r="505" spans="7:15">
      <c r="G505" s="25"/>
      <c r="O505" s="25"/>
    </row>
    <row r="506" spans="7:15">
      <c r="G506" s="25"/>
      <c r="O506" s="25"/>
    </row>
    <row r="507" spans="7:15">
      <c r="G507" s="25"/>
      <c r="O507" s="25"/>
    </row>
    <row r="508" spans="7:15">
      <c r="G508" s="25"/>
      <c r="O508" s="25"/>
    </row>
    <row r="509" spans="7:15">
      <c r="G509" s="25"/>
      <c r="O509" s="25"/>
    </row>
    <row r="510" spans="7:15">
      <c r="G510" s="25"/>
      <c r="O510" s="25"/>
    </row>
    <row r="511" spans="7:15">
      <c r="G511" s="25"/>
      <c r="O511" s="25"/>
    </row>
    <row r="512" spans="7:15">
      <c r="G512" s="25"/>
      <c r="O512" s="25"/>
    </row>
    <row r="513" spans="7:15">
      <c r="G513" s="25"/>
      <c r="O513" s="25"/>
    </row>
    <row r="514" spans="7:15">
      <c r="G514" s="25"/>
      <c r="O514" s="25"/>
    </row>
    <row r="515" spans="7:15">
      <c r="G515" s="25"/>
      <c r="O515" s="25"/>
    </row>
    <row r="516" spans="7:15">
      <c r="G516" s="25"/>
      <c r="O516" s="25"/>
    </row>
    <row r="517" spans="7:15">
      <c r="G517" s="25"/>
      <c r="O517" s="25"/>
    </row>
    <row r="518" spans="7:15">
      <c r="G518" s="25"/>
      <c r="O518" s="25"/>
    </row>
    <row r="519" spans="7:15">
      <c r="G519" s="25"/>
      <c r="O519" s="25"/>
    </row>
    <row r="520" spans="7:15">
      <c r="G520" s="25"/>
      <c r="O520" s="25"/>
    </row>
    <row r="521" spans="7:15">
      <c r="G521" s="25"/>
      <c r="O521" s="25"/>
    </row>
    <row r="522" spans="7:15">
      <c r="G522" s="25"/>
      <c r="O522" s="25"/>
    </row>
    <row r="523" spans="7:15">
      <c r="G523" s="25"/>
      <c r="O523" s="25"/>
    </row>
    <row r="524" spans="7:15">
      <c r="G524" s="25"/>
      <c r="O524" s="25"/>
    </row>
    <row r="525" spans="7:15">
      <c r="G525" s="25"/>
      <c r="O525" s="25"/>
    </row>
    <row r="526" spans="7:15">
      <c r="G526" s="25"/>
      <c r="O526" s="25"/>
    </row>
    <row r="527" spans="7:15">
      <c r="G527" s="25"/>
      <c r="O527" s="25"/>
    </row>
    <row r="528" spans="7:15">
      <c r="G528" s="25"/>
      <c r="O528" s="25"/>
    </row>
    <row r="529" spans="7:15">
      <c r="G529" s="25"/>
      <c r="O529" s="25"/>
    </row>
    <row r="530" spans="7:15">
      <c r="G530" s="25"/>
      <c r="O530" s="25"/>
    </row>
    <row r="531" spans="7:15">
      <c r="G531" s="25"/>
      <c r="O531" s="25"/>
    </row>
    <row r="532" spans="7:15">
      <c r="G532" s="25"/>
      <c r="O532" s="25"/>
    </row>
    <row r="533" spans="7:15">
      <c r="G533" s="25"/>
      <c r="O533" s="25"/>
    </row>
    <row r="534" spans="7:15">
      <c r="G534" s="25"/>
      <c r="O534" s="25"/>
    </row>
    <row r="535" spans="7:15">
      <c r="G535" s="25"/>
      <c r="O535" s="25"/>
    </row>
    <row r="536" spans="7:15">
      <c r="G536" s="25"/>
      <c r="O536" s="25"/>
    </row>
    <row r="537" spans="7:15">
      <c r="G537" s="25"/>
      <c r="O537" s="25"/>
    </row>
    <row r="538" spans="7:15">
      <c r="G538" s="25"/>
      <c r="O538" s="25"/>
    </row>
    <row r="539" spans="7:15">
      <c r="G539" s="25"/>
      <c r="O539" s="25"/>
    </row>
    <row r="540" spans="7:15">
      <c r="G540" s="25"/>
      <c r="O540" s="25"/>
    </row>
    <row r="541" spans="7:15">
      <c r="G541" s="25"/>
      <c r="O541" s="25"/>
    </row>
    <row r="542" spans="7:15">
      <c r="G542" s="25"/>
      <c r="O542" s="25"/>
    </row>
    <row r="543" spans="7:15">
      <c r="G543" s="25"/>
      <c r="O543" s="25"/>
    </row>
    <row r="544" spans="7:15">
      <c r="G544" s="25"/>
      <c r="O544" s="25"/>
    </row>
    <row r="545" spans="7:15">
      <c r="G545" s="25"/>
      <c r="O545" s="25"/>
    </row>
    <row r="546" spans="7:15">
      <c r="G546" s="25"/>
      <c r="O546" s="25"/>
    </row>
    <row r="547" spans="7:15">
      <c r="G547" s="25"/>
      <c r="O547" s="25"/>
    </row>
    <row r="548" spans="7:15">
      <c r="G548" s="25"/>
      <c r="O548" s="25"/>
    </row>
    <row r="549" spans="7:15">
      <c r="G549" s="25"/>
      <c r="O549" s="25"/>
    </row>
    <row r="550" spans="7:15">
      <c r="G550" s="25"/>
      <c r="O550" s="25"/>
    </row>
    <row r="551" spans="7:15">
      <c r="G551" s="25"/>
      <c r="O551" s="25"/>
    </row>
    <row r="552" spans="7:15">
      <c r="G552" s="25"/>
      <c r="O552" s="25"/>
    </row>
    <row r="553" spans="7:15">
      <c r="G553" s="25"/>
      <c r="O553" s="25"/>
    </row>
    <row r="554" spans="7:15">
      <c r="G554" s="25"/>
      <c r="O554" s="25"/>
    </row>
    <row r="555" spans="7:15">
      <c r="G555" s="25"/>
      <c r="O555" s="25"/>
    </row>
    <row r="556" spans="7:15">
      <c r="G556" s="25"/>
      <c r="O556" s="25"/>
    </row>
    <row r="557" spans="7:15">
      <c r="G557" s="25"/>
      <c r="O557" s="25"/>
    </row>
    <row r="558" spans="7:15">
      <c r="G558" s="25"/>
      <c r="O558" s="25"/>
    </row>
    <row r="559" spans="7:15">
      <c r="G559" s="25"/>
      <c r="O559" s="25"/>
    </row>
    <row r="560" spans="7:15">
      <c r="G560" s="25"/>
      <c r="O560" s="25"/>
    </row>
    <row r="561" spans="7:15">
      <c r="G561" s="25"/>
      <c r="O561" s="25"/>
    </row>
    <row r="562" spans="7:15">
      <c r="G562" s="25"/>
      <c r="O562" s="25"/>
    </row>
    <row r="563" spans="7:15">
      <c r="G563" s="25"/>
      <c r="O563" s="25"/>
    </row>
    <row r="564" spans="7:15">
      <c r="G564" s="25"/>
      <c r="O564" s="25"/>
    </row>
    <row r="565" spans="7:15">
      <c r="G565" s="25"/>
      <c r="O565" s="25"/>
    </row>
    <row r="566" spans="7:15">
      <c r="G566" s="25"/>
      <c r="O566" s="25"/>
    </row>
    <row r="567" spans="7:15">
      <c r="G567" s="25"/>
      <c r="O567" s="25"/>
    </row>
    <row r="568" spans="7:15">
      <c r="G568" s="25"/>
      <c r="O568" s="25"/>
    </row>
    <row r="569" spans="7:15">
      <c r="G569" s="25"/>
      <c r="O569" s="25"/>
    </row>
    <row r="570" spans="7:15">
      <c r="G570" s="25"/>
      <c r="O570" s="25"/>
    </row>
    <row r="571" spans="7:15">
      <c r="G571" s="25"/>
      <c r="O571" s="25"/>
    </row>
    <row r="572" spans="7:15">
      <c r="G572" s="25"/>
      <c r="O572" s="25"/>
    </row>
    <row r="573" spans="7:15">
      <c r="G573" s="25"/>
      <c r="O573" s="25"/>
    </row>
    <row r="574" spans="7:15">
      <c r="G574" s="25"/>
      <c r="O574" s="25"/>
    </row>
    <row r="575" spans="7:15">
      <c r="G575" s="25"/>
      <c r="O575" s="25"/>
    </row>
    <row r="576" spans="7:15">
      <c r="G576" s="25"/>
      <c r="O576" s="25"/>
    </row>
    <row r="577" spans="7:15">
      <c r="G577" s="25"/>
      <c r="O577" s="25"/>
    </row>
    <row r="578" spans="7:15">
      <c r="G578" s="25"/>
      <c r="O578" s="25"/>
    </row>
    <row r="579" spans="7:15">
      <c r="G579" s="25"/>
      <c r="O579" s="25"/>
    </row>
    <row r="580" spans="7:15">
      <c r="G580" s="25"/>
      <c r="O580" s="25"/>
    </row>
    <row r="581" spans="7:15">
      <c r="G581" s="25"/>
      <c r="O581" s="25"/>
    </row>
    <row r="582" spans="7:15">
      <c r="G582" s="25"/>
      <c r="O582" s="25"/>
    </row>
    <row r="583" spans="7:15">
      <c r="G583" s="25"/>
      <c r="O583" s="25"/>
    </row>
    <row r="584" spans="7:15">
      <c r="G584" s="25"/>
      <c r="O584" s="25"/>
    </row>
    <row r="585" spans="7:15">
      <c r="G585" s="25"/>
      <c r="O585" s="25"/>
    </row>
    <row r="586" spans="7:15">
      <c r="G586" s="25"/>
      <c r="O586" s="25"/>
    </row>
    <row r="587" spans="7:15">
      <c r="G587" s="25"/>
      <c r="O587" s="25"/>
    </row>
    <row r="588" spans="7:15">
      <c r="G588" s="25"/>
      <c r="O588" s="25"/>
    </row>
    <row r="589" spans="7:15">
      <c r="G589" s="25"/>
      <c r="O589" s="25"/>
    </row>
    <row r="590" spans="7:15">
      <c r="G590" s="25"/>
      <c r="O590" s="25"/>
    </row>
    <row r="591" spans="7:15">
      <c r="G591" s="25"/>
      <c r="O591" s="25"/>
    </row>
    <row r="592" spans="7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sortState xmlns:xlrd2="http://schemas.microsoft.com/office/spreadsheetml/2017/richdata2" ref="Q211:Q315">
    <sortCondition ref="Q2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799B-D8BD-49AE-8720-99247FC9BA3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Notes | Quant Analysis</vt:lpstr>
      <vt:lpstr>Product Lines</vt:lpstr>
      <vt:lpstr>Economics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2026-10-23T06:35:26Z</dcterms:modified>
</cp:coreProperties>
</file>