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B0503B8D-CA1D-4706-B439-1578DB5499FD}" xr6:coauthVersionLast="47" xr6:coauthVersionMax="47" xr10:uidLastSave="{00000000-0000-0000-0000-000000000000}"/>
  <bookViews>
    <workbookView xWindow="2835" yWindow="1995" windowWidth="16050" windowHeight="13290" activeTab="1"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6" i="1"/>
  <c r="BK21" i="2"/>
  <c r="BK94" i="2" s="1"/>
  <c r="BK92" i="2"/>
  <c r="BK89" i="2"/>
  <c r="BK88" i="2"/>
  <c r="BK93" i="2" s="1"/>
  <c r="BK80" i="2"/>
  <c r="BK79" i="2"/>
  <c r="BK78" i="2"/>
  <c r="BK74" i="2"/>
  <c r="BK76" i="2" s="1"/>
  <c r="BK81" i="2" s="1"/>
  <c r="BK63" i="2"/>
  <c r="BK49" i="2"/>
  <c r="BK44" i="2"/>
  <c r="BK48" i="2"/>
  <c r="BK47" i="2"/>
  <c r="BK46" i="2"/>
  <c r="BK45" i="2"/>
  <c r="BK43" i="2"/>
  <c r="BK42" i="2"/>
  <c r="BK13" i="2"/>
  <c r="BK12" i="2"/>
  <c r="BK8" i="2"/>
  <c r="BK14" i="2" s="1"/>
  <c r="BK11" i="2"/>
  <c r="BK10" i="2"/>
  <c r="DA57" i="2"/>
  <c r="CH50" i="2"/>
  <c r="DA56" i="2"/>
  <c r="DA64" i="2"/>
  <c r="DA62" i="2"/>
  <c r="DA58" i="2"/>
  <c r="CV66" i="2"/>
  <c r="BK90" i="2" l="1"/>
  <c r="BK16" i="2"/>
  <c r="BK17" i="2"/>
  <c r="BK18" i="2"/>
  <c r="BK19" i="2"/>
  <c r="BK30" i="2"/>
  <c r="BK31" i="2" s="1"/>
  <c r="O938" i="3"/>
  <c r="G938" i="3"/>
  <c r="O937" i="3"/>
  <c r="G937" i="3"/>
  <c r="O936" i="3"/>
  <c r="G936" i="3"/>
  <c r="O935" i="3"/>
  <c r="G935" i="3"/>
  <c r="O934" i="3"/>
  <c r="G934" i="3"/>
  <c r="O933" i="3"/>
  <c r="G933" i="3"/>
  <c r="O932" i="3"/>
  <c r="G932" i="3"/>
  <c r="O931" i="3"/>
  <c r="G931" i="3"/>
  <c r="O930" i="3"/>
  <c r="G930" i="3"/>
  <c r="O929" i="3"/>
  <c r="G929" i="3"/>
  <c r="O928" i="3"/>
  <c r="G928" i="3"/>
  <c r="O927" i="3"/>
  <c r="G927" i="3"/>
  <c r="O926" i="3"/>
  <c r="G926" i="3"/>
  <c r="O925" i="3"/>
  <c r="G925" i="3"/>
  <c r="O924" i="3"/>
  <c r="G924" i="3"/>
  <c r="O923" i="3"/>
  <c r="G923" i="3"/>
  <c r="O922" i="3"/>
  <c r="G922" i="3"/>
  <c r="O921" i="3"/>
  <c r="G921" i="3"/>
  <c r="O920" i="3"/>
  <c r="G920" i="3"/>
  <c r="O919" i="3"/>
  <c r="G919" i="3"/>
  <c r="O918" i="3"/>
  <c r="G918" i="3"/>
  <c r="O917" i="3"/>
  <c r="G917" i="3"/>
  <c r="O916" i="3"/>
  <c r="G916" i="3"/>
  <c r="O915" i="3"/>
  <c r="G915" i="3"/>
  <c r="O914" i="3"/>
  <c r="G914" i="3"/>
  <c r="O913" i="3"/>
  <c r="G913" i="3"/>
  <c r="O912" i="3"/>
  <c r="G912" i="3"/>
  <c r="O911" i="3"/>
  <c r="G911" i="3"/>
  <c r="O910" i="3"/>
  <c r="G910" i="3"/>
  <c r="O909" i="3"/>
  <c r="G909" i="3"/>
  <c r="O908" i="3"/>
  <c r="G908" i="3"/>
  <c r="O907" i="3"/>
  <c r="G907" i="3"/>
  <c r="O906" i="3"/>
  <c r="G906" i="3"/>
  <c r="O905" i="3"/>
  <c r="G905" i="3"/>
  <c r="O904" i="3"/>
  <c r="G904" i="3"/>
  <c r="O903" i="3"/>
  <c r="G903" i="3"/>
  <c r="O902" i="3"/>
  <c r="G902" i="3"/>
  <c r="O901" i="3"/>
  <c r="G901" i="3"/>
  <c r="O900" i="3"/>
  <c r="G900" i="3"/>
  <c r="O899" i="3"/>
  <c r="G899" i="3"/>
  <c r="O898" i="3"/>
  <c r="G898" i="3"/>
  <c r="O897" i="3"/>
  <c r="G897" i="3"/>
  <c r="O896" i="3"/>
  <c r="G896" i="3"/>
  <c r="O895" i="3"/>
  <c r="G895" i="3"/>
  <c r="O894" i="3"/>
  <c r="G894" i="3"/>
  <c r="O893" i="3"/>
  <c r="G893" i="3"/>
  <c r="O892" i="3"/>
  <c r="G892" i="3"/>
  <c r="O891" i="3"/>
  <c r="G891" i="3"/>
  <c r="O890" i="3"/>
  <c r="G890" i="3"/>
  <c r="O889" i="3"/>
  <c r="G889" i="3"/>
  <c r="O888" i="3"/>
  <c r="G888" i="3"/>
  <c r="O887" i="3"/>
  <c r="G887" i="3"/>
  <c r="O886" i="3"/>
  <c r="G886" i="3"/>
  <c r="O885" i="3"/>
  <c r="G885" i="3"/>
  <c r="O884" i="3"/>
  <c r="G884" i="3"/>
  <c r="O883" i="3"/>
  <c r="G883" i="3"/>
  <c r="O882" i="3"/>
  <c r="G882" i="3"/>
  <c r="O881" i="3"/>
  <c r="G881" i="3"/>
  <c r="O880" i="3"/>
  <c r="G880" i="3"/>
  <c r="O879" i="3"/>
  <c r="G879" i="3"/>
  <c r="O878" i="3"/>
  <c r="G878" i="3"/>
  <c r="O877" i="3"/>
  <c r="G877" i="3"/>
  <c r="O876" i="3"/>
  <c r="G876" i="3"/>
  <c r="O875" i="3"/>
  <c r="G875" i="3"/>
  <c r="O874" i="3"/>
  <c r="G874" i="3"/>
  <c r="O873" i="3"/>
  <c r="G873" i="3"/>
  <c r="O872" i="3"/>
  <c r="G872" i="3"/>
  <c r="O871" i="3"/>
  <c r="G871" i="3"/>
  <c r="O870" i="3"/>
  <c r="G870" i="3"/>
  <c r="O869" i="3"/>
  <c r="G869" i="3"/>
  <c r="O868" i="3"/>
  <c r="G868" i="3"/>
  <c r="O867" i="3"/>
  <c r="G867" i="3"/>
  <c r="O866" i="3"/>
  <c r="G866" i="3"/>
  <c r="O865" i="3"/>
  <c r="G865" i="3"/>
  <c r="O864" i="3"/>
  <c r="G864" i="3"/>
  <c r="O863" i="3"/>
  <c r="G863" i="3"/>
  <c r="O862" i="3"/>
  <c r="G862" i="3"/>
  <c r="O861" i="3"/>
  <c r="G861" i="3"/>
  <c r="O860" i="3"/>
  <c r="G860" i="3"/>
  <c r="O859" i="3"/>
  <c r="G859" i="3"/>
  <c r="O858" i="3"/>
  <c r="G858" i="3"/>
  <c r="O857" i="3"/>
  <c r="G857" i="3"/>
  <c r="O856" i="3"/>
  <c r="G856" i="3"/>
  <c r="O855" i="3"/>
  <c r="G855" i="3"/>
  <c r="O854" i="3"/>
  <c r="G854" i="3"/>
  <c r="O853" i="3"/>
  <c r="G853" i="3"/>
  <c r="O852" i="3"/>
  <c r="G852" i="3"/>
  <c r="O851" i="3"/>
  <c r="G851" i="3"/>
  <c r="O850" i="3"/>
  <c r="G850" i="3"/>
  <c r="O849" i="3"/>
  <c r="G849" i="3"/>
  <c r="O848" i="3"/>
  <c r="G848" i="3"/>
  <c r="O847" i="3"/>
  <c r="G847" i="3"/>
  <c r="O846" i="3"/>
  <c r="G846" i="3"/>
  <c r="O845" i="3"/>
  <c r="G845" i="3"/>
  <c r="O844" i="3"/>
  <c r="G844" i="3"/>
  <c r="O843" i="3"/>
  <c r="G843" i="3"/>
  <c r="O842" i="3"/>
  <c r="G842" i="3"/>
  <c r="O841" i="3"/>
  <c r="G841" i="3"/>
  <c r="O840" i="3"/>
  <c r="G840" i="3"/>
  <c r="O839" i="3"/>
  <c r="G839" i="3"/>
  <c r="O838" i="3"/>
  <c r="G838" i="3"/>
  <c r="O837" i="3"/>
  <c r="G837" i="3"/>
  <c r="O836" i="3"/>
  <c r="G836" i="3"/>
  <c r="O835" i="3"/>
  <c r="G835" i="3"/>
  <c r="O834" i="3"/>
  <c r="G834" i="3"/>
  <c r="O833" i="3"/>
  <c r="G833" i="3"/>
  <c r="O832" i="3"/>
  <c r="G832" i="3"/>
  <c r="O831" i="3"/>
  <c r="G831" i="3"/>
  <c r="O830" i="3"/>
  <c r="G830" i="3"/>
  <c r="O829" i="3"/>
  <c r="G829" i="3"/>
  <c r="O828" i="3"/>
  <c r="G828" i="3"/>
  <c r="O827" i="3"/>
  <c r="G827" i="3"/>
  <c r="O826" i="3"/>
  <c r="G826" i="3"/>
  <c r="O825" i="3"/>
  <c r="G825" i="3"/>
  <c r="O824" i="3"/>
  <c r="G824" i="3"/>
  <c r="O823" i="3"/>
  <c r="G823" i="3"/>
  <c r="O822" i="3"/>
  <c r="G822" i="3"/>
  <c r="O821" i="3"/>
  <c r="G821" i="3"/>
  <c r="O820" i="3"/>
  <c r="G820" i="3"/>
  <c r="O819" i="3"/>
  <c r="G819" i="3"/>
  <c r="O818" i="3"/>
  <c r="G818" i="3"/>
  <c r="O817" i="3"/>
  <c r="G817" i="3"/>
  <c r="O816" i="3"/>
  <c r="G816" i="3"/>
  <c r="O815" i="3"/>
  <c r="G815" i="3"/>
  <c r="O814" i="3"/>
  <c r="G814" i="3"/>
  <c r="O813" i="3"/>
  <c r="G813" i="3"/>
  <c r="O812" i="3"/>
  <c r="G812" i="3"/>
  <c r="O811" i="3"/>
  <c r="G811" i="3"/>
  <c r="O810" i="3"/>
  <c r="G810" i="3"/>
  <c r="O809" i="3"/>
  <c r="G809" i="3"/>
  <c r="O808" i="3"/>
  <c r="G808" i="3"/>
  <c r="O807" i="3"/>
  <c r="G807" i="3"/>
  <c r="O806" i="3"/>
  <c r="G806" i="3"/>
  <c r="O805" i="3"/>
  <c r="G805" i="3"/>
  <c r="O804" i="3"/>
  <c r="G804" i="3"/>
  <c r="O803" i="3"/>
  <c r="G803" i="3"/>
  <c r="O802" i="3"/>
  <c r="G802" i="3"/>
  <c r="O801" i="3"/>
  <c r="G801" i="3"/>
  <c r="O800" i="3"/>
  <c r="G800" i="3"/>
  <c r="O799" i="3"/>
  <c r="G799" i="3"/>
  <c r="O798" i="3"/>
  <c r="G798" i="3"/>
  <c r="O797" i="3"/>
  <c r="G797" i="3"/>
  <c r="O796" i="3"/>
  <c r="G796" i="3"/>
  <c r="O795" i="3"/>
  <c r="G795" i="3"/>
  <c r="O794" i="3"/>
  <c r="G794" i="3"/>
  <c r="O793" i="3"/>
  <c r="G793" i="3"/>
  <c r="O792" i="3"/>
  <c r="G792" i="3"/>
  <c r="O791" i="3"/>
  <c r="G791" i="3"/>
  <c r="O790" i="3"/>
  <c r="G790" i="3"/>
  <c r="O789" i="3"/>
  <c r="G789" i="3"/>
  <c r="O788" i="3"/>
  <c r="G788" i="3"/>
  <c r="O787" i="3"/>
  <c r="G787" i="3"/>
  <c r="O786" i="3"/>
  <c r="G786" i="3"/>
  <c r="O785" i="3"/>
  <c r="G785" i="3"/>
  <c r="O784" i="3"/>
  <c r="G784" i="3"/>
  <c r="O783" i="3"/>
  <c r="G783" i="3"/>
  <c r="O782" i="3"/>
  <c r="G782" i="3"/>
  <c r="O781" i="3"/>
  <c r="G781" i="3"/>
  <c r="O780" i="3"/>
  <c r="G780" i="3"/>
  <c r="O779" i="3"/>
  <c r="G779" i="3"/>
  <c r="O778" i="3"/>
  <c r="G778" i="3"/>
  <c r="O777" i="3"/>
  <c r="G777" i="3"/>
  <c r="O776" i="3"/>
  <c r="G776" i="3"/>
  <c r="O775" i="3"/>
  <c r="G775" i="3"/>
  <c r="O774" i="3"/>
  <c r="G774" i="3"/>
  <c r="O773" i="3"/>
  <c r="G773" i="3"/>
  <c r="O772" i="3"/>
  <c r="G772" i="3"/>
  <c r="O771" i="3"/>
  <c r="G771" i="3"/>
  <c r="O770" i="3"/>
  <c r="G770" i="3"/>
  <c r="O769" i="3"/>
  <c r="G769" i="3"/>
  <c r="O768" i="3"/>
  <c r="G768" i="3"/>
  <c r="O767" i="3"/>
  <c r="G767" i="3"/>
  <c r="O766" i="3"/>
  <c r="G766" i="3"/>
  <c r="O765" i="3"/>
  <c r="G765" i="3"/>
  <c r="O764" i="3"/>
  <c r="G764" i="3"/>
  <c r="O763" i="3"/>
  <c r="G763" i="3"/>
  <c r="O762" i="3"/>
  <c r="G762" i="3"/>
  <c r="O761" i="3"/>
  <c r="G761" i="3"/>
  <c r="O760" i="3"/>
  <c r="G760" i="3"/>
  <c r="O759" i="3"/>
  <c r="G759" i="3"/>
  <c r="O758" i="3"/>
  <c r="G758" i="3"/>
  <c r="O757" i="3"/>
  <c r="G757" i="3"/>
  <c r="O756" i="3"/>
  <c r="G756" i="3"/>
  <c r="O755" i="3"/>
  <c r="G755" i="3"/>
  <c r="O754" i="3"/>
  <c r="G754" i="3"/>
  <c r="O753" i="3"/>
  <c r="G753" i="3"/>
  <c r="O752" i="3"/>
  <c r="G752" i="3"/>
  <c r="O751" i="3"/>
  <c r="G751" i="3"/>
  <c r="O750" i="3"/>
  <c r="G750" i="3"/>
  <c r="O749" i="3"/>
  <c r="G749" i="3"/>
  <c r="O748" i="3"/>
  <c r="G748" i="3"/>
  <c r="O747" i="3"/>
  <c r="G747" i="3"/>
  <c r="O746" i="3"/>
  <c r="G746" i="3"/>
  <c r="O745" i="3"/>
  <c r="G745" i="3"/>
  <c r="O744" i="3"/>
  <c r="G744" i="3"/>
  <c r="O743" i="3"/>
  <c r="G743" i="3"/>
  <c r="O742" i="3"/>
  <c r="G742" i="3"/>
  <c r="O741" i="3"/>
  <c r="G741" i="3"/>
  <c r="O740" i="3"/>
  <c r="G740" i="3"/>
  <c r="O739" i="3"/>
  <c r="G739" i="3"/>
  <c r="O738" i="3"/>
  <c r="G738" i="3"/>
  <c r="O737" i="3"/>
  <c r="G737" i="3"/>
  <c r="O736" i="3"/>
  <c r="G736" i="3"/>
  <c r="O735" i="3"/>
  <c r="G735" i="3"/>
  <c r="O734" i="3"/>
  <c r="G734" i="3"/>
  <c r="O733" i="3"/>
  <c r="G733" i="3"/>
  <c r="O732" i="3"/>
  <c r="G732" i="3"/>
  <c r="O731" i="3"/>
  <c r="G731" i="3"/>
  <c r="O730" i="3"/>
  <c r="G730" i="3"/>
  <c r="O729" i="3"/>
  <c r="G729" i="3"/>
  <c r="O728" i="3"/>
  <c r="G728" i="3"/>
  <c r="O727" i="3"/>
  <c r="G727" i="3"/>
  <c r="O726" i="3"/>
  <c r="G726" i="3"/>
  <c r="O725" i="3"/>
  <c r="G725" i="3"/>
  <c r="O724" i="3"/>
  <c r="G724" i="3"/>
  <c r="O723" i="3"/>
  <c r="G723" i="3"/>
  <c r="O722" i="3"/>
  <c r="G722" i="3"/>
  <c r="O721" i="3"/>
  <c r="G721" i="3"/>
  <c r="O720" i="3"/>
  <c r="G720" i="3"/>
  <c r="O719" i="3"/>
  <c r="G719" i="3"/>
  <c r="O718" i="3"/>
  <c r="G718" i="3"/>
  <c r="O717" i="3"/>
  <c r="G717" i="3"/>
  <c r="O716" i="3"/>
  <c r="G716" i="3"/>
  <c r="O715" i="3"/>
  <c r="G715" i="3"/>
  <c r="O714" i="3"/>
  <c r="G714" i="3"/>
  <c r="O713" i="3"/>
  <c r="G713" i="3"/>
  <c r="O712" i="3"/>
  <c r="G712" i="3"/>
  <c r="O711" i="3"/>
  <c r="G711" i="3"/>
  <c r="O710" i="3"/>
  <c r="G710" i="3"/>
  <c r="O709" i="3"/>
  <c r="G709" i="3"/>
  <c r="O708" i="3"/>
  <c r="G708" i="3"/>
  <c r="O707" i="3"/>
  <c r="G707" i="3"/>
  <c r="O706" i="3"/>
  <c r="G706" i="3"/>
  <c r="O705" i="3"/>
  <c r="G705" i="3"/>
  <c r="O704" i="3"/>
  <c r="G704" i="3"/>
  <c r="O703" i="3"/>
  <c r="G703" i="3"/>
  <c r="O702" i="3"/>
  <c r="G702" i="3"/>
  <c r="O701" i="3"/>
  <c r="G701" i="3"/>
  <c r="O700" i="3"/>
  <c r="G700" i="3"/>
  <c r="O699" i="3"/>
  <c r="G699" i="3"/>
  <c r="O698" i="3"/>
  <c r="G698" i="3"/>
  <c r="O697" i="3"/>
  <c r="G697" i="3"/>
  <c r="O696" i="3"/>
  <c r="G696" i="3"/>
  <c r="O695" i="3"/>
  <c r="G695" i="3"/>
  <c r="O694" i="3"/>
  <c r="G694" i="3"/>
  <c r="O693" i="3"/>
  <c r="G693" i="3"/>
  <c r="O692" i="3"/>
  <c r="G692" i="3"/>
  <c r="O691" i="3"/>
  <c r="G691" i="3"/>
  <c r="O690" i="3"/>
  <c r="G690" i="3"/>
  <c r="O689" i="3"/>
  <c r="G689" i="3"/>
  <c r="O688" i="3"/>
  <c r="G688" i="3"/>
  <c r="O687" i="3"/>
  <c r="G687" i="3"/>
  <c r="O686" i="3"/>
  <c r="G686" i="3"/>
  <c r="O685" i="3"/>
  <c r="G685" i="3"/>
  <c r="O684" i="3"/>
  <c r="G684" i="3"/>
  <c r="O683" i="3"/>
  <c r="G683" i="3"/>
  <c r="O682" i="3"/>
  <c r="G682" i="3"/>
  <c r="O681" i="3"/>
  <c r="G681" i="3"/>
  <c r="O680" i="3"/>
  <c r="G680" i="3"/>
  <c r="O679" i="3"/>
  <c r="G679" i="3"/>
  <c r="O678" i="3"/>
  <c r="G678" i="3"/>
  <c r="O677" i="3"/>
  <c r="G677" i="3"/>
  <c r="O676" i="3"/>
  <c r="G676" i="3"/>
  <c r="O675" i="3"/>
  <c r="G675" i="3"/>
  <c r="O674" i="3"/>
  <c r="G674" i="3"/>
  <c r="O673" i="3"/>
  <c r="G673" i="3"/>
  <c r="O672" i="3"/>
  <c r="G672" i="3"/>
  <c r="O671" i="3"/>
  <c r="G671" i="3"/>
  <c r="O670" i="3"/>
  <c r="G670" i="3"/>
  <c r="O669" i="3"/>
  <c r="G669" i="3"/>
  <c r="O668" i="3"/>
  <c r="G668" i="3"/>
  <c r="O667" i="3"/>
  <c r="G667" i="3"/>
  <c r="O666" i="3"/>
  <c r="G666" i="3"/>
  <c r="O665" i="3"/>
  <c r="G665" i="3"/>
  <c r="O664" i="3"/>
  <c r="G664" i="3"/>
  <c r="O663" i="3"/>
  <c r="G663" i="3"/>
  <c r="O662" i="3"/>
  <c r="G662" i="3"/>
  <c r="O661" i="3"/>
  <c r="G661" i="3"/>
  <c r="O660" i="3"/>
  <c r="G660" i="3"/>
  <c r="O659" i="3"/>
  <c r="G659" i="3"/>
  <c r="O658" i="3"/>
  <c r="G658" i="3"/>
  <c r="O657" i="3"/>
  <c r="G657" i="3"/>
  <c r="O656" i="3"/>
  <c r="G656" i="3"/>
  <c r="O655" i="3"/>
  <c r="G655" i="3"/>
  <c r="O654" i="3"/>
  <c r="G654" i="3"/>
  <c r="O653" i="3"/>
  <c r="G653" i="3"/>
  <c r="O652" i="3"/>
  <c r="G652" i="3"/>
  <c r="O651" i="3"/>
  <c r="G651" i="3"/>
  <c r="O650" i="3"/>
  <c r="G650" i="3"/>
  <c r="O649" i="3"/>
  <c r="G649" i="3"/>
  <c r="O648" i="3"/>
  <c r="G648" i="3"/>
  <c r="O647" i="3"/>
  <c r="G647" i="3"/>
  <c r="O646" i="3"/>
  <c r="G646" i="3"/>
  <c r="O645" i="3"/>
  <c r="G645" i="3"/>
  <c r="O644" i="3"/>
  <c r="G644" i="3"/>
  <c r="O643" i="3"/>
  <c r="G643" i="3"/>
  <c r="O642" i="3"/>
  <c r="G642" i="3"/>
  <c r="O641" i="3"/>
  <c r="G641" i="3"/>
  <c r="O640" i="3"/>
  <c r="G640" i="3"/>
  <c r="O639" i="3"/>
  <c r="G639" i="3"/>
  <c r="O638" i="3"/>
  <c r="G638" i="3"/>
  <c r="O637" i="3"/>
  <c r="G637" i="3"/>
  <c r="O636" i="3"/>
  <c r="G636" i="3"/>
  <c r="O635" i="3"/>
  <c r="G635" i="3"/>
  <c r="O634" i="3"/>
  <c r="G634" i="3"/>
  <c r="O633" i="3"/>
  <c r="G633" i="3"/>
  <c r="O632" i="3"/>
  <c r="G632" i="3"/>
  <c r="O631" i="3"/>
  <c r="G631" i="3"/>
  <c r="O630" i="3"/>
  <c r="G630" i="3"/>
  <c r="O629" i="3"/>
  <c r="G629" i="3"/>
  <c r="O628" i="3"/>
  <c r="G628" i="3"/>
  <c r="O627" i="3"/>
  <c r="G627" i="3"/>
  <c r="O626" i="3"/>
  <c r="G626" i="3"/>
  <c r="O625" i="3"/>
  <c r="G625" i="3"/>
  <c r="O624" i="3"/>
  <c r="G624" i="3"/>
  <c r="O623" i="3"/>
  <c r="G623" i="3"/>
  <c r="O622" i="3"/>
  <c r="G622" i="3"/>
  <c r="O621" i="3"/>
  <c r="G621" i="3"/>
  <c r="O620" i="3"/>
  <c r="G620" i="3"/>
  <c r="O619" i="3"/>
  <c r="G619" i="3"/>
  <c r="O618" i="3"/>
  <c r="G618" i="3"/>
  <c r="O617" i="3"/>
  <c r="G617" i="3"/>
  <c r="O616" i="3"/>
  <c r="G616" i="3"/>
  <c r="O615" i="3"/>
  <c r="G615" i="3"/>
  <c r="O614" i="3"/>
  <c r="G614" i="3"/>
  <c r="O613" i="3"/>
  <c r="G613" i="3"/>
  <c r="O612" i="3"/>
  <c r="G612" i="3"/>
  <c r="O611" i="3"/>
  <c r="G611" i="3"/>
  <c r="O610" i="3"/>
  <c r="G610" i="3"/>
  <c r="O609" i="3"/>
  <c r="G609" i="3"/>
  <c r="O608" i="3"/>
  <c r="G608" i="3"/>
  <c r="O607" i="3"/>
  <c r="G607" i="3"/>
  <c r="O606" i="3"/>
  <c r="G606" i="3"/>
  <c r="O605" i="3"/>
  <c r="G605" i="3"/>
  <c r="O604" i="3"/>
  <c r="G604" i="3"/>
  <c r="O603" i="3"/>
  <c r="G603" i="3"/>
  <c r="O602" i="3"/>
  <c r="G602" i="3"/>
  <c r="O601" i="3"/>
  <c r="G601" i="3"/>
  <c r="O600" i="3"/>
  <c r="G600" i="3"/>
  <c r="O599" i="3"/>
  <c r="G599" i="3"/>
  <c r="O598" i="3"/>
  <c r="G598" i="3"/>
  <c r="O597" i="3"/>
  <c r="G597" i="3"/>
  <c r="O596" i="3"/>
  <c r="G596" i="3"/>
  <c r="O595" i="3"/>
  <c r="G595" i="3"/>
  <c r="O594" i="3"/>
  <c r="G594" i="3"/>
  <c r="O593" i="3"/>
  <c r="G593" i="3"/>
  <c r="O592" i="3"/>
  <c r="G592" i="3"/>
  <c r="O591" i="3"/>
  <c r="G591" i="3"/>
  <c r="O590" i="3"/>
  <c r="G590" i="3"/>
  <c r="O589" i="3"/>
  <c r="G589" i="3"/>
  <c r="O588" i="3"/>
  <c r="G588" i="3"/>
  <c r="O587" i="3"/>
  <c r="G587" i="3"/>
  <c r="O586" i="3"/>
  <c r="G586" i="3"/>
  <c r="O585" i="3"/>
  <c r="G585" i="3"/>
  <c r="O584" i="3"/>
  <c r="G584" i="3"/>
  <c r="O583" i="3"/>
  <c r="G583" i="3"/>
  <c r="O582" i="3"/>
  <c r="G582" i="3"/>
  <c r="O581" i="3"/>
  <c r="G581" i="3"/>
  <c r="O580" i="3"/>
  <c r="G580" i="3"/>
  <c r="O579" i="3"/>
  <c r="G579" i="3"/>
  <c r="O578" i="3"/>
  <c r="G578" i="3"/>
  <c r="O577" i="3"/>
  <c r="G577" i="3"/>
  <c r="O576" i="3"/>
  <c r="G576" i="3"/>
  <c r="O575" i="3"/>
  <c r="G575" i="3"/>
  <c r="O574" i="3"/>
  <c r="G574" i="3"/>
  <c r="O573" i="3"/>
  <c r="G573" i="3"/>
  <c r="O572" i="3"/>
  <c r="G572" i="3"/>
  <c r="O571" i="3"/>
  <c r="G571" i="3"/>
  <c r="O570" i="3"/>
  <c r="G570" i="3"/>
  <c r="O569" i="3"/>
  <c r="G569" i="3"/>
  <c r="O568" i="3"/>
  <c r="G568" i="3"/>
  <c r="O567" i="3"/>
  <c r="G567" i="3"/>
  <c r="O566" i="3"/>
  <c r="G566" i="3"/>
  <c r="O565" i="3"/>
  <c r="G565" i="3"/>
  <c r="O564" i="3"/>
  <c r="G564" i="3"/>
  <c r="O563" i="3"/>
  <c r="G563" i="3"/>
  <c r="O562" i="3"/>
  <c r="G562" i="3"/>
  <c r="O561" i="3"/>
  <c r="G561" i="3"/>
  <c r="O560" i="3"/>
  <c r="G560" i="3"/>
  <c r="O559" i="3"/>
  <c r="G559" i="3"/>
  <c r="O558" i="3"/>
  <c r="G558" i="3"/>
  <c r="O557" i="3"/>
  <c r="G557" i="3"/>
  <c r="O556" i="3"/>
  <c r="G556" i="3"/>
  <c r="O555" i="3"/>
  <c r="G555" i="3"/>
  <c r="O554" i="3"/>
  <c r="G554" i="3"/>
  <c r="O553" i="3"/>
  <c r="G553" i="3"/>
  <c r="O552" i="3"/>
  <c r="G552" i="3"/>
  <c r="O551" i="3"/>
  <c r="G551" i="3"/>
  <c r="O550" i="3"/>
  <c r="G550" i="3"/>
  <c r="O549" i="3"/>
  <c r="G549" i="3"/>
  <c r="O548" i="3"/>
  <c r="G548" i="3"/>
  <c r="O547" i="3"/>
  <c r="G547" i="3"/>
  <c r="O546" i="3"/>
  <c r="G546" i="3"/>
  <c r="O545" i="3"/>
  <c r="G545" i="3"/>
  <c r="O544" i="3"/>
  <c r="G544" i="3"/>
  <c r="O543" i="3"/>
  <c r="G543" i="3"/>
  <c r="O542" i="3"/>
  <c r="G542" i="3"/>
  <c r="O541" i="3"/>
  <c r="G541" i="3"/>
  <c r="O540" i="3"/>
  <c r="G540" i="3"/>
  <c r="O539" i="3"/>
  <c r="G539" i="3"/>
  <c r="O538" i="3"/>
  <c r="G538" i="3"/>
  <c r="O537" i="3"/>
  <c r="G537" i="3"/>
  <c r="O536" i="3"/>
  <c r="G536" i="3"/>
  <c r="O535" i="3"/>
  <c r="G535" i="3"/>
  <c r="O534" i="3"/>
  <c r="G534" i="3"/>
  <c r="O533" i="3"/>
  <c r="G533" i="3"/>
  <c r="O532" i="3"/>
  <c r="G532" i="3"/>
  <c r="O531" i="3"/>
  <c r="G531" i="3"/>
  <c r="O530" i="3"/>
  <c r="G530" i="3"/>
  <c r="O529" i="3"/>
  <c r="G529" i="3"/>
  <c r="O528" i="3"/>
  <c r="G528" i="3"/>
  <c r="O527" i="3"/>
  <c r="G527" i="3"/>
  <c r="O526" i="3"/>
  <c r="G526" i="3"/>
  <c r="O525" i="3"/>
  <c r="G525" i="3"/>
  <c r="O524" i="3"/>
  <c r="G524" i="3"/>
  <c r="O523" i="3"/>
  <c r="G523" i="3"/>
  <c r="O522" i="3"/>
  <c r="G522" i="3"/>
  <c r="O521" i="3"/>
  <c r="G521" i="3"/>
  <c r="O520" i="3"/>
  <c r="G520" i="3"/>
  <c r="O519" i="3"/>
  <c r="G519" i="3"/>
  <c r="O518" i="3"/>
  <c r="G518" i="3"/>
  <c r="O517" i="3"/>
  <c r="G517" i="3"/>
  <c r="O516" i="3"/>
  <c r="G516" i="3"/>
  <c r="O515" i="3"/>
  <c r="G515" i="3"/>
  <c r="O514" i="3"/>
  <c r="G514" i="3"/>
  <c r="O513" i="3"/>
  <c r="G513" i="3"/>
  <c r="O512" i="3"/>
  <c r="G512" i="3"/>
  <c r="O511" i="3"/>
  <c r="G511" i="3"/>
  <c r="O510" i="3"/>
  <c r="G510" i="3"/>
  <c r="O509" i="3"/>
  <c r="G509" i="3"/>
  <c r="O508" i="3"/>
  <c r="G508" i="3"/>
  <c r="O507" i="3"/>
  <c r="G507" i="3"/>
  <c r="O506" i="3"/>
  <c r="G506" i="3"/>
  <c r="O505" i="3"/>
  <c r="G505" i="3"/>
  <c r="O504" i="3"/>
  <c r="G504" i="3"/>
  <c r="O503" i="3"/>
  <c r="G503" i="3"/>
  <c r="O502" i="3"/>
  <c r="G502" i="3"/>
  <c r="O501" i="3"/>
  <c r="G501" i="3"/>
  <c r="O500" i="3"/>
  <c r="G500" i="3"/>
  <c r="O499" i="3"/>
  <c r="G499" i="3"/>
  <c r="O498" i="3"/>
  <c r="G498" i="3"/>
  <c r="O497" i="3"/>
  <c r="G497" i="3"/>
  <c r="O496" i="3"/>
  <c r="G496" i="3"/>
  <c r="O495" i="3"/>
  <c r="G495" i="3"/>
  <c r="O494" i="3"/>
  <c r="G494" i="3"/>
  <c r="O493" i="3"/>
  <c r="G493" i="3"/>
  <c r="O492" i="3"/>
  <c r="G492" i="3"/>
  <c r="O491" i="3"/>
  <c r="G491" i="3"/>
  <c r="O490" i="3"/>
  <c r="G490" i="3"/>
  <c r="O489" i="3"/>
  <c r="G489" i="3"/>
  <c r="O488" i="3"/>
  <c r="G488" i="3"/>
  <c r="O487" i="3"/>
  <c r="G487" i="3"/>
  <c r="O486" i="3"/>
  <c r="G486" i="3"/>
  <c r="O485" i="3"/>
  <c r="G485" i="3"/>
  <c r="O484" i="3"/>
  <c r="G484" i="3"/>
  <c r="O483" i="3"/>
  <c r="G483" i="3"/>
  <c r="O482" i="3"/>
  <c r="G482" i="3"/>
  <c r="O481" i="3"/>
  <c r="G481" i="3"/>
  <c r="O480" i="3"/>
  <c r="G480" i="3"/>
  <c r="O479" i="3"/>
  <c r="G479" i="3"/>
  <c r="O478" i="3"/>
  <c r="G478" i="3"/>
  <c r="O477" i="3"/>
  <c r="G477" i="3"/>
  <c r="O476" i="3"/>
  <c r="G476" i="3"/>
  <c r="O475" i="3"/>
  <c r="G475" i="3"/>
  <c r="O474" i="3"/>
  <c r="G474" i="3"/>
  <c r="O473" i="3"/>
  <c r="G473" i="3"/>
  <c r="O472" i="3"/>
  <c r="G472" i="3"/>
  <c r="O471" i="3"/>
  <c r="G471" i="3"/>
  <c r="O470" i="3"/>
  <c r="G470" i="3"/>
  <c r="O469" i="3"/>
  <c r="G469" i="3"/>
  <c r="O468" i="3"/>
  <c r="G468" i="3"/>
  <c r="O467" i="3"/>
  <c r="G467" i="3"/>
  <c r="O466" i="3"/>
  <c r="G466" i="3"/>
  <c r="O465" i="3"/>
  <c r="G465" i="3"/>
  <c r="O464" i="3"/>
  <c r="G464" i="3"/>
  <c r="O463" i="3"/>
  <c r="G463" i="3"/>
  <c r="O462" i="3"/>
  <c r="G462" i="3"/>
  <c r="O461" i="3"/>
  <c r="G461" i="3"/>
  <c r="O460" i="3"/>
  <c r="G460" i="3"/>
  <c r="O459" i="3"/>
  <c r="G459" i="3"/>
  <c r="O458" i="3"/>
  <c r="G458" i="3"/>
  <c r="O457" i="3"/>
  <c r="G457" i="3"/>
  <c r="O456" i="3"/>
  <c r="G456" i="3"/>
  <c r="O455" i="3"/>
  <c r="G455" i="3"/>
  <c r="O454" i="3"/>
  <c r="G454" i="3"/>
  <c r="O453" i="3"/>
  <c r="G453" i="3"/>
  <c r="O452" i="3"/>
  <c r="G452" i="3"/>
  <c r="O451" i="3"/>
  <c r="G451" i="3"/>
  <c r="O450" i="3"/>
  <c r="G450" i="3"/>
  <c r="O449" i="3"/>
  <c r="G449" i="3"/>
  <c r="O448" i="3"/>
  <c r="G448" i="3"/>
  <c r="O447" i="3"/>
  <c r="G447" i="3"/>
  <c r="O446" i="3"/>
  <c r="G446" i="3"/>
  <c r="O445" i="3"/>
  <c r="G445" i="3"/>
  <c r="O444" i="3"/>
  <c r="G444" i="3"/>
  <c r="O443" i="3"/>
  <c r="G443" i="3"/>
  <c r="O442" i="3"/>
  <c r="G442" i="3"/>
  <c r="O441" i="3"/>
  <c r="G441" i="3"/>
  <c r="O440" i="3"/>
  <c r="G440" i="3"/>
  <c r="O439" i="3"/>
  <c r="G439" i="3"/>
  <c r="O438" i="3"/>
  <c r="G438" i="3"/>
  <c r="O437" i="3"/>
  <c r="G437" i="3"/>
  <c r="O436" i="3"/>
  <c r="G436" i="3"/>
  <c r="O435" i="3"/>
  <c r="G435" i="3"/>
  <c r="O434" i="3"/>
  <c r="G434" i="3"/>
  <c r="O433" i="3"/>
  <c r="G433" i="3"/>
  <c r="O432" i="3"/>
  <c r="G432" i="3"/>
  <c r="O431" i="3"/>
  <c r="G431" i="3"/>
  <c r="O430" i="3"/>
  <c r="G430" i="3"/>
  <c r="O429" i="3"/>
  <c r="G429" i="3"/>
  <c r="O428" i="3"/>
  <c r="G428" i="3"/>
  <c r="O427" i="3"/>
  <c r="G427" i="3"/>
  <c r="O426" i="3"/>
  <c r="G426" i="3"/>
  <c r="O425" i="3"/>
  <c r="G425" i="3"/>
  <c r="O424" i="3"/>
  <c r="G424" i="3"/>
  <c r="O423" i="3"/>
  <c r="G423" i="3"/>
  <c r="O422" i="3"/>
  <c r="G422" i="3"/>
  <c r="O421" i="3"/>
  <c r="G421" i="3"/>
  <c r="O420" i="3"/>
  <c r="G420" i="3"/>
  <c r="O419" i="3"/>
  <c r="G419" i="3"/>
  <c r="O418" i="3"/>
  <c r="G418" i="3"/>
  <c r="O417" i="3"/>
  <c r="G417" i="3"/>
  <c r="O416" i="3"/>
  <c r="G416" i="3"/>
  <c r="O415" i="3"/>
  <c r="G415" i="3"/>
  <c r="O414" i="3"/>
  <c r="G414" i="3"/>
  <c r="O413" i="3"/>
  <c r="G413" i="3"/>
  <c r="O412" i="3"/>
  <c r="G412" i="3"/>
  <c r="O411" i="3"/>
  <c r="G411" i="3"/>
  <c r="O410" i="3"/>
  <c r="G410" i="3"/>
  <c r="O409" i="3"/>
  <c r="G409" i="3"/>
  <c r="O408" i="3"/>
  <c r="G408" i="3"/>
  <c r="O407" i="3"/>
  <c r="G407" i="3"/>
  <c r="O406" i="3"/>
  <c r="G406" i="3"/>
  <c r="O405" i="3"/>
  <c r="G405" i="3"/>
  <c r="O404" i="3"/>
  <c r="G404" i="3"/>
  <c r="O403" i="3"/>
  <c r="G403" i="3"/>
  <c r="O402" i="3"/>
  <c r="G402" i="3"/>
  <c r="O401" i="3"/>
  <c r="G401" i="3"/>
  <c r="O400" i="3"/>
  <c r="G400" i="3"/>
  <c r="O399" i="3"/>
  <c r="G399" i="3"/>
  <c r="O398" i="3"/>
  <c r="G398" i="3"/>
  <c r="O397" i="3"/>
  <c r="G397" i="3"/>
  <c r="O396" i="3"/>
  <c r="G396" i="3"/>
  <c r="O395" i="3"/>
  <c r="G395" i="3"/>
  <c r="O394" i="3"/>
  <c r="G394" i="3"/>
  <c r="O393" i="3"/>
  <c r="G393" i="3"/>
  <c r="O392" i="3"/>
  <c r="G392" i="3"/>
  <c r="O391" i="3"/>
  <c r="G391" i="3"/>
  <c r="O390" i="3"/>
  <c r="G390" i="3"/>
  <c r="O389" i="3"/>
  <c r="G389" i="3"/>
  <c r="O388" i="3"/>
  <c r="G388" i="3"/>
  <c r="O387" i="3"/>
  <c r="G387" i="3"/>
  <c r="O386" i="3"/>
  <c r="G386" i="3"/>
  <c r="O385" i="3"/>
  <c r="G385" i="3"/>
  <c r="O384" i="3"/>
  <c r="G384" i="3"/>
  <c r="O383" i="3"/>
  <c r="G383" i="3"/>
  <c r="O382" i="3"/>
  <c r="G382" i="3"/>
  <c r="O381" i="3"/>
  <c r="G381" i="3"/>
  <c r="O380" i="3"/>
  <c r="G380" i="3"/>
  <c r="O379" i="3"/>
  <c r="G379" i="3"/>
  <c r="O378" i="3"/>
  <c r="G378" i="3"/>
  <c r="O377" i="3"/>
  <c r="G377" i="3"/>
  <c r="O376" i="3"/>
  <c r="G376" i="3"/>
  <c r="O375" i="3"/>
  <c r="G375" i="3"/>
  <c r="O374" i="3"/>
  <c r="G374" i="3"/>
  <c r="O373" i="3"/>
  <c r="G373" i="3"/>
  <c r="O372" i="3"/>
  <c r="G372" i="3"/>
  <c r="O371" i="3"/>
  <c r="G371" i="3"/>
  <c r="O370" i="3"/>
  <c r="G370" i="3"/>
  <c r="O369" i="3"/>
  <c r="G369" i="3"/>
  <c r="O368" i="3"/>
  <c r="G368" i="3"/>
  <c r="O367" i="3"/>
  <c r="G367" i="3"/>
  <c r="O366" i="3"/>
  <c r="G366" i="3"/>
  <c r="O365" i="3"/>
  <c r="G365" i="3"/>
  <c r="O364" i="3"/>
  <c r="G364" i="3"/>
  <c r="O363" i="3"/>
  <c r="G363" i="3"/>
  <c r="O362" i="3"/>
  <c r="G362" i="3"/>
  <c r="O361" i="3"/>
  <c r="G361" i="3"/>
  <c r="O360" i="3"/>
  <c r="G360" i="3"/>
  <c r="O359" i="3"/>
  <c r="G359" i="3"/>
  <c r="O358" i="3"/>
  <c r="G358" i="3"/>
  <c r="O357" i="3"/>
  <c r="G357" i="3"/>
  <c r="O356" i="3"/>
  <c r="G356" i="3"/>
  <c r="O355" i="3"/>
  <c r="G355" i="3"/>
  <c r="O354" i="3"/>
  <c r="G354" i="3"/>
  <c r="O353" i="3"/>
  <c r="G353" i="3"/>
  <c r="O352" i="3"/>
  <c r="G352" i="3"/>
  <c r="O351" i="3"/>
  <c r="G351" i="3"/>
  <c r="O350" i="3"/>
  <c r="G350" i="3"/>
  <c r="O349" i="3"/>
  <c r="G349" i="3"/>
  <c r="O348" i="3"/>
  <c r="G348" i="3"/>
  <c r="O347" i="3"/>
  <c r="G347" i="3"/>
  <c r="O346" i="3"/>
  <c r="G346" i="3"/>
  <c r="O345" i="3"/>
  <c r="G345" i="3"/>
  <c r="O344" i="3"/>
  <c r="G344" i="3"/>
  <c r="O343" i="3"/>
  <c r="G343" i="3"/>
  <c r="O342" i="3"/>
  <c r="G342" i="3"/>
  <c r="O341" i="3"/>
  <c r="G341" i="3"/>
  <c r="O340" i="3"/>
  <c r="G340" i="3"/>
  <c r="O339" i="3"/>
  <c r="G339" i="3"/>
  <c r="O338" i="3"/>
  <c r="G338" i="3"/>
  <c r="O337" i="3"/>
  <c r="G337" i="3"/>
  <c r="O336" i="3"/>
  <c r="G336" i="3"/>
  <c r="O335" i="3"/>
  <c r="G335" i="3"/>
  <c r="O334" i="3"/>
  <c r="G334" i="3"/>
  <c r="O333" i="3"/>
  <c r="G333" i="3"/>
  <c r="O332" i="3"/>
  <c r="G332" i="3"/>
  <c r="O331" i="3"/>
  <c r="G331" i="3"/>
  <c r="O330" i="3"/>
  <c r="G330" i="3"/>
  <c r="O329" i="3"/>
  <c r="G329" i="3"/>
  <c r="O328" i="3"/>
  <c r="G328" i="3"/>
  <c r="O327" i="3"/>
  <c r="G327" i="3"/>
  <c r="O326" i="3"/>
  <c r="G326" i="3"/>
  <c r="O325" i="3"/>
  <c r="G325" i="3"/>
  <c r="O324" i="3"/>
  <c r="G324" i="3"/>
  <c r="O323" i="3"/>
  <c r="G323" i="3"/>
  <c r="O322" i="3"/>
  <c r="G322" i="3"/>
  <c r="O321" i="3"/>
  <c r="G321" i="3"/>
  <c r="O320" i="3"/>
  <c r="G320" i="3"/>
  <c r="O319" i="3"/>
  <c r="G319" i="3"/>
  <c r="O318" i="3"/>
  <c r="G318" i="3"/>
  <c r="O317" i="3"/>
  <c r="G317" i="3"/>
  <c r="O316" i="3"/>
  <c r="G316" i="3"/>
  <c r="O315" i="3"/>
  <c r="G315" i="3"/>
  <c r="O314" i="3"/>
  <c r="G314" i="3"/>
  <c r="O313" i="3"/>
  <c r="G313" i="3"/>
  <c r="O312" i="3"/>
  <c r="G312" i="3"/>
  <c r="O311" i="3"/>
  <c r="G311" i="3"/>
  <c r="O310" i="3"/>
  <c r="G310" i="3"/>
  <c r="O309" i="3"/>
  <c r="G309" i="3"/>
  <c r="O308" i="3"/>
  <c r="G308" i="3"/>
  <c r="O307" i="3"/>
  <c r="G307" i="3"/>
  <c r="O306" i="3"/>
  <c r="G306" i="3"/>
  <c r="O305" i="3"/>
  <c r="G305" i="3"/>
  <c r="O304" i="3"/>
  <c r="G304" i="3"/>
  <c r="O303" i="3"/>
  <c r="G303" i="3"/>
  <c r="O302" i="3"/>
  <c r="G302" i="3"/>
  <c r="O301" i="3"/>
  <c r="G301" i="3"/>
  <c r="O300" i="3"/>
  <c r="G300" i="3"/>
  <c r="O299" i="3"/>
  <c r="G299" i="3"/>
  <c r="O298" i="3"/>
  <c r="G298" i="3"/>
  <c r="O297" i="3"/>
  <c r="G297" i="3"/>
  <c r="O296" i="3"/>
  <c r="G296" i="3"/>
  <c r="O295" i="3"/>
  <c r="G295" i="3"/>
  <c r="O294" i="3"/>
  <c r="G294" i="3"/>
  <c r="O293" i="3"/>
  <c r="G293" i="3"/>
  <c r="O292" i="3"/>
  <c r="G292" i="3"/>
  <c r="O291" i="3"/>
  <c r="G291" i="3"/>
  <c r="O290" i="3"/>
  <c r="G290" i="3"/>
  <c r="O289" i="3"/>
  <c r="G289" i="3"/>
  <c r="O288" i="3"/>
  <c r="G288" i="3"/>
  <c r="O287" i="3"/>
  <c r="G287" i="3"/>
  <c r="O286" i="3"/>
  <c r="G286" i="3"/>
  <c r="O285" i="3"/>
  <c r="G285" i="3"/>
  <c r="O284" i="3"/>
  <c r="G284" i="3"/>
  <c r="O283" i="3"/>
  <c r="G283" i="3"/>
  <c r="T282" i="3"/>
  <c r="O282" i="3"/>
  <c r="G282" i="3"/>
  <c r="O281" i="3"/>
  <c r="G281" i="3"/>
  <c r="T280" i="3"/>
  <c r="O280" i="3"/>
  <c r="G280" i="3"/>
  <c r="T279" i="3"/>
  <c r="T278" i="3" s="1"/>
  <c r="O279" i="3"/>
  <c r="G279" i="3"/>
  <c r="O278" i="3"/>
  <c r="G278" i="3"/>
  <c r="O277" i="3"/>
  <c r="G277" i="3"/>
  <c r="O276" i="3"/>
  <c r="G276" i="3"/>
  <c r="O275" i="3"/>
  <c r="G275" i="3"/>
  <c r="O274" i="3"/>
  <c r="G274" i="3"/>
  <c r="O273" i="3"/>
  <c r="G273" i="3"/>
  <c r="O272" i="3"/>
  <c r="G272" i="3"/>
  <c r="O271" i="3"/>
  <c r="G271" i="3"/>
  <c r="O270" i="3"/>
  <c r="G270" i="3"/>
  <c r="O269" i="3"/>
  <c r="G269" i="3"/>
  <c r="O268" i="3"/>
  <c r="G268" i="3"/>
  <c r="O267" i="3"/>
  <c r="G267" i="3"/>
  <c r="O266" i="3"/>
  <c r="G266" i="3"/>
  <c r="O265" i="3"/>
  <c r="G265" i="3"/>
  <c r="O264" i="3"/>
  <c r="G264" i="3"/>
  <c r="O263" i="3"/>
  <c r="G263" i="3"/>
  <c r="O262" i="3"/>
  <c r="G262" i="3"/>
  <c r="O261" i="3"/>
  <c r="G261" i="3"/>
  <c r="O260" i="3"/>
  <c r="G260" i="3"/>
  <c r="O259" i="3"/>
  <c r="G259" i="3"/>
  <c r="O258" i="3"/>
  <c r="G258" i="3"/>
  <c r="O257" i="3"/>
  <c r="G257" i="3"/>
  <c r="O256" i="3"/>
  <c r="G256" i="3"/>
  <c r="O255" i="3"/>
  <c r="G255" i="3"/>
  <c r="O254" i="3"/>
  <c r="G254" i="3"/>
  <c r="O253" i="3"/>
  <c r="G253" i="3"/>
  <c r="O252" i="3"/>
  <c r="G252" i="3"/>
  <c r="O251" i="3"/>
  <c r="G251" i="3"/>
  <c r="O250" i="3"/>
  <c r="G250" i="3"/>
  <c r="O249" i="3"/>
  <c r="G249" i="3"/>
  <c r="O248" i="3"/>
  <c r="G248" i="3"/>
  <c r="O247" i="3"/>
  <c r="G247" i="3"/>
  <c r="O246" i="3"/>
  <c r="G246" i="3"/>
  <c r="O245" i="3"/>
  <c r="G245" i="3"/>
  <c r="O244" i="3"/>
  <c r="G244" i="3"/>
  <c r="O243" i="3"/>
  <c r="G243" i="3"/>
  <c r="O242" i="3"/>
  <c r="G242" i="3"/>
  <c r="O241" i="3"/>
  <c r="G241" i="3"/>
  <c r="O240" i="3"/>
  <c r="G240" i="3"/>
  <c r="O239" i="3"/>
  <c r="G239" i="3"/>
  <c r="O238" i="3"/>
  <c r="G238" i="3"/>
  <c r="O237" i="3"/>
  <c r="G237" i="3"/>
  <c r="O236" i="3"/>
  <c r="G236" i="3"/>
  <c r="O235" i="3"/>
  <c r="G235" i="3"/>
  <c r="O234" i="3"/>
  <c r="G234" i="3"/>
  <c r="O233" i="3"/>
  <c r="G233" i="3"/>
  <c r="O232" i="3"/>
  <c r="G232" i="3"/>
  <c r="O231" i="3"/>
  <c r="G231" i="3"/>
  <c r="O230" i="3"/>
  <c r="G230" i="3"/>
  <c r="O229" i="3"/>
  <c r="G229" i="3"/>
  <c r="O228" i="3"/>
  <c r="G228" i="3"/>
  <c r="O227" i="3"/>
  <c r="G227" i="3"/>
  <c r="O226" i="3"/>
  <c r="G226" i="3"/>
  <c r="O225" i="3"/>
  <c r="G225" i="3"/>
  <c r="O224" i="3"/>
  <c r="G224" i="3"/>
  <c r="O223" i="3"/>
  <c r="G223" i="3"/>
  <c r="O222" i="3"/>
  <c r="G222" i="3"/>
  <c r="O221" i="3"/>
  <c r="G221" i="3"/>
  <c r="O220" i="3"/>
  <c r="G220" i="3"/>
  <c r="O219" i="3"/>
  <c r="G219" i="3"/>
  <c r="O218" i="3"/>
  <c r="G218" i="3"/>
  <c r="O217" i="3"/>
  <c r="G217" i="3"/>
  <c r="O216" i="3"/>
  <c r="G216" i="3"/>
  <c r="O215" i="3"/>
  <c r="G215" i="3"/>
  <c r="O214" i="3"/>
  <c r="G214" i="3"/>
  <c r="O213" i="3"/>
  <c r="G213" i="3"/>
  <c r="O212" i="3"/>
  <c r="G212" i="3"/>
  <c r="O211" i="3"/>
  <c r="G211" i="3"/>
  <c r="O210" i="3"/>
  <c r="G210" i="3"/>
  <c r="O209" i="3"/>
  <c r="G209" i="3"/>
  <c r="O208" i="3"/>
  <c r="G208" i="3"/>
  <c r="O207" i="3"/>
  <c r="G207" i="3"/>
  <c r="O206" i="3"/>
  <c r="G206" i="3"/>
  <c r="O205" i="3"/>
  <c r="G205" i="3"/>
  <c r="O204" i="3"/>
  <c r="G204" i="3"/>
  <c r="O203" i="3"/>
  <c r="G203" i="3"/>
  <c r="S202" i="3"/>
  <c r="O202" i="3"/>
  <c r="G202" i="3"/>
  <c r="O201" i="3"/>
  <c r="G201" i="3"/>
  <c r="O200" i="3"/>
  <c r="G200" i="3"/>
  <c r="O199" i="3"/>
  <c r="G199" i="3"/>
  <c r="O198" i="3"/>
  <c r="G198" i="3"/>
  <c r="O197" i="3"/>
  <c r="G197" i="3"/>
  <c r="O196" i="3"/>
  <c r="G196" i="3"/>
  <c r="O195" i="3"/>
  <c r="G195" i="3"/>
  <c r="O194" i="3"/>
  <c r="G194" i="3"/>
  <c r="O193" i="3"/>
  <c r="G193" i="3"/>
  <c r="O192" i="3"/>
  <c r="G192" i="3"/>
  <c r="O191" i="3"/>
  <c r="G191" i="3"/>
  <c r="O190" i="3"/>
  <c r="S201" i="3" s="1"/>
  <c r="G190" i="3"/>
  <c r="O189" i="3"/>
  <c r="S203" i="3" s="1"/>
  <c r="G189" i="3"/>
  <c r="O188" i="3"/>
  <c r="S200" i="3" s="1"/>
  <c r="G188" i="3"/>
  <c r="S206" i="3" s="1"/>
  <c r="O187" i="3"/>
  <c r="S204" i="3" s="1"/>
  <c r="G187" i="3"/>
  <c r="BK50" i="2" l="1"/>
  <c r="BK34" i="2"/>
  <c r="U278" i="3"/>
  <c r="T277" i="3"/>
  <c r="U282" i="3"/>
  <c r="U280" i="3"/>
  <c r="X211" i="3"/>
  <c r="X212" i="3"/>
  <c r="U281" i="3"/>
  <c r="X221" i="3"/>
  <c r="X213" i="3"/>
  <c r="X222" i="3"/>
  <c r="X214" i="3"/>
  <c r="X224" i="3"/>
  <c r="X216" i="3"/>
  <c r="S205" i="3"/>
  <c r="X219" i="3"/>
  <c r="X217" i="3"/>
  <c r="X220" i="3"/>
  <c r="X223" i="3"/>
  <c r="X215" i="3"/>
  <c r="X218" i="3"/>
  <c r="T283" i="3"/>
  <c r="U279" i="3"/>
  <c r="CV68" i="2"/>
  <c r="BK51" i="2" l="1"/>
  <c r="BK36" i="2"/>
  <c r="BK38" i="2" s="1"/>
  <c r="DA59" i="2"/>
  <c r="T284" i="3"/>
  <c r="U283" i="3"/>
  <c r="T276" i="3"/>
  <c r="U277" i="3"/>
  <c r="BK82" i="2" l="1"/>
  <c r="BK40" i="2"/>
  <c r="BK85" i="2"/>
  <c r="BK83" i="2"/>
  <c r="BK52" i="2"/>
  <c r="U284" i="3"/>
  <c r="T285" i="3"/>
  <c r="U276" i="3"/>
  <c r="T275" i="3"/>
  <c r="CG87" i="2"/>
  <c r="CF87" i="2"/>
  <c r="CE87" i="2"/>
  <c r="CD87" i="2"/>
  <c r="CC87" i="2"/>
  <c r="CB87" i="2"/>
  <c r="CA87" i="2"/>
  <c r="BZ87" i="2"/>
  <c r="BY87" i="2"/>
  <c r="BX87" i="2"/>
  <c r="BW87" i="2"/>
  <c r="BV87" i="2"/>
  <c r="BU87" i="2"/>
  <c r="BT87" i="2"/>
  <c r="BS87" i="2"/>
  <c r="CG86" i="2"/>
  <c r="CF86" i="2"/>
  <c r="CE86" i="2"/>
  <c r="CD86" i="2"/>
  <c r="CC86" i="2"/>
  <c r="CB86" i="2"/>
  <c r="CA86" i="2"/>
  <c r="BZ86" i="2"/>
  <c r="BY86" i="2"/>
  <c r="BX86" i="2"/>
  <c r="BW86" i="2"/>
  <c r="BV86" i="2"/>
  <c r="BU86" i="2"/>
  <c r="BT86" i="2"/>
  <c r="BS86" i="2"/>
  <c r="BI94" i="2"/>
  <c r="BH94" i="2"/>
  <c r="BG94" i="2"/>
  <c r="BF94" i="2"/>
  <c r="BE94" i="2"/>
  <c r="BD94" i="2"/>
  <c r="BC94"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AL93" i="2"/>
  <c r="AG93" i="2"/>
  <c r="AD93" i="2"/>
  <c r="Y93" i="2"/>
  <c r="V93" i="2"/>
  <c r="Q93" i="2"/>
  <c r="N93" i="2"/>
  <c r="I93" i="2"/>
  <c r="F93" i="2"/>
  <c r="BI92" i="2"/>
  <c r="BH92" i="2"/>
  <c r="BG92" i="2"/>
  <c r="BF92" i="2"/>
  <c r="BE92" i="2"/>
  <c r="BD92" i="2"/>
  <c r="BC92" i="2"/>
  <c r="BB92" i="2"/>
  <c r="BA92" i="2"/>
  <c r="AZ92"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J94" i="2"/>
  <c r="BJ92" i="2"/>
  <c r="AL89" i="2"/>
  <c r="AK89" i="2"/>
  <c r="AJ89" i="2"/>
  <c r="AI89" i="2"/>
  <c r="CA89" i="2" s="1"/>
  <c r="AH89" i="2"/>
  <c r="AG89" i="2"/>
  <c r="AF89" i="2"/>
  <c r="BZ89" i="2" s="1"/>
  <c r="AE89" i="2"/>
  <c r="AD89" i="2"/>
  <c r="AC89" i="2"/>
  <c r="AB89" i="2"/>
  <c r="AA89" i="2"/>
  <c r="BY89" i="2" s="1"/>
  <c r="Z89" i="2"/>
  <c r="Y89" i="2"/>
  <c r="X89" i="2"/>
  <c r="BX89" i="2" s="1"/>
  <c r="W89" i="2"/>
  <c r="V89" i="2"/>
  <c r="U89" i="2"/>
  <c r="T89" i="2"/>
  <c r="S89" i="2"/>
  <c r="BW89" i="2" s="1"/>
  <c r="R89" i="2"/>
  <c r="Q89" i="2"/>
  <c r="P89" i="2"/>
  <c r="O89" i="2"/>
  <c r="BV89" i="2" s="1"/>
  <c r="N89" i="2"/>
  <c r="M89" i="2"/>
  <c r="L89" i="2"/>
  <c r="K89" i="2"/>
  <c r="BU89" i="2" s="1"/>
  <c r="J89" i="2"/>
  <c r="I89" i="2"/>
  <c r="H89" i="2"/>
  <c r="G89" i="2"/>
  <c r="BT89" i="2" s="1"/>
  <c r="F89" i="2"/>
  <c r="E89" i="2"/>
  <c r="D89" i="2"/>
  <c r="C89" i="2"/>
  <c r="BS89" i="2" s="1"/>
  <c r="AL88" i="2"/>
  <c r="AK88" i="2"/>
  <c r="AK90" i="2" s="1"/>
  <c r="AJ88" i="2"/>
  <c r="AJ90" i="2" s="1"/>
  <c r="AI88" i="2"/>
  <c r="AI93" i="2" s="1"/>
  <c r="AH88" i="2"/>
  <c r="AH90" i="2" s="1"/>
  <c r="AG88" i="2"/>
  <c r="AG90" i="2" s="1"/>
  <c r="AF88" i="2"/>
  <c r="AE88" i="2"/>
  <c r="AD88" i="2"/>
  <c r="AC88" i="2"/>
  <c r="AC90" i="2" s="1"/>
  <c r="AB88" i="2"/>
  <c r="AB90" i="2" s="1"/>
  <c r="AA88" i="2"/>
  <c r="AA93" i="2" s="1"/>
  <c r="Z88" i="2"/>
  <c r="Z90" i="2" s="1"/>
  <c r="Y88" i="2"/>
  <c r="Y90" i="2" s="1"/>
  <c r="X88" i="2"/>
  <c r="W88" i="2"/>
  <c r="V88" i="2"/>
  <c r="U88" i="2"/>
  <c r="U90" i="2" s="1"/>
  <c r="T88" i="2"/>
  <c r="T90" i="2" s="1"/>
  <c r="S88" i="2"/>
  <c r="S93" i="2" s="1"/>
  <c r="R88" i="2"/>
  <c r="R90" i="2" s="1"/>
  <c r="Q88" i="2"/>
  <c r="Q90" i="2" s="1"/>
  <c r="P88" i="2"/>
  <c r="O88" i="2"/>
  <c r="N88" i="2"/>
  <c r="M88" i="2"/>
  <c r="M90" i="2" s="1"/>
  <c r="L88" i="2"/>
  <c r="L90" i="2" s="1"/>
  <c r="K88" i="2"/>
  <c r="K93" i="2" s="1"/>
  <c r="J88" i="2"/>
  <c r="J90" i="2" s="1"/>
  <c r="I88" i="2"/>
  <c r="I90" i="2" s="1"/>
  <c r="H88" i="2"/>
  <c r="G88" i="2"/>
  <c r="F88" i="2"/>
  <c r="E88" i="2"/>
  <c r="E90" i="2" s="1"/>
  <c r="D88" i="2"/>
  <c r="D90" i="2" s="1"/>
  <c r="C88" i="2"/>
  <c r="C93" i="2" s="1"/>
  <c r="CG75" i="2"/>
  <c r="CF75" i="2"/>
  <c r="CE75" i="2"/>
  <c r="CD75" i="2"/>
  <c r="CG73" i="2"/>
  <c r="CF73" i="2"/>
  <c r="CE73" i="2"/>
  <c r="CD73" i="2"/>
  <c r="CG72" i="2"/>
  <c r="CF72" i="2"/>
  <c r="CE72" i="2"/>
  <c r="CD72" i="2"/>
  <c r="CG71" i="2"/>
  <c r="CF71" i="2"/>
  <c r="CE71" i="2"/>
  <c r="CD71" i="2"/>
  <c r="CG70" i="2"/>
  <c r="CF70" i="2"/>
  <c r="CE70" i="2"/>
  <c r="CD70" i="2"/>
  <c r="CG69" i="2"/>
  <c r="CF69" i="2"/>
  <c r="CE69" i="2"/>
  <c r="CD69" i="2"/>
  <c r="CG68" i="2"/>
  <c r="CF68" i="2"/>
  <c r="CE68" i="2"/>
  <c r="CD68" i="2"/>
  <c r="CG67" i="2"/>
  <c r="CF67" i="2"/>
  <c r="CE67" i="2"/>
  <c r="CD67" i="2"/>
  <c r="CG66" i="2"/>
  <c r="CF66" i="2"/>
  <c r="CE66" i="2"/>
  <c r="CD66" i="2"/>
  <c r="CG65" i="2"/>
  <c r="CF65" i="2"/>
  <c r="CE65" i="2"/>
  <c r="CD65" i="2"/>
  <c r="CG62" i="2"/>
  <c r="CF62" i="2"/>
  <c r="CE62" i="2"/>
  <c r="CD62" i="2"/>
  <c r="CG61" i="2"/>
  <c r="CF61" i="2"/>
  <c r="CE61" i="2"/>
  <c r="CD61" i="2"/>
  <c r="CG60" i="2"/>
  <c r="CF60" i="2"/>
  <c r="CE60" i="2"/>
  <c r="CD60" i="2"/>
  <c r="CG59" i="2"/>
  <c r="CF59" i="2"/>
  <c r="CE59" i="2"/>
  <c r="CD59" i="2"/>
  <c r="CG58" i="2"/>
  <c r="CF58" i="2"/>
  <c r="CE58" i="2"/>
  <c r="CD58" i="2"/>
  <c r="CG57" i="2"/>
  <c r="CF57" i="2"/>
  <c r="CE57" i="2"/>
  <c r="CD57" i="2"/>
  <c r="CG56" i="2"/>
  <c r="CF56" i="2"/>
  <c r="CE56" i="2"/>
  <c r="CD56" i="2"/>
  <c r="CG55" i="2"/>
  <c r="CF55" i="2"/>
  <c r="CE55" i="2"/>
  <c r="CD55"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AL49" i="2"/>
  <c r="BI48" i="2"/>
  <c r="BH48" i="2"/>
  <c r="BG48" i="2"/>
  <c r="BE48" i="2"/>
  <c r="BD48" i="2"/>
  <c r="BC48" i="2"/>
  <c r="BA48" i="2"/>
  <c r="AZ48" i="2"/>
  <c r="AY48" i="2"/>
  <c r="AW48" i="2"/>
  <c r="AV48" i="2"/>
  <c r="AU48" i="2"/>
  <c r="AS48" i="2"/>
  <c r="AR48" i="2"/>
  <c r="AQ48" i="2"/>
  <c r="AO48" i="2"/>
  <c r="AN48" i="2"/>
  <c r="AM48" i="2"/>
  <c r="BI47" i="2"/>
  <c r="BH47" i="2"/>
  <c r="BG47" i="2"/>
  <c r="BE47" i="2"/>
  <c r="BD47" i="2"/>
  <c r="BC47" i="2"/>
  <c r="BA47" i="2"/>
  <c r="AZ47" i="2"/>
  <c r="AY47" i="2"/>
  <c r="AW47" i="2"/>
  <c r="AV47" i="2"/>
  <c r="AU47" i="2"/>
  <c r="AS47" i="2"/>
  <c r="AR47" i="2"/>
  <c r="AQ47" i="2"/>
  <c r="AO47" i="2"/>
  <c r="AN47" i="2"/>
  <c r="AM47" i="2"/>
  <c r="BI46" i="2"/>
  <c r="BH46" i="2"/>
  <c r="BG46" i="2"/>
  <c r="BE46" i="2"/>
  <c r="BD46" i="2"/>
  <c r="BC46" i="2"/>
  <c r="BA46" i="2"/>
  <c r="AZ46" i="2"/>
  <c r="AY46" i="2"/>
  <c r="AW46" i="2"/>
  <c r="AV46" i="2"/>
  <c r="AU46" i="2"/>
  <c r="AS46" i="2"/>
  <c r="AR46" i="2"/>
  <c r="AQ46" i="2"/>
  <c r="AO46" i="2"/>
  <c r="AN46" i="2"/>
  <c r="AM46" i="2"/>
  <c r="BI45" i="2"/>
  <c r="BH45" i="2"/>
  <c r="BG45" i="2"/>
  <c r="BE45" i="2"/>
  <c r="BD45" i="2"/>
  <c r="BC45" i="2"/>
  <c r="BA45" i="2"/>
  <c r="AZ45" i="2"/>
  <c r="AY45" i="2"/>
  <c r="AW45" i="2"/>
  <c r="AV45" i="2"/>
  <c r="AU45" i="2"/>
  <c r="AS45" i="2"/>
  <c r="AR45" i="2"/>
  <c r="AQ45" i="2"/>
  <c r="AO45" i="2"/>
  <c r="AN45" i="2"/>
  <c r="AM45" i="2"/>
  <c r="BI44" i="2"/>
  <c r="BH44" i="2"/>
  <c r="BG44" i="2"/>
  <c r="BE44" i="2"/>
  <c r="BD44" i="2"/>
  <c r="BC44" i="2"/>
  <c r="BA44" i="2"/>
  <c r="AZ44" i="2"/>
  <c r="AY44" i="2"/>
  <c r="AW44" i="2"/>
  <c r="AV44" i="2"/>
  <c r="AU44" i="2"/>
  <c r="AS44" i="2"/>
  <c r="AR44" i="2"/>
  <c r="AQ44" i="2"/>
  <c r="AO44" i="2"/>
  <c r="AN44" i="2"/>
  <c r="AM44" i="2"/>
  <c r="BI43" i="2"/>
  <c r="BH43" i="2"/>
  <c r="BG43" i="2"/>
  <c r="BE43" i="2"/>
  <c r="BD43" i="2"/>
  <c r="BC43" i="2"/>
  <c r="BA43" i="2"/>
  <c r="AZ43" i="2"/>
  <c r="AY43" i="2"/>
  <c r="AW43" i="2"/>
  <c r="AV43" i="2"/>
  <c r="AU43" i="2"/>
  <c r="AS43" i="2"/>
  <c r="AR43" i="2"/>
  <c r="AQ43" i="2"/>
  <c r="AO43" i="2"/>
  <c r="AN43" i="2"/>
  <c r="AM43" i="2"/>
  <c r="BI42" i="2"/>
  <c r="BH42" i="2"/>
  <c r="BG42" i="2"/>
  <c r="BE42" i="2"/>
  <c r="BD42" i="2"/>
  <c r="BC42" i="2"/>
  <c r="BA42" i="2"/>
  <c r="AZ42" i="2"/>
  <c r="AY42" i="2"/>
  <c r="AW42" i="2"/>
  <c r="AV42" i="2"/>
  <c r="AU42" i="2"/>
  <c r="AS42" i="2"/>
  <c r="AR42" i="2"/>
  <c r="AQ42" i="2"/>
  <c r="AO42" i="2"/>
  <c r="AN42" i="2"/>
  <c r="AM42" i="2"/>
  <c r="BI80" i="2"/>
  <c r="BH80" i="2"/>
  <c r="BG80" i="2"/>
  <c r="BF80" i="2"/>
  <c r="BE80" i="2"/>
  <c r="BD80" i="2"/>
  <c r="BC80" i="2"/>
  <c r="BB80" i="2"/>
  <c r="BA80" i="2"/>
  <c r="AZ80" i="2"/>
  <c r="AY80" i="2"/>
  <c r="AX80" i="2"/>
  <c r="BI79" i="2"/>
  <c r="BH79" i="2"/>
  <c r="BG79" i="2"/>
  <c r="BF79" i="2"/>
  <c r="BE79" i="2"/>
  <c r="BD79" i="2"/>
  <c r="BC79" i="2"/>
  <c r="BB79" i="2"/>
  <c r="BA79" i="2"/>
  <c r="AZ79" i="2"/>
  <c r="AY79" i="2"/>
  <c r="AX79" i="2"/>
  <c r="BI78" i="2"/>
  <c r="BH78" i="2"/>
  <c r="BG78" i="2"/>
  <c r="BF78" i="2"/>
  <c r="BE78" i="2"/>
  <c r="BD78" i="2"/>
  <c r="BC78" i="2"/>
  <c r="BB78" i="2"/>
  <c r="BA78" i="2"/>
  <c r="AZ78" i="2"/>
  <c r="AY78" i="2"/>
  <c r="AX78" i="2"/>
  <c r="BJ80" i="2"/>
  <c r="BJ79" i="2"/>
  <c r="BJ78" i="2"/>
  <c r="BC63" i="2"/>
  <c r="G90" i="2" l="1"/>
  <c r="BT90" i="2" s="1"/>
  <c r="G93" i="2"/>
  <c r="BT88" i="2"/>
  <c r="O90" i="2"/>
  <c r="BV90" i="2" s="1"/>
  <c r="O93" i="2"/>
  <c r="BV88" i="2"/>
  <c r="W90" i="2"/>
  <c r="BX90" i="2" s="1"/>
  <c r="W93" i="2"/>
  <c r="BX88" i="2"/>
  <c r="AE90" i="2"/>
  <c r="BZ90" i="2" s="1"/>
  <c r="BZ88" i="2"/>
  <c r="AE93" i="2"/>
  <c r="H90" i="2"/>
  <c r="P90" i="2"/>
  <c r="X90" i="2"/>
  <c r="AF90" i="2"/>
  <c r="J93" i="2"/>
  <c r="R93" i="2"/>
  <c r="Z93" i="2"/>
  <c r="AH93" i="2"/>
  <c r="BU88" i="2"/>
  <c r="D93" i="2"/>
  <c r="L93" i="2"/>
  <c r="AB93" i="2"/>
  <c r="AJ93" i="2"/>
  <c r="BW88" i="2"/>
  <c r="CH32" i="2"/>
  <c r="CV62" i="2"/>
  <c r="T93" i="2"/>
  <c r="C90" i="2"/>
  <c r="K90" i="2"/>
  <c r="BU90" i="2" s="1"/>
  <c r="S90" i="2"/>
  <c r="BW90" i="2" s="1"/>
  <c r="AA90" i="2"/>
  <c r="AI90" i="2"/>
  <c r="E93" i="2"/>
  <c r="M93" i="2"/>
  <c r="U93" i="2"/>
  <c r="AC93" i="2"/>
  <c r="AK93" i="2"/>
  <c r="BY88" i="2"/>
  <c r="F90" i="2"/>
  <c r="N90" i="2"/>
  <c r="V90" i="2"/>
  <c r="AD90" i="2"/>
  <c r="AL90" i="2"/>
  <c r="H93" i="2"/>
  <c r="P93" i="2"/>
  <c r="X93" i="2"/>
  <c r="AF93" i="2"/>
  <c r="BS88" i="2"/>
  <c r="CA88" i="2"/>
  <c r="T274" i="3"/>
  <c r="U275" i="3"/>
  <c r="T286" i="3"/>
  <c r="U285" i="3"/>
  <c r="BA74" i="2"/>
  <c r="BA76" i="2" s="1"/>
  <c r="BA81" i="2" s="1"/>
  <c r="AZ74" i="2"/>
  <c r="AZ76" i="2" s="1"/>
  <c r="AZ81" i="2" s="1"/>
  <c r="AY74" i="2"/>
  <c r="AY76" i="2" s="1"/>
  <c r="AY81" i="2" s="1"/>
  <c r="AX74" i="2"/>
  <c r="BA63" i="2"/>
  <c r="AZ63" i="2"/>
  <c r="AY63" i="2"/>
  <c r="AX63" i="2"/>
  <c r="CD63" i="2" s="1"/>
  <c r="BB63" i="2"/>
  <c r="CE63" i="2" s="1"/>
  <c r="BD63" i="2"/>
  <c r="BB74" i="2"/>
  <c r="BC74" i="2"/>
  <c r="BC76" i="2" s="1"/>
  <c r="BC81" i="2" s="1"/>
  <c r="BD74" i="2"/>
  <c r="BD76" i="2" s="1"/>
  <c r="BD81" i="2" s="1"/>
  <c r="BF74" i="2"/>
  <c r="BE74" i="2"/>
  <c r="BE76" i="2" s="1"/>
  <c r="BE81" i="2" s="1"/>
  <c r="BF63" i="2"/>
  <c r="CF63" i="2" s="1"/>
  <c r="BE63" i="2"/>
  <c r="BI13" i="2"/>
  <c r="BH13" i="2"/>
  <c r="BG13" i="2"/>
  <c r="BI12" i="2"/>
  <c r="BH12" i="2"/>
  <c r="BG12" i="2"/>
  <c r="BI11" i="2"/>
  <c r="BH11" i="2"/>
  <c r="BG11" i="2"/>
  <c r="BI10" i="2"/>
  <c r="BH10" i="2"/>
  <c r="BG10" i="2"/>
  <c r="CG54" i="2"/>
  <c r="CT56" i="2" s="1"/>
  <c r="AM29" i="2"/>
  <c r="AQ29" i="2"/>
  <c r="AN29" i="2"/>
  <c r="AR29" i="2"/>
  <c r="AO29" i="2"/>
  <c r="AS29" i="2"/>
  <c r="AS49" i="2" s="1"/>
  <c r="AP37" i="2"/>
  <c r="CB37" i="2" s="1"/>
  <c r="AP35" i="2"/>
  <c r="AP33" i="2"/>
  <c r="CB33" i="2" s="1"/>
  <c r="AP32" i="2"/>
  <c r="CB32" i="2" s="1"/>
  <c r="AP28" i="2"/>
  <c r="AP27" i="2"/>
  <c r="AP26" i="2"/>
  <c r="AP25" i="2"/>
  <c r="AP24" i="2"/>
  <c r="AP23" i="2"/>
  <c r="AP22" i="2"/>
  <c r="AT37" i="2"/>
  <c r="CC37" i="2" s="1"/>
  <c r="AT35" i="2"/>
  <c r="AT33" i="2"/>
  <c r="CC33" i="2" s="1"/>
  <c r="AT32" i="2"/>
  <c r="CC32" i="2" s="1"/>
  <c r="AT28" i="2"/>
  <c r="AT27" i="2"/>
  <c r="AT26" i="2"/>
  <c r="AT25" i="2"/>
  <c r="AT24" i="2"/>
  <c r="AT23" i="2"/>
  <c r="AT43" i="2" s="1"/>
  <c r="AT22" i="2"/>
  <c r="AX35" i="2"/>
  <c r="AX33" i="2"/>
  <c r="CD33" i="2" s="1"/>
  <c r="AX32" i="2"/>
  <c r="CD32" i="2" s="1"/>
  <c r="AX28" i="2"/>
  <c r="AX27" i="2"/>
  <c r="AX26" i="2"/>
  <c r="AX25" i="2"/>
  <c r="AX24" i="2"/>
  <c r="AX23" i="2"/>
  <c r="AX22" i="2"/>
  <c r="AX42" i="2" s="1"/>
  <c r="AU29" i="2"/>
  <c r="AY29" i="2"/>
  <c r="AV29" i="2"/>
  <c r="AZ29" i="2"/>
  <c r="AW29" i="2"/>
  <c r="BA29" i="2"/>
  <c r="BC29" i="2"/>
  <c r="BG29" i="2"/>
  <c r="BD29" i="2"/>
  <c r="BH29" i="2"/>
  <c r="BE29" i="2"/>
  <c r="C31" i="2"/>
  <c r="D31" i="2"/>
  <c r="D50" i="2" s="1"/>
  <c r="E31" i="2"/>
  <c r="F31" i="2"/>
  <c r="G31" i="2"/>
  <c r="G50" i="2" s="1"/>
  <c r="H31" i="2"/>
  <c r="I31" i="2"/>
  <c r="J31" i="2"/>
  <c r="K31" i="2"/>
  <c r="L31" i="2"/>
  <c r="L50" i="2" s="1"/>
  <c r="M31" i="2"/>
  <c r="N31" i="2"/>
  <c r="O31" i="2"/>
  <c r="O50" i="2" s="1"/>
  <c r="P31" i="2"/>
  <c r="Q31" i="2"/>
  <c r="R31" i="2"/>
  <c r="S31" i="2"/>
  <c r="T31" i="2"/>
  <c r="T50" i="2" s="1"/>
  <c r="U31" i="2"/>
  <c r="V31" i="2"/>
  <c r="W31" i="2"/>
  <c r="W50" i="2" s="1"/>
  <c r="X31" i="2"/>
  <c r="Y31" i="2"/>
  <c r="Z31" i="2"/>
  <c r="AA31" i="2"/>
  <c r="AB31" i="2"/>
  <c r="AB50" i="2" s="1"/>
  <c r="AC31" i="2"/>
  <c r="AD31" i="2"/>
  <c r="AE31" i="2"/>
  <c r="AE50" i="2" s="1"/>
  <c r="AF31" i="2"/>
  <c r="AG31" i="2"/>
  <c r="AH31" i="2"/>
  <c r="AI31" i="2"/>
  <c r="AI50" i="2" s="1"/>
  <c r="AJ31" i="2"/>
  <c r="AJ50" i="2" s="1"/>
  <c r="AK31" i="2"/>
  <c r="AL31" i="2"/>
  <c r="BV30" i="2"/>
  <c r="BU30" i="2"/>
  <c r="BT30" i="2"/>
  <c r="BI29" i="2"/>
  <c r="BB35" i="2"/>
  <c r="BB33" i="2"/>
  <c r="CE33" i="2" s="1"/>
  <c r="BB32" i="2"/>
  <c r="CE32" i="2" s="1"/>
  <c r="BB28" i="2"/>
  <c r="BB27" i="2"/>
  <c r="BB26" i="2"/>
  <c r="BB25" i="2"/>
  <c r="BB24" i="2"/>
  <c r="BB23" i="2"/>
  <c r="BB22" i="2"/>
  <c r="CE7" i="2"/>
  <c r="CE6" i="2"/>
  <c r="CE5" i="2"/>
  <c r="CE4" i="2"/>
  <c r="BB37" i="2"/>
  <c r="CE37" i="2" s="1"/>
  <c r="BF37" i="2"/>
  <c r="CF37" i="2" s="1"/>
  <c r="BF35" i="2"/>
  <c r="BF33" i="2"/>
  <c r="CF33" i="2" s="1"/>
  <c r="BF32" i="2"/>
  <c r="CF32" i="2" s="1"/>
  <c r="BF28" i="2"/>
  <c r="BF27" i="2"/>
  <c r="BF26" i="2"/>
  <c r="BF25" i="2"/>
  <c r="BF24" i="2"/>
  <c r="BF23" i="2"/>
  <c r="BF22" i="2"/>
  <c r="BF42" i="2" s="1"/>
  <c r="BJ37" i="2"/>
  <c r="CG37" i="2" s="1"/>
  <c r="BJ35" i="2"/>
  <c r="BJ33" i="2"/>
  <c r="CG33" i="2" s="1"/>
  <c r="BJ32" i="2"/>
  <c r="CG32" i="2" s="1"/>
  <c r="BJ28" i="2"/>
  <c r="BJ27" i="2"/>
  <c r="BJ26" i="2"/>
  <c r="BJ25" i="2"/>
  <c r="BJ24" i="2"/>
  <c r="BJ23" i="2"/>
  <c r="BJ22" i="2"/>
  <c r="CG39" i="2"/>
  <c r="CF39" i="2"/>
  <c r="CE39" i="2"/>
  <c r="CD39" i="2"/>
  <c r="CC39" i="2"/>
  <c r="CB39" i="2"/>
  <c r="CA39" i="2"/>
  <c r="BZ39" i="2"/>
  <c r="BY39" i="2"/>
  <c r="BX39" i="2"/>
  <c r="BW39" i="2"/>
  <c r="BV39" i="2"/>
  <c r="BU39" i="2"/>
  <c r="BT39" i="2"/>
  <c r="BS39" i="2"/>
  <c r="CD37" i="2"/>
  <c r="CA37" i="2"/>
  <c r="BZ37" i="2"/>
  <c r="BY37" i="2"/>
  <c r="BX37" i="2"/>
  <c r="BW37" i="2"/>
  <c r="BV37" i="2"/>
  <c r="BU37" i="2"/>
  <c r="BT37" i="2"/>
  <c r="BS37" i="2"/>
  <c r="CA35" i="2"/>
  <c r="BZ35" i="2"/>
  <c r="BY35" i="2"/>
  <c r="BX35" i="2"/>
  <c r="BW35" i="2"/>
  <c r="BV35" i="2"/>
  <c r="BU35" i="2"/>
  <c r="BT35" i="2"/>
  <c r="BS35" i="2"/>
  <c r="CA33" i="2"/>
  <c r="BZ33" i="2"/>
  <c r="BY33" i="2"/>
  <c r="BX33" i="2"/>
  <c r="BW33" i="2"/>
  <c r="BV33" i="2"/>
  <c r="BU33" i="2"/>
  <c r="BT33" i="2"/>
  <c r="BS33" i="2"/>
  <c r="CA32" i="2"/>
  <c r="BZ32" i="2"/>
  <c r="BY32" i="2"/>
  <c r="BX32" i="2"/>
  <c r="BW32" i="2"/>
  <c r="BV32" i="2"/>
  <c r="BU32" i="2"/>
  <c r="BT32" i="2"/>
  <c r="BS32" i="2"/>
  <c r="CA30" i="2"/>
  <c r="BY30" i="2"/>
  <c r="BX30" i="2"/>
  <c r="BW30" i="2"/>
  <c r="BS30" i="2"/>
  <c r="CA29" i="2"/>
  <c r="BZ29" i="2"/>
  <c r="BY29" i="2"/>
  <c r="BX29" i="2"/>
  <c r="BW29" i="2"/>
  <c r="BV29" i="2"/>
  <c r="BU29" i="2"/>
  <c r="BT29" i="2"/>
  <c r="BS29" i="2"/>
  <c r="CA28" i="2"/>
  <c r="BZ28" i="2"/>
  <c r="BY28" i="2"/>
  <c r="BX28" i="2"/>
  <c r="BW28" i="2"/>
  <c r="BV28" i="2"/>
  <c r="BU28" i="2"/>
  <c r="BT28" i="2"/>
  <c r="BS28" i="2"/>
  <c r="CA27" i="2"/>
  <c r="BZ27" i="2"/>
  <c r="BY27" i="2"/>
  <c r="BX27" i="2"/>
  <c r="BW27" i="2"/>
  <c r="BV27" i="2"/>
  <c r="BU27" i="2"/>
  <c r="BT27" i="2"/>
  <c r="BS27" i="2"/>
  <c r="CA26" i="2"/>
  <c r="BZ26" i="2"/>
  <c r="BY26" i="2"/>
  <c r="BX26" i="2"/>
  <c r="BW26" i="2"/>
  <c r="BV26" i="2"/>
  <c r="BU26" i="2"/>
  <c r="BT26" i="2"/>
  <c r="BS26" i="2"/>
  <c r="CA25" i="2"/>
  <c r="BZ25" i="2"/>
  <c r="BY25" i="2"/>
  <c r="BX25" i="2"/>
  <c r="BW25" i="2"/>
  <c r="BV25" i="2"/>
  <c r="BU25" i="2"/>
  <c r="BT25" i="2"/>
  <c r="BS25" i="2"/>
  <c r="CA24" i="2"/>
  <c r="BZ24" i="2"/>
  <c r="BY24" i="2"/>
  <c r="BX24" i="2"/>
  <c r="BW24" i="2"/>
  <c r="BV24" i="2"/>
  <c r="BU24" i="2"/>
  <c r="BT24" i="2"/>
  <c r="BS24" i="2"/>
  <c r="CC23" i="2"/>
  <c r="CA23" i="2"/>
  <c r="BZ23" i="2"/>
  <c r="BY23" i="2"/>
  <c r="BX23" i="2"/>
  <c r="BW23" i="2"/>
  <c r="BV23" i="2"/>
  <c r="BU23" i="2"/>
  <c r="BT23" i="2"/>
  <c r="BS23" i="2"/>
  <c r="CA22" i="2"/>
  <c r="BZ22" i="2"/>
  <c r="BY22" i="2"/>
  <c r="BX22" i="2"/>
  <c r="BW22" i="2"/>
  <c r="BV22" i="2"/>
  <c r="BU22" i="2"/>
  <c r="BT22" i="2"/>
  <c r="BS22" i="2"/>
  <c r="CG21" i="2"/>
  <c r="BF5" i="2"/>
  <c r="BF7" i="2"/>
  <c r="BF6" i="2"/>
  <c r="BF4" i="2"/>
  <c r="BJ7" i="2"/>
  <c r="CG7" i="2" s="1"/>
  <c r="BJ6" i="2"/>
  <c r="CG6" i="2" s="1"/>
  <c r="CH6" i="2" s="1"/>
  <c r="BJ5" i="2"/>
  <c r="CG5" i="2" s="1"/>
  <c r="BJ4" i="2"/>
  <c r="CG4" i="2" s="1"/>
  <c r="AI34" i="2"/>
  <c r="BF88" i="2"/>
  <c r="BF93" i="2" s="1"/>
  <c r="BE88" i="2"/>
  <c r="BE93" i="2" s="1"/>
  <c r="BD88" i="2"/>
  <c r="BD93" i="2" s="1"/>
  <c r="BC88" i="2"/>
  <c r="BB88" i="2"/>
  <c r="BB93" i="2" s="1"/>
  <c r="BA88" i="2"/>
  <c r="BA93" i="2" s="1"/>
  <c r="AZ88" i="2"/>
  <c r="AZ93" i="2" s="1"/>
  <c r="AY88" i="2"/>
  <c r="AX88" i="2"/>
  <c r="AX93" i="2" s="1"/>
  <c r="AW88" i="2"/>
  <c r="AW93" i="2" s="1"/>
  <c r="AV88" i="2"/>
  <c r="AV93" i="2" s="1"/>
  <c r="AU88" i="2"/>
  <c r="AT88" i="2"/>
  <c r="AT93" i="2" s="1"/>
  <c r="AS88" i="2"/>
  <c r="AS93" i="2" s="1"/>
  <c r="AR88" i="2"/>
  <c r="AR93" i="2" s="1"/>
  <c r="AQ88" i="2"/>
  <c r="AP88" i="2"/>
  <c r="AP93" i="2" s="1"/>
  <c r="AO88" i="2"/>
  <c r="AO93" i="2" s="1"/>
  <c r="AN88" i="2"/>
  <c r="AN93" i="2" s="1"/>
  <c r="AM88" i="2"/>
  <c r="BJ89" i="2"/>
  <c r="BI89" i="2"/>
  <c r="BH89" i="2"/>
  <c r="BG89" i="2"/>
  <c r="BF89" i="2"/>
  <c r="BF90" i="2" s="1"/>
  <c r="BE89" i="2"/>
  <c r="BE90" i="2" s="1"/>
  <c r="BD89" i="2"/>
  <c r="BD90" i="2" s="1"/>
  <c r="BC89" i="2"/>
  <c r="BB89" i="2"/>
  <c r="BA89" i="2"/>
  <c r="AZ89" i="2"/>
  <c r="AY89" i="2"/>
  <c r="AX89" i="2"/>
  <c r="AW89" i="2"/>
  <c r="AV89" i="2"/>
  <c r="AV90" i="2" s="1"/>
  <c r="AU89" i="2"/>
  <c r="AT89" i="2"/>
  <c r="AT90" i="2" s="1"/>
  <c r="AS89" i="2"/>
  <c r="AR89" i="2"/>
  <c r="AQ89" i="2"/>
  <c r="AP89" i="2"/>
  <c r="AP90" i="2" s="1"/>
  <c r="AO89" i="2"/>
  <c r="AO90" i="2" s="1"/>
  <c r="AN89" i="2"/>
  <c r="AN90" i="2" s="1"/>
  <c r="AM89" i="2"/>
  <c r="BJ88" i="2"/>
  <c r="BJ93" i="2" s="1"/>
  <c r="BI88" i="2"/>
  <c r="BI93" i="2" s="1"/>
  <c r="BH88" i="2"/>
  <c r="BH93" i="2" s="1"/>
  <c r="BJ74" i="2"/>
  <c r="BI74" i="2"/>
  <c r="BI76" i="2" s="1"/>
  <c r="BI81" i="2" s="1"/>
  <c r="BH74" i="2"/>
  <c r="BH76" i="2" s="1"/>
  <c r="BH81" i="2" s="1"/>
  <c r="BJ63" i="2"/>
  <c r="CG63" i="2" s="1"/>
  <c r="BI63" i="2"/>
  <c r="BH63" i="2"/>
  <c r="BI8" i="2"/>
  <c r="BI16" i="2" s="1"/>
  <c r="BH8" i="2"/>
  <c r="BH16" i="2" s="1"/>
  <c r="BG88" i="2"/>
  <c r="BG74" i="2"/>
  <c r="BG76" i="2" s="1"/>
  <c r="BG81" i="2" s="1"/>
  <c r="BG63" i="2"/>
  <c r="CC26" i="2" l="1"/>
  <c r="AT46" i="2"/>
  <c r="AF34" i="2"/>
  <c r="AF50" i="2"/>
  <c r="CG25" i="2"/>
  <c r="CG45" i="2" s="1"/>
  <c r="BJ45" i="2"/>
  <c r="CE22" i="2"/>
  <c r="BB42" i="2"/>
  <c r="BJ76" i="2"/>
  <c r="CG74" i="2"/>
  <c r="CC89" i="2"/>
  <c r="CE89" i="2"/>
  <c r="AQ93" i="2"/>
  <c r="CC88" i="2"/>
  <c r="CE88" i="2"/>
  <c r="AY93" i="2"/>
  <c r="CG26" i="2"/>
  <c r="CG46" i="2" s="1"/>
  <c r="BJ46" i="2"/>
  <c r="CF23" i="2"/>
  <c r="BF43" i="2"/>
  <c r="CF35" i="2"/>
  <c r="CE23" i="2"/>
  <c r="BB43" i="2"/>
  <c r="CE35" i="2"/>
  <c r="AA34" i="2"/>
  <c r="AA50" i="2"/>
  <c r="S34" i="2"/>
  <c r="S50" i="2"/>
  <c r="K34" i="2"/>
  <c r="K50" i="2"/>
  <c r="C34" i="2"/>
  <c r="C50" i="2"/>
  <c r="AZ30" i="2"/>
  <c r="AZ31" i="2" s="1"/>
  <c r="AZ50" i="2" s="1"/>
  <c r="AZ49" i="2"/>
  <c r="CD26" i="2"/>
  <c r="AX46" i="2"/>
  <c r="CC24" i="2"/>
  <c r="AT44" i="2"/>
  <c r="AQ30" i="2"/>
  <c r="AQ31" i="2" s="1"/>
  <c r="AQ50" i="2" s="1"/>
  <c r="AQ49" i="2"/>
  <c r="CA90" i="2"/>
  <c r="CG80" i="2"/>
  <c r="CG92" i="2"/>
  <c r="CG94" i="2"/>
  <c r="CG27" i="2"/>
  <c r="CG47" i="2" s="1"/>
  <c r="BJ47" i="2"/>
  <c r="CF24" i="2"/>
  <c r="BF44" i="2"/>
  <c r="CE24" i="2"/>
  <c r="BB44" i="2"/>
  <c r="BI30" i="2"/>
  <c r="BI49" i="2"/>
  <c r="AH34" i="2"/>
  <c r="AH50" i="2"/>
  <c r="Z34" i="2"/>
  <c r="Z50" i="2"/>
  <c r="R34" i="2"/>
  <c r="R50" i="2"/>
  <c r="J34" i="2"/>
  <c r="J50" i="2"/>
  <c r="BE30" i="2"/>
  <c r="BE31" i="2" s="1"/>
  <c r="BE50" i="2" s="1"/>
  <c r="BE49" i="2"/>
  <c r="AV30" i="2"/>
  <c r="AV31" i="2" s="1"/>
  <c r="AV50" i="2" s="1"/>
  <c r="AV49" i="2"/>
  <c r="CD27" i="2"/>
  <c r="AX47" i="2"/>
  <c r="CC25" i="2"/>
  <c r="AT45" i="2"/>
  <c r="CB22" i="2"/>
  <c r="AP42" i="2"/>
  <c r="AM30" i="2"/>
  <c r="AM31" i="2" s="1"/>
  <c r="AM50" i="2" s="1"/>
  <c r="AM49" i="2"/>
  <c r="BY90" i="2"/>
  <c r="BH30" i="2"/>
  <c r="BH31" i="2" s="1"/>
  <c r="BH50" i="2" s="1"/>
  <c r="BH49" i="2"/>
  <c r="CH33" i="2"/>
  <c r="CG79" i="2"/>
  <c r="CG78" i="2"/>
  <c r="CE26" i="2"/>
  <c r="BB46" i="2"/>
  <c r="X34" i="2"/>
  <c r="X50" i="2"/>
  <c r="P34" i="2"/>
  <c r="P50" i="2"/>
  <c r="H34" i="2"/>
  <c r="H50" i="2"/>
  <c r="BD30" i="2"/>
  <c r="BD31" i="2" s="1"/>
  <c r="BD50" i="2" s="1"/>
  <c r="BD49" i="2"/>
  <c r="AU30" i="2"/>
  <c r="AU49" i="2"/>
  <c r="CC27" i="2"/>
  <c r="AT47" i="2"/>
  <c r="CB24" i="2"/>
  <c r="AP44" i="2"/>
  <c r="AG34" i="2"/>
  <c r="AG50" i="2"/>
  <c r="AY30" i="2"/>
  <c r="AY31" i="2" s="1"/>
  <c r="AY50" i="2" s="1"/>
  <c r="AY49" i="2"/>
  <c r="CF26" i="2"/>
  <c r="BF46" i="2"/>
  <c r="CB89" i="2"/>
  <c r="AU93" i="2"/>
  <c r="CD88" i="2"/>
  <c r="CF27" i="2"/>
  <c r="BF47" i="2"/>
  <c r="BG30" i="2"/>
  <c r="BG31" i="2" s="1"/>
  <c r="BG50" i="2" s="1"/>
  <c r="BG49" i="2"/>
  <c r="CC28" i="2"/>
  <c r="AT48" i="2"/>
  <c r="CB25" i="2"/>
  <c r="AP45" i="2"/>
  <c r="AX76" i="2"/>
  <c r="CD74" i="2"/>
  <c r="BS90" i="2"/>
  <c r="CF25" i="2"/>
  <c r="BF45" i="2"/>
  <c r="Q34" i="2"/>
  <c r="Q50" i="2"/>
  <c r="BC90" i="2"/>
  <c r="CF90" i="2" s="1"/>
  <c r="CF89" i="2"/>
  <c r="CE27" i="2"/>
  <c r="BB47" i="2"/>
  <c r="CG23" i="2"/>
  <c r="CG43" i="2" s="1"/>
  <c r="BJ43" i="2"/>
  <c r="Y34" i="2"/>
  <c r="Y50" i="2"/>
  <c r="CB23" i="2"/>
  <c r="AP43" i="2"/>
  <c r="CD89" i="2"/>
  <c r="AM93" i="2"/>
  <c r="CB88" i="2"/>
  <c r="BC93" i="2"/>
  <c r="CF88" i="2"/>
  <c r="CG22" i="2"/>
  <c r="CG42" i="2" s="1"/>
  <c r="BJ42" i="2"/>
  <c r="CG35" i="2"/>
  <c r="CF28" i="2"/>
  <c r="BF48" i="2"/>
  <c r="CE28" i="2"/>
  <c r="BB48" i="2"/>
  <c r="AL34" i="2"/>
  <c r="AL50" i="2"/>
  <c r="AD34" i="2"/>
  <c r="AD50" i="2"/>
  <c r="V34" i="2"/>
  <c r="V50" i="2"/>
  <c r="N34" i="2"/>
  <c r="N50" i="2"/>
  <c r="F34" i="2"/>
  <c r="F50" i="2"/>
  <c r="BC30" i="2"/>
  <c r="BC31" i="2" s="1"/>
  <c r="BC50" i="2" s="1"/>
  <c r="BC49" i="2"/>
  <c r="CD23" i="2"/>
  <c r="AX43" i="2"/>
  <c r="CD35" i="2"/>
  <c r="CB26" i="2"/>
  <c r="AP46" i="2"/>
  <c r="AO30" i="2"/>
  <c r="AO31" i="2" s="1"/>
  <c r="AO50" i="2" s="1"/>
  <c r="AO49" i="2"/>
  <c r="BB76" i="2"/>
  <c r="CE74" i="2"/>
  <c r="CG88" i="2"/>
  <c r="CG93" i="2" s="1"/>
  <c r="BG93" i="2"/>
  <c r="CG24" i="2"/>
  <c r="CG44" i="2" s="1"/>
  <c r="BJ44" i="2"/>
  <c r="AK34" i="2"/>
  <c r="AK50" i="2"/>
  <c r="AC34" i="2"/>
  <c r="AC50" i="2"/>
  <c r="U34" i="2"/>
  <c r="U50" i="2"/>
  <c r="M34" i="2"/>
  <c r="M50" i="2"/>
  <c r="E34" i="2"/>
  <c r="E50" i="2"/>
  <c r="BA30" i="2"/>
  <c r="BA31" i="2" s="1"/>
  <c r="BA50" i="2" s="1"/>
  <c r="BA49" i="2"/>
  <c r="CD24" i="2"/>
  <c r="AX44" i="2"/>
  <c r="CC22" i="2"/>
  <c r="AT42" i="2"/>
  <c r="CB27" i="2"/>
  <c r="AP47" i="2"/>
  <c r="AR30" i="2"/>
  <c r="AR31" i="2" s="1"/>
  <c r="AR50" i="2" s="1"/>
  <c r="AR49" i="2"/>
  <c r="CE25" i="2"/>
  <c r="BB45" i="2"/>
  <c r="CD28" i="2"/>
  <c r="AX48" i="2"/>
  <c r="BF76" i="2"/>
  <c r="CF74" i="2"/>
  <c r="AW30" i="2"/>
  <c r="AW31" i="2" s="1"/>
  <c r="AW50" i="2" s="1"/>
  <c r="AW49" i="2"/>
  <c r="CD25" i="2"/>
  <c r="AX45" i="2"/>
  <c r="CB28" i="2"/>
  <c r="AP48" i="2"/>
  <c r="AN30" i="2"/>
  <c r="AN31" i="2" s="1"/>
  <c r="AN50" i="2" s="1"/>
  <c r="AN49" i="2"/>
  <c r="CG28" i="2"/>
  <c r="CG48" i="2" s="1"/>
  <c r="BJ48" i="2"/>
  <c r="I34" i="2"/>
  <c r="I50" i="2"/>
  <c r="CB35" i="2"/>
  <c r="CC35" i="2"/>
  <c r="CG89" i="2"/>
  <c r="AI36" i="2"/>
  <c r="AI38" i="2" s="1"/>
  <c r="AI51" i="2"/>
  <c r="U286" i="3"/>
  <c r="T287" i="3"/>
  <c r="U274" i="3"/>
  <c r="T273" i="3"/>
  <c r="BA90" i="2"/>
  <c r="BI90" i="2"/>
  <c r="AR90" i="2"/>
  <c r="AU90" i="2"/>
  <c r="AX90" i="2"/>
  <c r="BH90" i="2"/>
  <c r="AT29" i="2"/>
  <c r="BF29" i="2"/>
  <c r="AW90" i="2"/>
  <c r="BH18" i="2"/>
  <c r="BI19" i="2"/>
  <c r="BH19" i="2"/>
  <c r="BJ10" i="2"/>
  <c r="BH17" i="2"/>
  <c r="BI18" i="2"/>
  <c r="BJ11" i="2"/>
  <c r="BI17" i="2"/>
  <c r="AP29" i="2"/>
  <c r="BJ12" i="2"/>
  <c r="BJ90" i="2"/>
  <c r="BJ13" i="2"/>
  <c r="BB29" i="2"/>
  <c r="AS30" i="2"/>
  <c r="AS31" i="2" s="1"/>
  <c r="AS50" i="2" s="1"/>
  <c r="AX29" i="2"/>
  <c r="CD22" i="2"/>
  <c r="CH7" i="2"/>
  <c r="CF22" i="2"/>
  <c r="AU31" i="2"/>
  <c r="AU50" i="2" s="1"/>
  <c r="BS31" i="2"/>
  <c r="D34" i="2"/>
  <c r="BU31" i="2"/>
  <c r="L34" i="2"/>
  <c r="BW31" i="2"/>
  <c r="T34" i="2"/>
  <c r="BY31" i="2"/>
  <c r="AB34" i="2"/>
  <c r="CA31" i="2"/>
  <c r="AJ34" i="2"/>
  <c r="BX31" i="2"/>
  <c r="W34" i="2"/>
  <c r="W51" i="2" s="1"/>
  <c r="BZ31" i="2"/>
  <c r="AE34" i="2"/>
  <c r="AE51" i="2" s="1"/>
  <c r="BZ30" i="2"/>
  <c r="BJ29" i="2"/>
  <c r="CH5" i="2"/>
  <c r="CH4" i="2"/>
  <c r="AM90" i="2"/>
  <c r="CB90" i="2" s="1"/>
  <c r="BG90" i="2"/>
  <c r="AQ90" i="2"/>
  <c r="AS90" i="2"/>
  <c r="AY90" i="2"/>
  <c r="AZ90" i="2"/>
  <c r="BB90" i="2"/>
  <c r="BH34" i="2"/>
  <c r="BI31" i="2"/>
  <c r="BJ8" i="2"/>
  <c r="BJ18" i="2" s="1"/>
  <c r="E36" i="2" l="1"/>
  <c r="E38" i="2" s="1"/>
  <c r="E51" i="2"/>
  <c r="AH36" i="2"/>
  <c r="AH38" i="2" s="1"/>
  <c r="AH51" i="2"/>
  <c r="AI40" i="2"/>
  <c r="AI52" i="2"/>
  <c r="AI85" i="2"/>
  <c r="F36" i="2"/>
  <c r="F38" i="2" s="1"/>
  <c r="F51" i="2"/>
  <c r="AL36" i="2"/>
  <c r="AL38" i="2" s="1"/>
  <c r="AL51" i="2"/>
  <c r="AG36" i="2"/>
  <c r="AG38" i="2" s="1"/>
  <c r="AG51" i="2"/>
  <c r="J36" i="2"/>
  <c r="J38" i="2" s="1"/>
  <c r="J51" i="2"/>
  <c r="K36" i="2"/>
  <c r="K38" i="2" s="1"/>
  <c r="K51" i="2"/>
  <c r="D36" i="2"/>
  <c r="D38" i="2" s="1"/>
  <c r="D51" i="2"/>
  <c r="BJ81" i="2"/>
  <c r="CG76" i="2"/>
  <c r="CG81" i="2" s="1"/>
  <c r="CG29" i="2"/>
  <c r="CG49" i="2" s="1"/>
  <c r="BJ49" i="2"/>
  <c r="I36" i="2"/>
  <c r="I38" i="2" s="1"/>
  <c r="I51" i="2"/>
  <c r="M36" i="2"/>
  <c r="M38" i="2" s="1"/>
  <c r="M51" i="2"/>
  <c r="T36" i="2"/>
  <c r="T38" i="2" s="1"/>
  <c r="T51" i="2"/>
  <c r="CB29" i="2"/>
  <c r="AP49" i="2"/>
  <c r="U36" i="2"/>
  <c r="U38" i="2" s="1"/>
  <c r="U51" i="2"/>
  <c r="Y36" i="2"/>
  <c r="Y38" i="2" s="1"/>
  <c r="Y51" i="2"/>
  <c r="Q36" i="2"/>
  <c r="Q38" i="2" s="1"/>
  <c r="Q51" i="2"/>
  <c r="BH36" i="2"/>
  <c r="BH38" i="2" s="1"/>
  <c r="BH52" i="2" s="1"/>
  <c r="BH51" i="2"/>
  <c r="CE29" i="2"/>
  <c r="BB49" i="2"/>
  <c r="AD36" i="2"/>
  <c r="AD38" i="2" s="1"/>
  <c r="AD51" i="2"/>
  <c r="AB36" i="2"/>
  <c r="AB38" i="2" s="1"/>
  <c r="AB51" i="2"/>
  <c r="X36" i="2"/>
  <c r="X38" i="2" s="1"/>
  <c r="X51" i="2"/>
  <c r="CE90" i="2"/>
  <c r="CC90" i="2"/>
  <c r="N36" i="2"/>
  <c r="N38" i="2" s="1"/>
  <c r="N51" i="2"/>
  <c r="R36" i="2"/>
  <c r="R38" i="2" s="1"/>
  <c r="R51" i="2"/>
  <c r="S36" i="2"/>
  <c r="S38" i="2" s="1"/>
  <c r="BW38" i="2" s="1"/>
  <c r="S51" i="2"/>
  <c r="P36" i="2"/>
  <c r="P38" i="2" s="1"/>
  <c r="P51" i="2"/>
  <c r="C36" i="2"/>
  <c r="C38" i="2" s="1"/>
  <c r="C51" i="2"/>
  <c r="CG90" i="2"/>
  <c r="L36" i="2"/>
  <c r="L38" i="2" s="1"/>
  <c r="L51" i="2"/>
  <c r="CD29" i="2"/>
  <c r="AX49" i="2"/>
  <c r="CF29" i="2"/>
  <c r="BF49" i="2"/>
  <c r="BF81" i="2"/>
  <c r="CF76" i="2"/>
  <c r="AC36" i="2"/>
  <c r="AC38" i="2" s="1"/>
  <c r="AC51" i="2"/>
  <c r="H36" i="2"/>
  <c r="H38" i="2" s="1"/>
  <c r="H51" i="2"/>
  <c r="AJ36" i="2"/>
  <c r="AJ38" i="2" s="1"/>
  <c r="AJ51" i="2"/>
  <c r="AK36" i="2"/>
  <c r="AK38" i="2" s="1"/>
  <c r="AK51" i="2"/>
  <c r="CD90" i="2"/>
  <c r="AX81" i="2"/>
  <c r="CD76" i="2"/>
  <c r="BI34" i="2"/>
  <c r="BI50" i="2"/>
  <c r="CC29" i="2"/>
  <c r="AT49" i="2"/>
  <c r="BB81" i="2"/>
  <c r="CE76" i="2"/>
  <c r="V36" i="2"/>
  <c r="V38" i="2" s="1"/>
  <c r="V51" i="2"/>
  <c r="Z36" i="2"/>
  <c r="Z38" i="2" s="1"/>
  <c r="Z51" i="2"/>
  <c r="AA36" i="2"/>
  <c r="AA38" i="2" s="1"/>
  <c r="AA51" i="2"/>
  <c r="AF36" i="2"/>
  <c r="AF38" i="2" s="1"/>
  <c r="AF51" i="2"/>
  <c r="T288" i="3"/>
  <c r="U287" i="3"/>
  <c r="T272" i="3"/>
  <c r="U273" i="3"/>
  <c r="AX30" i="2"/>
  <c r="AX31" i="2" s="1"/>
  <c r="AX50" i="2" s="1"/>
  <c r="AT30" i="2"/>
  <c r="AT31" i="2" s="1"/>
  <c r="BF30" i="2"/>
  <c r="BF31" i="2" s="1"/>
  <c r="BF50" i="2" s="1"/>
  <c r="BJ16" i="2"/>
  <c r="BB30" i="2"/>
  <c r="BB31" i="2" s="1"/>
  <c r="BB50" i="2" s="1"/>
  <c r="BJ19" i="2"/>
  <c r="AP30" i="2"/>
  <c r="CB30" i="2" s="1"/>
  <c r="BJ17" i="2"/>
  <c r="CA36" i="2"/>
  <c r="CA38" i="2"/>
  <c r="CD31" i="2"/>
  <c r="CD30" i="2"/>
  <c r="BJ30" i="2"/>
  <c r="BJ31" i="2" s="1"/>
  <c r="BJ50" i="2" s="1"/>
  <c r="CH8" i="2"/>
  <c r="BY34" i="2"/>
  <c r="BY38" i="2"/>
  <c r="BW34" i="2"/>
  <c r="BU34" i="2"/>
  <c r="AE36" i="2"/>
  <c r="BZ34" i="2"/>
  <c r="W36" i="2"/>
  <c r="BX34" i="2"/>
  <c r="CA34" i="2"/>
  <c r="O34" i="2"/>
  <c r="O51" i="2" s="1"/>
  <c r="BV31" i="2"/>
  <c r="BS34" i="2"/>
  <c r="G34" i="2"/>
  <c r="G51" i="2" s="1"/>
  <c r="BT31" i="2"/>
  <c r="CA21" i="2"/>
  <c r="BZ21" i="2"/>
  <c r="BY21" i="2"/>
  <c r="BX21" i="2"/>
  <c r="BW21" i="2"/>
  <c r="BV21" i="2"/>
  <c r="BU21" i="2"/>
  <c r="BT21" i="2"/>
  <c r="BS21" i="2"/>
  <c r="CF7" i="2"/>
  <c r="CF6" i="2"/>
  <c r="CF5" i="2"/>
  <c r="CF4" i="2"/>
  <c r="BG8" i="2"/>
  <c r="BE8" i="2"/>
  <c r="BC8" i="2"/>
  <c r="CE8" i="2"/>
  <c r="BD8" i="2"/>
  <c r="BT3" i="2"/>
  <c r="BU3" i="2" s="1"/>
  <c r="BV3" i="2" s="1"/>
  <c r="BW3" i="2" s="1"/>
  <c r="BX3" i="2" s="1"/>
  <c r="BY3" i="2" s="1"/>
  <c r="BV94" i="2" l="1"/>
  <c r="BV92" i="2"/>
  <c r="BV93" i="2"/>
  <c r="BI36" i="2"/>
  <c r="BI38" i="2" s="1"/>
  <c r="BI51" i="2"/>
  <c r="N40" i="2"/>
  <c r="N85" i="2"/>
  <c r="N52" i="2"/>
  <c r="M40" i="2"/>
  <c r="M52" i="2"/>
  <c r="M85" i="2"/>
  <c r="F40" i="2"/>
  <c r="F85" i="2"/>
  <c r="F52" i="2"/>
  <c r="E40" i="2"/>
  <c r="E52" i="2"/>
  <c r="E85" i="2"/>
  <c r="BW92" i="2"/>
  <c r="BW94" i="2"/>
  <c r="BW93" i="2"/>
  <c r="CC30" i="2"/>
  <c r="V40" i="2"/>
  <c r="V85" i="2"/>
  <c r="V52" i="2"/>
  <c r="AJ40" i="2"/>
  <c r="AJ52" i="2"/>
  <c r="AJ85" i="2"/>
  <c r="CA85" i="2" s="1"/>
  <c r="AB40" i="2"/>
  <c r="AB52" i="2"/>
  <c r="AB85" i="2"/>
  <c r="U40" i="2"/>
  <c r="U52" i="2"/>
  <c r="U85" i="2"/>
  <c r="J40" i="2"/>
  <c r="J85" i="2"/>
  <c r="J52" i="2"/>
  <c r="S40" i="2"/>
  <c r="S52" i="2"/>
  <c r="S85" i="2"/>
  <c r="BX92" i="2"/>
  <c r="BX94" i="2"/>
  <c r="BX93" i="2"/>
  <c r="D40" i="2"/>
  <c r="BS40" i="2" s="1"/>
  <c r="D52" i="2"/>
  <c r="D85" i="2"/>
  <c r="BW36" i="2"/>
  <c r="BY36" i="2"/>
  <c r="BS38" i="2"/>
  <c r="BH82" i="2"/>
  <c r="H40" i="2"/>
  <c r="H85" i="2"/>
  <c r="H52" i="2"/>
  <c r="C40" i="2"/>
  <c r="C52" i="2"/>
  <c r="C85" i="2"/>
  <c r="AD40" i="2"/>
  <c r="AD85" i="2"/>
  <c r="AD52" i="2"/>
  <c r="AG40" i="2"/>
  <c r="AG85" i="2"/>
  <c r="AG52" i="2"/>
  <c r="BU38" i="2"/>
  <c r="AA40" i="2"/>
  <c r="AA52" i="2"/>
  <c r="AA85" i="2"/>
  <c r="BY85" i="2" s="1"/>
  <c r="I40" i="2"/>
  <c r="I85" i="2"/>
  <c r="I52" i="2"/>
  <c r="BY94" i="2"/>
  <c r="BY92" i="2"/>
  <c r="BY93" i="2"/>
  <c r="BZ94" i="2"/>
  <c r="BZ92" i="2"/>
  <c r="BZ93" i="2"/>
  <c r="BS36" i="2"/>
  <c r="BH83" i="2"/>
  <c r="R40" i="2"/>
  <c r="R85" i="2"/>
  <c r="R52" i="2"/>
  <c r="Q40" i="2"/>
  <c r="Q85" i="2"/>
  <c r="Q52" i="2"/>
  <c r="CC31" i="2"/>
  <c r="AT50" i="2"/>
  <c r="Z40" i="2"/>
  <c r="Z85" i="2"/>
  <c r="Z52" i="2"/>
  <c r="P40" i="2"/>
  <c r="P85" i="2"/>
  <c r="P52" i="2"/>
  <c r="BT94" i="2"/>
  <c r="BT92" i="2"/>
  <c r="BT93" i="2"/>
  <c r="X40" i="2"/>
  <c r="X85" i="2"/>
  <c r="X52" i="2"/>
  <c r="Y40" i="2"/>
  <c r="Y85" i="2"/>
  <c r="Y52" i="2"/>
  <c r="T40" i="2"/>
  <c r="BW40" i="2" s="1"/>
  <c r="T52" i="2"/>
  <c r="T85" i="2"/>
  <c r="AL40" i="2"/>
  <c r="AL85" i="2"/>
  <c r="AL52" i="2"/>
  <c r="AH40" i="2"/>
  <c r="AH85" i="2"/>
  <c r="AH52" i="2"/>
  <c r="BS92" i="2"/>
  <c r="BS94" i="2"/>
  <c r="BS93" i="2"/>
  <c r="CA92" i="2"/>
  <c r="CA94" i="2"/>
  <c r="CA93" i="2"/>
  <c r="BH85" i="2"/>
  <c r="BU94" i="2"/>
  <c r="BU92" i="2"/>
  <c r="BU93" i="2"/>
  <c r="BH40" i="2"/>
  <c r="BU36" i="2"/>
  <c r="AF40" i="2"/>
  <c r="AF85" i="2"/>
  <c r="AF52" i="2"/>
  <c r="AK40" i="2"/>
  <c r="AK52" i="2"/>
  <c r="AK85" i="2"/>
  <c r="AC40" i="2"/>
  <c r="AC52" i="2"/>
  <c r="AC85" i="2"/>
  <c r="L40" i="2"/>
  <c r="L52" i="2"/>
  <c r="L85" i="2"/>
  <c r="K40" i="2"/>
  <c r="K52" i="2"/>
  <c r="K85" i="2"/>
  <c r="U288" i="3"/>
  <c r="T289" i="3"/>
  <c r="U272" i="3"/>
  <c r="T271" i="3"/>
  <c r="BG14" i="2"/>
  <c r="BC16" i="2"/>
  <c r="BC17" i="2"/>
  <c r="BC18" i="2"/>
  <c r="BC19" i="2"/>
  <c r="CG8" i="2"/>
  <c r="CH14" i="2" s="1"/>
  <c r="BG19" i="2"/>
  <c r="BG18" i="2"/>
  <c r="BG16" i="2"/>
  <c r="BG17" i="2"/>
  <c r="CG12" i="2"/>
  <c r="CF12" i="2"/>
  <c r="BE17" i="2"/>
  <c r="BE18" i="2"/>
  <c r="BE19" i="2"/>
  <c r="BE16" i="2"/>
  <c r="BI14" i="2"/>
  <c r="CG10" i="2"/>
  <c r="CF10" i="2"/>
  <c r="CG11" i="2"/>
  <c r="CF11" i="2"/>
  <c r="AP31" i="2"/>
  <c r="BD16" i="2"/>
  <c r="BD17" i="2"/>
  <c r="BD18" i="2"/>
  <c r="BD19" i="2"/>
  <c r="BH14" i="2"/>
  <c r="CG13" i="2"/>
  <c r="CF13" i="2"/>
  <c r="CE19" i="2"/>
  <c r="CE17" i="2"/>
  <c r="CE16" i="2"/>
  <c r="CE18" i="2"/>
  <c r="CH21" i="2"/>
  <c r="G36" i="2"/>
  <c r="BT34" i="2"/>
  <c r="AE38" i="2"/>
  <c r="BZ36" i="2"/>
  <c r="W38" i="2"/>
  <c r="BX36" i="2"/>
  <c r="O36" i="2"/>
  <c r="BV34" i="2"/>
  <c r="CG30" i="2"/>
  <c r="BE34" i="2"/>
  <c r="BG34" i="2"/>
  <c r="BF8" i="2"/>
  <c r="BZ3" i="2"/>
  <c r="CA3" i="2" s="1"/>
  <c r="CB3" i="2" s="1"/>
  <c r="CC3" i="2" s="1"/>
  <c r="CD3" i="2" s="1"/>
  <c r="CE3" i="2" s="1"/>
  <c r="CF3" i="2" s="1"/>
  <c r="BS85" i="2" l="1"/>
  <c r="CA40" i="2"/>
  <c r="BW85" i="2"/>
  <c r="W85" i="2"/>
  <c r="BX85" i="2" s="1"/>
  <c r="W52" i="2"/>
  <c r="BU40" i="2"/>
  <c r="CB31" i="2"/>
  <c r="AP50" i="2"/>
  <c r="BG36" i="2"/>
  <c r="BG38" i="2" s="1"/>
  <c r="BG52" i="2" s="1"/>
  <c r="BG51" i="2"/>
  <c r="AE85" i="2"/>
  <c r="BZ85" i="2" s="1"/>
  <c r="AE52" i="2"/>
  <c r="BE36" i="2"/>
  <c r="BE38" i="2" s="1"/>
  <c r="BE52" i="2" s="1"/>
  <c r="BE51" i="2"/>
  <c r="BU85" i="2"/>
  <c r="BY40" i="2"/>
  <c r="BI52" i="2"/>
  <c r="BI82" i="2"/>
  <c r="BI83" i="2"/>
  <c r="BI85" i="2"/>
  <c r="BI40" i="2"/>
  <c r="CH29" i="2"/>
  <c r="CH27" i="2"/>
  <c r="CH26" i="2"/>
  <c r="CH25" i="2"/>
  <c r="CH23" i="2"/>
  <c r="CH28" i="2"/>
  <c r="CH24" i="2"/>
  <c r="CH22" i="2"/>
  <c r="T270" i="3"/>
  <c r="U271" i="3"/>
  <c r="T290" i="3"/>
  <c r="U289" i="3"/>
  <c r="BE83" i="2"/>
  <c r="BG82" i="2"/>
  <c r="CG19" i="2"/>
  <c r="CG18" i="2"/>
  <c r="CG17" i="2"/>
  <c r="CG16" i="2"/>
  <c r="CF8" i="2"/>
  <c r="BF17" i="2"/>
  <c r="BF18" i="2"/>
  <c r="BF16" i="2"/>
  <c r="BF19" i="2"/>
  <c r="BJ14" i="2"/>
  <c r="CG3" i="2"/>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O38" i="2"/>
  <c r="BV36" i="2"/>
  <c r="W40" i="2"/>
  <c r="BX40" i="2" s="1"/>
  <c r="BX38" i="2"/>
  <c r="AE40" i="2"/>
  <c r="BZ40" i="2" s="1"/>
  <c r="BZ38" i="2"/>
  <c r="G38" i="2"/>
  <c r="BT36" i="2"/>
  <c r="BJ34" i="2"/>
  <c r="BJ51" i="2" s="1"/>
  <c r="CG31" i="2"/>
  <c r="CG50" i="2" s="1"/>
  <c r="BG40" i="2"/>
  <c r="O85" i="2" l="1"/>
  <c r="BV85" i="2" s="1"/>
  <c r="O52" i="2"/>
  <c r="G85" i="2"/>
  <c r="BT85" i="2" s="1"/>
  <c r="G52" i="2"/>
  <c r="BG85" i="2"/>
  <c r="BE85" i="2"/>
  <c r="BG83" i="2"/>
  <c r="BE40" i="2"/>
  <c r="BE82" i="2"/>
  <c r="CH30" i="2"/>
  <c r="CH31" i="2" s="1"/>
  <c r="CH34" i="2" s="1"/>
  <c r="CH35" i="2" s="1"/>
  <c r="CH36" i="2" s="1"/>
  <c r="CH38" i="2" s="1"/>
  <c r="CH54" i="2" s="1"/>
  <c r="CI33" i="2" s="1"/>
  <c r="U270" i="3"/>
  <c r="T269" i="3"/>
  <c r="U290" i="3"/>
  <c r="T291" i="3"/>
  <c r="CG14" i="2"/>
  <c r="CF14" i="2"/>
  <c r="CF18" i="2"/>
  <c r="CF19" i="2"/>
  <c r="CF16" i="2"/>
  <c r="CF17" i="2"/>
  <c r="G40" i="2"/>
  <c r="BT40" i="2" s="1"/>
  <c r="BT38" i="2"/>
  <c r="O40" i="2"/>
  <c r="BV40" i="2" s="1"/>
  <c r="BV38" i="2"/>
  <c r="BJ36" i="2"/>
  <c r="CG34" i="2"/>
  <c r="CG51" i="2" s="1"/>
  <c r="DZ3" i="2"/>
  <c r="EA3" i="2" s="1"/>
  <c r="EB3" i="2" s="1"/>
  <c r="EC3" i="2" s="1"/>
  <c r="ED3" i="2" s="1"/>
  <c r="EE3" i="2" s="1"/>
  <c r="EF3" i="2" s="1"/>
  <c r="CV72" i="2" l="1"/>
  <c r="CV73" i="2" s="1"/>
  <c r="CX56" i="2"/>
  <c r="T292" i="3"/>
  <c r="U291" i="3"/>
  <c r="T268" i="3"/>
  <c r="U269" i="3"/>
  <c r="BJ38" i="2"/>
  <c r="BJ52" i="2" s="1"/>
  <c r="CG36" i="2"/>
  <c r="CD54" i="2"/>
  <c r="CE54" i="2"/>
  <c r="CF54" i="2"/>
  <c r="CI7" i="2"/>
  <c r="CJ7" i="2" s="1"/>
  <c r="CK7" i="2" s="1"/>
  <c r="CL7" i="2" s="1"/>
  <c r="CM7" i="2" s="1"/>
  <c r="CN7" i="2" s="1"/>
  <c r="CO7" i="2" s="1"/>
  <c r="CP7" i="2" s="1"/>
  <c r="CQ7" i="2" s="1"/>
  <c r="CI5" i="2"/>
  <c r="CJ5" i="2" s="1"/>
  <c r="CK5" i="2" s="1"/>
  <c r="CL5" i="2" s="1"/>
  <c r="CM5" i="2" s="1"/>
  <c r="CN5" i="2" s="1"/>
  <c r="CO5" i="2" s="1"/>
  <c r="CP5" i="2" s="1"/>
  <c r="CQ5" i="2" s="1"/>
  <c r="CI4" i="2"/>
  <c r="CJ4" i="2" s="1"/>
  <c r="CK4" i="2" s="1"/>
  <c r="CL4" i="2" s="1"/>
  <c r="CM4" i="2" s="1"/>
  <c r="CN4" i="2" s="1"/>
  <c r="CO4" i="2" s="1"/>
  <c r="CP4" i="2" s="1"/>
  <c r="CQ4" i="2" s="1"/>
  <c r="EG3" i="2"/>
  <c r="EH3" i="2" s="1"/>
  <c r="EI3" i="2" s="1"/>
  <c r="EJ3" i="2" s="1"/>
  <c r="EK3" i="2" s="1"/>
  <c r="EL3" i="2" s="1"/>
  <c r="EM3" i="2" s="1"/>
  <c r="EN3" i="2" s="1"/>
  <c r="EO3" i="2" s="1"/>
  <c r="C5" i="1"/>
  <c r="C8" i="1" l="1"/>
  <c r="CV59" i="2"/>
  <c r="CF79" i="2"/>
  <c r="CF78" i="2"/>
  <c r="CS56" i="2"/>
  <c r="CV56" i="2" s="1"/>
  <c r="CX57" i="2" s="1"/>
  <c r="CD79" i="2"/>
  <c r="CD78" i="2"/>
  <c r="CE79" i="2"/>
  <c r="CE78" i="2"/>
  <c r="U292" i="3"/>
  <c r="T293" i="3"/>
  <c r="U268" i="3"/>
  <c r="T267" i="3"/>
  <c r="BJ82" i="2"/>
  <c r="BJ83" i="2"/>
  <c r="CG38" i="2"/>
  <c r="BJ40" i="2"/>
  <c r="CG40" i="2" s="1"/>
  <c r="BJ85" i="2"/>
  <c r="CG85" i="2" s="1"/>
  <c r="AN34" i="2"/>
  <c r="AV34" i="2"/>
  <c r="BD34" i="2"/>
  <c r="AO34" i="2"/>
  <c r="AW34" i="2"/>
  <c r="BC34" i="2"/>
  <c r="AX34" i="2"/>
  <c r="AQ34" i="2"/>
  <c r="AQ51" i="2" s="1"/>
  <c r="AY34" i="2"/>
  <c r="AU34" i="2"/>
  <c r="AU51" i="2" s="1"/>
  <c r="AR34" i="2"/>
  <c r="AZ34" i="2"/>
  <c r="AT34" i="2"/>
  <c r="AM34" i="2"/>
  <c r="AM51" i="2" s="1"/>
  <c r="AP34" i="2"/>
  <c r="AS34" i="2"/>
  <c r="BA34" i="2"/>
  <c r="CC21" i="2"/>
  <c r="CE21" i="2"/>
  <c r="CB21" i="2"/>
  <c r="CD21" i="2"/>
  <c r="CF21" i="2"/>
  <c r="CI6" i="2"/>
  <c r="CJ6" i="2" s="1"/>
  <c r="CK6" i="2" s="1"/>
  <c r="CL6" i="2" s="1"/>
  <c r="CM6" i="2" s="1"/>
  <c r="CN6" i="2" s="1"/>
  <c r="CO6" i="2" s="1"/>
  <c r="CP6" i="2" s="1"/>
  <c r="CQ6" i="2" s="1"/>
  <c r="CQ8" i="2" s="1"/>
  <c r="CQ21" i="2" s="1"/>
  <c r="CV61" i="2" l="1"/>
  <c r="CV60" i="2"/>
  <c r="AP36" i="2"/>
  <c r="AP38" i="2" s="1"/>
  <c r="AP52" i="2" s="1"/>
  <c r="AP51" i="2"/>
  <c r="AX36" i="2"/>
  <c r="AX38" i="2" s="1"/>
  <c r="AX52" i="2" s="1"/>
  <c r="AX51" i="2"/>
  <c r="CD81" i="2"/>
  <c r="CD80" i="2"/>
  <c r="CD94" i="2"/>
  <c r="CD92" i="2"/>
  <c r="CD45" i="2"/>
  <c r="CD47" i="2"/>
  <c r="CD93" i="2"/>
  <c r="CD44" i="2"/>
  <c r="CD42" i="2"/>
  <c r="CD43" i="2"/>
  <c r="CD46" i="2"/>
  <c r="CD48" i="2"/>
  <c r="CD50" i="2"/>
  <c r="CD49" i="2"/>
  <c r="AW36" i="2"/>
  <c r="AW38" i="2" s="1"/>
  <c r="AW52" i="2" s="1"/>
  <c r="AW51" i="2"/>
  <c r="CB94" i="2"/>
  <c r="CB92" i="2"/>
  <c r="CB93" i="2"/>
  <c r="AO36" i="2"/>
  <c r="AO38" i="2" s="1"/>
  <c r="AO52" i="2" s="1"/>
  <c r="AO51" i="2"/>
  <c r="CF92" i="2"/>
  <c r="CF81" i="2"/>
  <c r="CF80" i="2"/>
  <c r="CF94" i="2"/>
  <c r="CF93" i="2"/>
  <c r="CF48" i="2"/>
  <c r="CF46" i="2"/>
  <c r="CF42" i="2"/>
  <c r="CF45" i="2"/>
  <c r="CF43" i="2"/>
  <c r="CF44" i="2"/>
  <c r="CF47" i="2"/>
  <c r="CF49" i="2"/>
  <c r="AT36" i="2"/>
  <c r="AT38" i="2" s="1"/>
  <c r="AT52" i="2" s="1"/>
  <c r="AT51" i="2"/>
  <c r="CE81" i="2"/>
  <c r="CE80" i="2"/>
  <c r="CE94" i="2"/>
  <c r="CE92" i="2"/>
  <c r="CE43" i="2"/>
  <c r="CE48" i="2"/>
  <c r="CE93" i="2"/>
  <c r="CE47" i="2"/>
  <c r="CE44" i="2"/>
  <c r="CE42" i="2"/>
  <c r="CE45" i="2"/>
  <c r="CE46" i="2"/>
  <c r="CE49" i="2"/>
  <c r="AR36" i="2"/>
  <c r="AR38" i="2" s="1"/>
  <c r="AR52" i="2" s="1"/>
  <c r="AR51" i="2"/>
  <c r="BD36" i="2"/>
  <c r="BD38" i="2" s="1"/>
  <c r="BD52" i="2" s="1"/>
  <c r="BD51" i="2"/>
  <c r="BC36" i="2"/>
  <c r="BC38" i="2" s="1"/>
  <c r="BC52" i="2" s="1"/>
  <c r="BC51" i="2"/>
  <c r="AV36" i="2"/>
  <c r="AV38" i="2" s="1"/>
  <c r="AV52" i="2" s="1"/>
  <c r="AV51" i="2"/>
  <c r="CG83" i="2"/>
  <c r="CG52" i="2"/>
  <c r="CG82" i="2"/>
  <c r="AZ36" i="2"/>
  <c r="AZ38" i="2" s="1"/>
  <c r="AZ52" i="2" s="1"/>
  <c r="AZ51" i="2"/>
  <c r="AN36" i="2"/>
  <c r="AN38" i="2" s="1"/>
  <c r="AN52" i="2" s="1"/>
  <c r="AN51" i="2"/>
  <c r="CC94" i="2"/>
  <c r="CC92" i="2"/>
  <c r="CC93" i="2"/>
  <c r="BA36" i="2"/>
  <c r="BA38" i="2" s="1"/>
  <c r="BA52" i="2" s="1"/>
  <c r="BA51" i="2"/>
  <c r="AY36" i="2"/>
  <c r="AY38" i="2" s="1"/>
  <c r="AY52" i="2" s="1"/>
  <c r="AY51" i="2"/>
  <c r="AS36" i="2"/>
  <c r="AS38" i="2" s="1"/>
  <c r="AS52" i="2" s="1"/>
  <c r="AS51" i="2"/>
  <c r="CQ27" i="2"/>
  <c r="CQ24" i="2"/>
  <c r="CQ23" i="2"/>
  <c r="CQ22" i="2"/>
  <c r="CQ28" i="2"/>
  <c r="CQ26" i="2"/>
  <c r="CQ25" i="2"/>
  <c r="CQ29" i="2"/>
  <c r="T266" i="3"/>
  <c r="U267" i="3"/>
  <c r="T294" i="3"/>
  <c r="U293" i="3"/>
  <c r="BD82" i="2"/>
  <c r="BD83" i="2"/>
  <c r="BA82" i="2"/>
  <c r="AY83" i="2"/>
  <c r="AY82" i="2"/>
  <c r="AX82" i="2"/>
  <c r="AZ83" i="2"/>
  <c r="AZ82" i="2"/>
  <c r="AU36" i="2"/>
  <c r="CD34" i="2"/>
  <c r="CD51" i="2" s="1"/>
  <c r="AQ36" i="2"/>
  <c r="CC34" i="2"/>
  <c r="AM36" i="2"/>
  <c r="CB34" i="2"/>
  <c r="CE30" i="2"/>
  <c r="CF30" i="2"/>
  <c r="BC40" i="2"/>
  <c r="BC85" i="2"/>
  <c r="AP40" i="2"/>
  <c r="AP85" i="2"/>
  <c r="AV40" i="2"/>
  <c r="AV85" i="2"/>
  <c r="AZ40" i="2"/>
  <c r="AZ85" i="2"/>
  <c r="AS40" i="2"/>
  <c r="AS85" i="2"/>
  <c r="AX85" i="2"/>
  <c r="AT85" i="2"/>
  <c r="AO40" i="2"/>
  <c r="AO85" i="2"/>
  <c r="BA40" i="2"/>
  <c r="BA85" i="2"/>
  <c r="AY40" i="2"/>
  <c r="BD40" i="2"/>
  <c r="BD85" i="2"/>
  <c r="CM8" i="2"/>
  <c r="CM21" i="2" s="1"/>
  <c r="CN8" i="2"/>
  <c r="CN21" i="2" s="1"/>
  <c r="CP8" i="2"/>
  <c r="CP21" i="2" s="1"/>
  <c r="CJ8" i="2"/>
  <c r="CJ21" i="2" s="1"/>
  <c r="CO8" i="2"/>
  <c r="CO21" i="2" s="1"/>
  <c r="CK8" i="2"/>
  <c r="CK21" i="2" s="1"/>
  <c r="CI8" i="2"/>
  <c r="CI21" i="2" s="1"/>
  <c r="CL8" i="2"/>
  <c r="CL21" i="2" s="1"/>
  <c r="CV75" i="2" l="1"/>
  <c r="AX40" i="2"/>
  <c r="AX83" i="2"/>
  <c r="AN40" i="2"/>
  <c r="AR40" i="2"/>
  <c r="BC82" i="2"/>
  <c r="AY85" i="2"/>
  <c r="AW85" i="2"/>
  <c r="BA83" i="2"/>
  <c r="AW40" i="2"/>
  <c r="AT40" i="2"/>
  <c r="AN85" i="2"/>
  <c r="AR85" i="2"/>
  <c r="BC83" i="2"/>
  <c r="CJ26" i="2"/>
  <c r="CJ25" i="2"/>
  <c r="CJ23" i="2"/>
  <c r="CJ22" i="2"/>
  <c r="CJ27" i="2"/>
  <c r="CJ24" i="2"/>
  <c r="CJ29" i="2"/>
  <c r="CJ28" i="2"/>
  <c r="CN22" i="2"/>
  <c r="CN29" i="2"/>
  <c r="CN27" i="2"/>
  <c r="CN26" i="2"/>
  <c r="CN25" i="2"/>
  <c r="CN23" i="2"/>
  <c r="CN28" i="2"/>
  <c r="CN24" i="2"/>
  <c r="CM23" i="2"/>
  <c r="CM29" i="2"/>
  <c r="CM28" i="2"/>
  <c r="CM27" i="2"/>
  <c r="CM26" i="2"/>
  <c r="CM25" i="2"/>
  <c r="CM24" i="2"/>
  <c r="CM22" i="2"/>
  <c r="CL24" i="2"/>
  <c r="CL22" i="2"/>
  <c r="CL29" i="2"/>
  <c r="CL28" i="2"/>
  <c r="CL25" i="2"/>
  <c r="CL23" i="2"/>
  <c r="CL27" i="2"/>
  <c r="CL26" i="2"/>
  <c r="CQ30" i="2"/>
  <c r="CQ31" i="2" s="1"/>
  <c r="CQ50" i="2" s="1"/>
  <c r="CO29" i="2"/>
  <c r="CO26" i="2"/>
  <c r="CO25" i="2"/>
  <c r="CO22" i="2"/>
  <c r="CO28" i="2"/>
  <c r="CO24" i="2"/>
  <c r="CO23" i="2"/>
  <c r="CO27" i="2"/>
  <c r="CP28" i="2"/>
  <c r="CP27" i="2"/>
  <c r="CP25" i="2"/>
  <c r="CP24" i="2"/>
  <c r="CP26" i="2"/>
  <c r="CP23" i="2"/>
  <c r="CP22" i="2"/>
  <c r="CP29" i="2"/>
  <c r="CI27" i="2"/>
  <c r="CI25" i="2"/>
  <c r="CI24" i="2"/>
  <c r="CI23" i="2"/>
  <c r="CI22" i="2"/>
  <c r="CI29" i="2"/>
  <c r="CI28" i="2"/>
  <c r="CI26" i="2"/>
  <c r="CK25" i="2"/>
  <c r="CK22" i="2"/>
  <c r="CK29" i="2"/>
  <c r="CK28" i="2"/>
  <c r="CK24" i="2"/>
  <c r="CK27" i="2"/>
  <c r="CK26" i="2"/>
  <c r="CK23" i="2"/>
  <c r="U266" i="3"/>
  <c r="T265" i="3"/>
  <c r="U294" i="3"/>
  <c r="T295" i="3"/>
  <c r="AQ38" i="2"/>
  <c r="AQ52" i="2" s="1"/>
  <c r="CC36" i="2"/>
  <c r="AM38" i="2"/>
  <c r="AM52" i="2" s="1"/>
  <c r="CB36" i="2"/>
  <c r="AU38" i="2"/>
  <c r="AU52" i="2" s="1"/>
  <c r="CD36" i="2"/>
  <c r="BB34" i="2"/>
  <c r="BB51" i="2" s="1"/>
  <c r="CE31" i="2"/>
  <c r="CE50" i="2" s="1"/>
  <c r="BF34" i="2"/>
  <c r="BF51" i="2" s="1"/>
  <c r="CF31" i="2"/>
  <c r="CF50" i="2" s="1"/>
  <c r="CN14" i="2"/>
  <c r="CO14" i="2"/>
  <c r="CJ14" i="2"/>
  <c r="CL14" i="2"/>
  <c r="CM14" i="2"/>
  <c r="CP14" i="2"/>
  <c r="CI14" i="2"/>
  <c r="CK14" i="2"/>
  <c r="CQ14" i="2"/>
  <c r="CI30" i="2" l="1"/>
  <c r="CI31" i="2" s="1"/>
  <c r="CI50" i="2" s="1"/>
  <c r="CK30" i="2"/>
  <c r="CK31" i="2" s="1"/>
  <c r="CK50" i="2" s="1"/>
  <c r="CJ30" i="2"/>
  <c r="CJ31" i="2" s="1"/>
  <c r="CJ50" i="2" s="1"/>
  <c r="CO30" i="2"/>
  <c r="CO31" i="2" s="1"/>
  <c r="CO50" i="2" s="1"/>
  <c r="CP30" i="2"/>
  <c r="CP31" i="2" s="1"/>
  <c r="CP50" i="2" s="1"/>
  <c r="CL30" i="2"/>
  <c r="CL31" i="2" s="1"/>
  <c r="CL50" i="2" s="1"/>
  <c r="CM30" i="2"/>
  <c r="CM31" i="2" s="1"/>
  <c r="CM50" i="2" s="1"/>
  <c r="CN30" i="2"/>
  <c r="CN31" i="2" s="1"/>
  <c r="CN50" i="2" s="1"/>
  <c r="T296" i="3"/>
  <c r="U295" i="3"/>
  <c r="T264" i="3"/>
  <c r="U265" i="3"/>
  <c r="CD38" i="2"/>
  <c r="AU40" i="2"/>
  <c r="CD40" i="2" s="1"/>
  <c r="AU85" i="2"/>
  <c r="CD85" i="2" s="1"/>
  <c r="CB38" i="2"/>
  <c r="AM40" i="2"/>
  <c r="CB40" i="2" s="1"/>
  <c r="AM85" i="2"/>
  <c r="CB85" i="2" s="1"/>
  <c r="CC38" i="2"/>
  <c r="AQ85" i="2"/>
  <c r="CC85" i="2" s="1"/>
  <c r="AQ40" i="2"/>
  <c r="CC40" i="2" s="1"/>
  <c r="BB36" i="2"/>
  <c r="CE34" i="2"/>
  <c r="CE51" i="2" s="1"/>
  <c r="BF36" i="2"/>
  <c r="CF34" i="2"/>
  <c r="CF51" i="2" s="1"/>
  <c r="CD83" i="2" l="1"/>
  <c r="CD52" i="2"/>
  <c r="CD82" i="2"/>
  <c r="U264" i="3"/>
  <c r="T263" i="3"/>
  <c r="U296" i="3"/>
  <c r="T297" i="3"/>
  <c r="BB38" i="2"/>
  <c r="BB52" i="2" s="1"/>
  <c r="CE36" i="2"/>
  <c r="BF38" i="2"/>
  <c r="BF52" i="2" s="1"/>
  <c r="CF36" i="2"/>
  <c r="T262" i="3" l="1"/>
  <c r="U263" i="3"/>
  <c r="T298" i="3"/>
  <c r="U297" i="3"/>
  <c r="BF83" i="2"/>
  <c r="BF82" i="2"/>
  <c r="BB82" i="2"/>
  <c r="BB83" i="2"/>
  <c r="CE38" i="2"/>
  <c r="BB85" i="2"/>
  <c r="CE85" i="2" s="1"/>
  <c r="BB40" i="2"/>
  <c r="CE40" i="2" s="1"/>
  <c r="CF38" i="2"/>
  <c r="BF40" i="2"/>
  <c r="CF40" i="2" s="1"/>
  <c r="BF85" i="2"/>
  <c r="CF85" i="2" s="1"/>
  <c r="CE52" i="2" l="1"/>
  <c r="CE83" i="2"/>
  <c r="CE82" i="2"/>
  <c r="CF83" i="2"/>
  <c r="CF52" i="2"/>
  <c r="CF82" i="2"/>
  <c r="U298" i="3"/>
  <c r="T299" i="3"/>
  <c r="U262" i="3"/>
  <c r="T261" i="3"/>
  <c r="U299" i="3" l="1"/>
  <c r="T300" i="3"/>
  <c r="T260" i="3"/>
  <c r="U261" i="3"/>
  <c r="U300" i="3" l="1"/>
  <c r="T301" i="3"/>
  <c r="U260" i="3"/>
  <c r="T259" i="3"/>
  <c r="T258" i="3" l="1"/>
  <c r="U259" i="3"/>
  <c r="T302" i="3"/>
  <c r="U301" i="3"/>
  <c r="U302" i="3" l="1"/>
  <c r="T303" i="3"/>
  <c r="U258" i="3"/>
  <c r="T257" i="3"/>
  <c r="T256" i="3" l="1"/>
  <c r="U257" i="3"/>
  <c r="T304" i="3"/>
  <c r="U303" i="3"/>
  <c r="U304" i="3" l="1"/>
  <c r="T305" i="3"/>
  <c r="U256" i="3"/>
  <c r="T255" i="3"/>
  <c r="T254" i="3" l="1"/>
  <c r="U255" i="3"/>
  <c r="T306" i="3"/>
  <c r="U305" i="3"/>
  <c r="U306" i="3" l="1"/>
  <c r="T307" i="3"/>
  <c r="U254" i="3"/>
  <c r="T253" i="3"/>
  <c r="T252" i="3" l="1"/>
  <c r="U253" i="3"/>
  <c r="T308" i="3"/>
  <c r="U307" i="3"/>
  <c r="U308" i="3" l="1"/>
  <c r="T309" i="3"/>
  <c r="U252" i="3"/>
  <c r="T251" i="3"/>
  <c r="T250" i="3" l="1"/>
  <c r="U251" i="3"/>
  <c r="T310" i="3"/>
  <c r="U309" i="3"/>
  <c r="U310" i="3" l="1"/>
  <c r="T311" i="3"/>
  <c r="U250" i="3"/>
  <c r="T249" i="3"/>
  <c r="T248" i="3" l="1"/>
  <c r="U249" i="3"/>
  <c r="T312" i="3"/>
  <c r="U311" i="3"/>
  <c r="U312" i="3" l="1"/>
  <c r="T313" i="3"/>
  <c r="U248" i="3"/>
  <c r="T247" i="3"/>
  <c r="T314" i="3" l="1"/>
  <c r="U313" i="3"/>
  <c r="T246" i="3"/>
  <c r="U247" i="3"/>
  <c r="U246" i="3" l="1"/>
  <c r="T245" i="3"/>
  <c r="U314" i="3"/>
  <c r="T315" i="3"/>
  <c r="T316" i="3" l="1"/>
  <c r="U315" i="3"/>
  <c r="T244" i="3"/>
  <c r="U245" i="3"/>
  <c r="U244" i="3" l="1"/>
  <c r="T243" i="3"/>
  <c r="U316" i="3"/>
  <c r="T317" i="3"/>
  <c r="T318" i="3" l="1"/>
  <c r="U317" i="3"/>
  <c r="T242" i="3"/>
  <c r="U243" i="3"/>
  <c r="U242" i="3" l="1"/>
  <c r="T241" i="3"/>
  <c r="U318" i="3"/>
  <c r="T319" i="3"/>
  <c r="T320" i="3" l="1"/>
  <c r="U319" i="3"/>
  <c r="T240" i="3"/>
  <c r="U241" i="3"/>
  <c r="U240" i="3" l="1"/>
  <c r="T239" i="3"/>
  <c r="U320" i="3"/>
  <c r="T321" i="3"/>
  <c r="T322" i="3" l="1"/>
  <c r="U321" i="3"/>
  <c r="T238" i="3"/>
  <c r="U239" i="3"/>
  <c r="U322" i="3" l="1"/>
  <c r="T323" i="3"/>
  <c r="U238" i="3"/>
  <c r="T237" i="3"/>
  <c r="T236" i="3" l="1"/>
  <c r="U237" i="3"/>
  <c r="T324" i="3"/>
  <c r="U323" i="3"/>
  <c r="U236" i="3" l="1"/>
  <c r="T235" i="3"/>
  <c r="U324" i="3"/>
  <c r="T325" i="3"/>
  <c r="T326" i="3" l="1"/>
  <c r="U325" i="3"/>
  <c r="T234" i="3"/>
  <c r="U235" i="3"/>
  <c r="U326" i="3" l="1"/>
  <c r="T327" i="3"/>
  <c r="U234" i="3"/>
  <c r="T233" i="3"/>
  <c r="T232" i="3" l="1"/>
  <c r="U233" i="3"/>
  <c r="T328" i="3"/>
  <c r="U327" i="3"/>
  <c r="U328" i="3" l="1"/>
  <c r="T329" i="3"/>
  <c r="U232" i="3"/>
  <c r="T231" i="3"/>
  <c r="T330" i="3" l="1"/>
  <c r="U329" i="3"/>
  <c r="T230" i="3"/>
  <c r="U231" i="3"/>
  <c r="U330" i="3" l="1"/>
  <c r="T331" i="3"/>
  <c r="U230" i="3"/>
  <c r="T229" i="3"/>
  <c r="T332" i="3" l="1"/>
  <c r="U331" i="3"/>
  <c r="T228" i="3"/>
  <c r="U229" i="3"/>
  <c r="U228" i="3" l="1"/>
  <c r="T227" i="3"/>
  <c r="U332" i="3"/>
  <c r="T333" i="3"/>
  <c r="T334" i="3" l="1"/>
  <c r="U333" i="3"/>
  <c r="T226" i="3"/>
  <c r="U227" i="3"/>
  <c r="U226" i="3" l="1"/>
  <c r="T225" i="3"/>
  <c r="U334" i="3"/>
  <c r="T335" i="3"/>
  <c r="T336" i="3" l="1"/>
  <c r="U335" i="3"/>
  <c r="U225" i="3"/>
  <c r="T224" i="3"/>
  <c r="U336" i="3" l="1"/>
  <c r="T337" i="3"/>
  <c r="T223" i="3"/>
  <c r="U224" i="3"/>
  <c r="T222" i="3" l="1"/>
  <c r="U223" i="3"/>
  <c r="T338" i="3"/>
  <c r="U337" i="3"/>
  <c r="U338" i="3" l="1"/>
  <c r="T339" i="3"/>
  <c r="T221" i="3"/>
  <c r="U222" i="3"/>
  <c r="U221" i="3" l="1"/>
  <c r="T220" i="3"/>
  <c r="T340" i="3"/>
  <c r="U339" i="3"/>
  <c r="T219" i="3" l="1"/>
  <c r="U220" i="3"/>
  <c r="U340" i="3"/>
  <c r="T341" i="3"/>
  <c r="T342" i="3" l="1"/>
  <c r="U341" i="3"/>
  <c r="T218" i="3"/>
  <c r="U219" i="3"/>
  <c r="U218" i="3" l="1"/>
  <c r="T217" i="3"/>
  <c r="U342" i="3"/>
  <c r="T343" i="3"/>
  <c r="T344" i="3" l="1"/>
  <c r="U343" i="3"/>
  <c r="U217" i="3"/>
  <c r="T216" i="3"/>
  <c r="U344" i="3" l="1"/>
  <c r="T345" i="3"/>
  <c r="T215" i="3"/>
  <c r="U216" i="3"/>
  <c r="T214" i="3" l="1"/>
  <c r="U215" i="3"/>
  <c r="T346" i="3"/>
  <c r="U345" i="3"/>
  <c r="U346" i="3" l="1"/>
  <c r="T347" i="3"/>
  <c r="T213" i="3"/>
  <c r="U214" i="3"/>
  <c r="U213" i="3" l="1"/>
  <c r="T212" i="3"/>
  <c r="T348" i="3"/>
  <c r="U347" i="3"/>
  <c r="U348" i="3" l="1"/>
  <c r="T349" i="3"/>
  <c r="T211" i="3"/>
  <c r="U211" i="3" s="1"/>
  <c r="U212" i="3"/>
  <c r="T350" i="3" l="1"/>
  <c r="U349" i="3"/>
  <c r="U350" i="3" l="1"/>
  <c r="T351" i="3"/>
  <c r="U351" i="3" s="1"/>
  <c r="CH70" i="2" l="1"/>
  <c r="CI32" i="2" l="1"/>
  <c r="CI34" i="2" s="1"/>
  <c r="CI35" i="2" s="1"/>
  <c r="CI36" i="2" s="1"/>
  <c r="CI38" i="2" s="1"/>
  <c r="CI54" i="2" l="1"/>
  <c r="CJ33" i="2" s="1"/>
  <c r="CI70" i="2"/>
  <c r="CJ32" i="2" s="1"/>
  <c r="CJ70" i="2" s="1"/>
  <c r="CK32" i="2" s="1"/>
  <c r="CK70" i="2" s="1"/>
  <c r="CJ34" i="2" l="1"/>
  <c r="CJ35" i="2" s="1"/>
  <c r="CJ36" i="2" s="1"/>
  <c r="CJ38" i="2" s="1"/>
  <c r="CL32" i="2"/>
  <c r="CL70" i="2" s="1"/>
  <c r="CJ54" i="2" l="1"/>
  <c r="CK33" i="2" s="1"/>
  <c r="CK34" i="2" s="1"/>
  <c r="CK35" i="2" s="1"/>
  <c r="CK36" i="2" s="1"/>
  <c r="CK38" i="2" s="1"/>
  <c r="CK54" i="2" s="1"/>
  <c r="CL33" i="2" s="1"/>
  <c r="CL34" i="2" s="1"/>
  <c r="CL35" i="2" s="1"/>
  <c r="CL36" i="2" s="1"/>
  <c r="CL38" i="2" s="1"/>
  <c r="CL54" i="2" s="1"/>
  <c r="CM33" i="2" s="1"/>
  <c r="CM32" i="2"/>
  <c r="CM34" i="2" l="1"/>
  <c r="CM35" i="2" s="1"/>
  <c r="CM36" i="2" s="1"/>
  <c r="CM38" i="2" s="1"/>
  <c r="CM54" i="2" s="1"/>
  <c r="CN33" i="2" s="1"/>
  <c r="CM70" i="2"/>
  <c r="CN32" i="2"/>
  <c r="CN70" i="2" s="1"/>
  <c r="CN34" i="2" l="1"/>
  <c r="CN35" i="2" s="1"/>
  <c r="CN36" i="2" s="1"/>
  <c r="CN38" i="2" s="1"/>
  <c r="CO32" i="2"/>
  <c r="CO70" i="2" s="1"/>
  <c r="CN54" i="2" l="1"/>
  <c r="CO33" i="2" s="1"/>
  <c r="CO34" i="2" s="1"/>
  <c r="CO35" i="2" s="1"/>
  <c r="CO36" i="2" s="1"/>
  <c r="CO38" i="2" s="1"/>
  <c r="CO54" i="2" s="1"/>
  <c r="CP33" i="2" s="1"/>
  <c r="CP32" i="2"/>
  <c r="CP70" i="2" s="1"/>
  <c r="CP34" i="2" l="1"/>
  <c r="CP35" i="2" s="1"/>
  <c r="CP36" i="2" s="1"/>
  <c r="CP38" i="2" s="1"/>
  <c r="CP54" i="2" s="1"/>
  <c r="CQ33" i="2" s="1"/>
  <c r="CQ32" i="2"/>
  <c r="CQ34" i="2" l="1"/>
  <c r="CQ35" i="2" s="1"/>
  <c r="CQ36" i="2" s="1"/>
  <c r="CQ38" i="2" s="1"/>
  <c r="CQ54" i="2" s="1"/>
  <c r="CQ70" i="2"/>
  <c r="CR38" i="2" l="1"/>
  <c r="CS38" i="2" s="1"/>
  <c r="CT38" i="2" s="1"/>
  <c r="CU38" i="2" s="1"/>
  <c r="CV38" i="2" s="1"/>
  <c r="CW38" i="2" s="1"/>
  <c r="CX38" i="2" s="1"/>
  <c r="CY38" i="2" s="1"/>
  <c r="CZ38" i="2" s="1"/>
  <c r="DA38" i="2" s="1"/>
  <c r="DB38" i="2" s="1"/>
  <c r="DC38" i="2" s="1"/>
  <c r="DD38" i="2" s="1"/>
  <c r="DE38" i="2" s="1"/>
  <c r="DF38" i="2" s="1"/>
  <c r="DG38" i="2" s="1"/>
  <c r="DH38" i="2" s="1"/>
  <c r="DI38" i="2" s="1"/>
  <c r="DJ38" i="2" s="1"/>
  <c r="DK38" i="2" s="1"/>
  <c r="DL38" i="2" s="1"/>
  <c r="DM38" i="2" s="1"/>
  <c r="DN38" i="2" s="1"/>
  <c r="DO38" i="2" s="1"/>
  <c r="DP38" i="2" s="1"/>
  <c r="DQ38" i="2" s="1"/>
  <c r="DR38" i="2" s="1"/>
  <c r="DS38" i="2" s="1"/>
  <c r="DT38" i="2" s="1"/>
  <c r="DU38" i="2" s="1"/>
  <c r="DV38" i="2" s="1"/>
  <c r="DW38" i="2" s="1"/>
  <c r="DX38" i="2" s="1"/>
  <c r="DY38" i="2" s="1"/>
  <c r="DZ38" i="2" s="1"/>
  <c r="EA38" i="2" s="1"/>
  <c r="EB38" i="2" s="1"/>
  <c r="EC38" i="2" s="1"/>
  <c r="ED38" i="2" s="1"/>
  <c r="EE38" i="2" s="1"/>
  <c r="EF38" i="2" s="1"/>
  <c r="EG38" i="2" s="1"/>
  <c r="EH38" i="2" s="1"/>
  <c r="EI38" i="2" s="1"/>
  <c r="EJ38" i="2" s="1"/>
  <c r="EK38" i="2" s="1"/>
  <c r="EL38" i="2" s="1"/>
  <c r="EM38" i="2" s="1"/>
  <c r="EN38" i="2" s="1"/>
  <c r="EO38" i="2" s="1"/>
  <c r="DA61" i="2" s="1"/>
  <c r="DA63" i="2" s="1"/>
  <c r="DA65" i="2" l="1"/>
  <c r="CZ66" i="2" s="1" a="1"/>
  <c r="DB6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<sst xmlns="http://schemas.openxmlformats.org/spreadsheetml/2006/main" count="1903" uniqueCount="1045">
  <si>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</si>
  <si>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</si>
  <si>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</si>
  <si>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</si>
  <si>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</si>
  <si>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</si>
  <si>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</si>
  <si>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</si>
  <si>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</si>
  <si>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</si>
  <si>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</si>
  <si>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</si>
  <si>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</si>
  <si>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</si>
  <si>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</si>
  <si>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</si>
  <si>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</si>
  <si>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</si>
  <si>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</si>
  <si>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</si>
  <si>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</si>
  <si>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</si>
  <si>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</si>
  <si>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</si>
  <si>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</si>
  <si>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</si>
  <si>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</si>
  <si>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</si>
  <si>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</si>
  <si>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</si>
  <si>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</si>
  <si>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</si>
  <si>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</si>
  <si>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</si>
  <si>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</si>
  <si>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</si>
  <si>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</si>
  <si>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</si>
  <si>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</si>
  <si>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</si>
  <si>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</si>
  <si>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</si>
  <si>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</si>
  <si>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</si>
  <si>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</si>
  <si>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</si>
  <si>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</si>
  <si>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</si>
  <si>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</si>
  <si>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</si>
  <si>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</si>
  <si>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</si>
  <si>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</si>
  <si>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</si>
  <si>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</si>
  <si>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</si>
  <si>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</si>
  <si>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</si>
  <si>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</si>
  <si>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</si>
  <si>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</si>
  <si>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</si>
  <si>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</si>
  <si>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</si>
  <si>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</si>
  <si>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</si>
  <si>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</si>
  <si>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</si>
  <si>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</si>
  <si>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</si>
  <si>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</si>
  <si>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</si>
  <si>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</si>
  <si>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</si>
  <si>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</si>
  <si>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</si>
  <si>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</si>
  <si>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</si>
  <si>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</si>
  <si>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</si>
  <si>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</si>
  <si>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</si>
  <si>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</si>
  <si>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</si>
  <si>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</si>
  <si>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</si>
  <si>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</si>
  <si>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</si>
  <si>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</si>
  <si>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</si>
  <si>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</si>
  <si>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</si>
  <si>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</si>
  <si>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</si>
  <si>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</si>
  <si>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</si>
  <si>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</si>
  <si>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</si>
  <si>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</si>
  <si>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</si>
  <si>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</si>
  <si>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</si>
  <si>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</si>
  <si>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Quarterly</t>
  </si>
  <si>
    <t>Revenues</t>
  </si>
  <si>
    <t>Ttl Revenues</t>
  </si>
  <si>
    <t>R&amp;D as % of Revenue</t>
  </si>
  <si>
    <t>Operating Profit Margin</t>
  </si>
  <si>
    <t>Effective Tax Rate</t>
  </si>
  <si>
    <t>Net Profit Margin</t>
  </si>
  <si>
    <t xml:space="preserve">Cash &amp; CEs </t>
  </si>
  <si>
    <t>Marketable Securities</t>
  </si>
  <si>
    <t>Current Ratio</t>
  </si>
  <si>
    <t>Cash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</si>
  <si>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</si>
  <si>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</si>
  <si>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</si>
  <si>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</si>
  <si>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</si>
  <si>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</si>
  <si>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</si>
  <si>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</si>
  <si>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</si>
  <si>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</si>
  <si>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</si>
  <si>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</si>
  <si>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</si>
  <si>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</si>
  <si>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</si>
  <si>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</si>
  <si>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</si>
  <si>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</si>
  <si>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</si>
  <si>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</si>
  <si>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</si>
  <si>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</si>
  <si>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</si>
  <si>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</si>
  <si>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</si>
  <si>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</si>
  <si>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</si>
  <si>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Employee Scope:</t>
  </si>
  <si>
    <t>Resources:</t>
  </si>
  <si>
    <t>Y/y Total Revenues, Net Income, FCF</t>
  </si>
  <si>
    <t>Q/q Total Revenues, Net Income, FCF</t>
  </si>
  <si>
    <t>Company IR Page</t>
  </si>
  <si>
    <t>Company Homepage</t>
  </si>
  <si>
    <t>MacroTrends</t>
  </si>
  <si>
    <t>ROIC, WACC</t>
  </si>
  <si>
    <t>Ttl Revenue Growth Y/y</t>
  </si>
  <si>
    <t>ORCL</t>
  </si>
  <si>
    <t>Oracle Corporation (ORCL)</t>
  </si>
  <si>
    <t>https://www.sec.gov/edgar/browse/?CIK=1341439&amp;owner=exclude</t>
  </si>
  <si>
    <t>https://www.oracle.com/</t>
  </si>
  <si>
    <t>https://investor.oracle.com/home/default.aspx</t>
  </si>
  <si>
    <t>https://seekingalpha.com/symbol/ORCL#source=content_type%3Aall%7Csection%3Asearch_enter%7Csection_asset%3Asearch-basic%7Csearch_item%3Aorcl%7Crow_num%3A0%7CURL_first_level%3Asymbol%7Ctopic%3Akeyword</t>
  </si>
  <si>
    <t>https://stockanalysis.com/stocks/orcl/company/</t>
  </si>
  <si>
    <t>https://www.macrotrends.net/stocks/charts/ORCL/oracle/income-statement?freq=Q</t>
  </si>
  <si>
    <t>https://www.gurufocus.com/term/wacc/ORCL</t>
  </si>
  <si>
    <t xml:space="preserve">IPO: March 12, 1986 </t>
  </si>
  <si>
    <t>Founder(s): Larry Ellison, Bob Miner, and Ed Oates</t>
  </si>
  <si>
    <t>Founded: 1977</t>
  </si>
  <si>
    <t>Headquarters: Austin, TX</t>
  </si>
  <si>
    <t>Current CEO: Safra Catz</t>
  </si>
  <si>
    <t>Employees: 162,000 (Q4'24)</t>
  </si>
  <si>
    <t xml:space="preserve">Industry: Software - Infrastructure </t>
  </si>
  <si>
    <t>Sector: Technology</t>
  </si>
  <si>
    <t>Registered Exchange: NYSE</t>
  </si>
  <si>
    <t>Address: 2300 Oracle Way, Austin TX 78741 U.S.</t>
  </si>
  <si>
    <t>investor_us@oracle.com</t>
  </si>
  <si>
    <t>(650) 506-4073</t>
  </si>
  <si>
    <t>Cloud and License:</t>
  </si>
  <si>
    <t xml:space="preserve">Hardware: </t>
  </si>
  <si>
    <t>Sales of Oracle Engineered Systems, servers, storage solutions, and industry‑specific hardware. Most hardware buyers also purchase recurring hardware support contracts</t>
  </si>
  <si>
    <t>The largest segment, encompassing Oracle’s Fusion Cloud Applications (ERP, HCM, SCM, EPM, and industry solutions), Oracle Cloud Infrastructure (OCI), as well as on‑premise license and support. OCI includes autonomous database, compute, storage, networking, and AI/ML tools.</t>
  </si>
  <si>
    <t>Services:</t>
  </si>
  <si>
    <t>Professional consulting, advanced customer support, and implementation assistance to maximize customer ROI from Oracle deployments</t>
  </si>
  <si>
    <t xml:space="preserve">Oracle operates through three primary business segments, each aligned to a single operating segment:
</t>
  </si>
  <si>
    <t>Oracle’s growth strategy centers on Oracle Cloud Services:</t>
  </si>
  <si>
    <t>Oracle Cloud Applications (OCA) – Integrated enterprise software suite across ERP, HCM, SCM, EPM, and CRM (Sales, Service, Marketing)</t>
  </si>
  <si>
    <t>Oracle Cloud Infrastructure (OCI) – Infrastructure‑as‑a‑Service competing with AWS, Microsoft Azure, and Google Cloud</t>
  </si>
  <si>
    <t>OCI is highly differentiated by its Exadata Cloud@Customer deployments, enabling cloud infrastructure within a customer’s datacenter</t>
  </si>
  <si>
    <t>Oracle emphasizes flexibility via three deployment models: cloud‑based, on‑premise, or hybrid, giving customers choice in migrating workloads</t>
  </si>
  <si>
    <t>This interoperability is positioned as a competitive advantage relative to peers with more restrictive models</t>
  </si>
  <si>
    <t>Oracle serves a diversified global base of customers including Enterprises of all sizes, Government Agencies (that is their roots after all), Academic Institutions, and Resellers &amp; Partners</t>
  </si>
  <si>
    <t>Use cases span AI companies training generative models on OCI, multinational financial firms migrating banking applications to Oracle Exadata Cloud@Customer, and consumer product companies adopting Fusion ERP for global operations</t>
  </si>
  <si>
    <t>Oracle Corporation has a strategic alliance with Metron, Inc.</t>
  </si>
  <si>
    <t>Oracle competes across enterprise applications (against SAP, Workday, Salesforce, Microsoft Dynamics) and cloud infrastructure (against AWS, Azure, Google Cloud)</t>
  </si>
  <si>
    <t>Strong base of license support contracts and hardware support provides a substantial recurring revenue stream</t>
  </si>
  <si>
    <t>Cloud growth is central to long‑term valuation, with multi‑year R&amp;D and acquisition investments directed toward expanding market share</t>
  </si>
  <si>
    <t>Sept.</t>
  </si>
  <si>
    <t>June</t>
  </si>
  <si>
    <t>Mar.</t>
  </si>
  <si>
    <t>Dec.</t>
  </si>
  <si>
    <t>Fiscal Year: [June - May]</t>
  </si>
  <si>
    <t>Cloud</t>
  </si>
  <si>
    <t>Software</t>
  </si>
  <si>
    <t>Hardware</t>
  </si>
  <si>
    <t>Services</t>
  </si>
  <si>
    <t>Cloud Growth Y/y</t>
  </si>
  <si>
    <t>Software Growth Y/y</t>
  </si>
  <si>
    <t>Services Growth Y/y</t>
  </si>
  <si>
    <t>Hardware Growth Y/y</t>
  </si>
  <si>
    <t>EPS</t>
  </si>
  <si>
    <t>Ttl Assets</t>
  </si>
  <si>
    <t>Ttl Liabilities</t>
  </si>
  <si>
    <t>Ttl SE</t>
  </si>
  <si>
    <t>Ttl L + SE</t>
  </si>
  <si>
    <t>Fixed Asset Turnover Ratio</t>
  </si>
  <si>
    <t>Ttl Asset Turnover Ratio</t>
  </si>
  <si>
    <t>CFFO Margin</t>
  </si>
  <si>
    <t>FCF Margin</t>
  </si>
  <si>
    <t>CapEx as % of Revenue</t>
  </si>
  <si>
    <t>Q2'26</t>
  </si>
  <si>
    <t>Ttl Op. Ex.</t>
  </si>
  <si>
    <t>Cloud &amp; Software Op. Ex.</t>
  </si>
  <si>
    <t>Hardware Op. Ex.</t>
  </si>
  <si>
    <t>Services Op. Ex.</t>
  </si>
  <si>
    <t>S&amp;M</t>
  </si>
  <si>
    <t>R&amp;D</t>
  </si>
  <si>
    <t>G&amp;A</t>
  </si>
  <si>
    <t>Ammortization</t>
  </si>
  <si>
    <t>Restructuring &amp; Other Op. Ex.</t>
  </si>
  <si>
    <t>OI</t>
  </si>
  <si>
    <t>Interest Expenses</t>
  </si>
  <si>
    <t>Other Income</t>
  </si>
  <si>
    <t>Pretax Income</t>
  </si>
  <si>
    <t>Taxes</t>
  </si>
  <si>
    <t>Preferred Stock Dividends</t>
  </si>
  <si>
    <t>Net Income to CS</t>
  </si>
  <si>
    <t>A/R</t>
  </si>
  <si>
    <t>Other ST Assets</t>
  </si>
  <si>
    <t>PP&amp;E</t>
  </si>
  <si>
    <t>LT Operating Lease Assets</t>
  </si>
  <si>
    <t>Goodwill</t>
  </si>
  <si>
    <t>LT Deferred Tax Assets</t>
  </si>
  <si>
    <t>Other LT Assets</t>
  </si>
  <si>
    <t>ST Debt</t>
  </si>
  <si>
    <t>A/P</t>
  </si>
  <si>
    <t>ST Comp &amp; Benefits Liabilities</t>
  </si>
  <si>
    <t>ST Deferred Revenues Liabilities</t>
  </si>
  <si>
    <t>Other ST Liabilities</t>
  </si>
  <si>
    <t>LT Debt</t>
  </si>
  <si>
    <t>LT Taxes Payable</t>
  </si>
  <si>
    <t>LT Operating Lease Liabilities</t>
  </si>
  <si>
    <t>Other LT Liabilities</t>
  </si>
  <si>
    <t>Cloud % of Ttl Revenues</t>
  </si>
  <si>
    <t>Software % of Ttl Revenues</t>
  </si>
  <si>
    <t>Hardware % of Ttl Revenues</t>
  </si>
  <si>
    <t>Services % of Ttl Revenues</t>
  </si>
  <si>
    <t>G&amp;A as % of Revenue</t>
  </si>
  <si>
    <t>S&amp;M % of Revenue</t>
  </si>
  <si>
    <t>Amm. % of Revenue</t>
  </si>
  <si>
    <t>Other Op. Ex. % of Revenue</t>
  </si>
  <si>
    <t>Invested Capital</t>
  </si>
  <si>
    <t>Projected ROIC:</t>
  </si>
  <si>
    <t>ROIC</t>
  </si>
  <si>
    <t>Terminal</t>
  </si>
  <si>
    <t>RFR (10-year yield)</t>
  </si>
  <si>
    <t>ERP 
(Avg. market return - (less) RFR)</t>
  </si>
  <si>
    <t>Capital Structure</t>
  </si>
  <si>
    <t>Equity β (1-year avg.)</t>
  </si>
  <si>
    <t>Mkt Cap</t>
  </si>
  <si>
    <t>Discount (Cost of Equity)</t>
  </si>
  <si>
    <t>Debt to Ttl Mkt Cap</t>
  </si>
  <si>
    <t>Mkt Equity to Ttl Mkt Cap</t>
  </si>
  <si>
    <t>NPV</t>
  </si>
  <si>
    <t>LT Debt / Equity</t>
  </si>
  <si>
    <t>FV</t>
  </si>
  <si>
    <t>Cost of Equity</t>
  </si>
  <si>
    <t>CP</t>
  </si>
  <si>
    <t>Change Δ</t>
  </si>
  <si>
    <t>Market Return(1-year avg.)</t>
  </si>
  <si>
    <t xml:space="preserve">Cost of Equity </t>
  </si>
  <si>
    <t>Cost of Debt</t>
  </si>
  <si>
    <t>Tax Rate</t>
  </si>
  <si>
    <t>After Tax Cost of Debt</t>
  </si>
  <si>
    <t>WACC</t>
  </si>
  <si>
    <t>Institutional Ownership Snapshot Q4'25</t>
  </si>
  <si>
    <t>VOO Historical Returns</t>
  </si>
  <si>
    <t>ORCL Historical Returns</t>
  </si>
  <si>
    <r>
      <rPr>
        <i/>
        <sz val="11"/>
        <color theme="1"/>
        <rFont val="Calibre"/>
      </rPr>
      <t>752</t>
    </r>
    <r>
      <rPr>
        <sz val="11"/>
        <color theme="1"/>
        <rFont val="Calibre"/>
      </rPr>
      <t xml:space="preserve"> Trading Days? (From: 8/12/2023 -8/12/2026)</t>
    </r>
  </si>
  <si>
    <t>Wed, 12 Aug 2026 00:00:00 GMT</t>
  </si>
  <si>
    <t>Tue, 11 Aug 2026 00:00:00 GMT</t>
  </si>
  <si>
    <t>Mon, 10 Aug 2026 00:00:00 GMT</t>
  </si>
  <si>
    <t>Fri, 07 Aug 2026 00:00:00 GMT</t>
  </si>
  <si>
    <t>Thu, 06 Aug 2026 00:00:00 GMT</t>
  </si>
  <si>
    <t>Wed, 05 Aug 2026 00:00:00 GMT</t>
  </si>
  <si>
    <t>Tue, 04 Aug 2026 00:00:00 GMT</t>
  </si>
  <si>
    <t>Mon, 03 Aug 2026 00:00:00 GMT</t>
  </si>
  <si>
    <t>Fri, 31 Jul 2026 00:00:00 GMT</t>
  </si>
  <si>
    <t>Thu, 30 Jul 2026 00:00:00 GMT</t>
  </si>
  <si>
    <t>Wed, 29 Jul 2026 00:00:00 GMT</t>
  </si>
  <si>
    <t>Tue, 28 Jul 2026 00:00:00 GMT</t>
  </si>
  <si>
    <t>Mon, 27 Jul 2026 00:00:00 GMT</t>
  </si>
  <si>
    <t>Fri, 24 Jul 2026 00:00:00 GMT</t>
  </si>
  <si>
    <t>Thu, 23 Jul 2026 00:00:00 GMT</t>
  </si>
  <si>
    <t>Wed, 22 Jul 2026 00:00:00 GMT</t>
  </si>
  <si>
    <t>Tue, 21 Jul 2026 00:00:00 GMT</t>
  </si>
  <si>
    <t>Mon, 20 Jul 2026 00:00:00 GMT</t>
  </si>
  <si>
    <t>Fri, 17 Jul 2026 00:00:00 GMT</t>
  </si>
  <si>
    <t>Thu, 16 Jul 2026 00:00:00 GMT</t>
  </si>
  <si>
    <t>Wed, 15 Jul 2026 00:00:00 GMT</t>
  </si>
  <si>
    <t>Tue, 14 Jul 2026 00:00:00 GMT</t>
  </si>
  <si>
    <t>Mon, 13 Jul 2026 00:00:00 GMT</t>
  </si>
  <si>
    <t>Fri, 10 Jul 2026 00:00:00 GMT</t>
  </si>
  <si>
    <t>Thu, 09 Jul 2026 00:00:00 GMT</t>
  </si>
  <si>
    <t>Wed, 08 Jul 2026 00:00:00 GMT</t>
  </si>
  <si>
    <t>Tue, 07 Jul 2026 00:00:00 GMT</t>
  </si>
  <si>
    <t>Mon, 06 Jul 2026 00:00:00 GMT</t>
  </si>
  <si>
    <t>Thu, 02 Jul 2026 00:00:00 GMT</t>
  </si>
  <si>
    <t>Wed, 01 Jul 2026 00:00:00 GMT</t>
  </si>
  <si>
    <t>Tue, 30 Jun 2026 00:00:00 GMT</t>
  </si>
  <si>
    <t>Mon, 29 Jun 2026 00:00:00 GMT</t>
  </si>
  <si>
    <t>Fri, 26 Jun 2026 00:00:00 GMT</t>
  </si>
  <si>
    <t>Thu, 25 Jun 2026 00:00:00 GMT</t>
  </si>
  <si>
    <t>Wed, 24 Jun 2026 00:00:00 GMT</t>
  </si>
  <si>
    <t>Tue, 23 Jun 2026 00:00:00 GMT</t>
  </si>
  <si>
    <t>Mon, 22 Jun 2026 00:00:00 GMT</t>
  </si>
  <si>
    <t>Thu, 18 Jun 2026 00:00:00 GMT</t>
  </si>
  <si>
    <t>Wed, 17 Jun 2026 00:00:00 GMT</t>
  </si>
  <si>
    <t>Tue, 16 Jun 2026 00:00:00 GMT</t>
  </si>
  <si>
    <t>Mon, 15 Jun 2026 00:00:00 GMT</t>
  </si>
  <si>
    <t>Fri, 12 Jun 2026 00:00:00 GMT</t>
  </si>
  <si>
    <t>Thu, 11 Jun 2026 00:00:00 GMT</t>
  </si>
  <si>
    <t>Wed, 10 Jun 2026 00:00:00 GMT</t>
  </si>
  <si>
    <t>Tue, 09 Jun 2026 00:00:00 GMT</t>
  </si>
  <si>
    <t>Mon, 08 Jun 2026 00:00:00 GMT</t>
  </si>
  <si>
    <t>Fri, 05 Jun 2026 00:00:00 GMT</t>
  </si>
  <si>
    <t>Thu, 04 Jun 2026 00:00:00 GMT</t>
  </si>
  <si>
    <t>Wed, 03 Jun 2026 00:00:00 GMT</t>
  </si>
  <si>
    <t>Tue, 02 Jun 2026 00:00:00 GMT</t>
  </si>
  <si>
    <t>Mon, 01 Jun 2026 00:00:00 GMT</t>
  </si>
  <si>
    <t>Fri, 29 May 2026 00:00:00 GMT</t>
  </si>
  <si>
    <t>Thu, 28 May 2026 00:00:00 GMT</t>
  </si>
  <si>
    <t>Wed, 27 May 2026 00:00:00 GMT</t>
  </si>
  <si>
    <t>Tue, 26 May 2026 00:00:00 GMT</t>
  </si>
  <si>
    <t>Fri, 22 May 2026 00:00:00 GMT</t>
  </si>
  <si>
    <t>Thu, 21 May 2026 00:00:00 GMT</t>
  </si>
  <si>
    <t>Wed, 20 May 2026 00:00:00 GMT</t>
  </si>
  <si>
    <t>Tue, 19 May 2026 00:00:00 GMT</t>
  </si>
  <si>
    <t>Mon, 18 May 2026 00:00:00 GMT</t>
  </si>
  <si>
    <t>Fri, 15 May 2026 00:00:00 GMT</t>
  </si>
  <si>
    <t>Thu, 14 May 2026 00:00:00 GMT</t>
  </si>
  <si>
    <t>Wed, 13 May 2026 00:00:00 GMT</t>
  </si>
  <si>
    <t>Tue, 12 May 2026 00:00:00 GMT</t>
  </si>
  <si>
    <t>Mon, 11 May 2026 00:00:00 GMT</t>
  </si>
  <si>
    <t>Fri, 08 May 2026 00:00:00 GMT</t>
  </si>
  <si>
    <t>Thu, 07 May 2026 00:00:00 GMT</t>
  </si>
  <si>
    <t>Wed, 06 May 2026 00:00:00 GMT</t>
  </si>
  <si>
    <t>Tue, 05 May 2026 00:00:00 GMT</t>
  </si>
  <si>
    <t>Mon, 04 May 2026 00:00:00 GMT</t>
  </si>
  <si>
    <t>Fri, 01 May 2026 00:00:00 GMT</t>
  </si>
  <si>
    <t>Thu, 30 Apr 2026 00:00:00 GMT</t>
  </si>
  <si>
    <t>Wed, 29 Apr 2026 00:00:00 GMT</t>
  </si>
  <si>
    <t>Tue, 28 Apr 2026 00:00:00 GMT</t>
  </si>
  <si>
    <t>Mon, 27 Apr 2026 00:00:00 GMT</t>
  </si>
  <si>
    <t>Fri, 24 Apr 2026 00:00:00 GMT</t>
  </si>
  <si>
    <t>Thu, 23 Apr 2026 00:00:00 GMT</t>
  </si>
  <si>
    <t>Wed, 22 Apr 2026 00:00:00 GMT</t>
  </si>
  <si>
    <t>Tue, 21 Apr 2026 00:00:00 GMT</t>
  </si>
  <si>
    <t>Mon, 20 Apr 2026 00:00:00 GMT</t>
  </si>
  <si>
    <t>Fri, 17 Apr 2026 00:00:00 GMT</t>
  </si>
  <si>
    <t>Thu, 16 Apr 2026 00:00:00 GMT</t>
  </si>
  <si>
    <t>Wed, 15 Apr 2026 00:00:00 GMT</t>
  </si>
  <si>
    <t>Tue, 14 Apr 2026 00:00:00 GMT</t>
  </si>
  <si>
    <t>Mon, 13 Apr 2026 00:00:00 GMT</t>
  </si>
  <si>
    <t>Fri, 10 Apr 2026 00:00:00 GMT</t>
  </si>
  <si>
    <t>Thu, 09 Apr 2026 00:00:00 GMT</t>
  </si>
  <si>
    <t>Wed, 08 Apr 2026 00:00:00 GMT</t>
  </si>
  <si>
    <t>Tue, 07 Apr 2026 00:00:00 GMT</t>
  </si>
  <si>
    <t>Mon, 06 Apr 2026 00:00:00 GMT</t>
  </si>
  <si>
    <t>Thu, 02 Apr 2026 00:00:00 GMT</t>
  </si>
  <si>
    <t>Wed, 01 Apr 2026 00:00:00 GMT</t>
  </si>
  <si>
    <t>Tue, 31 Mar 2026 00:00:00 GMT</t>
  </si>
  <si>
    <t>Mon, 30 Mar 2026 00:00:00 GMT</t>
  </si>
  <si>
    <t>Fri, 27 Mar 2026 00:00:00 GMT</t>
  </si>
  <si>
    <t>Thu, 26 Mar 2026 00:00:00 GMT</t>
  </si>
  <si>
    <t>Wed, 25 Mar 2026 00:00:00 GMT</t>
  </si>
  <si>
    <t>Tue, 24 Mar 2026 00:00:00 GMT</t>
  </si>
  <si>
    <t>Mon, 23 Mar 2026 00:00:00 GMT</t>
  </si>
  <si>
    <t>Fri, 20 Mar 2026 00:00:00 GMT</t>
  </si>
  <si>
    <t>Thu, 19 Mar 2026 00:00:00 GMT</t>
  </si>
  <si>
    <t>Wed, 18 Mar 2026 00:00:00 GMT</t>
  </si>
  <si>
    <t>Tue, 17 Mar 2026 00:00:00 GMT</t>
  </si>
  <si>
    <t>Mon, 16 Mar 2026 00:00:00 GMT</t>
  </si>
  <si>
    <t>Fri, 13 Mar 2026 00:00:00 GMT</t>
  </si>
  <si>
    <t>Thu, 12 Mar 2026 00:00:00 GMT</t>
  </si>
  <si>
    <t>Wed, 11 Mar 2026 00:00:00 GMT</t>
  </si>
  <si>
    <t>Tue, 10 Mar 2026 00:00:00 GMT</t>
  </si>
  <si>
    <t>Mon, 09 Mar 2026 00:00:00 GMT</t>
  </si>
  <si>
    <t>Fri, 06 Mar 2026 00:00:00 GMT</t>
  </si>
  <si>
    <t>Thu, 05 Mar 2026 00:00:00 GMT</t>
  </si>
  <si>
    <t>Wed, 04 Mar 2026 00:00:00 GMT</t>
  </si>
  <si>
    <t>Tue, 03 Mar 2026 00:00:00 GMT</t>
  </si>
  <si>
    <t>Mon, 02 Mar 2026 00:00:00 GMT</t>
  </si>
  <si>
    <t>Fri, 27 Feb 2026 00:00:00 GMT</t>
  </si>
  <si>
    <t>Thu, 26 Feb 2026 00:00:00 GMT</t>
  </si>
  <si>
    <t>Wed, 25 Feb 2026 00:00:00 GMT</t>
  </si>
  <si>
    <t>Tue, 24 Feb 2026 00:00:00 GMT</t>
  </si>
  <si>
    <t>Mon, 23 Feb 2026 00:00:00 GMT</t>
  </si>
  <si>
    <t>Fri, 20 Feb 2026 00:00:00 GMT</t>
  </si>
  <si>
    <t>Thu, 19 Feb 2026 00:00:00 GMT</t>
  </si>
  <si>
    <t>Wed, 18 Feb 2026 00:00:00 GMT</t>
  </si>
  <si>
    <t>Tue, 17 Feb 2026 00:00:00 GMT</t>
  </si>
  <si>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</si>
  <si>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</si>
  <si>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</si>
  <si>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</si>
  <si>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</si>
  <si>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</si>
  <si>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</si>
  <si>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</si>
  <si>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</si>
  <si>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</si>
  <si>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</si>
  <si>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</si>
  <si>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</si>
  <si>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</si>
  <si>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</si>
  <si>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</si>
  <si>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</si>
  <si>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</si>
  <si>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</si>
  <si>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</si>
  <si>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</si>
  <si>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</si>
  <si>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</si>
  <si>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</si>
  <si>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</si>
  <si>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</si>
  <si>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</si>
  <si>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</si>
  <si>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</si>
  <si>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</si>
  <si>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</si>
  <si>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</si>
  <si>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</si>
  <si>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More</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</si>
  <si>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</si>
  <si>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</si>
  <si>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</si>
  <si>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</si>
  <si>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</si>
  <si>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</si>
  <si>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</si>
  <si>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</si>
  <si>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</si>
  <si>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</si>
  <si>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</si>
  <si>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</si>
  <si>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</si>
  <si>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</si>
  <si>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</si>
  <si>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</si>
  <si>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</si>
  <si>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</si>
  <si>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</si>
  <si>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</si>
  <si>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</si>
  <si>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</si>
  <si>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</si>
  <si>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</si>
  <si>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</si>
  <si>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</si>
  <si>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</si>
  <si>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</si>
  <si>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</si>
  <si>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</si>
  <si>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</si>
  <si>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</si>
  <si>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</si>
  <si>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</si>
  <si>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</si>
  <si>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</si>
  <si>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</si>
  <si>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</si>
  <si>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</si>
  <si>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</si>
  <si>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</si>
  <si>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</si>
  <si>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</si>
  <si>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</si>
  <si>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</si>
  <si>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</si>
  <si>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</si>
  <si>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</si>
  <si>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</si>
  <si>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</si>
  <si>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</si>
  <si>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</si>
  <si>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</si>
  <si>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</si>
  <si>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</si>
  <si>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</si>
  <si>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</si>
  <si>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</si>
  <si>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</si>
  <si>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</si>
  <si>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</si>
  <si>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</si>
  <si>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</si>
  <si>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</si>
  <si>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</si>
  <si>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</si>
  <si>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</si>
  <si>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</si>
  <si>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</si>
  <si>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</si>
  <si>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</si>
  <si>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</si>
  <si>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</si>
  <si>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</si>
  <si>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</si>
  <si>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</si>
  <si>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</si>
  <si>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</si>
  <si>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</si>
  <si>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</si>
  <si>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</si>
  <si>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</si>
  <si>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</si>
  <si>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</si>
  <si>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</si>
  <si>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</si>
  <si>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</si>
  <si>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</si>
  <si>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</si>
  <si>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</si>
  <si>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</si>
  <si>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</si>
  <si>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</si>
  <si>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</si>
  <si>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</si>
  <si>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</si>
  <si>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</si>
  <si>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</si>
  <si>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</si>
  <si>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</si>
  <si>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</si>
  <si>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</si>
  <si>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</si>
  <si>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</si>
  <si>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</si>
  <si>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</si>
  <si>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</si>
  <si>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</si>
  <si>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</si>
  <si>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</si>
  <si>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</si>
  <si>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</si>
  <si>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</si>
  <si>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</si>
  <si>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</si>
  <si>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</si>
  <si>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</si>
  <si>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</si>
  <si>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</si>
  <si>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</si>
  <si>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</si>
  <si>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</si>
  <si>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</si>
  <si>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</si>
  <si>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</si>
  <si>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</si>
  <si>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</si>
  <si>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</si>
  <si>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</si>
  <si>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</si>
  <si>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</si>
  <si>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</si>
  <si>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</si>
  <si>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</si>
  <si>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</si>
  <si>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</si>
  <si>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</si>
  <si>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</si>
  <si>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</si>
  <si>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</si>
  <si>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</si>
  <si>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</si>
  <si>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</si>
  <si>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</si>
  <si>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</si>
  <si>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</si>
  <si>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</si>
  <si>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</si>
  <si>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</si>
  <si>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</si>
  <si>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</si>
  <si>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</si>
  <si>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</si>
  <si>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</si>
  <si>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</si>
  <si>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</si>
  <si>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</si>
  <si>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</si>
  <si>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</si>
  <si>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</si>
  <si>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</si>
  <si>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</si>
  <si>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</si>
  <si>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</si>
  <si>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</si>
  <si>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</si>
  <si>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</si>
  <si>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</si>
  <si>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</si>
  <si>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</si>
  <si>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</si>
  <si>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</si>
  <si>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</si>
  <si>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</si>
  <si>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</si>
  <si>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</si>
  <si>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</si>
  <si>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</si>
  <si>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</si>
  <si>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</si>
  <si>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</si>
  <si>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</si>
  <si>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</si>
  <si>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</si>
  <si>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</si>
  <si>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</si>
  <si>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</si>
  <si>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</si>
  <si>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</si>
  <si>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</si>
  <si>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</si>
  <si>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</si>
  <si>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</si>
  <si>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</si>
  <si>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</si>
  <si>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</si>
  <si>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</si>
  <si>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</si>
  <si>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</si>
  <si>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</si>
  <si>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</si>
  <si>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</si>
  <si>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</si>
  <si>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</si>
  <si>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</si>
  <si>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</si>
  <si>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</si>
  <si>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</si>
  <si>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</si>
  <si>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</si>
  <si>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</si>
  <si>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</si>
  <si>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</si>
  <si>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</si>
  <si>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</si>
  <si>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</si>
  <si>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</si>
  <si>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</si>
  <si>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</si>
  <si>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</si>
  <si>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</si>
  <si>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</si>
  <si>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</si>
  <si>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</si>
  <si>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</si>
  <si>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</si>
  <si>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</si>
  <si>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</si>
  <si>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</si>
  <si>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</si>
  <si>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</si>
  <si>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</si>
  <si>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</si>
  <si>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</si>
  <si>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</si>
  <si>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</si>
  <si>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</si>
  <si>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</si>
  <si>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</si>
  <si>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</si>
  <si>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</si>
  <si>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</si>
  <si>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</si>
  <si>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</si>
  <si>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</si>
  <si>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</si>
  <si>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</si>
  <si>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</si>
  <si>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</si>
  <si>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</si>
  <si>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</si>
  <si>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</si>
  <si>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</si>
  <si>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</si>
  <si>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</si>
  <si>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</si>
  <si>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</si>
  <si>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</si>
  <si>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</si>
  <si>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</si>
  <si>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</si>
  <si>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</si>
  <si>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</si>
  <si>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</si>
  <si>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</si>
  <si>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</si>
  <si>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</si>
  <si>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</si>
  <si>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</si>
  <si>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</si>
  <si>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</si>
  <si>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</si>
  <si>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</si>
  <si>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</si>
  <si>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</si>
  <si>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</si>
  <si>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</si>
  <si>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</si>
  <si>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</si>
  <si>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</si>
  <si>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</si>
  <si>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</si>
  <si>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</si>
  <si>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</si>
  <si>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</si>
  <si>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</si>
  <si>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</si>
  <si>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</si>
  <si>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</si>
  <si>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</si>
  <si>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</si>
  <si>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</si>
  <si>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</si>
  <si>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</si>
  <si>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</si>
  <si>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</si>
  <si>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</si>
  <si>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</si>
  <si>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</si>
  <si>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</si>
  <si>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</si>
  <si>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</si>
  <si>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</si>
  <si>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</si>
  <si>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</si>
  <si>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</si>
  <si>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</si>
  <si>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</si>
  <si>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</si>
  <si>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</si>
  <si>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</si>
  <si>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</si>
  <si>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</si>
  <si>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</si>
  <si>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</si>
  <si>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</si>
  <si>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</si>
  <si>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</si>
  <si>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</si>
  <si>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</si>
  <si>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</si>
  <si>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</si>
  <si>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</si>
  <si>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</si>
  <si>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</si>
  <si>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</si>
  <si>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</si>
  <si>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</si>
  <si>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</si>
  <si>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</si>
  <si>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</si>
  <si>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</si>
  <si>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</si>
  <si>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</si>
  <si>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</si>
  <si>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</si>
  <si>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</si>
  <si>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</si>
  <si>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</si>
  <si>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</si>
  <si>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</si>
  <si>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</si>
  <si>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</si>
  <si>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</si>
  <si>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</si>
  <si>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</si>
  <si>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</si>
  <si>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</si>
  <si>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</si>
  <si>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</si>
  <si>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</si>
  <si>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</si>
  <si>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</si>
  <si>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</si>
  <si>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</si>
  <si>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</si>
  <si>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</si>
  <si>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</si>
  <si>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</si>
  <si>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</si>
  <si>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</si>
  <si>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</si>
  <si>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</si>
  <si>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</si>
  <si>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</si>
  <si>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</si>
  <si>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</si>
  <si>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</si>
  <si>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</si>
  <si>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</si>
  <si>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</si>
  <si>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</si>
  <si>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</si>
  <si>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</si>
  <si>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</si>
  <si>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</si>
  <si>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</si>
  <si>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</si>
  <si>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</si>
  <si>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</si>
  <si>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</si>
  <si>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</si>
  <si>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</si>
  <si>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</si>
  <si>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</si>
  <si>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</si>
  <si>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</si>
  <si>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</si>
  <si>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</si>
  <si>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</si>
  <si>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</si>
  <si>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</si>
  <si>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</si>
  <si>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</si>
  <si>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</si>
  <si>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</si>
  <si>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</si>
  <si>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</si>
  <si>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</si>
  <si>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</si>
  <si>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</si>
  <si>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</si>
  <si>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</si>
  <si>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</si>
  <si>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</si>
  <si>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</si>
  <si>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</si>
  <si>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</si>
  <si>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</si>
  <si>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</si>
  <si>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</si>
  <si>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</si>
  <si>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</si>
  <si>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</si>
  <si>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</si>
  <si>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</si>
  <si>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</si>
  <si>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</si>
  <si>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</si>
  <si>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</si>
  <si>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</si>
  <si>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</si>
  <si>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</si>
  <si>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</si>
  <si>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</si>
  <si>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</si>
  <si>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</si>
  <si>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</si>
  <si>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</si>
  <si>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</si>
  <si>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</si>
  <si>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</si>
  <si>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</si>
  <si>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</si>
  <si>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</si>
  <si>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</si>
  <si>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</si>
  <si>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</si>
  <si>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</si>
  <si>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</si>
  <si>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</si>
  <si>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</si>
  <si>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</si>
  <si>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</si>
  <si>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</si>
  <si>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</si>
  <si>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</si>
  <si>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</si>
  <si>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</si>
  <si>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</si>
  <si>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</si>
  <si>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</si>
  <si>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</si>
  <si>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</si>
  <si>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</si>
  <si>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</si>
  <si>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</si>
  <si>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</si>
  <si>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</si>
  <si>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</si>
  <si>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</si>
  <si>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</si>
  <si>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</si>
  <si>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</si>
  <si>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</si>
  <si>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</si>
  <si>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</si>
  <si>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</si>
  <si>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</si>
  <si>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</si>
  <si>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</si>
  <si>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</si>
  <si>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</si>
  <si>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</si>
  <si>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</si>
  <si>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</si>
  <si>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</si>
  <si>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</si>
  <si>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</si>
  <si>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</si>
  <si>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</si>
  <si>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</si>
  <si>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</si>
  <si>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</si>
  <si>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</si>
  <si>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</si>
  <si>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</si>
  <si>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</si>
  <si>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</si>
  <si>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</si>
  <si>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</si>
  <si>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</si>
  <si>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</si>
  <si>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</si>
  <si>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</si>
  <si>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</si>
  <si>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</si>
  <si>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</si>
  <si>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</si>
  <si>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</si>
  <si>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</si>
  <si>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</si>
  <si>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</si>
  <si>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</si>
  <si>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</si>
  <si>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</si>
  <si>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</si>
  <si>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</si>
  <si>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</si>
  <si>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</si>
  <si>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</si>
  <si>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</si>
  <si>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</si>
  <si>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</si>
  <si>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</si>
  <si>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</si>
  <si>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</si>
  <si>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</si>
  <si>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</si>
  <si>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</si>
  <si>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</si>
  <si>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</si>
  <si>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</si>
  <si>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</si>
  <si>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</si>
  <si>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</si>
  <si>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</si>
  <si>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</si>
  <si>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</si>
  <si>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</si>
  <si>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</si>
  <si>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</si>
  <si>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</si>
  <si>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</si>
  <si>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</si>
  <si>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</si>
  <si>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</si>
  <si>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</si>
  <si>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</si>
  <si>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</si>
  <si>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</si>
  <si>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</si>
  <si>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</si>
  <si>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</si>
  <si>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</si>
  <si>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</si>
  <si>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</si>
  <si>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</si>
  <si>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</si>
  <si>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</si>
  <si>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</si>
  <si>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</si>
  <si>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</si>
  <si>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</si>
  <si>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</si>
  <si>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</si>
  <si>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</si>
  <si>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</si>
  <si>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</si>
  <si>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</si>
  <si>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</si>
  <si>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</si>
  <si>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</si>
  <si>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</si>
  <si>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</si>
  <si>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</si>
  <si>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</si>
  <si>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</si>
  <si>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</si>
  <si>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</si>
  <si>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</si>
  <si>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</si>
  <si>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</si>
  <si>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</si>
  <si>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</si>
  <si>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</si>
  <si>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</si>
  <si>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</si>
  <si>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</si>
  <si>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</si>
  <si>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</si>
  <si>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</si>
  <si>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</si>
  <si>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</si>
  <si>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</si>
  <si>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</si>
  <si>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</si>
  <si>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</si>
  <si>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</si>
  <si>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</si>
  <si>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</si>
  <si>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</si>
  <si>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</si>
  <si>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</si>
  <si>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</si>
  <si>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</si>
  <si>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 xml:space="preserve">Revenue Breakdown by Segment </t>
  </si>
  <si>
    <t>Financial Stmts. Notes/Observations (Updated Q2'26)</t>
  </si>
  <si>
    <t>General Notes/Observations (Updated Q2'26)</t>
  </si>
  <si>
    <t>2025-2026</t>
  </si>
  <si>
    <r>
      <rPr>
        <b/>
        <sz val="11"/>
        <color rgb="FF0070C0"/>
        <rFont val="Calibre"/>
      </rPr>
      <t>Avg.</t>
    </r>
    <r>
      <rPr>
        <sz val="11"/>
        <color rgb="FF0070C0"/>
        <rFont val="Calibre"/>
      </rPr>
      <t xml:space="preserve"> (2025-2026)</t>
    </r>
  </si>
  <si>
    <t>Q1 2027</t>
  </si>
  <si>
    <t>Q2 2027</t>
  </si>
  <si>
    <t>Q3 2027</t>
  </si>
  <si>
    <t>Q4 2027</t>
  </si>
  <si>
    <t>10/9/2026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</si>
</sst>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0_);_(* \(#,##0.0\);_(* &quot;-&quot;??_);_(@_)"/>
    <numFmt numFmtId="167" formatCode="_(* #,##0_);_(* \(#,##0\);_(* &quot;-&quot;??_);_(@_)"/>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sz val="10"/>
      <color theme="1"/>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xf numFmtId="0" fontId="18" fillId="0" borderId="0"/>
  </cellStyleXfs>
  <cellXfs count="99">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center"/>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0" fontId="12" fillId="0" borderId="0" xfId="0" applyFont="1" applyAlignment="1">
      <alignment vertical="top"/>
    </xf>
    <xf numFmtId="2" fontId="13" fillId="0" borderId="0" xfId="0" applyNumberFormat="1" applyFont="1" applyAlignment="1">
      <alignment vertical="top"/>
    </xf>
    <xf numFmtId="49" fontId="13" fillId="0" borderId="0" xfId="0" applyNumberFormat="1" applyFont="1" applyAlignment="1">
      <alignment horizontal="right" vertical="top"/>
    </xf>
    <xf numFmtId="0" fontId="13" fillId="0" borderId="0" xfId="0" applyFont="1" applyAlignment="1">
      <alignment horizontal="left" vertical="top"/>
    </xf>
    <xf numFmtId="43" fontId="2" fillId="0" borderId="0" xfId="3" applyFont="1" applyAlignment="1">
      <alignment horizontal="left"/>
    </xf>
    <xf numFmtId="166" fontId="2" fillId="0" borderId="0" xfId="3" applyNumberFormat="1" applyFont="1" applyAlignment="1">
      <alignment horizontal="left"/>
    </xf>
    <xf numFmtId="167" fontId="2" fillId="0" borderId="0" xfId="3" applyNumberFormat="1" applyFont="1" applyAlignment="1">
      <alignment horizontal="left"/>
    </xf>
    <xf numFmtId="2" fontId="2" fillId="0" borderId="0" xfId="0" applyNumberFormat="1" applyFont="1" applyAlignment="1">
      <alignment vertical="center"/>
    </xf>
    <xf numFmtId="10" fontId="2" fillId="0" borderId="0" xfId="0" applyNumberFormat="1" applyFont="1" applyAlignment="1">
      <alignment vertical="center"/>
    </xf>
    <xf numFmtId="43" fontId="2" fillId="0" borderId="0" xfId="3" applyFont="1"/>
    <xf numFmtId="165" fontId="2" fillId="0" borderId="0" xfId="1" applyNumberFormat="1" applyFont="1"/>
    <xf numFmtId="165" fontId="3" fillId="0" borderId="0" xfId="1" applyNumberFormat="1" applyFont="1"/>
    <xf numFmtId="1" fontId="13" fillId="0" borderId="0" xfId="0" applyNumberFormat="1" applyFont="1"/>
    <xf numFmtId="1" fontId="12" fillId="0" borderId="0" xfId="0" applyNumberFormat="1" applyFont="1"/>
    <xf numFmtId="0" fontId="12" fillId="0" borderId="0" xfId="0" applyFont="1" applyAlignment="1">
      <alignment horizontal="left" vertical="top" indent="1"/>
    </xf>
    <xf numFmtId="0" fontId="12" fillId="0" borderId="0" xfId="0" applyFont="1" applyAlignment="1">
      <alignment horizontal="right" vertical="center"/>
    </xf>
    <xf numFmtId="0" fontId="13" fillId="0" borderId="0" xfId="0" applyFont="1" applyAlignment="1">
      <alignment horizontal="left" indent="1"/>
    </xf>
    <xf numFmtId="10" fontId="13" fillId="0" borderId="0" xfId="1" applyNumberFormat="1" applyFont="1"/>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0" fontId="13" fillId="0" borderId="0" xfId="0" applyFont="1" applyAlignment="1">
      <alignment horizontal="left" vertical="top" indent="1"/>
    </xf>
    <xf numFmtId="2" fontId="13" fillId="0" borderId="0" xfId="0" applyNumberFormat="1" applyFont="1"/>
    <xf numFmtId="9" fontId="13" fillId="0" borderId="0" xfId="1" applyFont="1"/>
    <xf numFmtId="10" fontId="13" fillId="0" borderId="0" xfId="1" applyNumberFormat="1" applyFont="1" applyAlignment="1">
      <alignment horizontal="left" indent="1"/>
    </xf>
    <xf numFmtId="10" fontId="13" fillId="0" borderId="0" xfId="1" applyNumberFormat="1" applyFont="1" applyAlignment="1">
      <alignment horizontal="right"/>
    </xf>
    <xf numFmtId="0" fontId="13" fillId="0" borderId="0" xfId="0" applyFont="1" applyAlignment="1">
      <alignment horizontal="center"/>
    </xf>
    <xf numFmtId="1" fontId="12" fillId="0" borderId="0" xfId="0" applyNumberFormat="1" applyFont="1" applyAlignment="1">
      <alignment horizontal="left" indent="1"/>
    </xf>
    <xf numFmtId="10" fontId="13" fillId="0" borderId="0" xfId="0" applyNumberFormat="1" applyFont="1"/>
    <xf numFmtId="2" fontId="8" fillId="5" borderId="0" xfId="0" applyNumberFormat="1" applyFont="1" applyFill="1" applyAlignment="1">
      <alignment horizontal="center" vertical="center"/>
    </xf>
    <xf numFmtId="10" fontId="2" fillId="0" borderId="0" xfId="1" applyNumberFormat="1" applyFont="1"/>
    <xf numFmtId="4" fontId="18" fillId="0" borderId="0" xfId="4" applyNumberFormat="1"/>
    <xf numFmtId="3" fontId="18" fillId="0" borderId="0" xfId="4" applyNumberFormat="1"/>
    <xf numFmtId="0" fontId="18" fillId="0" borderId="0" xfId="4"/>
    <xf numFmtId="10" fontId="0" fillId="0" borderId="0" xfId="0" applyNumberFormat="1"/>
    <xf numFmtId="0" fontId="0" fillId="0" borderId="18" xfId="0" applyBorder="1"/>
    <xf numFmtId="1" fontId="13" fillId="0" borderId="0" xfId="0" applyNumberFormat="1" applyFont="1" applyAlignment="1">
      <alignment horizontal="right" vertical="top"/>
    </xf>
    <xf numFmtId="1" fontId="13" fillId="0" borderId="0" xfId="0" applyNumberFormat="1" applyFont="1" applyAlignment="1">
      <alignment horizontal="center" vertical="top"/>
    </xf>
    <xf numFmtId="1" fontId="13" fillId="0" borderId="0" xfId="0" applyNumberFormat="1" applyFont="1" applyAlignment="1">
      <alignment vertical="top" wrapText="1"/>
    </xf>
    <xf numFmtId="1" fontId="13" fillId="0" borderId="0" xfId="1" applyNumberFormat="1" applyFont="1" applyAlignment="1">
      <alignment vertical="top"/>
    </xf>
    <xf numFmtId="1" fontId="12" fillId="0" borderId="0" xfId="0" applyNumberFormat="1" applyFont="1" applyAlignment="1">
      <alignment vertical="top"/>
    </xf>
    <xf numFmtId="1" fontId="12" fillId="0" borderId="0" xfId="0" applyNumberFormat="1" applyFont="1" applyAlignment="1">
      <alignment vertical="top" wrapText="1"/>
    </xf>
    <xf numFmtId="165" fontId="13" fillId="0" borderId="0" xfId="0" applyNumberFormat="1" applyFont="1" applyAlignment="1">
      <alignment vertical="top"/>
    </xf>
    <xf numFmtId="165" fontId="13" fillId="0" borderId="0" xfId="1" applyNumberFormat="1" applyFont="1"/>
    <xf numFmtId="165" fontId="12" fillId="0" borderId="0" xfId="1" applyNumberFormat="1" applyFont="1"/>
    <xf numFmtId="1" fontId="17" fillId="0" borderId="0" xfId="0" applyNumberFormat="1" applyFont="1" applyAlignment="1">
      <alignment horizontal="center"/>
    </xf>
    <xf numFmtId="0" fontId="17" fillId="0" borderId="0" xfId="0" applyFont="1" applyAlignment="1">
      <alignment horizontal="center"/>
    </xf>
  </cellXfs>
  <cellStyles count="5">
    <cellStyle name="Comma" xfId="3" builtinId="3"/>
    <cellStyle name="Hyperlink" xfId="2" builtinId="8"/>
    <cellStyle name="Normal" xfId="0" builtinId="0"/>
    <cellStyle name="Normal 2" xfId="4" xr:uid="{737CE5C8-C6FA-4AFB-91A2-7126C895D388}"/>
    <cellStyle name="Percent" xfId="1" builtinId="5"/>
  </cellStyles>
  <dxfs count="10">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(ORCL)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Model!$B$4</c:f>
              <c:strCache>
                <c:ptCount val="1"/>
                <c:pt idx="0">
                  <c:v>Cloud</c:v>
                </c:pt>
              </c:strCache>
            </c:strRef>
          </c:tx>
          <c:spPr>
            <a:solidFill>
              <a:schemeClr val="accent1">
                <a:lumMod val="60000"/>
                <a:lumOff val="40000"/>
              </a:schemeClr>
            </a:solidFill>
            <a:ln>
              <a:noFill/>
            </a:ln>
            <a:effectLst/>
          </c:spPr>
          <c:invertIfNegative val="0"/>
          <c:cat>
            <c:strRef>
              <c:f>Model!$BC$1:$BK$1</c:f>
              <c:strCache>
                <c:ptCount val="9"/>
                <c:pt idx="0">
                  <c:v>Q1 2025</c:v>
                </c:pt>
                <c:pt idx="4">
                  <c:v>Q1 2026</c:v>
                </c:pt>
                <c:pt idx="8">
                  <c:v>Q1 2027</c:v>
                </c:pt>
              </c:strCache>
            </c:strRef>
          </c:cat>
          <c:val>
            <c:numRef>
              <c:f>Model!$BC$4:$BK$4</c:f>
              <c:numCache>
                <c:formatCode>General</c:formatCode>
                <c:ptCount val="9"/>
                <c:pt idx="0">
                  <c:v>5623</c:v>
                </c:pt>
                <c:pt idx="1">
                  <c:v>5937</c:v>
                </c:pt>
                <c:pt idx="2">
                  <c:v>6210</c:v>
                </c:pt>
                <c:pt idx="3">
                  <c:v>6736</c:v>
                </c:pt>
                <c:pt idx="4">
                  <c:v>7186</c:v>
                </c:pt>
                <c:pt idx="5">
                  <c:v>7977</c:v>
                </c:pt>
                <c:pt idx="6">
                  <c:v>8914</c:v>
                </c:pt>
                <c:pt idx="7">
                  <c:v>9912</c:v>
                </c:pt>
                <c:pt idx="8">
                  <c:v>11607</c:v>
                </c:pt>
              </c:numCache>
            </c:numRef>
          </c:val>
          <c:extLst>
            <c:ext xmlns:c16="http://schemas.microsoft.com/office/drawing/2014/chart" uri="{C3380CC4-5D6E-409C-BE32-E72D297353CC}">
              <c16:uniqueId val="{00000006-076A-4DCA-A523-8CB9ECF914AB}"/>
            </c:ext>
          </c:extLst>
        </c:ser>
        <c:ser>
          <c:idx val="7"/>
          <c:order val="1"/>
          <c:tx>
            <c:strRef>
              <c:f>Model!$B$5</c:f>
              <c:strCache>
                <c:ptCount val="1"/>
                <c:pt idx="0">
                  <c:v>Software</c:v>
                </c:pt>
              </c:strCache>
            </c:strRef>
          </c:tx>
          <c:spPr>
            <a:solidFill>
              <a:srgbClr val="5881CC"/>
            </a:solidFill>
            <a:ln>
              <a:noFill/>
            </a:ln>
            <a:effectLst/>
          </c:spPr>
          <c:invertIfNegative val="0"/>
          <c:cat>
            <c:strRef>
              <c:f>Model!$BC$1:$BK$1</c:f>
              <c:strCache>
                <c:ptCount val="9"/>
                <c:pt idx="0">
                  <c:v>Q1 2025</c:v>
                </c:pt>
                <c:pt idx="4">
                  <c:v>Q1 2026</c:v>
                </c:pt>
                <c:pt idx="8">
                  <c:v>Q1 2027</c:v>
                </c:pt>
              </c:strCache>
            </c:strRef>
          </c:cat>
          <c:val>
            <c:numRef>
              <c:f>Model!$BC$5:$BK$5</c:f>
              <c:numCache>
                <c:formatCode>General</c:formatCode>
                <c:ptCount val="9"/>
                <c:pt idx="0">
                  <c:v>5766</c:v>
                </c:pt>
                <c:pt idx="1">
                  <c:v>6064</c:v>
                </c:pt>
                <c:pt idx="2">
                  <c:v>5926</c:v>
                </c:pt>
                <c:pt idx="3">
                  <c:v>6968</c:v>
                </c:pt>
                <c:pt idx="4">
                  <c:v>5721</c:v>
                </c:pt>
                <c:pt idx="5">
                  <c:v>5877</c:v>
                </c:pt>
                <c:pt idx="6">
                  <c:v>6119</c:v>
                </c:pt>
                <c:pt idx="7">
                  <c:v>6824</c:v>
                </c:pt>
                <c:pt idx="8">
                  <c:v>5550</c:v>
                </c:pt>
              </c:numCache>
            </c:numRef>
          </c:val>
          <c:extLst>
            <c:ext xmlns:c16="http://schemas.microsoft.com/office/drawing/2014/chart" uri="{C3380CC4-5D6E-409C-BE32-E72D297353CC}">
              <c16:uniqueId val="{00000007-076A-4DCA-A523-8CB9ECF914AB}"/>
            </c:ext>
          </c:extLst>
        </c:ser>
        <c:ser>
          <c:idx val="8"/>
          <c:order val="2"/>
          <c:tx>
            <c:strRef>
              <c:f>Model!$B$6</c:f>
              <c:strCache>
                <c:ptCount val="1"/>
                <c:pt idx="0">
                  <c:v>Hardware</c:v>
                </c:pt>
              </c:strCache>
            </c:strRef>
          </c:tx>
          <c:spPr>
            <a:solidFill>
              <a:schemeClr val="accent5">
                <a:lumMod val="50000"/>
              </a:schemeClr>
            </a:solidFill>
            <a:ln>
              <a:noFill/>
            </a:ln>
            <a:effectLst/>
          </c:spPr>
          <c:invertIfNegative val="0"/>
          <c:cat>
            <c:strRef>
              <c:f>Model!$BC$1:$BK$1</c:f>
              <c:strCache>
                <c:ptCount val="9"/>
                <c:pt idx="0">
                  <c:v>Q1 2025</c:v>
                </c:pt>
                <c:pt idx="4">
                  <c:v>Q1 2026</c:v>
                </c:pt>
                <c:pt idx="8">
                  <c:v>Q1 2027</c:v>
                </c:pt>
              </c:strCache>
            </c:strRef>
          </c:cat>
          <c:val>
            <c:numRef>
              <c:f>Model!$BC$6:$BK$6</c:f>
              <c:numCache>
                <c:formatCode>General</c:formatCode>
                <c:ptCount val="9"/>
                <c:pt idx="0">
                  <c:v>655</c:v>
                </c:pt>
                <c:pt idx="1">
                  <c:v>728</c:v>
                </c:pt>
                <c:pt idx="2">
                  <c:v>703</c:v>
                </c:pt>
                <c:pt idx="3">
                  <c:v>850</c:v>
                </c:pt>
                <c:pt idx="4">
                  <c:v>670</c:v>
                </c:pt>
                <c:pt idx="5">
                  <c:v>776</c:v>
                </c:pt>
                <c:pt idx="6">
                  <c:v>714</c:v>
                </c:pt>
                <c:pt idx="7">
                  <c:v>924</c:v>
                </c:pt>
                <c:pt idx="8">
                  <c:v>774</c:v>
                </c:pt>
              </c:numCache>
            </c:numRef>
          </c:val>
          <c:extLst>
            <c:ext xmlns:c16="http://schemas.microsoft.com/office/drawing/2014/chart" uri="{C3380CC4-5D6E-409C-BE32-E72D297353CC}">
              <c16:uniqueId val="{00000008-076A-4DCA-A523-8CB9ECF914AB}"/>
            </c:ext>
          </c:extLst>
        </c:ser>
        <c:ser>
          <c:idx val="9"/>
          <c:order val="3"/>
          <c:tx>
            <c:strRef>
              <c:f>Model!$B$7</c:f>
              <c:strCache>
                <c:ptCount val="1"/>
                <c:pt idx="0">
                  <c:v>Services</c:v>
                </c:pt>
              </c:strCache>
            </c:strRef>
          </c:tx>
          <c:spPr>
            <a:solidFill>
              <a:srgbClr val="CF73AA"/>
            </a:solidFill>
            <a:ln>
              <a:noFill/>
            </a:ln>
            <a:effectLst/>
          </c:spPr>
          <c:invertIfNegative val="0"/>
          <c:cat>
            <c:strRef>
              <c:f>Model!$BC$1:$BK$1</c:f>
              <c:strCache>
                <c:ptCount val="9"/>
                <c:pt idx="0">
                  <c:v>Q1 2025</c:v>
                </c:pt>
                <c:pt idx="4">
                  <c:v>Q1 2026</c:v>
                </c:pt>
                <c:pt idx="8">
                  <c:v>Q1 2027</c:v>
                </c:pt>
              </c:strCache>
            </c:strRef>
          </c:cat>
          <c:val>
            <c:numRef>
              <c:f>Model!$BC$7:$BK$7</c:f>
              <c:numCache>
                <c:formatCode>General</c:formatCode>
                <c:ptCount val="9"/>
                <c:pt idx="0">
                  <c:v>1263</c:v>
                </c:pt>
                <c:pt idx="1">
                  <c:v>1330</c:v>
                </c:pt>
                <c:pt idx="2">
                  <c:v>1291</c:v>
                </c:pt>
                <c:pt idx="3">
                  <c:v>1349</c:v>
                </c:pt>
                <c:pt idx="4">
                  <c:v>1349</c:v>
                </c:pt>
                <c:pt idx="5">
                  <c:v>1428</c:v>
                </c:pt>
                <c:pt idx="6">
                  <c:v>1443</c:v>
                </c:pt>
                <c:pt idx="7">
                  <c:v>1523</c:v>
                </c:pt>
                <c:pt idx="8">
                  <c:v>1414</c:v>
                </c:pt>
              </c:numCache>
            </c:numRef>
          </c:val>
          <c:extLst>
            <c:ext xmlns:c16="http://schemas.microsoft.com/office/drawing/2014/chart" uri="{C3380CC4-5D6E-409C-BE32-E72D297353CC}">
              <c16:uniqueId val="{00000009-076A-4DCA-A523-8CB9ECF914AB}"/>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(ORCL)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Model!$AM$38:$BK$38</c:f>
              <c:numCache>
                <c:formatCode>General</c:formatCode>
                <c:ptCount val="25"/>
                <c:pt idx="0">
                  <c:v>2251</c:v>
                </c:pt>
                <c:pt idx="1">
                  <c:v>2442</c:v>
                </c:pt>
                <c:pt idx="2">
                  <c:v>1532</c:v>
                </c:pt>
                <c:pt idx="3">
                  <c:v>6028</c:v>
                </c:pt>
                <c:pt idx="4">
                  <c:v>2457</c:v>
                </c:pt>
                <c:pt idx="5">
                  <c:v>-1247</c:v>
                </c:pt>
                <c:pt idx="6">
                  <c:v>3361</c:v>
                </c:pt>
                <c:pt idx="7">
                  <c:v>2147</c:v>
                </c:pt>
                <c:pt idx="8">
                  <c:v>1548</c:v>
                </c:pt>
                <c:pt idx="9">
                  <c:v>1741</c:v>
                </c:pt>
                <c:pt idx="10">
                  <c:v>1896</c:v>
                </c:pt>
                <c:pt idx="11">
                  <c:v>3319</c:v>
                </c:pt>
                <c:pt idx="12">
                  <c:v>2330</c:v>
                </c:pt>
                <c:pt idx="13">
                  <c:v>2503</c:v>
                </c:pt>
                <c:pt idx="14">
                  <c:v>2401</c:v>
                </c:pt>
                <c:pt idx="15">
                  <c:v>3233</c:v>
                </c:pt>
                <c:pt idx="16">
                  <c:v>2929</c:v>
                </c:pt>
                <c:pt idx="17">
                  <c:v>3151</c:v>
                </c:pt>
                <c:pt idx="18">
                  <c:v>2936</c:v>
                </c:pt>
                <c:pt idx="19">
                  <c:v>3427</c:v>
                </c:pt>
                <c:pt idx="20">
                  <c:v>2927</c:v>
                </c:pt>
                <c:pt idx="21">
                  <c:v>6135</c:v>
                </c:pt>
                <c:pt idx="22">
                  <c:v>3699</c:v>
                </c:pt>
                <c:pt idx="23">
                  <c:v>4223</c:v>
                </c:pt>
                <c:pt idx="24">
                  <c:v>4679</c:v>
                </c:pt>
              </c:numCache>
            </c:numRef>
          </c:val>
          <c:extLst>
            <c:ext xmlns:c16="http://schemas.microsoft.com/office/drawing/2014/chart" uri="{C3380CC4-5D6E-409C-BE32-E72D297353CC}">
              <c16:uniqueId val="{00000000-2D79-48F9-8030-1BFB77F248AE}"/>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Model!$AM$88:$BK$88</c:f>
              <c:numCache>
                <c:formatCode>General</c:formatCode>
                <c:ptCount val="25"/>
                <c:pt idx="0">
                  <c:v>5517</c:v>
                </c:pt>
                <c:pt idx="1">
                  <c:v>820</c:v>
                </c:pt>
                <c:pt idx="2">
                  <c:v>3290</c:v>
                </c:pt>
                <c:pt idx="3">
                  <c:v>4125</c:v>
                </c:pt>
                <c:pt idx="4">
                  <c:v>4329</c:v>
                </c:pt>
                <c:pt idx="5">
                  <c:v>-4607</c:v>
                </c:pt>
                <c:pt idx="6">
                  <c:v>2744</c:v>
                </c:pt>
                <c:pt idx="7">
                  <c:v>2562</c:v>
                </c:pt>
                <c:pt idx="8">
                  <c:v>4675</c:v>
                </c:pt>
                <c:pt idx="9">
                  <c:v>-1586</c:v>
                </c:pt>
                <c:pt idx="10">
                  <c:v>1647</c:v>
                </c:pt>
                <c:pt idx="11">
                  <c:v>3734</c:v>
                </c:pt>
                <c:pt idx="12">
                  <c:v>5660</c:v>
                </c:pt>
                <c:pt idx="13">
                  <c:v>-937</c:v>
                </c:pt>
                <c:pt idx="14">
                  <c:v>3801</c:v>
                </c:pt>
                <c:pt idx="15">
                  <c:v>3283</c:v>
                </c:pt>
                <c:pt idx="16">
                  <c:v>5124</c:v>
                </c:pt>
                <c:pt idx="17">
                  <c:v>-2666</c:v>
                </c:pt>
                <c:pt idx="18">
                  <c:v>71</c:v>
                </c:pt>
                <c:pt idx="19">
                  <c:v>-2923</c:v>
                </c:pt>
                <c:pt idx="20">
                  <c:v>-362</c:v>
                </c:pt>
                <c:pt idx="21">
                  <c:v>-9967</c:v>
                </c:pt>
                <c:pt idx="22">
                  <c:v>-11484</c:v>
                </c:pt>
                <c:pt idx="23">
                  <c:v>-1873</c:v>
                </c:pt>
                <c:pt idx="24">
                  <c:v>-5396</c:v>
                </c:pt>
              </c:numCache>
            </c:numRef>
          </c:val>
          <c:extLst>
            <c:ext xmlns:c16="http://schemas.microsoft.com/office/drawing/2014/chart" uri="{C3380CC4-5D6E-409C-BE32-E72D297353CC}">
              <c16:uniqueId val="{00000001-2D79-48F9-8030-1BFB77F248AE}"/>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strRef>
              <c:f>Model!$AM$1:$BK$1</c:f>
              <c:strCache>
                <c:ptCount val="25"/>
                <c:pt idx="0">
                  <c:v>Q1 2021</c:v>
                </c:pt>
                <c:pt idx="4">
                  <c:v>Q1 2022</c:v>
                </c:pt>
                <c:pt idx="8">
                  <c:v>Q1 2023</c:v>
                </c:pt>
                <c:pt idx="12">
                  <c:v>Q1 2024</c:v>
                </c:pt>
                <c:pt idx="16">
                  <c:v>Q1 2025</c:v>
                </c:pt>
                <c:pt idx="20">
                  <c:v>Q1 2026</c:v>
                </c:pt>
                <c:pt idx="24">
                  <c:v>Q1 2027</c:v>
                </c:pt>
              </c:strCache>
            </c:strRef>
          </c:cat>
          <c:val>
            <c:numRef>
              <c:f>Model!$AM$21:$BK$21</c:f>
              <c:numCache>
                <c:formatCode>General</c:formatCode>
                <c:ptCount val="25"/>
                <c:pt idx="0">
                  <c:v>9367</c:v>
                </c:pt>
                <c:pt idx="1">
                  <c:v>9800</c:v>
                </c:pt>
                <c:pt idx="2">
                  <c:v>10086</c:v>
                </c:pt>
                <c:pt idx="3">
                  <c:v>11227</c:v>
                </c:pt>
                <c:pt idx="4">
                  <c:v>9728</c:v>
                </c:pt>
                <c:pt idx="5">
                  <c:v>10360</c:v>
                </c:pt>
                <c:pt idx="6">
                  <c:v>10513</c:v>
                </c:pt>
                <c:pt idx="7">
                  <c:v>11840</c:v>
                </c:pt>
                <c:pt idx="8">
                  <c:v>11445</c:v>
                </c:pt>
                <c:pt idx="9">
                  <c:v>12275</c:v>
                </c:pt>
                <c:pt idx="10">
                  <c:v>12398</c:v>
                </c:pt>
                <c:pt idx="11">
                  <c:v>13837</c:v>
                </c:pt>
                <c:pt idx="12">
                  <c:v>12453</c:v>
                </c:pt>
                <c:pt idx="13">
                  <c:v>12941</c:v>
                </c:pt>
                <c:pt idx="14">
                  <c:v>13280</c:v>
                </c:pt>
                <c:pt idx="15">
                  <c:v>14287</c:v>
                </c:pt>
                <c:pt idx="16">
                  <c:v>13307</c:v>
                </c:pt>
                <c:pt idx="17">
                  <c:v>14059</c:v>
                </c:pt>
                <c:pt idx="18">
                  <c:v>14130</c:v>
                </c:pt>
                <c:pt idx="19">
                  <c:v>15903</c:v>
                </c:pt>
                <c:pt idx="20">
                  <c:v>14926</c:v>
                </c:pt>
                <c:pt idx="21">
                  <c:v>16058</c:v>
                </c:pt>
                <c:pt idx="22">
                  <c:v>17190</c:v>
                </c:pt>
                <c:pt idx="23">
                  <c:v>19183</c:v>
                </c:pt>
                <c:pt idx="24">
                  <c:v>19345</c:v>
                </c:pt>
              </c:numCache>
            </c:numRef>
          </c:val>
          <c:smooth val="0"/>
          <c:extLst>
            <c:ext xmlns:c16="http://schemas.microsoft.com/office/drawing/2014/chart" uri="{C3380CC4-5D6E-409C-BE32-E72D297353CC}">
              <c16:uniqueId val="{00000002-2D79-48F9-8030-1BFB77F248AE}"/>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(ORCL) 1-Day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Analysis'!$Q$209</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Analysis'!$Q$211:$Q$341</c:f>
              <c:numCache>
                <c:formatCode>0.00%</c:formatCode>
                <c:ptCount val="131"/>
                <c:pt idx="0">
                  <c:v>-6.5000000000000044E-2</c:v>
                </c:pt>
                <c:pt idx="1">
                  <c:v>-6.4000000000000043E-2</c:v>
                </c:pt>
                <c:pt idx="2">
                  <c:v>-6.3000000000000042E-2</c:v>
                </c:pt>
                <c:pt idx="3">
                  <c:v>-6.2000000000000048E-2</c:v>
                </c:pt>
                <c:pt idx="4">
                  <c:v>-6.1000000000000047E-2</c:v>
                </c:pt>
                <c:pt idx="5">
                  <c:v>-6.0000000000000046E-2</c:v>
                </c:pt>
                <c:pt idx="6">
                  <c:v>-5.9000000000000045E-2</c:v>
                </c:pt>
                <c:pt idx="7">
                  <c:v>-5.8000000000000045E-2</c:v>
                </c:pt>
                <c:pt idx="8">
                  <c:v>-5.7000000000000044E-2</c:v>
                </c:pt>
                <c:pt idx="9">
                  <c:v>-5.6000000000000043E-2</c:v>
                </c:pt>
                <c:pt idx="10">
                  <c:v>-5.5000000000000042E-2</c:v>
                </c:pt>
                <c:pt idx="11">
                  <c:v>-5.4000000000000041E-2</c:v>
                </c:pt>
                <c:pt idx="12">
                  <c:v>-5.300000000000004E-2</c:v>
                </c:pt>
                <c:pt idx="13">
                  <c:v>-5.2000000000000039E-2</c:v>
                </c:pt>
                <c:pt idx="14">
                  <c:v>-5.1000000000000038E-2</c:v>
                </c:pt>
                <c:pt idx="15">
                  <c:v>-5.0000000000000037E-2</c:v>
                </c:pt>
                <c:pt idx="16">
                  <c:v>-4.9000000000000037E-2</c:v>
                </c:pt>
                <c:pt idx="17">
                  <c:v>-4.8000000000000036E-2</c:v>
                </c:pt>
                <c:pt idx="18">
                  <c:v>-4.7000000000000035E-2</c:v>
                </c:pt>
                <c:pt idx="19">
                  <c:v>-4.6000000000000034E-2</c:v>
                </c:pt>
                <c:pt idx="20">
                  <c:v>-4.5000000000000033E-2</c:v>
                </c:pt>
                <c:pt idx="21">
                  <c:v>-4.4000000000000032E-2</c:v>
                </c:pt>
                <c:pt idx="22">
                  <c:v>-4.3000000000000031E-2</c:v>
                </c:pt>
                <c:pt idx="23">
                  <c:v>-4.200000000000003E-2</c:v>
                </c:pt>
                <c:pt idx="24">
                  <c:v>-4.1000000000000029E-2</c:v>
                </c:pt>
                <c:pt idx="25">
                  <c:v>-4.0000000000000029E-2</c:v>
                </c:pt>
                <c:pt idx="26">
                  <c:v>-3.9000000000000028E-2</c:v>
                </c:pt>
                <c:pt idx="27">
                  <c:v>-3.8000000000000027E-2</c:v>
                </c:pt>
                <c:pt idx="28">
                  <c:v>-3.7000000000000026E-2</c:v>
                </c:pt>
                <c:pt idx="29">
                  <c:v>-3.6000000000000025E-2</c:v>
                </c:pt>
                <c:pt idx="30">
                  <c:v>-3.5000000000000024E-2</c:v>
                </c:pt>
                <c:pt idx="31">
                  <c:v>-3.4000000000000023E-2</c:v>
                </c:pt>
                <c:pt idx="32">
                  <c:v>-3.3000000000000022E-2</c:v>
                </c:pt>
                <c:pt idx="33">
                  <c:v>-3.2000000000000021E-2</c:v>
                </c:pt>
                <c:pt idx="34">
                  <c:v>-3.1000000000000021E-2</c:v>
                </c:pt>
                <c:pt idx="35">
                  <c:v>-3.000000000000002E-2</c:v>
                </c:pt>
                <c:pt idx="36">
                  <c:v>-2.9000000000000019E-2</c:v>
                </c:pt>
                <c:pt idx="37">
                  <c:v>-2.8000000000000018E-2</c:v>
                </c:pt>
                <c:pt idx="38">
                  <c:v>-2.7000000000000017E-2</c:v>
                </c:pt>
                <c:pt idx="39">
                  <c:v>-2.6000000000000016E-2</c:v>
                </c:pt>
                <c:pt idx="40">
                  <c:v>-2.5000000000000015E-2</c:v>
                </c:pt>
                <c:pt idx="41">
                  <c:v>-2.4000000000000014E-2</c:v>
                </c:pt>
                <c:pt idx="42">
                  <c:v>-2.3000000000000013E-2</c:v>
                </c:pt>
                <c:pt idx="43">
                  <c:v>-2.2000000000000013E-2</c:v>
                </c:pt>
                <c:pt idx="44">
                  <c:v>-2.1000000000000012E-2</c:v>
                </c:pt>
                <c:pt idx="45">
                  <c:v>-2.0000000000000011E-2</c:v>
                </c:pt>
                <c:pt idx="46">
                  <c:v>-1.900000000000001E-2</c:v>
                </c:pt>
                <c:pt idx="47">
                  <c:v>-1.8000000000000009E-2</c:v>
                </c:pt>
                <c:pt idx="48">
                  <c:v>-1.7000000000000008E-2</c:v>
                </c:pt>
                <c:pt idx="49">
                  <c:v>-1.6000000000000007E-2</c:v>
                </c:pt>
                <c:pt idx="50">
                  <c:v>-1.5000000000000006E-2</c:v>
                </c:pt>
                <c:pt idx="51">
                  <c:v>-1.4000000000000005E-2</c:v>
                </c:pt>
                <c:pt idx="52">
                  <c:v>-1.3000000000000005E-2</c:v>
                </c:pt>
                <c:pt idx="53">
                  <c:v>-1.2000000000000004E-2</c:v>
                </c:pt>
                <c:pt idx="54">
                  <c:v>-1.1000000000000003E-2</c:v>
                </c:pt>
                <c:pt idx="55">
                  <c:v>-1.0000000000000002E-2</c:v>
                </c:pt>
                <c:pt idx="56">
                  <c:v>-9.0000000000000011E-3</c:v>
                </c:pt>
                <c:pt idx="57">
                  <c:v>-8.0000000000000002E-3</c:v>
                </c:pt>
                <c:pt idx="58">
                  <c:v>-7.0000000000000001E-3</c:v>
                </c:pt>
                <c:pt idx="59">
                  <c:v>-6.0000000000000001E-3</c:v>
                </c:pt>
                <c:pt idx="60">
                  <c:v>-5.0000000000000001E-3</c:v>
                </c:pt>
                <c:pt idx="61">
                  <c:v>-4.0000000000000001E-3</c:v>
                </c:pt>
                <c:pt idx="62">
                  <c:v>-3.0000000000000001E-3</c:v>
                </c:pt>
                <c:pt idx="63">
                  <c:v>-2E-3</c:v>
                </c:pt>
                <c:pt idx="64">
                  <c:v>-1E-3</c:v>
                </c:pt>
                <c:pt idx="65">
                  <c:v>0</c:v>
                </c:pt>
                <c:pt idx="66">
                  <c:v>1E-3</c:v>
                </c:pt>
                <c:pt idx="67">
                  <c:v>2E-3</c:v>
                </c:pt>
                <c:pt idx="68">
                  <c:v>3.0000000000000001E-3</c:v>
                </c:pt>
                <c:pt idx="69">
                  <c:v>4.0000000000000001E-3</c:v>
                </c:pt>
                <c:pt idx="70">
                  <c:v>5.0000000000000001E-3</c:v>
                </c:pt>
                <c:pt idx="71">
                  <c:v>6.0000000000000001E-3</c:v>
                </c:pt>
                <c:pt idx="72">
                  <c:v>7.0000000000000001E-3</c:v>
                </c:pt>
                <c:pt idx="73">
                  <c:v>8.0000000000000002E-3</c:v>
                </c:pt>
                <c:pt idx="74">
                  <c:v>9.0000000000000011E-3</c:v>
                </c:pt>
                <c:pt idx="75">
                  <c:v>1.0000000000000002E-2</c:v>
                </c:pt>
                <c:pt idx="76">
                  <c:v>1.1000000000000003E-2</c:v>
                </c:pt>
                <c:pt idx="77">
                  <c:v>1.2000000000000004E-2</c:v>
                </c:pt>
                <c:pt idx="78">
                  <c:v>1.3000000000000005E-2</c:v>
                </c:pt>
                <c:pt idx="79">
                  <c:v>1.4000000000000005E-2</c:v>
                </c:pt>
                <c:pt idx="80">
                  <c:v>1.5000000000000006E-2</c:v>
                </c:pt>
                <c:pt idx="81">
                  <c:v>1.6000000000000007E-2</c:v>
                </c:pt>
                <c:pt idx="82">
                  <c:v>1.7000000000000008E-2</c:v>
                </c:pt>
                <c:pt idx="83">
                  <c:v>1.8000000000000009E-2</c:v>
                </c:pt>
                <c:pt idx="84">
                  <c:v>1.900000000000001E-2</c:v>
                </c:pt>
                <c:pt idx="85">
                  <c:v>2.0000000000000011E-2</c:v>
                </c:pt>
                <c:pt idx="86">
                  <c:v>2.1000000000000012E-2</c:v>
                </c:pt>
                <c:pt idx="87">
                  <c:v>2.2000000000000013E-2</c:v>
                </c:pt>
                <c:pt idx="88">
                  <c:v>2.3000000000000013E-2</c:v>
                </c:pt>
                <c:pt idx="89">
                  <c:v>2.4000000000000014E-2</c:v>
                </c:pt>
                <c:pt idx="90">
                  <c:v>2.5000000000000015E-2</c:v>
                </c:pt>
                <c:pt idx="91">
                  <c:v>2.6000000000000016E-2</c:v>
                </c:pt>
                <c:pt idx="92">
                  <c:v>2.7000000000000017E-2</c:v>
                </c:pt>
                <c:pt idx="93">
                  <c:v>2.8000000000000018E-2</c:v>
                </c:pt>
                <c:pt idx="94">
                  <c:v>2.9000000000000019E-2</c:v>
                </c:pt>
                <c:pt idx="95">
                  <c:v>3.000000000000002E-2</c:v>
                </c:pt>
                <c:pt idx="96">
                  <c:v>3.1000000000000021E-2</c:v>
                </c:pt>
                <c:pt idx="97">
                  <c:v>3.2000000000000021E-2</c:v>
                </c:pt>
                <c:pt idx="98">
                  <c:v>3.3000000000000022E-2</c:v>
                </c:pt>
                <c:pt idx="99">
                  <c:v>3.4000000000000023E-2</c:v>
                </c:pt>
                <c:pt idx="100">
                  <c:v>3.5000000000000024E-2</c:v>
                </c:pt>
                <c:pt idx="101">
                  <c:v>3.6000000000000025E-2</c:v>
                </c:pt>
                <c:pt idx="102">
                  <c:v>3.7000000000000026E-2</c:v>
                </c:pt>
                <c:pt idx="103">
                  <c:v>3.8000000000000027E-2</c:v>
                </c:pt>
                <c:pt idx="104">
                  <c:v>3.9000000000000028E-2</c:v>
                </c:pt>
                <c:pt idx="105">
                  <c:v>4.0000000000000029E-2</c:v>
                </c:pt>
                <c:pt idx="106">
                  <c:v>4.1000000000000029E-2</c:v>
                </c:pt>
                <c:pt idx="107">
                  <c:v>4.200000000000003E-2</c:v>
                </c:pt>
                <c:pt idx="108">
                  <c:v>4.3000000000000031E-2</c:v>
                </c:pt>
                <c:pt idx="109">
                  <c:v>4.4000000000000032E-2</c:v>
                </c:pt>
                <c:pt idx="110">
                  <c:v>4.5000000000000033E-2</c:v>
                </c:pt>
                <c:pt idx="111">
                  <c:v>4.6000000000000034E-2</c:v>
                </c:pt>
                <c:pt idx="112">
                  <c:v>4.7000000000000035E-2</c:v>
                </c:pt>
                <c:pt idx="113">
                  <c:v>4.8000000000000036E-2</c:v>
                </c:pt>
                <c:pt idx="114">
                  <c:v>4.9000000000000037E-2</c:v>
                </c:pt>
                <c:pt idx="115">
                  <c:v>5.0000000000000037E-2</c:v>
                </c:pt>
                <c:pt idx="116">
                  <c:v>5.1000000000000038E-2</c:v>
                </c:pt>
                <c:pt idx="117">
                  <c:v>5.2000000000000039E-2</c:v>
                </c:pt>
                <c:pt idx="118">
                  <c:v>5.300000000000004E-2</c:v>
                </c:pt>
                <c:pt idx="119">
                  <c:v>5.4000000000000041E-2</c:v>
                </c:pt>
                <c:pt idx="120">
                  <c:v>5.5000000000000042E-2</c:v>
                </c:pt>
                <c:pt idx="121">
                  <c:v>5.6000000000000043E-2</c:v>
                </c:pt>
                <c:pt idx="122">
                  <c:v>5.7000000000000044E-2</c:v>
                </c:pt>
                <c:pt idx="123">
                  <c:v>5.8000000000000045E-2</c:v>
                </c:pt>
                <c:pt idx="124">
                  <c:v>5.9000000000000045E-2</c:v>
                </c:pt>
                <c:pt idx="125">
                  <c:v>6.0000000000000046E-2</c:v>
                </c:pt>
                <c:pt idx="126">
                  <c:v>6.1000000000000047E-2</c:v>
                </c:pt>
                <c:pt idx="127">
                  <c:v>6.2000000000000048E-2</c:v>
                </c:pt>
                <c:pt idx="128">
                  <c:v>6.3000000000000042E-2</c:v>
                </c:pt>
                <c:pt idx="129">
                  <c:v>6.4000000000000043E-2</c:v>
                </c:pt>
                <c:pt idx="130">
                  <c:v>6.5000000000000044E-2</c:v>
                </c:pt>
              </c:numCache>
            </c:numRef>
          </c:xVal>
          <c:yVal>
            <c:numRef>
              <c:f>'Notes | Quant Analysis'!$R$211:$R$341</c:f>
              <c:numCache>
                <c:formatCode>General</c:formatCode>
                <c:ptCount val="131"/>
                <c:pt idx="0">
                  <c:v>4</c:v>
                </c:pt>
                <c:pt idx="1">
                  <c:v>0</c:v>
                </c:pt>
                <c:pt idx="2">
                  <c:v>1</c:v>
                </c:pt>
                <c:pt idx="3">
                  <c:v>2</c:v>
                </c:pt>
                <c:pt idx="4">
                  <c:v>1</c:v>
                </c:pt>
                <c:pt idx="5">
                  <c:v>1</c:v>
                </c:pt>
                <c:pt idx="6">
                  <c:v>0</c:v>
                </c:pt>
                <c:pt idx="7">
                  <c:v>1</c:v>
                </c:pt>
                <c:pt idx="8">
                  <c:v>0</c:v>
                </c:pt>
                <c:pt idx="9">
                  <c:v>1</c:v>
                </c:pt>
                <c:pt idx="10">
                  <c:v>1</c:v>
                </c:pt>
                <c:pt idx="11">
                  <c:v>0</c:v>
                </c:pt>
                <c:pt idx="12">
                  <c:v>1</c:v>
                </c:pt>
                <c:pt idx="13">
                  <c:v>0</c:v>
                </c:pt>
                <c:pt idx="14">
                  <c:v>0</c:v>
                </c:pt>
                <c:pt idx="15">
                  <c:v>1</c:v>
                </c:pt>
                <c:pt idx="16">
                  <c:v>0</c:v>
                </c:pt>
                <c:pt idx="17">
                  <c:v>2</c:v>
                </c:pt>
                <c:pt idx="18">
                  <c:v>2</c:v>
                </c:pt>
                <c:pt idx="19">
                  <c:v>1</c:v>
                </c:pt>
                <c:pt idx="20">
                  <c:v>0</c:v>
                </c:pt>
                <c:pt idx="21">
                  <c:v>3</c:v>
                </c:pt>
                <c:pt idx="22">
                  <c:v>1</c:v>
                </c:pt>
                <c:pt idx="23">
                  <c:v>1</c:v>
                </c:pt>
                <c:pt idx="24">
                  <c:v>1</c:v>
                </c:pt>
                <c:pt idx="25">
                  <c:v>6</c:v>
                </c:pt>
                <c:pt idx="26">
                  <c:v>3</c:v>
                </c:pt>
                <c:pt idx="27">
                  <c:v>4</c:v>
                </c:pt>
                <c:pt idx="28">
                  <c:v>2</c:v>
                </c:pt>
                <c:pt idx="29">
                  <c:v>0</c:v>
                </c:pt>
                <c:pt idx="30">
                  <c:v>0</c:v>
                </c:pt>
                <c:pt idx="31">
                  <c:v>4</c:v>
                </c:pt>
                <c:pt idx="32">
                  <c:v>4</c:v>
                </c:pt>
                <c:pt idx="33">
                  <c:v>6</c:v>
                </c:pt>
                <c:pt idx="34">
                  <c:v>4</c:v>
                </c:pt>
                <c:pt idx="35">
                  <c:v>6</c:v>
                </c:pt>
                <c:pt idx="36">
                  <c:v>5</c:v>
                </c:pt>
                <c:pt idx="37">
                  <c:v>1</c:v>
                </c:pt>
                <c:pt idx="38">
                  <c:v>3</c:v>
                </c:pt>
                <c:pt idx="39">
                  <c:v>5</c:v>
                </c:pt>
                <c:pt idx="40">
                  <c:v>4</c:v>
                </c:pt>
                <c:pt idx="41">
                  <c:v>5</c:v>
                </c:pt>
                <c:pt idx="42">
                  <c:v>6</c:v>
                </c:pt>
                <c:pt idx="43">
                  <c:v>4</c:v>
                </c:pt>
                <c:pt idx="44">
                  <c:v>9</c:v>
                </c:pt>
                <c:pt idx="45">
                  <c:v>8</c:v>
                </c:pt>
                <c:pt idx="46">
                  <c:v>8</c:v>
                </c:pt>
                <c:pt idx="47">
                  <c:v>10</c:v>
                </c:pt>
                <c:pt idx="48">
                  <c:v>7</c:v>
                </c:pt>
                <c:pt idx="49">
                  <c:v>9</c:v>
                </c:pt>
                <c:pt idx="50">
                  <c:v>11</c:v>
                </c:pt>
                <c:pt idx="51">
                  <c:v>11</c:v>
                </c:pt>
                <c:pt idx="52">
                  <c:v>6</c:v>
                </c:pt>
                <c:pt idx="53">
                  <c:v>16</c:v>
                </c:pt>
                <c:pt idx="54">
                  <c:v>9</c:v>
                </c:pt>
                <c:pt idx="55">
                  <c:v>10</c:v>
                </c:pt>
                <c:pt idx="56">
                  <c:v>18</c:v>
                </c:pt>
                <c:pt idx="57">
                  <c:v>16</c:v>
                </c:pt>
                <c:pt idx="58">
                  <c:v>14</c:v>
                </c:pt>
                <c:pt idx="59">
                  <c:v>13</c:v>
                </c:pt>
                <c:pt idx="60">
                  <c:v>7</c:v>
                </c:pt>
                <c:pt idx="61">
                  <c:v>19</c:v>
                </c:pt>
                <c:pt idx="62">
                  <c:v>24</c:v>
                </c:pt>
                <c:pt idx="63">
                  <c:v>21</c:v>
                </c:pt>
                <c:pt idx="64">
                  <c:v>15</c:v>
                </c:pt>
                <c:pt idx="65">
                  <c:v>32</c:v>
                </c:pt>
                <c:pt idx="66">
                  <c:v>10</c:v>
                </c:pt>
                <c:pt idx="67">
                  <c:v>22</c:v>
                </c:pt>
                <c:pt idx="68">
                  <c:v>18</c:v>
                </c:pt>
                <c:pt idx="69">
                  <c:v>21</c:v>
                </c:pt>
                <c:pt idx="70">
                  <c:v>18</c:v>
                </c:pt>
                <c:pt idx="71">
                  <c:v>19</c:v>
                </c:pt>
                <c:pt idx="72">
                  <c:v>21</c:v>
                </c:pt>
                <c:pt idx="73">
                  <c:v>18</c:v>
                </c:pt>
                <c:pt idx="74">
                  <c:v>13</c:v>
                </c:pt>
                <c:pt idx="75">
                  <c:v>9</c:v>
                </c:pt>
                <c:pt idx="76">
                  <c:v>16</c:v>
                </c:pt>
                <c:pt idx="77">
                  <c:v>12</c:v>
                </c:pt>
                <c:pt idx="78">
                  <c:v>19</c:v>
                </c:pt>
                <c:pt idx="79">
                  <c:v>7</c:v>
                </c:pt>
                <c:pt idx="80">
                  <c:v>10</c:v>
                </c:pt>
                <c:pt idx="81">
                  <c:v>13</c:v>
                </c:pt>
                <c:pt idx="82">
                  <c:v>9</c:v>
                </c:pt>
                <c:pt idx="83">
                  <c:v>9</c:v>
                </c:pt>
                <c:pt idx="84">
                  <c:v>9</c:v>
                </c:pt>
                <c:pt idx="85">
                  <c:v>4</c:v>
                </c:pt>
                <c:pt idx="86">
                  <c:v>3</c:v>
                </c:pt>
                <c:pt idx="87">
                  <c:v>5</c:v>
                </c:pt>
                <c:pt idx="88">
                  <c:v>5</c:v>
                </c:pt>
                <c:pt idx="89">
                  <c:v>2</c:v>
                </c:pt>
                <c:pt idx="90">
                  <c:v>7</c:v>
                </c:pt>
                <c:pt idx="91">
                  <c:v>4</c:v>
                </c:pt>
                <c:pt idx="92">
                  <c:v>4</c:v>
                </c:pt>
                <c:pt idx="93">
                  <c:v>1</c:v>
                </c:pt>
                <c:pt idx="94">
                  <c:v>4</c:v>
                </c:pt>
                <c:pt idx="95">
                  <c:v>3</c:v>
                </c:pt>
                <c:pt idx="96">
                  <c:v>2</c:v>
                </c:pt>
                <c:pt idx="97">
                  <c:v>3</c:v>
                </c:pt>
                <c:pt idx="98">
                  <c:v>4</c:v>
                </c:pt>
                <c:pt idx="99">
                  <c:v>4</c:v>
                </c:pt>
                <c:pt idx="100">
                  <c:v>1</c:v>
                </c:pt>
                <c:pt idx="101">
                  <c:v>2</c:v>
                </c:pt>
                <c:pt idx="102">
                  <c:v>3</c:v>
                </c:pt>
                <c:pt idx="103">
                  <c:v>3</c:v>
                </c:pt>
                <c:pt idx="104">
                  <c:v>2</c:v>
                </c:pt>
                <c:pt idx="105">
                  <c:v>1</c:v>
                </c:pt>
                <c:pt idx="106">
                  <c:v>0</c:v>
                </c:pt>
                <c:pt idx="107">
                  <c:v>1</c:v>
                </c:pt>
                <c:pt idx="108">
                  <c:v>3</c:v>
                </c:pt>
                <c:pt idx="109">
                  <c:v>1</c:v>
                </c:pt>
                <c:pt idx="110">
                  <c:v>0</c:v>
                </c:pt>
                <c:pt idx="111">
                  <c:v>1</c:v>
                </c:pt>
                <c:pt idx="112">
                  <c:v>0</c:v>
                </c:pt>
                <c:pt idx="113">
                  <c:v>0</c:v>
                </c:pt>
                <c:pt idx="114">
                  <c:v>1</c:v>
                </c:pt>
                <c:pt idx="115">
                  <c:v>1</c:v>
                </c:pt>
                <c:pt idx="116">
                  <c:v>0</c:v>
                </c:pt>
                <c:pt idx="117">
                  <c:v>0</c:v>
                </c:pt>
                <c:pt idx="118">
                  <c:v>1</c:v>
                </c:pt>
                <c:pt idx="119">
                  <c:v>2</c:v>
                </c:pt>
                <c:pt idx="120">
                  <c:v>1</c:v>
                </c:pt>
                <c:pt idx="121">
                  <c:v>0</c:v>
                </c:pt>
                <c:pt idx="122">
                  <c:v>1</c:v>
                </c:pt>
                <c:pt idx="123">
                  <c:v>1</c:v>
                </c:pt>
                <c:pt idx="124">
                  <c:v>0</c:v>
                </c:pt>
                <c:pt idx="125">
                  <c:v>1</c:v>
                </c:pt>
                <c:pt idx="126">
                  <c:v>0</c:v>
                </c:pt>
                <c:pt idx="127">
                  <c:v>0</c:v>
                </c:pt>
                <c:pt idx="128">
                  <c:v>0</c:v>
                </c:pt>
                <c:pt idx="129">
                  <c:v>0</c:v>
                </c:pt>
                <c:pt idx="130">
                  <c:v>0</c:v>
                </c:pt>
              </c:numCache>
            </c:numRef>
          </c:yVal>
          <c:smooth val="1"/>
          <c:extLst>
            <c:ext xmlns:c16="http://schemas.microsoft.com/office/drawing/2014/chart" uri="{C3380CC4-5D6E-409C-BE32-E72D297353CC}">
              <c16:uniqueId val="{00000000-28C7-4862-86E9-AF862A5BA0AD}"/>
            </c:ext>
          </c:extLst>
        </c:ser>
        <c:ser>
          <c:idx val="1"/>
          <c:order val="1"/>
          <c:tx>
            <c:strRef>
              <c:f>'Notes | Quant Analysis'!$T$209</c:f>
              <c:strCache>
                <c:ptCount val="1"/>
                <c:pt idx="0">
                  <c:v>Distribution Overlay</c:v>
                </c:pt>
              </c:strCache>
            </c:strRef>
          </c:tx>
          <c:spPr>
            <a:ln w="19050" cap="rnd">
              <a:solidFill>
                <a:srgbClr val="FFC000"/>
              </a:solidFill>
              <a:round/>
            </a:ln>
            <a:effectLst/>
          </c:spPr>
          <c:marker>
            <c:symbol val="none"/>
          </c:marker>
          <c:xVal>
            <c:numRef>
              <c:f>'Notes | Quant Analysis'!$T$211:$T$351</c:f>
              <c:numCache>
                <c:formatCode>0.00%</c:formatCode>
                <c:ptCount val="141"/>
                <c:pt idx="0">
                  <c:v>-7.0000000000000048E-2</c:v>
                </c:pt>
                <c:pt idx="1">
                  <c:v>-6.9000000000000047E-2</c:v>
                </c:pt>
                <c:pt idx="2">
                  <c:v>-6.8000000000000047E-2</c:v>
                </c:pt>
                <c:pt idx="3">
                  <c:v>-6.7000000000000046E-2</c:v>
                </c:pt>
                <c:pt idx="4">
                  <c:v>-6.6000000000000045E-2</c:v>
                </c:pt>
                <c:pt idx="5">
                  <c:v>-6.5000000000000044E-2</c:v>
                </c:pt>
                <c:pt idx="6">
                  <c:v>-6.4000000000000043E-2</c:v>
                </c:pt>
                <c:pt idx="7">
                  <c:v>-6.3000000000000042E-2</c:v>
                </c:pt>
                <c:pt idx="8">
                  <c:v>-6.2000000000000048E-2</c:v>
                </c:pt>
                <c:pt idx="9">
                  <c:v>-6.1000000000000047E-2</c:v>
                </c:pt>
                <c:pt idx="10">
                  <c:v>-6.0000000000000046E-2</c:v>
                </c:pt>
                <c:pt idx="11">
                  <c:v>-5.9000000000000045E-2</c:v>
                </c:pt>
                <c:pt idx="12">
                  <c:v>-5.8000000000000045E-2</c:v>
                </c:pt>
                <c:pt idx="13">
                  <c:v>-5.7000000000000044E-2</c:v>
                </c:pt>
                <c:pt idx="14">
                  <c:v>-5.6000000000000043E-2</c:v>
                </c:pt>
                <c:pt idx="15">
                  <c:v>-5.5000000000000042E-2</c:v>
                </c:pt>
                <c:pt idx="16">
                  <c:v>-5.4000000000000041E-2</c:v>
                </c:pt>
                <c:pt idx="17">
                  <c:v>-5.300000000000004E-2</c:v>
                </c:pt>
                <c:pt idx="18">
                  <c:v>-5.2000000000000039E-2</c:v>
                </c:pt>
                <c:pt idx="19">
                  <c:v>-5.1000000000000038E-2</c:v>
                </c:pt>
                <c:pt idx="20">
                  <c:v>-5.0000000000000037E-2</c:v>
                </c:pt>
                <c:pt idx="21">
                  <c:v>-4.9000000000000037E-2</c:v>
                </c:pt>
                <c:pt idx="22">
                  <c:v>-4.8000000000000036E-2</c:v>
                </c:pt>
                <c:pt idx="23">
                  <c:v>-4.7000000000000035E-2</c:v>
                </c:pt>
                <c:pt idx="24">
                  <c:v>-4.6000000000000034E-2</c:v>
                </c:pt>
                <c:pt idx="25">
                  <c:v>-4.5000000000000033E-2</c:v>
                </c:pt>
                <c:pt idx="26">
                  <c:v>-4.4000000000000032E-2</c:v>
                </c:pt>
                <c:pt idx="27">
                  <c:v>-4.3000000000000031E-2</c:v>
                </c:pt>
                <c:pt idx="28">
                  <c:v>-4.200000000000003E-2</c:v>
                </c:pt>
                <c:pt idx="29">
                  <c:v>-4.1000000000000029E-2</c:v>
                </c:pt>
                <c:pt idx="30">
                  <c:v>-4.0000000000000029E-2</c:v>
                </c:pt>
                <c:pt idx="31">
                  <c:v>-3.9000000000000028E-2</c:v>
                </c:pt>
                <c:pt idx="32">
                  <c:v>-3.8000000000000027E-2</c:v>
                </c:pt>
                <c:pt idx="33">
                  <c:v>-3.7000000000000026E-2</c:v>
                </c:pt>
                <c:pt idx="34">
                  <c:v>-3.6000000000000025E-2</c:v>
                </c:pt>
                <c:pt idx="35">
                  <c:v>-3.5000000000000024E-2</c:v>
                </c:pt>
                <c:pt idx="36">
                  <c:v>-3.4000000000000023E-2</c:v>
                </c:pt>
                <c:pt idx="37">
                  <c:v>-3.3000000000000022E-2</c:v>
                </c:pt>
                <c:pt idx="38">
                  <c:v>-3.2000000000000021E-2</c:v>
                </c:pt>
                <c:pt idx="39">
                  <c:v>-3.1000000000000021E-2</c:v>
                </c:pt>
                <c:pt idx="40">
                  <c:v>-3.000000000000002E-2</c:v>
                </c:pt>
                <c:pt idx="41">
                  <c:v>-2.9000000000000019E-2</c:v>
                </c:pt>
                <c:pt idx="42">
                  <c:v>-2.8000000000000018E-2</c:v>
                </c:pt>
                <c:pt idx="43">
                  <c:v>-2.7000000000000017E-2</c:v>
                </c:pt>
                <c:pt idx="44">
                  <c:v>-2.6000000000000016E-2</c:v>
                </c:pt>
                <c:pt idx="45">
                  <c:v>-2.5000000000000015E-2</c:v>
                </c:pt>
                <c:pt idx="46">
                  <c:v>-2.4000000000000014E-2</c:v>
                </c:pt>
                <c:pt idx="47">
                  <c:v>-2.3000000000000013E-2</c:v>
                </c:pt>
                <c:pt idx="48">
                  <c:v>-2.2000000000000013E-2</c:v>
                </c:pt>
                <c:pt idx="49">
                  <c:v>-2.1000000000000012E-2</c:v>
                </c:pt>
                <c:pt idx="50">
                  <c:v>-2.0000000000000011E-2</c:v>
                </c:pt>
                <c:pt idx="51">
                  <c:v>-1.900000000000001E-2</c:v>
                </c:pt>
                <c:pt idx="52">
                  <c:v>-1.8000000000000009E-2</c:v>
                </c:pt>
                <c:pt idx="53">
                  <c:v>-1.7000000000000008E-2</c:v>
                </c:pt>
                <c:pt idx="54">
                  <c:v>-1.6000000000000007E-2</c:v>
                </c:pt>
                <c:pt idx="55">
                  <c:v>-1.5000000000000006E-2</c:v>
                </c:pt>
                <c:pt idx="56">
                  <c:v>-1.4000000000000005E-2</c:v>
                </c:pt>
                <c:pt idx="57">
                  <c:v>-1.3000000000000005E-2</c:v>
                </c:pt>
                <c:pt idx="58">
                  <c:v>-1.2000000000000004E-2</c:v>
                </c:pt>
                <c:pt idx="59">
                  <c:v>-1.1000000000000003E-2</c:v>
                </c:pt>
                <c:pt idx="60">
                  <c:v>-1.0000000000000002E-2</c:v>
                </c:pt>
                <c:pt idx="61">
                  <c:v>-9.0000000000000011E-3</c:v>
                </c:pt>
                <c:pt idx="62">
                  <c:v>-8.0000000000000002E-3</c:v>
                </c:pt>
                <c:pt idx="63">
                  <c:v>-7.0000000000000001E-3</c:v>
                </c:pt>
                <c:pt idx="64">
                  <c:v>-6.0000000000000001E-3</c:v>
                </c:pt>
                <c:pt idx="65">
                  <c:v>-5.0000000000000001E-3</c:v>
                </c:pt>
                <c:pt idx="66">
                  <c:v>-4.0000000000000001E-3</c:v>
                </c:pt>
                <c:pt idx="67">
                  <c:v>-3.0000000000000001E-3</c:v>
                </c:pt>
                <c:pt idx="68">
                  <c:v>-2E-3</c:v>
                </c:pt>
                <c:pt idx="69">
                  <c:v>-1E-3</c:v>
                </c:pt>
                <c:pt idx="70">
                  <c:v>0</c:v>
                </c:pt>
                <c:pt idx="71">
                  <c:v>1E-3</c:v>
                </c:pt>
                <c:pt idx="72">
                  <c:v>2E-3</c:v>
                </c:pt>
                <c:pt idx="73">
                  <c:v>3.0000000000000001E-3</c:v>
                </c:pt>
                <c:pt idx="74">
                  <c:v>4.0000000000000001E-3</c:v>
                </c:pt>
                <c:pt idx="75">
                  <c:v>5.0000000000000001E-3</c:v>
                </c:pt>
                <c:pt idx="76">
                  <c:v>6.0000000000000001E-3</c:v>
                </c:pt>
                <c:pt idx="77">
                  <c:v>7.0000000000000001E-3</c:v>
                </c:pt>
                <c:pt idx="78">
                  <c:v>8.0000000000000002E-3</c:v>
                </c:pt>
                <c:pt idx="79">
                  <c:v>9.0000000000000011E-3</c:v>
                </c:pt>
                <c:pt idx="80">
                  <c:v>1.0000000000000002E-2</c:v>
                </c:pt>
                <c:pt idx="81">
                  <c:v>1.1000000000000003E-2</c:v>
                </c:pt>
                <c:pt idx="82">
                  <c:v>1.2000000000000004E-2</c:v>
                </c:pt>
                <c:pt idx="83">
                  <c:v>1.3000000000000005E-2</c:v>
                </c:pt>
                <c:pt idx="84">
                  <c:v>1.4000000000000005E-2</c:v>
                </c:pt>
                <c:pt idx="85">
                  <c:v>1.5000000000000006E-2</c:v>
                </c:pt>
                <c:pt idx="86">
                  <c:v>1.6000000000000007E-2</c:v>
                </c:pt>
                <c:pt idx="87">
                  <c:v>1.7000000000000008E-2</c:v>
                </c:pt>
                <c:pt idx="88">
                  <c:v>1.8000000000000009E-2</c:v>
                </c:pt>
                <c:pt idx="89">
                  <c:v>1.900000000000001E-2</c:v>
                </c:pt>
                <c:pt idx="90">
                  <c:v>2.0000000000000011E-2</c:v>
                </c:pt>
                <c:pt idx="91">
                  <c:v>2.1000000000000012E-2</c:v>
                </c:pt>
                <c:pt idx="92">
                  <c:v>2.2000000000000013E-2</c:v>
                </c:pt>
                <c:pt idx="93">
                  <c:v>2.3000000000000013E-2</c:v>
                </c:pt>
                <c:pt idx="94">
                  <c:v>2.4000000000000014E-2</c:v>
                </c:pt>
                <c:pt idx="95">
                  <c:v>2.5000000000000015E-2</c:v>
                </c:pt>
                <c:pt idx="96">
                  <c:v>2.6000000000000016E-2</c:v>
                </c:pt>
                <c:pt idx="97">
                  <c:v>2.7000000000000017E-2</c:v>
                </c:pt>
                <c:pt idx="98">
                  <c:v>2.8000000000000018E-2</c:v>
                </c:pt>
                <c:pt idx="99">
                  <c:v>2.9000000000000019E-2</c:v>
                </c:pt>
                <c:pt idx="100">
                  <c:v>3.000000000000002E-2</c:v>
                </c:pt>
                <c:pt idx="101">
                  <c:v>3.1000000000000021E-2</c:v>
                </c:pt>
                <c:pt idx="102">
                  <c:v>3.2000000000000021E-2</c:v>
                </c:pt>
                <c:pt idx="103">
                  <c:v>3.3000000000000022E-2</c:v>
                </c:pt>
                <c:pt idx="104">
                  <c:v>3.4000000000000023E-2</c:v>
                </c:pt>
                <c:pt idx="105">
                  <c:v>3.5000000000000024E-2</c:v>
                </c:pt>
                <c:pt idx="106">
                  <c:v>3.6000000000000025E-2</c:v>
                </c:pt>
                <c:pt idx="107">
                  <c:v>3.7000000000000026E-2</c:v>
                </c:pt>
                <c:pt idx="108">
                  <c:v>3.8000000000000027E-2</c:v>
                </c:pt>
                <c:pt idx="109">
                  <c:v>3.9000000000000028E-2</c:v>
                </c:pt>
                <c:pt idx="110">
                  <c:v>4.0000000000000029E-2</c:v>
                </c:pt>
                <c:pt idx="111">
                  <c:v>4.1000000000000029E-2</c:v>
                </c:pt>
                <c:pt idx="112">
                  <c:v>4.200000000000003E-2</c:v>
                </c:pt>
                <c:pt idx="113">
                  <c:v>4.3000000000000031E-2</c:v>
                </c:pt>
                <c:pt idx="114">
                  <c:v>4.4000000000000032E-2</c:v>
                </c:pt>
                <c:pt idx="115">
                  <c:v>4.5000000000000033E-2</c:v>
                </c:pt>
                <c:pt idx="116">
                  <c:v>4.6000000000000034E-2</c:v>
                </c:pt>
                <c:pt idx="117">
                  <c:v>4.7000000000000035E-2</c:v>
                </c:pt>
                <c:pt idx="118">
                  <c:v>4.8000000000000036E-2</c:v>
                </c:pt>
                <c:pt idx="119">
                  <c:v>4.9000000000000037E-2</c:v>
                </c:pt>
                <c:pt idx="120">
                  <c:v>5.0000000000000037E-2</c:v>
                </c:pt>
                <c:pt idx="121">
                  <c:v>5.1000000000000038E-2</c:v>
                </c:pt>
                <c:pt idx="122">
                  <c:v>5.2000000000000039E-2</c:v>
                </c:pt>
                <c:pt idx="123">
                  <c:v>5.300000000000004E-2</c:v>
                </c:pt>
                <c:pt idx="124">
                  <c:v>5.4000000000000041E-2</c:v>
                </c:pt>
                <c:pt idx="125">
                  <c:v>5.5000000000000042E-2</c:v>
                </c:pt>
                <c:pt idx="126">
                  <c:v>5.6000000000000043E-2</c:v>
                </c:pt>
                <c:pt idx="127">
                  <c:v>5.7000000000000044E-2</c:v>
                </c:pt>
                <c:pt idx="128">
                  <c:v>5.8000000000000045E-2</c:v>
                </c:pt>
                <c:pt idx="129">
                  <c:v>5.9000000000000045E-2</c:v>
                </c:pt>
                <c:pt idx="130">
                  <c:v>6.0000000000000046E-2</c:v>
                </c:pt>
                <c:pt idx="131">
                  <c:v>6.1000000000000047E-2</c:v>
                </c:pt>
                <c:pt idx="132">
                  <c:v>6.2000000000000048E-2</c:v>
                </c:pt>
                <c:pt idx="133">
                  <c:v>6.3000000000000042E-2</c:v>
                </c:pt>
                <c:pt idx="134">
                  <c:v>6.4000000000000043E-2</c:v>
                </c:pt>
                <c:pt idx="135">
                  <c:v>6.5000000000000044E-2</c:v>
                </c:pt>
                <c:pt idx="136">
                  <c:v>6.6000000000000045E-2</c:v>
                </c:pt>
                <c:pt idx="137">
                  <c:v>6.7000000000000046E-2</c:v>
                </c:pt>
                <c:pt idx="138">
                  <c:v>6.8000000000000047E-2</c:v>
                </c:pt>
                <c:pt idx="139">
                  <c:v>6.9000000000000047E-2</c:v>
                </c:pt>
                <c:pt idx="140">
                  <c:v>7.0000000000000048E-2</c:v>
                </c:pt>
              </c:numCache>
            </c:numRef>
          </c:xVal>
          <c:yVal>
            <c:numRef>
              <c:f>'Notes | Quant Analysis'!$U$211:$U$351</c:f>
              <c:numCache>
                <c:formatCode>General</c:formatCode>
                <c:ptCount val="141"/>
                <c:pt idx="0">
                  <c:v>0.12276746676484486</c:v>
                </c:pt>
                <c:pt idx="1">
                  <c:v>0.14174206067848835</c:v>
                </c:pt>
                <c:pt idx="2">
                  <c:v>0.16330686411961998</c:v>
                </c:pt>
                <c:pt idx="3">
                  <c:v>0.18775883663825854</c:v>
                </c:pt>
                <c:pt idx="4">
                  <c:v>0.21542027760579613</c:v>
                </c:pt>
                <c:pt idx="5">
                  <c:v>0.24663972414313035</c:v>
                </c:pt>
                <c:pt idx="6">
                  <c:v>0.28179268812472902</c:v>
                </c:pt>
                <c:pt idx="7">
                  <c:v>0.32128219867049329</c:v>
                </c:pt>
                <c:pt idx="8">
                  <c:v>0.36553911468331546</c:v>
                </c:pt>
                <c:pt idx="9">
                  <c:v>0.41502217050203932</c:v>
                </c:pt>
                <c:pt idx="10">
                  <c:v>0.47021771669956225</c:v>
                </c:pt>
                <c:pt idx="11">
                  <c:v>0.53163911754815962</c:v>
                </c:pt>
                <c:pt idx="12">
                  <c:v>0.5998257667827962</c:v>
                </c:pt>
                <c:pt idx="13">
                  <c:v>0.67534168410011841</c:v>
                </c:pt>
                <c:pt idx="14">
                  <c:v>0.75877365641326677</c:v>
                </c:pt>
                <c:pt idx="15">
                  <c:v>0.85072889031112986</c:v>
                </c:pt>
                <c:pt idx="16">
                  <c:v>0.95183214550587059</c:v>
                </c:pt>
                <c:pt idx="17">
                  <c:v>1.0627223233430774</c:v>
                </c:pt>
                <c:pt idx="18">
                  <c:v>1.1840484897279879</c:v>
                </c:pt>
                <c:pt idx="19">
                  <c:v>1.316465318104691</c:v>
                </c:pt>
                <c:pt idx="20">
                  <c:v>1.4606279454081703</c:v>
                </c:pt>
                <c:pt idx="21">
                  <c:v>1.6171862421644316</c:v>
                </c:pt>
                <c:pt idx="22">
                  <c:v>1.7867785070895381</c:v>
                </c:pt>
                <c:pt idx="23">
                  <c:v>1.9700246065562619</c:v>
                </c:pt>
                <c:pt idx="24">
                  <c:v>2.1675185900517446</c:v>
                </c:pt>
                <c:pt idx="25">
                  <c:v>2.3798208241078092</c:v>
                </c:pt>
                <c:pt idx="26">
                  <c:v>2.6074496989870206</c:v>
                </c:pt>
                <c:pt idx="27">
                  <c:v>2.8508729744646715</c:v>
                </c:pt>
                <c:pt idx="28">
                  <c:v>3.1104988431481182</c:v>
                </c:pt>
                <c:pt idx="29">
                  <c:v>3.386666801685708</c:v>
                </c:pt>
                <c:pt idx="30">
                  <c:v>3.6796384316854063</c:v>
                </c:pt>
                <c:pt idx="31">
                  <c:v>3.9895882029208161</c:v>
                </c:pt>
                <c:pt idx="32">
                  <c:v>4.3165944211726259</c:v>
                </c:pt>
                <c:pt idx="33">
                  <c:v>4.660630451556675</c:v>
                </c:pt>
                <c:pt idx="34">
                  <c:v>5.0215563551478999</c:v>
                </c:pt>
                <c:pt idx="35">
                  <c:v>5.3991110818546204</c:v>
                </c:pt>
                <c:pt idx="36">
                  <c:v>5.7929053655789939</c:v>
                </c:pt>
                <c:pt idx="37">
                  <c:v>6.2024154684899981</c:v>
                </c:pt>
                <c:pt idx="38">
                  <c:v>6.6269779195402183</c:v>
                </c:pt>
                <c:pt idx="39">
                  <c:v>7.0657853880202479</c:v>
                </c:pt>
                <c:pt idx="40">
                  <c:v>7.5178838258543061</c:v>
                </c:pt>
                <c:pt idx="41">
                  <c:v>7.9821710024377159</c:v>
                </c:pt>
                <c:pt idx="42">
                  <c:v>8.4573965430987865</c:v>
                </c:pt>
                <c:pt idx="43">
                  <c:v>8.9421635667919013</c:v>
                </c:pt>
                <c:pt idx="44">
                  <c:v>9.4349320005158273</c:v>
                </c:pt>
                <c:pt idx="45">
                  <c:v>9.9340236273876918</c:v>
                </c:pt>
                <c:pt idx="46">
                  <c:v>10.437628902537055</c:v>
                </c:pt>
                <c:pt idx="47">
                  <c:v>10.943815546329132</c:v>
                </c:pt>
                <c:pt idx="48">
                  <c:v>11.450538898250324</c:v>
                </c:pt>
                <c:pt idx="49">
                  <c:v>11.955653987516751</c:v>
                </c:pt>
                <c:pt idx="50">
                  <c:v>12.456929248566031</c:v>
                </c:pt>
                <c:pt idx="51">
                  <c:v>12.952061781569762</c:v>
                </c:pt>
                <c:pt idx="52">
                  <c:v>13.438694030493133</c:v>
                </c:pt>
                <c:pt idx="53">
                  <c:v>13.914431724576742</c:v>
                </c:pt>
                <c:pt idx="54">
                  <c:v>14.376862903977651</c:v>
                </c:pt>
                <c:pt idx="55">
                  <c:v>14.823577827224886</c:v>
                </c:pt>
                <c:pt idx="56">
                  <c:v>15.252189537641033</c:v>
                </c:pt>
                <c:pt idx="57">
                  <c:v>15.660354848441816</c:v>
                </c:pt>
                <c:pt idx="58">
                  <c:v>16.045795492288384</c:v>
                </c:pt>
                <c:pt idx="59">
                  <c:v>16.406319171010651</c:v>
                </c:pt>
                <c:pt idx="60">
                  <c:v>16.73984023535246</c:v>
                </c:pt>
                <c:pt idx="61">
                  <c:v>17.044399723139016</c:v>
                </c:pt>
                <c:pt idx="62">
                  <c:v>17.318184487374438</c:v>
                </c:pt>
                <c:pt idx="63">
                  <c:v>17.559545153490838</c:v>
                </c:pt>
                <c:pt idx="64">
                  <c:v>17.767012657241679</c:v>
                </c:pt>
                <c:pt idx="65">
                  <c:v>17.939313131416444</c:v>
                </c:pt>
                <c:pt idx="66">
                  <c:v>18.075380930409779</c:v>
                </c:pt>
                <c:pt idx="67">
                  <c:v>18.17436960637416</c:v>
                </c:pt>
                <c:pt idx="68">
                  <c:v>18.235660678803253</c:v>
                </c:pt>
                <c:pt idx="69">
                  <c:v>18.258870070438405</c:v>
                </c:pt>
                <c:pt idx="70">
                  <c:v>18.243852115803463</c:v>
                </c:pt>
                <c:pt idx="71">
                  <c:v>18.190701083837936</c:v>
                </c:pt>
                <c:pt idx="72">
                  <c:v>18.09975019236165</c:v>
                </c:pt>
                <c:pt idx="73">
                  <c:v>17.971568128785503</c:v>
                </c:pt>
                <c:pt idx="74">
                  <c:v>17.806953127893291</c:v>
                </c:pt>
                <c:pt idx="75">
                  <c:v>17.606924692976399</c:v>
                </c:pt>
                <c:pt idx="76">
                  <c:v>17.372713080444573</c:v>
                </c:pt>
                <c:pt idx="77">
                  <c:v>17.105746699638281</c:v>
                </c:pt>
                <c:pt idx="78">
                  <c:v>16.807637608357769</c:v>
                </c:pt>
                <c:pt idx="79">
                  <c:v>16.480165310091497</c:v>
                </c:pt>
                <c:pt idx="80">
                  <c:v>16.125259080636944</c:v>
                </c:pt>
                <c:pt idx="81">
                  <c:v>15.744979069408991</c:v>
                </c:pt>
                <c:pt idx="82">
                  <c:v>15.34149643396395</c:v>
                </c:pt>
                <c:pt idx="83">
                  <c:v>14.917072774965407</c:v>
                </c:pt>
                <c:pt idx="84">
                  <c:v>14.474039142912186</c:v>
                </c:pt>
                <c:pt idx="85">
                  <c:v>14.014774887466743</c:v>
                </c:pt>
                <c:pt idx="86">
                  <c:v>13.541686615285364</c:v>
                </c:pt>
                <c:pt idx="87">
                  <c:v>13.057187513069952</c:v>
                </c:pt>
                <c:pt idx="88">
                  <c:v>12.563677279426217</c:v>
                </c:pt>
                <c:pt idx="89">
                  <c:v>12.063522892389456</c:v>
                </c:pt>
                <c:pt idx="90">
                  <c:v>11.559040419592579</c:v>
                </c:pt>
                <c:pt idx="91">
                  <c:v>11.052478055479412</c:v>
                </c:pt>
                <c:pt idx="92">
                  <c:v>10.546000545223505</c:v>
                </c:pt>
                <c:pt idx="93">
                  <c:v>10.041675128639687</c:v>
                </c:pt>
                <c:pt idx="94">
                  <c:v>9.5414591099234958</c:v>
                </c:pt>
                <c:pt idx="95">
                  <c:v>9.0471891310735693</c:v>
                </c:pt>
                <c:pt idx="96">
                  <c:v>8.5605721988818431</c:v>
                </c:pt>
                <c:pt idx="97">
                  <c:v>8.0831784879281425</c:v>
                </c:pt>
                <c:pt idx="98">
                  <c:v>7.6164359155676919</c:v>
                </c:pt>
                <c:pt idx="99">
                  <c:v>7.161626459885543</c:v>
                </c:pt>
                <c:pt idx="100">
                  <c:v>6.7198841683924888</c:v>
                </c:pt>
                <c:pt idx="101">
                  <c:v>6.2921947841782719</c:v>
                </c:pt>
                <c:pt idx="102">
                  <c:v>5.8793968975815964</c:v>
                </c:pt>
                <c:pt idx="103">
                  <c:v>5.4821845153833593</c:v>
                </c:pt>
                <c:pt idx="104">
                  <c:v>5.1011109262127858</c:v>
                </c:pt>
                <c:pt idx="105">
                  <c:v>4.7365937303483099</c:v>
                </c:pt>
                <c:pt idx="106">
                  <c:v>4.3889208944046336</c:v>
                </c:pt>
                <c:pt idx="107">
                  <c:v>4.0582576864776643</c:v>
                </c:pt>
                <c:pt idx="108">
                  <c:v>3.7446543450690117</c:v>
                </c:pt>
                <c:pt idx="109">
                  <c:v>3.4480543353846995</c:v>
                </c:pt>
                <c:pt idx="110">
                  <c:v>3.168303049211012</c:v>
                </c:pt>
                <c:pt idx="111">
                  <c:v>2.9051568092936395</c:v>
                </c:pt>
                <c:pt idx="112">
                  <c:v>2.658292045737753</c:v>
                </c:pt>
                <c:pt idx="113">
                  <c:v>2.4273145201416955</c:v>
                </c:pt>
                <c:pt idx="114">
                  <c:v>2.2117684826992958</c:v>
                </c:pt>
                <c:pt idx="115">
                  <c:v>2.0111456580752423</c:v>
                </c:pt>
                <c:pt idx="116">
                  <c:v>1.8248939671963929</c:v>
                </c:pt>
                <c:pt idx="117">
                  <c:v>1.6524259039397804</c:v>
                </c:pt>
                <c:pt idx="118">
                  <c:v>1.4931264977786769</c:v>
                </c:pt>
                <c:pt idx="119">
                  <c:v>1.3463608055334741</c:v>
                </c:pt>
                <c:pt idx="120">
                  <c:v>1.2114808872469125</c:v>
                </c:pt>
                <c:pt idx="121">
                  <c:v>1.0878322326709835</c:v>
                </c:pt>
                <c:pt idx="122">
                  <c:v>0.97475961574902137</c:v>
                </c:pt>
                <c:pt idx="123">
                  <c:v>0.87161236466218694</c:v>
                </c:pt>
                <c:pt idx="124">
                  <c:v>0.77774904437321835</c:v>
                </c:pt>
                <c:pt idx="125">
                  <c:v>0.69254155705820641</c:v>
                </c:pt>
                <c:pt idx="126">
                  <c:v>0.61537867331171026</c:v>
                </c:pt>
                <c:pt idx="127">
                  <c:v>0.54566901350939301</c:v>
                </c:pt>
                <c:pt idx="128">
                  <c:v>0.48284350420614303</c:v>
                </c:pt>
                <c:pt idx="129">
                  <c:v>0.42635733894781119</c:v>
                </c:pt>
                <c:pt idx="130">
                  <c:v>0.37569147641115747</c:v>
                </c:pt>
                <c:pt idx="131">
                  <c:v>0.33035371140468356</c:v>
                </c:pt>
                <c:pt idx="132">
                  <c:v>0.28987935602125714</c:v>
                </c:pt>
                <c:pt idx="133">
                  <c:v>0.25383156920027056</c:v>
                </c:pt>
                <c:pt idx="134">
                  <c:v>0.22180137320869908</c:v>
                </c:pt>
                <c:pt idx="135">
                  <c:v>0.19340739516787073</c:v>
                </c:pt>
                <c:pt idx="136">
                  <c:v>0.16829537081979001</c:v>
                </c:pt>
                <c:pt idx="137">
                  <c:v>0.14613744632774189</c:v>
                </c:pt>
                <c:pt idx="138">
                  <c:v>0.12663131212356271</c:v>
                </c:pt>
                <c:pt idx="139">
                  <c:v>0.1094992007283439</c:v>
                </c:pt>
                <c:pt idx="140">
                  <c:v>9.4486778160091822E-2</c:v>
                </c:pt>
              </c:numCache>
            </c:numRef>
          </c:yVal>
          <c:smooth val="1"/>
          <c:extLst>
            <c:ext xmlns:c16="http://schemas.microsoft.com/office/drawing/2014/chart" uri="{C3380CC4-5D6E-409C-BE32-E72D297353CC}">
              <c16:uniqueId val="{00000001-28C7-4862-86E9-AF862A5BA0AD}"/>
            </c:ext>
          </c:extLst>
        </c:ser>
        <c:ser>
          <c:idx val="2"/>
          <c:order val="2"/>
          <c:tx>
            <c:strRef>
              <c:f>'Notes | Quant Analysis'!$W$211</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9136803751322862E-2"/>
                  <c:y val="-2.8412747873776803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3564064678071361"/>
                      <c:h val="8.0067377576539603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Analysis'!$X$211:$X$212</c:f>
              <c:numCache>
                <c:formatCode>0.00%</c:formatCode>
                <c:ptCount val="2"/>
                <c:pt idx="0">
                  <c:v>-8.9280538842969747E-4</c:v>
                </c:pt>
                <c:pt idx="1">
                  <c:v>-8.9280538842969747E-4</c:v>
                </c:pt>
              </c:numCache>
            </c:numRef>
          </c:xVal>
          <c:yVal>
            <c:numRef>
              <c:f>'Notes | Quant Analysis'!$Y$211:$Y$212</c:f>
              <c:numCache>
                <c:formatCode>General</c:formatCode>
                <c:ptCount val="2"/>
                <c:pt idx="0">
                  <c:v>0</c:v>
                </c:pt>
                <c:pt idx="1">
                  <c:v>18</c:v>
                </c:pt>
              </c:numCache>
            </c:numRef>
          </c:yVal>
          <c:smooth val="1"/>
          <c:extLst>
            <c:ext xmlns:c16="http://schemas.microsoft.com/office/drawing/2014/chart" uri="{C3380CC4-5D6E-409C-BE32-E72D297353CC}">
              <c16:uniqueId val="{00000004-28C7-4862-86E9-AF862A5BA0AD}"/>
            </c:ext>
          </c:extLst>
        </c:ser>
        <c:ser>
          <c:idx val="3"/>
          <c:order val="3"/>
          <c:tx>
            <c:strRef>
              <c:f>'Notes | Quant Analysis'!$W$213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Analysis'!$X$213:$X$214</c:f>
              <c:numCache>
                <c:formatCode>0.00%</c:formatCode>
                <c:ptCount val="2"/>
                <c:pt idx="0">
                  <c:v>-6.6439711226504522E-2</c:v>
                </c:pt>
                <c:pt idx="1">
                  <c:v>-6.6439711226504522E-2</c:v>
                </c:pt>
              </c:numCache>
            </c:numRef>
          </c:xVal>
          <c:yVal>
            <c:numRef>
              <c:f>'Notes | Quant Analysis'!$Y$213:$Y$214</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Analysis'!$W$215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5861686296E-2"/>
                  <c:y val="-6.877531293888902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Analysis'!$X$215:$X$216</c:f>
              <c:numCache>
                <c:formatCode>0.00%</c:formatCode>
                <c:ptCount val="2"/>
                <c:pt idx="0">
                  <c:v>-4.4590742613812913E-2</c:v>
                </c:pt>
                <c:pt idx="1">
                  <c:v>-4.4590742613812913E-2</c:v>
                </c:pt>
              </c:numCache>
            </c:numRef>
          </c:xVal>
          <c:yVal>
            <c:numRef>
              <c:f>'Notes | Quant Analysis'!$Y$215:$Y$216</c:f>
              <c:numCache>
                <c:formatCode>General</c:formatCode>
                <c:ptCount val="2"/>
                <c:pt idx="0">
                  <c:v>0</c:v>
                </c:pt>
                <c:pt idx="1">
                  <c:v>3</c:v>
                </c:pt>
              </c:numCache>
            </c:numRef>
          </c:yVal>
          <c:smooth val="1"/>
          <c:extLst>
            <c:ext xmlns:c16="http://schemas.microsoft.com/office/drawing/2014/chart" uri="{C3380CC4-5D6E-409C-BE32-E72D297353CC}">
              <c16:uniqueId val="{0000000A-28C7-4862-86E9-AF862A5BA0AD}"/>
            </c:ext>
          </c:extLst>
        </c:ser>
        <c:ser>
          <c:idx val="5"/>
          <c:order val="5"/>
          <c:tx>
            <c:strRef>
              <c:f>'Notes | Quant Analysis'!$W$217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58889884046E-2"/>
                  <c:y val="-4.005543568403144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Analysis'!$X$217:$X$218</c:f>
              <c:numCache>
                <c:formatCode>0.00%</c:formatCode>
                <c:ptCount val="2"/>
                <c:pt idx="0">
                  <c:v>-2.2741774001121307E-2</c:v>
                </c:pt>
                <c:pt idx="1">
                  <c:v>-2.2741774001121307E-2</c:v>
                </c:pt>
              </c:numCache>
            </c:numRef>
          </c:xVal>
          <c:yVal>
            <c:numRef>
              <c:f>'Notes | Quant Analysis'!$Y$217:$Y$218</c:f>
              <c:numCache>
                <c:formatCode>General</c:formatCode>
                <c:ptCount val="2"/>
                <c:pt idx="0">
                  <c:v>0</c:v>
                </c:pt>
                <c:pt idx="1">
                  <c:v>11</c:v>
                </c:pt>
              </c:numCache>
            </c:numRef>
          </c:yVal>
          <c:smooth val="1"/>
          <c:extLst>
            <c:ext xmlns:c16="http://schemas.microsoft.com/office/drawing/2014/chart" uri="{C3380CC4-5D6E-409C-BE32-E72D297353CC}">
              <c16:uniqueId val="{0000000D-28C7-4862-86E9-AF862A5BA0AD}"/>
            </c:ext>
          </c:extLst>
        </c:ser>
        <c:ser>
          <c:idx val="6"/>
          <c:order val="6"/>
          <c:tx>
            <c:strRef>
              <c:f>'Notes | Quant Analysis'!$W$219</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2582794495E-2"/>
                  <c:y val="-4.005543568403144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Analysis'!$X$219:$X$220</c:f>
              <c:numCache>
                <c:formatCode>0.00%</c:formatCode>
                <c:ptCount val="2"/>
                <c:pt idx="0">
                  <c:v>2.0956163224261911E-2</c:v>
                </c:pt>
                <c:pt idx="1">
                  <c:v>2.0956163224261911E-2</c:v>
                </c:pt>
              </c:numCache>
            </c:numRef>
          </c:xVal>
          <c:yVal>
            <c:numRef>
              <c:f>'Notes | Quant Analysis'!$Y$219:$Y$220</c:f>
              <c:numCache>
                <c:formatCode>General</c:formatCode>
                <c:ptCount val="2"/>
                <c:pt idx="0">
                  <c:v>0</c:v>
                </c:pt>
                <c:pt idx="1">
                  <c:v>11</c:v>
                </c:pt>
              </c:numCache>
            </c:numRef>
          </c:yVal>
          <c:smooth val="1"/>
          <c:extLst>
            <c:ext xmlns:c16="http://schemas.microsoft.com/office/drawing/2014/chart" uri="{C3380CC4-5D6E-409C-BE32-E72D297353CC}">
              <c16:uniqueId val="{0000000F-28C7-4862-86E9-AF862A5BA0AD}"/>
            </c:ext>
          </c:extLst>
        </c:ser>
        <c:ser>
          <c:idx val="7"/>
          <c:order val="7"/>
          <c:tx>
            <c:strRef>
              <c:f>'Notes | Quant Analysis'!$W$221</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7194905201E-2"/>
                  <c:y val="-6.892243642428706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Analysis'!$X$221:$X$222</c:f>
              <c:numCache>
                <c:formatCode>0.00%</c:formatCode>
                <c:ptCount val="2"/>
                <c:pt idx="0">
                  <c:v>4.2805131836953524E-2</c:v>
                </c:pt>
                <c:pt idx="1">
                  <c:v>4.2805131836953524E-2</c:v>
                </c:pt>
              </c:numCache>
            </c:numRef>
          </c:xVal>
          <c:yVal>
            <c:numRef>
              <c:f>'Notes | Quant Analysis'!$Y$221:$Y$222</c:f>
              <c:numCache>
                <c:formatCode>General</c:formatCode>
                <c:ptCount val="2"/>
                <c:pt idx="0">
                  <c:v>0</c:v>
                </c:pt>
                <c:pt idx="1">
                  <c:v>3</c:v>
                </c:pt>
              </c:numCache>
            </c:numRef>
          </c:yVal>
          <c:smooth val="1"/>
          <c:extLst>
            <c:ext xmlns:c16="http://schemas.microsoft.com/office/drawing/2014/chart" uri="{C3380CC4-5D6E-409C-BE32-E72D297353CC}">
              <c16:uniqueId val="{00000012-28C7-4862-86E9-AF862A5BA0AD}"/>
            </c:ext>
          </c:extLst>
        </c:ser>
        <c:ser>
          <c:idx val="8"/>
          <c:order val="8"/>
          <c:tx>
            <c:strRef>
              <c:f>'Notes | Quant Analysis'!$W$223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Analysis'!$X$223:$X$224</c:f>
              <c:numCache>
                <c:formatCode>0.00%</c:formatCode>
                <c:ptCount val="2"/>
                <c:pt idx="0">
                  <c:v>6.4654100449645119E-2</c:v>
                </c:pt>
                <c:pt idx="1">
                  <c:v>6.4654100449645119E-2</c:v>
                </c:pt>
              </c:numCache>
            </c:numRef>
          </c:xVal>
          <c:yVal>
            <c:numRef>
              <c:f>'Notes | Quant Analysis'!$Y$223:$Y$224</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8.0000000000000016E-2"/>
          <c:min val="-8.0000000000000016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(ORCL)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Model!$BS$38:$CG$38</c:f>
              <c:numCache>
                <c:formatCode>General</c:formatCode>
                <c:ptCount val="15"/>
                <c:pt idx="0">
                  <c:v>9981</c:v>
                </c:pt>
                <c:pt idx="1">
                  <c:v>10925</c:v>
                </c:pt>
                <c:pt idx="2">
                  <c:v>10955</c:v>
                </c:pt>
                <c:pt idx="3">
                  <c:v>9938</c:v>
                </c:pt>
                <c:pt idx="4">
                  <c:v>8901</c:v>
                </c:pt>
                <c:pt idx="5">
                  <c:v>9452</c:v>
                </c:pt>
                <c:pt idx="6">
                  <c:v>3587</c:v>
                </c:pt>
                <c:pt idx="7">
                  <c:v>11083</c:v>
                </c:pt>
                <c:pt idx="8">
                  <c:v>10136</c:v>
                </c:pt>
                <c:pt idx="9">
                  <c:v>12253</c:v>
                </c:pt>
                <c:pt idx="10">
                  <c:v>6718</c:v>
                </c:pt>
                <c:pt idx="11">
                  <c:v>8504</c:v>
                </c:pt>
                <c:pt idx="12">
                  <c:v>10467</c:v>
                </c:pt>
                <c:pt idx="13">
                  <c:v>12443</c:v>
                </c:pt>
                <c:pt idx="14">
                  <c:v>16984</c:v>
                </c:pt>
              </c:numCache>
            </c:numRef>
          </c:val>
          <c:extLst>
            <c:ext xmlns:c16="http://schemas.microsoft.com/office/drawing/2014/chart" uri="{C3380CC4-5D6E-409C-BE32-E72D297353CC}">
              <c16:uniqueId val="{00000000-925D-4015-AD00-FBC6B2DE9B8D}"/>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Model!$BS$88:$CG$88</c:f>
              <c:numCache>
                <c:formatCode>General</c:formatCode>
                <c:ptCount val="15"/>
                <c:pt idx="0">
                  <c:v>13095</c:v>
                </c:pt>
                <c:pt idx="1">
                  <c:v>13574</c:v>
                </c:pt>
                <c:pt idx="2">
                  <c:v>14341</c:v>
                </c:pt>
                <c:pt idx="3">
                  <c:v>13189</c:v>
                </c:pt>
                <c:pt idx="4">
                  <c:v>12496</c:v>
                </c:pt>
                <c:pt idx="5">
                  <c:v>12105</c:v>
                </c:pt>
                <c:pt idx="6">
                  <c:v>13650</c:v>
                </c:pt>
                <c:pt idx="7">
                  <c:v>12891</c:v>
                </c:pt>
                <c:pt idx="8">
                  <c:v>11575</c:v>
                </c:pt>
                <c:pt idx="9">
                  <c:v>13752</c:v>
                </c:pt>
                <c:pt idx="10">
                  <c:v>5028</c:v>
                </c:pt>
                <c:pt idx="11">
                  <c:v>8470</c:v>
                </c:pt>
                <c:pt idx="12">
                  <c:v>11807</c:v>
                </c:pt>
                <c:pt idx="13">
                  <c:v>-394</c:v>
                </c:pt>
                <c:pt idx="14">
                  <c:v>-23686</c:v>
                </c:pt>
              </c:numCache>
            </c:numRef>
          </c:val>
          <c:extLst>
            <c:ext xmlns:c16="http://schemas.microsoft.com/office/drawing/2014/chart" uri="{C3380CC4-5D6E-409C-BE32-E72D297353CC}">
              <c16:uniqueId val="{00000001-925D-4015-AD00-FBC6B2DE9B8D}"/>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numRef>
              <c:f>Model!$BS$3:$CG$3</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Model!$BS$21:$CG$21</c:f>
              <c:numCache>
                <c:formatCode>General</c:formatCode>
                <c:ptCount val="15"/>
                <c:pt idx="0">
                  <c:v>37121</c:v>
                </c:pt>
                <c:pt idx="1">
                  <c:v>37180</c:v>
                </c:pt>
                <c:pt idx="2">
                  <c:v>38275</c:v>
                </c:pt>
                <c:pt idx="3">
                  <c:v>38226</c:v>
                </c:pt>
                <c:pt idx="4">
                  <c:v>37047</c:v>
                </c:pt>
                <c:pt idx="5">
                  <c:v>37792</c:v>
                </c:pt>
                <c:pt idx="6">
                  <c:v>39383</c:v>
                </c:pt>
                <c:pt idx="7">
                  <c:v>39506</c:v>
                </c:pt>
                <c:pt idx="8">
                  <c:v>39069</c:v>
                </c:pt>
                <c:pt idx="9">
                  <c:v>40480</c:v>
                </c:pt>
                <c:pt idx="10">
                  <c:v>42441</c:v>
                </c:pt>
                <c:pt idx="11">
                  <c:v>49955</c:v>
                </c:pt>
                <c:pt idx="12">
                  <c:v>52961</c:v>
                </c:pt>
                <c:pt idx="13">
                  <c:v>57399</c:v>
                </c:pt>
                <c:pt idx="14">
                  <c:v>67357</c:v>
                </c:pt>
              </c:numCache>
            </c:numRef>
          </c:val>
          <c:smooth val="0"/>
          <c:extLst>
            <c:ext xmlns:c16="http://schemas.microsoft.com/office/drawing/2014/chart" uri="{C3380CC4-5D6E-409C-BE32-E72D297353CC}">
              <c16:uniqueId val="{00000002-925D-4015-AD00-FBC6B2DE9B8D}"/>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9524</xdr:colOff>
      <xdr:row>2</xdr:row>
      <xdr:rowOff>9525</xdr:rowOff>
    </xdr:from>
    <xdr:to>
      <xdr:col>8</xdr:col>
      <xdr:colOff>609599</xdr:colOff>
      <xdr:row>9</xdr:row>
      <xdr:rowOff>0</xdr:rowOff>
    </xdr:to>
    <xdr:pic>
      <xdr:nvPicPr>
        <xdr:cNvPr id="2" name="Picture 1">
          <a:extLst>
            <a:ext uri="{FF2B5EF4-FFF2-40B4-BE49-F238E27FC236}">
              <a16:creationId xmlns:a16="http://schemas.microsoft.com/office/drawing/2014/main" id="{0D5F349A-D89E-81F5-5516-7F6C0CBF25EA}"/>
            </a:ext>
          </a:extLst>
        </xdr:cNvPr>
        <xdr:cNvPicPr>
          <a:picLocks noChangeAspect="1"/>
        </xdr:cNvPicPr>
      </xdr:nvPicPr>
      <xdr:blipFill>
        <a:blip xmlns:r="http://schemas.openxmlformats.org/officeDocument/2006/relationships" r:embed="rId1"/>
        <a:stretch>
          <a:fillRect/>
        </a:stretch>
      </xdr:blipFill>
      <xdr:spPr>
        <a:xfrm>
          <a:off x="3162299" y="752475"/>
          <a:ext cx="1819275" cy="1257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63</xdr:col>
      <xdr:colOff>0</xdr:colOff>
      <xdr:row>0</xdr:row>
      <xdr:rowOff>0</xdr:rowOff>
    </xdr:from>
    <xdr:to>
      <xdr:col>63</xdr:col>
      <xdr:colOff>0</xdr:colOff>
      <xdr:row>98</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39556765" y="0"/>
          <a:ext cx="0" cy="177344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0</xdr:colOff>
      <xdr:row>0</xdr:row>
      <xdr:rowOff>0</xdr:rowOff>
    </xdr:from>
    <xdr:to>
      <xdr:col>85</xdr:col>
      <xdr:colOff>0</xdr:colOff>
      <xdr:row>97</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0</xdr:colOff>
      <xdr:row>68</xdr:row>
      <xdr:rowOff>190499</xdr:rowOff>
    </xdr:from>
    <xdr:to>
      <xdr:col>31</xdr:col>
      <xdr:colOff>0</xdr:colOff>
      <xdr:row>99</xdr:row>
      <xdr:rowOff>180974</xdr:rowOff>
    </xdr:to>
    <xdr:graphicFrame macro="">
      <xdr:nvGraphicFramePr>
        <xdr:cNvPr id="10" name="Chart 9">
          <a:extLst>
            <a:ext uri="{FF2B5EF4-FFF2-40B4-BE49-F238E27FC236}">
              <a16:creationId xmlns:a16="http://schemas.microsoft.com/office/drawing/2014/main" id="{84FB900F-5CB4-4A29-9AA9-0F52122F1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105</xdr:row>
      <xdr:rowOff>0</xdr:rowOff>
    </xdr:from>
    <xdr:to>
      <xdr:col>31</xdr:col>
      <xdr:colOff>0</xdr:colOff>
      <xdr:row>133</xdr:row>
      <xdr:rowOff>0</xdr:rowOff>
    </xdr:to>
    <xdr:graphicFrame macro="">
      <xdr:nvGraphicFramePr>
        <xdr:cNvPr id="11" name="Chart 10">
          <a:extLst>
            <a:ext uri="{FF2B5EF4-FFF2-40B4-BE49-F238E27FC236}">
              <a16:creationId xmlns:a16="http://schemas.microsoft.com/office/drawing/2014/main" id="{668A2771-9C5B-4C2F-ACA8-B0AB1CDD4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170</xdr:row>
      <xdr:rowOff>0</xdr:rowOff>
    </xdr:from>
    <xdr:to>
      <xdr:col>31</xdr:col>
      <xdr:colOff>0</xdr:colOff>
      <xdr:row>198</xdr:row>
      <xdr:rowOff>0</xdr:rowOff>
    </xdr:to>
    <xdr:graphicFrame macro="">
      <xdr:nvGraphicFramePr>
        <xdr:cNvPr id="12" name="Chart 11">
          <a:extLst>
            <a:ext uri="{FF2B5EF4-FFF2-40B4-BE49-F238E27FC236}">
              <a16:creationId xmlns:a16="http://schemas.microsoft.com/office/drawing/2014/main" id="{24AA7F03-D111-42C9-8F86-2FEB4859C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138</xdr:row>
      <xdr:rowOff>0</xdr:rowOff>
    </xdr:from>
    <xdr:to>
      <xdr:col>31</xdr:col>
      <xdr:colOff>0</xdr:colOff>
      <xdr:row>166</xdr:row>
      <xdr:rowOff>0</xdr:rowOff>
    </xdr:to>
    <xdr:graphicFrame macro="">
      <xdr:nvGraphicFramePr>
        <xdr:cNvPr id="13" name="Chart 12">
          <a:extLst>
            <a:ext uri="{FF2B5EF4-FFF2-40B4-BE49-F238E27FC236}">
              <a16:creationId xmlns:a16="http://schemas.microsoft.com/office/drawing/2014/main" id="{32839D15-9BB3-448D-B8CF-A08AA5D52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gurufocus.com/term/wacc/ORCL" TargetMode="External"/><Relationship Id="rId2" Type="http://schemas.openxmlformats.org/officeDocument/2006/relationships/hyperlink" Target="https://www.oracle.com/" TargetMode="External"/><Relationship Id="rId1" Type="http://schemas.openxmlformats.org/officeDocument/2006/relationships/hyperlink" Target="https://app.godelterminal.com/" TargetMode="External"/><Relationship Id="rId5" Type="http://schemas.openxmlformats.org/officeDocument/2006/relationships/drawing" Target="../drawings/drawing1.xml"/><Relationship Id="rId4" Type="http://schemas.openxmlformats.org/officeDocument/2006/relationships/hyperlink" Target="mailto:investor_us@oracl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3"/>
  <sheetViews>
    <sheetView workbookViewId="0">
      <selection activeCell="C8" sqref="C8"/>
    </sheetView>
  </sheetViews>
  <sheetFormatPr defaultColWidth="9.140625" defaultRowHeight="14.25"/>
  <cols>
    <col min="1" max="1" width="3.42578125" style="1" customWidth="1"/>
    <col min="2" max="2" width="9.140625" style="1" customWidth="1"/>
    <col min="3" max="3" width="11.28515625" style="1" customWidth="1"/>
    <col min="4" max="4" width="9.140625" style="1" customWidth="1"/>
    <col min="5" max="16384" width="9.140625" style="1"/>
  </cols>
  <sheetData>
    <row r="2" spans="2:18" ht="15">
      <c r="B2" s="2" t="s">
        <v>150</v>
      </c>
    </row>
    <row r="3" spans="2:18">
      <c r="B3" s="1" t="s">
        <v>0</v>
      </c>
      <c r="C3" s="56">
        <v>141.4</v>
      </c>
      <c r="D3" s="43" t="s">
        <v>1044</v>
      </c>
    </row>
    <row r="4" spans="2:18">
      <c r="B4" s="1" t="s">
        <v>1</v>
      </c>
      <c r="C4" s="57">
        <v>2966</v>
      </c>
      <c r="D4" s="1" t="s">
        <v>213</v>
      </c>
    </row>
    <row r="5" spans="2:18">
      <c r="B5" s="1" t="s">
        <v>2</v>
      </c>
      <c r="C5" s="58">
        <f>C3*C4</f>
        <v>419392.4</v>
      </c>
    </row>
    <row r="6" spans="2:18">
      <c r="B6" s="1" t="s">
        <v>3</v>
      </c>
      <c r="C6" s="58">
        <f>36369+708</f>
        <v>37077</v>
      </c>
      <c r="D6" s="1" t="s">
        <v>213</v>
      </c>
    </row>
    <row r="7" spans="2:18">
      <c r="B7" s="1" t="s">
        <v>4</v>
      </c>
      <c r="C7" s="58">
        <f>7625+117712</f>
        <v>125337</v>
      </c>
      <c r="D7" s="1" t="s">
        <v>213</v>
      </c>
    </row>
    <row r="8" spans="2:18">
      <c r="B8" s="1" t="s">
        <v>5</v>
      </c>
      <c r="C8" s="58">
        <f>C5-C6+C7</f>
        <v>507652.4</v>
      </c>
    </row>
    <row r="10" spans="2:18" ht="15">
      <c r="B10" s="2" t="s">
        <v>151</v>
      </c>
    </row>
    <row r="12" spans="2:18" ht="15">
      <c r="B12" s="1" t="s">
        <v>160</v>
      </c>
      <c r="G12" s="1" t="s">
        <v>167</v>
      </c>
      <c r="N12" s="1" t="s">
        <v>142</v>
      </c>
      <c r="Q12" s="2"/>
    </row>
    <row r="13" spans="2:18">
      <c r="B13" s="1" t="s">
        <v>161</v>
      </c>
      <c r="G13" s="1" t="s">
        <v>168</v>
      </c>
      <c r="N13" s="1" t="s">
        <v>7</v>
      </c>
      <c r="Q13" s="44" t="s">
        <v>152</v>
      </c>
      <c r="R13" s="44"/>
    </row>
    <row r="14" spans="2:18">
      <c r="B14" s="1" t="s">
        <v>162</v>
      </c>
      <c r="G14" s="1" t="s">
        <v>6</v>
      </c>
      <c r="N14" s="1" t="s">
        <v>146</v>
      </c>
      <c r="Q14" s="44" t="s">
        <v>153</v>
      </c>
      <c r="R14" s="44"/>
    </row>
    <row r="15" spans="2:18">
      <c r="B15" s="1" t="s">
        <v>163</v>
      </c>
      <c r="G15" s="1" t="s">
        <v>139</v>
      </c>
      <c r="O15" s="1" t="s">
        <v>145</v>
      </c>
      <c r="Q15" s="44"/>
      <c r="R15" s="44" t="s">
        <v>154</v>
      </c>
    </row>
    <row r="16" spans="2:18">
      <c r="B16" s="1" t="s">
        <v>164</v>
      </c>
      <c r="G16" s="1" t="s">
        <v>133</v>
      </c>
      <c r="H16" s="1" t="s">
        <v>170</v>
      </c>
      <c r="J16" s="1" t="s">
        <v>134</v>
      </c>
      <c r="K16" s="44" t="s">
        <v>169</v>
      </c>
      <c r="N16" s="1" t="s">
        <v>136</v>
      </c>
      <c r="Q16" s="44" t="s">
        <v>155</v>
      </c>
      <c r="R16" s="44"/>
    </row>
    <row r="17" spans="1:18">
      <c r="B17" s="1" t="s">
        <v>165</v>
      </c>
      <c r="N17" s="1" t="s">
        <v>137</v>
      </c>
      <c r="Q17" s="44" t="s">
        <v>156</v>
      </c>
      <c r="R17" s="44"/>
    </row>
    <row r="18" spans="1:18">
      <c r="B18" s="1" t="s">
        <v>166</v>
      </c>
      <c r="N18" s="1" t="s">
        <v>147</v>
      </c>
      <c r="Q18" s="44" t="s">
        <v>157</v>
      </c>
      <c r="R18" s="44"/>
    </row>
    <row r="19" spans="1:18">
      <c r="B19" s="1" t="s">
        <v>159</v>
      </c>
      <c r="N19" s="1" t="s">
        <v>148</v>
      </c>
      <c r="Q19" s="44" t="s">
        <v>158</v>
      </c>
      <c r="R19" s="44"/>
    </row>
    <row r="20" spans="1:18">
      <c r="B20" s="1" t="s">
        <v>194</v>
      </c>
      <c r="N20" s="1" t="s">
        <v>8</v>
      </c>
      <c r="Q20" s="44" t="s">
        <v>138</v>
      </c>
    </row>
    <row r="22" spans="1:18" ht="15">
      <c r="A22" s="2" t="s">
        <v>9</v>
      </c>
    </row>
    <row r="23" spans="1:18">
      <c r="B23" s="1" t="s">
        <v>177</v>
      </c>
    </row>
    <row r="24" spans="1:18">
      <c r="C24" s="1" t="s">
        <v>171</v>
      </c>
    </row>
    <row r="25" spans="1:18">
      <c r="D25" s="1" t="s">
        <v>174</v>
      </c>
    </row>
    <row r="26" spans="1:18">
      <c r="D26" s="1" t="s">
        <v>188</v>
      </c>
    </row>
    <row r="27" spans="1:18">
      <c r="C27" s="1" t="s">
        <v>172</v>
      </c>
    </row>
    <row r="28" spans="1:18">
      <c r="D28" s="1" t="s">
        <v>173</v>
      </c>
    </row>
    <row r="29" spans="1:18">
      <c r="C29" s="1" t="s">
        <v>175</v>
      </c>
    </row>
    <row r="30" spans="1:18">
      <c r="D30" s="1" t="s">
        <v>176</v>
      </c>
    </row>
    <row r="31" spans="1:18">
      <c r="B31" s="1" t="s">
        <v>186</v>
      </c>
    </row>
    <row r="32" spans="1:18">
      <c r="B32" s="1" t="s">
        <v>178</v>
      </c>
    </row>
    <row r="33" spans="1:4">
      <c r="C33" s="1" t="s">
        <v>189</v>
      </c>
    </row>
    <row r="34" spans="1:4">
      <c r="C34" s="1" t="s">
        <v>179</v>
      </c>
    </row>
    <row r="35" spans="1:4">
      <c r="C35" s="1" t="s">
        <v>180</v>
      </c>
    </row>
    <row r="36" spans="1:4">
      <c r="D36" s="1" t="s">
        <v>181</v>
      </c>
    </row>
    <row r="37" spans="1:4">
      <c r="C37" s="1" t="s">
        <v>182</v>
      </c>
    </row>
    <row r="38" spans="1:4">
      <c r="D38" s="1" t="s">
        <v>183</v>
      </c>
    </row>
    <row r="39" spans="1:4">
      <c r="B39" s="1" t="s">
        <v>184</v>
      </c>
    </row>
    <row r="40" spans="1:4">
      <c r="C40" s="1" t="s">
        <v>185</v>
      </c>
    </row>
    <row r="41" spans="1:4">
      <c r="B41" s="1" t="s">
        <v>187</v>
      </c>
    </row>
    <row r="43" spans="1:4" ht="15">
      <c r="A43" s="2" t="s">
        <v>140</v>
      </c>
    </row>
  </sheetData>
  <hyperlinks>
    <hyperlink ref="Q20" r:id="rId1" xr:uid="{14375537-5C3D-4253-9650-337AB6789785}"/>
    <hyperlink ref="Q14" r:id="rId2" xr:uid="{17E1C44A-9EA0-4AC9-878C-4BE240475268}"/>
    <hyperlink ref="Q19" r:id="rId3" xr:uid="{3A0DA4D7-0623-44B3-B5E4-2EBD2EE5CC9D}"/>
    <hyperlink ref="K16" r:id="rId4" xr:uid="{33B99A03-4448-49F8-8B55-661308BBFED5}"/>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R94"/>
  <sheetViews>
    <sheetView tabSelected="1" zoomScale="85" zoomScaleNormal="85" workbookViewId="0">
      <pane xSplit="2" ySplit="3" topLeftCell="AZ30" activePane="bottomRight" state="frozen"/>
      <selection pane="topRight" activeCell="C1" sqref="C1"/>
      <selection pane="bottomLeft" activeCell="A4" sqref="A4"/>
      <selection pane="bottomRight" activeCell="DA55" sqref="DA55"/>
    </sheetView>
  </sheetViews>
  <sheetFormatPr defaultColWidth="9.140625" defaultRowHeight="14.25"/>
  <cols>
    <col min="1" max="1" width="3.140625" style="1" customWidth="1"/>
    <col min="2" max="2" width="36.42578125" style="1" customWidth="1"/>
    <col min="3" max="85" width="9.140625" style="1"/>
    <col min="86" max="147" width="9.140625" style="36"/>
    <col min="148" max="16384" width="9.140625" style="1"/>
  </cols>
  <sheetData>
    <row r="1" spans="2:148" ht="15">
      <c r="B1" s="1" t="s">
        <v>194</v>
      </c>
      <c r="AM1" s="2" t="s">
        <v>79</v>
      </c>
      <c r="AQ1" s="2" t="s">
        <v>83</v>
      </c>
      <c r="AU1" s="2" t="s">
        <v>87</v>
      </c>
      <c r="AY1" s="2" t="s">
        <v>91</v>
      </c>
      <c r="BC1" s="2" t="s">
        <v>95</v>
      </c>
      <c r="BG1" s="34" t="s">
        <v>99</v>
      </c>
      <c r="BK1" s="2" t="s">
        <v>1040</v>
      </c>
    </row>
    <row r="2" spans="2:148">
      <c r="B2" s="1" t="s">
        <v>103</v>
      </c>
      <c r="C2" s="1" t="s">
        <v>190</v>
      </c>
      <c r="D2" s="1" t="s">
        <v>193</v>
      </c>
      <c r="E2" s="1" t="s">
        <v>192</v>
      </c>
      <c r="F2" s="1" t="s">
        <v>191</v>
      </c>
      <c r="G2" s="1" t="s">
        <v>190</v>
      </c>
      <c r="H2" s="1" t="s">
        <v>193</v>
      </c>
      <c r="I2" s="1" t="s">
        <v>192</v>
      </c>
      <c r="J2" s="1" t="s">
        <v>191</v>
      </c>
      <c r="K2" s="1" t="s">
        <v>190</v>
      </c>
      <c r="L2" s="1" t="s">
        <v>193</v>
      </c>
      <c r="M2" s="1" t="s">
        <v>192</v>
      </c>
      <c r="N2" s="1" t="s">
        <v>191</v>
      </c>
      <c r="O2" s="1" t="s">
        <v>190</v>
      </c>
      <c r="P2" s="1" t="s">
        <v>193</v>
      </c>
      <c r="Q2" s="1" t="s">
        <v>192</v>
      </c>
      <c r="R2" s="1" t="s">
        <v>191</v>
      </c>
      <c r="S2" s="1" t="s">
        <v>190</v>
      </c>
      <c r="T2" s="1" t="s">
        <v>193</v>
      </c>
      <c r="U2" s="1" t="s">
        <v>192</v>
      </c>
      <c r="V2" s="1" t="s">
        <v>191</v>
      </c>
      <c r="W2" s="1" t="s">
        <v>190</v>
      </c>
      <c r="X2" s="1" t="s">
        <v>193</v>
      </c>
      <c r="Y2" s="1" t="s">
        <v>192</v>
      </c>
      <c r="Z2" s="1" t="s">
        <v>191</v>
      </c>
      <c r="AA2" s="1" t="s">
        <v>190</v>
      </c>
      <c r="AB2" s="1" t="s">
        <v>193</v>
      </c>
      <c r="AC2" s="1" t="s">
        <v>192</v>
      </c>
      <c r="AD2" s="1" t="s">
        <v>191</v>
      </c>
      <c r="AE2" s="1" t="s">
        <v>190</v>
      </c>
      <c r="AF2" s="1" t="s">
        <v>193</v>
      </c>
      <c r="AG2" s="1" t="s">
        <v>192</v>
      </c>
      <c r="AH2" s="1" t="s">
        <v>191</v>
      </c>
      <c r="AI2" s="1" t="s">
        <v>190</v>
      </c>
      <c r="AJ2" s="1" t="s">
        <v>193</v>
      </c>
      <c r="AK2" s="1" t="s">
        <v>192</v>
      </c>
      <c r="AL2" s="1" t="s">
        <v>191</v>
      </c>
      <c r="AM2" s="1" t="s">
        <v>190</v>
      </c>
      <c r="AN2" s="1" t="s">
        <v>193</v>
      </c>
      <c r="AO2" s="1" t="s">
        <v>192</v>
      </c>
      <c r="AP2" s="1" t="s">
        <v>191</v>
      </c>
      <c r="AQ2" s="1" t="s">
        <v>190</v>
      </c>
      <c r="AR2" s="1" t="s">
        <v>193</v>
      </c>
      <c r="AS2" s="1" t="s">
        <v>192</v>
      </c>
      <c r="AT2" s="1" t="s">
        <v>191</v>
      </c>
      <c r="AU2" s="1" t="s">
        <v>190</v>
      </c>
      <c r="AV2" s="1" t="s">
        <v>193</v>
      </c>
      <c r="AW2" s="1" t="s">
        <v>192</v>
      </c>
      <c r="AX2" s="1" t="s">
        <v>191</v>
      </c>
      <c r="AY2" s="1" t="s">
        <v>190</v>
      </c>
      <c r="AZ2" s="1" t="s">
        <v>193</v>
      </c>
      <c r="BA2" s="1" t="s">
        <v>192</v>
      </c>
      <c r="BB2" s="1" t="s">
        <v>191</v>
      </c>
      <c r="BC2" s="1" t="s">
        <v>190</v>
      </c>
      <c r="BD2" s="1" t="s">
        <v>193</v>
      </c>
      <c r="BE2" s="1" t="s">
        <v>192</v>
      </c>
      <c r="BF2" s="1" t="s">
        <v>191</v>
      </c>
      <c r="BG2" s="1" t="s">
        <v>190</v>
      </c>
      <c r="BH2" s="1" t="s">
        <v>193</v>
      </c>
      <c r="BI2" s="1" t="s">
        <v>192</v>
      </c>
      <c r="BJ2" s="1" t="s">
        <v>191</v>
      </c>
      <c r="BK2" s="1" t="s">
        <v>190</v>
      </c>
      <c r="BL2" s="1" t="s">
        <v>193</v>
      </c>
      <c r="BM2" s="1" t="s">
        <v>192</v>
      </c>
      <c r="BN2" s="1" t="s">
        <v>191</v>
      </c>
    </row>
    <row r="3" spans="2:148" ht="15">
      <c r="B3" s="2" t="s">
        <v>104</v>
      </c>
      <c r="C3" s="2" t="s">
        <v>43</v>
      </c>
      <c r="D3" s="2" t="s">
        <v>44</v>
      </c>
      <c r="E3" s="2" t="s">
        <v>45</v>
      </c>
      <c r="F3" s="2" t="s">
        <v>46</v>
      </c>
      <c r="G3" s="2" t="s">
        <v>47</v>
      </c>
      <c r="H3" s="2" t="s">
        <v>48</v>
      </c>
      <c r="I3" s="2" t="s">
        <v>49</v>
      </c>
      <c r="J3" s="2" t="s">
        <v>50</v>
      </c>
      <c r="K3" s="2" t="s">
        <v>51</v>
      </c>
      <c r="L3" s="2" t="s">
        <v>52</v>
      </c>
      <c r="M3" s="2" t="s">
        <v>53</v>
      </c>
      <c r="N3" s="2" t="s">
        <v>54</v>
      </c>
      <c r="O3" s="2" t="s">
        <v>55</v>
      </c>
      <c r="P3" s="2" t="s">
        <v>56</v>
      </c>
      <c r="Q3" s="2" t="s">
        <v>57</v>
      </c>
      <c r="R3" s="2" t="s">
        <v>58</v>
      </c>
      <c r="S3" s="2" t="s">
        <v>59</v>
      </c>
      <c r="T3" s="2" t="s">
        <v>60</v>
      </c>
      <c r="U3" s="2" t="s">
        <v>61</v>
      </c>
      <c r="V3" s="2" t="s">
        <v>62</v>
      </c>
      <c r="W3" s="2" t="s">
        <v>63</v>
      </c>
      <c r="X3" s="2" t="s">
        <v>64</v>
      </c>
      <c r="Y3" s="2" t="s">
        <v>65</v>
      </c>
      <c r="Z3" s="2" t="s">
        <v>66</v>
      </c>
      <c r="AA3" s="2" t="s">
        <v>67</v>
      </c>
      <c r="AB3" s="2" t="s">
        <v>68</v>
      </c>
      <c r="AC3" s="2" t="s">
        <v>69</v>
      </c>
      <c r="AD3" s="2" t="s">
        <v>70</v>
      </c>
      <c r="AE3" s="2" t="s">
        <v>71</v>
      </c>
      <c r="AF3" s="2" t="s">
        <v>72</v>
      </c>
      <c r="AG3" s="2" t="s">
        <v>73</v>
      </c>
      <c r="AH3" s="2" t="s">
        <v>74</v>
      </c>
      <c r="AI3" s="2" t="s">
        <v>75</v>
      </c>
      <c r="AJ3" s="2" t="s">
        <v>76</v>
      </c>
      <c r="AK3" s="2" t="s">
        <v>77</v>
      </c>
      <c r="AL3" s="2" t="s">
        <v>78</v>
      </c>
      <c r="AM3" s="2" t="s">
        <v>79</v>
      </c>
      <c r="AN3" s="2" t="s">
        <v>80</v>
      </c>
      <c r="AO3" s="2" t="s">
        <v>81</v>
      </c>
      <c r="AP3" s="2" t="s">
        <v>82</v>
      </c>
      <c r="AQ3" s="2" t="s">
        <v>83</v>
      </c>
      <c r="AR3" s="2" t="s">
        <v>84</v>
      </c>
      <c r="AS3" s="2" t="s">
        <v>85</v>
      </c>
      <c r="AT3" s="2" t="s">
        <v>86</v>
      </c>
      <c r="AU3" s="2" t="s">
        <v>87</v>
      </c>
      <c r="AV3" s="2" t="s">
        <v>88</v>
      </c>
      <c r="AW3" s="2" t="s">
        <v>89</v>
      </c>
      <c r="AX3" s="2" t="s">
        <v>90</v>
      </c>
      <c r="AY3" s="2" t="s">
        <v>91</v>
      </c>
      <c r="AZ3" s="2" t="s">
        <v>92</v>
      </c>
      <c r="BA3" s="2" t="s">
        <v>93</v>
      </c>
      <c r="BB3" s="2" t="s">
        <v>94</v>
      </c>
      <c r="BC3" s="2" t="s">
        <v>95</v>
      </c>
      <c r="BD3" s="2" t="s">
        <v>96</v>
      </c>
      <c r="BE3" s="2" t="s">
        <v>97</v>
      </c>
      <c r="BF3" s="2" t="s">
        <v>98</v>
      </c>
      <c r="BG3" s="2" t="s">
        <v>99</v>
      </c>
      <c r="BH3" s="2" t="s">
        <v>100</v>
      </c>
      <c r="BI3" s="2" t="s">
        <v>101</v>
      </c>
      <c r="BJ3" s="2" t="s">
        <v>102</v>
      </c>
      <c r="BK3" s="2" t="s">
        <v>1040</v>
      </c>
      <c r="BL3" s="2" t="s">
        <v>1041</v>
      </c>
      <c r="BM3" s="2" t="s">
        <v>1042</v>
      </c>
      <c r="BN3" s="2" t="s">
        <v>1043</v>
      </c>
      <c r="BS3" s="2">
        <v>2012</v>
      </c>
      <c r="BT3" s="2">
        <f t="shared" ref="BT3:ED3" si="0">BS3+1</f>
        <v>2013</v>
      </c>
      <c r="BU3" s="2">
        <f t="shared" si="0"/>
        <v>2014</v>
      </c>
      <c r="BV3" s="2">
        <f t="shared" si="0"/>
        <v>2015</v>
      </c>
      <c r="BW3" s="2">
        <f t="shared" si="0"/>
        <v>2016</v>
      </c>
      <c r="BX3" s="2">
        <f t="shared" si="0"/>
        <v>2017</v>
      </c>
      <c r="BY3" s="2">
        <f t="shared" si="0"/>
        <v>2018</v>
      </c>
      <c r="BZ3" s="2">
        <f t="shared" si="0"/>
        <v>2019</v>
      </c>
      <c r="CA3" s="2">
        <f t="shared" si="0"/>
        <v>2020</v>
      </c>
      <c r="CB3" s="2">
        <f t="shared" si="0"/>
        <v>2021</v>
      </c>
      <c r="CC3" s="2">
        <f t="shared" si="0"/>
        <v>2022</v>
      </c>
      <c r="CD3" s="2">
        <f t="shared" si="0"/>
        <v>2023</v>
      </c>
      <c r="CE3" s="2">
        <f t="shared" si="0"/>
        <v>2024</v>
      </c>
      <c r="CF3" s="2">
        <f t="shared" si="0"/>
        <v>2025</v>
      </c>
      <c r="CG3" s="2">
        <f t="shared" si="0"/>
        <v>2026</v>
      </c>
      <c r="CH3" s="35">
        <f t="shared" si="0"/>
        <v>2027</v>
      </c>
      <c r="CI3" s="35">
        <f t="shared" si="0"/>
        <v>2028</v>
      </c>
      <c r="CJ3" s="35">
        <f t="shared" si="0"/>
        <v>2029</v>
      </c>
      <c r="CK3" s="35">
        <f t="shared" si="0"/>
        <v>2030</v>
      </c>
      <c r="CL3" s="35">
        <f t="shared" si="0"/>
        <v>2031</v>
      </c>
      <c r="CM3" s="35">
        <f t="shared" si="0"/>
        <v>2032</v>
      </c>
      <c r="CN3" s="35">
        <f t="shared" si="0"/>
        <v>2033</v>
      </c>
      <c r="CO3" s="35">
        <f t="shared" si="0"/>
        <v>2034</v>
      </c>
      <c r="CP3" s="35">
        <f t="shared" si="0"/>
        <v>2035</v>
      </c>
      <c r="CQ3" s="35">
        <f t="shared" si="0"/>
        <v>2036</v>
      </c>
      <c r="CR3" s="35">
        <f t="shared" si="0"/>
        <v>2037</v>
      </c>
      <c r="CS3" s="35">
        <f t="shared" si="0"/>
        <v>2038</v>
      </c>
      <c r="CT3" s="35">
        <f t="shared" si="0"/>
        <v>2039</v>
      </c>
      <c r="CU3" s="35">
        <f t="shared" si="0"/>
        <v>2040</v>
      </c>
      <c r="CV3" s="35">
        <f t="shared" si="0"/>
        <v>2041</v>
      </c>
      <c r="CW3" s="35">
        <f t="shared" si="0"/>
        <v>2042</v>
      </c>
      <c r="CX3" s="35">
        <f t="shared" si="0"/>
        <v>2043</v>
      </c>
      <c r="CY3" s="35">
        <f t="shared" si="0"/>
        <v>2044</v>
      </c>
      <c r="CZ3" s="35">
        <f t="shared" si="0"/>
        <v>2045</v>
      </c>
      <c r="DA3" s="35">
        <f t="shared" si="0"/>
        <v>2046</v>
      </c>
      <c r="DB3" s="35">
        <f t="shared" si="0"/>
        <v>2047</v>
      </c>
      <c r="DC3" s="35">
        <f t="shared" si="0"/>
        <v>2048</v>
      </c>
      <c r="DD3" s="35">
        <f t="shared" si="0"/>
        <v>2049</v>
      </c>
      <c r="DE3" s="35">
        <f t="shared" si="0"/>
        <v>2050</v>
      </c>
      <c r="DF3" s="35">
        <f t="shared" si="0"/>
        <v>2051</v>
      </c>
      <c r="DG3" s="35">
        <f t="shared" si="0"/>
        <v>2052</v>
      </c>
      <c r="DH3" s="35">
        <f t="shared" si="0"/>
        <v>2053</v>
      </c>
      <c r="DI3" s="35">
        <f t="shared" si="0"/>
        <v>2054</v>
      </c>
      <c r="DJ3" s="35">
        <f t="shared" si="0"/>
        <v>2055</v>
      </c>
      <c r="DK3" s="35">
        <f t="shared" si="0"/>
        <v>2056</v>
      </c>
      <c r="DL3" s="35">
        <f t="shared" si="0"/>
        <v>2057</v>
      </c>
      <c r="DM3" s="35">
        <f t="shared" si="0"/>
        <v>2058</v>
      </c>
      <c r="DN3" s="35">
        <f t="shared" si="0"/>
        <v>2059</v>
      </c>
      <c r="DO3" s="35">
        <f t="shared" si="0"/>
        <v>2060</v>
      </c>
      <c r="DP3" s="35">
        <f t="shared" si="0"/>
        <v>2061</v>
      </c>
      <c r="DQ3" s="35">
        <f t="shared" si="0"/>
        <v>2062</v>
      </c>
      <c r="DR3" s="35">
        <f t="shared" si="0"/>
        <v>2063</v>
      </c>
      <c r="DS3" s="35">
        <f t="shared" si="0"/>
        <v>2064</v>
      </c>
      <c r="DT3" s="35">
        <f t="shared" si="0"/>
        <v>2065</v>
      </c>
      <c r="DU3" s="35">
        <f t="shared" si="0"/>
        <v>2066</v>
      </c>
      <c r="DV3" s="35">
        <f t="shared" si="0"/>
        <v>2067</v>
      </c>
      <c r="DW3" s="35">
        <f t="shared" si="0"/>
        <v>2068</v>
      </c>
      <c r="DX3" s="35">
        <f t="shared" si="0"/>
        <v>2069</v>
      </c>
      <c r="DY3" s="35">
        <f t="shared" si="0"/>
        <v>2070</v>
      </c>
      <c r="DZ3" s="35">
        <f t="shared" si="0"/>
        <v>2071</v>
      </c>
      <c r="EA3" s="35">
        <f t="shared" si="0"/>
        <v>2072</v>
      </c>
      <c r="EB3" s="35">
        <f t="shared" si="0"/>
        <v>2073</v>
      </c>
      <c r="EC3" s="35">
        <f t="shared" si="0"/>
        <v>2074</v>
      </c>
      <c r="ED3" s="35">
        <f t="shared" si="0"/>
        <v>2075</v>
      </c>
      <c r="EE3" s="35">
        <f t="shared" ref="EE3:EO3" si="1">ED3+1</f>
        <v>2076</v>
      </c>
      <c r="EF3" s="35">
        <f t="shared" si="1"/>
        <v>2077</v>
      </c>
      <c r="EG3" s="35">
        <f>EF3+1</f>
        <v>2078</v>
      </c>
      <c r="EH3" s="35">
        <f t="shared" si="1"/>
        <v>2079</v>
      </c>
      <c r="EI3" s="35">
        <f t="shared" si="1"/>
        <v>2080</v>
      </c>
      <c r="EJ3" s="35">
        <f t="shared" si="1"/>
        <v>2081</v>
      </c>
      <c r="EK3" s="35">
        <f t="shared" si="1"/>
        <v>2082</v>
      </c>
      <c r="EL3" s="35">
        <f t="shared" si="1"/>
        <v>2083</v>
      </c>
      <c r="EM3" s="35">
        <f t="shared" si="1"/>
        <v>2084</v>
      </c>
      <c r="EN3" s="35">
        <f t="shared" si="1"/>
        <v>2085</v>
      </c>
      <c r="EO3" s="35">
        <f t="shared" si="1"/>
        <v>2086</v>
      </c>
      <c r="EP3" s="35"/>
      <c r="EQ3" s="35"/>
      <c r="ER3" s="2"/>
    </row>
    <row r="4" spans="2:148">
      <c r="B4" s="37" t="s">
        <v>195</v>
      </c>
      <c r="BC4" s="1">
        <v>5623</v>
      </c>
      <c r="BD4" s="1">
        <v>5937</v>
      </c>
      <c r="BE4" s="1">
        <v>6210</v>
      </c>
      <c r="BF4" s="1">
        <f>24506-SUM(BC4:BE4)</f>
        <v>6736</v>
      </c>
      <c r="BG4" s="1">
        <v>7186</v>
      </c>
      <c r="BH4" s="1">
        <v>7977</v>
      </c>
      <c r="BI4" s="1">
        <v>8914</v>
      </c>
      <c r="BJ4" s="1">
        <f>33989-SUM(BG4:BI4)</f>
        <v>9912</v>
      </c>
      <c r="BK4" s="1">
        <v>11607</v>
      </c>
      <c r="CE4" s="1">
        <f>19774-SUM(AY4:BA4)</f>
        <v>19774</v>
      </c>
      <c r="CF4" s="1">
        <f>SUM(BC4:BF4)</f>
        <v>24506</v>
      </c>
      <c r="CG4" s="1">
        <f>SUM(BG4:BJ4)</f>
        <v>33989</v>
      </c>
      <c r="CH4" s="64">
        <f t="shared" ref="CH4:CQ4" si="2">CG4*(1+CH10)</f>
        <v>53872.565000000002</v>
      </c>
      <c r="CI4" s="64">
        <f t="shared" si="2"/>
        <v>93468.900274999993</v>
      </c>
      <c r="CJ4" s="64">
        <f t="shared" si="2"/>
        <v>126183.01537125</v>
      </c>
      <c r="CK4" s="64">
        <f t="shared" si="2"/>
        <v>161514.25967520001</v>
      </c>
      <c r="CL4" s="64">
        <f t="shared" si="2"/>
        <v>197047.39680374402</v>
      </c>
      <c r="CM4" s="64">
        <f t="shared" si="2"/>
        <v>228574.98029234304</v>
      </c>
      <c r="CN4" s="64">
        <f t="shared" si="2"/>
        <v>256003.97792742422</v>
      </c>
      <c r="CO4" s="64">
        <f t="shared" si="2"/>
        <v>276484.2961616182</v>
      </c>
      <c r="CP4" s="64">
        <f t="shared" si="2"/>
        <v>293073.3539313153</v>
      </c>
      <c r="CQ4" s="64">
        <f t="shared" si="2"/>
        <v>304796.2880885679</v>
      </c>
    </row>
    <row r="5" spans="2:148">
      <c r="B5" s="37" t="s">
        <v>196</v>
      </c>
      <c r="BC5" s="1">
        <v>5766</v>
      </c>
      <c r="BD5" s="1">
        <v>6064</v>
      </c>
      <c r="BE5" s="1">
        <v>5926</v>
      </c>
      <c r="BF5" s="1">
        <f>24724-SUM(BC5:BE5)</f>
        <v>6968</v>
      </c>
      <c r="BG5" s="1">
        <v>5721</v>
      </c>
      <c r="BH5" s="1">
        <v>5877</v>
      </c>
      <c r="BI5" s="1">
        <v>6119</v>
      </c>
      <c r="BJ5" s="1">
        <f>24541-SUM(BG5:BI5)</f>
        <v>6824</v>
      </c>
      <c r="BK5" s="1">
        <v>5550</v>
      </c>
      <c r="CE5" s="1">
        <f>24690-SUM(AY5:BA5)</f>
        <v>24690</v>
      </c>
      <c r="CF5" s="1">
        <f>SUM(BC5:BF5)</f>
        <v>24724</v>
      </c>
      <c r="CG5" s="1">
        <f>SUM(BG5:BJ5)</f>
        <v>24541</v>
      </c>
      <c r="CH5" s="64">
        <f t="shared" ref="CH5:CQ5" si="3">CG5*(1+CH11)</f>
        <v>25768.05</v>
      </c>
      <c r="CI5" s="64">
        <f t="shared" si="3"/>
        <v>26283.411</v>
      </c>
      <c r="CJ5" s="64">
        <f t="shared" si="3"/>
        <v>27597.581550000003</v>
      </c>
      <c r="CK5" s="64">
        <f t="shared" si="3"/>
        <v>28977.460627500004</v>
      </c>
      <c r="CL5" s="64">
        <f t="shared" si="3"/>
        <v>30426.333658875006</v>
      </c>
      <c r="CM5" s="64">
        <f t="shared" si="3"/>
        <v>31947.650341818757</v>
      </c>
      <c r="CN5" s="64">
        <f t="shared" si="3"/>
        <v>33545.032858909697</v>
      </c>
      <c r="CO5" s="64">
        <f t="shared" si="3"/>
        <v>35222.284501855182</v>
      </c>
      <c r="CP5" s="64">
        <f t="shared" si="3"/>
        <v>36983.39872694794</v>
      </c>
      <c r="CQ5" s="64">
        <f t="shared" si="3"/>
        <v>38832.568663295337</v>
      </c>
    </row>
    <row r="6" spans="2:148">
      <c r="B6" s="37" t="s">
        <v>197</v>
      </c>
      <c r="BC6" s="1">
        <v>655</v>
      </c>
      <c r="BD6" s="1">
        <v>728</v>
      </c>
      <c r="BE6" s="1">
        <v>703</v>
      </c>
      <c r="BF6" s="1">
        <f>2936-SUM(BC6:BE6)</f>
        <v>850</v>
      </c>
      <c r="BG6" s="1">
        <v>670</v>
      </c>
      <c r="BH6" s="1">
        <v>776</v>
      </c>
      <c r="BI6" s="1">
        <v>714</v>
      </c>
      <c r="BJ6" s="1">
        <f>3084-SUM(BG6:BI6)</f>
        <v>924</v>
      </c>
      <c r="BK6" s="1">
        <v>774</v>
      </c>
      <c r="CE6" s="1">
        <f>3066-SUM(AY6:BA6)</f>
        <v>3066</v>
      </c>
      <c r="CF6" s="1">
        <f>SUM(BC6:BF6)</f>
        <v>2936</v>
      </c>
      <c r="CG6" s="1">
        <f>SUM(BG6:BJ6)</f>
        <v>3084</v>
      </c>
      <c r="CH6" s="64">
        <f t="shared" ref="CH6:CQ6" si="4">CG6*(1+CH12)</f>
        <v>3284.46</v>
      </c>
      <c r="CI6" s="64">
        <f t="shared" si="4"/>
        <v>3520.9411200000004</v>
      </c>
      <c r="CJ6" s="64">
        <f t="shared" si="4"/>
        <v>3742.7604105600003</v>
      </c>
      <c r="CK6" s="64">
        <f t="shared" si="4"/>
        <v>3948.6122331408001</v>
      </c>
      <c r="CL6" s="64">
        <f t="shared" si="4"/>
        <v>4161.8372937304039</v>
      </c>
      <c r="CM6" s="64">
        <f t="shared" si="4"/>
        <v>4378.2528330043851</v>
      </c>
      <c r="CN6" s="64">
        <f t="shared" si="4"/>
        <v>4597.1654746546046</v>
      </c>
      <c r="CO6" s="64">
        <f t="shared" si="4"/>
        <v>4808.6350864887163</v>
      </c>
      <c r="CP6" s="64">
        <f t="shared" si="4"/>
        <v>5010.5977601212426</v>
      </c>
      <c r="CQ6" s="64">
        <f t="shared" si="4"/>
        <v>5211.0216705260927</v>
      </c>
    </row>
    <row r="7" spans="2:148">
      <c r="B7" s="37" t="s">
        <v>198</v>
      </c>
      <c r="BC7" s="1">
        <v>1263</v>
      </c>
      <c r="BD7" s="1">
        <v>1330</v>
      </c>
      <c r="BE7" s="1">
        <v>1291</v>
      </c>
      <c r="BF7" s="1">
        <f>5233-SUM(BC7:BE7)</f>
        <v>1349</v>
      </c>
      <c r="BG7" s="1">
        <v>1349</v>
      </c>
      <c r="BH7" s="1">
        <v>1428</v>
      </c>
      <c r="BI7" s="1">
        <v>1443</v>
      </c>
      <c r="BJ7" s="1">
        <f>5743-SUM(BG7:BI7)</f>
        <v>1523</v>
      </c>
      <c r="BK7" s="1">
        <v>1414</v>
      </c>
      <c r="CE7" s="1">
        <f>5431-SUM(AY7:BA7)</f>
        <v>5431</v>
      </c>
      <c r="CF7" s="1">
        <f>SUM(BC7:BF7)</f>
        <v>5233</v>
      </c>
      <c r="CG7" s="1">
        <f>SUM(BG7:BJ7)</f>
        <v>5743</v>
      </c>
      <c r="CH7" s="64">
        <f t="shared" ref="CH7:CQ7" si="5">CG7*(1+CH13)</f>
        <v>6374.7300000000005</v>
      </c>
      <c r="CI7" s="64">
        <f t="shared" si="5"/>
        <v>7203.4448999999995</v>
      </c>
      <c r="CJ7" s="64">
        <f t="shared" si="5"/>
        <v>8283.9616349999997</v>
      </c>
      <c r="CK7" s="64">
        <f t="shared" si="5"/>
        <v>9443.7162638999998</v>
      </c>
      <c r="CL7" s="64">
        <f t="shared" si="5"/>
        <v>10671.399378206999</v>
      </c>
      <c r="CM7" s="64">
        <f t="shared" si="5"/>
        <v>11845.25330980977</v>
      </c>
      <c r="CN7" s="64">
        <f t="shared" si="5"/>
        <v>12911.32610769265</v>
      </c>
      <c r="CO7" s="64">
        <f t="shared" si="5"/>
        <v>13815.118935231136</v>
      </c>
      <c r="CP7" s="64">
        <f t="shared" si="5"/>
        <v>14505.874881992693</v>
      </c>
      <c r="CQ7" s="64">
        <f t="shared" si="5"/>
        <v>14941.051128452475</v>
      </c>
    </row>
    <row r="8" spans="2:148" s="2" customFormat="1" ht="15">
      <c r="B8" s="34" t="s">
        <v>105</v>
      </c>
      <c r="BC8" s="2">
        <f t="shared" ref="BC8" si="6">SUM(BC4:BC7)</f>
        <v>13307</v>
      </c>
      <c r="BD8" s="2">
        <f>SUM(BD4:BD7)</f>
        <v>14059</v>
      </c>
      <c r="BE8" s="2">
        <f t="shared" ref="BE8:BG8" si="7">SUM(BE4:BE7)</f>
        <v>14130</v>
      </c>
      <c r="BF8" s="2">
        <f t="shared" si="7"/>
        <v>15903</v>
      </c>
      <c r="BG8" s="2">
        <f t="shared" si="7"/>
        <v>14926</v>
      </c>
      <c r="BH8" s="2">
        <f t="shared" ref="BH8:BJ8" si="8">SUM(BH4:BH7)</f>
        <v>16058</v>
      </c>
      <c r="BI8" s="2">
        <f t="shared" si="8"/>
        <v>17190</v>
      </c>
      <c r="BJ8" s="2">
        <f t="shared" si="8"/>
        <v>19183</v>
      </c>
      <c r="BK8" s="2">
        <f t="shared" ref="BK8" si="9">SUM(BK4:BK7)</f>
        <v>19345</v>
      </c>
      <c r="CE8" s="2">
        <f>SUM(CE4:CE7)</f>
        <v>52961</v>
      </c>
      <c r="CF8" s="2">
        <f>SUM(BC8:BF8)</f>
        <v>57399</v>
      </c>
      <c r="CG8" s="2">
        <f>SUM(BG8:BJ8)</f>
        <v>67357</v>
      </c>
      <c r="CH8" s="65">
        <f t="shared" ref="CH8" si="10">SUM(CH4:CH7)</f>
        <v>89299.805000000008</v>
      </c>
      <c r="CI8" s="65">
        <f t="shared" ref="CI8:CQ8" si="11">SUM(CI4:CI7)</f>
        <v>130476.69729499999</v>
      </c>
      <c r="CJ8" s="65">
        <f t="shared" si="11"/>
        <v>165807.31896681001</v>
      </c>
      <c r="CK8" s="65">
        <f t="shared" si="11"/>
        <v>203884.04879974079</v>
      </c>
      <c r="CL8" s="65">
        <f t="shared" si="11"/>
        <v>242306.96713455641</v>
      </c>
      <c r="CM8" s="65">
        <f t="shared" si="11"/>
        <v>276746.13677697594</v>
      </c>
      <c r="CN8" s="65">
        <f t="shared" si="11"/>
        <v>307057.50236868119</v>
      </c>
      <c r="CO8" s="65">
        <f t="shared" si="11"/>
        <v>330330.33468519326</v>
      </c>
      <c r="CP8" s="65">
        <f t="shared" si="11"/>
        <v>349573.22530037718</v>
      </c>
      <c r="CQ8" s="65">
        <f t="shared" si="11"/>
        <v>363780.9295508418</v>
      </c>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row>
    <row r="9" spans="2:148">
      <c r="B9" s="37"/>
    </row>
    <row r="10" spans="2:148">
      <c r="B10" s="37" t="s">
        <v>199</v>
      </c>
      <c r="BB10" s="62"/>
      <c r="BC10" s="62"/>
      <c r="BD10" s="62"/>
      <c r="BE10" s="62"/>
      <c r="BF10" s="62"/>
      <c r="BG10" s="62">
        <f t="shared" ref="BG10:BI14" si="12">BG4/BC4-1</f>
        <v>0.27796549884403343</v>
      </c>
      <c r="BH10" s="62">
        <f t="shared" si="12"/>
        <v>0.34360788276907539</v>
      </c>
      <c r="BI10" s="62">
        <f t="shared" si="12"/>
        <v>0.43542673107890506</v>
      </c>
      <c r="BJ10" s="62">
        <f>BJ4/BF4-1</f>
        <v>0.47149643705463173</v>
      </c>
      <c r="BK10" s="62">
        <f>BK4/BG4-1</f>
        <v>0.61522404675758424</v>
      </c>
      <c r="BT10" s="62"/>
      <c r="BU10" s="62"/>
      <c r="BV10" s="62"/>
      <c r="BW10" s="62"/>
      <c r="BX10" s="62"/>
      <c r="BY10" s="62"/>
      <c r="BZ10" s="62"/>
      <c r="CA10" s="62"/>
      <c r="CB10" s="62"/>
      <c r="CC10" s="62"/>
      <c r="CD10" s="62"/>
      <c r="CE10" s="62"/>
      <c r="CF10" s="62">
        <f t="shared" ref="CF10:CG10" si="13">CF4/CE4-1</f>
        <v>0.23930413674522111</v>
      </c>
      <c r="CG10" s="62">
        <f t="shared" si="13"/>
        <v>0.38696645719415645</v>
      </c>
      <c r="CH10" s="95">
        <v>0.58499999999999996</v>
      </c>
      <c r="CI10" s="95">
        <v>0.73499999999999999</v>
      </c>
      <c r="CJ10" s="95">
        <v>0.35</v>
      </c>
      <c r="CK10" s="95">
        <v>0.28000000000000003</v>
      </c>
      <c r="CL10" s="95">
        <v>0.22</v>
      </c>
      <c r="CM10" s="95">
        <v>0.16</v>
      </c>
      <c r="CN10" s="95">
        <v>0.12</v>
      </c>
      <c r="CO10" s="95">
        <v>0.08</v>
      </c>
      <c r="CP10" s="95">
        <v>0.06</v>
      </c>
      <c r="CQ10" s="95">
        <v>0.04</v>
      </c>
    </row>
    <row r="11" spans="2:148">
      <c r="B11" s="37" t="s">
        <v>200</v>
      </c>
      <c r="BB11" s="62"/>
      <c r="BC11" s="62"/>
      <c r="BD11" s="62"/>
      <c r="BE11" s="62"/>
      <c r="BF11" s="62"/>
      <c r="BG11" s="62">
        <f t="shared" si="12"/>
        <v>-7.804370447450526E-3</v>
      </c>
      <c r="BH11" s="62">
        <f t="shared" si="12"/>
        <v>-3.0837730870712399E-2</v>
      </c>
      <c r="BI11" s="62">
        <f t="shared" si="12"/>
        <v>3.2568342895713753E-2</v>
      </c>
      <c r="BJ11" s="62">
        <f t="shared" ref="BJ11:BK14" si="14">BJ5/BF5-1</f>
        <v>-2.0665901262916231E-2</v>
      </c>
      <c r="BK11" s="62">
        <f t="shared" si="14"/>
        <v>-2.9889879391714724E-2</v>
      </c>
      <c r="BT11" s="62"/>
      <c r="BU11" s="62"/>
      <c r="BV11" s="62"/>
      <c r="BW11" s="62"/>
      <c r="BX11" s="62"/>
      <c r="BY11" s="62"/>
      <c r="BZ11" s="62"/>
      <c r="CA11" s="62"/>
      <c r="CB11" s="62"/>
      <c r="CC11" s="62"/>
      <c r="CD11" s="62"/>
      <c r="CE11" s="62"/>
      <c r="CF11" s="62">
        <f t="shared" ref="CF11:CG11" si="15">CF5/CE5-1</f>
        <v>1.3770757391655675E-3</v>
      </c>
      <c r="CG11" s="62">
        <f t="shared" si="15"/>
        <v>-7.4017149328587939E-3</v>
      </c>
      <c r="CH11" s="95">
        <v>0.05</v>
      </c>
      <c r="CI11" s="95">
        <v>0.02</v>
      </c>
      <c r="CJ11" s="95">
        <v>0.05</v>
      </c>
      <c r="CK11" s="95">
        <v>0.05</v>
      </c>
      <c r="CL11" s="95">
        <v>0.05</v>
      </c>
      <c r="CM11" s="95">
        <v>0.05</v>
      </c>
      <c r="CN11" s="95">
        <v>0.05</v>
      </c>
      <c r="CO11" s="95">
        <v>0.05</v>
      </c>
      <c r="CP11" s="95">
        <v>0.05</v>
      </c>
      <c r="CQ11" s="95">
        <v>0.05</v>
      </c>
    </row>
    <row r="12" spans="2:148">
      <c r="B12" s="37" t="s">
        <v>202</v>
      </c>
      <c r="BB12" s="62"/>
      <c r="BC12" s="62"/>
      <c r="BD12" s="62"/>
      <c r="BE12" s="62"/>
      <c r="BF12" s="62"/>
      <c r="BG12" s="62">
        <f t="shared" si="12"/>
        <v>2.2900763358778553E-2</v>
      </c>
      <c r="BH12" s="62">
        <f t="shared" si="12"/>
        <v>6.5934065934065922E-2</v>
      </c>
      <c r="BI12" s="62">
        <f t="shared" si="12"/>
        <v>1.5647226173541862E-2</v>
      </c>
      <c r="BJ12" s="62">
        <f t="shared" si="14"/>
        <v>8.7058823529411855E-2</v>
      </c>
      <c r="BK12" s="62">
        <f t="shared" si="14"/>
        <v>0.15522388059701497</v>
      </c>
      <c r="BT12" s="62"/>
      <c r="BU12" s="62"/>
      <c r="BV12" s="62"/>
      <c r="BW12" s="62"/>
      <c r="BX12" s="62"/>
      <c r="BY12" s="62"/>
      <c r="BZ12" s="62"/>
      <c r="CA12" s="62"/>
      <c r="CB12" s="62"/>
      <c r="CC12" s="62"/>
      <c r="CD12" s="62"/>
      <c r="CE12" s="62"/>
      <c r="CF12" s="62">
        <f t="shared" ref="CF12:CG12" si="16">CF6/CE6-1</f>
        <v>-4.24005218525767E-2</v>
      </c>
      <c r="CG12" s="62">
        <f t="shared" si="16"/>
        <v>5.0408719346048958E-2</v>
      </c>
      <c r="CH12" s="95">
        <v>6.5000000000000002E-2</v>
      </c>
      <c r="CI12" s="95">
        <v>7.1999999999999995E-2</v>
      </c>
      <c r="CJ12" s="95">
        <v>6.3E-2</v>
      </c>
      <c r="CK12" s="95">
        <v>5.5E-2</v>
      </c>
      <c r="CL12" s="95">
        <v>5.3999999999999999E-2</v>
      </c>
      <c r="CM12" s="95">
        <v>5.1999999999999998E-2</v>
      </c>
      <c r="CN12" s="95">
        <v>0.05</v>
      </c>
      <c r="CO12" s="95">
        <v>4.5999999999999999E-2</v>
      </c>
      <c r="CP12" s="95">
        <v>4.2000000000000003E-2</v>
      </c>
      <c r="CQ12" s="95">
        <v>0.04</v>
      </c>
    </row>
    <row r="13" spans="2:148">
      <c r="B13" s="37" t="s">
        <v>201</v>
      </c>
      <c r="BB13" s="62"/>
      <c r="BC13" s="62"/>
      <c r="BD13" s="62"/>
      <c r="BE13" s="62"/>
      <c r="BF13" s="62"/>
      <c r="BG13" s="62">
        <f t="shared" si="12"/>
        <v>6.8091844813935154E-2</v>
      </c>
      <c r="BH13" s="62">
        <f t="shared" si="12"/>
        <v>7.3684210526315796E-2</v>
      </c>
      <c r="BI13" s="62">
        <f t="shared" si="12"/>
        <v>0.11773818745158793</v>
      </c>
      <c r="BJ13" s="62">
        <f t="shared" si="14"/>
        <v>0.128984432913269</v>
      </c>
      <c r="BK13" s="62">
        <f t="shared" si="14"/>
        <v>4.8183839881393631E-2</v>
      </c>
      <c r="BT13" s="62"/>
      <c r="BU13" s="62"/>
      <c r="BV13" s="62"/>
      <c r="BW13" s="62"/>
      <c r="BX13" s="62"/>
      <c r="BY13" s="62"/>
      <c r="BZ13" s="62"/>
      <c r="CA13" s="62"/>
      <c r="CB13" s="62"/>
      <c r="CC13" s="62"/>
      <c r="CD13" s="62"/>
      <c r="CE13" s="62"/>
      <c r="CF13" s="62">
        <f t="shared" ref="CF13:CG13" si="17">CF7/CE7-1</f>
        <v>-3.6457374332535486E-2</v>
      </c>
      <c r="CG13" s="62">
        <f t="shared" si="17"/>
        <v>9.7458436843111063E-2</v>
      </c>
      <c r="CH13" s="95">
        <v>0.11</v>
      </c>
      <c r="CI13" s="95">
        <v>0.13</v>
      </c>
      <c r="CJ13" s="95">
        <v>0.15</v>
      </c>
      <c r="CK13" s="95">
        <v>0.14000000000000001</v>
      </c>
      <c r="CL13" s="95">
        <v>0.13</v>
      </c>
      <c r="CM13" s="95">
        <v>0.11</v>
      </c>
      <c r="CN13" s="95">
        <v>0.09</v>
      </c>
      <c r="CO13" s="95">
        <v>7.0000000000000007E-2</v>
      </c>
      <c r="CP13" s="95">
        <v>0.05</v>
      </c>
      <c r="CQ13" s="95">
        <v>0.03</v>
      </c>
    </row>
    <row r="14" spans="2:148" s="2" customFormat="1" ht="15">
      <c r="B14" s="34" t="s">
        <v>149</v>
      </c>
      <c r="BB14" s="63"/>
      <c r="BC14" s="63"/>
      <c r="BD14" s="63"/>
      <c r="BE14" s="63"/>
      <c r="BF14" s="63"/>
      <c r="BG14" s="63">
        <f t="shared" si="12"/>
        <v>0.12166528894566775</v>
      </c>
      <c r="BH14" s="63">
        <f t="shared" si="12"/>
        <v>0.14218649975104913</v>
      </c>
      <c r="BI14" s="63">
        <f t="shared" si="12"/>
        <v>0.21656050955414008</v>
      </c>
      <c r="BJ14" s="63">
        <f t="shared" si="14"/>
        <v>0.20625039300760872</v>
      </c>
      <c r="BK14" s="63">
        <f t="shared" si="14"/>
        <v>0.29606056545625092</v>
      </c>
      <c r="BT14" s="63"/>
      <c r="BU14" s="63"/>
      <c r="BV14" s="63"/>
      <c r="BW14" s="63"/>
      <c r="BX14" s="63"/>
      <c r="BY14" s="63"/>
      <c r="BZ14" s="63"/>
      <c r="CA14" s="63"/>
      <c r="CB14" s="63"/>
      <c r="CC14" s="63"/>
      <c r="CD14" s="63"/>
      <c r="CE14" s="63"/>
      <c r="CF14" s="63">
        <f t="shared" ref="CF14:CG14" si="18">CF8/CE8-1</f>
        <v>8.3797511376295875E-2</v>
      </c>
      <c r="CG14" s="63">
        <f t="shared" si="18"/>
        <v>0.1734873429850694</v>
      </c>
      <c r="CH14" s="96">
        <f t="shared" ref="CH14:CQ14" si="19">CH8/CG8-1</f>
        <v>0.32576873970040254</v>
      </c>
      <c r="CI14" s="96">
        <f t="shared" si="19"/>
        <v>0.46110842341704972</v>
      </c>
      <c r="CJ14" s="96">
        <f t="shared" si="19"/>
        <v>0.27078108508471521</v>
      </c>
      <c r="CK14" s="96">
        <f t="shared" si="19"/>
        <v>0.22964444555401498</v>
      </c>
      <c r="CL14" s="96">
        <f t="shared" si="19"/>
        <v>0.18845475436165882</v>
      </c>
      <c r="CM14" s="96">
        <f t="shared" si="19"/>
        <v>0.14213033182531221</v>
      </c>
      <c r="CN14" s="96">
        <f t="shared" si="19"/>
        <v>0.10952769185765576</v>
      </c>
      <c r="CO14" s="96">
        <f t="shared" si="19"/>
        <v>7.5793075033120605E-2</v>
      </c>
      <c r="CP14" s="96">
        <f t="shared" si="19"/>
        <v>5.8253477185262081E-2</v>
      </c>
      <c r="CQ14" s="96">
        <f t="shared" si="19"/>
        <v>4.0642999011884839E-2</v>
      </c>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row>
    <row r="16" spans="2:148">
      <c r="B16" s="37" t="s">
        <v>246</v>
      </c>
      <c r="BC16" s="62">
        <f t="shared" ref="BC16:BI16" si="20">BC4/BC8</f>
        <v>0.42255955512136467</v>
      </c>
      <c r="BD16" s="62">
        <f t="shared" si="20"/>
        <v>0.42229177039618748</v>
      </c>
      <c r="BE16" s="62">
        <f t="shared" si="20"/>
        <v>0.43949044585987262</v>
      </c>
      <c r="BF16" s="62">
        <f t="shared" si="20"/>
        <v>0.42356788027416209</v>
      </c>
      <c r="BG16" s="62">
        <f t="shared" si="20"/>
        <v>0.48144177944526328</v>
      </c>
      <c r="BH16" s="62">
        <f t="shared" si="20"/>
        <v>0.49676173869722257</v>
      </c>
      <c r="BI16" s="62">
        <f t="shared" si="20"/>
        <v>0.51855730075625361</v>
      </c>
      <c r="BJ16" s="62">
        <f>BJ4/BJ8</f>
        <v>0.51670750143356092</v>
      </c>
      <c r="BK16" s="62">
        <f>BK4/BK8</f>
        <v>0.6</v>
      </c>
      <c r="CE16" s="62">
        <f>CE4/CE8</f>
        <v>0.37336908291006587</v>
      </c>
      <c r="CF16" s="62">
        <f t="shared" ref="CF16:CG16" si="21">CF4/CF8</f>
        <v>0.4269412359100333</v>
      </c>
      <c r="CG16" s="62">
        <f t="shared" si="21"/>
        <v>0.5046097658743709</v>
      </c>
    </row>
    <row r="17" spans="2:147">
      <c r="B17" s="37" t="s">
        <v>247</v>
      </c>
      <c r="BC17" s="62">
        <f t="shared" ref="BC17:BI17" si="22">BC5/BC8</f>
        <v>0.43330577891335387</v>
      </c>
      <c r="BD17" s="62">
        <f t="shared" si="22"/>
        <v>0.43132512981008608</v>
      </c>
      <c r="BE17" s="62">
        <f t="shared" si="22"/>
        <v>0.41939136588818116</v>
      </c>
      <c r="BF17" s="62">
        <f t="shared" si="22"/>
        <v>0.43815632270640759</v>
      </c>
      <c r="BG17" s="62">
        <f t="shared" si="22"/>
        <v>0.38329090178212516</v>
      </c>
      <c r="BH17" s="62">
        <f t="shared" si="22"/>
        <v>0.36598580146967241</v>
      </c>
      <c r="BI17" s="62">
        <f t="shared" si="22"/>
        <v>0.35596276905177426</v>
      </c>
      <c r="BJ17" s="62">
        <f>BJ5/BJ8</f>
        <v>0.35573163738726998</v>
      </c>
      <c r="BK17" s="62">
        <f>BK5/BK8</f>
        <v>0.28689583871801499</v>
      </c>
      <c r="CE17" s="62">
        <f>CE5/CE8</f>
        <v>0.46619210362342101</v>
      </c>
      <c r="CF17" s="62">
        <f t="shared" ref="CF17:CG17" si="23">CF5/CF8</f>
        <v>0.43073921148452066</v>
      </c>
      <c r="CG17" s="62">
        <f t="shared" si="23"/>
        <v>0.36434223614472139</v>
      </c>
    </row>
    <row r="18" spans="2:147">
      <c r="B18" s="37" t="s">
        <v>248</v>
      </c>
      <c r="BC18" s="62">
        <f t="shared" ref="BC18:BI18" si="24">BC6/BC8</f>
        <v>4.9222213872397988E-2</v>
      </c>
      <c r="BD18" s="62">
        <f t="shared" si="24"/>
        <v>5.1781776797780781E-2</v>
      </c>
      <c r="BE18" s="62">
        <f t="shared" si="24"/>
        <v>4.9752300070771409E-2</v>
      </c>
      <c r="BF18" s="62">
        <f t="shared" si="24"/>
        <v>5.3449034773313212E-2</v>
      </c>
      <c r="BG18" s="62">
        <f t="shared" si="24"/>
        <v>4.4888114699182635E-2</v>
      </c>
      <c r="BH18" s="62">
        <f t="shared" si="24"/>
        <v>4.8324822518370905E-2</v>
      </c>
      <c r="BI18" s="62">
        <f t="shared" si="24"/>
        <v>4.1535776614310647E-2</v>
      </c>
      <c r="BJ18" s="62">
        <f>BJ6/BJ8</f>
        <v>4.8167648438721782E-2</v>
      </c>
      <c r="BK18" s="62">
        <f>BK6/BK8</f>
        <v>4.0010338588782633E-2</v>
      </c>
      <c r="CE18" s="62">
        <f>CE6/CE8</f>
        <v>5.7891656124317896E-2</v>
      </c>
      <c r="CF18" s="62">
        <f t="shared" ref="CF18:CG18" si="25">CF6/CF8</f>
        <v>5.1150716911444453E-2</v>
      </c>
      <c r="CG18" s="62">
        <f t="shared" si="25"/>
        <v>4.5785887138678982E-2</v>
      </c>
    </row>
    <row r="19" spans="2:147">
      <c r="B19" s="37" t="s">
        <v>249</v>
      </c>
      <c r="BC19" s="62">
        <f t="shared" ref="BC19:BI19" si="26">BC7/BC8</f>
        <v>9.4912452092883445E-2</v>
      </c>
      <c r="BD19" s="62">
        <f t="shared" si="26"/>
        <v>9.4601322995945661E-2</v>
      </c>
      <c r="BE19" s="62">
        <f t="shared" si="26"/>
        <v>9.1365888181174804E-2</v>
      </c>
      <c r="BF19" s="62">
        <f t="shared" si="26"/>
        <v>8.4826762246117085E-2</v>
      </c>
      <c r="BG19" s="62">
        <f t="shared" si="26"/>
        <v>9.037920407342892E-2</v>
      </c>
      <c r="BH19" s="62">
        <f t="shared" si="26"/>
        <v>8.892763731473409E-2</v>
      </c>
      <c r="BI19" s="62">
        <f t="shared" si="26"/>
        <v>8.3944153577661426E-2</v>
      </c>
      <c r="BJ19" s="62">
        <f>BJ7/BJ8</f>
        <v>7.9393212740447278E-2</v>
      </c>
      <c r="BK19" s="62">
        <f>BK7/BK8</f>
        <v>7.3093822693202373E-2</v>
      </c>
      <c r="CE19" s="62">
        <f>CE7/CE8</f>
        <v>0.1025471573421952</v>
      </c>
      <c r="CF19" s="62">
        <f t="shared" ref="CF19:CG19" si="27">CF7/CF8</f>
        <v>9.1168835694001638E-2</v>
      </c>
      <c r="CG19" s="62">
        <f t="shared" si="27"/>
        <v>8.5262110842228719E-2</v>
      </c>
    </row>
    <row r="21" spans="2:147" s="2" customFormat="1" ht="15">
      <c r="B21" s="2" t="s">
        <v>104</v>
      </c>
      <c r="C21" s="2">
        <v>8374</v>
      </c>
      <c r="D21" s="2">
        <v>8792</v>
      </c>
      <c r="E21" s="2">
        <v>9039</v>
      </c>
      <c r="F21" s="2">
        <v>10916</v>
      </c>
      <c r="G21" s="2">
        <v>8181</v>
      </c>
      <c r="H21" s="2">
        <v>9094</v>
      </c>
      <c r="I21" s="2">
        <v>8958</v>
      </c>
      <c r="J21" s="2">
        <v>10947</v>
      </c>
      <c r="K21" s="2">
        <v>8372</v>
      </c>
      <c r="L21" s="2">
        <v>9275</v>
      </c>
      <c r="M21" s="2">
        <v>9307</v>
      </c>
      <c r="N21" s="2">
        <v>11321</v>
      </c>
      <c r="O21" s="2">
        <v>8596</v>
      </c>
      <c r="P21" s="2">
        <v>9598</v>
      </c>
      <c r="Q21" s="2">
        <v>9327</v>
      </c>
      <c r="R21" s="2">
        <v>10705</v>
      </c>
      <c r="S21" s="2">
        <v>8448</v>
      </c>
      <c r="T21" s="2">
        <v>8993</v>
      </c>
      <c r="U21" s="2">
        <v>9012</v>
      </c>
      <c r="V21" s="2">
        <v>10594</v>
      </c>
      <c r="W21" s="2">
        <v>8595</v>
      </c>
      <c r="X21" s="2">
        <v>9035</v>
      </c>
      <c r="Y21" s="2">
        <v>9205</v>
      </c>
      <c r="Z21" s="2">
        <v>10957</v>
      </c>
      <c r="AA21" s="2">
        <v>9104</v>
      </c>
      <c r="AB21" s="2">
        <v>9589</v>
      </c>
      <c r="AC21" s="2">
        <v>9676</v>
      </c>
      <c r="AD21" s="2">
        <v>11014</v>
      </c>
      <c r="AE21" s="2">
        <v>9193</v>
      </c>
      <c r="AF21" s="2">
        <v>9562</v>
      </c>
      <c r="AG21" s="2">
        <v>9614</v>
      </c>
      <c r="AH21" s="2">
        <v>11137</v>
      </c>
      <c r="AI21" s="2">
        <v>9218</v>
      </c>
      <c r="AJ21" s="2">
        <v>9614</v>
      </c>
      <c r="AK21" s="2">
        <v>9796</v>
      </c>
      <c r="AL21" s="2">
        <v>10441</v>
      </c>
      <c r="AM21" s="2">
        <v>9367</v>
      </c>
      <c r="AN21" s="2">
        <v>9800</v>
      </c>
      <c r="AO21" s="2">
        <v>10086</v>
      </c>
      <c r="AP21" s="2">
        <v>11227</v>
      </c>
      <c r="AQ21" s="2">
        <v>9728</v>
      </c>
      <c r="AR21" s="2">
        <v>10360</v>
      </c>
      <c r="AS21" s="2">
        <v>10513</v>
      </c>
      <c r="AT21" s="2">
        <v>11840</v>
      </c>
      <c r="AU21" s="2">
        <v>11445</v>
      </c>
      <c r="AV21" s="2">
        <v>12275</v>
      </c>
      <c r="AW21" s="2">
        <v>12398</v>
      </c>
      <c r="AX21" s="2">
        <v>13837</v>
      </c>
      <c r="AY21" s="2">
        <v>12453</v>
      </c>
      <c r="AZ21" s="2">
        <v>12941</v>
      </c>
      <c r="BA21" s="2">
        <v>13280</v>
      </c>
      <c r="BB21" s="2">
        <v>14287</v>
      </c>
      <c r="BC21" s="2">
        <v>13307</v>
      </c>
      <c r="BD21" s="2">
        <v>14059</v>
      </c>
      <c r="BE21" s="2">
        <v>14130</v>
      </c>
      <c r="BF21" s="2">
        <v>15903</v>
      </c>
      <c r="BG21" s="2">
        <v>14926</v>
      </c>
      <c r="BH21" s="2">
        <v>16058</v>
      </c>
      <c r="BI21" s="2">
        <v>17190</v>
      </c>
      <c r="BJ21" s="2">
        <v>19183</v>
      </c>
      <c r="BK21" s="2">
        <f>BK8</f>
        <v>19345</v>
      </c>
      <c r="BS21" s="2">
        <f t="shared" ref="BS21:BS40" si="28">SUM(C21:F21)</f>
        <v>37121</v>
      </c>
      <c r="BT21" s="2">
        <f t="shared" ref="BT21:BT40" si="29">SUM(G21:J21)</f>
        <v>37180</v>
      </c>
      <c r="BU21" s="2">
        <f t="shared" ref="BU21:BU40" si="30">SUM(K21:N21)</f>
        <v>38275</v>
      </c>
      <c r="BV21" s="2">
        <f t="shared" ref="BV21:BV40" si="31">SUM(O21:R21)</f>
        <v>38226</v>
      </c>
      <c r="BW21" s="2">
        <f t="shared" ref="BW21:BW40" si="32">SUM(S21:V21)</f>
        <v>37047</v>
      </c>
      <c r="BX21" s="2">
        <f t="shared" ref="BX21:BX40" si="33">SUM(W21:Z21)</f>
        <v>37792</v>
      </c>
      <c r="BY21" s="2">
        <f t="shared" ref="BY21:BY40" si="34">SUM(AA21:AD21)</f>
        <v>39383</v>
      </c>
      <c r="BZ21" s="2">
        <f t="shared" ref="BZ21:BZ40" si="35">SUM(AE21:AH21)</f>
        <v>39506</v>
      </c>
      <c r="CA21" s="2">
        <f t="shared" ref="CA21:CA40" si="36">SUM(AI21:AL21)</f>
        <v>39069</v>
      </c>
      <c r="CB21" s="2">
        <f t="shared" ref="CB21:CB40" si="37">SUM(AM21:AP21)</f>
        <v>40480</v>
      </c>
      <c r="CC21" s="2">
        <f t="shared" ref="CC21:CC40" si="38">SUM(AQ21:AT21)</f>
        <v>42441</v>
      </c>
      <c r="CD21" s="2">
        <f t="shared" ref="CD21:CD40" si="39">SUM(AU21:AX21)</f>
        <v>49955</v>
      </c>
      <c r="CE21" s="2">
        <f t="shared" ref="CE21:CE40" si="40">SUM(AY21:BB21)</f>
        <v>52961</v>
      </c>
      <c r="CF21" s="2">
        <f t="shared" ref="CF21:CF40" si="41">SUM(BC21:BF21)</f>
        <v>57399</v>
      </c>
      <c r="CG21" s="2">
        <f t="shared" ref="CG21:CG40" si="42">SUM(BG21:BJ21)</f>
        <v>67357</v>
      </c>
      <c r="CH21" s="65">
        <f>CH8</f>
        <v>89299.805000000008</v>
      </c>
      <c r="CI21" s="65">
        <f t="shared" ref="CI21:CQ21" si="43">CI8</f>
        <v>130476.69729499999</v>
      </c>
      <c r="CJ21" s="65">
        <f t="shared" si="43"/>
        <v>165807.31896681001</v>
      </c>
      <c r="CK21" s="65">
        <f t="shared" si="43"/>
        <v>203884.04879974079</v>
      </c>
      <c r="CL21" s="65">
        <f t="shared" si="43"/>
        <v>242306.96713455641</v>
      </c>
      <c r="CM21" s="65">
        <f t="shared" si="43"/>
        <v>276746.13677697594</v>
      </c>
      <c r="CN21" s="65">
        <f t="shared" si="43"/>
        <v>307057.50236868119</v>
      </c>
      <c r="CO21" s="65">
        <f t="shared" si="43"/>
        <v>330330.33468519326</v>
      </c>
      <c r="CP21" s="65">
        <f t="shared" si="43"/>
        <v>349573.22530037718</v>
      </c>
      <c r="CQ21" s="65">
        <f t="shared" si="43"/>
        <v>363780.9295508418</v>
      </c>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row>
    <row r="22" spans="2:147" s="2" customFormat="1" ht="15">
      <c r="B22" s="1" t="s">
        <v>215</v>
      </c>
      <c r="C22" s="61">
        <v>0</v>
      </c>
      <c r="D22" s="61">
        <v>0</v>
      </c>
      <c r="E22" s="61">
        <v>0</v>
      </c>
      <c r="F22" s="61">
        <v>0</v>
      </c>
      <c r="G22" s="61">
        <v>0</v>
      </c>
      <c r="H22" s="61">
        <v>0</v>
      </c>
      <c r="I22" s="61">
        <v>0</v>
      </c>
      <c r="J22" s="61">
        <v>0</v>
      </c>
      <c r="K22" s="61">
        <v>0</v>
      </c>
      <c r="L22" s="61">
        <v>0</v>
      </c>
      <c r="M22" s="61">
        <v>0</v>
      </c>
      <c r="N22" s="61">
        <v>0</v>
      </c>
      <c r="O22" s="61">
        <v>0</v>
      </c>
      <c r="P22" s="61">
        <v>0</v>
      </c>
      <c r="Q22" s="61">
        <v>0</v>
      </c>
      <c r="R22" s="61">
        <v>0</v>
      </c>
      <c r="S22" s="61">
        <v>0</v>
      </c>
      <c r="T22" s="61">
        <v>0</v>
      </c>
      <c r="U22" s="61">
        <v>0</v>
      </c>
      <c r="V22" s="61">
        <v>0</v>
      </c>
      <c r="W22" s="61">
        <v>0</v>
      </c>
      <c r="X22" s="61">
        <v>0</v>
      </c>
      <c r="Y22" s="61">
        <v>0</v>
      </c>
      <c r="Z22" s="61">
        <v>0</v>
      </c>
      <c r="AA22" s="61">
        <v>0</v>
      </c>
      <c r="AB22" s="61">
        <v>0</v>
      </c>
      <c r="AC22" s="61">
        <v>0</v>
      </c>
      <c r="AD22" s="61">
        <v>0</v>
      </c>
      <c r="AE22" s="61">
        <v>0</v>
      </c>
      <c r="AF22" s="61">
        <v>0</v>
      </c>
      <c r="AG22" s="61">
        <v>0</v>
      </c>
      <c r="AH22" s="61">
        <v>0</v>
      </c>
      <c r="AI22" s="61">
        <v>0</v>
      </c>
      <c r="AJ22" s="61">
        <v>0</v>
      </c>
      <c r="AK22" s="61">
        <v>0</v>
      </c>
      <c r="AL22" s="61">
        <v>0</v>
      </c>
      <c r="AM22" s="1">
        <v>1011</v>
      </c>
      <c r="AN22" s="1">
        <v>1064</v>
      </c>
      <c r="AO22" s="1">
        <v>1064</v>
      </c>
      <c r="AP22" s="1">
        <f>4353-SUM(AM22:AO22)</f>
        <v>1214</v>
      </c>
      <c r="AQ22" s="1">
        <v>1214</v>
      </c>
      <c r="AR22" s="1">
        <v>1259</v>
      </c>
      <c r="AS22" s="1">
        <v>1305</v>
      </c>
      <c r="AT22" s="1">
        <f>5213-SUM(AQ22:AS22)</f>
        <v>1435</v>
      </c>
      <c r="AU22" s="1">
        <v>1735</v>
      </c>
      <c r="AV22" s="1">
        <v>1891</v>
      </c>
      <c r="AW22" s="1">
        <v>1980</v>
      </c>
      <c r="AX22" s="1">
        <f>7763-SUM(AU22:AW22)</f>
        <v>2157</v>
      </c>
      <c r="AY22" s="1">
        <v>2179</v>
      </c>
      <c r="AZ22" s="1">
        <v>2274</v>
      </c>
      <c r="BA22" s="1">
        <v>2452</v>
      </c>
      <c r="BB22" s="1">
        <f>9427-SUM(AY22:BA22)</f>
        <v>2522</v>
      </c>
      <c r="BC22" s="1">
        <v>2597</v>
      </c>
      <c r="BD22" s="1">
        <v>2746</v>
      </c>
      <c r="BE22" s="1">
        <v>2882</v>
      </c>
      <c r="BF22" s="1">
        <f>11569-SUM(BC22:BE22)</f>
        <v>3344</v>
      </c>
      <c r="BG22" s="1">
        <v>3607</v>
      </c>
      <c r="BH22" s="1">
        <v>3990</v>
      </c>
      <c r="BI22" s="1">
        <v>4776</v>
      </c>
      <c r="BJ22" s="1">
        <f>17597-SUM(BG22:BI22)</f>
        <v>5224</v>
      </c>
      <c r="BK22" s="1">
        <v>6400</v>
      </c>
      <c r="BS22" s="61">
        <f t="shared" si="28"/>
        <v>0</v>
      </c>
      <c r="BT22" s="61">
        <f t="shared" si="29"/>
        <v>0</v>
      </c>
      <c r="BU22" s="61">
        <f t="shared" si="30"/>
        <v>0</v>
      </c>
      <c r="BV22" s="61">
        <f t="shared" si="31"/>
        <v>0</v>
      </c>
      <c r="BW22" s="61">
        <f t="shared" si="32"/>
        <v>0</v>
      </c>
      <c r="BX22" s="61">
        <f t="shared" si="33"/>
        <v>0</v>
      </c>
      <c r="BY22" s="61">
        <f t="shared" si="34"/>
        <v>0</v>
      </c>
      <c r="BZ22" s="61">
        <f t="shared" si="35"/>
        <v>0</v>
      </c>
      <c r="CA22" s="61">
        <f t="shared" si="36"/>
        <v>0</v>
      </c>
      <c r="CB22" s="1">
        <f t="shared" si="37"/>
        <v>4353</v>
      </c>
      <c r="CC22" s="1">
        <f t="shared" si="38"/>
        <v>5213</v>
      </c>
      <c r="CD22" s="1">
        <f t="shared" si="39"/>
        <v>7763</v>
      </c>
      <c r="CE22" s="1">
        <f t="shared" si="40"/>
        <v>9427</v>
      </c>
      <c r="CF22" s="1">
        <f t="shared" si="41"/>
        <v>11569</v>
      </c>
      <c r="CG22" s="1">
        <f t="shared" si="42"/>
        <v>17597</v>
      </c>
      <c r="CH22" s="64">
        <f>CH21*CH42</f>
        <v>25003.945400000004</v>
      </c>
      <c r="CI22" s="64">
        <f t="shared" ref="CI22:CQ22" si="44">CI21*CI42</f>
        <v>37838.242215549995</v>
      </c>
      <c r="CJ22" s="64">
        <f t="shared" si="44"/>
        <v>49742.195690043001</v>
      </c>
      <c r="CK22" s="64">
        <f t="shared" si="44"/>
        <v>57087.533663927425</v>
      </c>
      <c r="CL22" s="64">
        <f t="shared" si="44"/>
        <v>65422.881126330234</v>
      </c>
      <c r="CM22" s="64">
        <f t="shared" si="44"/>
        <v>73337.726245898622</v>
      </c>
      <c r="CN22" s="64">
        <f t="shared" si="44"/>
        <v>79834.950615857117</v>
      </c>
      <c r="CO22" s="64">
        <f t="shared" si="44"/>
        <v>84234.235344724279</v>
      </c>
      <c r="CP22" s="64">
        <f t="shared" si="44"/>
        <v>87393.306325094294</v>
      </c>
      <c r="CQ22" s="64">
        <f t="shared" si="44"/>
        <v>89126.327739956236</v>
      </c>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row>
    <row r="23" spans="2:147" s="2" customFormat="1" ht="15">
      <c r="B23" s="1" t="s">
        <v>216</v>
      </c>
      <c r="C23" s="61">
        <v>0</v>
      </c>
      <c r="D23" s="61">
        <v>0</v>
      </c>
      <c r="E23" s="61">
        <v>0</v>
      </c>
      <c r="F23" s="61">
        <v>0</v>
      </c>
      <c r="G23" s="61">
        <v>0</v>
      </c>
      <c r="H23" s="61">
        <v>0</v>
      </c>
      <c r="I23" s="61">
        <v>0</v>
      </c>
      <c r="J23" s="61">
        <v>0</v>
      </c>
      <c r="K23" s="61">
        <v>0</v>
      </c>
      <c r="L23" s="61">
        <v>0</v>
      </c>
      <c r="M23" s="61">
        <v>0</v>
      </c>
      <c r="N23" s="61">
        <v>0</v>
      </c>
      <c r="O23" s="61">
        <v>0</v>
      </c>
      <c r="P23" s="61">
        <v>0</v>
      </c>
      <c r="Q23" s="61">
        <v>0</v>
      </c>
      <c r="R23" s="61">
        <v>0</v>
      </c>
      <c r="S23" s="61">
        <v>0</v>
      </c>
      <c r="T23" s="61">
        <v>0</v>
      </c>
      <c r="U23" s="61">
        <v>0</v>
      </c>
      <c r="V23" s="61">
        <v>0</v>
      </c>
      <c r="W23" s="61">
        <v>0</v>
      </c>
      <c r="X23" s="61">
        <v>0</v>
      </c>
      <c r="Y23" s="61">
        <v>0</v>
      </c>
      <c r="Z23" s="61">
        <v>0</v>
      </c>
      <c r="AA23" s="61">
        <v>0</v>
      </c>
      <c r="AB23" s="61">
        <v>0</v>
      </c>
      <c r="AC23" s="61">
        <v>0</v>
      </c>
      <c r="AD23" s="61">
        <v>0</v>
      </c>
      <c r="AE23" s="61">
        <v>0</v>
      </c>
      <c r="AF23" s="61">
        <v>0</v>
      </c>
      <c r="AG23" s="61">
        <v>0</v>
      </c>
      <c r="AH23" s="61">
        <v>0</v>
      </c>
      <c r="AI23" s="61">
        <v>0</v>
      </c>
      <c r="AJ23" s="61">
        <v>0</v>
      </c>
      <c r="AK23" s="61">
        <v>0</v>
      </c>
      <c r="AL23" s="61">
        <v>0</v>
      </c>
      <c r="AM23" s="1">
        <v>246</v>
      </c>
      <c r="AN23" s="1">
        <v>244</v>
      </c>
      <c r="AO23" s="1">
        <v>230</v>
      </c>
      <c r="AP23" s="1">
        <f>972-SUM(AM23:AO23)</f>
        <v>252</v>
      </c>
      <c r="AQ23" s="1">
        <v>245</v>
      </c>
      <c r="AR23" s="1">
        <v>229</v>
      </c>
      <c r="AS23" s="1">
        <v>244</v>
      </c>
      <c r="AT23" s="1">
        <f>972-SUM(AQ23:AS23)</f>
        <v>254</v>
      </c>
      <c r="AU23" s="1">
        <v>249</v>
      </c>
      <c r="AV23" s="1">
        <v>286</v>
      </c>
      <c r="AW23" s="1">
        <v>244</v>
      </c>
      <c r="AX23" s="1">
        <f>1040-SUM(AU23:AW23)</f>
        <v>261</v>
      </c>
      <c r="AY23" s="1">
        <v>219</v>
      </c>
      <c r="AZ23" s="1">
        <v>213</v>
      </c>
      <c r="BA23" s="1">
        <v>217</v>
      </c>
      <c r="BB23" s="1">
        <f>891-SUM(AY23:BA23)</f>
        <v>242</v>
      </c>
      <c r="BC23" s="1">
        <v>162</v>
      </c>
      <c r="BD23" s="1">
        <v>172</v>
      </c>
      <c r="BE23" s="1">
        <v>197</v>
      </c>
      <c r="BF23" s="1">
        <f>782-SUM(BC23:BE23)</f>
        <v>251</v>
      </c>
      <c r="BG23" s="1">
        <v>178</v>
      </c>
      <c r="BH23" s="1">
        <v>215</v>
      </c>
      <c r="BI23" s="1">
        <v>183</v>
      </c>
      <c r="BJ23" s="1">
        <f>868-SUM(BG23:BI23)</f>
        <v>292</v>
      </c>
      <c r="BK23" s="1">
        <v>281</v>
      </c>
      <c r="BS23" s="61">
        <f t="shared" si="28"/>
        <v>0</v>
      </c>
      <c r="BT23" s="61">
        <f t="shared" si="29"/>
        <v>0</v>
      </c>
      <c r="BU23" s="61">
        <f t="shared" si="30"/>
        <v>0</v>
      </c>
      <c r="BV23" s="61">
        <f t="shared" si="31"/>
        <v>0</v>
      </c>
      <c r="BW23" s="61">
        <f t="shared" si="32"/>
        <v>0</v>
      </c>
      <c r="BX23" s="61">
        <f t="shared" si="33"/>
        <v>0</v>
      </c>
      <c r="BY23" s="61">
        <f t="shared" si="34"/>
        <v>0</v>
      </c>
      <c r="BZ23" s="61">
        <f t="shared" si="35"/>
        <v>0</v>
      </c>
      <c r="CA23" s="61">
        <f t="shared" si="36"/>
        <v>0</v>
      </c>
      <c r="CB23" s="1">
        <f t="shared" si="37"/>
        <v>972</v>
      </c>
      <c r="CC23" s="1">
        <f t="shared" si="38"/>
        <v>972</v>
      </c>
      <c r="CD23" s="1">
        <f t="shared" si="39"/>
        <v>1040</v>
      </c>
      <c r="CE23" s="1">
        <f t="shared" si="40"/>
        <v>891</v>
      </c>
      <c r="CF23" s="1">
        <f t="shared" si="41"/>
        <v>782</v>
      </c>
      <c r="CG23" s="1">
        <f t="shared" si="42"/>
        <v>868</v>
      </c>
      <c r="CH23" s="64">
        <f>CH21*CH43</f>
        <v>1250.1972700000001</v>
      </c>
      <c r="CI23" s="64">
        <f t="shared" ref="CI23:CQ23" si="45">CI21*CI43</f>
        <v>1696.1970648349998</v>
      </c>
      <c r="CJ23" s="64">
        <f t="shared" si="45"/>
        <v>2155.4951465685299</v>
      </c>
      <c r="CK23" s="64">
        <f t="shared" si="45"/>
        <v>2446.6085855968895</v>
      </c>
      <c r="CL23" s="64">
        <f t="shared" si="45"/>
        <v>2907.6836056146772</v>
      </c>
      <c r="CM23" s="64">
        <f t="shared" si="45"/>
        <v>3044.207504546735</v>
      </c>
      <c r="CN23" s="64">
        <f t="shared" si="45"/>
        <v>3377.6325260554927</v>
      </c>
      <c r="CO23" s="64">
        <f t="shared" si="45"/>
        <v>3303.3033468519325</v>
      </c>
      <c r="CP23" s="64">
        <f t="shared" si="45"/>
        <v>3495.7322530037718</v>
      </c>
      <c r="CQ23" s="64">
        <f t="shared" si="45"/>
        <v>3637.809295508418</v>
      </c>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row>
    <row r="24" spans="2:147" s="2" customFormat="1" ht="15">
      <c r="B24" s="1" t="s">
        <v>217</v>
      </c>
      <c r="C24" s="61">
        <v>0</v>
      </c>
      <c r="D24" s="61">
        <v>0</v>
      </c>
      <c r="E24" s="61">
        <v>0</v>
      </c>
      <c r="F24" s="61">
        <v>0</v>
      </c>
      <c r="G24" s="61">
        <v>0</v>
      </c>
      <c r="H24" s="61">
        <v>0</v>
      </c>
      <c r="I24" s="61">
        <v>0</v>
      </c>
      <c r="J24" s="61">
        <v>0</v>
      </c>
      <c r="K24" s="61">
        <v>0</v>
      </c>
      <c r="L24" s="61">
        <v>0</v>
      </c>
      <c r="M24" s="61">
        <v>0</v>
      </c>
      <c r="N24" s="61">
        <v>0</v>
      </c>
      <c r="O24" s="61">
        <v>0</v>
      </c>
      <c r="P24" s="61">
        <v>0</v>
      </c>
      <c r="Q24" s="61">
        <v>0</v>
      </c>
      <c r="R24" s="61">
        <v>0</v>
      </c>
      <c r="S24" s="61">
        <v>0</v>
      </c>
      <c r="T24" s="61">
        <v>0</v>
      </c>
      <c r="U24" s="61">
        <v>0</v>
      </c>
      <c r="V24" s="61">
        <v>0</v>
      </c>
      <c r="W24" s="61">
        <v>0</v>
      </c>
      <c r="X24" s="61">
        <v>0</v>
      </c>
      <c r="Y24" s="61">
        <v>0</v>
      </c>
      <c r="Z24" s="61">
        <v>0</v>
      </c>
      <c r="AA24" s="61">
        <v>0</v>
      </c>
      <c r="AB24" s="61">
        <v>0</v>
      </c>
      <c r="AC24" s="61">
        <v>0</v>
      </c>
      <c r="AD24" s="61">
        <v>0</v>
      </c>
      <c r="AE24" s="61">
        <v>0</v>
      </c>
      <c r="AF24" s="61">
        <v>0</v>
      </c>
      <c r="AG24" s="61">
        <v>0</v>
      </c>
      <c r="AH24" s="61">
        <v>0</v>
      </c>
      <c r="AI24" s="61">
        <v>0</v>
      </c>
      <c r="AJ24" s="61">
        <v>0</v>
      </c>
      <c r="AK24" s="61">
        <v>0</v>
      </c>
      <c r="AL24" s="61">
        <v>0</v>
      </c>
      <c r="AM24" s="1">
        <v>623</v>
      </c>
      <c r="AN24" s="1">
        <v>631</v>
      </c>
      <c r="AO24" s="1">
        <v>621</v>
      </c>
      <c r="AP24" s="1">
        <f>2530-SUM(AM24:AO24)</f>
        <v>655</v>
      </c>
      <c r="AQ24" s="1">
        <v>644</v>
      </c>
      <c r="AR24" s="1">
        <v>671</v>
      </c>
      <c r="AS24" s="1">
        <v>669</v>
      </c>
      <c r="AT24" s="1">
        <f>2692-SUM(AQ24:AS24)</f>
        <v>708</v>
      </c>
      <c r="AU24" s="1">
        <v>1053</v>
      </c>
      <c r="AV24" s="1">
        <v>1181</v>
      </c>
      <c r="AW24" s="1">
        <v>1215</v>
      </c>
      <c r="AX24" s="1">
        <f>4761-SUM(AU24:AW24)</f>
        <v>1312</v>
      </c>
      <c r="AY24" s="1">
        <v>1212</v>
      </c>
      <c r="AZ24" s="1">
        <v>1253</v>
      </c>
      <c r="BA24" s="1">
        <v>1200</v>
      </c>
      <c r="BB24" s="1">
        <f>4825-SUM(AY24:BA24)</f>
        <v>1160</v>
      </c>
      <c r="BC24" s="1">
        <v>1147</v>
      </c>
      <c r="BD24" s="1">
        <v>1167</v>
      </c>
      <c r="BE24" s="1">
        <v>1116</v>
      </c>
      <c r="BF24" s="1">
        <f>4576-SUM(BC24:BE24)</f>
        <v>1146</v>
      </c>
      <c r="BG24" s="1">
        <v>1099</v>
      </c>
      <c r="BH24" s="1">
        <v>1169</v>
      </c>
      <c r="BI24" s="1">
        <v>1133</v>
      </c>
      <c r="BJ24" s="1">
        <f>4556-SUM(BG24:BI24)</f>
        <v>1155</v>
      </c>
      <c r="BK24" s="1">
        <v>1052</v>
      </c>
      <c r="BS24" s="61">
        <f t="shared" si="28"/>
        <v>0</v>
      </c>
      <c r="BT24" s="61">
        <f t="shared" si="29"/>
        <v>0</v>
      </c>
      <c r="BU24" s="61">
        <f t="shared" si="30"/>
        <v>0</v>
      </c>
      <c r="BV24" s="61">
        <f t="shared" si="31"/>
        <v>0</v>
      </c>
      <c r="BW24" s="61">
        <f t="shared" si="32"/>
        <v>0</v>
      </c>
      <c r="BX24" s="61">
        <f t="shared" si="33"/>
        <v>0</v>
      </c>
      <c r="BY24" s="61">
        <f t="shared" si="34"/>
        <v>0</v>
      </c>
      <c r="BZ24" s="61">
        <f t="shared" si="35"/>
        <v>0</v>
      </c>
      <c r="CA24" s="61">
        <f t="shared" si="36"/>
        <v>0</v>
      </c>
      <c r="CB24" s="1">
        <f t="shared" si="37"/>
        <v>2530</v>
      </c>
      <c r="CC24" s="1">
        <f t="shared" si="38"/>
        <v>2692</v>
      </c>
      <c r="CD24" s="1">
        <f t="shared" si="39"/>
        <v>4761</v>
      </c>
      <c r="CE24" s="1">
        <f t="shared" si="40"/>
        <v>4825</v>
      </c>
      <c r="CF24" s="1">
        <f t="shared" si="41"/>
        <v>4576</v>
      </c>
      <c r="CG24" s="1">
        <f t="shared" si="42"/>
        <v>4556</v>
      </c>
      <c r="CH24" s="64">
        <f>CH21*CH44</f>
        <v>5715.1875200000004</v>
      </c>
      <c r="CI24" s="64">
        <f t="shared" ref="CI24:CQ24" si="46">CI21*CI44</f>
        <v>8480.9853241749988</v>
      </c>
      <c r="CJ24" s="64">
        <f t="shared" si="46"/>
        <v>10445.861094909031</v>
      </c>
      <c r="CK24" s="64">
        <f t="shared" si="46"/>
        <v>12640.811025583929</v>
      </c>
      <c r="CL24" s="64">
        <f t="shared" si="46"/>
        <v>14780.72499520794</v>
      </c>
      <c r="CM24" s="64">
        <f t="shared" si="46"/>
        <v>16604.768206618555</v>
      </c>
      <c r="CN24" s="64">
        <f t="shared" si="46"/>
        <v>18116.39263975219</v>
      </c>
      <c r="CO24" s="64">
        <f t="shared" si="46"/>
        <v>19159.15941174121</v>
      </c>
      <c r="CP24" s="64">
        <f t="shared" si="46"/>
        <v>19925.673842121501</v>
      </c>
      <c r="CQ24" s="64">
        <f t="shared" si="46"/>
        <v>20371.73205484714</v>
      </c>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row>
    <row r="25" spans="2:147" s="2" customFormat="1" ht="15">
      <c r="B25" s="1" t="s">
        <v>218</v>
      </c>
      <c r="C25" s="61">
        <v>0</v>
      </c>
      <c r="D25" s="61">
        <v>0</v>
      </c>
      <c r="E25" s="61">
        <v>0</v>
      </c>
      <c r="F25" s="61">
        <v>0</v>
      </c>
      <c r="G25" s="61">
        <v>0</v>
      </c>
      <c r="H25" s="61">
        <v>0</v>
      </c>
      <c r="I25" s="61">
        <v>0</v>
      </c>
      <c r="J25" s="61">
        <v>0</v>
      </c>
      <c r="K25" s="61">
        <v>0</v>
      </c>
      <c r="L25" s="61">
        <v>0</v>
      </c>
      <c r="M25" s="61">
        <v>0</v>
      </c>
      <c r="N25" s="61">
        <v>0</v>
      </c>
      <c r="O25" s="61">
        <v>0</v>
      </c>
      <c r="P25" s="61">
        <v>0</v>
      </c>
      <c r="Q25" s="61">
        <v>0</v>
      </c>
      <c r="R25" s="61">
        <v>0</v>
      </c>
      <c r="S25" s="61">
        <v>0</v>
      </c>
      <c r="T25" s="61">
        <v>0</v>
      </c>
      <c r="U25" s="61">
        <v>0</v>
      </c>
      <c r="V25" s="61">
        <v>0</v>
      </c>
      <c r="W25" s="61">
        <v>0</v>
      </c>
      <c r="X25" s="61">
        <v>0</v>
      </c>
      <c r="Y25" s="61">
        <v>0</v>
      </c>
      <c r="Z25" s="61">
        <v>0</v>
      </c>
      <c r="AA25" s="61">
        <v>0</v>
      </c>
      <c r="AB25" s="61">
        <v>0</v>
      </c>
      <c r="AC25" s="61">
        <v>0</v>
      </c>
      <c r="AD25" s="61">
        <v>0</v>
      </c>
      <c r="AE25" s="61">
        <v>0</v>
      </c>
      <c r="AF25" s="61">
        <v>0</v>
      </c>
      <c r="AG25" s="61">
        <v>0</v>
      </c>
      <c r="AH25" s="61">
        <v>0</v>
      </c>
      <c r="AI25" s="61">
        <v>0</v>
      </c>
      <c r="AJ25" s="61">
        <v>0</v>
      </c>
      <c r="AK25" s="61">
        <v>0</v>
      </c>
      <c r="AL25" s="61">
        <v>0</v>
      </c>
      <c r="AM25" s="1">
        <v>1854</v>
      </c>
      <c r="AN25" s="1">
        <v>1836</v>
      </c>
      <c r="AO25" s="1">
        <v>1915</v>
      </c>
      <c r="AP25" s="1">
        <f>7682-SUM(AM25:AO25)</f>
        <v>2077</v>
      </c>
      <c r="AQ25" s="1">
        <v>1854</v>
      </c>
      <c r="AR25" s="1">
        <v>1954</v>
      </c>
      <c r="AS25" s="1">
        <v>2004</v>
      </c>
      <c r="AT25" s="1">
        <f>8047-SUM(AQ25:AS25)</f>
        <v>2235</v>
      </c>
      <c r="AU25" s="1">
        <v>2177</v>
      </c>
      <c r="AV25" s="1">
        <v>2216</v>
      </c>
      <c r="AW25" s="1">
        <v>2150</v>
      </c>
      <c r="AX25" s="1">
        <f>8833-SUM(AU25:AW25)</f>
        <v>2290</v>
      </c>
      <c r="AY25" s="1">
        <v>2026</v>
      </c>
      <c r="AZ25" s="1">
        <v>2093</v>
      </c>
      <c r="BA25" s="1">
        <v>2042</v>
      </c>
      <c r="BB25" s="1">
        <f>8274-SUM(AY25:BA25)</f>
        <v>2113</v>
      </c>
      <c r="BC25" s="1">
        <v>2036</v>
      </c>
      <c r="BD25" s="1">
        <v>2190</v>
      </c>
      <c r="BE25" s="1">
        <v>2119</v>
      </c>
      <c r="BF25" s="1">
        <f>8651-SUM(BC25:BE25)</f>
        <v>2306</v>
      </c>
      <c r="BG25" s="1">
        <v>2063</v>
      </c>
      <c r="BH25" s="1">
        <v>2149</v>
      </c>
      <c r="BI25" s="1">
        <v>2052</v>
      </c>
      <c r="BJ25" s="1">
        <f>8331-SUM(BG25:BI25)</f>
        <v>2067</v>
      </c>
      <c r="BK25" s="1">
        <v>1811</v>
      </c>
      <c r="BS25" s="61">
        <f t="shared" si="28"/>
        <v>0</v>
      </c>
      <c r="BT25" s="61">
        <f t="shared" si="29"/>
        <v>0</v>
      </c>
      <c r="BU25" s="61">
        <f t="shared" si="30"/>
        <v>0</v>
      </c>
      <c r="BV25" s="61">
        <f t="shared" si="31"/>
        <v>0</v>
      </c>
      <c r="BW25" s="61">
        <f t="shared" si="32"/>
        <v>0</v>
      </c>
      <c r="BX25" s="61">
        <f t="shared" si="33"/>
        <v>0</v>
      </c>
      <c r="BY25" s="61">
        <f t="shared" si="34"/>
        <v>0</v>
      </c>
      <c r="BZ25" s="61">
        <f t="shared" si="35"/>
        <v>0</v>
      </c>
      <c r="CA25" s="61">
        <f t="shared" si="36"/>
        <v>0</v>
      </c>
      <c r="CB25" s="1">
        <f t="shared" si="37"/>
        <v>7682</v>
      </c>
      <c r="CC25" s="1">
        <f t="shared" si="38"/>
        <v>8047</v>
      </c>
      <c r="CD25" s="1">
        <f t="shared" si="39"/>
        <v>8833</v>
      </c>
      <c r="CE25" s="1">
        <f t="shared" si="40"/>
        <v>8274</v>
      </c>
      <c r="CF25" s="1">
        <f t="shared" si="41"/>
        <v>8651</v>
      </c>
      <c r="CG25" s="1">
        <f t="shared" si="42"/>
        <v>8331</v>
      </c>
      <c r="CH25" s="64">
        <f>CH21*CH45</f>
        <v>10626.676795000001</v>
      </c>
      <c r="CI25" s="64">
        <f t="shared" ref="CI25:CQ25" si="47">CI21*CI45</f>
        <v>15265.773583515</v>
      </c>
      <c r="CJ25" s="64">
        <f t="shared" si="47"/>
        <v>19067.841681183152</v>
      </c>
      <c r="CK25" s="64">
        <f t="shared" si="47"/>
        <v>23242.781563170451</v>
      </c>
      <c r="CL25" s="64">
        <f t="shared" si="47"/>
        <v>27380.687286204877</v>
      </c>
      <c r="CM25" s="64">
        <f t="shared" si="47"/>
        <v>30995.567319021306</v>
      </c>
      <c r="CN25" s="64">
        <f t="shared" si="47"/>
        <v>34083.382762923611</v>
      </c>
      <c r="CO25" s="64">
        <f t="shared" si="47"/>
        <v>36336.336815371258</v>
      </c>
      <c r="CP25" s="64">
        <f t="shared" si="47"/>
        <v>38453.054783041487</v>
      </c>
      <c r="CQ25" s="64">
        <f t="shared" si="47"/>
        <v>40015.902250592597</v>
      </c>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row>
    <row r="26" spans="2:147" s="2" customFormat="1" ht="15">
      <c r="B26" s="1" t="s">
        <v>219</v>
      </c>
      <c r="C26" s="61">
        <v>0</v>
      </c>
      <c r="D26" s="61">
        <v>0</v>
      </c>
      <c r="E26" s="61">
        <v>0</v>
      </c>
      <c r="F26" s="61">
        <v>0</v>
      </c>
      <c r="G26" s="61">
        <v>0</v>
      </c>
      <c r="H26" s="61">
        <v>0</v>
      </c>
      <c r="I26" s="61">
        <v>0</v>
      </c>
      <c r="J26" s="61">
        <v>0</v>
      </c>
      <c r="K26" s="61">
        <v>0</v>
      </c>
      <c r="L26" s="61">
        <v>0</v>
      </c>
      <c r="M26" s="61">
        <v>0</v>
      </c>
      <c r="N26" s="61">
        <v>0</v>
      </c>
      <c r="O26" s="61">
        <v>0</v>
      </c>
      <c r="P26" s="61">
        <v>0</v>
      </c>
      <c r="Q26" s="61">
        <v>0</v>
      </c>
      <c r="R26" s="61">
        <v>0</v>
      </c>
      <c r="S26" s="61">
        <v>0</v>
      </c>
      <c r="T26" s="61">
        <v>0</v>
      </c>
      <c r="U26" s="61">
        <v>0</v>
      </c>
      <c r="V26" s="61">
        <v>0</v>
      </c>
      <c r="W26" s="61">
        <v>0</v>
      </c>
      <c r="X26" s="61">
        <v>0</v>
      </c>
      <c r="Y26" s="61">
        <v>0</v>
      </c>
      <c r="Z26" s="61">
        <v>0</v>
      </c>
      <c r="AA26" s="61">
        <v>0</v>
      </c>
      <c r="AB26" s="61">
        <v>0</v>
      </c>
      <c r="AC26" s="61">
        <v>0</v>
      </c>
      <c r="AD26" s="61">
        <v>0</v>
      </c>
      <c r="AE26" s="61">
        <v>0</v>
      </c>
      <c r="AF26" s="61">
        <v>0</v>
      </c>
      <c r="AG26" s="61">
        <v>0</v>
      </c>
      <c r="AH26" s="61">
        <v>0</v>
      </c>
      <c r="AI26" s="61">
        <v>0</v>
      </c>
      <c r="AJ26" s="61">
        <v>0</v>
      </c>
      <c r="AK26" s="61">
        <v>0</v>
      </c>
      <c r="AL26" s="61">
        <v>0</v>
      </c>
      <c r="AM26" s="1">
        <v>1589</v>
      </c>
      <c r="AN26" s="1">
        <v>1601</v>
      </c>
      <c r="AO26" s="1">
        <v>1621</v>
      </c>
      <c r="AP26" s="1">
        <f>6527-SUM(AM26:AO26)</f>
        <v>1716</v>
      </c>
      <c r="AQ26" s="1">
        <v>1684</v>
      </c>
      <c r="AR26" s="1">
        <v>1754</v>
      </c>
      <c r="AS26" s="1">
        <v>1816</v>
      </c>
      <c r="AT26" s="1">
        <f>7219-SUM(AQ26:AS26)</f>
        <v>1965</v>
      </c>
      <c r="AU26" s="1">
        <v>2093</v>
      </c>
      <c r="AV26" s="1">
        <v>2158</v>
      </c>
      <c r="AW26" s="1">
        <v>2146</v>
      </c>
      <c r="AX26" s="1">
        <f>8623-SUM(AU26:AW26)</f>
        <v>2226</v>
      </c>
      <c r="AY26" s="1">
        <v>2216</v>
      </c>
      <c r="AZ26" s="1">
        <v>2226</v>
      </c>
      <c r="BA26" s="1">
        <v>2248</v>
      </c>
      <c r="BB26" s="1">
        <f>8915-SUM(AY26:BA26)</f>
        <v>2225</v>
      </c>
      <c r="BC26" s="1">
        <v>2306</v>
      </c>
      <c r="BD26" s="1">
        <v>2471</v>
      </c>
      <c r="BE26" s="1">
        <v>2429</v>
      </c>
      <c r="BF26" s="1">
        <f>9860-SUM(BC26:BE26)</f>
        <v>2654</v>
      </c>
      <c r="BG26" s="1">
        <v>2491</v>
      </c>
      <c r="BH26" s="1">
        <v>2561</v>
      </c>
      <c r="BI26" s="1">
        <v>2607</v>
      </c>
      <c r="BJ26" s="1">
        <f>10272-SUM(BG26:BI26)</f>
        <v>2613</v>
      </c>
      <c r="BK26" s="1">
        <v>2401</v>
      </c>
      <c r="BS26" s="61">
        <f t="shared" si="28"/>
        <v>0</v>
      </c>
      <c r="BT26" s="61">
        <f t="shared" si="29"/>
        <v>0</v>
      </c>
      <c r="BU26" s="61">
        <f t="shared" si="30"/>
        <v>0</v>
      </c>
      <c r="BV26" s="61">
        <f t="shared" si="31"/>
        <v>0</v>
      </c>
      <c r="BW26" s="61">
        <f t="shared" si="32"/>
        <v>0</v>
      </c>
      <c r="BX26" s="61">
        <f t="shared" si="33"/>
        <v>0</v>
      </c>
      <c r="BY26" s="61">
        <f t="shared" si="34"/>
        <v>0</v>
      </c>
      <c r="BZ26" s="61">
        <f t="shared" si="35"/>
        <v>0</v>
      </c>
      <c r="CA26" s="61">
        <f t="shared" si="36"/>
        <v>0</v>
      </c>
      <c r="CB26" s="1">
        <f t="shared" si="37"/>
        <v>6527</v>
      </c>
      <c r="CC26" s="1">
        <f t="shared" si="38"/>
        <v>7219</v>
      </c>
      <c r="CD26" s="1">
        <f t="shared" si="39"/>
        <v>8623</v>
      </c>
      <c r="CE26" s="1">
        <f t="shared" si="40"/>
        <v>8915</v>
      </c>
      <c r="CF26" s="1">
        <f t="shared" si="41"/>
        <v>9860</v>
      </c>
      <c r="CG26" s="1">
        <f t="shared" si="42"/>
        <v>10272</v>
      </c>
      <c r="CH26" s="64">
        <f>CH21*CH46</f>
        <v>13841.469775000001</v>
      </c>
      <c r="CI26" s="64">
        <f t="shared" ref="CI26:CQ26" si="48">CI21*CI46</f>
        <v>19897.807720270201</v>
      </c>
      <c r="CJ26" s="64">
        <f t="shared" si="48"/>
        <v>25202.712482955121</v>
      </c>
      <c r="CK26" s="64">
        <f t="shared" si="48"/>
        <v>30786.491368760857</v>
      </c>
      <c r="CL26" s="64">
        <f t="shared" si="48"/>
        <v>36346.045070183463</v>
      </c>
      <c r="CM26" s="64">
        <f t="shared" si="48"/>
        <v>41235.174379769414</v>
      </c>
      <c r="CN26" s="64">
        <f t="shared" si="48"/>
        <v>45444.510350564815</v>
      </c>
      <c r="CO26" s="64">
        <f t="shared" si="48"/>
        <v>48558.559198723407</v>
      </c>
      <c r="CP26" s="64">
        <f t="shared" si="48"/>
        <v>51037.690893855062</v>
      </c>
      <c r="CQ26" s="64">
        <f t="shared" si="48"/>
        <v>52748.23478487206</v>
      </c>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row>
    <row r="27" spans="2:147" s="2" customFormat="1" ht="15">
      <c r="B27" s="1" t="s">
        <v>220</v>
      </c>
      <c r="C27" s="61">
        <v>0</v>
      </c>
      <c r="D27" s="61">
        <v>0</v>
      </c>
      <c r="E27" s="61">
        <v>0</v>
      </c>
      <c r="F27" s="61">
        <v>0</v>
      </c>
      <c r="G27" s="61">
        <v>0</v>
      </c>
      <c r="H27" s="61">
        <v>0</v>
      </c>
      <c r="I27" s="61">
        <v>0</v>
      </c>
      <c r="J27" s="61">
        <v>0</v>
      </c>
      <c r="K27" s="61">
        <v>0</v>
      </c>
      <c r="L27" s="61">
        <v>0</v>
      </c>
      <c r="M27" s="61">
        <v>0</v>
      </c>
      <c r="N27" s="61">
        <v>0</v>
      </c>
      <c r="O27" s="61">
        <v>0</v>
      </c>
      <c r="P27" s="61">
        <v>0</v>
      </c>
      <c r="Q27" s="61">
        <v>0</v>
      </c>
      <c r="R27" s="61">
        <v>0</v>
      </c>
      <c r="S27" s="61">
        <v>0</v>
      </c>
      <c r="T27" s="61">
        <v>0</v>
      </c>
      <c r="U27" s="61">
        <v>0</v>
      </c>
      <c r="V27" s="61">
        <v>0</v>
      </c>
      <c r="W27" s="61">
        <v>0</v>
      </c>
      <c r="X27" s="61">
        <v>0</v>
      </c>
      <c r="Y27" s="61">
        <v>0</v>
      </c>
      <c r="Z27" s="61">
        <v>0</v>
      </c>
      <c r="AA27" s="61">
        <v>0</v>
      </c>
      <c r="AB27" s="61">
        <v>0</v>
      </c>
      <c r="AC27" s="61">
        <v>0</v>
      </c>
      <c r="AD27" s="61">
        <v>0</v>
      </c>
      <c r="AE27" s="61">
        <v>0</v>
      </c>
      <c r="AF27" s="61">
        <v>0</v>
      </c>
      <c r="AG27" s="61">
        <v>0</v>
      </c>
      <c r="AH27" s="61">
        <v>0</v>
      </c>
      <c r="AI27" s="61">
        <v>0</v>
      </c>
      <c r="AJ27" s="61">
        <v>0</v>
      </c>
      <c r="AK27" s="61">
        <v>0</v>
      </c>
      <c r="AL27" s="61">
        <v>0</v>
      </c>
      <c r="AM27" s="1">
        <v>295</v>
      </c>
      <c r="AN27" s="1">
        <v>324</v>
      </c>
      <c r="AO27" s="1">
        <v>330</v>
      </c>
      <c r="AP27" s="1">
        <f>1254-SUM(AM27:AO27)</f>
        <v>305</v>
      </c>
      <c r="AQ27" s="1">
        <v>298</v>
      </c>
      <c r="AR27" s="1">
        <v>319</v>
      </c>
      <c r="AS27" s="1">
        <v>335</v>
      </c>
      <c r="AT27" s="1">
        <f>1317-SUM(AQ27:AS27)</f>
        <v>365</v>
      </c>
      <c r="AU27" s="1">
        <v>411</v>
      </c>
      <c r="AV27" s="1">
        <v>366</v>
      </c>
      <c r="AW27" s="1">
        <v>402</v>
      </c>
      <c r="AX27" s="1">
        <f>1579-SUM(AU27:AW27)</f>
        <v>400</v>
      </c>
      <c r="AY27" s="1">
        <v>393</v>
      </c>
      <c r="AZ27" s="1">
        <v>375</v>
      </c>
      <c r="BA27" s="1">
        <v>377</v>
      </c>
      <c r="BB27" s="1">
        <f>1548-SUM(AY27:BA27)</f>
        <v>403</v>
      </c>
      <c r="BC27" s="1">
        <v>358</v>
      </c>
      <c r="BD27" s="1">
        <v>387</v>
      </c>
      <c r="BE27" s="1">
        <v>390</v>
      </c>
      <c r="BF27" s="1">
        <f>1602-SUM(BC27:BE27)</f>
        <v>467</v>
      </c>
      <c r="BG27" s="1">
        <v>376</v>
      </c>
      <c r="BH27" s="1">
        <v>409</v>
      </c>
      <c r="BI27" s="1">
        <v>389</v>
      </c>
      <c r="BJ27" s="1">
        <f>1618-SUM(BG27:BI27)</f>
        <v>444</v>
      </c>
      <c r="BK27" s="1">
        <v>376</v>
      </c>
      <c r="BS27" s="61">
        <f t="shared" si="28"/>
        <v>0</v>
      </c>
      <c r="BT27" s="61">
        <f t="shared" si="29"/>
        <v>0</v>
      </c>
      <c r="BU27" s="61">
        <f t="shared" si="30"/>
        <v>0</v>
      </c>
      <c r="BV27" s="61">
        <f t="shared" si="31"/>
        <v>0</v>
      </c>
      <c r="BW27" s="61">
        <f t="shared" si="32"/>
        <v>0</v>
      </c>
      <c r="BX27" s="61">
        <f t="shared" si="33"/>
        <v>0</v>
      </c>
      <c r="BY27" s="61">
        <f t="shared" si="34"/>
        <v>0</v>
      </c>
      <c r="BZ27" s="61">
        <f t="shared" si="35"/>
        <v>0</v>
      </c>
      <c r="CA27" s="61">
        <f t="shared" si="36"/>
        <v>0</v>
      </c>
      <c r="CB27" s="1">
        <f t="shared" si="37"/>
        <v>1254</v>
      </c>
      <c r="CC27" s="1">
        <f t="shared" si="38"/>
        <v>1317</v>
      </c>
      <c r="CD27" s="1">
        <f t="shared" si="39"/>
        <v>1579</v>
      </c>
      <c r="CE27" s="1">
        <f t="shared" si="40"/>
        <v>1548</v>
      </c>
      <c r="CF27" s="1">
        <f t="shared" si="41"/>
        <v>1602</v>
      </c>
      <c r="CG27" s="1">
        <f t="shared" si="42"/>
        <v>1618</v>
      </c>
      <c r="CH27" s="64">
        <f>CH21*CH47</f>
        <v>2145.0938208352509</v>
      </c>
      <c r="CI27" s="64">
        <f t="shared" ref="CI27:CQ27" si="49">CI21*CI47</f>
        <v>3134.2146506422491</v>
      </c>
      <c r="CJ27" s="64">
        <f t="shared" si="49"/>
        <v>3982.900694631569</v>
      </c>
      <c r="CK27" s="64">
        <f t="shared" si="49"/>
        <v>4689.3331223940377</v>
      </c>
      <c r="CL27" s="64">
        <f t="shared" si="49"/>
        <v>5573.0602440947978</v>
      </c>
      <c r="CM27" s="64">
        <f t="shared" si="49"/>
        <v>6365.1611458704465</v>
      </c>
      <c r="CN27" s="64">
        <f t="shared" si="49"/>
        <v>6755.2650521109854</v>
      </c>
      <c r="CO27" s="64">
        <f t="shared" si="49"/>
        <v>7267.2673630742511</v>
      </c>
      <c r="CP27" s="64">
        <f t="shared" si="49"/>
        <v>7690.6109566082978</v>
      </c>
      <c r="CQ27" s="64">
        <f t="shared" si="49"/>
        <v>8003.1804501185188</v>
      </c>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row>
    <row r="28" spans="2:147" s="2" customFormat="1" ht="15">
      <c r="B28" s="1" t="s">
        <v>221</v>
      </c>
      <c r="C28" s="61">
        <v>0</v>
      </c>
      <c r="D28" s="61">
        <v>0</v>
      </c>
      <c r="E28" s="61">
        <v>0</v>
      </c>
      <c r="F28" s="61">
        <v>0</v>
      </c>
      <c r="G28" s="61">
        <v>0</v>
      </c>
      <c r="H28" s="61">
        <v>0</v>
      </c>
      <c r="I28" s="61">
        <v>0</v>
      </c>
      <c r="J28" s="61">
        <v>0</v>
      </c>
      <c r="K28" s="61">
        <v>0</v>
      </c>
      <c r="L28" s="61">
        <v>0</v>
      </c>
      <c r="M28" s="61">
        <v>0</v>
      </c>
      <c r="N28" s="61">
        <v>0</v>
      </c>
      <c r="O28" s="61">
        <v>0</v>
      </c>
      <c r="P28" s="61">
        <v>0</v>
      </c>
      <c r="Q28" s="61">
        <v>0</v>
      </c>
      <c r="R28" s="61">
        <v>0</v>
      </c>
      <c r="S28" s="61">
        <v>0</v>
      </c>
      <c r="T28" s="61">
        <v>0</v>
      </c>
      <c r="U28" s="61">
        <v>0</v>
      </c>
      <c r="V28" s="61">
        <v>0</v>
      </c>
      <c r="W28" s="61">
        <v>0</v>
      </c>
      <c r="X28" s="61">
        <v>0</v>
      </c>
      <c r="Y28" s="61">
        <v>0</v>
      </c>
      <c r="Z28" s="61">
        <v>0</v>
      </c>
      <c r="AA28" s="61">
        <v>0</v>
      </c>
      <c r="AB28" s="61">
        <v>0</v>
      </c>
      <c r="AC28" s="61">
        <v>0</v>
      </c>
      <c r="AD28" s="61">
        <v>0</v>
      </c>
      <c r="AE28" s="61">
        <v>0</v>
      </c>
      <c r="AF28" s="61">
        <v>0</v>
      </c>
      <c r="AG28" s="61">
        <v>0</v>
      </c>
      <c r="AH28" s="61">
        <v>0</v>
      </c>
      <c r="AI28" s="61">
        <v>0</v>
      </c>
      <c r="AJ28" s="61">
        <v>0</v>
      </c>
      <c r="AK28" s="61">
        <v>0</v>
      </c>
      <c r="AL28" s="61">
        <v>0</v>
      </c>
      <c r="AM28" s="1">
        <v>345</v>
      </c>
      <c r="AN28" s="1">
        <v>345</v>
      </c>
      <c r="AO28" s="1">
        <v>347</v>
      </c>
      <c r="AP28" s="1">
        <f>1379-SUM(AM28:AO28)</f>
        <v>342</v>
      </c>
      <c r="AQ28" s="1">
        <v>303</v>
      </c>
      <c r="AR28" s="1">
        <v>299</v>
      </c>
      <c r="AS28" s="1">
        <v>279</v>
      </c>
      <c r="AT28" s="1">
        <f>1150-SUM(AQ28:AS28)</f>
        <v>269</v>
      </c>
      <c r="AU28" s="1">
        <v>919</v>
      </c>
      <c r="AV28" s="1">
        <v>907</v>
      </c>
      <c r="AW28" s="1">
        <v>886</v>
      </c>
      <c r="AX28" s="1">
        <f>3582-SUM(AU28:AW28)</f>
        <v>870</v>
      </c>
      <c r="AY28" s="1">
        <v>763</v>
      </c>
      <c r="AZ28" s="1">
        <v>755</v>
      </c>
      <c r="BA28" s="1">
        <v>749</v>
      </c>
      <c r="BB28" s="1">
        <f>3010-SUM(AY28:BA28)</f>
        <v>743</v>
      </c>
      <c r="BC28" s="1">
        <v>624</v>
      </c>
      <c r="BD28" s="1">
        <v>591</v>
      </c>
      <c r="BE28" s="1">
        <v>548</v>
      </c>
      <c r="BF28" s="1">
        <f>2307-SUM(BC28:BE28)</f>
        <v>544</v>
      </c>
      <c r="BG28" s="1">
        <v>420</v>
      </c>
      <c r="BH28" s="1">
        <v>407</v>
      </c>
      <c r="BI28" s="1">
        <v>413</v>
      </c>
      <c r="BJ28" s="1">
        <f>1671-SUM(BG28:BI28)</f>
        <v>431</v>
      </c>
      <c r="BK28" s="1">
        <v>202</v>
      </c>
      <c r="BS28" s="61">
        <f t="shared" si="28"/>
        <v>0</v>
      </c>
      <c r="BT28" s="61">
        <f t="shared" si="29"/>
        <v>0</v>
      </c>
      <c r="BU28" s="61">
        <f t="shared" si="30"/>
        <v>0</v>
      </c>
      <c r="BV28" s="61">
        <f t="shared" si="31"/>
        <v>0</v>
      </c>
      <c r="BW28" s="61">
        <f t="shared" si="32"/>
        <v>0</v>
      </c>
      <c r="BX28" s="61">
        <f t="shared" si="33"/>
        <v>0</v>
      </c>
      <c r="BY28" s="61">
        <f t="shared" si="34"/>
        <v>0</v>
      </c>
      <c r="BZ28" s="61">
        <f t="shared" si="35"/>
        <v>0</v>
      </c>
      <c r="CA28" s="61">
        <f t="shared" si="36"/>
        <v>0</v>
      </c>
      <c r="CB28" s="1">
        <f t="shared" si="37"/>
        <v>1379</v>
      </c>
      <c r="CC28" s="1">
        <f t="shared" si="38"/>
        <v>1150</v>
      </c>
      <c r="CD28" s="1">
        <f t="shared" si="39"/>
        <v>3582</v>
      </c>
      <c r="CE28" s="1">
        <f t="shared" si="40"/>
        <v>3010</v>
      </c>
      <c r="CF28" s="1">
        <f t="shared" si="41"/>
        <v>2307</v>
      </c>
      <c r="CG28" s="1">
        <f t="shared" si="42"/>
        <v>1671</v>
      </c>
      <c r="CH28" s="64">
        <f>CH21*CH48</f>
        <v>2215.3595640393723</v>
      </c>
      <c r="CI28" s="64">
        <f t="shared" ref="CI28:CQ28" si="50">CI21*CI48</f>
        <v>3236.8805199154503</v>
      </c>
      <c r="CJ28" s="64">
        <f t="shared" si="50"/>
        <v>4113.3665393877327</v>
      </c>
      <c r="CK28" s="64">
        <f t="shared" si="50"/>
        <v>4893.217171193779</v>
      </c>
      <c r="CL28" s="64">
        <f t="shared" si="50"/>
        <v>5815.3672112293543</v>
      </c>
      <c r="CM28" s="64">
        <f t="shared" si="50"/>
        <v>6641.907282647423</v>
      </c>
      <c r="CN28" s="64">
        <f t="shared" si="50"/>
        <v>7062.3225544796669</v>
      </c>
      <c r="CO28" s="64">
        <f t="shared" si="50"/>
        <v>7597.5976977594446</v>
      </c>
      <c r="CP28" s="64">
        <f t="shared" si="50"/>
        <v>8040.1841819086749</v>
      </c>
      <c r="CQ28" s="64">
        <f t="shared" si="50"/>
        <v>8366.9613796693611</v>
      </c>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row>
    <row r="29" spans="2:147">
      <c r="B29" s="1" t="s">
        <v>222</v>
      </c>
      <c r="C29" s="61">
        <v>0</v>
      </c>
      <c r="D29" s="61">
        <v>0</v>
      </c>
      <c r="E29" s="61">
        <v>0</v>
      </c>
      <c r="F29" s="61">
        <v>0</v>
      </c>
      <c r="G29" s="61">
        <v>0</v>
      </c>
      <c r="H29" s="61">
        <v>0</v>
      </c>
      <c r="I29" s="61">
        <v>0</v>
      </c>
      <c r="J29" s="61">
        <v>0</v>
      </c>
      <c r="K29" s="61">
        <v>0</v>
      </c>
      <c r="L29" s="61">
        <v>0</v>
      </c>
      <c r="M29" s="61">
        <v>0</v>
      </c>
      <c r="N29" s="61">
        <v>0</v>
      </c>
      <c r="O29" s="61">
        <v>0</v>
      </c>
      <c r="P29" s="61">
        <v>0</v>
      </c>
      <c r="Q29" s="61">
        <v>0</v>
      </c>
      <c r="R29" s="61">
        <v>0</v>
      </c>
      <c r="S29" s="61">
        <v>0</v>
      </c>
      <c r="T29" s="61">
        <v>0</v>
      </c>
      <c r="U29" s="61">
        <v>0</v>
      </c>
      <c r="V29" s="61">
        <v>0</v>
      </c>
      <c r="W29" s="61">
        <v>0</v>
      </c>
      <c r="X29" s="61">
        <v>0</v>
      </c>
      <c r="Y29" s="61">
        <v>0</v>
      </c>
      <c r="Z29" s="61">
        <v>0</v>
      </c>
      <c r="AA29" s="61">
        <v>0</v>
      </c>
      <c r="AB29" s="61">
        <v>0</v>
      </c>
      <c r="AC29" s="61">
        <v>0</v>
      </c>
      <c r="AD29" s="61">
        <v>0</v>
      </c>
      <c r="AE29" s="61">
        <v>0</v>
      </c>
      <c r="AF29" s="61">
        <v>0</v>
      </c>
      <c r="AG29" s="61">
        <v>0</v>
      </c>
      <c r="AH29" s="61">
        <v>0</v>
      </c>
      <c r="AI29" s="61">
        <v>0</v>
      </c>
      <c r="AJ29" s="61">
        <v>0</v>
      </c>
      <c r="AK29" s="61">
        <v>0</v>
      </c>
      <c r="AL29" s="61">
        <v>0</v>
      </c>
      <c r="AM29" s="1">
        <f>19+174</f>
        <v>193</v>
      </c>
      <c r="AN29" s="1">
        <f>76+96</f>
        <v>172</v>
      </c>
      <c r="AO29" s="1">
        <f>13+66</f>
        <v>79</v>
      </c>
      <c r="AP29" s="1">
        <f>138+431-SUM(AM29:AO29)</f>
        <v>125</v>
      </c>
      <c r="AQ29" s="1">
        <f>21+38</f>
        <v>59</v>
      </c>
      <c r="AR29" s="1">
        <f>4667+32</f>
        <v>4699</v>
      </c>
      <c r="AS29" s="1">
        <f>20+19</f>
        <v>39</v>
      </c>
      <c r="AT29" s="1">
        <f>4713+191-SUM(AQ29:AS29)</f>
        <v>107</v>
      </c>
      <c r="AU29" s="1">
        <f>41+144</f>
        <v>185</v>
      </c>
      <c r="AV29" s="1">
        <f>62+137</f>
        <v>199</v>
      </c>
      <c r="AW29" s="1">
        <f>37+78</f>
        <v>115</v>
      </c>
      <c r="AX29" s="1">
        <f>190+490-SUM(AU29:AW29)</f>
        <v>181</v>
      </c>
      <c r="AY29" s="1">
        <f>11+138</f>
        <v>149</v>
      </c>
      <c r="AZ29" s="1">
        <f>47+83</f>
        <v>130</v>
      </c>
      <c r="BA29" s="1">
        <f>155+90</f>
        <v>245</v>
      </c>
      <c r="BB29" s="1">
        <f>718-SUM(AY29:BA29)</f>
        <v>194</v>
      </c>
      <c r="BC29" s="1">
        <f>13+73</f>
        <v>86</v>
      </c>
      <c r="BD29" s="1">
        <f>31+84</f>
        <v>115</v>
      </c>
      <c r="BE29" s="1">
        <f>28+63</f>
        <v>91</v>
      </c>
      <c r="BF29" s="1">
        <f>374-SUM(BC29:BE29)</f>
        <v>82</v>
      </c>
      <c r="BG29" s="1">
        <f>13+402</f>
        <v>415</v>
      </c>
      <c r="BH29" s="1">
        <f>21+406</f>
        <v>427</v>
      </c>
      <c r="BI29" s="1">
        <f>20+153</f>
        <v>173</v>
      </c>
      <c r="BJ29" s="1">
        <f>1838-SUM(BG29:BI29)</f>
        <v>823</v>
      </c>
      <c r="BK29" s="1">
        <v>94</v>
      </c>
      <c r="BS29" s="61">
        <f t="shared" si="28"/>
        <v>0</v>
      </c>
      <c r="BT29" s="61">
        <f t="shared" si="29"/>
        <v>0</v>
      </c>
      <c r="BU29" s="61">
        <f t="shared" si="30"/>
        <v>0</v>
      </c>
      <c r="BV29" s="61">
        <f t="shared" si="31"/>
        <v>0</v>
      </c>
      <c r="BW29" s="61">
        <f t="shared" si="32"/>
        <v>0</v>
      </c>
      <c r="BX29" s="61">
        <f t="shared" si="33"/>
        <v>0</v>
      </c>
      <c r="BY29" s="61">
        <f t="shared" si="34"/>
        <v>0</v>
      </c>
      <c r="BZ29" s="61">
        <f t="shared" si="35"/>
        <v>0</v>
      </c>
      <c r="CA29" s="61">
        <f t="shared" si="36"/>
        <v>0</v>
      </c>
      <c r="CB29" s="1">
        <f t="shared" si="37"/>
        <v>569</v>
      </c>
      <c r="CC29" s="1">
        <f t="shared" si="38"/>
        <v>4904</v>
      </c>
      <c r="CD29" s="1">
        <f t="shared" si="39"/>
        <v>680</v>
      </c>
      <c r="CE29" s="1">
        <f t="shared" si="40"/>
        <v>718</v>
      </c>
      <c r="CF29" s="1">
        <f t="shared" si="41"/>
        <v>374</v>
      </c>
      <c r="CG29" s="1">
        <f t="shared" si="42"/>
        <v>1838</v>
      </c>
      <c r="CH29" s="64">
        <f>CH21*CH49</f>
        <v>4018.4912250000002</v>
      </c>
      <c r="CI29" s="64">
        <f t="shared" ref="CI29:CQ29" si="51">CI21*CI49</f>
        <v>7176.2183512249994</v>
      </c>
      <c r="CJ29" s="64">
        <f t="shared" si="51"/>
        <v>11606.512327676703</v>
      </c>
      <c r="CK29" s="64">
        <f t="shared" si="51"/>
        <v>12233.042927984447</v>
      </c>
      <c r="CL29" s="64">
        <f t="shared" si="51"/>
        <v>12115.348356727822</v>
      </c>
      <c r="CM29" s="64">
        <f t="shared" si="51"/>
        <v>11069.845471079037</v>
      </c>
      <c r="CN29" s="64">
        <f t="shared" si="51"/>
        <v>10747.012582903842</v>
      </c>
      <c r="CO29" s="64">
        <f t="shared" si="51"/>
        <v>10735.735877268782</v>
      </c>
      <c r="CP29" s="64">
        <f t="shared" si="51"/>
        <v>10487.196759011314</v>
      </c>
      <c r="CQ29" s="64">
        <f t="shared" si="51"/>
        <v>10003.975562648149</v>
      </c>
    </row>
    <row r="30" spans="2:147">
      <c r="B30" s="1" t="s">
        <v>214</v>
      </c>
      <c r="C30" s="1">
        <v>5691</v>
      </c>
      <c r="D30" s="1">
        <v>5681</v>
      </c>
      <c r="E30" s="1">
        <v>5722</v>
      </c>
      <c r="F30" s="1">
        <v>6321</v>
      </c>
      <c r="G30" s="1">
        <v>5302</v>
      </c>
      <c r="H30" s="1">
        <v>5623</v>
      </c>
      <c r="I30" s="1">
        <v>5624</v>
      </c>
      <c r="J30" s="1">
        <v>5947</v>
      </c>
      <c r="K30" s="1">
        <v>5499</v>
      </c>
      <c r="L30" s="1">
        <v>5865</v>
      </c>
      <c r="M30" s="1">
        <v>5740</v>
      </c>
      <c r="N30" s="1">
        <v>6412</v>
      </c>
      <c r="O30" s="1">
        <v>5633</v>
      </c>
      <c r="P30" s="1">
        <v>6056</v>
      </c>
      <c r="Q30" s="1">
        <v>5944</v>
      </c>
      <c r="R30" s="1">
        <v>6722</v>
      </c>
      <c r="S30" s="1">
        <v>5794</v>
      </c>
      <c r="T30" s="1">
        <v>6038</v>
      </c>
      <c r="U30" s="1">
        <v>5985</v>
      </c>
      <c r="V30" s="1">
        <v>6626</v>
      </c>
      <c r="W30" s="1">
        <v>5954</v>
      </c>
      <c r="X30" s="1">
        <v>5998</v>
      </c>
      <c r="Y30" s="1">
        <v>6246</v>
      </c>
      <c r="Z30" s="1">
        <v>6681</v>
      </c>
      <c r="AA30" s="1">
        <v>6355</v>
      </c>
      <c r="AB30" s="1">
        <v>6550</v>
      </c>
      <c r="AC30" s="1">
        <v>6361</v>
      </c>
      <c r="AD30" s="1">
        <v>6853</v>
      </c>
      <c r="AE30" s="1">
        <v>6415</v>
      </c>
      <c r="AF30" s="1">
        <v>6461</v>
      </c>
      <c r="AG30" s="1">
        <v>6215</v>
      </c>
      <c r="AH30" s="1">
        <v>6880</v>
      </c>
      <c r="AI30" s="1">
        <v>6341</v>
      </c>
      <c r="AJ30" s="1">
        <v>6431</v>
      </c>
      <c r="AK30" s="1">
        <v>6268</v>
      </c>
      <c r="AL30" s="1">
        <v>6132</v>
      </c>
      <c r="AM30" s="1">
        <f t="shared" ref="AM30:BH30" si="52">SUM(AM22:AM29)</f>
        <v>6156</v>
      </c>
      <c r="AN30" s="1">
        <f t="shared" si="52"/>
        <v>6217</v>
      </c>
      <c r="AO30" s="1">
        <f t="shared" si="52"/>
        <v>6207</v>
      </c>
      <c r="AP30" s="1">
        <f t="shared" si="52"/>
        <v>6686</v>
      </c>
      <c r="AQ30" s="1">
        <f t="shared" si="52"/>
        <v>6301</v>
      </c>
      <c r="AR30" s="1">
        <f t="shared" si="52"/>
        <v>11184</v>
      </c>
      <c r="AS30" s="1">
        <f t="shared" si="52"/>
        <v>6691</v>
      </c>
      <c r="AT30" s="1">
        <f t="shared" si="52"/>
        <v>7338</v>
      </c>
      <c r="AU30" s="1">
        <f t="shared" si="52"/>
        <v>8822</v>
      </c>
      <c r="AV30" s="1">
        <f t="shared" si="52"/>
        <v>9204</v>
      </c>
      <c r="AW30" s="1">
        <f t="shared" si="52"/>
        <v>9138</v>
      </c>
      <c r="AX30" s="1">
        <f t="shared" si="52"/>
        <v>9697</v>
      </c>
      <c r="AY30" s="1">
        <f t="shared" si="52"/>
        <v>9157</v>
      </c>
      <c r="AZ30" s="1">
        <f t="shared" si="52"/>
        <v>9319</v>
      </c>
      <c r="BA30" s="1">
        <f t="shared" si="52"/>
        <v>9530</v>
      </c>
      <c r="BB30" s="1">
        <f t="shared" si="52"/>
        <v>9602</v>
      </c>
      <c r="BC30" s="1">
        <f t="shared" si="52"/>
        <v>9316</v>
      </c>
      <c r="BD30" s="1">
        <f t="shared" si="52"/>
        <v>9839</v>
      </c>
      <c r="BE30" s="1">
        <f t="shared" si="52"/>
        <v>9772</v>
      </c>
      <c r="BF30" s="1">
        <f t="shared" si="52"/>
        <v>10794</v>
      </c>
      <c r="BG30" s="1">
        <f t="shared" si="52"/>
        <v>10649</v>
      </c>
      <c r="BH30" s="1">
        <f t="shared" si="52"/>
        <v>11327</v>
      </c>
      <c r="BI30" s="1">
        <f>SUM(BI22:BI29)</f>
        <v>11726</v>
      </c>
      <c r="BJ30" s="1">
        <f>SUM(BJ22:BJ29)</f>
        <v>13049</v>
      </c>
      <c r="BK30" s="1">
        <f>SUM(BK22:BK29)</f>
        <v>12617</v>
      </c>
      <c r="BS30" s="1">
        <f t="shared" si="28"/>
        <v>23415</v>
      </c>
      <c r="BT30" s="1">
        <f t="shared" si="29"/>
        <v>22496</v>
      </c>
      <c r="BU30" s="1">
        <f t="shared" si="30"/>
        <v>23516</v>
      </c>
      <c r="BV30" s="1">
        <f t="shared" si="31"/>
        <v>24355</v>
      </c>
      <c r="BW30" s="1">
        <f t="shared" si="32"/>
        <v>24443</v>
      </c>
      <c r="BX30" s="1">
        <f t="shared" si="33"/>
        <v>24879</v>
      </c>
      <c r="BY30" s="1">
        <f t="shared" si="34"/>
        <v>26119</v>
      </c>
      <c r="BZ30" s="1">
        <f t="shared" si="35"/>
        <v>25971</v>
      </c>
      <c r="CA30" s="1">
        <f t="shared" si="36"/>
        <v>25172</v>
      </c>
      <c r="CB30" s="1">
        <f t="shared" si="37"/>
        <v>25266</v>
      </c>
      <c r="CC30" s="1">
        <f t="shared" si="38"/>
        <v>31514</v>
      </c>
      <c r="CD30" s="1">
        <f t="shared" si="39"/>
        <v>36861</v>
      </c>
      <c r="CE30" s="1">
        <f t="shared" si="40"/>
        <v>37608</v>
      </c>
      <c r="CF30" s="1">
        <f t="shared" si="41"/>
        <v>39721</v>
      </c>
      <c r="CG30" s="1">
        <f t="shared" si="42"/>
        <v>46751</v>
      </c>
      <c r="CH30" s="64">
        <f>SUM(CH22:CH29)</f>
        <v>64816.421369874624</v>
      </c>
      <c r="CI30" s="64">
        <f t="shared" ref="CI30:CQ30" si="53">SUM(CI22:CI29)</f>
        <v>96726.319430127885</v>
      </c>
      <c r="CJ30" s="64">
        <f t="shared" si="53"/>
        <v>126316.88565735483</v>
      </c>
      <c r="CK30" s="64">
        <f t="shared" si="53"/>
        <v>148019.81942861181</v>
      </c>
      <c r="CL30" s="64">
        <f t="shared" si="53"/>
        <v>170341.79789559316</v>
      </c>
      <c r="CM30" s="64">
        <f t="shared" si="53"/>
        <v>189294.35755545154</v>
      </c>
      <c r="CN30" s="64">
        <f t="shared" si="53"/>
        <v>205421.46908464772</v>
      </c>
      <c r="CO30" s="64">
        <f t="shared" si="53"/>
        <v>217192.19505551457</v>
      </c>
      <c r="CP30" s="64">
        <f t="shared" si="53"/>
        <v>226523.44999464438</v>
      </c>
      <c r="CQ30" s="64">
        <f t="shared" si="53"/>
        <v>232274.12351821249</v>
      </c>
    </row>
    <row r="31" spans="2:147">
      <c r="B31" s="1" t="s">
        <v>223</v>
      </c>
      <c r="C31" s="1">
        <f t="shared" ref="C31" si="54">C21-C30</f>
        <v>2683</v>
      </c>
      <c r="D31" s="1">
        <f t="shared" ref="D31" si="55">D21-D30</f>
        <v>3111</v>
      </c>
      <c r="E31" s="1">
        <f t="shared" ref="E31" si="56">E21-E30</f>
        <v>3317</v>
      </c>
      <c r="F31" s="1">
        <f t="shared" ref="F31" si="57">F21-F30</f>
        <v>4595</v>
      </c>
      <c r="G31" s="1">
        <f t="shared" ref="G31" si="58">G21-G30</f>
        <v>2879</v>
      </c>
      <c r="H31" s="1">
        <f t="shared" ref="H31" si="59">H21-H30</f>
        <v>3471</v>
      </c>
      <c r="I31" s="1">
        <f t="shared" ref="I31" si="60">I21-I30</f>
        <v>3334</v>
      </c>
      <c r="J31" s="1">
        <f t="shared" ref="J31" si="61">J21-J30</f>
        <v>5000</v>
      </c>
      <c r="K31" s="1">
        <f t="shared" ref="K31" si="62">K21-K30</f>
        <v>2873</v>
      </c>
      <c r="L31" s="1">
        <f t="shared" ref="L31" si="63">L21-L30</f>
        <v>3410</v>
      </c>
      <c r="M31" s="1">
        <f t="shared" ref="M31" si="64">M21-M30</f>
        <v>3567</v>
      </c>
      <c r="N31" s="1">
        <f t="shared" ref="N31" si="65">N21-N30</f>
        <v>4909</v>
      </c>
      <c r="O31" s="1">
        <f t="shared" ref="O31" si="66">O21-O30</f>
        <v>2963</v>
      </c>
      <c r="P31" s="1">
        <f t="shared" ref="P31" si="67">P21-P30</f>
        <v>3542</v>
      </c>
      <c r="Q31" s="1">
        <f t="shared" ref="Q31" si="68">Q21-Q30</f>
        <v>3383</v>
      </c>
      <c r="R31" s="1">
        <f t="shared" ref="R31" si="69">R21-R30</f>
        <v>3983</v>
      </c>
      <c r="S31" s="1">
        <f t="shared" ref="S31" si="70">S21-S30</f>
        <v>2654</v>
      </c>
      <c r="T31" s="1">
        <f t="shared" ref="T31" si="71">T21-T30</f>
        <v>2955</v>
      </c>
      <c r="U31" s="1">
        <f t="shared" ref="U31" si="72">U21-U30</f>
        <v>3027</v>
      </c>
      <c r="V31" s="1">
        <f t="shared" ref="V31" si="73">V21-V30</f>
        <v>3968</v>
      </c>
      <c r="W31" s="1">
        <f t="shared" ref="W31" si="74">W21-W30</f>
        <v>2641</v>
      </c>
      <c r="X31" s="1">
        <f t="shared" ref="X31" si="75">X21-X30</f>
        <v>3037</v>
      </c>
      <c r="Y31" s="1">
        <f t="shared" ref="Y31" si="76">Y21-Y30</f>
        <v>2959</v>
      </c>
      <c r="Z31" s="1">
        <f t="shared" ref="Z31" si="77">Z21-Z30</f>
        <v>4276</v>
      </c>
      <c r="AA31" s="1">
        <f t="shared" ref="AA31" si="78">AA21-AA30</f>
        <v>2749</v>
      </c>
      <c r="AB31" s="1">
        <f t="shared" ref="AB31" si="79">AB21-AB30</f>
        <v>3039</v>
      </c>
      <c r="AC31" s="1">
        <f t="shared" ref="AC31" si="80">AC21-AC30</f>
        <v>3315</v>
      </c>
      <c r="AD31" s="1">
        <f t="shared" ref="AD31" si="81">AD21-AD30</f>
        <v>4161</v>
      </c>
      <c r="AE31" s="1">
        <f t="shared" ref="AE31" si="82">AE21-AE30</f>
        <v>2778</v>
      </c>
      <c r="AF31" s="1">
        <f t="shared" ref="AF31" si="83">AF21-AF30</f>
        <v>3101</v>
      </c>
      <c r="AG31" s="1">
        <f t="shared" ref="AG31" si="84">AG21-AG30</f>
        <v>3399</v>
      </c>
      <c r="AH31" s="1">
        <f t="shared" ref="AH31" si="85">AH21-AH30</f>
        <v>4257</v>
      </c>
      <c r="AI31" s="1">
        <f t="shared" ref="AI31" si="86">AI21-AI30</f>
        <v>2877</v>
      </c>
      <c r="AJ31" s="1">
        <f t="shared" ref="AJ31" si="87">AJ21-AJ30</f>
        <v>3183</v>
      </c>
      <c r="AK31" s="1">
        <f t="shared" ref="AK31" si="88">AK21-AK30</f>
        <v>3528</v>
      </c>
      <c r="AL31" s="1">
        <f t="shared" ref="AL31" si="89">AL21-AL30</f>
        <v>4309</v>
      </c>
      <c r="AM31" s="1">
        <f t="shared" ref="AM31" si="90">AM21-AM30</f>
        <v>3211</v>
      </c>
      <c r="AN31" s="1">
        <f t="shared" ref="AN31" si="91">AN21-AN30</f>
        <v>3583</v>
      </c>
      <c r="AO31" s="1">
        <f t="shared" ref="AO31" si="92">AO21-AO30</f>
        <v>3879</v>
      </c>
      <c r="AP31" s="1">
        <f t="shared" ref="AP31" si="93">AP21-AP30</f>
        <v>4541</v>
      </c>
      <c r="AQ31" s="1">
        <f t="shared" ref="AQ31" si="94">AQ21-AQ30</f>
        <v>3427</v>
      </c>
      <c r="AR31" s="1">
        <f t="shared" ref="AR31" si="95">AR21-AR30</f>
        <v>-824</v>
      </c>
      <c r="AS31" s="1">
        <f t="shared" ref="AS31" si="96">AS21-AS30</f>
        <v>3822</v>
      </c>
      <c r="AT31" s="1">
        <f t="shared" ref="AT31" si="97">AT21-AT30</f>
        <v>4502</v>
      </c>
      <c r="AU31" s="1">
        <f t="shared" ref="AU31" si="98">AU21-AU30</f>
        <v>2623</v>
      </c>
      <c r="AV31" s="1">
        <f t="shared" ref="AV31" si="99">AV21-AV30</f>
        <v>3071</v>
      </c>
      <c r="AW31" s="1">
        <f t="shared" ref="AW31" si="100">AW21-AW30</f>
        <v>3260</v>
      </c>
      <c r="AX31" s="1">
        <f t="shared" ref="AX31" si="101">AX21-AX30</f>
        <v>4140</v>
      </c>
      <c r="AY31" s="1">
        <f t="shared" ref="AY31" si="102">AY21-AY30</f>
        <v>3296</v>
      </c>
      <c r="AZ31" s="1">
        <f t="shared" ref="AZ31" si="103">AZ21-AZ30</f>
        <v>3622</v>
      </c>
      <c r="BA31" s="1">
        <f t="shared" ref="BA31" si="104">BA21-BA30</f>
        <v>3750</v>
      </c>
      <c r="BB31" s="1">
        <f t="shared" ref="BB31" si="105">BB21-BB30</f>
        <v>4685</v>
      </c>
      <c r="BC31" s="1">
        <f t="shared" ref="BC31" si="106">BC21-BC30</f>
        <v>3991</v>
      </c>
      <c r="BD31" s="1">
        <f t="shared" ref="BD31" si="107">BD21-BD30</f>
        <v>4220</v>
      </c>
      <c r="BE31" s="1">
        <f t="shared" ref="BE31" si="108">BE21-BE30</f>
        <v>4358</v>
      </c>
      <c r="BF31" s="1">
        <f t="shared" ref="BF31" si="109">BF21-BF30</f>
        <v>5109</v>
      </c>
      <c r="BG31" s="1">
        <f t="shared" ref="BG31" si="110">BG21-BG30</f>
        <v>4277</v>
      </c>
      <c r="BH31" s="1">
        <f t="shared" ref="BH31" si="111">BH21-BH30</f>
        <v>4731</v>
      </c>
      <c r="BI31" s="1">
        <f t="shared" ref="BI31:BJ31" si="112">BI21-BI30</f>
        <v>5464</v>
      </c>
      <c r="BJ31" s="1">
        <f t="shared" si="112"/>
        <v>6134</v>
      </c>
      <c r="BK31" s="1">
        <f t="shared" ref="BK31" si="113">BK21-BK30</f>
        <v>6728</v>
      </c>
      <c r="BS31" s="1">
        <f t="shared" si="28"/>
        <v>13706</v>
      </c>
      <c r="BT31" s="1">
        <f t="shared" si="29"/>
        <v>14684</v>
      </c>
      <c r="BU31" s="1">
        <f t="shared" si="30"/>
        <v>14759</v>
      </c>
      <c r="BV31" s="1">
        <f t="shared" si="31"/>
        <v>13871</v>
      </c>
      <c r="BW31" s="1">
        <f t="shared" si="32"/>
        <v>12604</v>
      </c>
      <c r="BX31" s="1">
        <f t="shared" si="33"/>
        <v>12913</v>
      </c>
      <c r="BY31" s="1">
        <f t="shared" si="34"/>
        <v>13264</v>
      </c>
      <c r="BZ31" s="1">
        <f t="shared" si="35"/>
        <v>13535</v>
      </c>
      <c r="CA31" s="1">
        <f t="shared" si="36"/>
        <v>13897</v>
      </c>
      <c r="CB31" s="1">
        <f t="shared" si="37"/>
        <v>15214</v>
      </c>
      <c r="CC31" s="1">
        <f t="shared" si="38"/>
        <v>10927</v>
      </c>
      <c r="CD31" s="1">
        <f t="shared" si="39"/>
        <v>13094</v>
      </c>
      <c r="CE31" s="1">
        <f t="shared" si="40"/>
        <v>15353</v>
      </c>
      <c r="CF31" s="1">
        <f t="shared" si="41"/>
        <v>17678</v>
      </c>
      <c r="CG31" s="1">
        <f t="shared" si="42"/>
        <v>20606</v>
      </c>
      <c r="CH31" s="64">
        <f>CH21-CH30</f>
        <v>24483.383630125383</v>
      </c>
      <c r="CI31" s="64">
        <f t="shared" ref="CI31:CQ31" si="114">CI21-CI30</f>
        <v>33750.377864872105</v>
      </c>
      <c r="CJ31" s="64">
        <f t="shared" si="114"/>
        <v>39490.433309455184</v>
      </c>
      <c r="CK31" s="64">
        <f t="shared" si="114"/>
        <v>55864.229371128982</v>
      </c>
      <c r="CL31" s="64">
        <f t="shared" si="114"/>
        <v>71965.169238963252</v>
      </c>
      <c r="CM31" s="64">
        <f t="shared" si="114"/>
        <v>87451.779221524397</v>
      </c>
      <c r="CN31" s="64">
        <f t="shared" si="114"/>
        <v>101636.03328403347</v>
      </c>
      <c r="CO31" s="64">
        <f t="shared" si="114"/>
        <v>113138.13962967868</v>
      </c>
      <c r="CP31" s="64">
        <f t="shared" si="114"/>
        <v>123049.77530573279</v>
      </c>
      <c r="CQ31" s="64">
        <f t="shared" si="114"/>
        <v>131506.80603262931</v>
      </c>
    </row>
    <row r="32" spans="2:147">
      <c r="B32" s="1" t="s">
        <v>224</v>
      </c>
      <c r="C32" s="61">
        <v>0</v>
      </c>
      <c r="D32" s="61">
        <v>0</v>
      </c>
      <c r="E32" s="61">
        <v>0</v>
      </c>
      <c r="F32" s="61">
        <v>0</v>
      </c>
      <c r="G32" s="61">
        <v>0</v>
      </c>
      <c r="H32" s="61">
        <v>0</v>
      </c>
      <c r="I32" s="61">
        <v>0</v>
      </c>
      <c r="J32" s="61">
        <v>0</v>
      </c>
      <c r="K32" s="61">
        <v>0</v>
      </c>
      <c r="L32" s="61">
        <v>0</v>
      </c>
      <c r="M32" s="61">
        <v>0</v>
      </c>
      <c r="N32" s="61">
        <v>0</v>
      </c>
      <c r="O32" s="61">
        <v>0</v>
      </c>
      <c r="P32" s="61">
        <v>0</v>
      </c>
      <c r="Q32" s="61">
        <v>0</v>
      </c>
      <c r="R32" s="61">
        <v>0</v>
      </c>
      <c r="S32" s="61">
        <v>0</v>
      </c>
      <c r="T32" s="61">
        <v>0</v>
      </c>
      <c r="U32" s="61">
        <v>0</v>
      </c>
      <c r="V32" s="61">
        <v>0</v>
      </c>
      <c r="W32" s="61">
        <v>0</v>
      </c>
      <c r="X32" s="61">
        <v>0</v>
      </c>
      <c r="Y32" s="61">
        <v>0</v>
      </c>
      <c r="Z32" s="61">
        <v>0</v>
      </c>
      <c r="AA32" s="61">
        <v>0</v>
      </c>
      <c r="AB32" s="61">
        <v>0</v>
      </c>
      <c r="AC32" s="61">
        <v>0</v>
      </c>
      <c r="AD32" s="61">
        <v>0</v>
      </c>
      <c r="AE32" s="61">
        <v>0</v>
      </c>
      <c r="AF32" s="61">
        <v>0</v>
      </c>
      <c r="AG32" s="61">
        <v>0</v>
      </c>
      <c r="AH32" s="61">
        <v>0</v>
      </c>
      <c r="AI32" s="61">
        <v>0</v>
      </c>
      <c r="AJ32" s="61">
        <v>0</v>
      </c>
      <c r="AK32" s="61">
        <v>0</v>
      </c>
      <c r="AL32" s="61">
        <v>0</v>
      </c>
      <c r="AM32" s="1">
        <v>-614</v>
      </c>
      <c r="AN32" s="1">
        <v>-600</v>
      </c>
      <c r="AO32" s="1">
        <v>-585</v>
      </c>
      <c r="AP32" s="1">
        <f>-2496-SUM(AM32:AO32)</f>
        <v>-697</v>
      </c>
      <c r="AQ32" s="1">
        <v>-705</v>
      </c>
      <c r="AR32" s="1">
        <v>-679</v>
      </c>
      <c r="AS32" s="1">
        <v>-667</v>
      </c>
      <c r="AT32" s="1">
        <f>-2755-SUM(AQ32:AS32)</f>
        <v>-704</v>
      </c>
      <c r="AU32" s="1">
        <v>-787</v>
      </c>
      <c r="AV32" s="1">
        <v>-856</v>
      </c>
      <c r="AW32" s="1">
        <v>-908</v>
      </c>
      <c r="AX32" s="1">
        <f>-3505-SUM(AU32:AW32)</f>
        <v>-954</v>
      </c>
      <c r="AY32" s="1">
        <v>-872</v>
      </c>
      <c r="AZ32" s="1">
        <v>-888</v>
      </c>
      <c r="BA32" s="1">
        <v>-876</v>
      </c>
      <c r="BB32" s="1">
        <f>-3514-SUM(AY32:BA32)</f>
        <v>-878</v>
      </c>
      <c r="BC32" s="1">
        <v>-842</v>
      </c>
      <c r="BD32" s="1">
        <v>-866</v>
      </c>
      <c r="BE32" s="1">
        <v>-892</v>
      </c>
      <c r="BF32" s="1">
        <f>-3578-SUM(BC32:BE32)</f>
        <v>-978</v>
      </c>
      <c r="BG32" s="1">
        <v>-923</v>
      </c>
      <c r="BH32" s="1">
        <v>-1057</v>
      </c>
      <c r="BI32" s="1">
        <v>-1180</v>
      </c>
      <c r="BJ32" s="1">
        <f>-4599-SUM(BG32:BI32)</f>
        <v>-1439</v>
      </c>
      <c r="BK32" s="1">
        <v>-1428</v>
      </c>
      <c r="BS32" s="61">
        <f t="shared" si="28"/>
        <v>0</v>
      </c>
      <c r="BT32" s="61">
        <f t="shared" si="29"/>
        <v>0</v>
      </c>
      <c r="BU32" s="61">
        <f t="shared" si="30"/>
        <v>0</v>
      </c>
      <c r="BV32" s="61">
        <f t="shared" si="31"/>
        <v>0</v>
      </c>
      <c r="BW32" s="61">
        <f t="shared" si="32"/>
        <v>0</v>
      </c>
      <c r="BX32" s="61">
        <f t="shared" si="33"/>
        <v>0</v>
      </c>
      <c r="BY32" s="61">
        <f t="shared" si="34"/>
        <v>0</v>
      </c>
      <c r="BZ32" s="61">
        <f t="shared" si="35"/>
        <v>0</v>
      </c>
      <c r="CA32" s="61">
        <f t="shared" si="36"/>
        <v>0</v>
      </c>
      <c r="CB32" s="1">
        <f t="shared" si="37"/>
        <v>-2496</v>
      </c>
      <c r="CC32" s="1">
        <f t="shared" si="38"/>
        <v>-2755</v>
      </c>
      <c r="CD32" s="1">
        <f t="shared" si="39"/>
        <v>-3505</v>
      </c>
      <c r="CE32" s="1">
        <f t="shared" si="40"/>
        <v>-3514</v>
      </c>
      <c r="CF32" s="1">
        <f t="shared" si="41"/>
        <v>-3578</v>
      </c>
      <c r="CG32" s="1">
        <f t="shared" si="42"/>
        <v>-4599</v>
      </c>
      <c r="CH32" s="64">
        <f>CG70*-$CV$71</f>
        <v>-8869.7950000000001</v>
      </c>
      <c r="CI32" s="64">
        <f t="shared" ref="CI32:CQ32" si="115">CH70*-$CV$71</f>
        <v>-8226.7348624999995</v>
      </c>
      <c r="CJ32" s="64">
        <f t="shared" si="115"/>
        <v>-7630.2965849687498</v>
      </c>
      <c r="CK32" s="64">
        <f t="shared" si="115"/>
        <v>-7077.1000825585152</v>
      </c>
      <c r="CL32" s="64">
        <f t="shared" si="115"/>
        <v>-6564.0103265730231</v>
      </c>
      <c r="CM32" s="64">
        <f t="shared" si="115"/>
        <v>-6088.1195778964784</v>
      </c>
      <c r="CN32" s="64">
        <f t="shared" si="115"/>
        <v>-5646.7309084989838</v>
      </c>
      <c r="CO32" s="64">
        <f t="shared" si="115"/>
        <v>-5237.3429176328073</v>
      </c>
      <c r="CP32" s="64">
        <f t="shared" si="115"/>
        <v>-4857.6355561044293</v>
      </c>
      <c r="CQ32" s="64">
        <f t="shared" si="115"/>
        <v>-4505.4569782868575</v>
      </c>
    </row>
    <row r="33" spans="2:147">
      <c r="B33" s="1" t="s">
        <v>225</v>
      </c>
      <c r="C33" s="1">
        <v>-212</v>
      </c>
      <c r="D33" s="1">
        <v>-151</v>
      </c>
      <c r="E33" s="1">
        <v>-169</v>
      </c>
      <c r="F33" s="1">
        <v>-212</v>
      </c>
      <c r="G33" s="1">
        <v>-177</v>
      </c>
      <c r="H33" s="1">
        <v>-191</v>
      </c>
      <c r="I33" s="1">
        <v>-244</v>
      </c>
      <c r="J33" s="1">
        <v>-174</v>
      </c>
      <c r="K33" s="1">
        <v>-210</v>
      </c>
      <c r="L33" s="1">
        <v>-207</v>
      </c>
      <c r="M33" s="1">
        <v>-318</v>
      </c>
      <c r="N33" s="1">
        <v>-320</v>
      </c>
      <c r="O33" s="1">
        <v>-245</v>
      </c>
      <c r="P33" s="1">
        <v>-273</v>
      </c>
      <c r="Q33" s="1">
        <v>-233</v>
      </c>
      <c r="R33" s="1">
        <v>-286</v>
      </c>
      <c r="S33" s="1">
        <v>-344</v>
      </c>
      <c r="T33" s="1">
        <v>-287</v>
      </c>
      <c r="U33" s="1">
        <v>-295</v>
      </c>
      <c r="V33" s="1">
        <v>-236</v>
      </c>
      <c r="W33" s="1">
        <v>-268</v>
      </c>
      <c r="X33" s="1">
        <v>-352</v>
      </c>
      <c r="Y33" s="1">
        <v>-261</v>
      </c>
      <c r="Z33" s="1">
        <v>-352</v>
      </c>
      <c r="AA33" s="1">
        <v>-249</v>
      </c>
      <c r="AB33" s="1">
        <v>-213</v>
      </c>
      <c r="AC33" s="1">
        <v>-124</v>
      </c>
      <c r="AD33" s="1">
        <v>-254</v>
      </c>
      <c r="AE33" s="1">
        <v>-238</v>
      </c>
      <c r="AF33" s="1">
        <v>-327</v>
      </c>
      <c r="AG33" s="1">
        <v>-311</v>
      </c>
      <c r="AH33" s="1">
        <v>-391</v>
      </c>
      <c r="AI33" s="1">
        <v>-395</v>
      </c>
      <c r="AJ33" s="1">
        <v>-373</v>
      </c>
      <c r="AK33" s="1">
        <v>-452</v>
      </c>
      <c r="AL33" s="1">
        <v>-613</v>
      </c>
      <c r="AM33" s="1">
        <v>-2</v>
      </c>
      <c r="AN33" s="1">
        <v>-11</v>
      </c>
      <c r="AO33" s="1">
        <v>-17</v>
      </c>
      <c r="AP33" s="1">
        <f>282-SUM(AM33:AO33)</f>
        <v>312</v>
      </c>
      <c r="AQ33" s="1">
        <v>-41</v>
      </c>
      <c r="AR33" s="1">
        <v>7</v>
      </c>
      <c r="AS33" s="1">
        <v>-315</v>
      </c>
      <c r="AT33" s="1">
        <f>-522-SUM(AQ33:AS33)</f>
        <v>-173</v>
      </c>
      <c r="AU33" s="1">
        <v>-180</v>
      </c>
      <c r="AV33" s="1">
        <v>-71</v>
      </c>
      <c r="AW33" s="1">
        <v>-134</v>
      </c>
      <c r="AX33" s="1">
        <f>-462-SUM(AU33:AW33)</f>
        <v>-77</v>
      </c>
      <c r="AY33" s="1">
        <v>-49</v>
      </c>
      <c r="AZ33" s="1">
        <v>-14</v>
      </c>
      <c r="BA33" s="1">
        <v>-9</v>
      </c>
      <c r="BB33" s="1">
        <f>-98-SUM(AY33:BA33)</f>
        <v>-26</v>
      </c>
      <c r="BC33" s="1">
        <v>20</v>
      </c>
      <c r="BD33" s="1">
        <v>36</v>
      </c>
      <c r="BE33" s="1">
        <v>-18</v>
      </c>
      <c r="BF33" s="1">
        <f>60-SUM(BC33:BE33)</f>
        <v>22</v>
      </c>
      <c r="BG33" s="1">
        <v>73</v>
      </c>
      <c r="BH33" s="1">
        <v>2668</v>
      </c>
      <c r="BI33" s="1">
        <v>132</v>
      </c>
      <c r="BJ33" s="1">
        <f>3547-SUM(BG33:BI33)</f>
        <v>674</v>
      </c>
      <c r="BK33" s="1">
        <v>307</v>
      </c>
      <c r="BS33" s="1">
        <f t="shared" si="28"/>
        <v>-744</v>
      </c>
      <c r="BT33" s="1">
        <f t="shared" si="29"/>
        <v>-786</v>
      </c>
      <c r="BU33" s="1">
        <f t="shared" si="30"/>
        <v>-1055</v>
      </c>
      <c r="BV33" s="1">
        <f t="shared" si="31"/>
        <v>-1037</v>
      </c>
      <c r="BW33" s="1">
        <f t="shared" si="32"/>
        <v>-1162</v>
      </c>
      <c r="BX33" s="1">
        <f t="shared" si="33"/>
        <v>-1233</v>
      </c>
      <c r="BY33" s="1">
        <f t="shared" si="34"/>
        <v>-840</v>
      </c>
      <c r="BZ33" s="1">
        <f t="shared" si="35"/>
        <v>-1267</v>
      </c>
      <c r="CA33" s="1">
        <f t="shared" si="36"/>
        <v>-1833</v>
      </c>
      <c r="CB33" s="1">
        <f t="shared" si="37"/>
        <v>282</v>
      </c>
      <c r="CC33" s="1">
        <f t="shared" si="38"/>
        <v>-522</v>
      </c>
      <c r="CD33" s="1">
        <f t="shared" si="39"/>
        <v>-462</v>
      </c>
      <c r="CE33" s="1">
        <f t="shared" si="40"/>
        <v>-98</v>
      </c>
      <c r="CF33" s="1">
        <f t="shared" si="41"/>
        <v>60</v>
      </c>
      <c r="CG33" s="1">
        <f t="shared" si="42"/>
        <v>3547</v>
      </c>
      <c r="CH33" s="64">
        <f>CG54*$DA$54</f>
        <v>938.67</v>
      </c>
      <c r="CI33" s="64">
        <f t="shared" ref="CI33:CQ33" si="116">CH54*$DA$54</f>
        <v>1372.5890598541766</v>
      </c>
      <c r="CJ33" s="64">
        <f t="shared" si="116"/>
        <v>2077.676383031931</v>
      </c>
      <c r="CK33" s="64">
        <f t="shared" si="116"/>
        <v>2967.3594339189613</v>
      </c>
      <c r="CL33" s="64">
        <f t="shared" si="116"/>
        <v>4324.1083581306466</v>
      </c>
      <c r="CM33" s="64">
        <f t="shared" si="116"/>
        <v>6151.9629789520495</v>
      </c>
      <c r="CN33" s="64">
        <f t="shared" si="116"/>
        <v>8446.193484861873</v>
      </c>
      <c r="CO33" s="64">
        <f t="shared" si="116"/>
        <v>11183.980103098438</v>
      </c>
      <c r="CP33" s="64">
        <f t="shared" si="116"/>
        <v>14305.799037496061</v>
      </c>
      <c r="CQ33" s="64">
        <f t="shared" si="116"/>
        <v>17779.24530944389</v>
      </c>
    </row>
    <row r="34" spans="2:147">
      <c r="B34" s="1" t="s">
        <v>226</v>
      </c>
      <c r="C34" s="1">
        <f t="shared" ref="C34:AL34" si="117">C31+SUM(C32:C33)</f>
        <v>2471</v>
      </c>
      <c r="D34" s="1">
        <f t="shared" si="117"/>
        <v>2960</v>
      </c>
      <c r="E34" s="1">
        <f t="shared" si="117"/>
        <v>3148</v>
      </c>
      <c r="F34" s="1">
        <f t="shared" si="117"/>
        <v>4383</v>
      </c>
      <c r="G34" s="1">
        <f t="shared" si="117"/>
        <v>2702</v>
      </c>
      <c r="H34" s="1">
        <f t="shared" si="117"/>
        <v>3280</v>
      </c>
      <c r="I34" s="1">
        <f t="shared" si="117"/>
        <v>3090</v>
      </c>
      <c r="J34" s="1">
        <f t="shared" si="117"/>
        <v>4826</v>
      </c>
      <c r="K34" s="1">
        <f t="shared" si="117"/>
        <v>2663</v>
      </c>
      <c r="L34" s="1">
        <f t="shared" si="117"/>
        <v>3203</v>
      </c>
      <c r="M34" s="1">
        <f t="shared" si="117"/>
        <v>3249</v>
      </c>
      <c r="N34" s="1">
        <f t="shared" si="117"/>
        <v>4589</v>
      </c>
      <c r="O34" s="1">
        <f t="shared" si="117"/>
        <v>2718</v>
      </c>
      <c r="P34" s="1">
        <f t="shared" si="117"/>
        <v>3269</v>
      </c>
      <c r="Q34" s="1">
        <f t="shared" si="117"/>
        <v>3150</v>
      </c>
      <c r="R34" s="1">
        <f t="shared" si="117"/>
        <v>3697</v>
      </c>
      <c r="S34" s="1">
        <f t="shared" si="117"/>
        <v>2310</v>
      </c>
      <c r="T34" s="1">
        <f t="shared" si="117"/>
        <v>2668</v>
      </c>
      <c r="U34" s="1">
        <f t="shared" si="117"/>
        <v>2732</v>
      </c>
      <c r="V34" s="1">
        <f t="shared" si="117"/>
        <v>3732</v>
      </c>
      <c r="W34" s="1">
        <f t="shared" si="117"/>
        <v>2373</v>
      </c>
      <c r="X34" s="1">
        <f t="shared" si="117"/>
        <v>2685</v>
      </c>
      <c r="Y34" s="1">
        <f t="shared" si="117"/>
        <v>2698</v>
      </c>
      <c r="Z34" s="1">
        <f t="shared" si="117"/>
        <v>3924</v>
      </c>
      <c r="AA34" s="1">
        <f t="shared" si="117"/>
        <v>2500</v>
      </c>
      <c r="AB34" s="1">
        <f t="shared" si="117"/>
        <v>2826</v>
      </c>
      <c r="AC34" s="1">
        <f t="shared" si="117"/>
        <v>3191</v>
      </c>
      <c r="AD34" s="1">
        <f t="shared" si="117"/>
        <v>3907</v>
      </c>
      <c r="AE34" s="1">
        <f t="shared" si="117"/>
        <v>2540</v>
      </c>
      <c r="AF34" s="1">
        <f t="shared" si="117"/>
        <v>2774</v>
      </c>
      <c r="AG34" s="1">
        <f t="shared" si="117"/>
        <v>3088</v>
      </c>
      <c r="AH34" s="1">
        <f t="shared" si="117"/>
        <v>3866</v>
      </c>
      <c r="AI34" s="1">
        <f t="shared" si="117"/>
        <v>2482</v>
      </c>
      <c r="AJ34" s="1">
        <f t="shared" si="117"/>
        <v>2810</v>
      </c>
      <c r="AK34" s="1">
        <f t="shared" si="117"/>
        <v>3076</v>
      </c>
      <c r="AL34" s="1">
        <f t="shared" si="117"/>
        <v>3696</v>
      </c>
      <c r="AM34" s="1">
        <f>AM31+SUM(AM32:AM33)</f>
        <v>2595</v>
      </c>
      <c r="AN34" s="1">
        <f t="shared" ref="AN34:BJ34" si="118">AN31+SUM(AN32:AN33)</f>
        <v>2972</v>
      </c>
      <c r="AO34" s="1">
        <f t="shared" si="118"/>
        <v>3277</v>
      </c>
      <c r="AP34" s="1">
        <f t="shared" si="118"/>
        <v>4156</v>
      </c>
      <c r="AQ34" s="1">
        <f t="shared" si="118"/>
        <v>2681</v>
      </c>
      <c r="AR34" s="1">
        <f t="shared" si="118"/>
        <v>-1496</v>
      </c>
      <c r="AS34" s="1">
        <f t="shared" si="118"/>
        <v>2840</v>
      </c>
      <c r="AT34" s="1">
        <f t="shared" si="118"/>
        <v>3625</v>
      </c>
      <c r="AU34" s="1">
        <f t="shared" si="118"/>
        <v>1656</v>
      </c>
      <c r="AV34" s="1">
        <f t="shared" si="118"/>
        <v>2144</v>
      </c>
      <c r="AW34" s="1">
        <f t="shared" si="118"/>
        <v>2218</v>
      </c>
      <c r="AX34" s="1">
        <f t="shared" si="118"/>
        <v>3109</v>
      </c>
      <c r="AY34" s="1">
        <f t="shared" si="118"/>
        <v>2375</v>
      </c>
      <c r="AZ34" s="1">
        <f t="shared" si="118"/>
        <v>2720</v>
      </c>
      <c r="BA34" s="1">
        <f t="shared" si="118"/>
        <v>2865</v>
      </c>
      <c r="BB34" s="1">
        <f t="shared" si="118"/>
        <v>3781</v>
      </c>
      <c r="BC34" s="1">
        <f t="shared" si="118"/>
        <v>3169</v>
      </c>
      <c r="BD34" s="1">
        <f t="shared" si="118"/>
        <v>3390</v>
      </c>
      <c r="BE34" s="1">
        <f t="shared" si="118"/>
        <v>3448</v>
      </c>
      <c r="BF34" s="1">
        <f t="shared" si="118"/>
        <v>4153</v>
      </c>
      <c r="BG34" s="1">
        <f t="shared" si="118"/>
        <v>3427</v>
      </c>
      <c r="BH34" s="1">
        <f t="shared" si="118"/>
        <v>6342</v>
      </c>
      <c r="BI34" s="1">
        <f t="shared" si="118"/>
        <v>4416</v>
      </c>
      <c r="BJ34" s="1">
        <f t="shared" si="118"/>
        <v>5369</v>
      </c>
      <c r="BK34" s="1">
        <f t="shared" ref="BK34" si="119">BK31+SUM(BK32:BK33)</f>
        <v>5607</v>
      </c>
      <c r="BS34" s="1">
        <f t="shared" si="28"/>
        <v>12962</v>
      </c>
      <c r="BT34" s="1">
        <f t="shared" si="29"/>
        <v>13898</v>
      </c>
      <c r="BU34" s="1">
        <f t="shared" si="30"/>
        <v>13704</v>
      </c>
      <c r="BV34" s="1">
        <f t="shared" si="31"/>
        <v>12834</v>
      </c>
      <c r="BW34" s="1">
        <f t="shared" si="32"/>
        <v>11442</v>
      </c>
      <c r="BX34" s="1">
        <f t="shared" si="33"/>
        <v>11680</v>
      </c>
      <c r="BY34" s="1">
        <f t="shared" si="34"/>
        <v>12424</v>
      </c>
      <c r="BZ34" s="1">
        <f t="shared" si="35"/>
        <v>12268</v>
      </c>
      <c r="CA34" s="1">
        <f t="shared" si="36"/>
        <v>12064</v>
      </c>
      <c r="CB34" s="1">
        <f t="shared" si="37"/>
        <v>13000</v>
      </c>
      <c r="CC34" s="1">
        <f t="shared" si="38"/>
        <v>7650</v>
      </c>
      <c r="CD34" s="1">
        <f t="shared" si="39"/>
        <v>9127</v>
      </c>
      <c r="CE34" s="1">
        <f t="shared" si="40"/>
        <v>11741</v>
      </c>
      <c r="CF34" s="1">
        <f t="shared" si="41"/>
        <v>14160</v>
      </c>
      <c r="CG34" s="1">
        <f t="shared" si="42"/>
        <v>19554</v>
      </c>
      <c r="CH34" s="64">
        <f>CH31+SUM(CH32:CH33)</f>
        <v>16552.258630125383</v>
      </c>
      <c r="CI34" s="64">
        <f t="shared" ref="CI34:CQ34" si="120">CI31+SUM(CI32:CI33)</f>
        <v>26896.232062226281</v>
      </c>
      <c r="CJ34" s="64">
        <f t="shared" si="120"/>
        <v>33937.813107518363</v>
      </c>
      <c r="CK34" s="64">
        <f t="shared" si="120"/>
        <v>51754.488722489426</v>
      </c>
      <c r="CL34" s="64">
        <f t="shared" si="120"/>
        <v>69725.267270520882</v>
      </c>
      <c r="CM34" s="64">
        <f t="shared" si="120"/>
        <v>87515.622622579962</v>
      </c>
      <c r="CN34" s="64">
        <f t="shared" si="120"/>
        <v>104435.49586039636</v>
      </c>
      <c r="CO34" s="64">
        <f t="shared" si="120"/>
        <v>119084.77681514432</v>
      </c>
      <c r="CP34" s="64">
        <f t="shared" si="120"/>
        <v>132497.93878712441</v>
      </c>
      <c r="CQ34" s="64">
        <f t="shared" si="120"/>
        <v>144780.59436378634</v>
      </c>
    </row>
    <row r="35" spans="2:147">
      <c r="B35" s="1" t="s">
        <v>227</v>
      </c>
      <c r="C35" s="1">
        <v>631</v>
      </c>
      <c r="D35" s="1">
        <v>768</v>
      </c>
      <c r="E35" s="1">
        <v>650</v>
      </c>
      <c r="F35" s="1">
        <v>932</v>
      </c>
      <c r="G35" s="1">
        <v>668</v>
      </c>
      <c r="H35" s="1">
        <v>699</v>
      </c>
      <c r="I35" s="1">
        <v>586</v>
      </c>
      <c r="J35" s="1">
        <v>1020</v>
      </c>
      <c r="K35" s="1">
        <v>472</v>
      </c>
      <c r="L35" s="1">
        <v>650</v>
      </c>
      <c r="M35" s="1">
        <v>684</v>
      </c>
      <c r="N35" s="1">
        <v>943</v>
      </c>
      <c r="O35" s="1">
        <v>534</v>
      </c>
      <c r="P35" s="1">
        <v>767</v>
      </c>
      <c r="Q35" s="1">
        <v>655</v>
      </c>
      <c r="R35" s="1">
        <v>940</v>
      </c>
      <c r="S35" s="1">
        <v>563</v>
      </c>
      <c r="T35" s="1">
        <v>471</v>
      </c>
      <c r="U35" s="1">
        <v>590</v>
      </c>
      <c r="V35" s="1">
        <v>917</v>
      </c>
      <c r="W35" s="1">
        <v>541</v>
      </c>
      <c r="X35" s="1">
        <v>653</v>
      </c>
      <c r="Y35" s="1">
        <v>459</v>
      </c>
      <c r="Z35" s="1">
        <v>575</v>
      </c>
      <c r="AA35" s="1">
        <v>356</v>
      </c>
      <c r="AB35" s="1">
        <v>612</v>
      </c>
      <c r="AC35" s="1">
        <v>7238</v>
      </c>
      <c r="AD35" s="1">
        <v>631</v>
      </c>
      <c r="AE35" s="1">
        <v>275</v>
      </c>
      <c r="AF35" s="1">
        <v>441</v>
      </c>
      <c r="AG35" s="1">
        <v>343</v>
      </c>
      <c r="AH35" s="1">
        <v>126</v>
      </c>
      <c r="AI35" s="1">
        <v>345</v>
      </c>
      <c r="AJ35" s="1">
        <v>499</v>
      </c>
      <c r="AK35" s="1">
        <v>505</v>
      </c>
      <c r="AL35" s="1">
        <v>579</v>
      </c>
      <c r="AM35" s="1">
        <v>344</v>
      </c>
      <c r="AN35" s="1">
        <v>530</v>
      </c>
      <c r="AO35" s="1">
        <v>1745</v>
      </c>
      <c r="AP35" s="1">
        <f>747-SUM(AM35:AO35)</f>
        <v>-1872</v>
      </c>
      <c r="AQ35" s="1">
        <v>224</v>
      </c>
      <c r="AR35" s="1">
        <v>-249</v>
      </c>
      <c r="AS35" s="1">
        <v>-521</v>
      </c>
      <c r="AT35" s="1">
        <f>932-SUM(AQ35:AS35)</f>
        <v>1478</v>
      </c>
      <c r="AU35" s="1">
        <v>108</v>
      </c>
      <c r="AV35" s="1">
        <v>403</v>
      </c>
      <c r="AW35" s="1">
        <v>322</v>
      </c>
      <c r="AX35" s="1">
        <f>623-SUM(AU35:AW35)</f>
        <v>-210</v>
      </c>
      <c r="AY35" s="1">
        <v>45</v>
      </c>
      <c r="AZ35" s="1">
        <v>217</v>
      </c>
      <c r="BA35" s="1">
        <v>464</v>
      </c>
      <c r="BB35" s="1">
        <f>1274-SUM(AY35:BA35)</f>
        <v>548</v>
      </c>
      <c r="BC35" s="1">
        <v>240</v>
      </c>
      <c r="BD35" s="1">
        <v>239</v>
      </c>
      <c r="BE35" s="1">
        <v>512</v>
      </c>
      <c r="BF35" s="1">
        <f>1717-SUM(BC35:BE35)</f>
        <v>726</v>
      </c>
      <c r="BG35" s="1">
        <v>500</v>
      </c>
      <c r="BH35" s="1">
        <v>207</v>
      </c>
      <c r="BI35" s="1">
        <v>695</v>
      </c>
      <c r="BJ35" s="1">
        <f>2467-SUM(BG35:BI35)</f>
        <v>1065</v>
      </c>
      <c r="BK35" s="1">
        <v>847</v>
      </c>
      <c r="BS35" s="1">
        <f t="shared" si="28"/>
        <v>2981</v>
      </c>
      <c r="BT35" s="1">
        <f t="shared" si="29"/>
        <v>2973</v>
      </c>
      <c r="BU35" s="1">
        <f t="shared" si="30"/>
        <v>2749</v>
      </c>
      <c r="BV35" s="1">
        <f t="shared" si="31"/>
        <v>2896</v>
      </c>
      <c r="BW35" s="1">
        <f t="shared" si="32"/>
        <v>2541</v>
      </c>
      <c r="BX35" s="1">
        <f t="shared" si="33"/>
        <v>2228</v>
      </c>
      <c r="BY35" s="1">
        <f t="shared" si="34"/>
        <v>8837</v>
      </c>
      <c r="BZ35" s="1">
        <f t="shared" si="35"/>
        <v>1185</v>
      </c>
      <c r="CA35" s="1">
        <f t="shared" si="36"/>
        <v>1928</v>
      </c>
      <c r="CB35" s="1">
        <f t="shared" si="37"/>
        <v>747</v>
      </c>
      <c r="CC35" s="1">
        <f t="shared" si="38"/>
        <v>932</v>
      </c>
      <c r="CD35" s="1">
        <f t="shared" si="39"/>
        <v>623</v>
      </c>
      <c r="CE35" s="1">
        <f t="shared" si="40"/>
        <v>1274</v>
      </c>
      <c r="CF35" s="1">
        <f t="shared" si="41"/>
        <v>1717</v>
      </c>
      <c r="CG35" s="1">
        <f t="shared" si="42"/>
        <v>2467</v>
      </c>
      <c r="CH35" s="64">
        <f>CH34*CH51</f>
        <v>2088.2899683194905</v>
      </c>
      <c r="CI35" s="64">
        <f t="shared" ref="CI35:CQ35" si="121">CI34*CI51</f>
        <v>3393.3212896344603</v>
      </c>
      <c r="CJ35" s="64">
        <f t="shared" si="121"/>
        <v>4281.7114112840236</v>
      </c>
      <c r="CK35" s="64">
        <f t="shared" si="121"/>
        <v>6529.5245820998989</v>
      </c>
      <c r="CL35" s="64">
        <f t="shared" si="121"/>
        <v>8796.7799098074574</v>
      </c>
      <c r="CM35" s="64">
        <f t="shared" si="121"/>
        <v>11041.272425585801</v>
      </c>
      <c r="CN35" s="64">
        <f t="shared" si="121"/>
        <v>13175.941919177551</v>
      </c>
      <c r="CO35" s="64">
        <f t="shared" si="121"/>
        <v>15024.14566855687</v>
      </c>
      <c r="CP35" s="64">
        <f t="shared" si="121"/>
        <v>16716.39638886345</v>
      </c>
      <c r="CQ35" s="64">
        <f t="shared" si="121"/>
        <v>18266.018527946246</v>
      </c>
    </row>
    <row r="36" spans="2:147">
      <c r="B36" s="1" t="s">
        <v>116</v>
      </c>
      <c r="C36" s="1">
        <f t="shared" ref="C36:AL36" si="122">C34-C35</f>
        <v>1840</v>
      </c>
      <c r="D36" s="1">
        <f t="shared" si="122"/>
        <v>2192</v>
      </c>
      <c r="E36" s="1">
        <f t="shared" si="122"/>
        <v>2498</v>
      </c>
      <c r="F36" s="1">
        <f t="shared" si="122"/>
        <v>3451</v>
      </c>
      <c r="G36" s="1">
        <f t="shared" si="122"/>
        <v>2034</v>
      </c>
      <c r="H36" s="1">
        <f t="shared" si="122"/>
        <v>2581</v>
      </c>
      <c r="I36" s="1">
        <f t="shared" si="122"/>
        <v>2504</v>
      </c>
      <c r="J36" s="1">
        <f t="shared" si="122"/>
        <v>3806</v>
      </c>
      <c r="K36" s="1">
        <f t="shared" si="122"/>
        <v>2191</v>
      </c>
      <c r="L36" s="1">
        <f t="shared" si="122"/>
        <v>2553</v>
      </c>
      <c r="M36" s="1">
        <f t="shared" si="122"/>
        <v>2565</v>
      </c>
      <c r="N36" s="1">
        <f t="shared" si="122"/>
        <v>3646</v>
      </c>
      <c r="O36" s="1">
        <f t="shared" si="122"/>
        <v>2184</v>
      </c>
      <c r="P36" s="1">
        <f t="shared" si="122"/>
        <v>2502</v>
      </c>
      <c r="Q36" s="1">
        <f t="shared" si="122"/>
        <v>2495</v>
      </c>
      <c r="R36" s="1">
        <f t="shared" si="122"/>
        <v>2757</v>
      </c>
      <c r="S36" s="1">
        <f t="shared" si="122"/>
        <v>1747</v>
      </c>
      <c r="T36" s="1">
        <f t="shared" si="122"/>
        <v>2197</v>
      </c>
      <c r="U36" s="1">
        <f t="shared" si="122"/>
        <v>2142</v>
      </c>
      <c r="V36" s="1">
        <f t="shared" si="122"/>
        <v>2815</v>
      </c>
      <c r="W36" s="1">
        <f t="shared" si="122"/>
        <v>1832</v>
      </c>
      <c r="X36" s="1">
        <f t="shared" si="122"/>
        <v>2032</v>
      </c>
      <c r="Y36" s="1">
        <f t="shared" si="122"/>
        <v>2239</v>
      </c>
      <c r="Z36" s="1">
        <f t="shared" si="122"/>
        <v>3349</v>
      </c>
      <c r="AA36" s="1">
        <f t="shared" si="122"/>
        <v>2144</v>
      </c>
      <c r="AB36" s="1">
        <f t="shared" si="122"/>
        <v>2214</v>
      </c>
      <c r="AC36" s="1">
        <f t="shared" si="122"/>
        <v>-4047</v>
      </c>
      <c r="AD36" s="1">
        <f t="shared" si="122"/>
        <v>3276</v>
      </c>
      <c r="AE36" s="1">
        <f t="shared" si="122"/>
        <v>2265</v>
      </c>
      <c r="AF36" s="1">
        <f t="shared" si="122"/>
        <v>2333</v>
      </c>
      <c r="AG36" s="1">
        <f t="shared" si="122"/>
        <v>2745</v>
      </c>
      <c r="AH36" s="1">
        <f t="shared" si="122"/>
        <v>3740</v>
      </c>
      <c r="AI36" s="1">
        <f t="shared" si="122"/>
        <v>2137</v>
      </c>
      <c r="AJ36" s="1">
        <f t="shared" si="122"/>
        <v>2311</v>
      </c>
      <c r="AK36" s="1">
        <f t="shared" si="122"/>
        <v>2571</v>
      </c>
      <c r="AL36" s="1">
        <f t="shared" si="122"/>
        <v>3117</v>
      </c>
      <c r="AM36" s="1">
        <f>AM34-AM35</f>
        <v>2251</v>
      </c>
      <c r="AN36" s="1">
        <f t="shared" ref="AN36:BJ36" si="123">AN34-AN35</f>
        <v>2442</v>
      </c>
      <c r="AO36" s="1">
        <f t="shared" si="123"/>
        <v>1532</v>
      </c>
      <c r="AP36" s="1">
        <f t="shared" si="123"/>
        <v>6028</v>
      </c>
      <c r="AQ36" s="1">
        <f t="shared" si="123"/>
        <v>2457</v>
      </c>
      <c r="AR36" s="1">
        <f t="shared" si="123"/>
        <v>-1247</v>
      </c>
      <c r="AS36" s="1">
        <f t="shared" si="123"/>
        <v>3361</v>
      </c>
      <c r="AT36" s="1">
        <f t="shared" si="123"/>
        <v>2147</v>
      </c>
      <c r="AU36" s="1">
        <f t="shared" si="123"/>
        <v>1548</v>
      </c>
      <c r="AV36" s="1">
        <f t="shared" si="123"/>
        <v>1741</v>
      </c>
      <c r="AW36" s="1">
        <f t="shared" si="123"/>
        <v>1896</v>
      </c>
      <c r="AX36" s="1">
        <f t="shared" si="123"/>
        <v>3319</v>
      </c>
      <c r="AY36" s="1">
        <f t="shared" si="123"/>
        <v>2330</v>
      </c>
      <c r="AZ36" s="1">
        <f t="shared" si="123"/>
        <v>2503</v>
      </c>
      <c r="BA36" s="1">
        <f t="shared" si="123"/>
        <v>2401</v>
      </c>
      <c r="BB36" s="1">
        <f t="shared" si="123"/>
        <v>3233</v>
      </c>
      <c r="BC36" s="1">
        <f t="shared" si="123"/>
        <v>2929</v>
      </c>
      <c r="BD36" s="1">
        <f t="shared" si="123"/>
        <v>3151</v>
      </c>
      <c r="BE36" s="1">
        <f t="shared" si="123"/>
        <v>2936</v>
      </c>
      <c r="BF36" s="1">
        <f t="shared" si="123"/>
        <v>3427</v>
      </c>
      <c r="BG36" s="1">
        <f t="shared" si="123"/>
        <v>2927</v>
      </c>
      <c r="BH36" s="1">
        <f t="shared" si="123"/>
        <v>6135</v>
      </c>
      <c r="BI36" s="1">
        <f t="shared" si="123"/>
        <v>3721</v>
      </c>
      <c r="BJ36" s="1">
        <f t="shared" si="123"/>
        <v>4304</v>
      </c>
      <c r="BK36" s="1">
        <f t="shared" ref="BK36" si="124">BK34-BK35</f>
        <v>4760</v>
      </c>
      <c r="BS36" s="1">
        <f t="shared" si="28"/>
        <v>9981</v>
      </c>
      <c r="BT36" s="1">
        <f t="shared" si="29"/>
        <v>10925</v>
      </c>
      <c r="BU36" s="1">
        <f t="shared" si="30"/>
        <v>10955</v>
      </c>
      <c r="BV36" s="1">
        <f t="shared" si="31"/>
        <v>9938</v>
      </c>
      <c r="BW36" s="1">
        <f t="shared" si="32"/>
        <v>8901</v>
      </c>
      <c r="BX36" s="1">
        <f t="shared" si="33"/>
        <v>9452</v>
      </c>
      <c r="BY36" s="1">
        <f t="shared" si="34"/>
        <v>3587</v>
      </c>
      <c r="BZ36" s="1">
        <f t="shared" si="35"/>
        <v>11083</v>
      </c>
      <c r="CA36" s="1">
        <f t="shared" si="36"/>
        <v>10136</v>
      </c>
      <c r="CB36" s="1">
        <f t="shared" si="37"/>
        <v>12253</v>
      </c>
      <c r="CC36" s="1">
        <f t="shared" si="38"/>
        <v>6718</v>
      </c>
      <c r="CD36" s="1">
        <f t="shared" si="39"/>
        <v>8504</v>
      </c>
      <c r="CE36" s="1">
        <f t="shared" si="40"/>
        <v>10467</v>
      </c>
      <c r="CF36" s="1">
        <f t="shared" si="41"/>
        <v>12443</v>
      </c>
      <c r="CG36" s="1">
        <f t="shared" si="42"/>
        <v>17087</v>
      </c>
      <c r="CH36" s="64">
        <f>CH34-CH35</f>
        <v>14463.968661805893</v>
      </c>
      <c r="CI36" s="64">
        <f t="shared" ref="CI36:CQ36" si="125">CI34-CI35</f>
        <v>23502.910772591822</v>
      </c>
      <c r="CJ36" s="64">
        <f t="shared" si="125"/>
        <v>29656.101696234338</v>
      </c>
      <c r="CK36" s="64">
        <f t="shared" si="125"/>
        <v>45224.964140389529</v>
      </c>
      <c r="CL36" s="64">
        <f t="shared" si="125"/>
        <v>60928.487360713421</v>
      </c>
      <c r="CM36" s="64">
        <f t="shared" si="125"/>
        <v>76474.350196994157</v>
      </c>
      <c r="CN36" s="64">
        <f t="shared" si="125"/>
        <v>91259.553941218808</v>
      </c>
      <c r="CO36" s="64">
        <f t="shared" si="125"/>
        <v>104060.63114658745</v>
      </c>
      <c r="CP36" s="64">
        <f t="shared" si="125"/>
        <v>115781.54239826096</v>
      </c>
      <c r="CQ36" s="64">
        <f t="shared" si="125"/>
        <v>126514.57583584009</v>
      </c>
    </row>
    <row r="37" spans="2:147">
      <c r="B37" s="1" t="s">
        <v>228</v>
      </c>
      <c r="C37" s="61">
        <v>0</v>
      </c>
      <c r="D37" s="61">
        <v>0</v>
      </c>
      <c r="E37" s="61">
        <v>0</v>
      </c>
      <c r="F37" s="61">
        <v>0</v>
      </c>
      <c r="G37" s="61">
        <v>0</v>
      </c>
      <c r="H37" s="61">
        <v>0</v>
      </c>
      <c r="I37" s="61">
        <v>0</v>
      </c>
      <c r="J37" s="61">
        <v>0</v>
      </c>
      <c r="K37" s="61">
        <v>0</v>
      </c>
      <c r="L37" s="61">
        <v>0</v>
      </c>
      <c r="M37" s="61">
        <v>0</v>
      </c>
      <c r="N37" s="61">
        <v>0</v>
      </c>
      <c r="O37" s="61">
        <v>0</v>
      </c>
      <c r="P37" s="61">
        <v>0</v>
      </c>
      <c r="Q37" s="61">
        <v>0</v>
      </c>
      <c r="R37" s="61">
        <v>0</v>
      </c>
      <c r="S37" s="61">
        <v>0</v>
      </c>
      <c r="T37" s="61">
        <v>0</v>
      </c>
      <c r="U37" s="61">
        <v>0</v>
      </c>
      <c r="V37" s="61">
        <v>0</v>
      </c>
      <c r="W37" s="61">
        <v>0</v>
      </c>
      <c r="X37" s="61">
        <v>0</v>
      </c>
      <c r="Y37" s="61">
        <v>0</v>
      </c>
      <c r="Z37" s="61">
        <v>0</v>
      </c>
      <c r="AA37" s="61">
        <v>0</v>
      </c>
      <c r="AB37" s="61">
        <v>0</v>
      </c>
      <c r="AC37" s="61">
        <v>0</v>
      </c>
      <c r="AD37" s="61">
        <v>0</v>
      </c>
      <c r="AE37" s="61">
        <v>0</v>
      </c>
      <c r="AF37" s="61">
        <v>0</v>
      </c>
      <c r="AG37" s="61">
        <v>0</v>
      </c>
      <c r="AH37" s="61">
        <v>0</v>
      </c>
      <c r="AI37" s="61">
        <v>0</v>
      </c>
      <c r="AJ37" s="61">
        <v>0</v>
      </c>
      <c r="AK37" s="61">
        <v>0</v>
      </c>
      <c r="AL37" s="61">
        <v>0</v>
      </c>
      <c r="AM37" s="1">
        <v>0</v>
      </c>
      <c r="AN37" s="1">
        <v>0</v>
      </c>
      <c r="AO37" s="1">
        <v>0</v>
      </c>
      <c r="AP37" s="1">
        <f>0-SUM(AM37:AO37)</f>
        <v>0</v>
      </c>
      <c r="AQ37" s="1">
        <v>0</v>
      </c>
      <c r="AR37" s="1">
        <v>0</v>
      </c>
      <c r="AS37" s="1">
        <v>0</v>
      </c>
      <c r="AT37" s="1">
        <f>0-SUM(AQ37:AS37)</f>
        <v>0</v>
      </c>
      <c r="AU37" s="1">
        <v>0</v>
      </c>
      <c r="AV37" s="1">
        <v>0</v>
      </c>
      <c r="AW37" s="1">
        <v>0</v>
      </c>
      <c r="AX37" s="1">
        <v>0</v>
      </c>
      <c r="AY37" s="1">
        <v>0</v>
      </c>
      <c r="AZ37" s="1">
        <v>0</v>
      </c>
      <c r="BA37" s="1">
        <v>0</v>
      </c>
      <c r="BB37" s="1">
        <f>0-SUM(AY37:BA37)</f>
        <v>0</v>
      </c>
      <c r="BC37" s="1">
        <v>0</v>
      </c>
      <c r="BD37" s="1">
        <v>0</v>
      </c>
      <c r="BE37" s="1">
        <v>0</v>
      </c>
      <c r="BF37" s="1">
        <f>0-SUM(BC37:BE37)</f>
        <v>0</v>
      </c>
      <c r="BG37" s="1">
        <v>0</v>
      </c>
      <c r="BH37" s="1">
        <v>0</v>
      </c>
      <c r="BI37" s="1">
        <v>22</v>
      </c>
      <c r="BJ37" s="1">
        <f>103-SUM(BG37:BI37)</f>
        <v>81</v>
      </c>
      <c r="BK37" s="1">
        <v>81</v>
      </c>
      <c r="BS37" s="61">
        <f t="shared" si="28"/>
        <v>0</v>
      </c>
      <c r="BT37" s="61">
        <f t="shared" si="29"/>
        <v>0</v>
      </c>
      <c r="BU37" s="61">
        <f t="shared" si="30"/>
        <v>0</v>
      </c>
      <c r="BV37" s="61">
        <f t="shared" si="31"/>
        <v>0</v>
      </c>
      <c r="BW37" s="61">
        <f t="shared" si="32"/>
        <v>0</v>
      </c>
      <c r="BX37" s="61">
        <f t="shared" si="33"/>
        <v>0</v>
      </c>
      <c r="BY37" s="61">
        <f t="shared" si="34"/>
        <v>0</v>
      </c>
      <c r="BZ37" s="61">
        <f t="shared" si="35"/>
        <v>0</v>
      </c>
      <c r="CA37" s="61">
        <f t="shared" si="36"/>
        <v>0</v>
      </c>
      <c r="CB37" s="61">
        <f t="shared" si="37"/>
        <v>0</v>
      </c>
      <c r="CC37" s="61">
        <f t="shared" si="38"/>
        <v>0</v>
      </c>
      <c r="CD37" s="61">
        <f t="shared" si="39"/>
        <v>0</v>
      </c>
      <c r="CE37" s="61">
        <f t="shared" si="40"/>
        <v>0</v>
      </c>
      <c r="CF37" s="61">
        <f t="shared" si="41"/>
        <v>0</v>
      </c>
      <c r="CG37" s="1">
        <f t="shared" si="42"/>
        <v>103</v>
      </c>
    </row>
    <row r="38" spans="2:147" s="2" customFormat="1" ht="15">
      <c r="B38" s="2" t="s">
        <v>229</v>
      </c>
      <c r="C38" s="2">
        <f t="shared" ref="C38:AL38" si="126">C36-C37</f>
        <v>1840</v>
      </c>
      <c r="D38" s="2">
        <f t="shared" si="126"/>
        <v>2192</v>
      </c>
      <c r="E38" s="2">
        <f t="shared" si="126"/>
        <v>2498</v>
      </c>
      <c r="F38" s="2">
        <f t="shared" si="126"/>
        <v>3451</v>
      </c>
      <c r="G38" s="2">
        <f t="shared" si="126"/>
        <v>2034</v>
      </c>
      <c r="H38" s="2">
        <f t="shared" si="126"/>
        <v>2581</v>
      </c>
      <c r="I38" s="2">
        <f t="shared" si="126"/>
        <v>2504</v>
      </c>
      <c r="J38" s="2">
        <f t="shared" si="126"/>
        <v>3806</v>
      </c>
      <c r="K38" s="2">
        <f t="shared" si="126"/>
        <v>2191</v>
      </c>
      <c r="L38" s="2">
        <f t="shared" si="126"/>
        <v>2553</v>
      </c>
      <c r="M38" s="2">
        <f t="shared" si="126"/>
        <v>2565</v>
      </c>
      <c r="N38" s="2">
        <f t="shared" si="126"/>
        <v>3646</v>
      </c>
      <c r="O38" s="2">
        <f t="shared" si="126"/>
        <v>2184</v>
      </c>
      <c r="P38" s="2">
        <f t="shared" si="126"/>
        <v>2502</v>
      </c>
      <c r="Q38" s="2">
        <f t="shared" si="126"/>
        <v>2495</v>
      </c>
      <c r="R38" s="2">
        <f t="shared" si="126"/>
        <v>2757</v>
      </c>
      <c r="S38" s="2">
        <f t="shared" si="126"/>
        <v>1747</v>
      </c>
      <c r="T38" s="2">
        <f t="shared" si="126"/>
        <v>2197</v>
      </c>
      <c r="U38" s="2">
        <f t="shared" si="126"/>
        <v>2142</v>
      </c>
      <c r="V38" s="2">
        <f t="shared" si="126"/>
        <v>2815</v>
      </c>
      <c r="W38" s="2">
        <f t="shared" si="126"/>
        <v>1832</v>
      </c>
      <c r="X38" s="2">
        <f t="shared" si="126"/>
        <v>2032</v>
      </c>
      <c r="Y38" s="2">
        <f t="shared" si="126"/>
        <v>2239</v>
      </c>
      <c r="Z38" s="2">
        <f t="shared" si="126"/>
        <v>3349</v>
      </c>
      <c r="AA38" s="2">
        <f t="shared" si="126"/>
        <v>2144</v>
      </c>
      <c r="AB38" s="2">
        <f t="shared" si="126"/>
        <v>2214</v>
      </c>
      <c r="AC38" s="2">
        <f t="shared" si="126"/>
        <v>-4047</v>
      </c>
      <c r="AD38" s="2">
        <f t="shared" si="126"/>
        <v>3276</v>
      </c>
      <c r="AE38" s="2">
        <f t="shared" si="126"/>
        <v>2265</v>
      </c>
      <c r="AF38" s="2">
        <f t="shared" si="126"/>
        <v>2333</v>
      </c>
      <c r="AG38" s="2">
        <f t="shared" si="126"/>
        <v>2745</v>
      </c>
      <c r="AH38" s="2">
        <f t="shared" si="126"/>
        <v>3740</v>
      </c>
      <c r="AI38" s="2">
        <f t="shared" si="126"/>
        <v>2137</v>
      </c>
      <c r="AJ38" s="2">
        <f t="shared" si="126"/>
        <v>2311</v>
      </c>
      <c r="AK38" s="2">
        <f t="shared" si="126"/>
        <v>2571</v>
      </c>
      <c r="AL38" s="2">
        <f t="shared" si="126"/>
        <v>3117</v>
      </c>
      <c r="AM38" s="2">
        <f>AM36-AM37</f>
        <v>2251</v>
      </c>
      <c r="AN38" s="2">
        <f t="shared" ref="AN38:BJ38" si="127">AN36-AN37</f>
        <v>2442</v>
      </c>
      <c r="AO38" s="2">
        <f t="shared" si="127"/>
        <v>1532</v>
      </c>
      <c r="AP38" s="2">
        <f t="shared" si="127"/>
        <v>6028</v>
      </c>
      <c r="AQ38" s="2">
        <f t="shared" si="127"/>
        <v>2457</v>
      </c>
      <c r="AR38" s="2">
        <f t="shared" si="127"/>
        <v>-1247</v>
      </c>
      <c r="AS38" s="2">
        <f t="shared" si="127"/>
        <v>3361</v>
      </c>
      <c r="AT38" s="2">
        <f t="shared" si="127"/>
        <v>2147</v>
      </c>
      <c r="AU38" s="2">
        <f t="shared" si="127"/>
        <v>1548</v>
      </c>
      <c r="AV38" s="2">
        <f t="shared" si="127"/>
        <v>1741</v>
      </c>
      <c r="AW38" s="2">
        <f t="shared" si="127"/>
        <v>1896</v>
      </c>
      <c r="AX38" s="2">
        <f t="shared" si="127"/>
        <v>3319</v>
      </c>
      <c r="AY38" s="2">
        <f t="shared" si="127"/>
        <v>2330</v>
      </c>
      <c r="AZ38" s="2">
        <f t="shared" si="127"/>
        <v>2503</v>
      </c>
      <c r="BA38" s="2">
        <f t="shared" si="127"/>
        <v>2401</v>
      </c>
      <c r="BB38" s="2">
        <f t="shared" si="127"/>
        <v>3233</v>
      </c>
      <c r="BC38" s="2">
        <f t="shared" si="127"/>
        <v>2929</v>
      </c>
      <c r="BD38" s="2">
        <f t="shared" si="127"/>
        <v>3151</v>
      </c>
      <c r="BE38" s="2">
        <f t="shared" si="127"/>
        <v>2936</v>
      </c>
      <c r="BF38" s="2">
        <f t="shared" si="127"/>
        <v>3427</v>
      </c>
      <c r="BG38" s="2">
        <f t="shared" si="127"/>
        <v>2927</v>
      </c>
      <c r="BH38" s="2">
        <f t="shared" si="127"/>
        <v>6135</v>
      </c>
      <c r="BI38" s="2">
        <f t="shared" si="127"/>
        <v>3699</v>
      </c>
      <c r="BJ38" s="2">
        <f t="shared" si="127"/>
        <v>4223</v>
      </c>
      <c r="BK38" s="2">
        <f t="shared" ref="BK38" si="128">BK36-BK37</f>
        <v>4679</v>
      </c>
      <c r="BS38" s="2">
        <f t="shared" si="28"/>
        <v>9981</v>
      </c>
      <c r="BT38" s="2">
        <f t="shared" si="29"/>
        <v>10925</v>
      </c>
      <c r="BU38" s="2">
        <f t="shared" si="30"/>
        <v>10955</v>
      </c>
      <c r="BV38" s="2">
        <f t="shared" si="31"/>
        <v>9938</v>
      </c>
      <c r="BW38" s="2">
        <f t="shared" si="32"/>
        <v>8901</v>
      </c>
      <c r="BX38" s="2">
        <f t="shared" si="33"/>
        <v>9452</v>
      </c>
      <c r="BY38" s="2">
        <f t="shared" si="34"/>
        <v>3587</v>
      </c>
      <c r="BZ38" s="2">
        <f t="shared" si="35"/>
        <v>11083</v>
      </c>
      <c r="CA38" s="2">
        <f t="shared" si="36"/>
        <v>10136</v>
      </c>
      <c r="CB38" s="2">
        <f t="shared" si="37"/>
        <v>12253</v>
      </c>
      <c r="CC38" s="2">
        <f t="shared" si="38"/>
        <v>6718</v>
      </c>
      <c r="CD38" s="2">
        <f t="shared" si="39"/>
        <v>8504</v>
      </c>
      <c r="CE38" s="2">
        <f t="shared" si="40"/>
        <v>10467</v>
      </c>
      <c r="CF38" s="2">
        <f t="shared" si="41"/>
        <v>12443</v>
      </c>
      <c r="CG38" s="2">
        <f t="shared" si="42"/>
        <v>16984</v>
      </c>
      <c r="CH38" s="65">
        <f>CH36-CH37</f>
        <v>14463.968661805893</v>
      </c>
      <c r="CI38" s="65">
        <f t="shared" ref="CI38:CQ38" si="129">CI36-CI37</f>
        <v>23502.910772591822</v>
      </c>
      <c r="CJ38" s="65">
        <f t="shared" si="129"/>
        <v>29656.101696234338</v>
      </c>
      <c r="CK38" s="65">
        <f t="shared" si="129"/>
        <v>45224.964140389529</v>
      </c>
      <c r="CL38" s="65">
        <f t="shared" si="129"/>
        <v>60928.487360713421</v>
      </c>
      <c r="CM38" s="65">
        <f t="shared" si="129"/>
        <v>76474.350196994157</v>
      </c>
      <c r="CN38" s="65">
        <f t="shared" si="129"/>
        <v>91259.553941218808</v>
      </c>
      <c r="CO38" s="65">
        <f t="shared" si="129"/>
        <v>104060.63114658745</v>
      </c>
      <c r="CP38" s="65">
        <f t="shared" si="129"/>
        <v>115781.54239826096</v>
      </c>
      <c r="CQ38" s="65">
        <f t="shared" si="129"/>
        <v>126514.57583584009</v>
      </c>
      <c r="CR38" s="35">
        <f>CQ38*(1+$DA$55)</f>
        <v>128412.29447337768</v>
      </c>
      <c r="CS38" s="35">
        <f t="shared" ref="CS38:EO38" si="130">CR38*(1+$DA$55)</f>
        <v>130338.47889047833</v>
      </c>
      <c r="CT38" s="35">
        <f t="shared" si="130"/>
        <v>132293.5560738355</v>
      </c>
      <c r="CU38" s="35">
        <f t="shared" si="130"/>
        <v>134277.959414943</v>
      </c>
      <c r="CV38" s="35">
        <f t="shared" si="130"/>
        <v>136292.12880616714</v>
      </c>
      <c r="CW38" s="35">
        <f t="shared" si="130"/>
        <v>138336.51073825962</v>
      </c>
      <c r="CX38" s="35">
        <f t="shared" si="130"/>
        <v>140411.5583993335</v>
      </c>
      <c r="CY38" s="35">
        <f t="shared" si="130"/>
        <v>142517.73177532348</v>
      </c>
      <c r="CZ38" s="35">
        <f t="shared" si="130"/>
        <v>144655.49775195331</v>
      </c>
      <c r="DA38" s="35">
        <f t="shared" si="130"/>
        <v>146825.33021823259</v>
      </c>
      <c r="DB38" s="35">
        <f t="shared" si="130"/>
        <v>149027.71017150607</v>
      </c>
      <c r="DC38" s="35">
        <f t="shared" si="130"/>
        <v>151263.12582407866</v>
      </c>
      <c r="DD38" s="35">
        <f t="shared" si="130"/>
        <v>153532.07271143983</v>
      </c>
      <c r="DE38" s="35">
        <f t="shared" si="130"/>
        <v>155835.05380211142</v>
      </c>
      <c r="DF38" s="35">
        <f t="shared" si="130"/>
        <v>158172.57960914308</v>
      </c>
      <c r="DG38" s="35">
        <f t="shared" si="130"/>
        <v>160545.16830328022</v>
      </c>
      <c r="DH38" s="35">
        <f t="shared" si="130"/>
        <v>162953.34582782941</v>
      </c>
      <c r="DI38" s="35">
        <f t="shared" si="130"/>
        <v>165397.64601524684</v>
      </c>
      <c r="DJ38" s="35">
        <f t="shared" si="130"/>
        <v>167878.61070547553</v>
      </c>
      <c r="DK38" s="35">
        <f t="shared" si="130"/>
        <v>170396.78986605763</v>
      </c>
      <c r="DL38" s="35">
        <f t="shared" si="130"/>
        <v>172952.74171404849</v>
      </c>
      <c r="DM38" s="35">
        <f t="shared" si="130"/>
        <v>175547.03283975919</v>
      </c>
      <c r="DN38" s="35">
        <f t="shared" si="130"/>
        <v>178180.23833235557</v>
      </c>
      <c r="DO38" s="35">
        <f t="shared" si="130"/>
        <v>180852.94190734089</v>
      </c>
      <c r="DP38" s="35">
        <f t="shared" si="130"/>
        <v>183565.73603595098</v>
      </c>
      <c r="DQ38" s="35">
        <f t="shared" si="130"/>
        <v>186319.22207649023</v>
      </c>
      <c r="DR38" s="35">
        <f t="shared" si="130"/>
        <v>189114.01040763757</v>
      </c>
      <c r="DS38" s="35">
        <f t="shared" si="130"/>
        <v>191950.72056375211</v>
      </c>
      <c r="DT38" s="35">
        <f t="shared" si="130"/>
        <v>194829.98137220836</v>
      </c>
      <c r="DU38" s="35">
        <f t="shared" si="130"/>
        <v>197752.43109279146</v>
      </c>
      <c r="DV38" s="35">
        <f t="shared" si="130"/>
        <v>200718.71755918331</v>
      </c>
      <c r="DW38" s="35">
        <f t="shared" si="130"/>
        <v>203729.49832257105</v>
      </c>
      <c r="DX38" s="35">
        <f t="shared" si="130"/>
        <v>206785.4407974096</v>
      </c>
      <c r="DY38" s="35">
        <f t="shared" si="130"/>
        <v>209887.22240937073</v>
      </c>
      <c r="DZ38" s="35">
        <f t="shared" si="130"/>
        <v>213035.53074551126</v>
      </c>
      <c r="EA38" s="35">
        <f t="shared" si="130"/>
        <v>216231.06370669391</v>
      </c>
      <c r="EB38" s="35">
        <f t="shared" si="130"/>
        <v>219474.52966229428</v>
      </c>
      <c r="EC38" s="35">
        <f t="shared" si="130"/>
        <v>222766.64760722869</v>
      </c>
      <c r="ED38" s="35">
        <f t="shared" si="130"/>
        <v>226108.14732133711</v>
      </c>
      <c r="EE38" s="35">
        <f t="shared" si="130"/>
        <v>229499.76953115713</v>
      </c>
      <c r="EF38" s="35">
        <f t="shared" si="130"/>
        <v>232942.26607412446</v>
      </c>
      <c r="EG38" s="35">
        <f t="shared" si="130"/>
        <v>236436.40006523632</v>
      </c>
      <c r="EH38" s="35">
        <f t="shared" si="130"/>
        <v>239982.94606621485</v>
      </c>
      <c r="EI38" s="35">
        <f t="shared" si="130"/>
        <v>243582.69025720804</v>
      </c>
      <c r="EJ38" s="35">
        <f t="shared" si="130"/>
        <v>247236.43061106614</v>
      </c>
      <c r="EK38" s="35">
        <f t="shared" si="130"/>
        <v>250944.9770702321</v>
      </c>
      <c r="EL38" s="35">
        <f t="shared" si="130"/>
        <v>254709.15172628555</v>
      </c>
      <c r="EM38" s="35">
        <f t="shared" si="130"/>
        <v>258529.78900217981</v>
      </c>
      <c r="EN38" s="35">
        <f t="shared" si="130"/>
        <v>262407.73583721247</v>
      </c>
      <c r="EO38" s="35">
        <f t="shared" si="130"/>
        <v>266343.85187477065</v>
      </c>
      <c r="EP38" s="35"/>
      <c r="EQ38" s="35"/>
    </row>
    <row r="39" spans="2:147">
      <c r="B39" s="1" t="s">
        <v>120</v>
      </c>
      <c r="C39" s="1">
        <v>5020</v>
      </c>
      <c r="D39" s="1">
        <v>5030</v>
      </c>
      <c r="E39" s="1">
        <v>5040</v>
      </c>
      <c r="F39" s="1">
        <v>5060</v>
      </c>
      <c r="G39" s="1">
        <v>5060</v>
      </c>
      <c r="H39" s="1">
        <v>5040</v>
      </c>
      <c r="I39" s="1">
        <v>5010</v>
      </c>
      <c r="J39" s="1">
        <v>487</v>
      </c>
      <c r="K39" s="1">
        <v>4790</v>
      </c>
      <c r="L39" s="1">
        <v>4740</v>
      </c>
      <c r="M39" s="1">
        <v>4610</v>
      </c>
      <c r="N39" s="1">
        <v>4540</v>
      </c>
      <c r="O39" s="1">
        <v>4500</v>
      </c>
      <c r="P39" s="1">
        <v>4450</v>
      </c>
      <c r="Q39" s="1">
        <v>4420</v>
      </c>
      <c r="R39" s="1">
        <v>4390</v>
      </c>
      <c r="S39" s="1">
        <v>4360</v>
      </c>
      <c r="T39" s="1">
        <v>4320</v>
      </c>
      <c r="U39" s="1">
        <v>4240</v>
      </c>
      <c r="V39" s="1">
        <v>4180</v>
      </c>
      <c r="W39" s="1">
        <v>4150</v>
      </c>
      <c r="X39" s="1">
        <v>4120</v>
      </c>
      <c r="Y39" s="1">
        <v>4100</v>
      </c>
      <c r="Z39" s="1">
        <v>4110</v>
      </c>
      <c r="AA39" s="1">
        <v>4130</v>
      </c>
      <c r="AB39" s="1">
        <v>4155</v>
      </c>
      <c r="AC39" s="1">
        <v>4160</v>
      </c>
      <c r="AD39" s="1">
        <v>4120</v>
      </c>
      <c r="AE39" s="1">
        <v>4050</v>
      </c>
      <c r="AF39" s="1">
        <v>3900</v>
      </c>
      <c r="AG39" s="1">
        <v>3720</v>
      </c>
      <c r="AH39" s="1">
        <v>3530</v>
      </c>
      <c r="AI39" s="1">
        <v>3390</v>
      </c>
      <c r="AJ39" s="1">
        <v>3320</v>
      </c>
      <c r="AK39" s="1">
        <v>3250</v>
      </c>
      <c r="AL39" s="1">
        <v>3190</v>
      </c>
      <c r="AM39" s="1">
        <v>3040</v>
      </c>
      <c r="AN39" s="1">
        <v>2977</v>
      </c>
      <c r="AO39" s="1">
        <v>2913</v>
      </c>
      <c r="AP39" s="1">
        <v>2850</v>
      </c>
      <c r="AQ39" s="1">
        <v>2770</v>
      </c>
      <c r="AR39" s="1">
        <v>2690</v>
      </c>
      <c r="AS39" s="1">
        <v>2670</v>
      </c>
      <c r="AT39" s="1">
        <v>2670</v>
      </c>
      <c r="AU39" s="1">
        <v>2685</v>
      </c>
      <c r="AV39" s="1">
        <v>2700</v>
      </c>
      <c r="AW39" s="1">
        <v>2700</v>
      </c>
      <c r="AX39" s="1">
        <v>2710</v>
      </c>
      <c r="AY39" s="1">
        <v>2730</v>
      </c>
      <c r="AZ39" s="1">
        <v>2750</v>
      </c>
      <c r="BA39" s="1">
        <v>2750</v>
      </c>
      <c r="BB39" s="1">
        <v>2750</v>
      </c>
      <c r="BC39" s="1">
        <v>2760</v>
      </c>
      <c r="BD39" s="1">
        <v>2791</v>
      </c>
      <c r="BE39" s="1">
        <v>2806</v>
      </c>
      <c r="BF39" s="1">
        <v>2830</v>
      </c>
      <c r="BG39" s="1">
        <v>2860</v>
      </c>
      <c r="BH39" s="1">
        <v>2874</v>
      </c>
      <c r="BI39" s="1">
        <v>2876</v>
      </c>
      <c r="BJ39" s="1">
        <v>2880</v>
      </c>
      <c r="BK39" s="1">
        <v>2966</v>
      </c>
      <c r="BS39" s="1">
        <f t="shared" si="28"/>
        <v>20150</v>
      </c>
      <c r="BT39" s="1">
        <f t="shared" si="29"/>
        <v>15597</v>
      </c>
      <c r="BU39" s="1">
        <f t="shared" si="30"/>
        <v>18680</v>
      </c>
      <c r="BV39" s="1">
        <f t="shared" si="31"/>
        <v>17760</v>
      </c>
      <c r="BW39" s="1">
        <f t="shared" si="32"/>
        <v>17100</v>
      </c>
      <c r="BX39" s="1">
        <f t="shared" si="33"/>
        <v>16480</v>
      </c>
      <c r="BY39" s="1">
        <f t="shared" si="34"/>
        <v>16565</v>
      </c>
      <c r="BZ39" s="1">
        <f t="shared" si="35"/>
        <v>15200</v>
      </c>
      <c r="CA39" s="1">
        <f t="shared" si="36"/>
        <v>13150</v>
      </c>
      <c r="CB39" s="1">
        <f t="shared" si="37"/>
        <v>11780</v>
      </c>
      <c r="CC39" s="1">
        <f t="shared" si="38"/>
        <v>10800</v>
      </c>
      <c r="CD39" s="1">
        <f t="shared" si="39"/>
        <v>10795</v>
      </c>
      <c r="CE39" s="1">
        <f t="shared" si="40"/>
        <v>10980</v>
      </c>
      <c r="CF39" s="1">
        <f t="shared" si="41"/>
        <v>11187</v>
      </c>
      <c r="CG39" s="1">
        <f t="shared" si="42"/>
        <v>11490</v>
      </c>
    </row>
    <row r="40" spans="2:147">
      <c r="B40" s="1" t="s">
        <v>203</v>
      </c>
      <c r="C40" s="40">
        <f t="shared" ref="C40" si="131">C38/C39</f>
        <v>0.36653386454183268</v>
      </c>
      <c r="D40" s="40">
        <f t="shared" ref="D40" si="132">D38/D39</f>
        <v>0.43578528827037771</v>
      </c>
      <c r="E40" s="40">
        <f t="shared" ref="E40" si="133">E38/E39</f>
        <v>0.49563492063492065</v>
      </c>
      <c r="F40" s="40">
        <f t="shared" ref="F40" si="134">F38/F39</f>
        <v>0.68201581027667979</v>
      </c>
      <c r="G40" s="40">
        <f t="shared" ref="G40" si="135">G38/G39</f>
        <v>0.40197628458498025</v>
      </c>
      <c r="H40" s="40">
        <f t="shared" ref="H40" si="136">H38/H39</f>
        <v>0.51210317460317456</v>
      </c>
      <c r="I40" s="40">
        <f t="shared" ref="I40" si="137">I38/I39</f>
        <v>0.4998003992015968</v>
      </c>
      <c r="J40" s="40">
        <f t="shared" ref="J40" si="138">J38/J39</f>
        <v>7.8151950718685832</v>
      </c>
      <c r="K40" s="40">
        <f t="shared" ref="K40" si="139">K38/K39</f>
        <v>0.45741127348643007</v>
      </c>
      <c r="L40" s="40">
        <f t="shared" ref="L40" si="140">L38/L39</f>
        <v>0.53860759493670884</v>
      </c>
      <c r="M40" s="40">
        <f t="shared" ref="M40" si="141">M38/M39</f>
        <v>0.55639913232104121</v>
      </c>
      <c r="N40" s="40">
        <f t="shared" ref="N40" si="142">N38/N39</f>
        <v>0.80308370044052868</v>
      </c>
      <c r="O40" s="40">
        <f t="shared" ref="O40" si="143">O38/O39</f>
        <v>0.48533333333333334</v>
      </c>
      <c r="P40" s="40">
        <f t="shared" ref="P40" si="144">P38/P39</f>
        <v>0.56224719101123599</v>
      </c>
      <c r="Q40" s="40">
        <f t="shared" ref="Q40" si="145">Q38/Q39</f>
        <v>0.56447963800904977</v>
      </c>
      <c r="R40" s="40">
        <f t="shared" ref="R40" si="146">R38/R39</f>
        <v>0.6280182232346242</v>
      </c>
      <c r="S40" s="40">
        <f t="shared" ref="S40" si="147">S38/S39</f>
        <v>0.40068807339449541</v>
      </c>
      <c r="T40" s="40">
        <f t="shared" ref="T40" si="148">T38/T39</f>
        <v>0.50856481481481486</v>
      </c>
      <c r="U40" s="40">
        <f t="shared" ref="U40" si="149">U38/U39</f>
        <v>0.50518867924528299</v>
      </c>
      <c r="V40" s="40">
        <f t="shared" ref="V40" si="150">V38/V39</f>
        <v>0.67344497607655507</v>
      </c>
      <c r="W40" s="40">
        <f t="shared" ref="W40" si="151">W38/W39</f>
        <v>0.44144578313253013</v>
      </c>
      <c r="X40" s="40">
        <f t="shared" ref="X40" si="152">X38/X39</f>
        <v>0.49320388349514566</v>
      </c>
      <c r="Y40" s="40">
        <f t="shared" ref="Y40" si="153">Y38/Y39</f>
        <v>0.5460975609756098</v>
      </c>
      <c r="Z40" s="40">
        <f t="shared" ref="Z40" si="154">Z38/Z39</f>
        <v>0.81484184914841851</v>
      </c>
      <c r="AA40" s="40">
        <f t="shared" ref="AA40" si="155">AA38/AA39</f>
        <v>0.51912832929782082</v>
      </c>
      <c r="AB40" s="40">
        <f t="shared" ref="AB40" si="156">AB38/AB39</f>
        <v>0.53285198555956681</v>
      </c>
      <c r="AC40" s="40">
        <f t="shared" ref="AC40" si="157">AC38/AC39</f>
        <v>-0.9728365384615385</v>
      </c>
      <c r="AD40" s="40">
        <f t="shared" ref="AD40" si="158">AD38/AD39</f>
        <v>0.79514563106796121</v>
      </c>
      <c r="AE40" s="40">
        <f t="shared" ref="AE40" si="159">AE38/AE39</f>
        <v>0.55925925925925923</v>
      </c>
      <c r="AF40" s="40">
        <f t="shared" ref="AF40" si="160">AF38/AF39</f>
        <v>0.59820512820512817</v>
      </c>
      <c r="AG40" s="40">
        <f t="shared" ref="AG40" si="161">AG38/AG39</f>
        <v>0.73790322580645162</v>
      </c>
      <c r="AH40" s="40">
        <f t="shared" ref="AH40" si="162">AH38/AH39</f>
        <v>1.0594900849858357</v>
      </c>
      <c r="AI40" s="40">
        <f t="shared" ref="AI40" si="163">AI38/AI39</f>
        <v>0.63038348082595874</v>
      </c>
      <c r="AJ40" s="40">
        <f t="shared" ref="AJ40" si="164">AJ38/AJ39</f>
        <v>0.69608433734939756</v>
      </c>
      <c r="AK40" s="40">
        <f t="shared" ref="AK40" si="165">AK38/AK39</f>
        <v>0.79107692307692312</v>
      </c>
      <c r="AL40" s="40">
        <f t="shared" ref="AL40" si="166">AL38/AL39</f>
        <v>0.97711598746081507</v>
      </c>
      <c r="AM40" s="40">
        <f t="shared" ref="AM40:BI40" si="167">AM38/AM39</f>
        <v>0.74046052631578951</v>
      </c>
      <c r="AN40" s="40">
        <f t="shared" si="167"/>
        <v>0.8202888814242526</v>
      </c>
      <c r="AO40" s="40">
        <f t="shared" si="167"/>
        <v>0.5259182972880192</v>
      </c>
      <c r="AP40" s="40">
        <f t="shared" si="167"/>
        <v>2.1150877192982458</v>
      </c>
      <c r="AQ40" s="40">
        <f t="shared" si="167"/>
        <v>0.8870036101083032</v>
      </c>
      <c r="AR40" s="40">
        <f t="shared" si="167"/>
        <v>-0.46356877323420076</v>
      </c>
      <c r="AS40" s="40">
        <f t="shared" si="167"/>
        <v>1.2588014981273408</v>
      </c>
      <c r="AT40" s="40">
        <f t="shared" si="167"/>
        <v>0.80411985018726595</v>
      </c>
      <c r="AU40" s="40">
        <f t="shared" si="167"/>
        <v>0.57653631284916196</v>
      </c>
      <c r="AV40" s="40">
        <f t="shared" si="167"/>
        <v>0.64481481481481484</v>
      </c>
      <c r="AW40" s="40">
        <f t="shared" si="167"/>
        <v>0.70222222222222219</v>
      </c>
      <c r="AX40" s="40">
        <f t="shared" si="167"/>
        <v>1.2247232472324723</v>
      </c>
      <c r="AY40" s="40">
        <f t="shared" si="167"/>
        <v>0.85347985347985345</v>
      </c>
      <c r="AZ40" s="40">
        <f t="shared" si="167"/>
        <v>0.9101818181818182</v>
      </c>
      <c r="BA40" s="40">
        <f t="shared" si="167"/>
        <v>0.87309090909090914</v>
      </c>
      <c r="BB40" s="40">
        <f t="shared" si="167"/>
        <v>1.1756363636363636</v>
      </c>
      <c r="BC40" s="40">
        <f t="shared" si="167"/>
        <v>1.0612318840579711</v>
      </c>
      <c r="BD40" s="40">
        <f t="shared" si="167"/>
        <v>1.1289860265137943</v>
      </c>
      <c r="BE40" s="40">
        <f t="shared" si="167"/>
        <v>1.0463292943692089</v>
      </c>
      <c r="BF40" s="40">
        <f t="shared" si="167"/>
        <v>1.2109540636042402</v>
      </c>
      <c r="BG40" s="40">
        <f t="shared" si="167"/>
        <v>1.0234265734265735</v>
      </c>
      <c r="BH40" s="40">
        <f t="shared" si="167"/>
        <v>2.1346555323590812</v>
      </c>
      <c r="BI40" s="40">
        <f t="shared" si="167"/>
        <v>1.2861613351877608</v>
      </c>
      <c r="BJ40" s="40">
        <f>BJ38/BJ39</f>
        <v>1.4663194444444445</v>
      </c>
      <c r="BK40" s="40">
        <f>BK38/BK39</f>
        <v>1.5775455158462577</v>
      </c>
      <c r="BS40" s="40">
        <f t="shared" si="28"/>
        <v>1.9799698837238109</v>
      </c>
      <c r="BT40" s="40">
        <f t="shared" si="29"/>
        <v>9.229074930258335</v>
      </c>
      <c r="BU40" s="40">
        <f t="shared" si="30"/>
        <v>2.3555017011847088</v>
      </c>
      <c r="BV40" s="40">
        <f t="shared" si="31"/>
        <v>2.2400783855882431</v>
      </c>
      <c r="BW40" s="40">
        <f t="shared" si="32"/>
        <v>2.0878865435311482</v>
      </c>
      <c r="BX40" s="40">
        <f t="shared" si="33"/>
        <v>2.2955890767517042</v>
      </c>
      <c r="BY40" s="40">
        <f t="shared" si="34"/>
        <v>0.87428940746381034</v>
      </c>
      <c r="BZ40" s="40">
        <f t="shared" si="35"/>
        <v>2.9548576982566743</v>
      </c>
      <c r="CA40" s="40">
        <f t="shared" si="36"/>
        <v>3.0946607287130945</v>
      </c>
      <c r="CB40" s="40">
        <f t="shared" si="37"/>
        <v>4.2017554243263069</v>
      </c>
      <c r="CC40" s="40">
        <f t="shared" si="38"/>
        <v>2.486356185188709</v>
      </c>
      <c r="CD40" s="40">
        <f t="shared" si="39"/>
        <v>3.1482965971186712</v>
      </c>
      <c r="CE40" s="40">
        <f t="shared" si="40"/>
        <v>3.8123889443889443</v>
      </c>
      <c r="CF40" s="40">
        <f t="shared" si="41"/>
        <v>4.4475012685452144</v>
      </c>
      <c r="CG40" s="40">
        <f t="shared" si="42"/>
        <v>5.9105628854178596</v>
      </c>
    </row>
    <row r="41" spans="2:147">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S41" s="40"/>
      <c r="BT41" s="40"/>
      <c r="BU41" s="40"/>
      <c r="BV41" s="40"/>
      <c r="BW41" s="40"/>
      <c r="BX41" s="40"/>
      <c r="BY41" s="40"/>
      <c r="BZ41" s="40"/>
      <c r="CA41" s="40"/>
      <c r="CB41" s="40"/>
      <c r="CC41" s="40"/>
      <c r="CD41" s="40"/>
      <c r="CE41" s="40"/>
      <c r="CF41" s="40"/>
      <c r="CG41" s="40"/>
    </row>
    <row r="42" spans="2:147">
      <c r="B42" s="1" t="s">
        <v>215</v>
      </c>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62">
        <f t="shared" ref="AM42:BI42" si="168">AM22/AM21</f>
        <v>0.10793210206042489</v>
      </c>
      <c r="AN42" s="62">
        <f t="shared" si="168"/>
        <v>0.10857142857142857</v>
      </c>
      <c r="AO42" s="62">
        <f t="shared" si="168"/>
        <v>0.10549276224469561</v>
      </c>
      <c r="AP42" s="62">
        <f t="shared" si="168"/>
        <v>0.10813218134853478</v>
      </c>
      <c r="AQ42" s="62">
        <f t="shared" si="168"/>
        <v>0.12479440789473684</v>
      </c>
      <c r="AR42" s="62">
        <f t="shared" si="168"/>
        <v>0.12152509652509652</v>
      </c>
      <c r="AS42" s="62">
        <f t="shared" si="168"/>
        <v>0.12413202701417293</v>
      </c>
      <c r="AT42" s="62">
        <f t="shared" si="168"/>
        <v>0.12119932432432433</v>
      </c>
      <c r="AU42" s="62">
        <f t="shared" si="168"/>
        <v>0.15159458278724333</v>
      </c>
      <c r="AV42" s="62">
        <f t="shared" si="168"/>
        <v>0.1540529531568228</v>
      </c>
      <c r="AW42" s="62">
        <f t="shared" si="168"/>
        <v>0.15970317793192451</v>
      </c>
      <c r="AX42" s="62">
        <f t="shared" si="168"/>
        <v>0.15588639155886391</v>
      </c>
      <c r="AY42" s="62">
        <f t="shared" si="168"/>
        <v>0.17497791696779894</v>
      </c>
      <c r="AZ42" s="62">
        <f t="shared" si="168"/>
        <v>0.17572057800788193</v>
      </c>
      <c r="BA42" s="62">
        <f t="shared" si="168"/>
        <v>0.18463855421686748</v>
      </c>
      <c r="BB42" s="62">
        <f t="shared" si="168"/>
        <v>0.17652411282984531</v>
      </c>
      <c r="BC42" s="62">
        <f t="shared" si="168"/>
        <v>0.19516044187269857</v>
      </c>
      <c r="BD42" s="62">
        <f t="shared" si="168"/>
        <v>0.19531972402020059</v>
      </c>
      <c r="BE42" s="62">
        <f t="shared" si="168"/>
        <v>0.20396319886765746</v>
      </c>
      <c r="BF42" s="62">
        <f t="shared" si="168"/>
        <v>0.21027479091995221</v>
      </c>
      <c r="BG42" s="62">
        <f t="shared" si="168"/>
        <v>0.24165885032828621</v>
      </c>
      <c r="BH42" s="62">
        <f t="shared" si="168"/>
        <v>0.24847428073234526</v>
      </c>
      <c r="BI42" s="62">
        <f t="shared" si="168"/>
        <v>0.27783595113438048</v>
      </c>
      <c r="BJ42" s="62">
        <f>BJ22/BJ21</f>
        <v>0.27232445394359589</v>
      </c>
      <c r="BK42" s="62">
        <f>BK22/BK21</f>
        <v>0.33083484104419747</v>
      </c>
      <c r="BS42" s="40"/>
      <c r="BT42" s="40"/>
      <c r="BU42" s="40"/>
      <c r="BV42" s="40"/>
      <c r="BW42" s="40"/>
      <c r="BX42" s="40"/>
      <c r="BY42" s="40"/>
      <c r="BZ42" s="40"/>
      <c r="CA42" s="40"/>
      <c r="CB42" s="40"/>
      <c r="CC42" s="40"/>
      <c r="CD42" s="62">
        <f t="shared" ref="CD42:CG42" si="169">CD22/CD21</f>
        <v>0.15539985987388649</v>
      </c>
      <c r="CE42" s="62">
        <f t="shared" si="169"/>
        <v>0.17799890485451558</v>
      </c>
      <c r="CF42" s="62">
        <f t="shared" si="169"/>
        <v>0.20155403404240493</v>
      </c>
      <c r="CG42" s="62">
        <f t="shared" si="169"/>
        <v>0.26124975874816275</v>
      </c>
      <c r="CH42" s="51">
        <v>0.28000000000000003</v>
      </c>
      <c r="CI42" s="51">
        <v>0.28999999999999998</v>
      </c>
      <c r="CJ42" s="51">
        <v>0.3</v>
      </c>
      <c r="CK42" s="51">
        <v>0.28000000000000003</v>
      </c>
      <c r="CL42" s="51">
        <v>0.27</v>
      </c>
      <c r="CM42" s="51">
        <v>0.26500000000000001</v>
      </c>
      <c r="CN42" s="51">
        <v>0.26</v>
      </c>
      <c r="CO42" s="51">
        <v>0.255</v>
      </c>
      <c r="CP42" s="51">
        <v>0.25</v>
      </c>
      <c r="CQ42" s="51">
        <v>0.245</v>
      </c>
    </row>
    <row r="43" spans="2:147">
      <c r="B43" s="1" t="s">
        <v>216</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62">
        <f t="shared" ref="AM43:BI43" si="170">AM23/AM21</f>
        <v>2.626241059037045E-2</v>
      </c>
      <c r="AN43" s="62">
        <f t="shared" si="170"/>
        <v>2.489795918367347E-2</v>
      </c>
      <c r="AO43" s="62">
        <f t="shared" si="170"/>
        <v>2.280388657545112E-2</v>
      </c>
      <c r="AP43" s="62">
        <f t="shared" si="170"/>
        <v>2.2445889373830942E-2</v>
      </c>
      <c r="AQ43" s="62">
        <f t="shared" si="170"/>
        <v>2.5185032894736843E-2</v>
      </c>
      <c r="AR43" s="62">
        <f t="shared" si="170"/>
        <v>2.2104247104247104E-2</v>
      </c>
      <c r="AS43" s="62">
        <f t="shared" si="170"/>
        <v>2.3209359840197851E-2</v>
      </c>
      <c r="AT43" s="62">
        <f t="shared" si="170"/>
        <v>2.1452702702702702E-2</v>
      </c>
      <c r="AU43" s="62">
        <f t="shared" si="170"/>
        <v>2.1756225425950196E-2</v>
      </c>
      <c r="AV43" s="62">
        <f t="shared" si="170"/>
        <v>2.3299389002036659E-2</v>
      </c>
      <c r="AW43" s="62">
        <f t="shared" si="170"/>
        <v>1.968059364413615E-2</v>
      </c>
      <c r="AX43" s="62">
        <f t="shared" si="170"/>
        <v>1.8862470188624702E-2</v>
      </c>
      <c r="AY43" s="62">
        <f t="shared" si="170"/>
        <v>1.7586123825584197E-2</v>
      </c>
      <c r="AZ43" s="62">
        <f t="shared" si="170"/>
        <v>1.6459315354300286E-2</v>
      </c>
      <c r="BA43" s="62">
        <f t="shared" si="170"/>
        <v>1.6340361445783134E-2</v>
      </c>
      <c r="BB43" s="62">
        <f t="shared" si="170"/>
        <v>1.6938475537201653E-2</v>
      </c>
      <c r="BC43" s="62">
        <f t="shared" si="170"/>
        <v>1.2174043736379349E-2</v>
      </c>
      <c r="BD43" s="62">
        <f t="shared" si="170"/>
        <v>1.2234156056618536E-2</v>
      </c>
      <c r="BE43" s="62">
        <f t="shared" si="170"/>
        <v>1.3941967445152158E-2</v>
      </c>
      <c r="BF43" s="62">
        <f t="shared" si="170"/>
        <v>1.578318556247249E-2</v>
      </c>
      <c r="BG43" s="62">
        <f t="shared" si="170"/>
        <v>1.1925499129036581E-2</v>
      </c>
      <c r="BH43" s="62">
        <f t="shared" si="170"/>
        <v>1.3388965001868227E-2</v>
      </c>
      <c r="BI43" s="62">
        <f t="shared" si="170"/>
        <v>1.0645724258289703E-2</v>
      </c>
      <c r="BJ43" s="62">
        <f>BJ23/BJ21</f>
        <v>1.522181097847052E-2</v>
      </c>
      <c r="BK43" s="62">
        <f>BK23/BK21</f>
        <v>1.4525717239596794E-2</v>
      </c>
      <c r="BS43" s="40"/>
      <c r="BT43" s="40"/>
      <c r="BU43" s="40"/>
      <c r="BV43" s="40"/>
      <c r="BW43" s="40"/>
      <c r="BX43" s="40"/>
      <c r="BY43" s="40"/>
      <c r="BZ43" s="40"/>
      <c r="CA43" s="40"/>
      <c r="CB43" s="40"/>
      <c r="CC43" s="40"/>
      <c r="CD43" s="62">
        <f t="shared" ref="CD43:CG43" si="171">CD23/CD21</f>
        <v>2.0818736863176861E-2</v>
      </c>
      <c r="CE43" s="62">
        <f t="shared" si="171"/>
        <v>1.6823700458828195E-2</v>
      </c>
      <c r="CF43" s="62">
        <f t="shared" si="171"/>
        <v>1.3623930730500531E-2</v>
      </c>
      <c r="CG43" s="62">
        <f t="shared" si="171"/>
        <v>1.2886559674569829E-2</v>
      </c>
      <c r="CH43" s="51">
        <v>1.4E-2</v>
      </c>
      <c r="CI43" s="51">
        <v>1.2999999999999999E-2</v>
      </c>
      <c r="CJ43" s="51">
        <v>1.2999999999999999E-2</v>
      </c>
      <c r="CK43" s="51">
        <v>1.2E-2</v>
      </c>
      <c r="CL43" s="51">
        <v>1.2E-2</v>
      </c>
      <c r="CM43" s="51">
        <v>1.0999999999999999E-2</v>
      </c>
      <c r="CN43" s="51">
        <v>1.0999999999999999E-2</v>
      </c>
      <c r="CO43" s="51">
        <v>0.01</v>
      </c>
      <c r="CP43" s="51">
        <v>0.01</v>
      </c>
      <c r="CQ43" s="51">
        <v>0.01</v>
      </c>
    </row>
    <row r="44" spans="2:147">
      <c r="B44" s="1" t="s">
        <v>217</v>
      </c>
      <c r="AM44" s="62">
        <f t="shared" ref="AM44:BI44" si="172">AM24/AM21</f>
        <v>6.6510088608946305E-2</v>
      </c>
      <c r="AN44" s="62">
        <f t="shared" si="172"/>
        <v>6.4387755102040811E-2</v>
      </c>
      <c r="AO44" s="62">
        <f t="shared" si="172"/>
        <v>6.1570493753718022E-2</v>
      </c>
      <c r="AP44" s="62">
        <f t="shared" si="172"/>
        <v>5.8341498174044715E-2</v>
      </c>
      <c r="AQ44" s="62">
        <f t="shared" si="172"/>
        <v>6.6200657894736836E-2</v>
      </c>
      <c r="AR44" s="62">
        <f t="shared" si="172"/>
        <v>6.4768339768339775E-2</v>
      </c>
      <c r="AS44" s="62">
        <f t="shared" si="172"/>
        <v>6.3635498906116236E-2</v>
      </c>
      <c r="AT44" s="62">
        <f t="shared" si="172"/>
        <v>5.9797297297297297E-2</v>
      </c>
      <c r="AU44" s="62">
        <f t="shared" si="172"/>
        <v>9.2005242463958054E-2</v>
      </c>
      <c r="AV44" s="62">
        <f t="shared" si="172"/>
        <v>9.6211812627291241E-2</v>
      </c>
      <c r="AW44" s="62">
        <f t="shared" si="172"/>
        <v>9.7999677367317309E-2</v>
      </c>
      <c r="AX44" s="62">
        <f t="shared" si="172"/>
        <v>9.4818240948182406E-2</v>
      </c>
      <c r="AY44" s="62">
        <f t="shared" si="172"/>
        <v>9.7325945555287882E-2</v>
      </c>
      <c r="AZ44" s="62">
        <f t="shared" si="172"/>
        <v>9.6824047600649096E-2</v>
      </c>
      <c r="BA44" s="62">
        <f t="shared" si="172"/>
        <v>9.036144578313253E-2</v>
      </c>
      <c r="BB44" s="62">
        <f t="shared" si="172"/>
        <v>8.1192692657660812E-2</v>
      </c>
      <c r="BC44" s="62">
        <f t="shared" si="172"/>
        <v>8.6195235590290825E-2</v>
      </c>
      <c r="BD44" s="62">
        <f t="shared" si="172"/>
        <v>8.300732626787112E-2</v>
      </c>
      <c r="BE44" s="62">
        <f t="shared" si="172"/>
        <v>7.8980891719745219E-2</v>
      </c>
      <c r="BF44" s="62">
        <f t="shared" si="172"/>
        <v>7.2061875117902283E-2</v>
      </c>
      <c r="BG44" s="62">
        <f t="shared" si="172"/>
        <v>7.3629907543883155E-2</v>
      </c>
      <c r="BH44" s="62">
        <f t="shared" si="172"/>
        <v>7.2798605056669574E-2</v>
      </c>
      <c r="BI44" s="62">
        <f t="shared" si="172"/>
        <v>6.591041303083188E-2</v>
      </c>
      <c r="BJ44" s="62">
        <f>BJ24/BJ21</f>
        <v>6.0209560548402229E-2</v>
      </c>
      <c r="BK44" s="62">
        <f>BK24/BK21</f>
        <v>5.4380976996639956E-2</v>
      </c>
      <c r="CD44" s="62">
        <f t="shared" ref="CD44:CG44" si="173">CD24/CD21</f>
        <v>9.5305775197677911E-2</v>
      </c>
      <c r="CE44" s="62">
        <f t="shared" si="173"/>
        <v>9.1104775211948416E-2</v>
      </c>
      <c r="CF44" s="62">
        <f t="shared" si="173"/>
        <v>7.9722643251624592E-2</v>
      </c>
      <c r="CG44" s="62">
        <f t="shared" si="173"/>
        <v>6.7639592024585415E-2</v>
      </c>
      <c r="CH44" s="51">
        <v>6.4000000000000001E-2</v>
      </c>
      <c r="CI44" s="51">
        <v>6.5000000000000002E-2</v>
      </c>
      <c r="CJ44" s="51">
        <v>6.3E-2</v>
      </c>
      <c r="CK44" s="51">
        <v>6.2E-2</v>
      </c>
      <c r="CL44" s="51">
        <v>6.0999999999999999E-2</v>
      </c>
      <c r="CM44" s="51">
        <v>0.06</v>
      </c>
      <c r="CN44" s="51">
        <v>5.8999999999999997E-2</v>
      </c>
      <c r="CO44" s="51">
        <v>5.8000000000000003E-2</v>
      </c>
      <c r="CP44" s="51">
        <v>5.7000000000000002E-2</v>
      </c>
      <c r="CQ44" s="51">
        <v>5.6000000000000001E-2</v>
      </c>
    </row>
    <row r="45" spans="2:147">
      <c r="B45" s="38" t="s">
        <v>251</v>
      </c>
      <c r="AM45" s="62">
        <f t="shared" ref="AM45:BI45" si="174">AM25/AM21</f>
        <v>0.19792889932742608</v>
      </c>
      <c r="AN45" s="62">
        <f t="shared" si="174"/>
        <v>0.1873469387755102</v>
      </c>
      <c r="AO45" s="62">
        <f t="shared" si="174"/>
        <v>0.18986714257386475</v>
      </c>
      <c r="AP45" s="62">
        <f t="shared" si="174"/>
        <v>0.18500044535494789</v>
      </c>
      <c r="AQ45" s="62">
        <f t="shared" si="174"/>
        <v>0.19058388157894737</v>
      </c>
      <c r="AR45" s="62">
        <f t="shared" si="174"/>
        <v>0.18861003861003861</v>
      </c>
      <c r="AS45" s="62">
        <f t="shared" si="174"/>
        <v>0.19062113573670694</v>
      </c>
      <c r="AT45" s="62">
        <f t="shared" si="174"/>
        <v>0.18876689189189189</v>
      </c>
      <c r="AU45" s="62">
        <f t="shared" si="174"/>
        <v>0.19021406727828746</v>
      </c>
      <c r="AV45" s="62">
        <f t="shared" si="174"/>
        <v>0.1805295315682281</v>
      </c>
      <c r="AW45" s="62">
        <f t="shared" si="174"/>
        <v>0.17341506694628167</v>
      </c>
      <c r="AX45" s="62">
        <f t="shared" si="174"/>
        <v>0.16549830165498303</v>
      </c>
      <c r="AY45" s="62">
        <f t="shared" si="174"/>
        <v>0.16269172087047298</v>
      </c>
      <c r="AZ45" s="62">
        <f t="shared" si="174"/>
        <v>0.16173402364577699</v>
      </c>
      <c r="BA45" s="62">
        <f t="shared" si="174"/>
        <v>0.15376506024096387</v>
      </c>
      <c r="BB45" s="62">
        <f t="shared" si="174"/>
        <v>0.14789668929796318</v>
      </c>
      <c r="BC45" s="62">
        <f t="shared" si="174"/>
        <v>0.15300217930412566</v>
      </c>
      <c r="BD45" s="62">
        <f t="shared" si="174"/>
        <v>0.15577210327903834</v>
      </c>
      <c r="BE45" s="62">
        <f t="shared" si="174"/>
        <v>0.1499646142958245</v>
      </c>
      <c r="BF45" s="62">
        <f t="shared" si="174"/>
        <v>0.14500408727912972</v>
      </c>
      <c r="BG45" s="62">
        <f t="shared" si="174"/>
        <v>0.13821519496181162</v>
      </c>
      <c r="BH45" s="62">
        <f t="shared" si="174"/>
        <v>0.13382737576285963</v>
      </c>
      <c r="BI45" s="62">
        <f t="shared" si="174"/>
        <v>0.11937172774869111</v>
      </c>
      <c r="BJ45" s="62">
        <f>BJ25/BJ21</f>
        <v>0.10775165511129646</v>
      </c>
      <c r="BK45" s="62">
        <f>BK25/BK21</f>
        <v>9.3615921426725257E-2</v>
      </c>
      <c r="CD45" s="62">
        <f t="shared" ref="CD45:CG45" si="175">CD25/CD21</f>
        <v>0.17681913722350115</v>
      </c>
      <c r="CE45" s="62">
        <f t="shared" si="175"/>
        <v>0.15622816789713184</v>
      </c>
      <c r="CF45" s="62">
        <f t="shared" si="175"/>
        <v>0.15071691144445026</v>
      </c>
      <c r="CG45" s="62">
        <f t="shared" si="175"/>
        <v>0.12368424959543922</v>
      </c>
      <c r="CH45" s="51">
        <v>0.11899999999999999</v>
      </c>
      <c r="CI45" s="51">
        <v>0.11700000000000001</v>
      </c>
      <c r="CJ45" s="51">
        <v>0.115</v>
      </c>
      <c r="CK45" s="51">
        <v>0.114</v>
      </c>
      <c r="CL45" s="51">
        <v>0.113</v>
      </c>
      <c r="CM45" s="51">
        <v>0.112</v>
      </c>
      <c r="CN45" s="51">
        <v>0.111</v>
      </c>
      <c r="CO45" s="51">
        <v>0.11</v>
      </c>
      <c r="CP45" s="51">
        <v>0.11</v>
      </c>
      <c r="CQ45" s="51">
        <v>0.11</v>
      </c>
    </row>
    <row r="46" spans="2:147">
      <c r="B46" s="38" t="s">
        <v>106</v>
      </c>
      <c r="AM46" s="62">
        <f t="shared" ref="AM46:BI46" si="176">AM26/AM21</f>
        <v>0.16963809117113271</v>
      </c>
      <c r="AN46" s="62">
        <f t="shared" si="176"/>
        <v>0.1633673469387755</v>
      </c>
      <c r="AO46" s="62">
        <f t="shared" si="176"/>
        <v>0.16071782669046203</v>
      </c>
      <c r="AP46" s="62">
        <f t="shared" si="176"/>
        <v>0.15284581811703929</v>
      </c>
      <c r="AQ46" s="62">
        <f t="shared" si="176"/>
        <v>0.17310855263157895</v>
      </c>
      <c r="AR46" s="62">
        <f t="shared" si="176"/>
        <v>0.16930501930501932</v>
      </c>
      <c r="AS46" s="62">
        <f t="shared" si="176"/>
        <v>0.17273851422048891</v>
      </c>
      <c r="AT46" s="62">
        <f t="shared" si="176"/>
        <v>0.16596283783783783</v>
      </c>
      <c r="AU46" s="62">
        <f t="shared" si="176"/>
        <v>0.18287461773700306</v>
      </c>
      <c r="AV46" s="62">
        <f t="shared" si="176"/>
        <v>0.17580448065173115</v>
      </c>
      <c r="AW46" s="62">
        <f t="shared" si="176"/>
        <v>0.17309243426359089</v>
      </c>
      <c r="AX46" s="62">
        <f t="shared" si="176"/>
        <v>0.16087302160873021</v>
      </c>
      <c r="AY46" s="62">
        <f t="shared" si="176"/>
        <v>0.1779490885730346</v>
      </c>
      <c r="AZ46" s="62">
        <f t="shared" si="176"/>
        <v>0.17201143651958892</v>
      </c>
      <c r="BA46" s="62">
        <f t="shared" si="176"/>
        <v>0.16927710843373495</v>
      </c>
      <c r="BB46" s="62">
        <f t="shared" si="176"/>
        <v>0.15573598376146147</v>
      </c>
      <c r="BC46" s="62">
        <f t="shared" si="176"/>
        <v>0.17329225219809122</v>
      </c>
      <c r="BD46" s="62">
        <f t="shared" si="176"/>
        <v>0.17575930009246746</v>
      </c>
      <c r="BE46" s="62">
        <f t="shared" si="176"/>
        <v>0.1719037508846426</v>
      </c>
      <c r="BF46" s="62">
        <f t="shared" si="176"/>
        <v>0.16688675092749797</v>
      </c>
      <c r="BG46" s="62">
        <f t="shared" si="176"/>
        <v>0.16688999062039395</v>
      </c>
      <c r="BH46" s="62">
        <f t="shared" si="176"/>
        <v>0.15948436916178851</v>
      </c>
      <c r="BI46" s="62">
        <f t="shared" si="176"/>
        <v>0.15165794066317625</v>
      </c>
      <c r="BJ46" s="62">
        <f>BJ26/BJ21</f>
        <v>0.13621435646145025</v>
      </c>
      <c r="BK46" s="62">
        <f>BK26/BK21</f>
        <v>0.1241147583354872</v>
      </c>
      <c r="CD46" s="62">
        <f t="shared" ref="CD46:CG46" si="177">CD26/CD21</f>
        <v>0.1726153538184366</v>
      </c>
      <c r="CE46" s="62">
        <f t="shared" si="177"/>
        <v>0.16833141368176582</v>
      </c>
      <c r="CF46" s="62">
        <f t="shared" si="177"/>
        <v>0.17177999616718062</v>
      </c>
      <c r="CG46" s="62">
        <f t="shared" si="177"/>
        <v>0.1525008536603471</v>
      </c>
      <c r="CH46" s="51">
        <v>0.155</v>
      </c>
      <c r="CI46" s="51">
        <v>0.1525008536603471</v>
      </c>
      <c r="CJ46" s="51">
        <v>0.152</v>
      </c>
      <c r="CK46" s="51">
        <v>0.151</v>
      </c>
      <c r="CL46" s="51">
        <v>0.15</v>
      </c>
      <c r="CM46" s="51">
        <v>0.14899999999999999</v>
      </c>
      <c r="CN46" s="51">
        <v>0.14799999999999999</v>
      </c>
      <c r="CO46" s="51">
        <v>0.14699999999999999</v>
      </c>
      <c r="CP46" s="51">
        <v>0.14599999999999999</v>
      </c>
      <c r="CQ46" s="51">
        <v>0.14499999999999999</v>
      </c>
    </row>
    <row r="47" spans="2:147">
      <c r="B47" s="38" t="s">
        <v>250</v>
      </c>
      <c r="AM47" s="62">
        <f t="shared" ref="AM47:BI47" si="178">AM27/AM21</f>
        <v>3.1493541155119036E-2</v>
      </c>
      <c r="AN47" s="62">
        <f t="shared" si="178"/>
        <v>3.3061224489795919E-2</v>
      </c>
      <c r="AO47" s="62">
        <f t="shared" si="178"/>
        <v>3.2718619869125519E-2</v>
      </c>
      <c r="AP47" s="62">
        <f t="shared" si="178"/>
        <v>2.7166651821501738E-2</v>
      </c>
      <c r="AQ47" s="62">
        <f t="shared" si="178"/>
        <v>3.0633223684210526E-2</v>
      </c>
      <c r="AR47" s="62">
        <f t="shared" si="178"/>
        <v>3.0791505791505792E-2</v>
      </c>
      <c r="AS47" s="62">
        <f t="shared" si="178"/>
        <v>3.1865309616665081E-2</v>
      </c>
      <c r="AT47" s="62">
        <f t="shared" si="178"/>
        <v>3.0827702702702704E-2</v>
      </c>
      <c r="AU47" s="62">
        <f t="shared" si="178"/>
        <v>3.5910878112712978E-2</v>
      </c>
      <c r="AV47" s="62">
        <f t="shared" si="178"/>
        <v>2.9816700610997962E-2</v>
      </c>
      <c r="AW47" s="62">
        <f t="shared" si="178"/>
        <v>3.2424584610421033E-2</v>
      </c>
      <c r="AX47" s="62">
        <f t="shared" si="178"/>
        <v>2.8908000289080003E-2</v>
      </c>
      <c r="AY47" s="62">
        <f t="shared" si="178"/>
        <v>3.1558660563719587E-2</v>
      </c>
      <c r="AZ47" s="62">
        <f t="shared" si="178"/>
        <v>2.8977667877289236E-2</v>
      </c>
      <c r="BA47" s="62">
        <f t="shared" si="178"/>
        <v>2.8388554216867468E-2</v>
      </c>
      <c r="BB47" s="62">
        <f t="shared" si="178"/>
        <v>2.8207461328480437E-2</v>
      </c>
      <c r="BC47" s="62">
        <f t="shared" si="178"/>
        <v>2.6903133689035845E-2</v>
      </c>
      <c r="BD47" s="62">
        <f t="shared" si="178"/>
        <v>2.7526851127391706E-2</v>
      </c>
      <c r="BE47" s="62">
        <f t="shared" si="178"/>
        <v>2.7600849256900213E-2</v>
      </c>
      <c r="BF47" s="62">
        <f t="shared" si="178"/>
        <v>2.9365528516632083E-2</v>
      </c>
      <c r="BG47" s="62">
        <f t="shared" si="178"/>
        <v>2.519094198043682E-2</v>
      </c>
      <c r="BH47" s="62">
        <f t="shared" si="178"/>
        <v>2.5470170631460953E-2</v>
      </c>
      <c r="BI47" s="62">
        <f t="shared" si="178"/>
        <v>2.2629435718440952E-2</v>
      </c>
      <c r="BJ47" s="62">
        <f>BJ27/BJ21</f>
        <v>2.3145493405619558E-2</v>
      </c>
      <c r="BK47" s="62">
        <f>BK27/BK21</f>
        <v>1.9436546911346601E-2</v>
      </c>
      <c r="CD47" s="62">
        <f t="shared" ref="CD47:CG47" si="179">CD27/CD21</f>
        <v>3.1608447602842558E-2</v>
      </c>
      <c r="CE47" s="62">
        <f t="shared" si="179"/>
        <v>2.92290553426106E-2</v>
      </c>
      <c r="CF47" s="62">
        <f t="shared" si="179"/>
        <v>2.7909893900590604E-2</v>
      </c>
      <c r="CG47" s="62">
        <f t="shared" si="179"/>
        <v>2.4021259854209658E-2</v>
      </c>
      <c r="CH47" s="51">
        <v>2.4021259854209658E-2</v>
      </c>
      <c r="CI47" s="51">
        <v>2.4021259854209658E-2</v>
      </c>
      <c r="CJ47" s="51">
        <v>2.4021259854209658E-2</v>
      </c>
      <c r="CK47" s="51">
        <v>2.3E-2</v>
      </c>
      <c r="CL47" s="51">
        <v>2.3E-2</v>
      </c>
      <c r="CM47" s="51">
        <v>2.3E-2</v>
      </c>
      <c r="CN47" s="51">
        <v>2.1999999999999999E-2</v>
      </c>
      <c r="CO47" s="51">
        <v>2.1999999999999999E-2</v>
      </c>
      <c r="CP47" s="51">
        <v>2.1999999999999999E-2</v>
      </c>
      <c r="CQ47" s="51">
        <v>2.1999999999999999E-2</v>
      </c>
    </row>
    <row r="48" spans="2:147">
      <c r="B48" s="38" t="s">
        <v>252</v>
      </c>
      <c r="AM48" s="62">
        <f t="shared" ref="AM48:BI48" si="180">AM28/AM21</f>
        <v>3.6831429486495142E-2</v>
      </c>
      <c r="AN48" s="62">
        <f t="shared" si="180"/>
        <v>3.520408163265306E-2</v>
      </c>
      <c r="AO48" s="62">
        <f t="shared" si="180"/>
        <v>3.4404124529050166E-2</v>
      </c>
      <c r="AP48" s="62">
        <f t="shared" si="180"/>
        <v>3.0462278435913422E-2</v>
      </c>
      <c r="AQ48" s="62">
        <f t="shared" si="180"/>
        <v>3.1147203947368422E-2</v>
      </c>
      <c r="AR48" s="62">
        <f t="shared" si="180"/>
        <v>2.8861003861003862E-2</v>
      </c>
      <c r="AS48" s="62">
        <f t="shared" si="180"/>
        <v>2.6538571292685248E-2</v>
      </c>
      <c r="AT48" s="62">
        <f t="shared" si="180"/>
        <v>2.2719594594594595E-2</v>
      </c>
      <c r="AU48" s="62">
        <f t="shared" si="180"/>
        <v>8.0297072957623422E-2</v>
      </c>
      <c r="AV48" s="62">
        <f t="shared" si="180"/>
        <v>7.389002036659878E-2</v>
      </c>
      <c r="AW48" s="62">
        <f t="shared" si="180"/>
        <v>7.1463139216002586E-2</v>
      </c>
      <c r="AX48" s="62">
        <f t="shared" si="180"/>
        <v>6.2874900628749009E-2</v>
      </c>
      <c r="AY48" s="62">
        <f t="shared" si="180"/>
        <v>6.1270376616076448E-2</v>
      </c>
      <c r="AZ48" s="62">
        <f t="shared" si="180"/>
        <v>5.8341704659608994E-2</v>
      </c>
      <c r="BA48" s="62">
        <f t="shared" si="180"/>
        <v>5.6400602409638553E-2</v>
      </c>
      <c r="BB48" s="62">
        <f t="shared" si="180"/>
        <v>5.2005319521243085E-2</v>
      </c>
      <c r="BC48" s="62">
        <f t="shared" si="180"/>
        <v>4.6892612910498233E-2</v>
      </c>
      <c r="BD48" s="62">
        <f t="shared" si="180"/>
        <v>4.203712924105555E-2</v>
      </c>
      <c r="BE48" s="62">
        <f t="shared" si="180"/>
        <v>3.878273177636235E-2</v>
      </c>
      <c r="BF48" s="62">
        <f t="shared" si="180"/>
        <v>3.4207382254920454E-2</v>
      </c>
      <c r="BG48" s="62">
        <f t="shared" si="180"/>
        <v>2.8138818169636877E-2</v>
      </c>
      <c r="BH48" s="62">
        <f t="shared" si="180"/>
        <v>2.5345622119815669E-2</v>
      </c>
      <c r="BI48" s="62">
        <f t="shared" si="180"/>
        <v>2.4025596276905179E-2</v>
      </c>
      <c r="BJ48" s="62">
        <f>BJ28/BJ21</f>
        <v>2.2467810040139705E-2</v>
      </c>
      <c r="BK48" s="62">
        <f>BK28/BK21</f>
        <v>1.0441974670457483E-2</v>
      </c>
      <c r="CD48" s="62">
        <f t="shared" ref="CD48:CG48" si="181">CD28/CD21</f>
        <v>7.1704534080672608E-2</v>
      </c>
      <c r="CE48" s="62">
        <f t="shared" si="181"/>
        <v>5.683427427729839E-2</v>
      </c>
      <c r="CF48" s="62">
        <f t="shared" si="181"/>
        <v>4.0192337845607065E-2</v>
      </c>
      <c r="CG48" s="62">
        <f t="shared" si="181"/>
        <v>2.4808112000237539E-2</v>
      </c>
      <c r="CH48" s="51">
        <v>2.4808112000237539E-2</v>
      </c>
      <c r="CI48" s="51">
        <v>2.4808112000237539E-2</v>
      </c>
      <c r="CJ48" s="51">
        <v>2.4808112000237539E-2</v>
      </c>
      <c r="CK48" s="51">
        <v>2.4E-2</v>
      </c>
      <c r="CL48" s="51">
        <v>2.4E-2</v>
      </c>
      <c r="CM48" s="51">
        <v>2.4E-2</v>
      </c>
      <c r="CN48" s="51">
        <v>2.3E-2</v>
      </c>
      <c r="CO48" s="51">
        <v>2.3E-2</v>
      </c>
      <c r="CP48" s="51">
        <v>2.3E-2</v>
      </c>
      <c r="CQ48" s="51">
        <v>2.3E-2</v>
      </c>
    </row>
    <row r="49" spans="2:147">
      <c r="B49" s="38" t="s">
        <v>253</v>
      </c>
      <c r="C49" s="62">
        <f t="shared" ref="C49:AK49" si="182">C30/C21</f>
        <v>0.67960353475041801</v>
      </c>
      <c r="D49" s="62">
        <f t="shared" si="182"/>
        <v>0.6461555959963603</v>
      </c>
      <c r="E49" s="62">
        <f t="shared" si="182"/>
        <v>0.63303462772430574</v>
      </c>
      <c r="F49" s="62">
        <f t="shared" si="182"/>
        <v>0.57905826310003661</v>
      </c>
      <c r="G49" s="62">
        <f t="shared" si="182"/>
        <v>0.64808703092531472</v>
      </c>
      <c r="H49" s="62">
        <f t="shared" si="182"/>
        <v>0.61831977127776561</v>
      </c>
      <c r="I49" s="62">
        <f t="shared" si="182"/>
        <v>0.62781870953337804</v>
      </c>
      <c r="J49" s="62">
        <f t="shared" si="182"/>
        <v>0.54325385950488714</v>
      </c>
      <c r="K49" s="62">
        <f t="shared" si="182"/>
        <v>0.65683229813664601</v>
      </c>
      <c r="L49" s="62">
        <f t="shared" si="182"/>
        <v>0.63234501347708894</v>
      </c>
      <c r="M49" s="62">
        <f t="shared" si="182"/>
        <v>0.61674008810572689</v>
      </c>
      <c r="N49" s="62">
        <f t="shared" si="182"/>
        <v>0.56638106174366221</v>
      </c>
      <c r="O49" s="62">
        <f t="shared" si="182"/>
        <v>0.65530479292694277</v>
      </c>
      <c r="P49" s="62">
        <f t="shared" si="182"/>
        <v>0.63096478433006875</v>
      </c>
      <c r="Q49" s="62">
        <f t="shared" si="182"/>
        <v>0.63728958936421143</v>
      </c>
      <c r="R49" s="62">
        <f t="shared" si="182"/>
        <v>0.62793087342363385</v>
      </c>
      <c r="S49" s="62">
        <f t="shared" si="182"/>
        <v>0.68584280303030298</v>
      </c>
      <c r="T49" s="62">
        <f t="shared" si="182"/>
        <v>0.6714110975202936</v>
      </c>
      <c r="U49" s="62">
        <f t="shared" si="182"/>
        <v>0.66411451398135823</v>
      </c>
      <c r="V49" s="62">
        <f t="shared" si="182"/>
        <v>0.6254483670001888</v>
      </c>
      <c r="W49" s="62">
        <f t="shared" si="182"/>
        <v>0.69272833042466553</v>
      </c>
      <c r="X49" s="62">
        <f t="shared" si="182"/>
        <v>0.66386275594908684</v>
      </c>
      <c r="Y49" s="62">
        <f t="shared" si="182"/>
        <v>0.67854426941879409</v>
      </c>
      <c r="Z49" s="62">
        <f t="shared" si="182"/>
        <v>0.60974719357488361</v>
      </c>
      <c r="AA49" s="62">
        <f t="shared" si="182"/>
        <v>0.69804481546572938</v>
      </c>
      <c r="AB49" s="62">
        <f t="shared" si="182"/>
        <v>0.68307435603295441</v>
      </c>
      <c r="AC49" s="62">
        <f t="shared" si="182"/>
        <v>0.65739975196362133</v>
      </c>
      <c r="AD49" s="62">
        <f t="shared" si="182"/>
        <v>0.62220809878336658</v>
      </c>
      <c r="AE49" s="62">
        <f t="shared" si="182"/>
        <v>0.69781355379092791</v>
      </c>
      <c r="AF49" s="62">
        <f t="shared" si="182"/>
        <v>0.67569546120058566</v>
      </c>
      <c r="AG49" s="62">
        <f t="shared" si="182"/>
        <v>0.64645308924485123</v>
      </c>
      <c r="AH49" s="62">
        <f t="shared" si="182"/>
        <v>0.61776061776061775</v>
      </c>
      <c r="AI49" s="62">
        <f t="shared" si="182"/>
        <v>0.68789325233239318</v>
      </c>
      <c r="AJ49" s="62">
        <f t="shared" si="182"/>
        <v>0.66892032452673189</v>
      </c>
      <c r="AK49" s="62">
        <f t="shared" si="182"/>
        <v>0.63985300122498978</v>
      </c>
      <c r="AL49" s="62">
        <f>AL30/AL21</f>
        <v>0.58730006704338666</v>
      </c>
      <c r="AM49" s="62">
        <f t="shared" ref="AM49:BI49" si="183">AM29/AM21</f>
        <v>2.0604248959111775E-2</v>
      </c>
      <c r="AN49" s="62">
        <f t="shared" si="183"/>
        <v>1.7551020408163264E-2</v>
      </c>
      <c r="AO49" s="62">
        <f t="shared" si="183"/>
        <v>7.8326393020027758E-3</v>
      </c>
      <c r="AP49" s="62">
        <f t="shared" si="183"/>
        <v>1.1133873697336778E-2</v>
      </c>
      <c r="AQ49" s="62">
        <f t="shared" si="183"/>
        <v>6.0649671052631577E-3</v>
      </c>
      <c r="AR49" s="62">
        <f t="shared" si="183"/>
        <v>0.45357142857142857</v>
      </c>
      <c r="AS49" s="62">
        <f t="shared" si="183"/>
        <v>3.7096927613430989E-3</v>
      </c>
      <c r="AT49" s="62">
        <f t="shared" si="183"/>
        <v>9.0371621621621618E-3</v>
      </c>
      <c r="AU49" s="62">
        <f t="shared" si="183"/>
        <v>1.616426387068589E-2</v>
      </c>
      <c r="AV49" s="62">
        <f t="shared" si="183"/>
        <v>1.6211812627291242E-2</v>
      </c>
      <c r="AW49" s="62">
        <f t="shared" si="183"/>
        <v>9.2756896273592515E-3</v>
      </c>
      <c r="AX49" s="62">
        <f t="shared" si="183"/>
        <v>1.3080870130808702E-2</v>
      </c>
      <c r="AY49" s="62">
        <f t="shared" si="183"/>
        <v>1.1964988356219385E-2</v>
      </c>
      <c r="AZ49" s="62">
        <f t="shared" si="183"/>
        <v>1.0045591530793601E-2</v>
      </c>
      <c r="BA49" s="62">
        <f t="shared" si="183"/>
        <v>1.8448795180722892E-2</v>
      </c>
      <c r="BB49" s="62">
        <f t="shared" si="183"/>
        <v>1.3578777909988101E-2</v>
      </c>
      <c r="BC49" s="62">
        <f t="shared" si="183"/>
        <v>6.4627639588186667E-3</v>
      </c>
      <c r="BD49" s="62">
        <f t="shared" si="183"/>
        <v>8.1798136425065802E-3</v>
      </c>
      <c r="BE49" s="62">
        <f t="shared" si="183"/>
        <v>6.4401981599433826E-3</v>
      </c>
      <c r="BF49" s="62">
        <f t="shared" si="183"/>
        <v>5.1562598251902155E-3</v>
      </c>
      <c r="BG49" s="62">
        <f t="shared" si="183"/>
        <v>2.7803832239045961E-2</v>
      </c>
      <c r="BH49" s="62">
        <f t="shared" si="183"/>
        <v>2.6591107236268528E-2</v>
      </c>
      <c r="BI49" s="62">
        <f t="shared" si="183"/>
        <v>1.0063990692262943E-2</v>
      </c>
      <c r="BJ49" s="62">
        <f>BJ29/BJ21</f>
        <v>4.2902569983839858E-2</v>
      </c>
      <c r="BK49" s="62">
        <f>BK29/BK21</f>
        <v>4.8591367278366503E-3</v>
      </c>
      <c r="CD49" s="62">
        <f t="shared" ref="CD49:CG49" si="184">CD29/CD21</f>
        <v>1.3612251025923332E-2</v>
      </c>
      <c r="CE49" s="62">
        <f t="shared" si="184"/>
        <v>1.3557145824285795E-2</v>
      </c>
      <c r="CF49" s="62">
        <f t="shared" si="184"/>
        <v>6.5157929580654719E-3</v>
      </c>
      <c r="CG49" s="62">
        <f t="shared" si="184"/>
        <v>2.7287438573570674E-2</v>
      </c>
      <c r="CH49" s="51">
        <v>4.4999999999999998E-2</v>
      </c>
      <c r="CI49" s="51">
        <v>5.5E-2</v>
      </c>
      <c r="CJ49" s="51">
        <v>7.0000000000000007E-2</v>
      </c>
      <c r="CK49" s="51">
        <v>0.06</v>
      </c>
      <c r="CL49" s="51">
        <v>0.05</v>
      </c>
      <c r="CM49" s="51">
        <v>0.04</v>
      </c>
      <c r="CN49" s="51">
        <v>3.5000000000000003E-2</v>
      </c>
      <c r="CO49" s="51">
        <v>3.2500000000000001E-2</v>
      </c>
      <c r="CP49" s="51">
        <v>0.03</v>
      </c>
      <c r="CQ49" s="51">
        <v>2.75E-2</v>
      </c>
    </row>
    <row r="50" spans="2:147">
      <c r="B50" s="38" t="s">
        <v>107</v>
      </c>
      <c r="C50" s="62">
        <f t="shared" ref="C50:AK50" si="185">C31/C21</f>
        <v>0.32039646524958204</v>
      </c>
      <c r="D50" s="62">
        <f t="shared" si="185"/>
        <v>0.35384440400363965</v>
      </c>
      <c r="E50" s="62">
        <f t="shared" si="185"/>
        <v>0.3669653722756942</v>
      </c>
      <c r="F50" s="62">
        <f t="shared" si="185"/>
        <v>0.42094173689996334</v>
      </c>
      <c r="G50" s="62">
        <f t="shared" si="185"/>
        <v>0.35191296907468522</v>
      </c>
      <c r="H50" s="62">
        <f t="shared" si="185"/>
        <v>0.38168022872223445</v>
      </c>
      <c r="I50" s="62">
        <f t="shared" si="185"/>
        <v>0.37218129046662202</v>
      </c>
      <c r="J50" s="62">
        <f t="shared" si="185"/>
        <v>0.45674614049511281</v>
      </c>
      <c r="K50" s="62">
        <f t="shared" si="185"/>
        <v>0.34316770186335405</v>
      </c>
      <c r="L50" s="62">
        <f t="shared" si="185"/>
        <v>0.36765498652291106</v>
      </c>
      <c r="M50" s="62">
        <f t="shared" si="185"/>
        <v>0.38325991189427311</v>
      </c>
      <c r="N50" s="62">
        <f t="shared" si="185"/>
        <v>0.43361893825633779</v>
      </c>
      <c r="O50" s="62">
        <f t="shared" si="185"/>
        <v>0.34469520707305723</v>
      </c>
      <c r="P50" s="62">
        <f t="shared" si="185"/>
        <v>0.36903521566993125</v>
      </c>
      <c r="Q50" s="62">
        <f t="shared" si="185"/>
        <v>0.36271041063578857</v>
      </c>
      <c r="R50" s="62">
        <f t="shared" si="185"/>
        <v>0.3720691265763662</v>
      </c>
      <c r="S50" s="62">
        <f t="shared" si="185"/>
        <v>0.31415719696969696</v>
      </c>
      <c r="T50" s="62">
        <f t="shared" si="185"/>
        <v>0.32858890247970646</v>
      </c>
      <c r="U50" s="62">
        <f t="shared" si="185"/>
        <v>0.33588548601864182</v>
      </c>
      <c r="V50" s="62">
        <f t="shared" si="185"/>
        <v>0.3745516329998112</v>
      </c>
      <c r="W50" s="62">
        <f t="shared" si="185"/>
        <v>0.30727166957533447</v>
      </c>
      <c r="X50" s="62">
        <f t="shared" si="185"/>
        <v>0.33613724405091311</v>
      </c>
      <c r="Y50" s="62">
        <f t="shared" si="185"/>
        <v>0.32145573058120586</v>
      </c>
      <c r="Z50" s="62">
        <f t="shared" si="185"/>
        <v>0.39025280642511634</v>
      </c>
      <c r="AA50" s="62">
        <f t="shared" si="185"/>
        <v>0.30195518453427067</v>
      </c>
      <c r="AB50" s="62">
        <f t="shared" si="185"/>
        <v>0.31692564396704559</v>
      </c>
      <c r="AC50" s="62">
        <f t="shared" si="185"/>
        <v>0.34260024803637867</v>
      </c>
      <c r="AD50" s="62">
        <f t="shared" si="185"/>
        <v>0.37779190121663336</v>
      </c>
      <c r="AE50" s="62">
        <f t="shared" si="185"/>
        <v>0.30218644620907215</v>
      </c>
      <c r="AF50" s="62">
        <f t="shared" si="185"/>
        <v>0.32430453879941434</v>
      </c>
      <c r="AG50" s="62">
        <f t="shared" si="185"/>
        <v>0.35354691075514877</v>
      </c>
      <c r="AH50" s="62">
        <f t="shared" si="185"/>
        <v>0.38223938223938225</v>
      </c>
      <c r="AI50" s="62">
        <f t="shared" si="185"/>
        <v>0.31210674766760688</v>
      </c>
      <c r="AJ50" s="62">
        <f t="shared" si="185"/>
        <v>0.33107967547326816</v>
      </c>
      <c r="AK50" s="62">
        <f t="shared" si="185"/>
        <v>0.36014699877501022</v>
      </c>
      <c r="AL50" s="62">
        <f t="shared" ref="AL50" si="186">AL31/AL21</f>
        <v>0.41269993295661334</v>
      </c>
      <c r="AM50" s="62">
        <f t="shared" ref="AM50:BI50" si="187">AM31/AM21</f>
        <v>0.34279918864097364</v>
      </c>
      <c r="AN50" s="62">
        <f t="shared" si="187"/>
        <v>0.36561224489795918</v>
      </c>
      <c r="AO50" s="62">
        <f t="shared" si="187"/>
        <v>0.38459250446162996</v>
      </c>
      <c r="AP50" s="62">
        <f t="shared" si="187"/>
        <v>0.40447136367685044</v>
      </c>
      <c r="AQ50" s="62">
        <f t="shared" si="187"/>
        <v>0.35228207236842107</v>
      </c>
      <c r="AR50" s="62">
        <f t="shared" si="187"/>
        <v>-7.9536679536679533E-2</v>
      </c>
      <c r="AS50" s="62">
        <f t="shared" si="187"/>
        <v>0.36354989061162368</v>
      </c>
      <c r="AT50" s="62">
        <f t="shared" si="187"/>
        <v>0.3802364864864865</v>
      </c>
      <c r="AU50" s="62">
        <f t="shared" si="187"/>
        <v>0.22918304936653561</v>
      </c>
      <c r="AV50" s="62">
        <f t="shared" si="187"/>
        <v>0.25018329938900202</v>
      </c>
      <c r="AW50" s="62">
        <f t="shared" si="187"/>
        <v>0.26294563639296659</v>
      </c>
      <c r="AX50" s="62">
        <f t="shared" si="187"/>
        <v>0.29919780299197801</v>
      </c>
      <c r="AY50" s="62">
        <f t="shared" si="187"/>
        <v>0.26467517867180601</v>
      </c>
      <c r="AZ50" s="62">
        <f t="shared" si="187"/>
        <v>0.27988563480411094</v>
      </c>
      <c r="BA50" s="62">
        <f t="shared" si="187"/>
        <v>0.28237951807228917</v>
      </c>
      <c r="BB50" s="62">
        <f t="shared" si="187"/>
        <v>0.32792048715615596</v>
      </c>
      <c r="BC50" s="62">
        <f t="shared" si="187"/>
        <v>0.2999173367400616</v>
      </c>
      <c r="BD50" s="62">
        <f t="shared" si="187"/>
        <v>0.30016359627285011</v>
      </c>
      <c r="BE50" s="62">
        <f t="shared" si="187"/>
        <v>0.30842179759377214</v>
      </c>
      <c r="BF50" s="62">
        <f t="shared" si="187"/>
        <v>0.32126013959630256</v>
      </c>
      <c r="BG50" s="62">
        <f t="shared" si="187"/>
        <v>0.28654696502746885</v>
      </c>
      <c r="BH50" s="62">
        <f t="shared" si="187"/>
        <v>0.29461950429692363</v>
      </c>
      <c r="BI50" s="62">
        <f t="shared" si="187"/>
        <v>0.31785922047702153</v>
      </c>
      <c r="BJ50" s="62">
        <f>BJ31/BJ21</f>
        <v>0.31976228952718555</v>
      </c>
      <c r="BK50" s="62">
        <f>BK31/BK21</f>
        <v>0.34779012664771258</v>
      </c>
      <c r="CD50" s="62">
        <f t="shared" ref="CD50:CG50" si="188">CD31/CD21</f>
        <v>0.26211590431388249</v>
      </c>
      <c r="CE50" s="62">
        <f t="shared" si="188"/>
        <v>0.28989256245161532</v>
      </c>
      <c r="CF50" s="62">
        <f t="shared" si="188"/>
        <v>0.30798445965957594</v>
      </c>
      <c r="CG50" s="62">
        <f t="shared" si="188"/>
        <v>0.30592217586887777</v>
      </c>
      <c r="CH50" s="51">
        <f>CH31/CH21</f>
        <v>0.27417062814555287</v>
      </c>
      <c r="CI50" s="51">
        <f t="shared" ref="CI50:CQ50" si="189">CI31/CI21</f>
        <v>0.25866977448520578</v>
      </c>
      <c r="CJ50" s="51">
        <f t="shared" si="189"/>
        <v>0.23817062814555287</v>
      </c>
      <c r="CK50" s="51">
        <f t="shared" si="189"/>
        <v>0.27400000000000002</v>
      </c>
      <c r="CL50" s="51">
        <f t="shared" si="189"/>
        <v>0.29699999999999999</v>
      </c>
      <c r="CM50" s="51">
        <f t="shared" si="189"/>
        <v>0.316</v>
      </c>
      <c r="CN50" s="51">
        <f t="shared" si="189"/>
        <v>0.33100000000000002</v>
      </c>
      <c r="CO50" s="51">
        <f t="shared" si="189"/>
        <v>0.34249999999999997</v>
      </c>
      <c r="CP50" s="51">
        <f t="shared" si="189"/>
        <v>0.35200000000000009</v>
      </c>
      <c r="CQ50" s="51">
        <f t="shared" si="189"/>
        <v>0.36149999999999999</v>
      </c>
    </row>
    <row r="51" spans="2:147">
      <c r="B51" s="38" t="s">
        <v>108</v>
      </c>
      <c r="C51" s="62">
        <f t="shared" ref="C51:AK51" si="190">C35/C34</f>
        <v>0.25536220153783895</v>
      </c>
      <c r="D51" s="62">
        <f t="shared" si="190"/>
        <v>0.25945945945945947</v>
      </c>
      <c r="E51" s="62">
        <f t="shared" si="190"/>
        <v>0.20648030495552733</v>
      </c>
      <c r="F51" s="62">
        <f t="shared" si="190"/>
        <v>0.21263974446725986</v>
      </c>
      <c r="G51" s="62">
        <f t="shared" si="190"/>
        <v>0.24722427831236121</v>
      </c>
      <c r="H51" s="62">
        <f t="shared" si="190"/>
        <v>0.21310975609756097</v>
      </c>
      <c r="I51" s="62">
        <f t="shared" si="190"/>
        <v>0.18964401294498381</v>
      </c>
      <c r="J51" s="62">
        <f t="shared" si="190"/>
        <v>0.21135515955242437</v>
      </c>
      <c r="K51" s="62">
        <f t="shared" si="190"/>
        <v>0.17724371010138942</v>
      </c>
      <c r="L51" s="62">
        <f t="shared" si="190"/>
        <v>0.20293474867311895</v>
      </c>
      <c r="M51" s="62">
        <f t="shared" si="190"/>
        <v>0.21052631578947367</v>
      </c>
      <c r="N51" s="62">
        <f t="shared" si="190"/>
        <v>0.20549139246023099</v>
      </c>
      <c r="O51" s="62">
        <f t="shared" si="190"/>
        <v>0.19646799116997793</v>
      </c>
      <c r="P51" s="62">
        <f t="shared" si="190"/>
        <v>0.2346283267054145</v>
      </c>
      <c r="Q51" s="62">
        <f t="shared" si="190"/>
        <v>0.20793650793650795</v>
      </c>
      <c r="R51" s="62">
        <f t="shared" si="190"/>
        <v>0.25426021098187718</v>
      </c>
      <c r="S51" s="62">
        <f t="shared" si="190"/>
        <v>0.24372294372294373</v>
      </c>
      <c r="T51" s="62">
        <f t="shared" si="190"/>
        <v>0.1765367316341829</v>
      </c>
      <c r="U51" s="62">
        <f t="shared" si="190"/>
        <v>0.21595900439238652</v>
      </c>
      <c r="V51" s="62">
        <f t="shared" si="190"/>
        <v>0.24571275455519828</v>
      </c>
      <c r="W51" s="62">
        <f t="shared" si="190"/>
        <v>0.22798145806995365</v>
      </c>
      <c r="X51" s="62">
        <f t="shared" si="190"/>
        <v>0.24320297951582867</v>
      </c>
      <c r="Y51" s="62">
        <f t="shared" si="190"/>
        <v>0.17012601927353596</v>
      </c>
      <c r="Z51" s="62">
        <f t="shared" si="190"/>
        <v>0.14653414882772681</v>
      </c>
      <c r="AA51" s="62">
        <f t="shared" si="190"/>
        <v>0.1424</v>
      </c>
      <c r="AB51" s="62">
        <f t="shared" si="190"/>
        <v>0.21656050955414013</v>
      </c>
      <c r="AC51" s="62">
        <f t="shared" si="190"/>
        <v>2.2682544656847385</v>
      </c>
      <c r="AD51" s="62">
        <f t="shared" si="190"/>
        <v>0.16150499104172</v>
      </c>
      <c r="AE51" s="62">
        <f t="shared" si="190"/>
        <v>0.10826771653543307</v>
      </c>
      <c r="AF51" s="62">
        <f t="shared" si="190"/>
        <v>0.15897620764239365</v>
      </c>
      <c r="AG51" s="62">
        <f t="shared" si="190"/>
        <v>0.11107512953367876</v>
      </c>
      <c r="AH51" s="62">
        <f t="shared" si="190"/>
        <v>3.2591826176927054E-2</v>
      </c>
      <c r="AI51" s="62">
        <f t="shared" si="190"/>
        <v>0.13900080580177276</v>
      </c>
      <c r="AJ51" s="62">
        <f t="shared" si="190"/>
        <v>0.17758007117437721</v>
      </c>
      <c r="AK51" s="62">
        <f t="shared" si="190"/>
        <v>0.16417425227568269</v>
      </c>
      <c r="AL51" s="62">
        <f t="shared" ref="AL51" si="191">AL35/AL34</f>
        <v>0.15665584415584416</v>
      </c>
      <c r="AM51" s="62">
        <f t="shared" ref="AM51:BI51" si="192">AM35/AM34</f>
        <v>0.13256262042389211</v>
      </c>
      <c r="AN51" s="62">
        <f t="shared" si="192"/>
        <v>0.17833109017496634</v>
      </c>
      <c r="AO51" s="62">
        <f t="shared" si="192"/>
        <v>0.53249923710711011</v>
      </c>
      <c r="AP51" s="62">
        <f t="shared" si="192"/>
        <v>-0.45043310875842157</v>
      </c>
      <c r="AQ51" s="62">
        <f t="shared" si="192"/>
        <v>8.3550913838120106E-2</v>
      </c>
      <c r="AR51" s="62">
        <f t="shared" si="192"/>
        <v>0.16644385026737968</v>
      </c>
      <c r="AS51" s="62">
        <f t="shared" si="192"/>
        <v>-0.18345070422535212</v>
      </c>
      <c r="AT51" s="62">
        <f t="shared" si="192"/>
        <v>0.40772413793103446</v>
      </c>
      <c r="AU51" s="62">
        <f t="shared" si="192"/>
        <v>6.5217391304347824E-2</v>
      </c>
      <c r="AV51" s="62">
        <f t="shared" si="192"/>
        <v>0.18796641791044777</v>
      </c>
      <c r="AW51" s="62">
        <f t="shared" si="192"/>
        <v>0.14517583408476104</v>
      </c>
      <c r="AX51" s="62">
        <f t="shared" si="192"/>
        <v>-6.7545834673528468E-2</v>
      </c>
      <c r="AY51" s="62">
        <f t="shared" si="192"/>
        <v>1.8947368421052633E-2</v>
      </c>
      <c r="AZ51" s="62">
        <f t="shared" si="192"/>
        <v>7.9779411764705876E-2</v>
      </c>
      <c r="BA51" s="62">
        <f t="shared" si="192"/>
        <v>0.16195462478184991</v>
      </c>
      <c r="BB51" s="62">
        <f t="shared" si="192"/>
        <v>0.1449352023274266</v>
      </c>
      <c r="BC51" s="62">
        <f t="shared" si="192"/>
        <v>7.5733669927421893E-2</v>
      </c>
      <c r="BD51" s="62">
        <f t="shared" si="192"/>
        <v>7.0501474926253693E-2</v>
      </c>
      <c r="BE51" s="62">
        <f t="shared" si="192"/>
        <v>0.14849187935034802</v>
      </c>
      <c r="BF51" s="62">
        <f t="shared" si="192"/>
        <v>0.17481338791235251</v>
      </c>
      <c r="BG51" s="62">
        <f t="shared" si="192"/>
        <v>0.14590020426028597</v>
      </c>
      <c r="BH51" s="62">
        <f t="shared" si="192"/>
        <v>3.2639545884578999E-2</v>
      </c>
      <c r="BI51" s="62">
        <f t="shared" si="192"/>
        <v>0.15738224637681159</v>
      </c>
      <c r="BJ51" s="62">
        <f>BJ35/BJ34</f>
        <v>0.19836096107282547</v>
      </c>
      <c r="BK51" s="62">
        <f>BK35/BK34</f>
        <v>0.15106117353308365</v>
      </c>
      <c r="CD51" s="62">
        <f t="shared" ref="CD51:CG51" si="193">CD35/CD34</f>
        <v>6.8259011723457871E-2</v>
      </c>
      <c r="CE51" s="62">
        <f t="shared" si="193"/>
        <v>0.10850864491951281</v>
      </c>
      <c r="CF51" s="62">
        <f t="shared" si="193"/>
        <v>0.12125706214689265</v>
      </c>
      <c r="CG51" s="62">
        <f t="shared" si="193"/>
        <v>0.12616344481947428</v>
      </c>
      <c r="CH51" s="51">
        <v>0.12616344481947428</v>
      </c>
      <c r="CI51" s="51">
        <v>0.12616344481947428</v>
      </c>
      <c r="CJ51" s="51">
        <v>0.12616344481947428</v>
      </c>
      <c r="CK51" s="51">
        <v>0.12616344481947428</v>
      </c>
      <c r="CL51" s="51">
        <v>0.12616344481947428</v>
      </c>
      <c r="CM51" s="51">
        <v>0.12616344481947428</v>
      </c>
      <c r="CN51" s="51">
        <v>0.12616344481947428</v>
      </c>
      <c r="CO51" s="51">
        <v>0.12616344481947428</v>
      </c>
      <c r="CP51" s="51">
        <v>0.12616344481947428</v>
      </c>
      <c r="CQ51" s="51">
        <v>0.12616344481947428</v>
      </c>
    </row>
    <row r="52" spans="2:147">
      <c r="B52" s="38" t="s">
        <v>109</v>
      </c>
      <c r="C52" s="62">
        <f t="shared" ref="C52:AK52" si="194">C38/C21</f>
        <v>0.21972772868402196</v>
      </c>
      <c r="D52" s="62">
        <f t="shared" si="194"/>
        <v>0.24931756141947226</v>
      </c>
      <c r="E52" s="62">
        <f t="shared" si="194"/>
        <v>0.27635800420400486</v>
      </c>
      <c r="F52" s="62">
        <f t="shared" si="194"/>
        <v>0.3161414437522902</v>
      </c>
      <c r="G52" s="62">
        <f t="shared" si="194"/>
        <v>0.24862486248624863</v>
      </c>
      <c r="H52" s="62">
        <f t="shared" si="194"/>
        <v>0.28381350340884098</v>
      </c>
      <c r="I52" s="62">
        <f t="shared" si="194"/>
        <v>0.27952668006251397</v>
      </c>
      <c r="J52" s="62">
        <f t="shared" si="194"/>
        <v>0.34767516214487987</v>
      </c>
      <c r="K52" s="62">
        <f t="shared" si="194"/>
        <v>0.26170568561872909</v>
      </c>
      <c r="L52" s="62">
        <f t="shared" si="194"/>
        <v>0.27525606469002695</v>
      </c>
      <c r="M52" s="62">
        <f t="shared" si="194"/>
        <v>0.27559901149672289</v>
      </c>
      <c r="N52" s="62">
        <f t="shared" si="194"/>
        <v>0.32205635544563199</v>
      </c>
      <c r="O52" s="62">
        <f t="shared" si="194"/>
        <v>0.25407166123778502</v>
      </c>
      <c r="P52" s="62">
        <f t="shared" si="194"/>
        <v>0.26067930818920609</v>
      </c>
      <c r="Q52" s="62">
        <f t="shared" si="194"/>
        <v>0.26750294842929129</v>
      </c>
      <c r="R52" s="62">
        <f t="shared" si="194"/>
        <v>0.25754320411022885</v>
      </c>
      <c r="S52" s="62">
        <f t="shared" si="194"/>
        <v>0.20679450757575757</v>
      </c>
      <c r="T52" s="62">
        <f t="shared" si="194"/>
        <v>0.24430112309574112</v>
      </c>
      <c r="U52" s="62">
        <f t="shared" si="194"/>
        <v>0.23768308921438083</v>
      </c>
      <c r="V52" s="62">
        <f t="shared" si="194"/>
        <v>0.26571644326977534</v>
      </c>
      <c r="W52" s="62">
        <f t="shared" si="194"/>
        <v>0.21314717859220478</v>
      </c>
      <c r="X52" s="62">
        <f t="shared" si="194"/>
        <v>0.22490315439955727</v>
      </c>
      <c r="Y52" s="62">
        <f t="shared" si="194"/>
        <v>0.24323737099402498</v>
      </c>
      <c r="Z52" s="62">
        <f t="shared" si="194"/>
        <v>0.30564935657570502</v>
      </c>
      <c r="AA52" s="62">
        <f t="shared" si="194"/>
        <v>0.23550087873462214</v>
      </c>
      <c r="AB52" s="62">
        <f t="shared" si="194"/>
        <v>0.23088956095526122</v>
      </c>
      <c r="AC52" s="62">
        <f t="shared" si="194"/>
        <v>-0.41825134353038446</v>
      </c>
      <c r="AD52" s="62">
        <f t="shared" si="194"/>
        <v>0.29743962229889231</v>
      </c>
      <c r="AE52" s="62">
        <f t="shared" si="194"/>
        <v>0.24638311758947024</v>
      </c>
      <c r="AF52" s="62">
        <f t="shared" si="194"/>
        <v>0.24398661367914662</v>
      </c>
      <c r="AG52" s="62">
        <f t="shared" si="194"/>
        <v>0.28552111504056582</v>
      </c>
      <c r="AH52" s="62">
        <f t="shared" si="194"/>
        <v>0.33581754511987072</v>
      </c>
      <c r="AI52" s="62">
        <f t="shared" si="194"/>
        <v>0.23182903015838577</v>
      </c>
      <c r="AJ52" s="62">
        <f t="shared" si="194"/>
        <v>0.24037861452049095</v>
      </c>
      <c r="AK52" s="62">
        <f t="shared" si="194"/>
        <v>0.26245406288280931</v>
      </c>
      <c r="AL52" s="62">
        <f t="shared" ref="AL52" si="195">AL38/AL21</f>
        <v>0.29853462312039075</v>
      </c>
      <c r="AM52" s="62">
        <f t="shared" ref="AM52:BI52" si="196">AM38/AM21</f>
        <v>0.24031173267855235</v>
      </c>
      <c r="AN52" s="62">
        <f t="shared" si="196"/>
        <v>0.24918367346938775</v>
      </c>
      <c r="AO52" s="62">
        <f t="shared" si="196"/>
        <v>0.1518937140590918</v>
      </c>
      <c r="AP52" s="62">
        <f t="shared" si="196"/>
        <v>0.5369199251803688</v>
      </c>
      <c r="AQ52" s="62">
        <f t="shared" si="196"/>
        <v>0.25256990131578949</v>
      </c>
      <c r="AR52" s="62">
        <f t="shared" si="196"/>
        <v>-0.12036679536679537</v>
      </c>
      <c r="AS52" s="62">
        <f t="shared" si="196"/>
        <v>0.31969941976600402</v>
      </c>
      <c r="AT52" s="62">
        <f t="shared" si="196"/>
        <v>0.18133445945945945</v>
      </c>
      <c r="AU52" s="62">
        <f t="shared" si="196"/>
        <v>0.13525557011795544</v>
      </c>
      <c r="AV52" s="62">
        <f t="shared" si="196"/>
        <v>0.14183299389002035</v>
      </c>
      <c r="AW52" s="62">
        <f t="shared" si="196"/>
        <v>0.15292789159541861</v>
      </c>
      <c r="AX52" s="62">
        <f t="shared" si="196"/>
        <v>0.23986413239864132</v>
      </c>
      <c r="AY52" s="62">
        <f t="shared" si="196"/>
        <v>0.18710350919457158</v>
      </c>
      <c r="AZ52" s="62">
        <f t="shared" si="196"/>
        <v>0.19341627385827989</v>
      </c>
      <c r="BA52" s="62">
        <f t="shared" si="196"/>
        <v>0.18079819277108433</v>
      </c>
      <c r="BB52" s="62">
        <f t="shared" si="196"/>
        <v>0.22628963393294604</v>
      </c>
      <c r="BC52" s="62">
        <f t="shared" si="196"/>
        <v>0.22010971669046367</v>
      </c>
      <c r="BD52" s="62">
        <f t="shared" si="196"/>
        <v>0.22412689380468029</v>
      </c>
      <c r="BE52" s="62">
        <f t="shared" si="196"/>
        <v>0.20778485491861287</v>
      </c>
      <c r="BF52" s="62">
        <f t="shared" si="196"/>
        <v>0.21549393196252278</v>
      </c>
      <c r="BG52" s="62">
        <f t="shared" si="196"/>
        <v>0.19610076376792174</v>
      </c>
      <c r="BH52" s="62">
        <f t="shared" si="196"/>
        <v>0.3820525594719143</v>
      </c>
      <c r="BI52" s="62">
        <f t="shared" si="196"/>
        <v>0.21518324607329842</v>
      </c>
      <c r="BJ52" s="62">
        <f>BJ38/BJ21</f>
        <v>0.22014283480164729</v>
      </c>
      <c r="BK52" s="62">
        <f>BK38/BK21</f>
        <v>0.24187128456965623</v>
      </c>
      <c r="CD52" s="62">
        <f t="shared" ref="CD52:CG52" si="197">CD38/CD21</f>
        <v>0.17023320988890001</v>
      </c>
      <c r="CE52" s="62">
        <f t="shared" si="197"/>
        <v>0.19763599629916354</v>
      </c>
      <c r="CF52" s="62">
        <f t="shared" si="197"/>
        <v>0.21678078015296434</v>
      </c>
      <c r="CG52" s="62">
        <f t="shared" si="197"/>
        <v>0.25214899713467048</v>
      </c>
      <c r="CH52" s="51">
        <v>0.25214899713467048</v>
      </c>
      <c r="CI52" s="51">
        <v>0.25214899713467048</v>
      </c>
      <c r="CJ52" s="51">
        <v>0.25214899713467048</v>
      </c>
      <c r="CK52" s="51">
        <v>0.25214899713467048</v>
      </c>
      <c r="CL52" s="51">
        <v>0.25214899713467048</v>
      </c>
      <c r="CM52" s="51">
        <v>0.25214899713467048</v>
      </c>
      <c r="CN52" s="51">
        <v>0.25214899713467048</v>
      </c>
      <c r="CO52" s="51">
        <v>0.25214899713467048</v>
      </c>
      <c r="CP52" s="51">
        <v>0.25214899713467048</v>
      </c>
      <c r="CQ52" s="51">
        <v>0.25214899713467048</v>
      </c>
    </row>
    <row r="54" spans="2:147" ht="15">
      <c r="B54" s="1" t="s">
        <v>110</v>
      </c>
      <c r="AX54" s="1">
        <v>9765</v>
      </c>
      <c r="AY54" s="1">
        <v>11613</v>
      </c>
      <c r="AZ54" s="1">
        <v>8244</v>
      </c>
      <c r="BA54" s="1">
        <v>9481</v>
      </c>
      <c r="BB54" s="1">
        <v>10454</v>
      </c>
      <c r="BC54" s="1">
        <v>10616</v>
      </c>
      <c r="BD54" s="1">
        <v>10941</v>
      </c>
      <c r="BE54" s="1">
        <v>17406</v>
      </c>
      <c r="BF54" s="1">
        <v>10786</v>
      </c>
      <c r="BG54" s="1">
        <v>10445</v>
      </c>
      <c r="BH54" s="1">
        <v>19241</v>
      </c>
      <c r="BI54" s="1">
        <v>38455</v>
      </c>
      <c r="BJ54" s="1">
        <v>31289</v>
      </c>
      <c r="BK54" s="1">
        <v>36369</v>
      </c>
      <c r="CD54" s="1">
        <f t="shared" ref="CD54:CD63" si="198">AX54</f>
        <v>9765</v>
      </c>
      <c r="CE54" s="1">
        <f t="shared" ref="CE54:CE63" si="199">BB54</f>
        <v>10454</v>
      </c>
      <c r="CF54" s="1">
        <f t="shared" ref="CF54:CF63" si="200">BF54</f>
        <v>10786</v>
      </c>
      <c r="CG54" s="1">
        <f t="shared" ref="CG54:CG63" si="201">BJ54</f>
        <v>31289</v>
      </c>
      <c r="CH54" s="64">
        <f>CG54+CH38</f>
        <v>45752.968661805891</v>
      </c>
      <c r="CI54" s="64">
        <f t="shared" ref="CI54:CQ54" si="202">CH54+CI38</f>
        <v>69255.879434397706</v>
      </c>
      <c r="CJ54" s="64">
        <f t="shared" si="202"/>
        <v>98911.981130632048</v>
      </c>
      <c r="CK54" s="64">
        <f t="shared" si="202"/>
        <v>144136.94527102157</v>
      </c>
      <c r="CL54" s="64">
        <f t="shared" si="202"/>
        <v>205065.43263173499</v>
      </c>
      <c r="CM54" s="64">
        <f t="shared" si="202"/>
        <v>281539.78282872913</v>
      </c>
      <c r="CN54" s="64">
        <f t="shared" si="202"/>
        <v>372799.33676994796</v>
      </c>
      <c r="CO54" s="64">
        <f t="shared" si="202"/>
        <v>476859.96791653539</v>
      </c>
      <c r="CP54" s="64">
        <f t="shared" si="202"/>
        <v>592641.51031479635</v>
      </c>
      <c r="CQ54" s="64">
        <f t="shared" si="202"/>
        <v>719156.08615063643</v>
      </c>
      <c r="CS54" s="66" t="s">
        <v>254</v>
      </c>
      <c r="CV54" s="45" t="s">
        <v>1039</v>
      </c>
      <c r="CW54" s="46"/>
      <c r="CX54" s="67" t="s">
        <v>255</v>
      </c>
      <c r="CY54" s="46"/>
      <c r="CZ54" s="47" t="s">
        <v>256</v>
      </c>
      <c r="DA54" s="48">
        <v>0.03</v>
      </c>
      <c r="DB54" s="46"/>
    </row>
    <row r="55" spans="2:147">
      <c r="B55" s="1" t="s">
        <v>111</v>
      </c>
      <c r="AX55" s="1">
        <v>422</v>
      </c>
      <c r="AY55" s="1">
        <v>470</v>
      </c>
      <c r="AZ55" s="1">
        <v>446</v>
      </c>
      <c r="BA55" s="1">
        <v>423</v>
      </c>
      <c r="BB55" s="1">
        <v>207</v>
      </c>
      <c r="BC55" s="1">
        <v>295</v>
      </c>
      <c r="BD55" s="1">
        <v>370</v>
      </c>
      <c r="BE55" s="1">
        <v>417</v>
      </c>
      <c r="BF55" s="1">
        <v>417</v>
      </c>
      <c r="BG55" s="1">
        <v>560</v>
      </c>
      <c r="BH55" s="1">
        <v>525</v>
      </c>
      <c r="BI55" s="1">
        <v>677</v>
      </c>
      <c r="BJ55" s="1">
        <v>605</v>
      </c>
      <c r="BK55" s="1">
        <v>708</v>
      </c>
      <c r="CD55" s="1">
        <f t="shared" si="198"/>
        <v>422</v>
      </c>
      <c r="CE55" s="1">
        <f t="shared" si="199"/>
        <v>207</v>
      </c>
      <c r="CF55" s="1">
        <f t="shared" si="200"/>
        <v>417</v>
      </c>
      <c r="CG55" s="1">
        <f t="shared" si="201"/>
        <v>605</v>
      </c>
      <c r="CH55" s="64"/>
      <c r="CI55" s="64"/>
      <c r="CJ55" s="64"/>
      <c r="CK55" s="64"/>
      <c r="CL55" s="64"/>
      <c r="CM55" s="64"/>
      <c r="CN55" s="64"/>
      <c r="CO55" s="64"/>
      <c r="CP55" s="64"/>
      <c r="CQ55" s="64"/>
      <c r="CS55" s="46">
        <v>2025</v>
      </c>
      <c r="CT55" s="46">
        <v>2026</v>
      </c>
      <c r="CV55" s="45" t="s">
        <v>1038</v>
      </c>
      <c r="CW55" s="46"/>
      <c r="CX55" s="46">
        <v>2025</v>
      </c>
      <c r="CY55" s="46"/>
      <c r="CZ55" s="47" t="s">
        <v>257</v>
      </c>
      <c r="DA55" s="48">
        <v>1.4999999999999999E-2</v>
      </c>
      <c r="DB55" s="46"/>
    </row>
    <row r="56" spans="2:147" ht="13.5" customHeight="1">
      <c r="B56" s="1" t="s">
        <v>230</v>
      </c>
      <c r="AX56" s="1">
        <v>6915</v>
      </c>
      <c r="AY56" s="1">
        <v>6519</v>
      </c>
      <c r="AZ56" s="1">
        <v>6804</v>
      </c>
      <c r="BA56" s="1">
        <v>7297</v>
      </c>
      <c r="BB56" s="1">
        <v>7874</v>
      </c>
      <c r="BC56" s="1">
        <v>8021</v>
      </c>
      <c r="BD56" s="1">
        <v>8177</v>
      </c>
      <c r="BE56" s="1">
        <v>8051</v>
      </c>
      <c r="BF56" s="1">
        <v>8558</v>
      </c>
      <c r="BG56" s="1">
        <v>8843</v>
      </c>
      <c r="BH56" s="1">
        <v>9440</v>
      </c>
      <c r="BI56" s="1">
        <v>10719</v>
      </c>
      <c r="BJ56" s="1">
        <v>10385</v>
      </c>
      <c r="BK56" s="1">
        <v>11394</v>
      </c>
      <c r="CD56" s="1">
        <f t="shared" si="198"/>
        <v>6915</v>
      </c>
      <c r="CE56" s="1">
        <f t="shared" si="199"/>
        <v>7874</v>
      </c>
      <c r="CF56" s="1">
        <f t="shared" si="200"/>
        <v>8558</v>
      </c>
      <c r="CG56" s="1">
        <f t="shared" si="201"/>
        <v>10385</v>
      </c>
      <c r="CH56" s="64"/>
      <c r="CI56" s="88"/>
      <c r="CJ56" s="49"/>
      <c r="CK56" s="49"/>
      <c r="CL56" s="88"/>
      <c r="CM56" s="49"/>
      <c r="CN56" s="89"/>
      <c r="CO56" s="49"/>
      <c r="CP56" s="90"/>
      <c r="CQ56" s="49"/>
      <c r="CS56" s="49">
        <f>SUM(CF54:CF57)-CF65-CF66+CF58+CF60</f>
        <v>117924</v>
      </c>
      <c r="CT56" s="49">
        <f>SUM(CG54:CG57)-CG65-CG66+CG58+CG60</f>
        <v>190609</v>
      </c>
      <c r="CV56" s="49">
        <f>AVERAGE(CS56:CS56)</f>
        <v>117924</v>
      </c>
      <c r="CW56" s="46"/>
      <c r="CX56" s="49">
        <f>AVERAGE(CG35)*(1-CG51)</f>
        <v>2155.7547816303568</v>
      </c>
      <c r="CY56" s="46"/>
      <c r="CZ56" s="47" t="s">
        <v>258</v>
      </c>
      <c r="DA56" s="48">
        <f>CV65</f>
        <v>4.7399999999999998E-2</v>
      </c>
      <c r="DB56" s="46"/>
    </row>
    <row r="57" spans="2:147" ht="13.5" customHeight="1">
      <c r="B57" s="1" t="s">
        <v>231</v>
      </c>
      <c r="AX57" s="1">
        <v>3902</v>
      </c>
      <c r="AY57" s="1">
        <v>3564</v>
      </c>
      <c r="AZ57" s="1">
        <v>3795</v>
      </c>
      <c r="BA57" s="1">
        <v>3862</v>
      </c>
      <c r="BB57" s="1">
        <v>4019</v>
      </c>
      <c r="BC57" s="1">
        <v>4140</v>
      </c>
      <c r="BD57" s="1">
        <v>4015</v>
      </c>
      <c r="BE57" s="1">
        <v>4242</v>
      </c>
      <c r="BF57" s="1">
        <v>4818</v>
      </c>
      <c r="BG57" s="1">
        <v>4786</v>
      </c>
      <c r="BH57" s="1">
        <v>5160</v>
      </c>
      <c r="BI57" s="1">
        <v>5023</v>
      </c>
      <c r="BJ57" s="1">
        <v>4288</v>
      </c>
      <c r="BK57" s="1">
        <v>7159</v>
      </c>
      <c r="CD57" s="1">
        <f t="shared" si="198"/>
        <v>3902</v>
      </c>
      <c r="CE57" s="1">
        <f t="shared" si="199"/>
        <v>4019</v>
      </c>
      <c r="CF57" s="1">
        <f t="shared" si="200"/>
        <v>4818</v>
      </c>
      <c r="CG57" s="1">
        <f t="shared" si="201"/>
        <v>4288</v>
      </c>
      <c r="CH57" s="64"/>
      <c r="CI57" s="49"/>
      <c r="CJ57" s="49"/>
      <c r="CK57" s="49"/>
      <c r="CL57" s="49"/>
      <c r="CM57" s="49"/>
      <c r="CN57" s="89"/>
      <c r="CO57" s="49"/>
      <c r="CP57" s="90"/>
      <c r="CQ57" s="49"/>
      <c r="CT57" s="46"/>
      <c r="CU57" s="46"/>
      <c r="CV57" s="46"/>
      <c r="CW57" s="46"/>
      <c r="CX57" s="51">
        <f>CX56/CV56</f>
        <v>1.8280882446578786E-2</v>
      </c>
      <c r="CY57" s="46"/>
      <c r="CZ57" s="47" t="s">
        <v>259</v>
      </c>
      <c r="DA57" s="48">
        <f>9.75%-DA56</f>
        <v>5.0100000000000006E-2</v>
      </c>
      <c r="DB57" s="46"/>
    </row>
    <row r="58" spans="2:147" ht="13.5" customHeight="1">
      <c r="B58" s="1" t="s">
        <v>232</v>
      </c>
      <c r="AX58" s="1">
        <v>17069</v>
      </c>
      <c r="AY58" s="1">
        <v>17644</v>
      </c>
      <c r="AZ58" s="1">
        <v>18009</v>
      </c>
      <c r="BA58" s="1">
        <v>19117</v>
      </c>
      <c r="BB58" s="1">
        <v>21536</v>
      </c>
      <c r="BC58" s="1">
        <v>23094</v>
      </c>
      <c r="BD58" s="1">
        <v>26432</v>
      </c>
      <c r="BE58" s="1">
        <v>31970</v>
      </c>
      <c r="BF58" s="1">
        <v>43522</v>
      </c>
      <c r="BG58" s="1">
        <v>53194</v>
      </c>
      <c r="BH58" s="1">
        <v>67875</v>
      </c>
      <c r="BI58" s="1">
        <v>83617</v>
      </c>
      <c r="BJ58" s="1">
        <v>99957</v>
      </c>
      <c r="BK58" s="1">
        <v>127845</v>
      </c>
      <c r="CD58" s="1">
        <f t="shared" si="198"/>
        <v>17069</v>
      </c>
      <c r="CE58" s="1">
        <f t="shared" si="199"/>
        <v>21536</v>
      </c>
      <c r="CF58" s="1">
        <f t="shared" si="200"/>
        <v>43522</v>
      </c>
      <c r="CG58" s="1">
        <f t="shared" si="201"/>
        <v>99957</v>
      </c>
      <c r="CH58" s="64"/>
      <c r="CI58" s="49"/>
      <c r="CJ58" s="49"/>
      <c r="CK58" s="49"/>
      <c r="CL58" s="49"/>
      <c r="CM58" s="49"/>
      <c r="CN58" s="49"/>
      <c r="CO58" s="49"/>
      <c r="CP58" s="90"/>
      <c r="CQ58" s="49"/>
      <c r="CS58" s="52" t="s">
        <v>260</v>
      </c>
      <c r="CT58" s="46"/>
      <c r="CU58" s="46"/>
      <c r="CW58" s="46"/>
      <c r="CX58" s="46"/>
      <c r="CY58" s="46"/>
      <c r="CZ58" s="47" t="s">
        <v>261</v>
      </c>
      <c r="DA58" s="53">
        <f>'Notes | Quant Analysis'!S206</f>
        <v>1.9160030484288781</v>
      </c>
      <c r="DB58" s="46"/>
    </row>
    <row r="59" spans="2:147" ht="13.5" customHeight="1">
      <c r="B59" s="1" t="s">
        <v>233</v>
      </c>
      <c r="AX59" s="1">
        <v>9837</v>
      </c>
      <c r="AY59" s="1">
        <v>9074</v>
      </c>
      <c r="AZ59" s="1">
        <v>8378</v>
      </c>
      <c r="BA59" s="1">
        <v>7629</v>
      </c>
      <c r="BB59" s="1">
        <v>6890</v>
      </c>
      <c r="BC59" s="1">
        <v>6270</v>
      </c>
      <c r="BD59" s="1">
        <v>5679</v>
      </c>
      <c r="BE59" s="1">
        <v>5131</v>
      </c>
      <c r="BF59" s="1">
        <v>13145</v>
      </c>
      <c r="BG59" s="1">
        <v>4167</v>
      </c>
      <c r="BH59" s="1">
        <v>3760</v>
      </c>
      <c r="BI59" s="1">
        <v>3641</v>
      </c>
      <c r="BJ59" s="1">
        <v>29690</v>
      </c>
      <c r="BK59" s="1">
        <v>33967</v>
      </c>
      <c r="CD59" s="1">
        <f t="shared" si="198"/>
        <v>9837</v>
      </c>
      <c r="CE59" s="1">
        <f t="shared" si="199"/>
        <v>6890</v>
      </c>
      <c r="CF59" s="1">
        <f t="shared" si="200"/>
        <v>13145</v>
      </c>
      <c r="CG59" s="1">
        <f t="shared" si="201"/>
        <v>29690</v>
      </c>
      <c r="CH59" s="64"/>
      <c r="CI59" s="91"/>
      <c r="CJ59" s="49"/>
      <c r="CK59" s="49"/>
      <c r="CL59" s="49"/>
      <c r="CM59" s="49"/>
      <c r="CN59" s="49"/>
      <c r="CO59" s="49"/>
      <c r="CP59" s="90"/>
      <c r="CQ59" s="49"/>
      <c r="CS59" s="68" t="s">
        <v>262</v>
      </c>
      <c r="CV59" s="49">
        <f>Main!C5</f>
        <v>419392.4</v>
      </c>
      <c r="CW59" s="46"/>
      <c r="CY59" s="46"/>
      <c r="CZ59" s="47" t="s">
        <v>263</v>
      </c>
      <c r="DA59" s="48">
        <f>+DA56+(DA57*DA58)</f>
        <v>0.14339175272628679</v>
      </c>
      <c r="DB59" s="46"/>
    </row>
    <row r="60" spans="2:147" ht="13.5" customHeight="1">
      <c r="B60" s="1" t="s">
        <v>234</v>
      </c>
      <c r="AX60" s="1">
        <v>62261</v>
      </c>
      <c r="AY60" s="1">
        <v>62206</v>
      </c>
      <c r="AZ60" s="1">
        <v>62231</v>
      </c>
      <c r="BA60" s="1">
        <v>62222</v>
      </c>
      <c r="BB60" s="1">
        <v>62230</v>
      </c>
      <c r="BC60" s="1">
        <v>62249</v>
      </c>
      <c r="BD60" s="1">
        <v>62204</v>
      </c>
      <c r="BE60" s="1">
        <v>62171</v>
      </c>
      <c r="BF60" s="1">
        <v>62207</v>
      </c>
      <c r="BG60" s="1">
        <v>62211</v>
      </c>
      <c r="BH60" s="1">
        <v>62207</v>
      </c>
      <c r="BI60" s="1">
        <v>62274</v>
      </c>
      <c r="BJ60" s="1">
        <v>62261</v>
      </c>
      <c r="BK60" s="1">
        <v>62267</v>
      </c>
      <c r="CD60" s="1">
        <f t="shared" si="198"/>
        <v>62261</v>
      </c>
      <c r="CE60" s="1">
        <f t="shared" si="199"/>
        <v>62230</v>
      </c>
      <c r="CF60" s="1">
        <f t="shared" si="200"/>
        <v>62207</v>
      </c>
      <c r="CG60" s="1">
        <f t="shared" si="201"/>
        <v>62261</v>
      </c>
      <c r="CH60" s="64"/>
      <c r="CI60" s="49"/>
      <c r="CJ60" s="49"/>
      <c r="CK60" s="49"/>
      <c r="CL60" s="49"/>
      <c r="CM60" s="49"/>
      <c r="CN60" s="49"/>
      <c r="CO60" s="49"/>
      <c r="CP60" s="90"/>
      <c r="CQ60" s="49"/>
      <c r="CS60" s="68" t="s">
        <v>264</v>
      </c>
      <c r="CV60" s="69">
        <f>Main!C7/(Main!C7+CV59)</f>
        <v>0.23009038983392488</v>
      </c>
      <c r="CW60" s="52"/>
      <c r="CY60" s="46"/>
      <c r="CZ60" s="47"/>
      <c r="DA60" s="46"/>
      <c r="DB60" s="46"/>
    </row>
    <row r="61" spans="2:147" ht="13.5" customHeight="1">
      <c r="B61" s="1" t="s">
        <v>235</v>
      </c>
      <c r="AX61" s="1">
        <v>12226</v>
      </c>
      <c r="AY61" s="1">
        <v>12243</v>
      </c>
      <c r="AZ61" s="1">
        <v>12758</v>
      </c>
      <c r="BA61" s="1">
        <v>12688</v>
      </c>
      <c r="BB61" s="1">
        <v>12273</v>
      </c>
      <c r="BC61" s="1">
        <v>12219</v>
      </c>
      <c r="BD61" s="1">
        <v>11984</v>
      </c>
      <c r="BE61" s="1">
        <v>11799</v>
      </c>
      <c r="BF61" s="1">
        <v>11877</v>
      </c>
      <c r="BG61" s="1">
        <v>11734</v>
      </c>
      <c r="BH61" s="1">
        <v>11531</v>
      </c>
      <c r="BI61" s="1">
        <v>11360</v>
      </c>
      <c r="BJ61" s="1">
        <v>11541</v>
      </c>
      <c r="BK61" s="1">
        <v>11625</v>
      </c>
      <c r="CD61" s="1">
        <f t="shared" si="198"/>
        <v>12226</v>
      </c>
      <c r="CE61" s="1">
        <f t="shared" si="199"/>
        <v>12273</v>
      </c>
      <c r="CF61" s="1">
        <f t="shared" si="200"/>
        <v>11877</v>
      </c>
      <c r="CG61" s="1">
        <f t="shared" si="201"/>
        <v>11541</v>
      </c>
      <c r="CH61" s="64"/>
      <c r="CI61" s="49"/>
      <c r="CJ61" s="49"/>
      <c r="CK61" s="49"/>
      <c r="CL61" s="49"/>
      <c r="CM61" s="49"/>
      <c r="CN61" s="49"/>
      <c r="CO61" s="49"/>
      <c r="CP61" s="90"/>
      <c r="CQ61" s="49"/>
      <c r="CS61" s="68" t="s">
        <v>265</v>
      </c>
      <c r="CV61" s="69">
        <f>CV59/(CV59+Main!C7)</f>
        <v>0.76990961016607518</v>
      </c>
      <c r="CW61" s="46"/>
      <c r="CY61" s="46"/>
      <c r="CZ61" s="47" t="s">
        <v>266</v>
      </c>
      <c r="DA61" s="49">
        <f>NPV(DA59,CH38:EO38)</f>
        <v>542676.58704013843</v>
      </c>
      <c r="DB61" s="46"/>
    </row>
    <row r="62" spans="2:147" ht="13.5" customHeight="1">
      <c r="B62" s="1" t="s">
        <v>236</v>
      </c>
      <c r="AX62" s="1">
        <v>11987</v>
      </c>
      <c r="AY62" s="1">
        <v>13329</v>
      </c>
      <c r="AZ62" s="1">
        <v>13659</v>
      </c>
      <c r="BA62" s="1">
        <v>14363</v>
      </c>
      <c r="BB62" s="1">
        <v>15493</v>
      </c>
      <c r="BC62" s="1">
        <v>17310</v>
      </c>
      <c r="BD62" s="1">
        <v>18681</v>
      </c>
      <c r="BE62" s="1">
        <v>20191</v>
      </c>
      <c r="BF62" s="1">
        <v>13031</v>
      </c>
      <c r="BG62" s="1">
        <v>24509</v>
      </c>
      <c r="BH62" s="1">
        <v>25245</v>
      </c>
      <c r="BI62" s="1">
        <v>29474</v>
      </c>
      <c r="BJ62" s="1">
        <v>11743</v>
      </c>
      <c r="BK62" s="1">
        <v>11925</v>
      </c>
      <c r="CD62" s="1">
        <f t="shared" si="198"/>
        <v>11987</v>
      </c>
      <c r="CE62" s="1">
        <f t="shared" si="199"/>
        <v>15493</v>
      </c>
      <c r="CF62" s="1">
        <f t="shared" si="200"/>
        <v>13031</v>
      </c>
      <c r="CG62" s="1">
        <f t="shared" si="201"/>
        <v>11743</v>
      </c>
      <c r="CH62" s="64"/>
      <c r="CI62" s="92"/>
      <c r="CJ62" s="92"/>
      <c r="CK62" s="92"/>
      <c r="CL62" s="92"/>
      <c r="CM62" s="92"/>
      <c r="CN62" s="92"/>
      <c r="CO62" s="92"/>
      <c r="CP62" s="90"/>
      <c r="CQ62" s="49"/>
      <c r="CS62" s="70" t="s">
        <v>267</v>
      </c>
      <c r="CT62" s="35"/>
      <c r="CU62" s="35"/>
      <c r="CV62" s="71">
        <f>CG70/CG75</f>
        <v>2.8414622816796729</v>
      </c>
      <c r="CW62" s="46"/>
      <c r="CX62" s="46"/>
      <c r="CY62" s="46"/>
      <c r="CZ62" s="47" t="s">
        <v>120</v>
      </c>
      <c r="DA62" s="50">
        <f>Main!C4</f>
        <v>2966</v>
      </c>
      <c r="DB62" s="72"/>
    </row>
    <row r="63" spans="2:147" s="2" customFormat="1" ht="13.5" customHeight="1">
      <c r="B63" s="2" t="s">
        <v>204</v>
      </c>
      <c r="AX63" s="2">
        <f t="shared" ref="AX63" si="203">SUM(AX54:AX62)</f>
        <v>134384</v>
      </c>
      <c r="AY63" s="2">
        <f t="shared" ref="AY63" si="204">SUM(AY54:AY62)</f>
        <v>136662</v>
      </c>
      <c r="AZ63" s="2">
        <f t="shared" ref="AZ63" si="205">SUM(AZ54:AZ62)</f>
        <v>134324</v>
      </c>
      <c r="BA63" s="2">
        <f t="shared" ref="BA63" si="206">SUM(BA54:BA62)</f>
        <v>137082</v>
      </c>
      <c r="BB63" s="2">
        <f t="shared" ref="BB63" si="207">SUM(BB54:BB62)</f>
        <v>140976</v>
      </c>
      <c r="BC63" s="2">
        <f t="shared" ref="BC63:BF63" si="208">SUM(BC54:BC62)</f>
        <v>144214</v>
      </c>
      <c r="BD63" s="2">
        <f t="shared" si="208"/>
        <v>148483</v>
      </c>
      <c r="BE63" s="2">
        <f t="shared" si="208"/>
        <v>161378</v>
      </c>
      <c r="BF63" s="2">
        <f t="shared" si="208"/>
        <v>168361</v>
      </c>
      <c r="BG63" s="2">
        <f>SUM(BG54:BG62)</f>
        <v>180449</v>
      </c>
      <c r="BH63" s="2">
        <f t="shared" ref="BH63:BJ63" si="209">SUM(BH54:BH62)</f>
        <v>204984</v>
      </c>
      <c r="BI63" s="2">
        <f t="shared" si="209"/>
        <v>245240</v>
      </c>
      <c r="BJ63" s="2">
        <f t="shared" si="209"/>
        <v>261759</v>
      </c>
      <c r="BK63" s="2">
        <f t="shared" ref="BK63" si="210">SUM(BK54:BK62)</f>
        <v>303259</v>
      </c>
      <c r="CD63" s="2">
        <f t="shared" si="198"/>
        <v>134384</v>
      </c>
      <c r="CE63" s="2">
        <f t="shared" si="199"/>
        <v>140976</v>
      </c>
      <c r="CF63" s="2">
        <f t="shared" si="200"/>
        <v>168361</v>
      </c>
      <c r="CG63" s="2">
        <f t="shared" si="201"/>
        <v>261759</v>
      </c>
      <c r="CH63" s="65"/>
      <c r="CI63" s="92"/>
      <c r="CJ63" s="92"/>
      <c r="CK63" s="92"/>
      <c r="CL63" s="92"/>
      <c r="CM63" s="92"/>
      <c r="CN63" s="92"/>
      <c r="CO63" s="92"/>
      <c r="CP63" s="93"/>
      <c r="CQ63" s="92"/>
      <c r="CS63" s="36"/>
      <c r="CT63" s="36"/>
      <c r="CU63" s="36"/>
      <c r="CV63" s="36"/>
      <c r="CW63" s="46"/>
      <c r="CX63" s="46"/>
      <c r="CY63" s="46"/>
      <c r="CZ63" s="47" t="s">
        <v>268</v>
      </c>
      <c r="DA63" s="53">
        <f>DA61/DA62</f>
        <v>182.96580817266974</v>
      </c>
      <c r="DB63" s="45"/>
      <c r="DC63" s="36"/>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c r="EM63" s="35"/>
      <c r="EN63" s="35"/>
      <c r="EO63" s="35"/>
      <c r="EP63" s="35"/>
      <c r="EQ63" s="35"/>
    </row>
    <row r="64" spans="2:147" ht="13.5" customHeight="1">
      <c r="CH64" s="64"/>
      <c r="CI64" s="49"/>
      <c r="CJ64" s="49"/>
      <c r="CK64" s="49"/>
      <c r="CL64" s="49"/>
      <c r="CM64" s="49"/>
      <c r="CN64" s="49"/>
      <c r="CO64" s="49"/>
      <c r="CP64" s="90"/>
      <c r="CQ64" s="49"/>
      <c r="CS64" s="35" t="s">
        <v>269</v>
      </c>
      <c r="CV64" s="46"/>
      <c r="CW64" s="52"/>
      <c r="CX64" s="52"/>
      <c r="CY64" s="52"/>
      <c r="CZ64" s="47" t="s">
        <v>270</v>
      </c>
      <c r="DA64" s="53">
        <f>Main!C3</f>
        <v>141.4</v>
      </c>
      <c r="DB64" s="54"/>
    </row>
    <row r="65" spans="2:107" ht="13.5" customHeight="1">
      <c r="B65" s="1" t="s">
        <v>237</v>
      </c>
      <c r="AX65" s="1">
        <v>4061</v>
      </c>
      <c r="AY65" s="1">
        <v>4499</v>
      </c>
      <c r="AZ65" s="1">
        <v>6321</v>
      </c>
      <c r="BA65" s="1">
        <v>5510</v>
      </c>
      <c r="BB65" s="1">
        <v>10605</v>
      </c>
      <c r="BC65" s="1">
        <v>9201</v>
      </c>
      <c r="BD65" s="1">
        <v>8162</v>
      </c>
      <c r="BE65" s="1">
        <v>8167</v>
      </c>
      <c r="BF65" s="1">
        <v>7271</v>
      </c>
      <c r="BG65" s="1">
        <v>9079</v>
      </c>
      <c r="BH65" s="1">
        <v>8091</v>
      </c>
      <c r="BI65" s="1">
        <v>9887</v>
      </c>
      <c r="BJ65" s="1">
        <v>7199</v>
      </c>
      <c r="BK65" s="1">
        <v>7625</v>
      </c>
      <c r="CD65" s="1">
        <f t="shared" ref="CD65:CD76" si="211">AX65</f>
        <v>4061</v>
      </c>
      <c r="CE65" s="1">
        <f t="shared" ref="CE65:CE76" si="212">BB65</f>
        <v>10605</v>
      </c>
      <c r="CF65" s="1">
        <f t="shared" ref="CF65:CF76" si="213">BF65</f>
        <v>7271</v>
      </c>
      <c r="CG65" s="1">
        <f t="shared" ref="CG65:CG76" si="214">BJ65</f>
        <v>7199</v>
      </c>
      <c r="CH65" s="64"/>
      <c r="CI65" s="49"/>
      <c r="CJ65" s="49"/>
      <c r="CK65" s="49"/>
      <c r="CL65" s="49"/>
      <c r="CM65" s="49"/>
      <c r="CN65" s="49"/>
      <c r="CO65" s="49"/>
      <c r="CP65" s="90"/>
      <c r="CQ65" s="49"/>
      <c r="CS65" s="73" t="s">
        <v>258</v>
      </c>
      <c r="CV65" s="69">
        <v>4.7399999999999998E-2</v>
      </c>
      <c r="CW65" s="46"/>
      <c r="CX65" s="46"/>
      <c r="CY65" s="46"/>
      <c r="CZ65" s="47" t="s">
        <v>271</v>
      </c>
      <c r="DA65" s="94">
        <f>DA63/DA64-1</f>
        <v>0.29395903941067703</v>
      </c>
      <c r="DB65" s="55" t="str">
        <f>IF(DA65&gt;0,"Upside","Downside")</f>
        <v>Upside</v>
      </c>
    </row>
    <row r="66" spans="2:107" ht="13.5" customHeight="1">
      <c r="B66" s="1" t="s">
        <v>238</v>
      </c>
      <c r="AX66" s="1">
        <v>1204</v>
      </c>
      <c r="AY66" s="1">
        <v>1034</v>
      </c>
      <c r="AZ66" s="1">
        <v>1107</v>
      </c>
      <c r="BA66" s="1">
        <v>1658</v>
      </c>
      <c r="BB66" s="1">
        <v>2357</v>
      </c>
      <c r="BC66" s="1">
        <v>2207</v>
      </c>
      <c r="BD66" s="1">
        <v>2679</v>
      </c>
      <c r="BE66" s="1">
        <v>2423</v>
      </c>
      <c r="BF66" s="1">
        <v>5113</v>
      </c>
      <c r="BG66" s="1">
        <v>8203</v>
      </c>
      <c r="BH66" s="1">
        <v>10140</v>
      </c>
      <c r="BI66" s="1">
        <v>9474</v>
      </c>
      <c r="BJ66" s="1">
        <v>10977</v>
      </c>
      <c r="BK66" s="1">
        <v>11063</v>
      </c>
      <c r="CD66" s="1">
        <f t="shared" si="211"/>
        <v>1204</v>
      </c>
      <c r="CE66" s="1">
        <f t="shared" si="212"/>
        <v>2357</v>
      </c>
      <c r="CF66" s="1">
        <f t="shared" si="213"/>
        <v>5113</v>
      </c>
      <c r="CG66" s="1">
        <f t="shared" si="214"/>
        <v>10977</v>
      </c>
      <c r="CH66" s="64"/>
      <c r="CI66" s="49"/>
      <c r="CJ66" s="49"/>
      <c r="CK66" s="49"/>
      <c r="CL66" s="49"/>
      <c r="CM66" s="49"/>
      <c r="CN66" s="49"/>
      <c r="CO66" s="49"/>
      <c r="CP66" s="90"/>
      <c r="CQ66" s="49"/>
      <c r="CS66" s="73" t="s">
        <v>261</v>
      </c>
      <c r="CV66" s="53">
        <f>'Notes | Quant Analysis'!S206</f>
        <v>1.9160030484288781</v>
      </c>
      <c r="CZ66" s="98" t="str" cm="1">
        <f t="array" ref="CZ66">_xlfn.IFS(DA65&gt;=25%,"Strong Buy",DA65&gt;=10.00001%,"Buy",AND(DA65&lt;=10%,DA65&gt;=-4.9999%),"Hold",AND(DA65&lt;=-5%,DA65&gt;=-14.999999%),"Sell",DA65&lt;=-15%,"Strong Sell")</f>
        <v>Strong Buy</v>
      </c>
      <c r="DA66" s="98"/>
    </row>
    <row r="67" spans="2:107" ht="13.5" customHeight="1">
      <c r="B67" s="1" t="s">
        <v>239</v>
      </c>
      <c r="AX67" s="1">
        <v>2053</v>
      </c>
      <c r="AY67" s="1">
        <v>1818</v>
      </c>
      <c r="AZ67" s="1">
        <v>1706</v>
      </c>
      <c r="BA67" s="1">
        <v>1796</v>
      </c>
      <c r="BB67" s="1">
        <v>1916</v>
      </c>
      <c r="BC67" s="1">
        <v>1772</v>
      </c>
      <c r="BD67" s="1">
        <v>1653</v>
      </c>
      <c r="BE67" s="1">
        <v>1839</v>
      </c>
      <c r="BF67" s="1">
        <v>2243</v>
      </c>
      <c r="BG67" s="1">
        <v>1794</v>
      </c>
      <c r="BH67" s="1">
        <v>1947</v>
      </c>
      <c r="BI67" s="1">
        <v>1940</v>
      </c>
      <c r="BJ67" s="1">
        <v>2225</v>
      </c>
      <c r="BK67" s="1">
        <v>1760</v>
      </c>
      <c r="CD67" s="1">
        <f t="shared" si="211"/>
        <v>2053</v>
      </c>
      <c r="CE67" s="1">
        <f t="shared" si="212"/>
        <v>1916</v>
      </c>
      <c r="CF67" s="1">
        <f t="shared" si="213"/>
        <v>2243</v>
      </c>
      <c r="CG67" s="1">
        <f t="shared" si="214"/>
        <v>2225</v>
      </c>
      <c r="CH67" s="64"/>
      <c r="CI67" s="92"/>
      <c r="CJ67" s="92"/>
      <c r="CK67" s="92"/>
      <c r="CL67" s="92"/>
      <c r="CM67" s="92"/>
      <c r="CN67" s="92"/>
      <c r="CO67" s="92"/>
      <c r="CP67" s="90"/>
      <c r="CQ67" s="49"/>
      <c r="CS67" s="68" t="s">
        <v>272</v>
      </c>
      <c r="CV67" s="69">
        <v>0.10150000000000001</v>
      </c>
      <c r="DC67" s="35"/>
    </row>
    <row r="68" spans="2:107" ht="13.5" customHeight="1">
      <c r="B68" s="1" t="s">
        <v>240</v>
      </c>
      <c r="AX68" s="1">
        <v>8970</v>
      </c>
      <c r="AY68" s="1">
        <v>11120</v>
      </c>
      <c r="AZ68" s="1">
        <v>8878</v>
      </c>
      <c r="BA68" s="1">
        <v>8931</v>
      </c>
      <c r="BB68" s="1">
        <v>9313</v>
      </c>
      <c r="BC68" s="1">
        <v>11455</v>
      </c>
      <c r="BD68" s="1">
        <v>9430</v>
      </c>
      <c r="BE68" s="1">
        <v>9019</v>
      </c>
      <c r="BF68" s="1">
        <v>9387</v>
      </c>
      <c r="BG68" s="1">
        <v>12098</v>
      </c>
      <c r="BH68" s="1">
        <v>9940</v>
      </c>
      <c r="BI68" s="1">
        <v>9881</v>
      </c>
      <c r="BJ68" s="1">
        <v>9916</v>
      </c>
      <c r="BK68" s="1">
        <v>14686</v>
      </c>
      <c r="CD68" s="1">
        <f t="shared" si="211"/>
        <v>8970</v>
      </c>
      <c r="CE68" s="1">
        <f t="shared" si="212"/>
        <v>9313</v>
      </c>
      <c r="CF68" s="1">
        <f t="shared" si="213"/>
        <v>9387</v>
      </c>
      <c r="CG68" s="1">
        <f t="shared" si="214"/>
        <v>9916</v>
      </c>
      <c r="CH68" s="64"/>
      <c r="CI68" s="64"/>
      <c r="CJ68" s="64"/>
      <c r="CK68" s="64"/>
      <c r="CL68" s="64"/>
      <c r="CM68" s="64"/>
      <c r="CN68" s="64"/>
      <c r="CO68" s="64"/>
      <c r="CP68" s="97"/>
      <c r="CQ68" s="97"/>
      <c r="CS68" s="70" t="s">
        <v>273</v>
      </c>
      <c r="CT68" s="46"/>
      <c r="CU68" s="2"/>
      <c r="CV68" s="71">
        <f>(CV65+CV66)*(CV67-CV65)</f>
        <v>0.10622010492000233</v>
      </c>
    </row>
    <row r="69" spans="2:107" ht="13.5" customHeight="1">
      <c r="B69" s="1" t="s">
        <v>241</v>
      </c>
      <c r="AX69" s="1">
        <v>6802</v>
      </c>
      <c r="AY69" s="1">
        <v>6886</v>
      </c>
      <c r="AZ69" s="1">
        <v>6395</v>
      </c>
      <c r="BA69" s="1">
        <v>6990</v>
      </c>
      <c r="BB69" s="1">
        <v>7353</v>
      </c>
      <c r="BC69" s="1">
        <v>7410</v>
      </c>
      <c r="BD69" s="1">
        <v>7128</v>
      </c>
      <c r="BE69" s="1">
        <v>8175</v>
      </c>
      <c r="BF69" s="1">
        <v>8629</v>
      </c>
      <c r="BG69" s="1">
        <v>8700</v>
      </c>
      <c r="BH69" s="1">
        <v>7677</v>
      </c>
      <c r="BI69" s="1">
        <v>9555</v>
      </c>
      <c r="BJ69" s="1">
        <v>11447</v>
      </c>
      <c r="BK69" s="1">
        <v>12380</v>
      </c>
      <c r="CD69" s="1">
        <f t="shared" si="211"/>
        <v>6802</v>
      </c>
      <c r="CE69" s="1">
        <f t="shared" si="212"/>
        <v>7353</v>
      </c>
      <c r="CF69" s="1">
        <f t="shared" si="213"/>
        <v>8629</v>
      </c>
      <c r="CG69" s="1">
        <f t="shared" si="214"/>
        <v>11447</v>
      </c>
      <c r="CH69" s="64"/>
      <c r="CI69" s="64"/>
      <c r="CJ69" s="64"/>
      <c r="CK69" s="64"/>
      <c r="CL69" s="64"/>
      <c r="CM69" s="64"/>
      <c r="CN69" s="64"/>
      <c r="CO69" s="64"/>
      <c r="CP69" s="64"/>
      <c r="CQ69" s="64"/>
      <c r="CS69" s="64"/>
    </row>
    <row r="70" spans="2:107" ht="13.5" customHeight="1">
      <c r="B70" s="1" t="s">
        <v>242</v>
      </c>
      <c r="AX70" s="1">
        <v>86420</v>
      </c>
      <c r="AY70" s="1">
        <v>84442</v>
      </c>
      <c r="AZ70" s="1">
        <v>82468</v>
      </c>
      <c r="BA70" s="1">
        <v>82470</v>
      </c>
      <c r="BB70" s="1">
        <v>76264</v>
      </c>
      <c r="BC70" s="1">
        <v>75314</v>
      </c>
      <c r="BD70" s="1">
        <v>80462</v>
      </c>
      <c r="BE70" s="1">
        <v>88109</v>
      </c>
      <c r="BF70" s="1">
        <v>85297</v>
      </c>
      <c r="BG70" s="1">
        <v>82236</v>
      </c>
      <c r="BH70" s="1">
        <v>99984</v>
      </c>
      <c r="BI70" s="1">
        <v>124718</v>
      </c>
      <c r="BJ70" s="1">
        <v>122342</v>
      </c>
      <c r="BK70" s="1">
        <v>117712</v>
      </c>
      <c r="CD70" s="1">
        <f t="shared" si="211"/>
        <v>86420</v>
      </c>
      <c r="CE70" s="1">
        <f t="shared" si="212"/>
        <v>76264</v>
      </c>
      <c r="CF70" s="1">
        <f t="shared" si="213"/>
        <v>85297</v>
      </c>
      <c r="CG70" s="1">
        <f t="shared" si="214"/>
        <v>122342</v>
      </c>
      <c r="CH70" s="64">
        <f>CG70+CH32</f>
        <v>113472.205</v>
      </c>
      <c r="CI70" s="64">
        <f t="shared" ref="CI70:CQ70" si="215">CH70+CI32</f>
        <v>105245.4701375</v>
      </c>
      <c r="CJ70" s="64">
        <f t="shared" si="215"/>
        <v>97615.173552531254</v>
      </c>
      <c r="CK70" s="64">
        <f t="shared" si="215"/>
        <v>90538.073469972733</v>
      </c>
      <c r="CL70" s="64">
        <f t="shared" si="215"/>
        <v>83974.063143399704</v>
      </c>
      <c r="CM70" s="64">
        <f t="shared" si="215"/>
        <v>77885.943565503228</v>
      </c>
      <c r="CN70" s="64">
        <f t="shared" si="215"/>
        <v>72239.212657004246</v>
      </c>
      <c r="CO70" s="64">
        <f t="shared" si="215"/>
        <v>67001.869739371439</v>
      </c>
      <c r="CP70" s="64">
        <f t="shared" si="215"/>
        <v>62144.234183267006</v>
      </c>
      <c r="CQ70" s="64">
        <f t="shared" si="215"/>
        <v>57638.77720498015</v>
      </c>
      <c r="CS70" s="35" t="s">
        <v>274</v>
      </c>
      <c r="CT70" s="74"/>
      <c r="CV70" s="75"/>
    </row>
    <row r="71" spans="2:107" ht="13.5" customHeight="1">
      <c r="B71" s="1" t="s">
        <v>243</v>
      </c>
      <c r="AX71" s="1">
        <v>11077</v>
      </c>
      <c r="AY71" s="1">
        <v>11201</v>
      </c>
      <c r="AZ71" s="1">
        <v>10046</v>
      </c>
      <c r="BA71" s="1">
        <v>10451</v>
      </c>
      <c r="BB71" s="1">
        <v>10817</v>
      </c>
      <c r="BC71" s="1">
        <v>11038</v>
      </c>
      <c r="BD71" s="1">
        <v>9553</v>
      </c>
      <c r="BE71" s="1">
        <v>9813</v>
      </c>
      <c r="BF71" s="1">
        <v>10269</v>
      </c>
      <c r="BG71" s="1">
        <v>10583</v>
      </c>
      <c r="BH71" s="1">
        <v>10885</v>
      </c>
      <c r="BI71" s="1">
        <v>11402</v>
      </c>
      <c r="BJ71" s="1">
        <v>11771</v>
      </c>
      <c r="BK71" s="1">
        <v>12060</v>
      </c>
      <c r="CD71" s="1">
        <f t="shared" si="211"/>
        <v>11077</v>
      </c>
      <c r="CE71" s="1">
        <f t="shared" si="212"/>
        <v>10817</v>
      </c>
      <c r="CF71" s="1">
        <f t="shared" si="213"/>
        <v>10269</v>
      </c>
      <c r="CG71" s="1">
        <f t="shared" si="214"/>
        <v>11771</v>
      </c>
      <c r="CS71" s="76" t="s">
        <v>274</v>
      </c>
      <c r="CV71" s="77">
        <v>7.2499999999999995E-2</v>
      </c>
      <c r="CX71" s="78"/>
      <c r="CZ71" s="47"/>
    </row>
    <row r="72" spans="2:107" ht="13.5" customHeight="1">
      <c r="B72" s="1" t="s">
        <v>244</v>
      </c>
      <c r="AX72" s="1">
        <v>5772</v>
      </c>
      <c r="AY72" s="1">
        <v>5281</v>
      </c>
      <c r="AZ72" s="1">
        <v>5244</v>
      </c>
      <c r="BA72" s="1">
        <v>4483</v>
      </c>
      <c r="BB72" s="1">
        <v>3692</v>
      </c>
      <c r="BC72" s="1">
        <v>3442</v>
      </c>
      <c r="BD72" s="1">
        <v>2864</v>
      </c>
      <c r="BE72" s="1">
        <v>2208</v>
      </c>
      <c r="BF72" s="1">
        <v>11536</v>
      </c>
      <c r="BG72" s="1">
        <v>14094</v>
      </c>
      <c r="BH72" s="1">
        <v>16311</v>
      </c>
      <c r="BI72" s="1">
        <v>18512</v>
      </c>
      <c r="BJ72" s="1">
        <v>26648</v>
      </c>
      <c r="BK72" s="1">
        <v>30594</v>
      </c>
      <c r="CD72" s="1">
        <f t="shared" si="211"/>
        <v>5772</v>
      </c>
      <c r="CE72" s="1">
        <f t="shared" si="212"/>
        <v>3692</v>
      </c>
      <c r="CF72" s="1">
        <f t="shared" si="213"/>
        <v>11536</v>
      </c>
      <c r="CG72" s="1">
        <f t="shared" si="214"/>
        <v>26648</v>
      </c>
      <c r="CS72" s="68" t="s">
        <v>275</v>
      </c>
      <c r="CV72" s="69">
        <f>CG51</f>
        <v>0.12616344481947428</v>
      </c>
      <c r="CX72" s="78"/>
      <c r="CY72" s="69"/>
      <c r="CZ72" s="47"/>
      <c r="DA72" s="2"/>
      <c r="DB72" s="2"/>
    </row>
    <row r="73" spans="2:107" ht="13.5" customHeight="1">
      <c r="B73" s="1" t="s">
        <v>245</v>
      </c>
      <c r="AX73" s="1">
        <v>6469</v>
      </c>
      <c r="AY73" s="1">
        <v>7540</v>
      </c>
      <c r="AZ73" s="1">
        <v>7781</v>
      </c>
      <c r="BA73" s="1">
        <v>8611</v>
      </c>
      <c r="BB73" s="1">
        <v>9420</v>
      </c>
      <c r="BC73" s="1">
        <v>11106</v>
      </c>
      <c r="BD73" s="1">
        <v>12316</v>
      </c>
      <c r="BE73" s="1">
        <v>14364</v>
      </c>
      <c r="BF73" s="1">
        <v>7647</v>
      </c>
      <c r="BG73" s="1">
        <v>8996</v>
      </c>
      <c r="BH73" s="1">
        <v>9552</v>
      </c>
      <c r="BI73" s="1">
        <v>10820</v>
      </c>
      <c r="BJ73" s="1">
        <v>16178</v>
      </c>
      <c r="BK73" s="1">
        <v>28183</v>
      </c>
      <c r="CD73" s="1">
        <f t="shared" si="211"/>
        <v>6469</v>
      </c>
      <c r="CE73" s="1">
        <f t="shared" si="212"/>
        <v>9420</v>
      </c>
      <c r="CF73" s="1">
        <f t="shared" si="213"/>
        <v>7647</v>
      </c>
      <c r="CG73" s="1">
        <f t="shared" si="214"/>
        <v>16178</v>
      </c>
      <c r="CS73" s="79" t="s">
        <v>276</v>
      </c>
      <c r="CV73" s="71">
        <f>CV71*(1-CV72)</f>
        <v>6.3353150250588117E-2</v>
      </c>
      <c r="CZ73" s="47"/>
    </row>
    <row r="74" spans="2:107" ht="15">
      <c r="B74" s="2" t="s">
        <v>205</v>
      </c>
      <c r="AX74" s="2">
        <f t="shared" ref="AX74" si="216">SUM(AX65:AX73)</f>
        <v>132828</v>
      </c>
      <c r="AY74" s="2">
        <f t="shared" ref="AY74" si="217">SUM(AY65:AY73)</f>
        <v>133821</v>
      </c>
      <c r="AZ74" s="2">
        <f t="shared" ref="AZ74" si="218">SUM(AZ65:AZ73)</f>
        <v>129946</v>
      </c>
      <c r="BA74" s="2">
        <f t="shared" ref="BA74" si="219">SUM(BA65:BA73)</f>
        <v>130900</v>
      </c>
      <c r="BB74" s="2">
        <f t="shared" ref="BB74" si="220">SUM(BB65:BB73)</f>
        <v>131737</v>
      </c>
      <c r="BC74" s="2">
        <f t="shared" ref="BC74:BF74" si="221">SUM(BC65:BC73)</f>
        <v>132945</v>
      </c>
      <c r="BD74" s="2">
        <f t="shared" si="221"/>
        <v>134247</v>
      </c>
      <c r="BE74" s="2">
        <f t="shared" si="221"/>
        <v>144117</v>
      </c>
      <c r="BF74" s="2">
        <f t="shared" si="221"/>
        <v>147392</v>
      </c>
      <c r="BG74" s="2">
        <f>SUM(BG65:BG73)</f>
        <v>155783</v>
      </c>
      <c r="BH74" s="2">
        <f>SUM(BH65:BH73)</f>
        <v>174527</v>
      </c>
      <c r="BI74" s="2">
        <f>SUM(BI65:BI73)</f>
        <v>206189</v>
      </c>
      <c r="BJ74" s="2">
        <f>SUM(BJ65:BJ73)</f>
        <v>218703</v>
      </c>
      <c r="BK74" s="2">
        <f>SUM(BK65:BK73)</f>
        <v>236063</v>
      </c>
      <c r="CD74" s="2">
        <f t="shared" si="211"/>
        <v>132828</v>
      </c>
      <c r="CE74" s="2">
        <f t="shared" si="212"/>
        <v>131737</v>
      </c>
      <c r="CF74" s="2">
        <f t="shared" si="213"/>
        <v>147392</v>
      </c>
      <c r="CG74" s="2">
        <f t="shared" si="214"/>
        <v>218703</v>
      </c>
      <c r="CZ74" s="47"/>
    </row>
    <row r="75" spans="2:107" ht="15">
      <c r="B75" s="1" t="s">
        <v>206</v>
      </c>
      <c r="AX75" s="1">
        <v>1556</v>
      </c>
      <c r="AY75" s="1">
        <v>2841</v>
      </c>
      <c r="AZ75" s="1">
        <v>4378</v>
      </c>
      <c r="BA75" s="1">
        <v>6182</v>
      </c>
      <c r="BB75" s="1">
        <v>9239</v>
      </c>
      <c r="BC75" s="1">
        <v>11269</v>
      </c>
      <c r="BD75" s="1">
        <v>14236</v>
      </c>
      <c r="BE75" s="1">
        <v>17261</v>
      </c>
      <c r="BF75" s="1">
        <v>20969</v>
      </c>
      <c r="BG75" s="1">
        <v>24666</v>
      </c>
      <c r="BH75" s="1">
        <v>30457</v>
      </c>
      <c r="BI75" s="1">
        <v>39051</v>
      </c>
      <c r="BJ75" s="1">
        <v>43056</v>
      </c>
      <c r="BK75" s="1">
        <v>67196</v>
      </c>
      <c r="CD75" s="1">
        <f t="shared" si="211"/>
        <v>1556</v>
      </c>
      <c r="CE75" s="1">
        <f t="shared" si="212"/>
        <v>9239</v>
      </c>
      <c r="CF75" s="1">
        <f t="shared" si="213"/>
        <v>20969</v>
      </c>
      <c r="CG75" s="1">
        <f t="shared" si="214"/>
        <v>43056</v>
      </c>
      <c r="CS75" s="35" t="s">
        <v>277</v>
      </c>
      <c r="CV75" s="71">
        <f>(CV61*CV68)+(CV60*CV73*(1-CV72))</f>
        <v>9.4517752251158701E-2</v>
      </c>
      <c r="CZ75" s="47"/>
      <c r="DA75" s="80"/>
    </row>
    <row r="76" spans="2:107" ht="15">
      <c r="B76" s="2" t="s">
        <v>207</v>
      </c>
      <c r="AX76" s="2">
        <f t="shared" ref="AX76" si="222">AX74+AX75</f>
        <v>134384</v>
      </c>
      <c r="AY76" s="2">
        <f t="shared" ref="AY76" si="223">AY74+AY75</f>
        <v>136662</v>
      </c>
      <c r="AZ76" s="2">
        <f t="shared" ref="AZ76" si="224">AZ74+AZ75</f>
        <v>134324</v>
      </c>
      <c r="BA76" s="2">
        <f t="shared" ref="BA76" si="225">BA74+BA75</f>
        <v>137082</v>
      </c>
      <c r="BB76" s="2">
        <f t="shared" ref="BB76" si="226">BB74+BB75</f>
        <v>140976</v>
      </c>
      <c r="BC76" s="2">
        <f t="shared" ref="BC76:BF76" si="227">BC74+BC75</f>
        <v>144214</v>
      </c>
      <c r="BD76" s="2">
        <f t="shared" si="227"/>
        <v>148483</v>
      </c>
      <c r="BE76" s="2">
        <f t="shared" si="227"/>
        <v>161378</v>
      </c>
      <c r="BF76" s="2">
        <f t="shared" si="227"/>
        <v>168361</v>
      </c>
      <c r="BG76" s="2">
        <f>BG74+BG75</f>
        <v>180449</v>
      </c>
      <c r="BH76" s="2">
        <f t="shared" ref="BH76:BJ76" si="228">BH74+BH75</f>
        <v>204984</v>
      </c>
      <c r="BI76" s="2">
        <f t="shared" si="228"/>
        <v>245240</v>
      </c>
      <c r="BJ76" s="2">
        <f t="shared" si="228"/>
        <v>261759</v>
      </c>
      <c r="BK76" s="2">
        <f t="shared" ref="BK76" si="229">BK74+BK75</f>
        <v>303259</v>
      </c>
      <c r="CD76" s="2">
        <f t="shared" si="211"/>
        <v>134384</v>
      </c>
      <c r="CE76" s="2">
        <f t="shared" si="212"/>
        <v>140976</v>
      </c>
      <c r="CF76" s="2">
        <f t="shared" si="213"/>
        <v>168361</v>
      </c>
      <c r="CG76" s="2">
        <f t="shared" si="214"/>
        <v>261759</v>
      </c>
    </row>
    <row r="78" spans="2:107">
      <c r="B78" s="1" t="s">
        <v>112</v>
      </c>
      <c r="AX78" s="59">
        <f t="shared" ref="AX78:BI78" si="230">SUM(AX54:AX57)/SUM(AX65:AX69)</f>
        <v>0.90965786054569076</v>
      </c>
      <c r="AY78" s="59">
        <f t="shared" si="230"/>
        <v>0.87415703750443663</v>
      </c>
      <c r="AZ78" s="59">
        <f t="shared" si="230"/>
        <v>0.79030605973696066</v>
      </c>
      <c r="BA78" s="59">
        <f t="shared" si="230"/>
        <v>0.84641350210970467</v>
      </c>
      <c r="BB78" s="59">
        <f t="shared" si="230"/>
        <v>0.71500126806999742</v>
      </c>
      <c r="BC78" s="59">
        <f t="shared" si="230"/>
        <v>0.71998751755344048</v>
      </c>
      <c r="BD78" s="59">
        <f t="shared" si="230"/>
        <v>0.8089976593694066</v>
      </c>
      <c r="BE78" s="59">
        <f t="shared" si="230"/>
        <v>1.0166424737535023</v>
      </c>
      <c r="BF78" s="59">
        <f t="shared" si="230"/>
        <v>0.75296388199614006</v>
      </c>
      <c r="BG78" s="59">
        <f t="shared" si="230"/>
        <v>0.61779605758138134</v>
      </c>
      <c r="BH78" s="59">
        <f t="shared" si="230"/>
        <v>0.90927371345416064</v>
      </c>
      <c r="BI78" s="59">
        <f t="shared" si="230"/>
        <v>1.3470309546603825</v>
      </c>
      <c r="BJ78" s="59">
        <f>SUM(BJ54:BJ57)/SUM(BJ65:BJ69)</f>
        <v>1.1150033521693323</v>
      </c>
      <c r="BK78" s="59">
        <f>SUM(BK54:BK57)/SUM(BK65:BK69)</f>
        <v>1.1708128130656228</v>
      </c>
      <c r="CD78" s="59">
        <f t="shared" ref="CD78:CG78" si="231">SUM(CD54:CD57)/SUM(CD65:CD69)</f>
        <v>0.90965786054569076</v>
      </c>
      <c r="CE78" s="59">
        <f t="shared" si="231"/>
        <v>0.71500126806999742</v>
      </c>
      <c r="CF78" s="59">
        <f t="shared" si="231"/>
        <v>0.75296388199614006</v>
      </c>
      <c r="CG78" s="59">
        <f t="shared" si="231"/>
        <v>1.1150033521693323</v>
      </c>
    </row>
    <row r="79" spans="2:107">
      <c r="B79" s="1" t="s">
        <v>113</v>
      </c>
      <c r="AX79" s="59">
        <f t="shared" ref="AX79:BI79" si="232">SUM(AX54:AX55)/SUM(AX65:AX69)</f>
        <v>0.44118666089216113</v>
      </c>
      <c r="AY79" s="59">
        <f t="shared" si="232"/>
        <v>0.47651536064991917</v>
      </c>
      <c r="AZ79" s="59">
        <f t="shared" si="232"/>
        <v>0.35604539681238989</v>
      </c>
      <c r="BA79" s="59">
        <f t="shared" si="232"/>
        <v>0.39799075748442836</v>
      </c>
      <c r="BB79" s="59">
        <f t="shared" si="232"/>
        <v>0.33797235607405529</v>
      </c>
      <c r="BC79" s="59">
        <f t="shared" si="232"/>
        <v>0.34048993602746136</v>
      </c>
      <c r="BD79" s="59">
        <f t="shared" si="232"/>
        <v>0.38933636238468955</v>
      </c>
      <c r="BE79" s="59">
        <f t="shared" si="232"/>
        <v>0.60166087162002502</v>
      </c>
      <c r="BF79" s="59">
        <f t="shared" si="232"/>
        <v>0.34319762276751525</v>
      </c>
      <c r="BG79" s="59">
        <f t="shared" si="232"/>
        <v>0.27599438230425843</v>
      </c>
      <c r="BH79" s="59">
        <f t="shared" si="232"/>
        <v>0.52297923005688585</v>
      </c>
      <c r="BI79" s="59">
        <f t="shared" si="232"/>
        <v>0.96060092790338025</v>
      </c>
      <c r="BJ79" s="59">
        <f>SUM(BJ54:BJ55)/SUM(BJ65:BJ69)</f>
        <v>0.76367206206302074</v>
      </c>
      <c r="BK79" s="59">
        <f>SUM(BK54:BK55)/SUM(BK65:BK69)</f>
        <v>0.7803384265690112</v>
      </c>
      <c r="CD79" s="59">
        <f t="shared" ref="CD79:CG79" si="233">SUM(CD54:CD55)/SUM(CD65:CD69)</f>
        <v>0.44118666089216113</v>
      </c>
      <c r="CE79" s="59">
        <f t="shared" si="233"/>
        <v>0.33797235607405529</v>
      </c>
      <c r="CF79" s="59">
        <f t="shared" si="233"/>
        <v>0.34319762276751525</v>
      </c>
      <c r="CG79" s="59">
        <f t="shared" si="233"/>
        <v>0.76367206206302074</v>
      </c>
    </row>
    <row r="80" spans="2:107">
      <c r="B80" s="1" t="s">
        <v>208</v>
      </c>
      <c r="AX80" s="59">
        <f t="shared" ref="AX80:BI80" si="234">AX21/(AVERAGE((AU58:AX58)))</f>
        <v>0.81065088757396453</v>
      </c>
      <c r="AY80" s="59">
        <f t="shared" si="234"/>
        <v>0.71748336358136722</v>
      </c>
      <c r="AZ80" s="59">
        <f t="shared" si="234"/>
        <v>0.73637191305337435</v>
      </c>
      <c r="BA80" s="59">
        <f t="shared" si="234"/>
        <v>0.73943122816297557</v>
      </c>
      <c r="BB80" s="59">
        <f t="shared" si="234"/>
        <v>0.74893193195816843</v>
      </c>
      <c r="BC80" s="59">
        <f t="shared" si="234"/>
        <v>0.6510592494740447</v>
      </c>
      <c r="BD80" s="59">
        <f t="shared" si="234"/>
        <v>0.62360416504951266</v>
      </c>
      <c r="BE80" s="59">
        <f t="shared" si="234"/>
        <v>0.54856743535988817</v>
      </c>
      <c r="BF80" s="59">
        <f t="shared" si="234"/>
        <v>0.50882272952694807</v>
      </c>
      <c r="BG80" s="59">
        <f t="shared" si="234"/>
        <v>0.38489408063538727</v>
      </c>
      <c r="BH80" s="59">
        <f t="shared" si="234"/>
        <v>0.32677896429098346</v>
      </c>
      <c r="BI80" s="59">
        <f t="shared" si="234"/>
        <v>0.27702572036356604</v>
      </c>
      <c r="BJ80" s="59">
        <f>BJ21/(AVERAGE((BG58:BJ58)))</f>
        <v>0.25187514566229979</v>
      </c>
      <c r="BK80" s="59">
        <f>BK21/(AVERAGE((BH58:BK58)))</f>
        <v>0.20401060918443212</v>
      </c>
      <c r="CD80" s="59">
        <f t="shared" ref="CD80:CG80" si="235">CD21/(AVERAGE((CA58:CD58)))</f>
        <v>2.9266506532310035</v>
      </c>
      <c r="CE80" s="59">
        <f t="shared" si="235"/>
        <v>2.7437378577904417</v>
      </c>
      <c r="CF80" s="59">
        <f t="shared" si="235"/>
        <v>2.0967160617093037</v>
      </c>
      <c r="CG80" s="59">
        <f t="shared" si="235"/>
        <v>1.479690692207992</v>
      </c>
    </row>
    <row r="81" spans="2:147">
      <c r="B81" s="1" t="s">
        <v>209</v>
      </c>
      <c r="AX81" s="59">
        <f t="shared" ref="AX81:BI81" si="236">AX21/AX76</f>
        <v>0.10296612691987142</v>
      </c>
      <c r="AY81" s="59">
        <f t="shared" si="236"/>
        <v>9.1122623699345831E-2</v>
      </c>
      <c r="AZ81" s="59">
        <f t="shared" si="236"/>
        <v>9.634168130788244E-2</v>
      </c>
      <c r="BA81" s="59">
        <f t="shared" si="236"/>
        <v>9.6876322201310164E-2</v>
      </c>
      <c r="BB81" s="59">
        <f t="shared" si="236"/>
        <v>0.10134349109068211</v>
      </c>
      <c r="BC81" s="59">
        <f t="shared" si="236"/>
        <v>9.2272594893699642E-2</v>
      </c>
      <c r="BD81" s="59">
        <f t="shared" si="236"/>
        <v>9.4684239946660559E-2</v>
      </c>
      <c r="BE81" s="59">
        <f t="shared" si="236"/>
        <v>8.7558403251992212E-2</v>
      </c>
      <c r="BF81" s="59">
        <f t="shared" si="236"/>
        <v>9.4457742588841834E-2</v>
      </c>
      <c r="BG81" s="59">
        <f t="shared" si="236"/>
        <v>8.2715892024893461E-2</v>
      </c>
      <c r="BH81" s="59">
        <f t="shared" si="236"/>
        <v>7.8337821488506418E-2</v>
      </c>
      <c r="BI81" s="59">
        <f t="shared" si="236"/>
        <v>7.0094601206980911E-2</v>
      </c>
      <c r="BJ81" s="59">
        <f>BJ21/BJ76</f>
        <v>7.3284968234139033E-2</v>
      </c>
      <c r="BK81" s="59">
        <f>BK21/BK76</f>
        <v>6.3790357417257193E-2</v>
      </c>
      <c r="CD81" s="59">
        <f t="shared" ref="CD81:CG81" si="237">CD21/CD76</f>
        <v>0.37173324205262531</v>
      </c>
      <c r="CE81" s="59">
        <f t="shared" si="237"/>
        <v>0.375673873567132</v>
      </c>
      <c r="CF81" s="59">
        <f t="shared" si="237"/>
        <v>0.34092812468445782</v>
      </c>
      <c r="CG81" s="59">
        <f t="shared" si="237"/>
        <v>0.25732448550002102</v>
      </c>
    </row>
    <row r="82" spans="2:147">
      <c r="B82" s="1" t="s">
        <v>114</v>
      </c>
      <c r="AX82" s="60">
        <f t="shared" ref="AX82:BI82" si="238">AX38/AX76</f>
        <v>2.4697880700083344E-2</v>
      </c>
      <c r="AY82" s="60">
        <f t="shared" si="238"/>
        <v>1.7049362661164039E-2</v>
      </c>
      <c r="AZ82" s="60">
        <f t="shared" si="238"/>
        <v>1.8634049015812514E-2</v>
      </c>
      <c r="BA82" s="60">
        <f t="shared" si="238"/>
        <v>1.7515063976306151E-2</v>
      </c>
      <c r="BB82" s="60">
        <f t="shared" si="238"/>
        <v>2.2932981500397232E-2</v>
      </c>
      <c r="BC82" s="60">
        <f t="shared" si="238"/>
        <v>2.0310094720346152E-2</v>
      </c>
      <c r="BD82" s="60">
        <f t="shared" si="238"/>
        <v>2.1221284591502059E-2</v>
      </c>
      <c r="BE82" s="60">
        <f t="shared" si="238"/>
        <v>1.8193310116620606E-2</v>
      </c>
      <c r="BF82" s="60">
        <f t="shared" si="238"/>
        <v>2.0355070354773373E-2</v>
      </c>
      <c r="BG82" s="60">
        <f t="shared" si="238"/>
        <v>1.6220649601826554E-2</v>
      </c>
      <c r="BH82" s="60">
        <f t="shared" si="238"/>
        <v>2.9929165203137806E-2</v>
      </c>
      <c r="BI82" s="60">
        <f t="shared" si="238"/>
        <v>1.5083183819931496E-2</v>
      </c>
      <c r="BJ82" s="60">
        <f>BJ38/BJ76</f>
        <v>1.6133160655412038E-2</v>
      </c>
      <c r="BK82" s="60">
        <f>BK38/BK76</f>
        <v>1.5429055691669497E-2</v>
      </c>
      <c r="CD82" s="60">
        <f t="shared" ref="CD82:CG82" si="239">CD38/CD76</f>
        <v>6.3281343017025843E-2</v>
      </c>
      <c r="CE82" s="60">
        <f t="shared" si="239"/>
        <v>7.4246680286006131E-2</v>
      </c>
      <c r="CF82" s="60">
        <f t="shared" si="239"/>
        <v>7.3906664845183864E-2</v>
      </c>
      <c r="CG82" s="60">
        <f t="shared" si="239"/>
        <v>6.4884110957025357E-2</v>
      </c>
    </row>
    <row r="83" spans="2:147">
      <c r="B83" s="1" t="s">
        <v>115</v>
      </c>
      <c r="AX83" s="60">
        <f t="shared" ref="AX83:BI83" si="240">AX38/AX75</f>
        <v>2.1330334190231364</v>
      </c>
      <c r="AY83" s="60">
        <f t="shared" si="240"/>
        <v>0.82013375571981695</v>
      </c>
      <c r="AZ83" s="60">
        <f t="shared" si="240"/>
        <v>0.57172224760164458</v>
      </c>
      <c r="BA83" s="60">
        <f t="shared" si="240"/>
        <v>0.38838563571659657</v>
      </c>
      <c r="BB83" s="60">
        <f t="shared" si="240"/>
        <v>0.34992964606559152</v>
      </c>
      <c r="BC83" s="60">
        <f t="shared" si="240"/>
        <v>0.25991658532256634</v>
      </c>
      <c r="BD83" s="60">
        <f t="shared" si="240"/>
        <v>0.2213402641191346</v>
      </c>
      <c r="BE83" s="60">
        <f t="shared" si="240"/>
        <v>0.17009443253577428</v>
      </c>
      <c r="BF83" s="60">
        <f t="shared" si="240"/>
        <v>0.163431732557585</v>
      </c>
      <c r="BG83" s="60">
        <f t="shared" si="240"/>
        <v>0.11866536933430634</v>
      </c>
      <c r="BH83" s="60">
        <f t="shared" si="240"/>
        <v>0.20143152641428899</v>
      </c>
      <c r="BI83" s="60">
        <f t="shared" si="240"/>
        <v>9.4722286241069376E-2</v>
      </c>
      <c r="BJ83" s="60">
        <f>BJ38/BJ75</f>
        <v>9.808156819026384E-2</v>
      </c>
      <c r="BK83" s="60">
        <f>BK38/BK75</f>
        <v>6.9632120959580934E-2</v>
      </c>
      <c r="CD83" s="60">
        <f t="shared" ref="CD83:CG83" si="241">CD38/CD75</f>
        <v>5.4652956298200515</v>
      </c>
      <c r="CE83" s="60">
        <f t="shared" si="241"/>
        <v>1.1329148176209547</v>
      </c>
      <c r="CF83" s="60">
        <f t="shared" si="241"/>
        <v>0.59339978062854692</v>
      </c>
      <c r="CG83" s="60">
        <f t="shared" si="241"/>
        <v>0.39446302489780749</v>
      </c>
    </row>
    <row r="85" spans="2:147">
      <c r="B85" s="1" t="s">
        <v>116</v>
      </c>
      <c r="C85" s="1">
        <f t="shared" ref="C85:AL85" si="242">C38</f>
        <v>1840</v>
      </c>
      <c r="D85" s="1">
        <f t="shared" si="242"/>
        <v>2192</v>
      </c>
      <c r="E85" s="1">
        <f t="shared" si="242"/>
        <v>2498</v>
      </c>
      <c r="F85" s="1">
        <f t="shared" si="242"/>
        <v>3451</v>
      </c>
      <c r="G85" s="1">
        <f t="shared" si="242"/>
        <v>2034</v>
      </c>
      <c r="H85" s="1">
        <f t="shared" si="242"/>
        <v>2581</v>
      </c>
      <c r="I85" s="1">
        <f t="shared" si="242"/>
        <v>2504</v>
      </c>
      <c r="J85" s="1">
        <f t="shared" si="242"/>
        <v>3806</v>
      </c>
      <c r="K85" s="1">
        <f t="shared" si="242"/>
        <v>2191</v>
      </c>
      <c r="L85" s="1">
        <f t="shared" si="242"/>
        <v>2553</v>
      </c>
      <c r="M85" s="1">
        <f t="shared" si="242"/>
        <v>2565</v>
      </c>
      <c r="N85" s="1">
        <f t="shared" si="242"/>
        <v>3646</v>
      </c>
      <c r="O85" s="1">
        <f t="shared" si="242"/>
        <v>2184</v>
      </c>
      <c r="P85" s="1">
        <f t="shared" si="242"/>
        <v>2502</v>
      </c>
      <c r="Q85" s="1">
        <f t="shared" si="242"/>
        <v>2495</v>
      </c>
      <c r="R85" s="1">
        <f t="shared" si="242"/>
        <v>2757</v>
      </c>
      <c r="S85" s="1">
        <f t="shared" si="242"/>
        <v>1747</v>
      </c>
      <c r="T85" s="1">
        <f t="shared" si="242"/>
        <v>2197</v>
      </c>
      <c r="U85" s="1">
        <f t="shared" si="242"/>
        <v>2142</v>
      </c>
      <c r="V85" s="1">
        <f t="shared" si="242"/>
        <v>2815</v>
      </c>
      <c r="W85" s="1">
        <f t="shared" si="242"/>
        <v>1832</v>
      </c>
      <c r="X85" s="1">
        <f t="shared" si="242"/>
        <v>2032</v>
      </c>
      <c r="Y85" s="1">
        <f t="shared" si="242"/>
        <v>2239</v>
      </c>
      <c r="Z85" s="1">
        <f t="shared" si="242"/>
        <v>3349</v>
      </c>
      <c r="AA85" s="1">
        <f t="shared" si="242"/>
        <v>2144</v>
      </c>
      <c r="AB85" s="1">
        <f t="shared" si="242"/>
        <v>2214</v>
      </c>
      <c r="AC85" s="1">
        <f t="shared" si="242"/>
        <v>-4047</v>
      </c>
      <c r="AD85" s="1">
        <f t="shared" si="242"/>
        <v>3276</v>
      </c>
      <c r="AE85" s="1">
        <f t="shared" si="242"/>
        <v>2265</v>
      </c>
      <c r="AF85" s="1">
        <f t="shared" si="242"/>
        <v>2333</v>
      </c>
      <c r="AG85" s="1">
        <f t="shared" si="242"/>
        <v>2745</v>
      </c>
      <c r="AH85" s="1">
        <f t="shared" si="242"/>
        <v>3740</v>
      </c>
      <c r="AI85" s="1">
        <f t="shared" si="242"/>
        <v>2137</v>
      </c>
      <c r="AJ85" s="1">
        <f t="shared" si="242"/>
        <v>2311</v>
      </c>
      <c r="AK85" s="1">
        <f t="shared" si="242"/>
        <v>2571</v>
      </c>
      <c r="AL85" s="1">
        <f t="shared" si="242"/>
        <v>3117</v>
      </c>
      <c r="AM85" s="1">
        <f t="shared" ref="AM85:BI85" si="243">AM38</f>
        <v>2251</v>
      </c>
      <c r="AN85" s="1">
        <f t="shared" si="243"/>
        <v>2442</v>
      </c>
      <c r="AO85" s="1">
        <f t="shared" si="243"/>
        <v>1532</v>
      </c>
      <c r="AP85" s="1">
        <f t="shared" si="243"/>
        <v>6028</v>
      </c>
      <c r="AQ85" s="1">
        <f t="shared" si="243"/>
        <v>2457</v>
      </c>
      <c r="AR85" s="1">
        <f t="shared" si="243"/>
        <v>-1247</v>
      </c>
      <c r="AS85" s="1">
        <f t="shared" si="243"/>
        <v>3361</v>
      </c>
      <c r="AT85" s="1">
        <f t="shared" si="243"/>
        <v>2147</v>
      </c>
      <c r="AU85" s="1">
        <f t="shared" si="243"/>
        <v>1548</v>
      </c>
      <c r="AV85" s="1">
        <f t="shared" si="243"/>
        <v>1741</v>
      </c>
      <c r="AW85" s="1">
        <f t="shared" si="243"/>
        <v>1896</v>
      </c>
      <c r="AX85" s="1">
        <f t="shared" si="243"/>
        <v>3319</v>
      </c>
      <c r="AY85" s="1">
        <f t="shared" si="243"/>
        <v>2330</v>
      </c>
      <c r="AZ85" s="1">
        <f t="shared" si="243"/>
        <v>2503</v>
      </c>
      <c r="BA85" s="1">
        <f t="shared" si="243"/>
        <v>2401</v>
      </c>
      <c r="BB85" s="1">
        <f t="shared" si="243"/>
        <v>3233</v>
      </c>
      <c r="BC85" s="1">
        <f t="shared" si="243"/>
        <v>2929</v>
      </c>
      <c r="BD85" s="1">
        <f t="shared" si="243"/>
        <v>3151</v>
      </c>
      <c r="BE85" s="1">
        <f t="shared" si="243"/>
        <v>2936</v>
      </c>
      <c r="BF85" s="1">
        <f t="shared" si="243"/>
        <v>3427</v>
      </c>
      <c r="BG85" s="1">
        <f t="shared" si="243"/>
        <v>2927</v>
      </c>
      <c r="BH85" s="1">
        <f t="shared" si="243"/>
        <v>6135</v>
      </c>
      <c r="BI85" s="1">
        <f t="shared" si="243"/>
        <v>3699</v>
      </c>
      <c r="BJ85" s="1">
        <f>BJ38</f>
        <v>4223</v>
      </c>
      <c r="BK85" s="1">
        <f>BK38</f>
        <v>4679</v>
      </c>
      <c r="BS85" s="1">
        <f t="shared" ref="BS85:BS90" si="244">SUM(C85:F85)</f>
        <v>9981</v>
      </c>
      <c r="BT85" s="1">
        <f t="shared" ref="BT85:BT90" si="245">SUM(G85:J85)</f>
        <v>10925</v>
      </c>
      <c r="BU85" s="1">
        <f t="shared" ref="BU85:BU90" si="246">SUM(K85:N85)</f>
        <v>10955</v>
      </c>
      <c r="BV85" s="1">
        <f t="shared" ref="BV85:BV90" si="247">SUM(O85:R85)</f>
        <v>9938</v>
      </c>
      <c r="BW85" s="1">
        <f t="shared" ref="BW85:BW90" si="248">SUM(S85:V85)</f>
        <v>8901</v>
      </c>
      <c r="BX85" s="1">
        <f t="shared" ref="BX85:BX90" si="249">SUM(W85:Z85)</f>
        <v>9452</v>
      </c>
      <c r="BY85" s="1">
        <f t="shared" ref="BY85:BY90" si="250">SUM(AA85:AD85)</f>
        <v>3587</v>
      </c>
      <c r="BZ85" s="1">
        <f t="shared" ref="BZ85:BZ90" si="251">SUM(AE85:AH85)</f>
        <v>11083</v>
      </c>
      <c r="CA85" s="1">
        <f t="shared" ref="CA85:CA90" si="252">SUM(AI85:AL85)</f>
        <v>10136</v>
      </c>
      <c r="CB85" s="1">
        <f t="shared" ref="CB85:CB90" si="253">SUM(AM85:AP85)</f>
        <v>12253</v>
      </c>
      <c r="CC85" s="1">
        <f t="shared" ref="CC85:CC90" si="254">SUM(AQ85:AT85)</f>
        <v>6718</v>
      </c>
      <c r="CD85" s="1">
        <f t="shared" ref="CD85:CD90" si="255">SUM(AU85:AX85)</f>
        <v>8504</v>
      </c>
      <c r="CE85" s="1">
        <f t="shared" ref="CE85:CE90" si="256">SUM(AY85:BB85)</f>
        <v>10467</v>
      </c>
      <c r="CF85" s="1">
        <f t="shared" ref="CF85:CF90" si="257">SUM(BC85:BF85)</f>
        <v>12443</v>
      </c>
      <c r="CG85" s="1">
        <f t="shared" ref="CG85:CG90" si="258">SUM(BG85:BJ85)</f>
        <v>16984</v>
      </c>
    </row>
    <row r="86" spans="2:147" s="2" customFormat="1" ht="15">
      <c r="B86" s="2" t="s">
        <v>117</v>
      </c>
      <c r="C86" s="2">
        <v>5421</v>
      </c>
      <c r="D86" s="2">
        <v>1255</v>
      </c>
      <c r="E86" s="2">
        <v>3010</v>
      </c>
      <c r="F86" s="2">
        <v>4057</v>
      </c>
      <c r="G86" s="2">
        <v>5671</v>
      </c>
      <c r="H86" s="2">
        <v>795</v>
      </c>
      <c r="I86" s="2">
        <v>3194</v>
      </c>
      <c r="J86" s="2">
        <v>4564</v>
      </c>
      <c r="K86" s="2">
        <v>6292</v>
      </c>
      <c r="L86" s="2">
        <v>1146</v>
      </c>
      <c r="M86" s="2">
        <v>3027</v>
      </c>
      <c r="N86" s="2">
        <v>4456</v>
      </c>
      <c r="O86" s="2">
        <v>6728</v>
      </c>
      <c r="P86" s="2">
        <v>1062</v>
      </c>
      <c r="Q86" s="2">
        <v>2263</v>
      </c>
      <c r="R86" s="2">
        <v>4527</v>
      </c>
      <c r="S86" s="2">
        <v>5881</v>
      </c>
      <c r="T86" s="2">
        <v>516</v>
      </c>
      <c r="U86" s="2">
        <v>3495</v>
      </c>
      <c r="V86" s="2">
        <v>3793</v>
      </c>
      <c r="W86" s="2">
        <v>5875</v>
      </c>
      <c r="X86" s="2">
        <v>1086</v>
      </c>
      <c r="Y86" s="2">
        <v>2699</v>
      </c>
      <c r="Z86" s="2">
        <v>4466</v>
      </c>
      <c r="AA86" s="2">
        <v>6566</v>
      </c>
      <c r="AB86" s="2">
        <v>850</v>
      </c>
      <c r="AC86" s="2">
        <v>3310</v>
      </c>
      <c r="AD86" s="2">
        <v>4660</v>
      </c>
      <c r="AE86" s="2">
        <v>6722</v>
      </c>
      <c r="AF86" s="2">
        <v>546</v>
      </c>
      <c r="AG86" s="2">
        <v>2861</v>
      </c>
      <c r="AH86" s="2">
        <v>4422</v>
      </c>
      <c r="AI86" s="2">
        <v>6000</v>
      </c>
      <c r="AJ86" s="2">
        <v>513</v>
      </c>
      <c r="AK86" s="2">
        <v>3012</v>
      </c>
      <c r="AL86" s="2">
        <v>3614</v>
      </c>
      <c r="AM86" s="2">
        <v>5953</v>
      </c>
      <c r="AN86" s="2">
        <v>1388</v>
      </c>
      <c r="AO86" s="2">
        <v>3704</v>
      </c>
      <c r="AP86" s="2">
        <v>4842</v>
      </c>
      <c r="AQ86" s="2">
        <v>5391</v>
      </c>
      <c r="AR86" s="2">
        <v>-3682</v>
      </c>
      <c r="AS86" s="2">
        <v>3845</v>
      </c>
      <c r="AT86" s="2">
        <v>3985</v>
      </c>
      <c r="AU86" s="2">
        <v>6394</v>
      </c>
      <c r="AV86" s="2">
        <v>849</v>
      </c>
      <c r="AW86" s="2">
        <v>4275</v>
      </c>
      <c r="AX86" s="2">
        <v>5647</v>
      </c>
      <c r="AY86" s="2">
        <v>6974</v>
      </c>
      <c r="AZ86" s="2">
        <v>143</v>
      </c>
      <c r="BA86" s="2">
        <v>5475</v>
      </c>
      <c r="BB86" s="2">
        <v>6081</v>
      </c>
      <c r="BC86" s="2">
        <v>7427</v>
      </c>
      <c r="BD86" s="2">
        <v>1304</v>
      </c>
      <c r="BE86" s="2">
        <v>5933</v>
      </c>
      <c r="BF86" s="2">
        <v>6157</v>
      </c>
      <c r="BG86" s="2">
        <v>8140</v>
      </c>
      <c r="BH86" s="2">
        <v>2066</v>
      </c>
      <c r="BI86" s="2">
        <v>7151</v>
      </c>
      <c r="BJ86" s="2">
        <v>14620</v>
      </c>
      <c r="BK86" s="2">
        <v>23103</v>
      </c>
      <c r="BS86" s="2">
        <f t="shared" si="244"/>
        <v>13743</v>
      </c>
      <c r="BT86" s="2">
        <f t="shared" si="245"/>
        <v>14224</v>
      </c>
      <c r="BU86" s="2">
        <f t="shared" si="246"/>
        <v>14921</v>
      </c>
      <c r="BV86" s="2">
        <f t="shared" si="247"/>
        <v>14580</v>
      </c>
      <c r="BW86" s="2">
        <f t="shared" si="248"/>
        <v>13685</v>
      </c>
      <c r="BX86" s="2">
        <f t="shared" si="249"/>
        <v>14126</v>
      </c>
      <c r="BY86" s="2">
        <f t="shared" si="250"/>
        <v>15386</v>
      </c>
      <c r="BZ86" s="2">
        <f t="shared" si="251"/>
        <v>14551</v>
      </c>
      <c r="CA86" s="2">
        <f t="shared" si="252"/>
        <v>13139</v>
      </c>
      <c r="CB86" s="2">
        <f t="shared" si="253"/>
        <v>15887</v>
      </c>
      <c r="CC86" s="2">
        <f t="shared" si="254"/>
        <v>9539</v>
      </c>
      <c r="CD86" s="2">
        <f t="shared" si="255"/>
        <v>17165</v>
      </c>
      <c r="CE86" s="2">
        <f t="shared" si="256"/>
        <v>18673</v>
      </c>
      <c r="CF86" s="2">
        <f t="shared" si="257"/>
        <v>20821</v>
      </c>
      <c r="CG86" s="2">
        <f t="shared" si="258"/>
        <v>31977</v>
      </c>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5"/>
      <c r="EG86" s="35"/>
      <c r="EH86" s="35"/>
      <c r="EI86" s="35"/>
      <c r="EJ86" s="35"/>
      <c r="EK86" s="35"/>
      <c r="EL86" s="35"/>
      <c r="EM86" s="35"/>
      <c r="EN86" s="35"/>
      <c r="EO86" s="35"/>
      <c r="EP86" s="35"/>
      <c r="EQ86" s="35"/>
    </row>
    <row r="87" spans="2:147">
      <c r="B87" s="1" t="s">
        <v>118</v>
      </c>
      <c r="C87" s="1">
        <v>-160</v>
      </c>
      <c r="D87" s="1">
        <v>-129</v>
      </c>
      <c r="E87" s="1">
        <v>-142</v>
      </c>
      <c r="F87" s="1">
        <v>-217</v>
      </c>
      <c r="G87" s="1">
        <v>-139</v>
      </c>
      <c r="H87" s="1">
        <v>-212</v>
      </c>
      <c r="I87" s="1">
        <v>-116</v>
      </c>
      <c r="J87" s="1">
        <v>-183</v>
      </c>
      <c r="K87" s="1">
        <v>-153</v>
      </c>
      <c r="L87" s="1">
        <v>-126</v>
      </c>
      <c r="M87" s="1">
        <v>-147</v>
      </c>
      <c r="N87" s="1">
        <v>-154</v>
      </c>
      <c r="O87" s="1">
        <v>-201</v>
      </c>
      <c r="P87" s="1">
        <v>-225</v>
      </c>
      <c r="Q87" s="1">
        <v>-368</v>
      </c>
      <c r="R87" s="1">
        <v>-597</v>
      </c>
      <c r="S87" s="1">
        <v>-446</v>
      </c>
      <c r="T87" s="1">
        <v>-195</v>
      </c>
      <c r="U87" s="1">
        <v>-368</v>
      </c>
      <c r="V87" s="1">
        <v>-180</v>
      </c>
      <c r="W87" s="1">
        <v>-299</v>
      </c>
      <c r="X87" s="1">
        <v>-757</v>
      </c>
      <c r="Y87" s="1">
        <v>-440</v>
      </c>
      <c r="Z87" s="1">
        <v>-525</v>
      </c>
      <c r="AA87" s="1">
        <v>-473</v>
      </c>
      <c r="AB87" s="1">
        <v>-599</v>
      </c>
      <c r="AC87" s="1">
        <v>-286</v>
      </c>
      <c r="AD87" s="1">
        <v>-378</v>
      </c>
      <c r="AE87" s="1">
        <v>-383</v>
      </c>
      <c r="AF87" s="1">
        <v>-421</v>
      </c>
      <c r="AG87" s="1">
        <v>-443</v>
      </c>
      <c r="AH87" s="1">
        <v>-413</v>
      </c>
      <c r="AI87" s="1">
        <v>-386</v>
      </c>
      <c r="AJ87" s="1">
        <v>-349</v>
      </c>
      <c r="AK87" s="1">
        <v>-396</v>
      </c>
      <c r="AL87" s="1">
        <v>-433</v>
      </c>
      <c r="AM87" s="1">
        <v>-436</v>
      </c>
      <c r="AN87" s="1">
        <v>-568</v>
      </c>
      <c r="AO87" s="1">
        <v>-414</v>
      </c>
      <c r="AP87" s="1">
        <v>-717</v>
      </c>
      <c r="AQ87" s="1">
        <v>-1062</v>
      </c>
      <c r="AR87" s="1">
        <v>-925</v>
      </c>
      <c r="AS87" s="1">
        <v>-1101</v>
      </c>
      <c r="AT87" s="1">
        <v>-1423</v>
      </c>
      <c r="AU87" s="1">
        <v>-1719</v>
      </c>
      <c r="AV87" s="1">
        <v>-2435</v>
      </c>
      <c r="AW87" s="1">
        <v>-2628</v>
      </c>
      <c r="AX87" s="1">
        <v>-1913</v>
      </c>
      <c r="AY87" s="1">
        <v>-1314</v>
      </c>
      <c r="AZ87" s="1">
        <v>-1080</v>
      </c>
      <c r="BA87" s="1">
        <v>-1674</v>
      </c>
      <c r="BB87" s="1">
        <v>-2798</v>
      </c>
      <c r="BC87" s="1">
        <v>-2303</v>
      </c>
      <c r="BD87" s="1">
        <v>-3970</v>
      </c>
      <c r="BE87" s="1">
        <v>-5862</v>
      </c>
      <c r="BF87" s="1">
        <v>-9080</v>
      </c>
      <c r="BG87" s="1">
        <v>-8502</v>
      </c>
      <c r="BH87" s="1">
        <v>-12033</v>
      </c>
      <c r="BI87" s="1">
        <v>-18635</v>
      </c>
      <c r="BJ87" s="1">
        <v>-16493</v>
      </c>
      <c r="BK87" s="1">
        <v>-28499</v>
      </c>
      <c r="BS87" s="1">
        <f t="shared" si="244"/>
        <v>-648</v>
      </c>
      <c r="BT87" s="1">
        <f t="shared" si="245"/>
        <v>-650</v>
      </c>
      <c r="BU87" s="1">
        <f t="shared" si="246"/>
        <v>-580</v>
      </c>
      <c r="BV87" s="1">
        <f t="shared" si="247"/>
        <v>-1391</v>
      </c>
      <c r="BW87" s="1">
        <f t="shared" si="248"/>
        <v>-1189</v>
      </c>
      <c r="BX87" s="1">
        <f t="shared" si="249"/>
        <v>-2021</v>
      </c>
      <c r="BY87" s="1">
        <f t="shared" si="250"/>
        <v>-1736</v>
      </c>
      <c r="BZ87" s="1">
        <f t="shared" si="251"/>
        <v>-1660</v>
      </c>
      <c r="CA87" s="1">
        <f t="shared" si="252"/>
        <v>-1564</v>
      </c>
      <c r="CB87" s="1">
        <f t="shared" si="253"/>
        <v>-2135</v>
      </c>
      <c r="CC87" s="1">
        <f t="shared" si="254"/>
        <v>-4511</v>
      </c>
      <c r="CD87" s="1">
        <f t="shared" si="255"/>
        <v>-8695</v>
      </c>
      <c r="CE87" s="1">
        <f t="shared" si="256"/>
        <v>-6866</v>
      </c>
      <c r="CF87" s="1">
        <f t="shared" si="257"/>
        <v>-21215</v>
      </c>
      <c r="CG87" s="1">
        <f t="shared" si="258"/>
        <v>-55663</v>
      </c>
    </row>
    <row r="88" spans="2:147" s="2" customFormat="1" ht="15">
      <c r="B88" s="2" t="s">
        <v>119</v>
      </c>
      <c r="C88" s="2">
        <f t="shared" ref="C88" si="259">C86+C87</f>
        <v>5261</v>
      </c>
      <c r="D88" s="2">
        <f t="shared" ref="D88" si="260">D86+D87</f>
        <v>1126</v>
      </c>
      <c r="E88" s="2">
        <f t="shared" ref="E88" si="261">E86+E87</f>
        <v>2868</v>
      </c>
      <c r="F88" s="2">
        <f t="shared" ref="F88" si="262">F86+F87</f>
        <v>3840</v>
      </c>
      <c r="G88" s="2">
        <f t="shared" ref="G88" si="263">G86+G87</f>
        <v>5532</v>
      </c>
      <c r="H88" s="2">
        <f t="shared" ref="H88" si="264">H86+H87</f>
        <v>583</v>
      </c>
      <c r="I88" s="2">
        <f t="shared" ref="I88" si="265">I86+I87</f>
        <v>3078</v>
      </c>
      <c r="J88" s="2">
        <f t="shared" ref="J88" si="266">J86+J87</f>
        <v>4381</v>
      </c>
      <c r="K88" s="2">
        <f t="shared" ref="K88" si="267">K86+K87</f>
        <v>6139</v>
      </c>
      <c r="L88" s="2">
        <f t="shared" ref="L88" si="268">L86+L87</f>
        <v>1020</v>
      </c>
      <c r="M88" s="2">
        <f t="shared" ref="M88" si="269">M86+M87</f>
        <v>2880</v>
      </c>
      <c r="N88" s="2">
        <f t="shared" ref="N88" si="270">N86+N87</f>
        <v>4302</v>
      </c>
      <c r="O88" s="2">
        <f t="shared" ref="O88" si="271">O86+O87</f>
        <v>6527</v>
      </c>
      <c r="P88" s="2">
        <f t="shared" ref="P88" si="272">P86+P87</f>
        <v>837</v>
      </c>
      <c r="Q88" s="2">
        <f t="shared" ref="Q88" si="273">Q86+Q87</f>
        <v>1895</v>
      </c>
      <c r="R88" s="2">
        <f t="shared" ref="R88" si="274">R86+R87</f>
        <v>3930</v>
      </c>
      <c r="S88" s="2">
        <f t="shared" ref="S88" si="275">S86+S87</f>
        <v>5435</v>
      </c>
      <c r="T88" s="2">
        <f t="shared" ref="T88" si="276">T86+T87</f>
        <v>321</v>
      </c>
      <c r="U88" s="2">
        <f t="shared" ref="U88" si="277">U86+U87</f>
        <v>3127</v>
      </c>
      <c r="V88" s="2">
        <f t="shared" ref="V88" si="278">V86+V87</f>
        <v>3613</v>
      </c>
      <c r="W88" s="2">
        <f t="shared" ref="W88" si="279">W86+W87</f>
        <v>5576</v>
      </c>
      <c r="X88" s="2">
        <f t="shared" ref="X88" si="280">X86+X87</f>
        <v>329</v>
      </c>
      <c r="Y88" s="2">
        <f t="shared" ref="Y88" si="281">Y86+Y87</f>
        <v>2259</v>
      </c>
      <c r="Z88" s="2">
        <f t="shared" ref="Z88" si="282">Z86+Z87</f>
        <v>3941</v>
      </c>
      <c r="AA88" s="2">
        <f t="shared" ref="AA88" si="283">AA86+AA87</f>
        <v>6093</v>
      </c>
      <c r="AB88" s="2">
        <f t="shared" ref="AB88" si="284">AB86+AB87</f>
        <v>251</v>
      </c>
      <c r="AC88" s="2">
        <f t="shared" ref="AC88" si="285">AC86+AC87</f>
        <v>3024</v>
      </c>
      <c r="AD88" s="2">
        <f t="shared" ref="AD88" si="286">AD86+AD87</f>
        <v>4282</v>
      </c>
      <c r="AE88" s="2">
        <f t="shared" ref="AE88" si="287">AE86+AE87</f>
        <v>6339</v>
      </c>
      <c r="AF88" s="2">
        <f t="shared" ref="AF88" si="288">AF86+AF87</f>
        <v>125</v>
      </c>
      <c r="AG88" s="2">
        <f t="shared" ref="AG88" si="289">AG86+AG87</f>
        <v>2418</v>
      </c>
      <c r="AH88" s="2">
        <f t="shared" ref="AH88" si="290">AH86+AH87</f>
        <v>4009</v>
      </c>
      <c r="AI88" s="2">
        <f t="shared" ref="AI88" si="291">AI86+AI87</f>
        <v>5614</v>
      </c>
      <c r="AJ88" s="2">
        <f t="shared" ref="AJ88" si="292">AJ86+AJ87</f>
        <v>164</v>
      </c>
      <c r="AK88" s="2">
        <f t="shared" ref="AK88" si="293">AK86+AK87</f>
        <v>2616</v>
      </c>
      <c r="AL88" s="2">
        <f t="shared" ref="AL88" si="294">AL86+AL87</f>
        <v>3181</v>
      </c>
      <c r="AM88" s="2">
        <f t="shared" ref="AM88:BF88" si="295">AM86+AM87</f>
        <v>5517</v>
      </c>
      <c r="AN88" s="2">
        <f t="shared" si="295"/>
        <v>820</v>
      </c>
      <c r="AO88" s="2">
        <f t="shared" si="295"/>
        <v>3290</v>
      </c>
      <c r="AP88" s="2">
        <f t="shared" si="295"/>
        <v>4125</v>
      </c>
      <c r="AQ88" s="2">
        <f t="shared" si="295"/>
        <v>4329</v>
      </c>
      <c r="AR88" s="2">
        <f t="shared" si="295"/>
        <v>-4607</v>
      </c>
      <c r="AS88" s="2">
        <f t="shared" si="295"/>
        <v>2744</v>
      </c>
      <c r="AT88" s="2">
        <f t="shared" si="295"/>
        <v>2562</v>
      </c>
      <c r="AU88" s="2">
        <f t="shared" si="295"/>
        <v>4675</v>
      </c>
      <c r="AV88" s="2">
        <f t="shared" si="295"/>
        <v>-1586</v>
      </c>
      <c r="AW88" s="2">
        <f t="shared" si="295"/>
        <v>1647</v>
      </c>
      <c r="AX88" s="2">
        <f t="shared" si="295"/>
        <v>3734</v>
      </c>
      <c r="AY88" s="2">
        <f t="shared" si="295"/>
        <v>5660</v>
      </c>
      <c r="AZ88" s="2">
        <f t="shared" si="295"/>
        <v>-937</v>
      </c>
      <c r="BA88" s="2">
        <f t="shared" si="295"/>
        <v>3801</v>
      </c>
      <c r="BB88" s="2">
        <f t="shared" si="295"/>
        <v>3283</v>
      </c>
      <c r="BC88" s="2">
        <f t="shared" si="295"/>
        <v>5124</v>
      </c>
      <c r="BD88" s="2">
        <f t="shared" si="295"/>
        <v>-2666</v>
      </c>
      <c r="BE88" s="2">
        <f t="shared" si="295"/>
        <v>71</v>
      </c>
      <c r="BF88" s="2">
        <f t="shared" si="295"/>
        <v>-2923</v>
      </c>
      <c r="BG88" s="2">
        <f>BG86+BG87</f>
        <v>-362</v>
      </c>
      <c r="BH88" s="2">
        <f t="shared" ref="BH88:BJ88" si="296">BH86+BH87</f>
        <v>-9967</v>
      </c>
      <c r="BI88" s="2">
        <f t="shared" si="296"/>
        <v>-11484</v>
      </c>
      <c r="BJ88" s="2">
        <f t="shared" si="296"/>
        <v>-1873</v>
      </c>
      <c r="BK88" s="2">
        <f t="shared" ref="BK88" si="297">BK86+BK87</f>
        <v>-5396</v>
      </c>
      <c r="BS88" s="2">
        <f t="shared" si="244"/>
        <v>13095</v>
      </c>
      <c r="BT88" s="2">
        <f t="shared" si="245"/>
        <v>13574</v>
      </c>
      <c r="BU88" s="2">
        <f t="shared" si="246"/>
        <v>14341</v>
      </c>
      <c r="BV88" s="2">
        <f t="shared" si="247"/>
        <v>13189</v>
      </c>
      <c r="BW88" s="2">
        <f t="shared" si="248"/>
        <v>12496</v>
      </c>
      <c r="BX88" s="2">
        <f t="shared" si="249"/>
        <v>12105</v>
      </c>
      <c r="BY88" s="2">
        <f t="shared" si="250"/>
        <v>13650</v>
      </c>
      <c r="BZ88" s="2">
        <f t="shared" si="251"/>
        <v>12891</v>
      </c>
      <c r="CA88" s="2">
        <f t="shared" si="252"/>
        <v>11575</v>
      </c>
      <c r="CB88" s="2">
        <f t="shared" si="253"/>
        <v>13752</v>
      </c>
      <c r="CC88" s="2">
        <f t="shared" si="254"/>
        <v>5028</v>
      </c>
      <c r="CD88" s="2">
        <f t="shared" si="255"/>
        <v>8470</v>
      </c>
      <c r="CE88" s="2">
        <f t="shared" si="256"/>
        <v>11807</v>
      </c>
      <c r="CF88" s="2">
        <f t="shared" si="257"/>
        <v>-394</v>
      </c>
      <c r="CG88" s="2">
        <f t="shared" si="258"/>
        <v>-23686</v>
      </c>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5"/>
      <c r="EG88" s="35"/>
      <c r="EH88" s="35"/>
      <c r="EI88" s="35"/>
      <c r="EJ88" s="35"/>
      <c r="EK88" s="35"/>
      <c r="EL88" s="35"/>
      <c r="EM88" s="35"/>
      <c r="EN88" s="35"/>
      <c r="EO88" s="35"/>
      <c r="EP88" s="35"/>
      <c r="EQ88" s="35"/>
    </row>
    <row r="89" spans="2:147">
      <c r="B89" s="1" t="s">
        <v>120</v>
      </c>
      <c r="C89" s="1">
        <f t="shared" ref="C89:AL89" si="298">C39</f>
        <v>5020</v>
      </c>
      <c r="D89" s="1">
        <f t="shared" si="298"/>
        <v>5030</v>
      </c>
      <c r="E89" s="1">
        <f t="shared" si="298"/>
        <v>5040</v>
      </c>
      <c r="F89" s="1">
        <f t="shared" si="298"/>
        <v>5060</v>
      </c>
      <c r="G89" s="1">
        <f t="shared" si="298"/>
        <v>5060</v>
      </c>
      <c r="H89" s="1">
        <f t="shared" si="298"/>
        <v>5040</v>
      </c>
      <c r="I89" s="1">
        <f t="shared" si="298"/>
        <v>5010</v>
      </c>
      <c r="J89" s="1">
        <f t="shared" si="298"/>
        <v>487</v>
      </c>
      <c r="K89" s="1">
        <f t="shared" si="298"/>
        <v>4790</v>
      </c>
      <c r="L89" s="1">
        <f t="shared" si="298"/>
        <v>4740</v>
      </c>
      <c r="M89" s="1">
        <f t="shared" si="298"/>
        <v>4610</v>
      </c>
      <c r="N89" s="1">
        <f t="shared" si="298"/>
        <v>4540</v>
      </c>
      <c r="O89" s="1">
        <f t="shared" si="298"/>
        <v>4500</v>
      </c>
      <c r="P89" s="1">
        <f t="shared" si="298"/>
        <v>4450</v>
      </c>
      <c r="Q89" s="1">
        <f t="shared" si="298"/>
        <v>4420</v>
      </c>
      <c r="R89" s="1">
        <f t="shared" si="298"/>
        <v>4390</v>
      </c>
      <c r="S89" s="1">
        <f t="shared" si="298"/>
        <v>4360</v>
      </c>
      <c r="T89" s="1">
        <f t="shared" si="298"/>
        <v>4320</v>
      </c>
      <c r="U89" s="1">
        <f t="shared" si="298"/>
        <v>4240</v>
      </c>
      <c r="V89" s="1">
        <f t="shared" si="298"/>
        <v>4180</v>
      </c>
      <c r="W89" s="1">
        <f t="shared" si="298"/>
        <v>4150</v>
      </c>
      <c r="X89" s="1">
        <f t="shared" si="298"/>
        <v>4120</v>
      </c>
      <c r="Y89" s="1">
        <f t="shared" si="298"/>
        <v>4100</v>
      </c>
      <c r="Z89" s="1">
        <f t="shared" si="298"/>
        <v>4110</v>
      </c>
      <c r="AA89" s="1">
        <f t="shared" si="298"/>
        <v>4130</v>
      </c>
      <c r="AB89" s="1">
        <f t="shared" si="298"/>
        <v>4155</v>
      </c>
      <c r="AC89" s="1">
        <f t="shared" si="298"/>
        <v>4160</v>
      </c>
      <c r="AD89" s="1">
        <f t="shared" si="298"/>
        <v>4120</v>
      </c>
      <c r="AE89" s="1">
        <f t="shared" si="298"/>
        <v>4050</v>
      </c>
      <c r="AF89" s="1">
        <f t="shared" si="298"/>
        <v>3900</v>
      </c>
      <c r="AG89" s="1">
        <f t="shared" si="298"/>
        <v>3720</v>
      </c>
      <c r="AH89" s="1">
        <f t="shared" si="298"/>
        <v>3530</v>
      </c>
      <c r="AI89" s="1">
        <f t="shared" si="298"/>
        <v>3390</v>
      </c>
      <c r="AJ89" s="1">
        <f t="shared" si="298"/>
        <v>3320</v>
      </c>
      <c r="AK89" s="1">
        <f t="shared" si="298"/>
        <v>3250</v>
      </c>
      <c r="AL89" s="1">
        <f t="shared" si="298"/>
        <v>3190</v>
      </c>
      <c r="AM89" s="1">
        <f>AM39</f>
        <v>3040</v>
      </c>
      <c r="AN89" s="1">
        <f t="shared" ref="AN89:BJ89" si="299">AN39</f>
        <v>2977</v>
      </c>
      <c r="AO89" s="1">
        <f t="shared" si="299"/>
        <v>2913</v>
      </c>
      <c r="AP89" s="1">
        <f t="shared" si="299"/>
        <v>2850</v>
      </c>
      <c r="AQ89" s="1">
        <f t="shared" si="299"/>
        <v>2770</v>
      </c>
      <c r="AR89" s="1">
        <f t="shared" si="299"/>
        <v>2690</v>
      </c>
      <c r="AS89" s="1">
        <f t="shared" si="299"/>
        <v>2670</v>
      </c>
      <c r="AT89" s="1">
        <f t="shared" si="299"/>
        <v>2670</v>
      </c>
      <c r="AU89" s="1">
        <f t="shared" si="299"/>
        <v>2685</v>
      </c>
      <c r="AV89" s="1">
        <f t="shared" si="299"/>
        <v>2700</v>
      </c>
      <c r="AW89" s="1">
        <f t="shared" si="299"/>
        <v>2700</v>
      </c>
      <c r="AX89" s="1">
        <f t="shared" si="299"/>
        <v>2710</v>
      </c>
      <c r="AY89" s="1">
        <f t="shared" si="299"/>
        <v>2730</v>
      </c>
      <c r="AZ89" s="1">
        <f t="shared" si="299"/>
        <v>2750</v>
      </c>
      <c r="BA89" s="1">
        <f t="shared" si="299"/>
        <v>2750</v>
      </c>
      <c r="BB89" s="1">
        <f t="shared" si="299"/>
        <v>2750</v>
      </c>
      <c r="BC89" s="1">
        <f t="shared" si="299"/>
        <v>2760</v>
      </c>
      <c r="BD89" s="1">
        <f t="shared" si="299"/>
        <v>2791</v>
      </c>
      <c r="BE89" s="1">
        <f t="shared" si="299"/>
        <v>2806</v>
      </c>
      <c r="BF89" s="1">
        <f t="shared" si="299"/>
        <v>2830</v>
      </c>
      <c r="BG89" s="1">
        <f t="shared" si="299"/>
        <v>2860</v>
      </c>
      <c r="BH89" s="1">
        <f t="shared" si="299"/>
        <v>2874</v>
      </c>
      <c r="BI89" s="1">
        <f t="shared" si="299"/>
        <v>2876</v>
      </c>
      <c r="BJ89" s="1">
        <f t="shared" si="299"/>
        <v>2880</v>
      </c>
      <c r="BK89" s="1">
        <f t="shared" ref="BK89" si="300">BK39</f>
        <v>2966</v>
      </c>
      <c r="BS89" s="1">
        <f t="shared" si="244"/>
        <v>20150</v>
      </c>
      <c r="BT89" s="1">
        <f t="shared" si="245"/>
        <v>15597</v>
      </c>
      <c r="BU89" s="1">
        <f t="shared" si="246"/>
        <v>18680</v>
      </c>
      <c r="BV89" s="1">
        <f t="shared" si="247"/>
        <v>17760</v>
      </c>
      <c r="BW89" s="1">
        <f t="shared" si="248"/>
        <v>17100</v>
      </c>
      <c r="BX89" s="1">
        <f t="shared" si="249"/>
        <v>16480</v>
      </c>
      <c r="BY89" s="1">
        <f t="shared" si="250"/>
        <v>16565</v>
      </c>
      <c r="BZ89" s="1">
        <f t="shared" si="251"/>
        <v>15200</v>
      </c>
      <c r="CA89" s="1">
        <f t="shared" si="252"/>
        <v>13150</v>
      </c>
      <c r="CB89" s="1">
        <f t="shared" si="253"/>
        <v>11780</v>
      </c>
      <c r="CC89" s="1">
        <f t="shared" si="254"/>
        <v>10800</v>
      </c>
      <c r="CD89" s="1">
        <f t="shared" si="255"/>
        <v>10795</v>
      </c>
      <c r="CE89" s="1">
        <f t="shared" si="256"/>
        <v>10980</v>
      </c>
      <c r="CF89" s="1">
        <f t="shared" si="257"/>
        <v>11187</v>
      </c>
      <c r="CG89" s="1">
        <f t="shared" si="258"/>
        <v>11490</v>
      </c>
    </row>
    <row r="90" spans="2:147">
      <c r="B90" s="1" t="s">
        <v>121</v>
      </c>
      <c r="C90" s="40">
        <f t="shared" ref="C90:AL90" si="301">C88/C89</f>
        <v>1.0480079681274901</v>
      </c>
      <c r="D90" s="40">
        <f t="shared" si="301"/>
        <v>0.2238568588469185</v>
      </c>
      <c r="E90" s="40">
        <f t="shared" si="301"/>
        <v>0.56904761904761902</v>
      </c>
      <c r="F90" s="40">
        <f t="shared" si="301"/>
        <v>0.75889328063241102</v>
      </c>
      <c r="G90" s="40">
        <f t="shared" si="301"/>
        <v>1.0932806324110671</v>
      </c>
      <c r="H90" s="40">
        <f t="shared" si="301"/>
        <v>0.11567460317460318</v>
      </c>
      <c r="I90" s="40">
        <f t="shared" si="301"/>
        <v>0.61437125748502996</v>
      </c>
      <c r="J90" s="40">
        <f t="shared" si="301"/>
        <v>8.9958932238193015</v>
      </c>
      <c r="K90" s="40">
        <f t="shared" si="301"/>
        <v>1.2816283924843423</v>
      </c>
      <c r="L90" s="40">
        <f t="shared" si="301"/>
        <v>0.21518987341772153</v>
      </c>
      <c r="M90" s="40">
        <f t="shared" si="301"/>
        <v>0.62472885032537961</v>
      </c>
      <c r="N90" s="40">
        <f t="shared" si="301"/>
        <v>0.94757709251101319</v>
      </c>
      <c r="O90" s="40">
        <f t="shared" si="301"/>
        <v>1.4504444444444444</v>
      </c>
      <c r="P90" s="40">
        <f t="shared" si="301"/>
        <v>0.18808988764044943</v>
      </c>
      <c r="Q90" s="40">
        <f t="shared" si="301"/>
        <v>0.42873303167420812</v>
      </c>
      <c r="R90" s="40">
        <f t="shared" si="301"/>
        <v>0.89521640091116172</v>
      </c>
      <c r="S90" s="40">
        <f t="shared" si="301"/>
        <v>1.246559633027523</v>
      </c>
      <c r="T90" s="40">
        <f t="shared" si="301"/>
        <v>7.4305555555555555E-2</v>
      </c>
      <c r="U90" s="40">
        <f t="shared" si="301"/>
        <v>0.73750000000000004</v>
      </c>
      <c r="V90" s="40">
        <f t="shared" si="301"/>
        <v>0.86435406698564599</v>
      </c>
      <c r="W90" s="40">
        <f t="shared" si="301"/>
        <v>1.3436144578313254</v>
      </c>
      <c r="X90" s="40">
        <f t="shared" si="301"/>
        <v>7.985436893203883E-2</v>
      </c>
      <c r="Y90" s="40">
        <f t="shared" si="301"/>
        <v>0.55097560975609761</v>
      </c>
      <c r="Z90" s="40">
        <f t="shared" si="301"/>
        <v>0.95888077858880783</v>
      </c>
      <c r="AA90" s="40">
        <f t="shared" si="301"/>
        <v>1.4753026634382567</v>
      </c>
      <c r="AB90" s="40">
        <f t="shared" si="301"/>
        <v>6.0409145607701567E-2</v>
      </c>
      <c r="AC90" s="40">
        <f t="shared" si="301"/>
        <v>0.72692307692307689</v>
      </c>
      <c r="AD90" s="40">
        <f t="shared" si="301"/>
        <v>1.0393203883495146</v>
      </c>
      <c r="AE90" s="40">
        <f t="shared" si="301"/>
        <v>1.5651851851851852</v>
      </c>
      <c r="AF90" s="40">
        <f t="shared" si="301"/>
        <v>3.2051282051282048E-2</v>
      </c>
      <c r="AG90" s="40">
        <f t="shared" si="301"/>
        <v>0.65</v>
      </c>
      <c r="AH90" s="40">
        <f t="shared" si="301"/>
        <v>1.1356940509915014</v>
      </c>
      <c r="AI90" s="40">
        <f t="shared" si="301"/>
        <v>1.6560471976401181</v>
      </c>
      <c r="AJ90" s="40">
        <f t="shared" si="301"/>
        <v>4.9397590361445781E-2</v>
      </c>
      <c r="AK90" s="40">
        <f t="shared" si="301"/>
        <v>0.80492307692307696</v>
      </c>
      <c r="AL90" s="40">
        <f t="shared" si="301"/>
        <v>0.99717868338557991</v>
      </c>
      <c r="AM90" s="40">
        <f>AM88/AM89</f>
        <v>1.8148026315789474</v>
      </c>
      <c r="AN90" s="40">
        <f t="shared" ref="AN90:BJ90" si="302">AN88/AN89</f>
        <v>0.27544507893852871</v>
      </c>
      <c r="AO90" s="40">
        <f t="shared" si="302"/>
        <v>1.1294198420871953</v>
      </c>
      <c r="AP90" s="40">
        <f t="shared" si="302"/>
        <v>1.4473684210526316</v>
      </c>
      <c r="AQ90" s="40">
        <f t="shared" si="302"/>
        <v>1.5628158844765343</v>
      </c>
      <c r="AR90" s="40">
        <f t="shared" si="302"/>
        <v>-1.7126394052044609</v>
      </c>
      <c r="AS90" s="40">
        <f t="shared" si="302"/>
        <v>1.0277153558052434</v>
      </c>
      <c r="AT90" s="40">
        <f t="shared" si="302"/>
        <v>0.95955056179775278</v>
      </c>
      <c r="AU90" s="40">
        <f t="shared" si="302"/>
        <v>1.7411545623836127</v>
      </c>
      <c r="AV90" s="40">
        <f t="shared" si="302"/>
        <v>-0.58740740740740738</v>
      </c>
      <c r="AW90" s="40">
        <f t="shared" si="302"/>
        <v>0.61</v>
      </c>
      <c r="AX90" s="40">
        <f t="shared" si="302"/>
        <v>1.377859778597786</v>
      </c>
      <c r="AY90" s="40">
        <f t="shared" si="302"/>
        <v>2.0732600732600734</v>
      </c>
      <c r="AZ90" s="40">
        <f t="shared" si="302"/>
        <v>-0.34072727272727271</v>
      </c>
      <c r="BA90" s="40">
        <f t="shared" si="302"/>
        <v>1.3821818181818182</v>
      </c>
      <c r="BB90" s="40">
        <f t="shared" si="302"/>
        <v>1.1938181818181819</v>
      </c>
      <c r="BC90" s="40">
        <f t="shared" si="302"/>
        <v>1.8565217391304347</v>
      </c>
      <c r="BD90" s="40">
        <f t="shared" si="302"/>
        <v>-0.95521318523826582</v>
      </c>
      <c r="BE90" s="40">
        <f t="shared" si="302"/>
        <v>2.5302922309337134E-2</v>
      </c>
      <c r="BF90" s="40">
        <f t="shared" si="302"/>
        <v>-1.0328621908127209</v>
      </c>
      <c r="BG90" s="40">
        <f t="shared" si="302"/>
        <v>-0.12657342657342657</v>
      </c>
      <c r="BH90" s="40">
        <f t="shared" si="302"/>
        <v>-3.4679888656924147</v>
      </c>
      <c r="BI90" s="40">
        <f t="shared" si="302"/>
        <v>-3.9930458970792766</v>
      </c>
      <c r="BJ90" s="40">
        <f t="shared" si="302"/>
        <v>-0.65034722222222219</v>
      </c>
      <c r="BK90" s="40">
        <f t="shared" ref="BK90" si="303">BK88/BK89</f>
        <v>-1.8192852326365476</v>
      </c>
      <c r="BS90" s="40">
        <f t="shared" si="244"/>
        <v>2.5998057266544388</v>
      </c>
      <c r="BT90" s="40">
        <f t="shared" si="245"/>
        <v>10.819219716890002</v>
      </c>
      <c r="BU90" s="40">
        <f t="shared" si="246"/>
        <v>3.0691242087384563</v>
      </c>
      <c r="BV90" s="40">
        <f t="shared" si="247"/>
        <v>2.9624837646702633</v>
      </c>
      <c r="BW90" s="40">
        <f t="shared" si="248"/>
        <v>2.9227192555687247</v>
      </c>
      <c r="BX90" s="40">
        <f t="shared" si="249"/>
        <v>2.9333252151082698</v>
      </c>
      <c r="BY90" s="40">
        <f t="shared" si="250"/>
        <v>3.3019552743185496</v>
      </c>
      <c r="BZ90" s="40">
        <f t="shared" si="251"/>
        <v>3.382930518227969</v>
      </c>
      <c r="CA90" s="40">
        <f t="shared" si="252"/>
        <v>3.5075465483102208</v>
      </c>
      <c r="CB90" s="40">
        <f t="shared" si="253"/>
        <v>4.6670359736573035</v>
      </c>
      <c r="CC90" s="40">
        <f t="shared" si="254"/>
        <v>1.8374423968750695</v>
      </c>
      <c r="CD90" s="40">
        <f t="shared" si="255"/>
        <v>3.1416069335739909</v>
      </c>
      <c r="CE90" s="40">
        <f t="shared" si="256"/>
        <v>4.3085328005328005</v>
      </c>
      <c r="CF90" s="40">
        <f t="shared" si="257"/>
        <v>-0.10625071461121482</v>
      </c>
      <c r="CG90" s="40">
        <f t="shared" si="258"/>
        <v>-8.2379554115673397</v>
      </c>
    </row>
    <row r="92" spans="2:147">
      <c r="B92" s="1" t="s">
        <v>210</v>
      </c>
      <c r="C92" s="62">
        <f t="shared" ref="C92:BI92" si="304">C86/C21</f>
        <v>0.64736087891091476</v>
      </c>
      <c r="D92" s="62">
        <f t="shared" si="304"/>
        <v>0.14274340309372158</v>
      </c>
      <c r="E92" s="62">
        <f t="shared" si="304"/>
        <v>0.33300143821219164</v>
      </c>
      <c r="F92" s="62">
        <f t="shared" si="304"/>
        <v>0.37165628435324294</v>
      </c>
      <c r="G92" s="62">
        <f t="shared" si="304"/>
        <v>0.69319154137635985</v>
      </c>
      <c r="H92" s="62">
        <f t="shared" si="304"/>
        <v>8.7420277105784039E-2</v>
      </c>
      <c r="I92" s="62">
        <f t="shared" si="304"/>
        <v>0.35655280196472428</v>
      </c>
      <c r="J92" s="62">
        <f t="shared" si="304"/>
        <v>0.41691787704393896</v>
      </c>
      <c r="K92" s="62">
        <f t="shared" si="304"/>
        <v>0.75155279503105588</v>
      </c>
      <c r="L92" s="62">
        <f t="shared" si="304"/>
        <v>0.12355795148247978</v>
      </c>
      <c r="M92" s="62">
        <f t="shared" si="304"/>
        <v>0.32523906736864727</v>
      </c>
      <c r="N92" s="62">
        <f t="shared" si="304"/>
        <v>0.39360480522922003</v>
      </c>
      <c r="O92" s="62">
        <f t="shared" si="304"/>
        <v>0.78268962308050261</v>
      </c>
      <c r="P92" s="62">
        <f t="shared" si="304"/>
        <v>0.1106480516774328</v>
      </c>
      <c r="Q92" s="62">
        <f t="shared" si="304"/>
        <v>0.24262892677173797</v>
      </c>
      <c r="R92" s="62">
        <f t="shared" si="304"/>
        <v>0.42288650163475011</v>
      </c>
      <c r="S92" s="62">
        <f t="shared" si="304"/>
        <v>0.69614109848484851</v>
      </c>
      <c r="T92" s="62">
        <f t="shared" si="304"/>
        <v>5.737796063605026E-2</v>
      </c>
      <c r="U92" s="62">
        <f t="shared" si="304"/>
        <v>0.38781624500665779</v>
      </c>
      <c r="V92" s="62">
        <f t="shared" si="304"/>
        <v>0.3580328487823296</v>
      </c>
      <c r="W92" s="62">
        <f t="shared" si="304"/>
        <v>0.68353694008144272</v>
      </c>
      <c r="X92" s="62">
        <f t="shared" si="304"/>
        <v>0.12019922523519645</v>
      </c>
      <c r="Y92" s="62">
        <f t="shared" si="304"/>
        <v>0.29321021184139057</v>
      </c>
      <c r="Z92" s="62">
        <f t="shared" si="304"/>
        <v>0.4075933193392352</v>
      </c>
      <c r="AA92" s="62">
        <f t="shared" si="304"/>
        <v>0.72122144112478037</v>
      </c>
      <c r="AB92" s="62">
        <f t="shared" si="304"/>
        <v>8.8643237042444464E-2</v>
      </c>
      <c r="AC92" s="62">
        <f t="shared" si="304"/>
        <v>0.34208350558081851</v>
      </c>
      <c r="AD92" s="62">
        <f t="shared" si="304"/>
        <v>0.42309787543126931</v>
      </c>
      <c r="AE92" s="62">
        <f t="shared" si="304"/>
        <v>0.73120852822799953</v>
      </c>
      <c r="AF92" s="62">
        <f t="shared" si="304"/>
        <v>5.7101024890190338E-2</v>
      </c>
      <c r="AG92" s="62">
        <f t="shared" si="304"/>
        <v>0.29758685250676098</v>
      </c>
      <c r="AH92" s="62">
        <f t="shared" si="304"/>
        <v>0.39705486217114122</v>
      </c>
      <c r="AI92" s="62">
        <f t="shared" si="304"/>
        <v>0.65090041223692774</v>
      </c>
      <c r="AJ92" s="62">
        <f t="shared" si="304"/>
        <v>5.33596837944664E-2</v>
      </c>
      <c r="AK92" s="62">
        <f t="shared" si="304"/>
        <v>0.30747243772968558</v>
      </c>
      <c r="AL92" s="62">
        <f t="shared" si="304"/>
        <v>0.34613542764103056</v>
      </c>
      <c r="AM92" s="62">
        <f t="shared" si="304"/>
        <v>0.63552898473363939</v>
      </c>
      <c r="AN92" s="62">
        <f t="shared" si="304"/>
        <v>0.14163265306122449</v>
      </c>
      <c r="AO92" s="62">
        <f t="shared" si="304"/>
        <v>0.36724172119769977</v>
      </c>
      <c r="AP92" s="62">
        <f t="shared" si="304"/>
        <v>0.43128173154003741</v>
      </c>
      <c r="AQ92" s="62">
        <f t="shared" si="304"/>
        <v>0.55417351973684215</v>
      </c>
      <c r="AR92" s="62">
        <f t="shared" si="304"/>
        <v>-0.35540540540540538</v>
      </c>
      <c r="AS92" s="62">
        <f t="shared" si="304"/>
        <v>0.365737658137544</v>
      </c>
      <c r="AT92" s="62">
        <f t="shared" si="304"/>
        <v>0.33657094594594594</v>
      </c>
      <c r="AU92" s="62">
        <f t="shared" si="304"/>
        <v>0.5586719091306247</v>
      </c>
      <c r="AV92" s="62">
        <f t="shared" si="304"/>
        <v>6.9164969450101838E-2</v>
      </c>
      <c r="AW92" s="62">
        <f t="shared" si="304"/>
        <v>0.34481367962574611</v>
      </c>
      <c r="AX92" s="62">
        <f t="shared" si="304"/>
        <v>0.40810869408108696</v>
      </c>
      <c r="AY92" s="62">
        <f t="shared" si="304"/>
        <v>0.56002569661928847</v>
      </c>
      <c r="AZ92" s="62">
        <f t="shared" si="304"/>
        <v>1.1050150683872962E-2</v>
      </c>
      <c r="BA92" s="62">
        <f t="shared" si="304"/>
        <v>0.41227409638554219</v>
      </c>
      <c r="BB92" s="62">
        <f t="shared" si="304"/>
        <v>0.42563169314761673</v>
      </c>
      <c r="BC92" s="62">
        <f t="shared" si="304"/>
        <v>0.55812730142030509</v>
      </c>
      <c r="BD92" s="62">
        <f t="shared" si="304"/>
        <v>9.2751973824596337E-2</v>
      </c>
      <c r="BE92" s="62">
        <f t="shared" si="304"/>
        <v>0.41988676574663836</v>
      </c>
      <c r="BF92" s="62">
        <f t="shared" si="304"/>
        <v>0.38715965541092878</v>
      </c>
      <c r="BG92" s="62">
        <f t="shared" si="304"/>
        <v>0.54535709500200991</v>
      </c>
      <c r="BH92" s="62">
        <f t="shared" si="304"/>
        <v>0.12865861252958027</v>
      </c>
      <c r="BI92" s="62">
        <f t="shared" si="304"/>
        <v>0.41599767306573587</v>
      </c>
      <c r="BJ92" s="62">
        <f>BJ86/BJ21</f>
        <v>0.76213313871657196</v>
      </c>
      <c r="BK92" s="62">
        <f>BK86/BK21</f>
        <v>1.1942620832256396</v>
      </c>
      <c r="BS92" s="62">
        <f t="shared" ref="BS92:CG92" si="305">BS86/BS21</f>
        <v>0.37022170738934834</v>
      </c>
      <c r="BT92" s="62">
        <f t="shared" si="305"/>
        <v>0.38257127487896719</v>
      </c>
      <c r="BU92" s="62">
        <f t="shared" si="305"/>
        <v>0.38983670803396475</v>
      </c>
      <c r="BV92" s="62">
        <f t="shared" si="305"/>
        <v>0.38141579029979594</v>
      </c>
      <c r="BW92" s="62">
        <f t="shared" si="305"/>
        <v>0.36939563257483737</v>
      </c>
      <c r="BX92" s="62">
        <f t="shared" si="305"/>
        <v>0.37378281117696865</v>
      </c>
      <c r="BY92" s="62">
        <f t="shared" si="305"/>
        <v>0.3906761800776985</v>
      </c>
      <c r="BZ92" s="62">
        <f t="shared" si="305"/>
        <v>0.36832379891662026</v>
      </c>
      <c r="CA92" s="62">
        <f t="shared" si="305"/>
        <v>0.3363024392741048</v>
      </c>
      <c r="CB92" s="62">
        <f t="shared" si="305"/>
        <v>0.39246541501976284</v>
      </c>
      <c r="CC92" s="62">
        <f t="shared" si="305"/>
        <v>0.22475907730732075</v>
      </c>
      <c r="CD92" s="62">
        <f t="shared" si="305"/>
        <v>0.34360924832349116</v>
      </c>
      <c r="CE92" s="62">
        <f t="shared" si="305"/>
        <v>0.35258020052491457</v>
      </c>
      <c r="CF92" s="62">
        <f t="shared" si="305"/>
        <v>0.36274151117615289</v>
      </c>
      <c r="CG92" s="62">
        <f t="shared" si="305"/>
        <v>0.47473907685912375</v>
      </c>
    </row>
    <row r="93" spans="2:147">
      <c r="B93" s="1" t="s">
        <v>211</v>
      </c>
      <c r="C93" s="62">
        <f t="shared" ref="C93:BI93" si="306">C88/C21</f>
        <v>0.62825411989491287</v>
      </c>
      <c r="D93" s="62">
        <f t="shared" si="306"/>
        <v>0.12807097361237488</v>
      </c>
      <c r="E93" s="62">
        <f t="shared" si="306"/>
        <v>0.31729173581148357</v>
      </c>
      <c r="F93" s="62">
        <f t="shared" si="306"/>
        <v>0.35177720776841331</v>
      </c>
      <c r="G93" s="62">
        <f t="shared" si="306"/>
        <v>0.67620095342867625</v>
      </c>
      <c r="H93" s="62">
        <f t="shared" si="306"/>
        <v>6.4108203210908293E-2</v>
      </c>
      <c r="I93" s="62">
        <f t="shared" si="306"/>
        <v>0.34360348292029469</v>
      </c>
      <c r="J93" s="62">
        <f t="shared" si="306"/>
        <v>0.40020096830181784</v>
      </c>
      <c r="K93" s="62">
        <f t="shared" si="306"/>
        <v>0.73327759197324416</v>
      </c>
      <c r="L93" s="62">
        <f t="shared" si="306"/>
        <v>0.10997304582210242</v>
      </c>
      <c r="M93" s="62">
        <f t="shared" si="306"/>
        <v>0.30944450413667135</v>
      </c>
      <c r="N93" s="62">
        <f t="shared" si="306"/>
        <v>0.38000176662838969</v>
      </c>
      <c r="O93" s="62">
        <f t="shared" si="306"/>
        <v>0.75930665425779431</v>
      </c>
      <c r="P93" s="62">
        <f t="shared" si="306"/>
        <v>8.7205667847468221E-2</v>
      </c>
      <c r="Q93" s="62">
        <f t="shared" si="306"/>
        <v>0.20317358207354991</v>
      </c>
      <c r="R93" s="62">
        <f t="shared" si="306"/>
        <v>0.36711816907986922</v>
      </c>
      <c r="S93" s="62">
        <f t="shared" si="306"/>
        <v>0.64334753787878785</v>
      </c>
      <c r="T93" s="62">
        <f t="shared" si="306"/>
        <v>3.5694429000333594E-2</v>
      </c>
      <c r="U93" s="62">
        <f t="shared" si="306"/>
        <v>0.34698180204172213</v>
      </c>
      <c r="V93" s="62">
        <f t="shared" si="306"/>
        <v>0.34104209930149143</v>
      </c>
      <c r="W93" s="62">
        <f t="shared" si="306"/>
        <v>0.64874927283304251</v>
      </c>
      <c r="X93" s="62">
        <f t="shared" si="306"/>
        <v>3.641394576646375E-2</v>
      </c>
      <c r="Y93" s="62">
        <f t="shared" si="306"/>
        <v>0.24541010320478002</v>
      </c>
      <c r="Z93" s="62">
        <f t="shared" si="306"/>
        <v>0.35967874418180157</v>
      </c>
      <c r="AA93" s="62">
        <f t="shared" si="306"/>
        <v>0.66926625659050965</v>
      </c>
      <c r="AB93" s="62">
        <f t="shared" si="306"/>
        <v>2.617582646782772E-2</v>
      </c>
      <c r="AC93" s="62">
        <f t="shared" si="306"/>
        <v>0.31252583712277798</v>
      </c>
      <c r="AD93" s="62">
        <f t="shared" si="306"/>
        <v>0.38877791901216635</v>
      </c>
      <c r="AE93" s="62">
        <f t="shared" si="306"/>
        <v>0.68954639399543127</v>
      </c>
      <c r="AF93" s="62">
        <f t="shared" si="306"/>
        <v>1.3072578958376909E-2</v>
      </c>
      <c r="AG93" s="62">
        <f t="shared" si="306"/>
        <v>0.25150821718327437</v>
      </c>
      <c r="AH93" s="62">
        <f t="shared" si="306"/>
        <v>0.35997126694801113</v>
      </c>
      <c r="AI93" s="62">
        <f t="shared" si="306"/>
        <v>0.60902581904968545</v>
      </c>
      <c r="AJ93" s="62">
        <f t="shared" si="306"/>
        <v>1.7058456417724153E-2</v>
      </c>
      <c r="AK93" s="62">
        <f t="shared" si="306"/>
        <v>0.26704777460187834</v>
      </c>
      <c r="AL93" s="62">
        <f t="shared" si="306"/>
        <v>0.30466430418542284</v>
      </c>
      <c r="AM93" s="62">
        <f t="shared" si="306"/>
        <v>0.58898259848403967</v>
      </c>
      <c r="AN93" s="62">
        <f t="shared" si="306"/>
        <v>8.3673469387755106E-2</v>
      </c>
      <c r="AO93" s="62">
        <f t="shared" si="306"/>
        <v>0.32619472536188776</v>
      </c>
      <c r="AP93" s="62">
        <f t="shared" si="306"/>
        <v>0.36741783201211364</v>
      </c>
      <c r="AQ93" s="62">
        <f t="shared" si="306"/>
        <v>0.44500411184210525</v>
      </c>
      <c r="AR93" s="62">
        <f t="shared" si="306"/>
        <v>-0.44469111969111969</v>
      </c>
      <c r="AS93" s="62">
        <f t="shared" si="306"/>
        <v>0.26101017787501191</v>
      </c>
      <c r="AT93" s="62">
        <f t="shared" si="306"/>
        <v>0.21638513513513513</v>
      </c>
      <c r="AU93" s="62">
        <f t="shared" si="306"/>
        <v>0.40847531673219745</v>
      </c>
      <c r="AV93" s="62">
        <f t="shared" si="306"/>
        <v>-0.12920570264765785</v>
      </c>
      <c r="AW93" s="62">
        <f t="shared" si="306"/>
        <v>0.13284400709791902</v>
      </c>
      <c r="AX93" s="62">
        <f t="shared" si="306"/>
        <v>0.26985618269856182</v>
      </c>
      <c r="AY93" s="62">
        <f t="shared" si="306"/>
        <v>0.45450895366578337</v>
      </c>
      <c r="AZ93" s="62">
        <f t="shared" si="306"/>
        <v>-7.2405532802720038E-2</v>
      </c>
      <c r="BA93" s="62">
        <f t="shared" si="306"/>
        <v>0.28621987951807226</v>
      </c>
      <c r="BB93" s="62">
        <f t="shared" si="306"/>
        <v>0.22978931896129348</v>
      </c>
      <c r="BC93" s="62">
        <f t="shared" si="306"/>
        <v>0.38506049447659124</v>
      </c>
      <c r="BD93" s="62">
        <f t="shared" si="306"/>
        <v>-0.1896294188775873</v>
      </c>
      <c r="BE93" s="62">
        <f t="shared" si="306"/>
        <v>5.0247699929228595E-3</v>
      </c>
      <c r="BF93" s="62">
        <f t="shared" si="306"/>
        <v>-0.18380179840281707</v>
      </c>
      <c r="BG93" s="62">
        <f t="shared" si="306"/>
        <v>-2.4252981374782261E-2</v>
      </c>
      <c r="BH93" s="62">
        <f t="shared" si="306"/>
        <v>-0.62068750778428194</v>
      </c>
      <c r="BI93" s="62">
        <f t="shared" si="306"/>
        <v>-0.66806282722513088</v>
      </c>
      <c r="BJ93" s="62">
        <f>BJ88/BJ21</f>
        <v>-9.763853411875098E-2</v>
      </c>
      <c r="BK93" s="62">
        <f>BK88/BK21</f>
        <v>-0.278935125355389</v>
      </c>
      <c r="BS93" s="62">
        <f t="shared" ref="BS93:CG93" si="307">BS88/BS21</f>
        <v>0.35276528110772876</v>
      </c>
      <c r="BT93" s="62">
        <f t="shared" si="307"/>
        <v>0.36508875739644969</v>
      </c>
      <c r="BU93" s="62">
        <f t="shared" si="307"/>
        <v>0.37468321358589157</v>
      </c>
      <c r="BV93" s="62">
        <f t="shared" si="307"/>
        <v>0.34502694501124886</v>
      </c>
      <c r="BW93" s="62">
        <f t="shared" si="307"/>
        <v>0.33730126595945692</v>
      </c>
      <c r="BX93" s="62">
        <f t="shared" si="307"/>
        <v>0.32030588484335309</v>
      </c>
      <c r="BY93" s="62">
        <f t="shared" si="307"/>
        <v>0.34659624711169795</v>
      </c>
      <c r="BZ93" s="62">
        <f t="shared" si="307"/>
        <v>0.32630486508378476</v>
      </c>
      <c r="CA93" s="62">
        <f t="shared" si="307"/>
        <v>0.29627070055542759</v>
      </c>
      <c r="CB93" s="62">
        <f t="shared" si="307"/>
        <v>0.33972332015810275</v>
      </c>
      <c r="CC93" s="62">
        <f t="shared" si="307"/>
        <v>0.11847034707005019</v>
      </c>
      <c r="CD93" s="62">
        <f t="shared" si="307"/>
        <v>0.16955259733760383</v>
      </c>
      <c r="CE93" s="62">
        <f t="shared" si="307"/>
        <v>0.22293763335284456</v>
      </c>
      <c r="CF93" s="62">
        <f t="shared" si="307"/>
        <v>-6.8642310841652296E-3</v>
      </c>
      <c r="CG93" s="62">
        <f t="shared" si="307"/>
        <v>-0.35164867793993199</v>
      </c>
    </row>
    <row r="94" spans="2:147">
      <c r="B94" s="1" t="s">
        <v>212</v>
      </c>
      <c r="C94" s="62">
        <f t="shared" ref="C94:BI94" si="308">C87/C21</f>
        <v>-1.9106759016001909E-2</v>
      </c>
      <c r="D94" s="62">
        <f t="shared" si="308"/>
        <v>-1.4672429481346679E-2</v>
      </c>
      <c r="E94" s="62">
        <f t="shared" si="308"/>
        <v>-1.5709702400708042E-2</v>
      </c>
      <c r="F94" s="62">
        <f t="shared" si="308"/>
        <v>-1.9879076584829607E-2</v>
      </c>
      <c r="G94" s="62">
        <f t="shared" si="308"/>
        <v>-1.6990587947683659E-2</v>
      </c>
      <c r="H94" s="62">
        <f t="shared" si="308"/>
        <v>-2.3312073894875742E-2</v>
      </c>
      <c r="I94" s="62">
        <f t="shared" si="308"/>
        <v>-1.294931904442956E-2</v>
      </c>
      <c r="J94" s="62">
        <f t="shared" si="308"/>
        <v>-1.6716908742121128E-2</v>
      </c>
      <c r="K94" s="62">
        <f t="shared" si="308"/>
        <v>-1.8275203057811752E-2</v>
      </c>
      <c r="L94" s="62">
        <f t="shared" si="308"/>
        <v>-1.3584905660377358E-2</v>
      </c>
      <c r="M94" s="62">
        <f t="shared" si="308"/>
        <v>-1.5794563231975933E-2</v>
      </c>
      <c r="N94" s="62">
        <f t="shared" si="308"/>
        <v>-1.3603038600830316E-2</v>
      </c>
      <c r="O94" s="62">
        <f t="shared" si="308"/>
        <v>-2.3382968822708235E-2</v>
      </c>
      <c r="P94" s="62">
        <f t="shared" si="308"/>
        <v>-2.3442383829964577E-2</v>
      </c>
      <c r="Q94" s="62">
        <f t="shared" si="308"/>
        <v>-3.9455344698188059E-2</v>
      </c>
      <c r="R94" s="62">
        <f t="shared" si="308"/>
        <v>-5.5768332554880895E-2</v>
      </c>
      <c r="S94" s="62">
        <f t="shared" si="308"/>
        <v>-5.2793560606060608E-2</v>
      </c>
      <c r="T94" s="62">
        <f t="shared" si="308"/>
        <v>-2.1683531635716669E-2</v>
      </c>
      <c r="U94" s="62">
        <f t="shared" si="308"/>
        <v>-4.0834442964935644E-2</v>
      </c>
      <c r="V94" s="62">
        <f t="shared" si="308"/>
        <v>-1.6990749480838209E-2</v>
      </c>
      <c r="W94" s="62">
        <f t="shared" si="308"/>
        <v>-3.4787667248400232E-2</v>
      </c>
      <c r="X94" s="62">
        <f t="shared" si="308"/>
        <v>-8.378527946873271E-2</v>
      </c>
      <c r="Y94" s="62">
        <f t="shared" si="308"/>
        <v>-4.7800108636610536E-2</v>
      </c>
      <c r="Z94" s="62">
        <f t="shared" si="308"/>
        <v>-4.7914575157433602E-2</v>
      </c>
      <c r="AA94" s="62">
        <f t="shared" si="308"/>
        <v>-5.195518453427065E-2</v>
      </c>
      <c r="AB94" s="62">
        <f t="shared" si="308"/>
        <v>-6.2467410574616751E-2</v>
      </c>
      <c r="AC94" s="62">
        <f t="shared" si="308"/>
        <v>-2.9557668458040514E-2</v>
      </c>
      <c r="AD94" s="62">
        <f t="shared" si="308"/>
        <v>-3.4319956419102959E-2</v>
      </c>
      <c r="AE94" s="62">
        <f t="shared" si="308"/>
        <v>-4.166213423256826E-2</v>
      </c>
      <c r="AF94" s="62">
        <f t="shared" si="308"/>
        <v>-4.4028445931813431E-2</v>
      </c>
      <c r="AG94" s="62">
        <f t="shared" si="308"/>
        <v>-4.6078635323486584E-2</v>
      </c>
      <c r="AH94" s="62">
        <f t="shared" si="308"/>
        <v>-3.7083595223130109E-2</v>
      </c>
      <c r="AI94" s="62">
        <f t="shared" si="308"/>
        <v>-4.1874593187242355E-2</v>
      </c>
      <c r="AJ94" s="62">
        <f t="shared" si="308"/>
        <v>-3.6301227376742254E-2</v>
      </c>
      <c r="AK94" s="62">
        <f t="shared" si="308"/>
        <v>-4.0424663127807271E-2</v>
      </c>
      <c r="AL94" s="62">
        <f t="shared" si="308"/>
        <v>-4.1471123455607703E-2</v>
      </c>
      <c r="AM94" s="62">
        <f t="shared" si="308"/>
        <v>-4.6546386249599656E-2</v>
      </c>
      <c r="AN94" s="62">
        <f t="shared" si="308"/>
        <v>-5.7959183673469389E-2</v>
      </c>
      <c r="AO94" s="62">
        <f t="shared" si="308"/>
        <v>-4.104699583581202E-2</v>
      </c>
      <c r="AP94" s="62">
        <f t="shared" si="308"/>
        <v>-6.3863899527923762E-2</v>
      </c>
      <c r="AQ94" s="62">
        <f t="shared" si="308"/>
        <v>-0.10916940789473684</v>
      </c>
      <c r="AR94" s="62">
        <f t="shared" si="308"/>
        <v>-8.9285714285714288E-2</v>
      </c>
      <c r="AS94" s="62">
        <f t="shared" si="308"/>
        <v>-0.1047274802625321</v>
      </c>
      <c r="AT94" s="62">
        <f t="shared" si="308"/>
        <v>-0.12018581081081081</v>
      </c>
      <c r="AU94" s="62">
        <f t="shared" si="308"/>
        <v>-0.15019659239842725</v>
      </c>
      <c r="AV94" s="62">
        <f t="shared" si="308"/>
        <v>-0.19837067209775969</v>
      </c>
      <c r="AW94" s="62">
        <f t="shared" si="308"/>
        <v>-0.21196967252782706</v>
      </c>
      <c r="AX94" s="62">
        <f t="shared" si="308"/>
        <v>-0.13825251138252512</v>
      </c>
      <c r="AY94" s="62">
        <f t="shared" si="308"/>
        <v>-0.10551674295350517</v>
      </c>
      <c r="AZ94" s="62">
        <f t="shared" si="308"/>
        <v>-8.3455683486593005E-2</v>
      </c>
      <c r="BA94" s="62">
        <f t="shared" si="308"/>
        <v>-0.12605421686746987</v>
      </c>
      <c r="BB94" s="62">
        <f t="shared" si="308"/>
        <v>-0.19584237418632322</v>
      </c>
      <c r="BC94" s="62">
        <f t="shared" si="308"/>
        <v>-0.17306680694371385</v>
      </c>
      <c r="BD94" s="62">
        <f t="shared" si="308"/>
        <v>-0.28238139270218365</v>
      </c>
      <c r="BE94" s="62">
        <f t="shared" si="308"/>
        <v>-0.41486199575371552</v>
      </c>
      <c r="BF94" s="62">
        <f t="shared" si="308"/>
        <v>-0.57096145381374586</v>
      </c>
      <c r="BG94" s="62">
        <f t="shared" si="308"/>
        <v>-0.56961007637679217</v>
      </c>
      <c r="BH94" s="62">
        <f t="shared" si="308"/>
        <v>-0.74934612031386227</v>
      </c>
      <c r="BI94" s="62">
        <f t="shared" si="308"/>
        <v>-1.0840605002908668</v>
      </c>
      <c r="BJ94" s="62">
        <f>BJ87/BJ21</f>
        <v>-0.85977167283532296</v>
      </c>
      <c r="BK94" s="62">
        <f>BK87/BK21</f>
        <v>-1.4731972085810288</v>
      </c>
      <c r="BS94" s="62">
        <f t="shared" ref="BS94:CG94" si="309">BS87/BS21</f>
        <v>-1.7456426281619569E-2</v>
      </c>
      <c r="BT94" s="62">
        <f t="shared" si="309"/>
        <v>-1.7482517482517484E-2</v>
      </c>
      <c r="BU94" s="62">
        <f t="shared" si="309"/>
        <v>-1.5153494448073155E-2</v>
      </c>
      <c r="BV94" s="62">
        <f t="shared" si="309"/>
        <v>-3.6388845288547064E-2</v>
      </c>
      <c r="BW94" s="62">
        <f t="shared" si="309"/>
        <v>-3.2094366615380461E-2</v>
      </c>
      <c r="BX94" s="62">
        <f t="shared" si="309"/>
        <v>-5.3476926333615581E-2</v>
      </c>
      <c r="BY94" s="62">
        <f t="shared" si="309"/>
        <v>-4.407993296600056E-2</v>
      </c>
      <c r="BZ94" s="62">
        <f t="shared" si="309"/>
        <v>-4.2018933832835517E-2</v>
      </c>
      <c r="CA94" s="62">
        <f t="shared" si="309"/>
        <v>-4.0031738718677212E-2</v>
      </c>
      <c r="CB94" s="62">
        <f t="shared" si="309"/>
        <v>-5.274209486166008E-2</v>
      </c>
      <c r="CC94" s="62">
        <f t="shared" si="309"/>
        <v>-0.10628873023727056</v>
      </c>
      <c r="CD94" s="62">
        <f t="shared" si="309"/>
        <v>-0.1740566509858873</v>
      </c>
      <c r="CE94" s="62">
        <f t="shared" si="309"/>
        <v>-0.12964256717207001</v>
      </c>
      <c r="CF94" s="62">
        <f t="shared" si="309"/>
        <v>-0.36960574226031812</v>
      </c>
      <c r="CG94" s="62">
        <f t="shared" si="309"/>
        <v>-0.8263877547990558</v>
      </c>
    </row>
  </sheetData>
  <mergeCells count="2">
    <mergeCell ref="CP68:CQ68"/>
    <mergeCell ref="CZ66:DA66"/>
  </mergeCells>
  <conditionalFormatting sqref="CP68">
    <cfRule type="colorScale" priority="7">
      <colorScale>
        <cfvo type="min"/>
        <cfvo type="percentile" val="50"/>
        <cfvo type="max"/>
        <color rgb="FFF8696B"/>
        <color rgb="FFFCFCFF"/>
        <color rgb="FF63BE7B"/>
      </colorScale>
    </cfRule>
    <cfRule type="containsText" dxfId="9" priority="8" operator="containsText" text="Strong Sell">
      <formula>NOT(ISERROR(SEARCH("Strong Sell",CP68)))</formula>
    </cfRule>
    <cfRule type="containsText" dxfId="8" priority="9" operator="containsText" text="Sell">
      <formula>NOT(ISERROR(SEARCH("Sell",CP68)))</formula>
    </cfRule>
    <cfRule type="containsText" dxfId="7" priority="10" operator="containsText" text="Hold">
      <formula>NOT(ISERROR(SEARCH("Hold",CP68)))</formula>
    </cfRule>
    <cfRule type="beginsWith" dxfId="6" priority="11" operator="beginsWith" text="Buy">
      <formula>LEFT(CP68,LEN("Buy"))="Buy"</formula>
    </cfRule>
    <cfRule type="beginsWith" dxfId="5" priority="12" operator="beginsWith" text="Strong">
      <formula>LEFT(CP68,LEN("Strong"))="Strong"</formula>
    </cfRule>
  </conditionalFormatting>
  <conditionalFormatting sqref="CZ66">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Sell",CZ66)))</formula>
    </cfRule>
    <cfRule type="containsText" dxfId="3" priority="3" operator="containsText" text="Sell">
      <formula>NOT(ISERROR(SEARCH("Sell",CZ66)))</formula>
    </cfRule>
    <cfRule type="containsText" dxfId="2" priority="4" operator="containsText" text="Hold">
      <formula>NOT(ISERROR(SEARCH("Hold",CZ66)))</formula>
    </cfRule>
    <cfRule type="beginsWith" dxfId="1" priority="5" operator="beginsWith" text="Buy">
      <formula>LEFT(CZ66,LEN("Buy"))="Buy"</formula>
    </cfRule>
    <cfRule type="beginsWith" dxfId="0" priority="6" operator="beginsWith" text="Strong">
      <formula>LEFT(CZ66,LEN("Strong"))="Strong"</formula>
    </cfRule>
  </conditionalFormatting>
  <pageMargins left="0.7" right="0.7" top="0.75" bottom="0.75" header="0.3" footer="0.3"/>
  <ignoredErrors>
    <ignoredError sqref="CI14:CQ14 BS18:CD18 AM40:BJ40 BS15:CF15" evalError="1"/>
    <ignoredError sqref="CF4 BS21:CG40 AP38 AX78:BJ83 BS86:CG87" formulaRange="1"/>
    <ignoredError sqref="AP21 AT37 BB37:BJ37" formula="1"/>
    <ignoredError sqref="AP22:AP37" formula="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I1557"/>
  <sheetViews>
    <sheetView topLeftCell="P160" zoomScale="55" zoomScaleNormal="55" workbookViewId="0">
      <selection activeCell="Y213" sqref="Y213"/>
    </sheetView>
  </sheetViews>
  <sheetFormatPr defaultColWidth="9.140625" defaultRowHeight="14.25"/>
  <cols>
    <col min="1" max="7" width="0" style="1" hidden="1" customWidth="1"/>
    <col min="8" max="8" width="3.140625" style="1" hidden="1" customWidth="1"/>
    <col min="9" max="15" width="0" style="1" hidden="1" customWidth="1"/>
    <col min="16" max="16" width="3.140625" style="1" customWidth="1"/>
    <col min="17" max="36" width="9.140625" style="1"/>
    <col min="37" max="37" width="2.85546875" style="1" customWidth="1"/>
    <col min="38" max="16384" width="9.140625" style="1"/>
  </cols>
  <sheetData>
    <row r="1" spans="16:87">
      <c r="CI1" s="1">
        <v>0</v>
      </c>
    </row>
    <row r="2" spans="16:87" ht="15">
      <c r="P2" s="2" t="s">
        <v>141</v>
      </c>
      <c r="AL2" s="2" t="s">
        <v>1037</v>
      </c>
    </row>
    <row r="35" spans="16:38" ht="15">
      <c r="AL35" s="2" t="s">
        <v>1036</v>
      </c>
    </row>
    <row r="36" spans="16:38" ht="15">
      <c r="P36" s="2" t="s">
        <v>278</v>
      </c>
      <c r="AL36" s="2" t="s">
        <v>122</v>
      </c>
    </row>
    <row r="69" spans="16:38" ht="15">
      <c r="P69" s="2" t="s">
        <v>1035</v>
      </c>
      <c r="AL69" s="2" t="s">
        <v>123</v>
      </c>
    </row>
    <row r="101" spans="16:38">
      <c r="Q101" s="1" t="s">
        <v>14</v>
      </c>
      <c r="R101" s="1" t="s">
        <v>15</v>
      </c>
    </row>
    <row r="102" spans="16:38">
      <c r="R102" s="1" t="s">
        <v>16</v>
      </c>
    </row>
    <row r="103" spans="16:38">
      <c r="R103" s="1" t="s">
        <v>17</v>
      </c>
    </row>
    <row r="105" spans="16:38" ht="15">
      <c r="P105" s="2" t="s">
        <v>144</v>
      </c>
      <c r="AL105" s="2" t="s">
        <v>124</v>
      </c>
    </row>
    <row r="134" spans="16:38">
      <c r="Q134" s="1" t="s">
        <v>14</v>
      </c>
      <c r="R134" s="1" t="s">
        <v>15</v>
      </c>
    </row>
    <row r="135" spans="16:38">
      <c r="R135" s="1" t="s">
        <v>16</v>
      </c>
    </row>
    <row r="136" spans="16:38">
      <c r="R136" s="1" t="s">
        <v>17</v>
      </c>
    </row>
    <row r="138" spans="16:38" ht="15">
      <c r="P138" s="2" t="s">
        <v>143</v>
      </c>
      <c r="AL138" s="2" t="s">
        <v>125</v>
      </c>
    </row>
    <row r="154" ht="15" customHeight="1"/>
    <row r="167" spans="17:18">
      <c r="Q167" s="1" t="s">
        <v>14</v>
      </c>
      <c r="R167" s="1" t="s">
        <v>15</v>
      </c>
    </row>
    <row r="168" spans="17:18">
      <c r="R168" s="1" t="s">
        <v>16</v>
      </c>
    </row>
    <row r="169" spans="17:18">
      <c r="R169" s="1" t="s">
        <v>17</v>
      </c>
    </row>
    <row r="184" spans="1:15">
      <c r="A184" s="1" t="s">
        <v>279</v>
      </c>
      <c r="I184" s="1" t="s">
        <v>280</v>
      </c>
    </row>
    <row r="185" spans="1:15">
      <c r="A185" s="1" t="s">
        <v>281</v>
      </c>
      <c r="I185" s="1" t="s">
        <v>281</v>
      </c>
    </row>
    <row r="186" spans="1:15">
      <c r="A186" s="24" t="s">
        <v>18</v>
      </c>
      <c r="B186" s="24" t="s">
        <v>19</v>
      </c>
      <c r="C186" s="24" t="s">
        <v>20</v>
      </c>
      <c r="D186" s="24" t="s">
        <v>21</v>
      </c>
      <c r="E186" s="24" t="s">
        <v>22</v>
      </c>
      <c r="F186" s="24" t="s">
        <v>23</v>
      </c>
      <c r="G186" s="24" t="s">
        <v>24</v>
      </c>
      <c r="I186" s="24" t="s">
        <v>18</v>
      </c>
      <c r="J186" s="24" t="s">
        <v>19</v>
      </c>
      <c r="K186" s="24" t="s">
        <v>20</v>
      </c>
      <c r="L186" s="24" t="s">
        <v>21</v>
      </c>
      <c r="M186" s="24" t="s">
        <v>22</v>
      </c>
      <c r="N186" s="24" t="s">
        <v>23</v>
      </c>
      <c r="O186" s="24" t="s">
        <v>24</v>
      </c>
    </row>
    <row r="187" spans="1:15">
      <c r="A187" s="83">
        <v>710.17</v>
      </c>
      <c r="B187" s="83">
        <v>712.26</v>
      </c>
      <c r="C187" s="83">
        <v>708.93</v>
      </c>
      <c r="D187" s="83">
        <v>712.12</v>
      </c>
      <c r="E187" s="84">
        <v>4871287.5007999996</v>
      </c>
      <c r="F187" s="85" t="s">
        <v>282</v>
      </c>
      <c r="G187" s="25">
        <f>A187/D187-1</f>
        <v>-2.7383025332810007E-3</v>
      </c>
      <c r="I187" s="83">
        <v>153.28</v>
      </c>
      <c r="J187" s="83">
        <v>154.88999999999999</v>
      </c>
      <c r="K187" s="83">
        <v>147.88999999999999</v>
      </c>
      <c r="L187" s="83">
        <v>152.81</v>
      </c>
      <c r="M187" s="84">
        <v>43260276.610299997</v>
      </c>
      <c r="N187" s="85" t="s">
        <v>282</v>
      </c>
      <c r="O187" s="25">
        <f>I187/L187-1</f>
        <v>3.0757149401217099E-3</v>
      </c>
    </row>
    <row r="188" spans="1:15">
      <c r="A188" s="83">
        <v>708.42</v>
      </c>
      <c r="B188" s="83">
        <v>712</v>
      </c>
      <c r="C188" s="83">
        <v>707</v>
      </c>
      <c r="D188" s="83">
        <v>711.96</v>
      </c>
      <c r="E188" s="84">
        <v>5010439.9786</v>
      </c>
      <c r="F188" s="85" t="s">
        <v>283</v>
      </c>
      <c r="G188" s="25">
        <f t="shared" ref="G188:G251" si="0">A188/D188-1</f>
        <v>-4.9721894488455876E-3</v>
      </c>
      <c r="I188" s="83">
        <v>145.47999999999999</v>
      </c>
      <c r="J188" s="83">
        <v>151.99</v>
      </c>
      <c r="K188" s="83">
        <v>144.24</v>
      </c>
      <c r="L188" s="83">
        <v>151.19999999999999</v>
      </c>
      <c r="M188" s="84">
        <v>28220613.811500002</v>
      </c>
      <c r="N188" s="85" t="s">
        <v>283</v>
      </c>
      <c r="O188" s="25">
        <f t="shared" ref="O188:O251" si="1">I188/L188-1</f>
        <v>-3.7830687830687881E-2</v>
      </c>
    </row>
    <row r="189" spans="1:15">
      <c r="A189" s="83">
        <v>710.65</v>
      </c>
      <c r="B189" s="83">
        <v>712.43780000000004</v>
      </c>
      <c r="C189" s="83">
        <v>709.5</v>
      </c>
      <c r="D189" s="83">
        <v>710.31</v>
      </c>
      <c r="E189" s="84">
        <v>6657921.1655999999</v>
      </c>
      <c r="F189" s="85" t="s">
        <v>284</v>
      </c>
      <c r="G189" s="25">
        <f t="shared" si="0"/>
        <v>4.7866424518883122E-4</v>
      </c>
      <c r="I189" s="83">
        <v>151.05000000000001</v>
      </c>
      <c r="J189" s="83">
        <v>151.99</v>
      </c>
      <c r="K189" s="83">
        <v>146.62</v>
      </c>
      <c r="L189" s="83">
        <v>148.26</v>
      </c>
      <c r="M189" s="84">
        <v>23971966.780900002</v>
      </c>
      <c r="N189" s="85" t="s">
        <v>284</v>
      </c>
      <c r="O189" s="25">
        <f t="shared" si="1"/>
        <v>1.8818292189397123E-2</v>
      </c>
    </row>
    <row r="190" spans="1:15">
      <c r="A190" s="83">
        <v>710.71</v>
      </c>
      <c r="B190" s="83">
        <v>711.37</v>
      </c>
      <c r="C190" s="83">
        <v>707.44</v>
      </c>
      <c r="D190" s="83">
        <v>708.73</v>
      </c>
      <c r="E190" s="84">
        <v>4631468.9722999996</v>
      </c>
      <c r="F190" s="85" t="s">
        <v>285</v>
      </c>
      <c r="G190" s="25">
        <f t="shared" si="0"/>
        <v>2.7937296290547753E-3</v>
      </c>
      <c r="I190" s="83">
        <v>147.02000000000001</v>
      </c>
      <c r="J190" s="83">
        <v>147.16</v>
      </c>
      <c r="K190" s="83">
        <v>142.34</v>
      </c>
      <c r="L190" s="83">
        <v>145.32</v>
      </c>
      <c r="M190" s="84">
        <v>21938050.116700001</v>
      </c>
      <c r="N190" s="85" t="s">
        <v>285</v>
      </c>
      <c r="O190" s="25">
        <f t="shared" si="1"/>
        <v>1.1698320946875951E-2</v>
      </c>
    </row>
    <row r="191" spans="1:15">
      <c r="A191" s="83">
        <v>706.4</v>
      </c>
      <c r="B191" s="83">
        <v>709.46190000000001</v>
      </c>
      <c r="C191" s="83">
        <v>705.43</v>
      </c>
      <c r="D191" s="83">
        <v>707.93</v>
      </c>
      <c r="E191" s="84">
        <v>4523037.3349000001</v>
      </c>
      <c r="F191" s="85" t="s">
        <v>286</v>
      </c>
      <c r="G191" s="25">
        <f t="shared" si="0"/>
        <v>-2.1612306301470596E-3</v>
      </c>
      <c r="I191" s="83">
        <v>143.47</v>
      </c>
      <c r="J191" s="83">
        <v>146.58000000000001</v>
      </c>
      <c r="K191" s="83">
        <v>138.72</v>
      </c>
      <c r="L191" s="83">
        <v>139.25</v>
      </c>
      <c r="M191" s="84">
        <v>21885221.513700001</v>
      </c>
      <c r="N191" s="85" t="s">
        <v>286</v>
      </c>
      <c r="O191" s="25">
        <f t="shared" si="1"/>
        <v>3.0305206463195677E-2</v>
      </c>
    </row>
    <row r="192" spans="1:15">
      <c r="A192" s="83">
        <v>707.6</v>
      </c>
      <c r="B192" s="83">
        <v>714.16</v>
      </c>
      <c r="C192" s="83">
        <v>707.32</v>
      </c>
      <c r="D192" s="83">
        <v>713.14</v>
      </c>
      <c r="E192" s="84">
        <v>5187471.0926999999</v>
      </c>
      <c r="F192" s="85" t="s">
        <v>287</v>
      </c>
      <c r="G192" s="25">
        <f t="shared" si="0"/>
        <v>-7.7684606108197052E-3</v>
      </c>
      <c r="I192" s="83">
        <v>144.38999999999999</v>
      </c>
      <c r="J192" s="83">
        <v>146.38990000000001</v>
      </c>
      <c r="K192" s="83">
        <v>142.5</v>
      </c>
      <c r="L192" s="83">
        <v>145</v>
      </c>
      <c r="M192" s="84">
        <v>21661599.715700001</v>
      </c>
      <c r="N192" s="85" t="s">
        <v>287</v>
      </c>
      <c r="O192" s="25">
        <f t="shared" si="1"/>
        <v>-4.2068965517242374E-3</v>
      </c>
    </row>
    <row r="193" spans="1:21">
      <c r="A193" s="83">
        <v>708.98</v>
      </c>
      <c r="B193" s="83">
        <v>710.90830000000005</v>
      </c>
      <c r="C193" s="83">
        <v>699.07</v>
      </c>
      <c r="D193" s="83">
        <v>699.16</v>
      </c>
      <c r="E193" s="84">
        <v>6510852.6535</v>
      </c>
      <c r="F193" s="85" t="s">
        <v>288</v>
      </c>
      <c r="G193" s="25">
        <f t="shared" si="0"/>
        <v>1.4045425939699152E-2</v>
      </c>
      <c r="I193" s="83">
        <v>145.74</v>
      </c>
      <c r="J193" s="83">
        <v>148.69999999999999</v>
      </c>
      <c r="K193" s="83">
        <v>141.01</v>
      </c>
      <c r="L193" s="83">
        <v>141.01</v>
      </c>
      <c r="M193" s="84">
        <v>43051564.394100003</v>
      </c>
      <c r="N193" s="85" t="s">
        <v>288</v>
      </c>
      <c r="O193" s="25">
        <f t="shared" si="1"/>
        <v>3.3543720303524704E-2</v>
      </c>
    </row>
    <row r="194" spans="1:21">
      <c r="A194" s="83">
        <v>696.4</v>
      </c>
      <c r="B194" s="83">
        <v>697.31</v>
      </c>
      <c r="C194" s="83">
        <v>688.61</v>
      </c>
      <c r="D194" s="83">
        <v>688.83</v>
      </c>
      <c r="E194" s="84">
        <v>7244316.0097000003</v>
      </c>
      <c r="F194" s="85" t="s">
        <v>289</v>
      </c>
      <c r="G194" s="25">
        <f t="shared" si="0"/>
        <v>1.09896491151662E-2</v>
      </c>
      <c r="I194" s="83">
        <v>141.85</v>
      </c>
      <c r="J194" s="83">
        <v>143.07</v>
      </c>
      <c r="K194" s="83">
        <v>130.21</v>
      </c>
      <c r="L194" s="83">
        <v>131.91999999999999</v>
      </c>
      <c r="M194" s="84">
        <v>49139578.135600001</v>
      </c>
      <c r="N194" s="85" t="s">
        <v>289</v>
      </c>
      <c r="O194" s="25">
        <f t="shared" si="1"/>
        <v>7.5272892662219482E-2</v>
      </c>
    </row>
    <row r="195" spans="1:21">
      <c r="A195" s="83">
        <v>686.65</v>
      </c>
      <c r="B195" s="83">
        <v>688.35</v>
      </c>
      <c r="C195" s="83">
        <v>678.06</v>
      </c>
      <c r="D195" s="83">
        <v>684.5</v>
      </c>
      <c r="E195" s="84">
        <v>7661568.1813000003</v>
      </c>
      <c r="F195" s="85" t="s">
        <v>290</v>
      </c>
      <c r="G195" s="25">
        <f t="shared" si="0"/>
        <v>3.1409788166545383E-3</v>
      </c>
      <c r="I195" s="83">
        <v>129.87</v>
      </c>
      <c r="J195" s="83">
        <v>132.4</v>
      </c>
      <c r="K195" s="83">
        <v>125.7</v>
      </c>
      <c r="L195" s="83">
        <v>130.07</v>
      </c>
      <c r="M195" s="84">
        <v>34214876.4428</v>
      </c>
      <c r="N195" s="85" t="s">
        <v>290</v>
      </c>
      <c r="O195" s="25">
        <f t="shared" si="1"/>
        <v>-1.5376335819173859E-3</v>
      </c>
    </row>
    <row r="196" spans="1:21">
      <c r="A196" s="83">
        <v>681.79</v>
      </c>
      <c r="B196" s="83">
        <v>682.43629999999996</v>
      </c>
      <c r="C196" s="83">
        <v>675.21</v>
      </c>
      <c r="D196" s="83">
        <v>676.54</v>
      </c>
      <c r="E196" s="84">
        <v>6009104.4682999998</v>
      </c>
      <c r="F196" s="85" t="s">
        <v>291</v>
      </c>
      <c r="G196" s="25">
        <f t="shared" si="0"/>
        <v>7.7600733142164646E-3</v>
      </c>
      <c r="I196" s="83">
        <v>127.56</v>
      </c>
      <c r="J196" s="83">
        <v>128.34</v>
      </c>
      <c r="K196" s="83">
        <v>121.58</v>
      </c>
      <c r="L196" s="83">
        <v>122.87</v>
      </c>
      <c r="M196" s="84">
        <v>36950064.674400002</v>
      </c>
      <c r="N196" s="85" t="s">
        <v>291</v>
      </c>
      <c r="O196" s="25">
        <f t="shared" si="1"/>
        <v>3.8170424025392613E-2</v>
      </c>
    </row>
    <row r="197" spans="1:21">
      <c r="A197" s="83">
        <v>670.63</v>
      </c>
      <c r="B197" s="83">
        <v>682.63</v>
      </c>
      <c r="C197" s="83">
        <v>670.15499999999997</v>
      </c>
      <c r="D197" s="83">
        <v>680.12</v>
      </c>
      <c r="E197" s="84">
        <v>7845443.5132999998</v>
      </c>
      <c r="F197" s="85" t="s">
        <v>292</v>
      </c>
      <c r="G197" s="25">
        <f t="shared" si="0"/>
        <v>-1.3953419984708559E-2</v>
      </c>
      <c r="I197" s="83">
        <v>117.74</v>
      </c>
      <c r="J197" s="83">
        <v>121.92</v>
      </c>
      <c r="K197" s="83">
        <v>116.2</v>
      </c>
      <c r="L197" s="83">
        <v>119.42</v>
      </c>
      <c r="M197" s="84">
        <v>27177466.960999999</v>
      </c>
      <c r="N197" s="85" t="s">
        <v>292</v>
      </c>
      <c r="O197" s="25">
        <f t="shared" si="1"/>
        <v>-1.4067995310668269E-2</v>
      </c>
    </row>
    <row r="198" spans="1:21">
      <c r="A198" s="83">
        <v>680.96</v>
      </c>
      <c r="B198" s="83">
        <v>682.755</v>
      </c>
      <c r="C198" s="83">
        <v>676.48009999999999</v>
      </c>
      <c r="D198" s="83">
        <v>679.45</v>
      </c>
      <c r="E198" s="84">
        <v>5021079.9676999999</v>
      </c>
      <c r="F198" s="85" t="s">
        <v>293</v>
      </c>
      <c r="G198" s="25">
        <f t="shared" si="0"/>
        <v>2.2223857531826763E-3</v>
      </c>
      <c r="I198" s="83">
        <v>119.96</v>
      </c>
      <c r="J198" s="83">
        <v>122.33</v>
      </c>
      <c r="K198" s="83">
        <v>114.5</v>
      </c>
      <c r="L198" s="83">
        <v>118.18</v>
      </c>
      <c r="M198" s="84">
        <v>28081150.373399999</v>
      </c>
      <c r="N198" s="85" t="s">
        <v>293</v>
      </c>
      <c r="O198" s="25">
        <f t="shared" si="1"/>
        <v>1.506177018107957E-2</v>
      </c>
    </row>
    <row r="199" spans="1:21">
      <c r="A199" s="83">
        <v>679.31</v>
      </c>
      <c r="B199" s="83">
        <v>685.23910000000001</v>
      </c>
      <c r="C199" s="83">
        <v>676.39499999999998</v>
      </c>
      <c r="D199" s="83">
        <v>684.69</v>
      </c>
      <c r="E199" s="84">
        <v>5207757.8120999997</v>
      </c>
      <c r="F199" s="85" t="s">
        <v>294</v>
      </c>
      <c r="G199" s="25">
        <f t="shared" si="0"/>
        <v>-7.8575705793864081E-3</v>
      </c>
      <c r="I199" s="83">
        <v>119.9</v>
      </c>
      <c r="J199" s="83">
        <v>121.99</v>
      </c>
      <c r="K199" s="83">
        <v>116.8</v>
      </c>
      <c r="L199" s="83">
        <v>118</v>
      </c>
      <c r="M199" s="84">
        <v>36633880.114200003</v>
      </c>
      <c r="N199" s="85" t="s">
        <v>294</v>
      </c>
      <c r="O199" s="25">
        <f t="shared" si="1"/>
        <v>1.6101694915254372E-2</v>
      </c>
    </row>
    <row r="200" spans="1:21">
      <c r="A200" s="83">
        <v>679.14</v>
      </c>
      <c r="B200" s="83">
        <v>683.55</v>
      </c>
      <c r="C200" s="83">
        <v>677.7</v>
      </c>
      <c r="D200" s="83">
        <v>678.8</v>
      </c>
      <c r="E200" s="84">
        <v>6286806.9738999996</v>
      </c>
      <c r="F200" s="85" t="s">
        <v>295</v>
      </c>
      <c r="G200" s="25">
        <f t="shared" si="0"/>
        <v>5.0088391278735322E-4</v>
      </c>
      <c r="I200" s="83">
        <v>114.99</v>
      </c>
      <c r="J200" s="83">
        <v>123.08</v>
      </c>
      <c r="K200" s="83">
        <v>114.75</v>
      </c>
      <c r="L200" s="83">
        <v>122.47</v>
      </c>
      <c r="M200" s="84">
        <v>44922930.201899998</v>
      </c>
      <c r="N200" s="85" t="s">
        <v>295</v>
      </c>
      <c r="O200" s="25">
        <f t="shared" si="1"/>
        <v>-6.1076181922103401E-2</v>
      </c>
      <c r="Q200" s="26"/>
      <c r="R200" s="26" t="s">
        <v>25</v>
      </c>
      <c r="S200" s="27">
        <f>MIN(O187:O1149)</f>
        <v>-8.8553382938224567E-2</v>
      </c>
    </row>
    <row r="201" spans="1:21">
      <c r="A201" s="83">
        <v>678.61</v>
      </c>
      <c r="B201" s="83">
        <v>682.54949999999997</v>
      </c>
      <c r="C201" s="83">
        <v>675.755</v>
      </c>
      <c r="D201" s="83">
        <v>679.55</v>
      </c>
      <c r="E201" s="84">
        <v>4942804.8118000003</v>
      </c>
      <c r="F201" s="85" t="s">
        <v>296</v>
      </c>
      <c r="G201" s="25">
        <f t="shared" si="0"/>
        <v>-1.383268339342103E-3</v>
      </c>
      <c r="I201" s="83">
        <v>120.04</v>
      </c>
      <c r="J201" s="83">
        <v>124.7</v>
      </c>
      <c r="K201" s="83">
        <v>119.44</v>
      </c>
      <c r="L201" s="83">
        <v>123.96</v>
      </c>
      <c r="M201" s="84">
        <v>29200006.743900001</v>
      </c>
      <c r="N201" s="85" t="s">
        <v>296</v>
      </c>
      <c r="O201" s="25">
        <f t="shared" si="1"/>
        <v>-3.1623104227169962E-2</v>
      </c>
      <c r="Q201" s="26"/>
      <c r="R201" s="26" t="s">
        <v>26</v>
      </c>
      <c r="S201" s="27">
        <f>MAX(O187:O1149)</f>
        <v>0.13200972447325765</v>
      </c>
    </row>
    <row r="202" spans="1:21">
      <c r="A202" s="83">
        <v>687.03</v>
      </c>
      <c r="B202" s="83">
        <v>689.4</v>
      </c>
      <c r="C202" s="83">
        <v>686.02</v>
      </c>
      <c r="D202" s="83">
        <v>686.29</v>
      </c>
      <c r="E202" s="84">
        <v>3349102.6779999998</v>
      </c>
      <c r="F202" s="85" t="s">
        <v>297</v>
      </c>
      <c r="G202" s="25">
        <f t="shared" si="0"/>
        <v>1.0782613763860027E-3</v>
      </c>
      <c r="I202" s="83">
        <v>125.84</v>
      </c>
      <c r="J202" s="83">
        <v>128.84</v>
      </c>
      <c r="K202" s="83">
        <v>124.7</v>
      </c>
      <c r="L202" s="83">
        <v>126.18</v>
      </c>
      <c r="M202" s="84">
        <v>20775641.898800001</v>
      </c>
      <c r="N202" s="85" t="s">
        <v>297</v>
      </c>
      <c r="O202" s="25">
        <f t="shared" si="1"/>
        <v>-2.6945633222380527E-3</v>
      </c>
      <c r="Q202" s="26"/>
      <c r="R202" s="26" t="s">
        <v>27</v>
      </c>
      <c r="S202" s="27">
        <f>AVERAGE(O187:O1149)</f>
        <v>-8.9280538842969747E-4</v>
      </c>
    </row>
    <row r="203" spans="1:21">
      <c r="A203" s="83">
        <v>687.87</v>
      </c>
      <c r="B203" s="83">
        <v>688.48500000000001</v>
      </c>
      <c r="C203" s="83">
        <v>684.03</v>
      </c>
      <c r="D203" s="83">
        <v>685.95</v>
      </c>
      <c r="E203" s="84">
        <v>4054717.8730000001</v>
      </c>
      <c r="F203" s="85" t="s">
        <v>298</v>
      </c>
      <c r="G203" s="25">
        <f t="shared" si="0"/>
        <v>2.7990378307456432E-3</v>
      </c>
      <c r="I203" s="83">
        <v>127.05</v>
      </c>
      <c r="J203" s="83">
        <v>127.42</v>
      </c>
      <c r="K203" s="83">
        <v>122.21</v>
      </c>
      <c r="L203" s="83">
        <v>122.81</v>
      </c>
      <c r="M203" s="84">
        <v>27409566.576000001</v>
      </c>
      <c r="N203" s="85" t="s">
        <v>298</v>
      </c>
      <c r="O203" s="25">
        <f t="shared" si="1"/>
        <v>3.4524875824444301E-2</v>
      </c>
      <c r="Q203" s="26"/>
      <c r="R203" s="26" t="s">
        <v>28</v>
      </c>
      <c r="S203" s="27">
        <f>MEDIAN(O187:O1149)</f>
        <v>-4.6218194542435587E-4</v>
      </c>
    </row>
    <row r="204" spans="1:21" ht="15">
      <c r="A204" s="83">
        <v>682.21</v>
      </c>
      <c r="B204" s="83">
        <v>688.2</v>
      </c>
      <c r="C204" s="83">
        <v>681.57</v>
      </c>
      <c r="D204" s="83">
        <v>686.67</v>
      </c>
      <c r="E204" s="84">
        <v>5321985.3398000002</v>
      </c>
      <c r="F204" s="85" t="s">
        <v>299</v>
      </c>
      <c r="G204" s="25">
        <f t="shared" si="0"/>
        <v>-6.4951141013877001E-3</v>
      </c>
      <c r="I204" s="83">
        <v>121.38</v>
      </c>
      <c r="J204" s="83">
        <v>125.4897</v>
      </c>
      <c r="K204" s="83">
        <v>120.03</v>
      </c>
      <c r="L204" s="83">
        <v>124.27</v>
      </c>
      <c r="M204" s="84">
        <v>36295667.921700001</v>
      </c>
      <c r="N204" s="85" t="s">
        <v>299</v>
      </c>
      <c r="O204" s="25">
        <f t="shared" si="1"/>
        <v>-2.3255813953488413E-2</v>
      </c>
      <c r="Q204" s="26"/>
      <c r="R204" s="26" t="s">
        <v>29</v>
      </c>
      <c r="S204" s="27">
        <f>_xlfn.STDEV.P(O187:O1149)</f>
        <v>2.1848968612691609E-2</v>
      </c>
      <c r="U204" s="2"/>
    </row>
    <row r="205" spans="1:21" ht="15">
      <c r="A205" s="83">
        <v>683.17</v>
      </c>
      <c r="B205" s="83">
        <v>686.86530000000005</v>
      </c>
      <c r="C205" s="83">
        <v>680.92</v>
      </c>
      <c r="D205" s="83">
        <v>682.12</v>
      </c>
      <c r="E205" s="84">
        <v>5627641.4215000002</v>
      </c>
      <c r="F205" s="85" t="s">
        <v>300</v>
      </c>
      <c r="G205" s="25">
        <f t="shared" si="0"/>
        <v>1.5393185949685861E-3</v>
      </c>
      <c r="I205" s="83">
        <v>126.41</v>
      </c>
      <c r="J205" s="83">
        <v>128.435</v>
      </c>
      <c r="K205" s="83">
        <v>121.5</v>
      </c>
      <c r="L205" s="83">
        <v>121.7</v>
      </c>
      <c r="M205" s="84">
        <v>39690283.479900002</v>
      </c>
      <c r="N205" s="85" t="s">
        <v>300</v>
      </c>
      <c r="O205" s="25">
        <f t="shared" si="1"/>
        <v>3.8701725554642463E-2</v>
      </c>
      <c r="Q205" s="26"/>
      <c r="R205" s="28" t="s">
        <v>30</v>
      </c>
      <c r="S205" s="27">
        <f>3*S204</f>
        <v>6.554690583807482E-2</v>
      </c>
      <c r="T205" s="26"/>
      <c r="U205" s="2" t="s">
        <v>135</v>
      </c>
    </row>
    <row r="206" spans="1:21" ht="15">
      <c r="A206" s="83">
        <v>690.14</v>
      </c>
      <c r="B206" s="83">
        <v>693.55</v>
      </c>
      <c r="C206" s="83">
        <v>687.43</v>
      </c>
      <c r="D206" s="83">
        <v>691.98</v>
      </c>
      <c r="E206" s="84">
        <v>4722611.2061000001</v>
      </c>
      <c r="F206" s="85" t="s">
        <v>301</v>
      </c>
      <c r="G206" s="25">
        <f t="shared" si="0"/>
        <v>-2.6590363883349788E-3</v>
      </c>
      <c r="I206" s="83">
        <v>124.21</v>
      </c>
      <c r="J206" s="83">
        <v>131.78</v>
      </c>
      <c r="K206" s="83">
        <v>123.66</v>
      </c>
      <c r="L206" s="83">
        <v>131.47499999999999</v>
      </c>
      <c r="M206" s="84">
        <v>54220667.442299999</v>
      </c>
      <c r="N206" s="85" t="s">
        <v>301</v>
      </c>
      <c r="O206" s="25">
        <f t="shared" si="1"/>
        <v>-5.5257653546301633E-2</v>
      </c>
      <c r="Q206" s="26"/>
      <c r="R206" s="28" t="s">
        <v>31</v>
      </c>
      <c r="S206" s="81">
        <f>_xlfn.COVARIANCE.P(O187:O435,G187:G435)/_xlfn.VAR.P(G187:G435)</f>
        <v>1.9160030484288781</v>
      </c>
      <c r="T206" s="26"/>
      <c r="U206" s="2" t="s">
        <v>32</v>
      </c>
    </row>
    <row r="207" spans="1:21">
      <c r="A207" s="83">
        <v>693.8</v>
      </c>
      <c r="B207" s="83">
        <v>694.5</v>
      </c>
      <c r="C207" s="83">
        <v>689.58</v>
      </c>
      <c r="D207" s="83">
        <v>693.27</v>
      </c>
      <c r="E207" s="84">
        <v>4110059.9393000002</v>
      </c>
      <c r="F207" s="85" t="s">
        <v>302</v>
      </c>
      <c r="G207" s="25">
        <f t="shared" si="0"/>
        <v>7.6449291041003065E-4</v>
      </c>
      <c r="I207" s="83">
        <v>132.49</v>
      </c>
      <c r="J207" s="83">
        <v>133.9</v>
      </c>
      <c r="K207" s="83">
        <v>128.84</v>
      </c>
      <c r="L207" s="83">
        <v>130.56</v>
      </c>
      <c r="M207" s="84">
        <v>48228999.270099998</v>
      </c>
      <c r="N207" s="85" t="s">
        <v>302</v>
      </c>
      <c r="O207" s="25">
        <f t="shared" si="1"/>
        <v>1.4782475490196179E-2</v>
      </c>
    </row>
    <row r="208" spans="1:21">
      <c r="A208" s="83">
        <v>691.1</v>
      </c>
      <c r="B208" s="83">
        <v>692.4</v>
      </c>
      <c r="C208" s="83">
        <v>688.2</v>
      </c>
      <c r="D208" s="83">
        <v>690.21</v>
      </c>
      <c r="E208" s="84">
        <v>4570040.4051000001</v>
      </c>
      <c r="F208" s="85" t="s">
        <v>303</v>
      </c>
      <c r="G208" s="25">
        <f t="shared" si="0"/>
        <v>1.289462627316329E-3</v>
      </c>
      <c r="I208" s="83">
        <v>127.94</v>
      </c>
      <c r="J208" s="83">
        <v>132.76</v>
      </c>
      <c r="K208" s="83">
        <v>127.6</v>
      </c>
      <c r="L208" s="83">
        <v>132</v>
      </c>
      <c r="M208" s="84">
        <v>50934763.537500001</v>
      </c>
      <c r="N208" s="85" t="s">
        <v>303</v>
      </c>
      <c r="O208" s="25">
        <f t="shared" si="1"/>
        <v>-3.0757575757575761E-2</v>
      </c>
      <c r="Q208" s="29" t="s">
        <v>33</v>
      </c>
      <c r="R208" s="30">
        <v>752</v>
      </c>
    </row>
    <row r="209" spans="1:25" ht="15" thickBot="1">
      <c r="A209" s="83">
        <v>688.5</v>
      </c>
      <c r="B209" s="83">
        <v>692.96</v>
      </c>
      <c r="C209" s="83">
        <v>687.54</v>
      </c>
      <c r="D209" s="83">
        <v>691.6</v>
      </c>
      <c r="E209" s="84">
        <v>6587891.3572000004</v>
      </c>
      <c r="F209" s="85" t="s">
        <v>304</v>
      </c>
      <c r="G209" s="25">
        <f t="shared" si="0"/>
        <v>-4.4823597455176944E-3</v>
      </c>
      <c r="I209" s="83">
        <v>131.54</v>
      </c>
      <c r="J209" s="83">
        <v>139.65</v>
      </c>
      <c r="K209" s="83">
        <v>131.35</v>
      </c>
      <c r="L209" s="83">
        <v>139.03</v>
      </c>
      <c r="M209" s="84">
        <v>55982009.062700003</v>
      </c>
      <c r="N209" s="85" t="s">
        <v>304</v>
      </c>
      <c r="O209" s="25">
        <f t="shared" si="1"/>
        <v>-5.3873264763000805E-2</v>
      </c>
      <c r="Q209" s="1" t="s">
        <v>34</v>
      </c>
      <c r="T209" s="1" t="s">
        <v>35</v>
      </c>
      <c r="X209" s="1" t="s">
        <v>36</v>
      </c>
    </row>
    <row r="210" spans="1:25" ht="15" customHeight="1">
      <c r="A210" s="83">
        <v>693.86</v>
      </c>
      <c r="B210" s="83">
        <v>694.33</v>
      </c>
      <c r="C210" s="83">
        <v>687.63</v>
      </c>
      <c r="D210" s="83">
        <v>691.25</v>
      </c>
      <c r="E210" s="84">
        <v>4666892.8554999996</v>
      </c>
      <c r="F210" s="85" t="s">
        <v>305</v>
      </c>
      <c r="G210" s="25">
        <f t="shared" si="0"/>
        <v>3.7757685352621806E-3</v>
      </c>
      <c r="I210" s="83">
        <v>140.63999999999999</v>
      </c>
      <c r="J210" s="83">
        <v>145.68</v>
      </c>
      <c r="K210" s="83">
        <v>139.26</v>
      </c>
      <c r="L210" s="83">
        <v>145.65</v>
      </c>
      <c r="M210" s="84">
        <v>26526958.873599999</v>
      </c>
      <c r="N210" s="85" t="s">
        <v>305</v>
      </c>
      <c r="O210" s="25">
        <f t="shared" si="1"/>
        <v>-3.4397528321318371E-2</v>
      </c>
      <c r="Q210" s="31" t="s">
        <v>37</v>
      </c>
      <c r="R210" s="31" t="s">
        <v>38</v>
      </c>
      <c r="T210" s="32" t="s">
        <v>39</v>
      </c>
      <c r="U210" s="33" t="s">
        <v>40</v>
      </c>
      <c r="X210" s="32" t="s">
        <v>41</v>
      </c>
      <c r="Y210" s="33" t="s">
        <v>42</v>
      </c>
    </row>
    <row r="211" spans="1:25" ht="15">
      <c r="A211" s="83">
        <v>690.69</v>
      </c>
      <c r="B211" s="83">
        <v>691.18619999999999</v>
      </c>
      <c r="C211" s="83">
        <v>685.29</v>
      </c>
      <c r="D211" s="83">
        <v>686.95</v>
      </c>
      <c r="E211" s="84">
        <v>6395880.3809000002</v>
      </c>
      <c r="F211" s="85" t="s">
        <v>306</v>
      </c>
      <c r="G211" s="25">
        <f t="shared" si="0"/>
        <v>5.4443554843874864E-3</v>
      </c>
      <c r="I211" s="83">
        <v>143.72000000438999</v>
      </c>
      <c r="J211" s="83">
        <v>148.55318541571498</v>
      </c>
      <c r="K211" s="83">
        <v>140.45137152002999</v>
      </c>
      <c r="L211" s="83">
        <v>140.92970739578999</v>
      </c>
      <c r="M211" s="84">
        <v>34910558.290657118</v>
      </c>
      <c r="N211" s="85" t="s">
        <v>306</v>
      </c>
      <c r="O211" s="25">
        <f t="shared" si="1"/>
        <v>1.9799179748267504E-2</v>
      </c>
      <c r="Q211" s="86">
        <v>-6.5000000000000044E-2</v>
      </c>
      <c r="R211">
        <v>4</v>
      </c>
      <c r="T211" s="82">
        <f t="shared" ref="T211:T274" si="2">T212-0.001</f>
        <v>-7.0000000000000048E-2</v>
      </c>
      <c r="U211" s="1">
        <f t="shared" ref="U211:U274" si="3">_xlfn.NORM.DIST(T211,$S$202,$S$204,FALSE)</f>
        <v>0.12276746676484486</v>
      </c>
      <c r="W211" s="1" t="s">
        <v>126</v>
      </c>
      <c r="X211" s="82">
        <f>S202</f>
        <v>-8.9280538842969747E-4</v>
      </c>
      <c r="Y211" s="1">
        <v>0</v>
      </c>
    </row>
    <row r="212" spans="1:25" ht="15">
      <c r="A212" s="83">
        <v>685.26</v>
      </c>
      <c r="B212" s="83">
        <v>685.84</v>
      </c>
      <c r="C212" s="83">
        <v>679.73</v>
      </c>
      <c r="D212" s="83">
        <v>683.1</v>
      </c>
      <c r="E212" s="84">
        <v>4805362.7424999997</v>
      </c>
      <c r="F212" s="85" t="s">
        <v>307</v>
      </c>
      <c r="G212" s="25">
        <f t="shared" si="0"/>
        <v>3.1620553359683612E-3</v>
      </c>
      <c r="I212" s="83">
        <v>140.002931636505</v>
      </c>
      <c r="J212" s="83">
        <v>141.34825128707999</v>
      </c>
      <c r="K212" s="83">
        <v>137.06814173210248</v>
      </c>
      <c r="L212" s="83">
        <v>138.5729066745975</v>
      </c>
      <c r="M212" s="84">
        <v>34247609.772434101</v>
      </c>
      <c r="N212" s="85" t="s">
        <v>307</v>
      </c>
      <c r="O212" s="25">
        <f t="shared" si="1"/>
        <v>1.031965768940335E-2</v>
      </c>
      <c r="Q212" s="86">
        <v>-6.4000000000000043E-2</v>
      </c>
      <c r="R212">
        <v>0</v>
      </c>
      <c r="T212" s="82">
        <f t="shared" si="2"/>
        <v>-6.9000000000000047E-2</v>
      </c>
      <c r="U212" s="1">
        <f t="shared" si="3"/>
        <v>0.14174206067848835</v>
      </c>
      <c r="X212" s="82">
        <f>S202</f>
        <v>-8.9280538842969747E-4</v>
      </c>
      <c r="Y212" s="1">
        <v>18</v>
      </c>
    </row>
    <row r="213" spans="1:25" ht="15">
      <c r="A213" s="83">
        <v>687.08</v>
      </c>
      <c r="B213" s="83">
        <v>690.24</v>
      </c>
      <c r="C213" s="83">
        <v>684.98900000000003</v>
      </c>
      <c r="D213" s="83">
        <v>689.58</v>
      </c>
      <c r="E213" s="84">
        <v>4816042.4768000003</v>
      </c>
      <c r="F213" s="85" t="s">
        <v>308</v>
      </c>
      <c r="G213" s="25">
        <f t="shared" si="0"/>
        <v>-3.6253951680733643E-3</v>
      </c>
      <c r="I213" s="83">
        <v>141.10908334919998</v>
      </c>
      <c r="J213" s="83">
        <v>145.05535432421999</v>
      </c>
      <c r="K213" s="83">
        <v>137.073124397475</v>
      </c>
      <c r="L213" s="83">
        <v>143.22173346713998</v>
      </c>
      <c r="M213" s="84">
        <v>42873886.845589086</v>
      </c>
      <c r="N213" s="85" t="s">
        <v>308</v>
      </c>
      <c r="O213" s="25">
        <f t="shared" si="1"/>
        <v>-1.4750904536598997E-2</v>
      </c>
      <c r="Q213" s="86">
        <v>-6.3000000000000042E-2</v>
      </c>
      <c r="R213">
        <v>1</v>
      </c>
      <c r="T213" s="82">
        <f t="shared" si="2"/>
        <v>-6.8000000000000047E-2</v>
      </c>
      <c r="U213" s="1">
        <f t="shared" si="3"/>
        <v>0.16330686411961998</v>
      </c>
      <c r="W213" s="39" t="s">
        <v>127</v>
      </c>
      <c r="X213" s="82">
        <f>($S$204*-3)+$S$202</f>
        <v>-6.6439711226504522E-2</v>
      </c>
      <c r="Y213" s="1">
        <v>0</v>
      </c>
    </row>
    <row r="214" spans="1:25" ht="15">
      <c r="A214" s="83">
        <v>690.62</v>
      </c>
      <c r="B214" s="83">
        <v>691.57500000000005</v>
      </c>
      <c r="C214" s="83">
        <v>687</v>
      </c>
      <c r="D214" s="83">
        <v>688.11</v>
      </c>
      <c r="E214" s="84">
        <v>5575659.2198000001</v>
      </c>
      <c r="F214" s="85" t="s">
        <v>309</v>
      </c>
      <c r="G214" s="25">
        <f t="shared" si="0"/>
        <v>3.6476726104837098E-3</v>
      </c>
      <c r="I214" s="83">
        <v>143.26159479011997</v>
      </c>
      <c r="J214" s="83">
        <v>145.11733868145387</v>
      </c>
      <c r="K214" s="83">
        <v>140.67060879642</v>
      </c>
      <c r="L214" s="83">
        <v>143.79972265034999</v>
      </c>
      <c r="M214" s="84">
        <v>34244238.850599229</v>
      </c>
      <c r="N214" s="85" t="s">
        <v>309</v>
      </c>
      <c r="O214" s="25">
        <f t="shared" si="1"/>
        <v>-3.7422037422039089E-3</v>
      </c>
      <c r="Q214" s="86">
        <v>-6.2000000000000048E-2</v>
      </c>
      <c r="R214">
        <v>2</v>
      </c>
      <c r="T214" s="82">
        <f t="shared" si="2"/>
        <v>-6.7000000000000046E-2</v>
      </c>
      <c r="U214" s="1">
        <f t="shared" si="3"/>
        <v>0.18775883663825854</v>
      </c>
      <c r="W214" s="40"/>
      <c r="X214" s="82">
        <f>($S$204*-3)+$S$202</f>
        <v>-6.6439711226504522E-2</v>
      </c>
      <c r="Y214" s="1">
        <v>1</v>
      </c>
    </row>
    <row r="215" spans="1:25" ht="15">
      <c r="A215" s="83">
        <v>684.84</v>
      </c>
      <c r="B215" s="83">
        <v>690.5</v>
      </c>
      <c r="C215" s="83">
        <v>680.21500000000003</v>
      </c>
      <c r="D215" s="83">
        <v>686.98</v>
      </c>
      <c r="E215" s="84">
        <v>6980816.8136</v>
      </c>
      <c r="F215" s="85" t="s">
        <v>310</v>
      </c>
      <c r="G215" s="25">
        <f t="shared" si="0"/>
        <v>-3.1150834085417189E-3</v>
      </c>
      <c r="I215" s="83">
        <v>139.78369436011499</v>
      </c>
      <c r="J215" s="83">
        <v>146.55015393597</v>
      </c>
      <c r="K215" s="83">
        <v>138.3458964402264</v>
      </c>
      <c r="L215" s="83">
        <v>142.80318957585001</v>
      </c>
      <c r="M215" s="84">
        <v>43036165.823315084</v>
      </c>
      <c r="N215" s="85" t="s">
        <v>310</v>
      </c>
      <c r="O215" s="25">
        <f t="shared" si="1"/>
        <v>-2.1144452198185726E-2</v>
      </c>
      <c r="Q215" s="86">
        <v>-6.1000000000000047E-2</v>
      </c>
      <c r="R215">
        <v>1</v>
      </c>
      <c r="T215" s="82">
        <f t="shared" si="2"/>
        <v>-6.6000000000000045E-2</v>
      </c>
      <c r="U215" s="1">
        <f t="shared" si="3"/>
        <v>0.21542027760579613</v>
      </c>
      <c r="W215" s="39" t="s">
        <v>128</v>
      </c>
      <c r="X215" s="82">
        <f>($S$204*-2)+$S$202</f>
        <v>-4.4590742613812913E-2</v>
      </c>
      <c r="Y215" s="1">
        <v>0</v>
      </c>
    </row>
    <row r="216" spans="1:25" ht="15">
      <c r="A216" s="83">
        <v>685.46</v>
      </c>
      <c r="B216" s="83">
        <v>688.83</v>
      </c>
      <c r="C216" s="83">
        <v>682.3</v>
      </c>
      <c r="D216" s="83">
        <v>684.73</v>
      </c>
      <c r="E216" s="84">
        <v>8627875.0035999995</v>
      </c>
      <c r="F216" s="85" t="s">
        <v>311</v>
      </c>
      <c r="G216" s="25">
        <f t="shared" si="0"/>
        <v>1.0661136506360247E-3</v>
      </c>
      <c r="I216" s="83">
        <v>142.00596311625</v>
      </c>
      <c r="J216" s="83">
        <v>147.03845514247502</v>
      </c>
      <c r="K216" s="83">
        <v>142.00596311625</v>
      </c>
      <c r="L216" s="83">
        <v>143.989063934505</v>
      </c>
      <c r="M216" s="84">
        <v>45543502.434348956</v>
      </c>
      <c r="N216" s="85" t="s">
        <v>311</v>
      </c>
      <c r="O216" s="25">
        <f t="shared" si="1"/>
        <v>-1.3772579417260733E-2</v>
      </c>
      <c r="Q216" s="86">
        <v>-6.0000000000000046E-2</v>
      </c>
      <c r="R216">
        <v>1</v>
      </c>
      <c r="T216" s="82">
        <f t="shared" si="2"/>
        <v>-6.5000000000000044E-2</v>
      </c>
      <c r="U216" s="1">
        <f t="shared" si="3"/>
        <v>0.24663972414313035</v>
      </c>
      <c r="W216" s="40"/>
      <c r="X216" s="82">
        <f>($S$204*-2)+$S$202</f>
        <v>-4.4590742613812913E-2</v>
      </c>
      <c r="Y216" s="1">
        <v>3</v>
      </c>
    </row>
    <row r="217" spans="1:25" ht="15">
      <c r="A217" s="83">
        <v>686.81</v>
      </c>
      <c r="B217" s="83">
        <v>687.529</v>
      </c>
      <c r="C217" s="83">
        <v>680.99</v>
      </c>
      <c r="D217" s="83">
        <v>681.32</v>
      </c>
      <c r="E217" s="84">
        <v>9853712.8944000006</v>
      </c>
      <c r="F217" s="85" t="s">
        <v>312</v>
      </c>
      <c r="G217" s="25">
        <f t="shared" si="0"/>
        <v>8.0578876298946778E-3</v>
      </c>
      <c r="I217" s="83">
        <v>146.04192206797501</v>
      </c>
      <c r="J217" s="83">
        <v>149.41020385978499</v>
      </c>
      <c r="K217" s="83">
        <v>143.97909860375998</v>
      </c>
      <c r="L217" s="83">
        <v>146.73949522012498</v>
      </c>
      <c r="M217" s="84">
        <v>34918287.490015469</v>
      </c>
      <c r="N217" s="85" t="s">
        <v>312</v>
      </c>
      <c r="O217" s="25">
        <f t="shared" si="1"/>
        <v>-4.7538200339556358E-3</v>
      </c>
      <c r="Q217" s="86">
        <v>-5.9000000000000045E-2</v>
      </c>
      <c r="R217">
        <v>0</v>
      </c>
      <c r="T217" s="82">
        <f t="shared" si="2"/>
        <v>-6.4000000000000043E-2</v>
      </c>
      <c r="U217" s="1">
        <f t="shared" si="3"/>
        <v>0.28179268812472902</v>
      </c>
      <c r="W217" s="41" t="s">
        <v>129</v>
      </c>
      <c r="X217" s="82">
        <f>($S$204*-1)+$S$202</f>
        <v>-2.2741774001121307E-2</v>
      </c>
      <c r="Y217" s="1">
        <v>0</v>
      </c>
    </row>
    <row r="218" spans="1:25" ht="15">
      <c r="A218" s="83">
        <v>681.01</v>
      </c>
      <c r="B218" s="83">
        <v>681.56500000000005</v>
      </c>
      <c r="C218" s="83">
        <v>672.93</v>
      </c>
      <c r="D218" s="83">
        <v>677.01</v>
      </c>
      <c r="E218" s="84">
        <v>5649228.7867999999</v>
      </c>
      <c r="F218" s="85" t="s">
        <v>313</v>
      </c>
      <c r="G218" s="25">
        <f t="shared" si="0"/>
        <v>5.9083322255211179E-3</v>
      </c>
      <c r="I218" s="83">
        <v>147.24772708811997</v>
      </c>
      <c r="J218" s="83">
        <v>153.96436001025</v>
      </c>
      <c r="K218" s="83">
        <v>144.69660241739999</v>
      </c>
      <c r="L218" s="83">
        <v>153.40630148852998</v>
      </c>
      <c r="M218" s="84">
        <v>34146890.295711912</v>
      </c>
      <c r="N218" s="85" t="s">
        <v>313</v>
      </c>
      <c r="O218" s="25">
        <f t="shared" si="1"/>
        <v>-4.0145511238144804E-2</v>
      </c>
      <c r="Q218" s="86">
        <v>-5.8000000000000045E-2</v>
      </c>
      <c r="R218">
        <v>1</v>
      </c>
      <c r="T218" s="82">
        <f t="shared" si="2"/>
        <v>-6.3000000000000042E-2</v>
      </c>
      <c r="U218" s="1">
        <f t="shared" si="3"/>
        <v>0.32128219867049329</v>
      </c>
      <c r="X218" s="82">
        <f>($S$204*-1)+$S$202</f>
        <v>-2.2741774001121307E-2</v>
      </c>
      <c r="Y218" s="1">
        <v>11</v>
      </c>
    </row>
    <row r="219" spans="1:25" ht="15" customHeight="1">
      <c r="A219" s="83">
        <v>670.26</v>
      </c>
      <c r="B219" s="83">
        <v>676.95500000000004</v>
      </c>
      <c r="C219" s="83">
        <v>668.1</v>
      </c>
      <c r="D219" s="83">
        <v>669.96</v>
      </c>
      <c r="E219" s="84">
        <v>5935648.6288000001</v>
      </c>
      <c r="F219" s="85" t="s">
        <v>314</v>
      </c>
      <c r="G219" s="25">
        <f t="shared" si="0"/>
        <v>4.4778792763744413E-4</v>
      </c>
      <c r="I219" s="83">
        <v>148.01505755548499</v>
      </c>
      <c r="J219" s="83">
        <v>153.00768825872998</v>
      </c>
      <c r="K219" s="83">
        <v>147.48689502599998</v>
      </c>
      <c r="L219" s="83">
        <v>149.73905977436999</v>
      </c>
      <c r="M219" s="84">
        <v>36068921.754588492</v>
      </c>
      <c r="N219" s="85" t="s">
        <v>314</v>
      </c>
      <c r="O219" s="25">
        <f t="shared" si="1"/>
        <v>-1.1513376813523268E-2</v>
      </c>
      <c r="Q219" s="86">
        <v>-5.7000000000000044E-2</v>
      </c>
      <c r="R219">
        <v>0</v>
      </c>
      <c r="T219" s="82">
        <f t="shared" si="2"/>
        <v>-6.2000000000000048E-2</v>
      </c>
      <c r="U219" s="1">
        <f t="shared" si="3"/>
        <v>0.36553911468331546</v>
      </c>
      <c r="W219" s="1" t="s">
        <v>130</v>
      </c>
      <c r="X219" s="82">
        <f>($S$204*1)+$S$202</f>
        <v>2.0956163224261911E-2</v>
      </c>
      <c r="Y219" s="1">
        <v>0</v>
      </c>
    </row>
    <row r="220" spans="1:25" ht="15" customHeight="1">
      <c r="A220" s="83">
        <v>673.74779998746499</v>
      </c>
      <c r="B220" s="83">
        <v>679.56087020091002</v>
      </c>
      <c r="C220" s="83">
        <v>670.62688922107009</v>
      </c>
      <c r="D220" s="83">
        <v>679.16203176430997</v>
      </c>
      <c r="E220" s="84">
        <v>23355606.123143647</v>
      </c>
      <c r="F220" s="85" t="s">
        <v>315</v>
      </c>
      <c r="G220" s="25">
        <f t="shared" si="0"/>
        <v>-7.9719294124556139E-3</v>
      </c>
      <c r="I220" s="83">
        <v>151.93143253827</v>
      </c>
      <c r="J220" s="83">
        <v>157.07354320268999</v>
      </c>
      <c r="K220" s="83">
        <v>149.83871308182</v>
      </c>
      <c r="L220" s="83">
        <v>156.80447927257498</v>
      </c>
      <c r="M220" s="84">
        <v>36182965.955436535</v>
      </c>
      <c r="N220" s="85" t="s">
        <v>315</v>
      </c>
      <c r="O220" s="25">
        <f t="shared" si="1"/>
        <v>-3.1077216396568019E-2</v>
      </c>
      <c r="Q220" s="86">
        <v>-5.6000000000000043E-2</v>
      </c>
      <c r="R220">
        <v>1</v>
      </c>
      <c r="T220" s="82">
        <f t="shared" si="2"/>
        <v>-6.1000000000000047E-2</v>
      </c>
      <c r="U220" s="1">
        <f t="shared" si="3"/>
        <v>0.41502217050203932</v>
      </c>
      <c r="X220" s="82">
        <f>($S$204*1)+$S$202</f>
        <v>2.0956163224261911E-2</v>
      </c>
      <c r="Y220" s="1">
        <v>11</v>
      </c>
    </row>
    <row r="221" spans="1:25" ht="15">
      <c r="A221" s="83">
        <v>673.72785806563502</v>
      </c>
      <c r="B221" s="83">
        <v>680.08933112940508</v>
      </c>
      <c r="C221" s="83">
        <v>671.72369492171993</v>
      </c>
      <c r="D221" s="83">
        <v>675.71207928771992</v>
      </c>
      <c r="E221" s="84">
        <v>9593615.7837200798</v>
      </c>
      <c r="F221" s="85" t="s">
        <v>316</v>
      </c>
      <c r="G221" s="25">
        <f t="shared" si="0"/>
        <v>-2.9364891984415831E-3</v>
      </c>
      <c r="I221" s="83">
        <v>156.983855225985</v>
      </c>
      <c r="J221" s="83">
        <v>165.175357098375</v>
      </c>
      <c r="K221" s="83">
        <v>154.81141312357499</v>
      </c>
      <c r="L221" s="83">
        <v>161.91171127938748</v>
      </c>
      <c r="M221" s="84">
        <v>37936303.137121819</v>
      </c>
      <c r="N221" s="85" t="s">
        <v>316</v>
      </c>
      <c r="O221" s="25">
        <f t="shared" si="1"/>
        <v>-3.043545160793959E-2</v>
      </c>
      <c r="Q221" s="86">
        <v>-5.5000000000000042E-2</v>
      </c>
      <c r="R221">
        <v>1</v>
      </c>
      <c r="T221" s="82">
        <f t="shared" si="2"/>
        <v>-6.0000000000000046E-2</v>
      </c>
      <c r="U221" s="1">
        <f t="shared" si="3"/>
        <v>0.47021771669956225</v>
      </c>
      <c r="W221" s="42" t="s">
        <v>131</v>
      </c>
      <c r="X221" s="82">
        <f>($S$204*2)+$S$202</f>
        <v>4.2805131836953524E-2</v>
      </c>
      <c r="Y221" s="1">
        <v>0</v>
      </c>
    </row>
    <row r="222" spans="1:25" ht="15">
      <c r="A222" s="83">
        <v>674.37597052511001</v>
      </c>
      <c r="B222" s="83">
        <v>679.7491219429852</v>
      </c>
      <c r="C222" s="83">
        <v>673.05980368432995</v>
      </c>
      <c r="D222" s="83">
        <v>674.39092696648254</v>
      </c>
      <c r="E222" s="84">
        <v>17263981.413069256</v>
      </c>
      <c r="F222" s="85" t="s">
        <v>317</v>
      </c>
      <c r="G222" s="25">
        <f t="shared" si="0"/>
        <v>-2.2177702537873323E-5</v>
      </c>
      <c r="I222" s="83">
        <v>164.58740258441998</v>
      </c>
      <c r="J222" s="83">
        <v>173.72561087758501</v>
      </c>
      <c r="K222" s="83">
        <v>164.039309393445</v>
      </c>
      <c r="L222" s="83">
        <v>169.63982527213497</v>
      </c>
      <c r="M222" s="84">
        <v>32064929.843931638</v>
      </c>
      <c r="N222" s="85" t="s">
        <v>317</v>
      </c>
      <c r="O222" s="25">
        <f t="shared" si="1"/>
        <v>-2.9783234447512186E-2</v>
      </c>
      <c r="Q222" s="86">
        <v>-5.4000000000000041E-2</v>
      </c>
      <c r="R222">
        <v>0</v>
      </c>
      <c r="T222" s="82">
        <f t="shared" si="2"/>
        <v>-5.9000000000000045E-2</v>
      </c>
      <c r="U222" s="1">
        <f t="shared" si="3"/>
        <v>0.53163911754815962</v>
      </c>
      <c r="X222" s="82">
        <f>($S$204*2)+$S$202</f>
        <v>4.2805131836953524E-2</v>
      </c>
      <c r="Y222" s="1">
        <v>3</v>
      </c>
    </row>
    <row r="223" spans="1:25" ht="15">
      <c r="A223" s="83">
        <v>684.10762837815003</v>
      </c>
      <c r="B223" s="83">
        <v>689.49194727225006</v>
      </c>
      <c r="C223" s="83">
        <v>683.01082267749996</v>
      </c>
      <c r="D223" s="83">
        <v>687.16871337905491</v>
      </c>
      <c r="E223" s="84">
        <v>13365184.608990114</v>
      </c>
      <c r="F223" s="85" t="s">
        <v>318</v>
      </c>
      <c r="G223" s="25">
        <f t="shared" si="0"/>
        <v>-4.4546338349026326E-3</v>
      </c>
      <c r="I223" s="83">
        <v>174.46304535271497</v>
      </c>
      <c r="J223" s="83">
        <v>183.94007489121</v>
      </c>
      <c r="K223" s="83">
        <v>173.7953681928</v>
      </c>
      <c r="L223" s="83">
        <v>181.67794481209501</v>
      </c>
      <c r="M223" s="84">
        <v>22894314.414649166</v>
      </c>
      <c r="N223" s="85" t="s">
        <v>318</v>
      </c>
      <c r="O223" s="25">
        <f t="shared" si="1"/>
        <v>-3.9712577477922451E-2</v>
      </c>
      <c r="Q223" s="86">
        <v>-5.300000000000004E-2</v>
      </c>
      <c r="R223">
        <v>1</v>
      </c>
      <c r="T223" s="82">
        <f t="shared" si="2"/>
        <v>-5.8000000000000045E-2</v>
      </c>
      <c r="U223" s="1">
        <f t="shared" si="3"/>
        <v>0.5998257667827962</v>
      </c>
      <c r="W223" s="42" t="s">
        <v>132</v>
      </c>
      <c r="X223" s="82">
        <f>($S$204*3)+$S$202</f>
        <v>6.4654100449645119E-2</v>
      </c>
      <c r="Y223" s="1">
        <v>0</v>
      </c>
    </row>
    <row r="224" spans="1:25" ht="15">
      <c r="A224" s="83">
        <v>686.111791522065</v>
      </c>
      <c r="B224" s="83">
        <v>687.69717430755009</v>
      </c>
      <c r="C224" s="83">
        <v>683.70878994155009</v>
      </c>
      <c r="D224" s="83">
        <v>687.29833587094993</v>
      </c>
      <c r="E224" s="84">
        <v>17768871.503895573</v>
      </c>
      <c r="F224" s="85" t="s">
        <v>319</v>
      </c>
      <c r="G224" s="25">
        <f t="shared" si="0"/>
        <v>-1.7263890903814749E-3</v>
      </c>
      <c r="I224" s="83">
        <v>183.65108029960498</v>
      </c>
      <c r="J224" s="83">
        <v>187.33825267525501</v>
      </c>
      <c r="K224" s="83">
        <v>177.08392733864997</v>
      </c>
      <c r="L224" s="83">
        <v>182.37551796424498</v>
      </c>
      <c r="M224" s="84">
        <v>30858196.526622161</v>
      </c>
      <c r="N224" s="85" t="s">
        <v>319</v>
      </c>
      <c r="O224" s="25">
        <f t="shared" si="1"/>
        <v>6.9941533249548993E-3</v>
      </c>
      <c r="Q224" s="86">
        <v>-5.2000000000000039E-2</v>
      </c>
      <c r="R224">
        <v>0</v>
      </c>
      <c r="T224" s="82">
        <f t="shared" si="2"/>
        <v>-5.7000000000000044E-2</v>
      </c>
      <c r="U224" s="1">
        <f t="shared" si="3"/>
        <v>0.67534168410011841</v>
      </c>
      <c r="W224" s="42"/>
      <c r="X224" s="82">
        <f>($S$204*3)+$S$202</f>
        <v>6.4654100449645119E-2</v>
      </c>
      <c r="Y224" s="1">
        <v>1</v>
      </c>
    </row>
    <row r="225" spans="1:21" ht="15">
      <c r="A225" s="83">
        <v>679.431247709015</v>
      </c>
      <c r="B225" s="83">
        <v>689.52186015499501</v>
      </c>
      <c r="C225" s="83">
        <v>677.66638762705998</v>
      </c>
      <c r="D225" s="83">
        <v>688.75409616453999</v>
      </c>
      <c r="E225" s="84">
        <v>15004527.195962839</v>
      </c>
      <c r="F225" s="85" t="s">
        <v>320</v>
      </c>
      <c r="G225" s="25">
        <f t="shared" si="0"/>
        <v>-1.3535815623371361E-2</v>
      </c>
      <c r="I225" s="83">
        <v>182.89371516298499</v>
      </c>
      <c r="J225" s="83">
        <v>189.53062543915499</v>
      </c>
      <c r="K225" s="83">
        <v>181.94700874221002</v>
      </c>
      <c r="L225" s="83">
        <v>185.50961448354749</v>
      </c>
      <c r="M225" s="84">
        <v>16478391.181887461</v>
      </c>
      <c r="N225" s="85" t="s">
        <v>320</v>
      </c>
      <c r="O225" s="25">
        <f t="shared" si="1"/>
        <v>-1.4101152265585171E-2</v>
      </c>
      <c r="Q225" s="86">
        <v>-5.1000000000000038E-2</v>
      </c>
      <c r="R225">
        <v>0</v>
      </c>
      <c r="T225" s="82">
        <f t="shared" si="2"/>
        <v>-5.6000000000000043E-2</v>
      </c>
      <c r="U225" s="1">
        <f t="shared" si="3"/>
        <v>0.75877365641326677</v>
      </c>
    </row>
    <row r="226" spans="1:21" ht="15">
      <c r="A226" s="83">
        <v>687.74702911212501</v>
      </c>
      <c r="B226" s="83">
        <v>692.55303227315505</v>
      </c>
      <c r="C226" s="83">
        <v>687.43792932376005</v>
      </c>
      <c r="D226" s="83">
        <v>691.8151811654451</v>
      </c>
      <c r="E226" s="84">
        <v>13322313.582251165</v>
      </c>
      <c r="F226" s="85" t="s">
        <v>321</v>
      </c>
      <c r="G226" s="25">
        <f t="shared" si="0"/>
        <v>-5.8804029805573643E-3</v>
      </c>
      <c r="I226" s="83">
        <v>187.677073920585</v>
      </c>
      <c r="J226" s="83">
        <v>194.64284011133998</v>
      </c>
      <c r="K226" s="83">
        <v>187.00939676067</v>
      </c>
      <c r="L226" s="83">
        <v>189.35124948574497</v>
      </c>
      <c r="M226" s="84">
        <v>16799240.784857664</v>
      </c>
      <c r="N226" s="85" t="s">
        <v>321</v>
      </c>
      <c r="O226" s="25">
        <f t="shared" si="1"/>
        <v>-8.8416399136885815E-3</v>
      </c>
      <c r="Q226" s="86">
        <v>-5.0000000000000037E-2</v>
      </c>
      <c r="R226">
        <v>1</v>
      </c>
      <c r="T226" s="82">
        <f t="shared" si="2"/>
        <v>-5.5000000000000042E-2</v>
      </c>
      <c r="U226" s="1">
        <f t="shared" si="3"/>
        <v>0.85072889031112986</v>
      </c>
    </row>
    <row r="227" spans="1:21" ht="15">
      <c r="A227" s="83">
        <v>691.8151811654451</v>
      </c>
      <c r="B227" s="83">
        <v>693.72960566112499</v>
      </c>
      <c r="C227" s="83">
        <v>689.25264421028999</v>
      </c>
      <c r="D227" s="83">
        <v>689.29252805394992</v>
      </c>
      <c r="E227" s="84">
        <v>14057972.880540572</v>
      </c>
      <c r="F227" s="85" t="s">
        <v>322</v>
      </c>
      <c r="G227" s="25">
        <f t="shared" si="0"/>
        <v>3.6597714451036545E-3</v>
      </c>
      <c r="I227" s="83">
        <v>191.97213147167997</v>
      </c>
      <c r="J227" s="83">
        <v>194.64284011133998</v>
      </c>
      <c r="K227" s="83">
        <v>185.5678120150983</v>
      </c>
      <c r="L227" s="83">
        <v>186.74033283055499</v>
      </c>
      <c r="M227" s="84">
        <v>19912615.883879527</v>
      </c>
      <c r="N227" s="85" t="s">
        <v>322</v>
      </c>
      <c r="O227" s="25">
        <f t="shared" si="1"/>
        <v>2.8016436309301396E-2</v>
      </c>
      <c r="Q227" s="86">
        <v>-4.9000000000000037E-2</v>
      </c>
      <c r="R227">
        <v>0</v>
      </c>
      <c r="T227" s="82">
        <f t="shared" si="2"/>
        <v>-5.4000000000000041E-2</v>
      </c>
      <c r="U227" s="1">
        <f t="shared" si="3"/>
        <v>0.95183214550587059</v>
      </c>
    </row>
    <row r="228" spans="1:21" ht="15">
      <c r="A228" s="83">
        <v>679.96967959842505</v>
      </c>
      <c r="B228" s="83">
        <v>682.45115264134108</v>
      </c>
      <c r="C228" s="83">
        <v>673.84750959661494</v>
      </c>
      <c r="D228" s="83">
        <v>679.09722051836252</v>
      </c>
      <c r="E228" s="84">
        <v>6314635.7692848304</v>
      </c>
      <c r="F228" s="85" t="s">
        <v>323</v>
      </c>
      <c r="G228" s="25">
        <f t="shared" si="0"/>
        <v>1.2847336930588149E-3</v>
      </c>
      <c r="I228" s="83">
        <v>183.49163500768498</v>
      </c>
      <c r="J228" s="83">
        <v>184.93660796571001</v>
      </c>
      <c r="K228" s="83">
        <v>178.37942033549999</v>
      </c>
      <c r="L228" s="83">
        <v>184.36858411324499</v>
      </c>
      <c r="M228" s="84">
        <v>28544240.660223063</v>
      </c>
      <c r="N228" s="85" t="s">
        <v>323</v>
      </c>
      <c r="O228" s="25">
        <f t="shared" si="1"/>
        <v>-4.7564996486677558E-3</v>
      </c>
      <c r="Q228" s="86">
        <v>-4.8000000000000036E-2</v>
      </c>
      <c r="R228">
        <v>2</v>
      </c>
      <c r="T228" s="82">
        <f t="shared" si="2"/>
        <v>-5.300000000000004E-2</v>
      </c>
      <c r="U228" s="1">
        <f t="shared" si="3"/>
        <v>1.0627223233430774</v>
      </c>
    </row>
    <row r="229" spans="1:21" ht="15">
      <c r="A229" s="83">
        <v>676.26048213804506</v>
      </c>
      <c r="B229" s="83">
        <v>678.40423873477005</v>
      </c>
      <c r="C229" s="83">
        <v>664.065996939</v>
      </c>
      <c r="D229" s="83">
        <v>668.15409091415006</v>
      </c>
      <c r="E229" s="84">
        <v>19926769.008100156</v>
      </c>
      <c r="F229" s="85" t="s">
        <v>324</v>
      </c>
      <c r="G229" s="25">
        <f t="shared" si="0"/>
        <v>1.2132517534696241E-2</v>
      </c>
      <c r="I229" s="83">
        <v>183.46173901544998</v>
      </c>
      <c r="J229" s="83">
        <v>184.12941617536501</v>
      </c>
      <c r="K229" s="83">
        <v>174.67231729835999</v>
      </c>
      <c r="L229" s="83">
        <v>179.04709749541499</v>
      </c>
      <c r="M229" s="84">
        <v>63343031.989953287</v>
      </c>
      <c r="N229" s="85" t="s">
        <v>324</v>
      </c>
      <c r="O229" s="25">
        <f t="shared" si="1"/>
        <v>2.4656314354093656E-2</v>
      </c>
      <c r="Q229" s="86">
        <v>-4.7000000000000035E-2</v>
      </c>
      <c r="R229">
        <v>2</v>
      </c>
      <c r="T229" s="82">
        <f t="shared" si="2"/>
        <v>-5.2000000000000039E-2</v>
      </c>
      <c r="U229" s="1">
        <f t="shared" si="3"/>
        <v>1.1840484897279879</v>
      </c>
    </row>
    <row r="230" spans="1:21" ht="15">
      <c r="A230" s="83">
        <v>665.11294783507492</v>
      </c>
      <c r="B230" s="83">
        <v>676.9036091170625</v>
      </c>
      <c r="C230" s="83">
        <v>664.94344149951996</v>
      </c>
      <c r="D230" s="83">
        <v>672.35685093982261</v>
      </c>
      <c r="E230" s="84">
        <v>16356103.013668267</v>
      </c>
      <c r="F230" s="85" t="s">
        <v>325</v>
      </c>
      <c r="G230" s="25">
        <f t="shared" si="0"/>
        <v>-1.0773896472716982E-2</v>
      </c>
      <c r="I230" s="83">
        <v>200.56224657386997</v>
      </c>
      <c r="J230" s="83">
        <v>211.74324801645253</v>
      </c>
      <c r="K230" s="83">
        <v>197.49292470441</v>
      </c>
      <c r="L230" s="83">
        <v>197.81181528824999</v>
      </c>
      <c r="M230" s="84">
        <v>37540726.398338921</v>
      </c>
      <c r="N230" s="85" t="s">
        <v>325</v>
      </c>
      <c r="O230" s="25">
        <f t="shared" si="1"/>
        <v>1.3904282115869027E-2</v>
      </c>
      <c r="Q230" s="86">
        <v>-4.6000000000000034E-2</v>
      </c>
      <c r="R230">
        <v>1</v>
      </c>
      <c r="T230" s="82">
        <f t="shared" si="2"/>
        <v>-5.1000000000000038E-2</v>
      </c>
      <c r="U230" s="1">
        <f t="shared" si="3"/>
        <v>1.316465318104691</v>
      </c>
    </row>
    <row r="231" spans="1:21" ht="15">
      <c r="A231" s="83">
        <v>675.73202120955</v>
      </c>
      <c r="B231" s="83">
        <v>684.76571179854</v>
      </c>
      <c r="C231" s="83">
        <v>662.39097521488918</v>
      </c>
      <c r="D231" s="83">
        <v>681.72456871946508</v>
      </c>
      <c r="E231" s="84">
        <v>13824281.688200761</v>
      </c>
      <c r="F231" s="85" t="s">
        <v>326</v>
      </c>
      <c r="G231" s="25">
        <f t="shared" si="0"/>
        <v>-8.7902765792515769E-3</v>
      </c>
      <c r="I231" s="83">
        <v>205.09647206284498</v>
      </c>
      <c r="J231" s="83">
        <v>219.73554292724998</v>
      </c>
      <c r="K231" s="83">
        <v>197.10437645866244</v>
      </c>
      <c r="L231" s="83">
        <v>213.1634073009225</v>
      </c>
      <c r="M231" s="84">
        <v>25625531.781986028</v>
      </c>
      <c r="N231" s="85" t="s">
        <v>326</v>
      </c>
      <c r="O231" s="25">
        <f t="shared" si="1"/>
        <v>-3.7843902667071938E-2</v>
      </c>
      <c r="Q231" s="86">
        <v>-4.5000000000000033E-2</v>
      </c>
      <c r="R231">
        <v>0</v>
      </c>
      <c r="T231" s="82">
        <f t="shared" si="2"/>
        <v>-5.0000000000000037E-2</v>
      </c>
      <c r="U231" s="1">
        <f t="shared" si="3"/>
        <v>1.4606279454081703</v>
      </c>
    </row>
    <row r="232" spans="1:21" ht="15">
      <c r="A232" s="83">
        <v>677.70627147071991</v>
      </c>
      <c r="B232" s="83">
        <v>683.29998054403495</v>
      </c>
      <c r="C232" s="83">
        <v>676.72911730105</v>
      </c>
      <c r="D232" s="83">
        <v>681.48526565750501</v>
      </c>
      <c r="E232" s="84">
        <v>8770213.3491915297</v>
      </c>
      <c r="F232" s="85" t="s">
        <v>327</v>
      </c>
      <c r="G232" s="25">
        <f t="shared" si="0"/>
        <v>-5.5452324169313894E-3</v>
      </c>
      <c r="I232" s="83">
        <v>211.08563584058999</v>
      </c>
      <c r="J232" s="83">
        <v>218.30053529996999</v>
      </c>
      <c r="K232" s="83">
        <v>208.60526501815949</v>
      </c>
      <c r="L232" s="83">
        <v>216.99507697237499</v>
      </c>
      <c r="M232" s="84">
        <v>17168457.738930773</v>
      </c>
      <c r="N232" s="85" t="s">
        <v>327</v>
      </c>
      <c r="O232" s="25">
        <f t="shared" si="1"/>
        <v>-2.7233065442020643E-2</v>
      </c>
      <c r="Q232" s="86">
        <v>-4.4000000000000032E-2</v>
      </c>
      <c r="R232">
        <v>3</v>
      </c>
      <c r="T232" s="82">
        <f t="shared" si="2"/>
        <v>-4.9000000000000037E-2</v>
      </c>
      <c r="U232" s="1">
        <f t="shared" si="3"/>
        <v>1.6171862421644316</v>
      </c>
    </row>
    <row r="233" spans="1:21" ht="15">
      <c r="A233" s="83">
        <v>676.03115003699997</v>
      </c>
      <c r="B233" s="83">
        <v>690.16997261447</v>
      </c>
      <c r="C233" s="83">
        <v>674.28623187687504</v>
      </c>
      <c r="D233" s="83">
        <v>689.70133745146506</v>
      </c>
      <c r="E233" s="84">
        <v>10720357.273910748</v>
      </c>
      <c r="F233" s="85" t="s">
        <v>328</v>
      </c>
      <c r="G233" s="25">
        <f t="shared" si="0"/>
        <v>-1.9820444984169794E-2</v>
      </c>
      <c r="I233" s="83">
        <v>212.93918735916</v>
      </c>
      <c r="J233" s="83">
        <v>230.63761476227998</v>
      </c>
      <c r="K233" s="83">
        <v>208.72395210733242</v>
      </c>
      <c r="L233" s="83">
        <v>228.694375267005</v>
      </c>
      <c r="M233" s="84">
        <v>28762078.144050602</v>
      </c>
      <c r="N233" s="85" t="s">
        <v>328</v>
      </c>
      <c r="O233" s="25">
        <f t="shared" si="1"/>
        <v>-6.8891890714192328E-2</v>
      </c>
      <c r="Q233" s="86">
        <v>-4.3000000000000031E-2</v>
      </c>
      <c r="R233">
        <v>1</v>
      </c>
      <c r="T233" s="82">
        <f t="shared" si="2"/>
        <v>-4.8000000000000036E-2</v>
      </c>
      <c r="U233" s="1">
        <f t="shared" si="3"/>
        <v>1.7867785070895381</v>
      </c>
    </row>
    <row r="234" spans="1:21" ht="15">
      <c r="A234" s="83">
        <v>694.03870544948995</v>
      </c>
      <c r="B234" s="83">
        <v>695.17539499380007</v>
      </c>
      <c r="C234" s="83">
        <v>688.89368961734999</v>
      </c>
      <c r="D234" s="83">
        <v>689.48197631133496</v>
      </c>
      <c r="E234" s="84">
        <v>6594037.9644944174</v>
      </c>
      <c r="F234" s="85" t="s">
        <v>329</v>
      </c>
      <c r="G234" s="25">
        <f t="shared" si="0"/>
        <v>6.608916976384327E-3</v>
      </c>
      <c r="I234" s="83">
        <v>235.52062682733001</v>
      </c>
      <c r="J234" s="83">
        <v>238.12157815177497</v>
      </c>
      <c r="K234" s="83">
        <v>223.22340868799998</v>
      </c>
      <c r="L234" s="83">
        <v>226.2130079115</v>
      </c>
      <c r="M234" s="84">
        <v>19317613.812525801</v>
      </c>
      <c r="N234" s="85" t="s">
        <v>329</v>
      </c>
      <c r="O234" s="25">
        <f t="shared" si="1"/>
        <v>4.11453744493393E-2</v>
      </c>
      <c r="Q234" s="86">
        <v>-4.200000000000003E-2</v>
      </c>
      <c r="R234">
        <v>1</v>
      </c>
      <c r="T234" s="82">
        <f t="shared" si="2"/>
        <v>-4.7000000000000035E-2</v>
      </c>
      <c r="U234" s="1">
        <f t="shared" si="3"/>
        <v>1.9700246065562619</v>
      </c>
    </row>
    <row r="235" spans="1:21" ht="15">
      <c r="A235" s="83">
        <v>691.34654600244005</v>
      </c>
      <c r="B235" s="83">
        <v>695.6239885253658</v>
      </c>
      <c r="C235" s="83">
        <v>690.83802699577507</v>
      </c>
      <c r="D235" s="83">
        <v>695.05574346282003</v>
      </c>
      <c r="E235" s="84">
        <v>5899709.4767972017</v>
      </c>
      <c r="F235" s="85" t="s">
        <v>330</v>
      </c>
      <c r="G235" s="25">
        <f t="shared" si="0"/>
        <v>-5.33654673782058E-3</v>
      </c>
      <c r="I235" s="83">
        <v>229.531463049585</v>
      </c>
      <c r="J235" s="83">
        <v>239.67616974799498</v>
      </c>
      <c r="K235" s="83">
        <v>226.81591042157248</v>
      </c>
      <c r="L235" s="83">
        <v>239.64627375575998</v>
      </c>
      <c r="M235" s="84">
        <v>22876251.825096853</v>
      </c>
      <c r="N235" s="85" t="s">
        <v>330</v>
      </c>
      <c r="O235" s="25">
        <f t="shared" si="1"/>
        <v>-4.2207252162341891E-2</v>
      </c>
      <c r="Q235" s="86">
        <v>-4.1000000000000029E-2</v>
      </c>
      <c r="R235">
        <v>1</v>
      </c>
      <c r="T235" s="82">
        <f t="shared" si="2"/>
        <v>-4.6000000000000034E-2</v>
      </c>
      <c r="U235" s="1">
        <f t="shared" si="3"/>
        <v>2.1675185900517446</v>
      </c>
    </row>
    <row r="236" spans="1:21" ht="15">
      <c r="A236" s="83">
        <v>696.23231685078997</v>
      </c>
      <c r="B236" s="83">
        <v>697.11973237222503</v>
      </c>
      <c r="C236" s="83">
        <v>693.75951854386994</v>
      </c>
      <c r="D236" s="83">
        <v>694.03870544948995</v>
      </c>
      <c r="E236" s="84">
        <v>4712079.9863249687</v>
      </c>
      <c r="F236" s="85" t="s">
        <v>331</v>
      </c>
      <c r="G236" s="25">
        <f t="shared" si="0"/>
        <v>3.1606470706548873E-3</v>
      </c>
      <c r="I236" s="83">
        <v>243.73205936120999</v>
      </c>
      <c r="J236" s="83">
        <v>248.13673555049999</v>
      </c>
      <c r="K236" s="83">
        <v>238.01195951358</v>
      </c>
      <c r="L236" s="83">
        <v>241.95823048860001</v>
      </c>
      <c r="M236" s="84">
        <v>29906752.93396898</v>
      </c>
      <c r="N236" s="85" t="s">
        <v>331</v>
      </c>
      <c r="O236" s="25">
        <f t="shared" si="1"/>
        <v>7.3311367380559656E-3</v>
      </c>
      <c r="Q236" s="86">
        <v>-4.0000000000000029E-2</v>
      </c>
      <c r="R236">
        <v>6</v>
      </c>
      <c r="T236" s="82">
        <f t="shared" si="2"/>
        <v>-4.5000000000000033E-2</v>
      </c>
      <c r="U236" s="1">
        <f t="shared" si="3"/>
        <v>2.3798208241078092</v>
      </c>
    </row>
    <row r="237" spans="1:21" ht="15">
      <c r="A237" s="83">
        <v>695.27510460294991</v>
      </c>
      <c r="B237" s="83">
        <v>697.02999372398995</v>
      </c>
      <c r="C237" s="83">
        <v>691.92486173551004</v>
      </c>
      <c r="D237" s="83">
        <v>692.52311939040999</v>
      </c>
      <c r="E237" s="84">
        <v>9977807.5136502534</v>
      </c>
      <c r="F237" s="85" t="s">
        <v>332</v>
      </c>
      <c r="G237" s="25">
        <f t="shared" si="0"/>
        <v>3.9738531977999703E-3</v>
      </c>
      <c r="I237" s="83">
        <v>247.289682437175</v>
      </c>
      <c r="J237" s="83">
        <v>249.382401893625</v>
      </c>
      <c r="K237" s="83">
        <v>223.82132853269999</v>
      </c>
      <c r="L237" s="83">
        <v>229.70087367225</v>
      </c>
      <c r="M237" s="84">
        <v>47262574.034616247</v>
      </c>
      <c r="N237" s="85" t="s">
        <v>332</v>
      </c>
      <c r="O237" s="25">
        <f t="shared" si="1"/>
        <v>7.6572668112798281E-2</v>
      </c>
      <c r="Q237" s="86">
        <v>-3.9000000000000028E-2</v>
      </c>
      <c r="R237">
        <v>3</v>
      </c>
      <c r="T237" s="82">
        <f t="shared" si="2"/>
        <v>-4.4000000000000032E-2</v>
      </c>
      <c r="U237" s="1">
        <f t="shared" si="3"/>
        <v>2.6074496989870206</v>
      </c>
    </row>
    <row r="238" spans="1:21" ht="15">
      <c r="A238" s="83">
        <v>693.47036067733507</v>
      </c>
      <c r="B238" s="83">
        <v>694.97597577550005</v>
      </c>
      <c r="C238" s="83">
        <v>691.875006930935</v>
      </c>
      <c r="D238" s="83">
        <v>692.98178359250005</v>
      </c>
      <c r="E238" s="84">
        <v>5053895.6306800442</v>
      </c>
      <c r="F238" s="85" t="s">
        <v>333</v>
      </c>
      <c r="G238" s="25">
        <f t="shared" si="0"/>
        <v>7.0503597122306694E-4</v>
      </c>
      <c r="I238" s="83">
        <v>224.99723756060999</v>
      </c>
      <c r="J238" s="83">
        <v>225.50546942860498</v>
      </c>
      <c r="K238" s="83">
        <v>207.28884482674499</v>
      </c>
      <c r="L238" s="83">
        <v>208.27541257049998</v>
      </c>
      <c r="M238" s="84">
        <v>40558060.288444549</v>
      </c>
      <c r="N238" s="85" t="s">
        <v>333</v>
      </c>
      <c r="O238" s="25">
        <f t="shared" si="1"/>
        <v>8.0287081339712962E-2</v>
      </c>
      <c r="Q238" s="86">
        <v>-3.8000000000000027E-2</v>
      </c>
      <c r="R238">
        <v>4</v>
      </c>
      <c r="T238" s="82">
        <f t="shared" si="2"/>
        <v>-4.3000000000000031E-2</v>
      </c>
      <c r="U238" s="1">
        <f t="shared" si="3"/>
        <v>2.8508729744646715</v>
      </c>
    </row>
    <row r="239" spans="1:21" ht="15">
      <c r="A239" s="83">
        <v>691.89494885276497</v>
      </c>
      <c r="B239" s="83">
        <v>692.27384536753493</v>
      </c>
      <c r="C239" s="83">
        <v>686.84964262977508</v>
      </c>
      <c r="D239" s="83">
        <v>687.75700007303999</v>
      </c>
      <c r="E239" s="84">
        <v>8469446.3909650184</v>
      </c>
      <c r="F239" s="85" t="s">
        <v>334</v>
      </c>
      <c r="G239" s="25">
        <f t="shared" si="0"/>
        <v>6.016585479007075E-3</v>
      </c>
      <c r="I239" s="83">
        <v>202.99378727564996</v>
      </c>
      <c r="J239" s="83">
        <v>204.28928027249998</v>
      </c>
      <c r="K239" s="83">
        <v>192.70677565420138</v>
      </c>
      <c r="L239" s="83">
        <v>193.36727777597997</v>
      </c>
      <c r="M239" s="84">
        <v>24406154.866463494</v>
      </c>
      <c r="N239" s="85" t="s">
        <v>334</v>
      </c>
      <c r="O239" s="25">
        <f t="shared" si="1"/>
        <v>4.9783549783549708E-2</v>
      </c>
      <c r="Q239" s="86">
        <v>-3.7000000000000026E-2</v>
      </c>
      <c r="R239">
        <v>2</v>
      </c>
      <c r="T239" s="82">
        <f t="shared" si="2"/>
        <v>-4.200000000000003E-2</v>
      </c>
      <c r="U239" s="1">
        <f t="shared" si="3"/>
        <v>3.1104988431481182</v>
      </c>
    </row>
    <row r="240" spans="1:21" ht="15">
      <c r="A240" s="83">
        <v>687.95641929134001</v>
      </c>
      <c r="B240" s="83">
        <v>688.77403808636996</v>
      </c>
      <c r="C240" s="83">
        <v>685.92234326467997</v>
      </c>
      <c r="D240" s="83">
        <v>688.35525772794006</v>
      </c>
      <c r="E240" s="84">
        <v>7356729.2231232254</v>
      </c>
      <c r="F240" s="85" t="s">
        <v>335</v>
      </c>
      <c r="G240" s="25">
        <f t="shared" si="0"/>
        <v>-5.7940784518228927E-4</v>
      </c>
      <c r="I240" s="83">
        <v>190.29795590652</v>
      </c>
      <c r="J240" s="83">
        <v>191.47386493442997</v>
      </c>
      <c r="K240" s="83">
        <v>187.26460888104944</v>
      </c>
      <c r="L240" s="83">
        <v>190.81615310525999</v>
      </c>
      <c r="M240" s="84">
        <v>11971497.149239877</v>
      </c>
      <c r="N240" s="85" t="s">
        <v>335</v>
      </c>
      <c r="O240" s="25">
        <f t="shared" si="1"/>
        <v>-2.7156883225400996E-3</v>
      </c>
      <c r="Q240" s="86">
        <v>-3.6000000000000025E-2</v>
      </c>
      <c r="R240">
        <v>0</v>
      </c>
      <c r="T240" s="82">
        <f t="shared" si="2"/>
        <v>-4.1000000000000029E-2</v>
      </c>
      <c r="U240" s="1">
        <f t="shared" si="3"/>
        <v>3.386666801685708</v>
      </c>
    </row>
    <row r="241" spans="1:21" ht="15">
      <c r="A241" s="83">
        <v>688.00627409591505</v>
      </c>
      <c r="B241" s="83">
        <v>689.50241678121074</v>
      </c>
      <c r="C241" s="83">
        <v>686.08187863932005</v>
      </c>
      <c r="D241" s="83">
        <v>687.64731950297494</v>
      </c>
      <c r="E241" s="84">
        <v>6622042.8364802189</v>
      </c>
      <c r="F241" s="85" t="s">
        <v>336</v>
      </c>
      <c r="G241" s="25">
        <f t="shared" si="0"/>
        <v>5.2200391502954524E-4</v>
      </c>
      <c r="I241" s="83">
        <v>192.39067536297</v>
      </c>
      <c r="J241" s="83">
        <v>194.52325614239999</v>
      </c>
      <c r="K241" s="83">
        <v>189.89934267671998</v>
      </c>
      <c r="L241" s="83">
        <v>192.62984330085001</v>
      </c>
      <c r="M241" s="84">
        <v>12838101.36178275</v>
      </c>
      <c r="N241" s="85" t="s">
        <v>336</v>
      </c>
      <c r="O241" s="25">
        <f t="shared" si="1"/>
        <v>-1.2415933781687594E-3</v>
      </c>
      <c r="Q241" s="86">
        <v>-3.5000000000000024E-2</v>
      </c>
      <c r="R241">
        <v>0</v>
      </c>
      <c r="T241" s="82">
        <f t="shared" si="2"/>
        <v>-4.0000000000000029E-2</v>
      </c>
      <c r="U241" s="1">
        <f t="shared" si="3"/>
        <v>3.6796384316854063</v>
      </c>
    </row>
    <row r="242" spans="1:21" ht="15">
      <c r="A242" s="83">
        <v>683.55922552782499</v>
      </c>
      <c r="B242" s="83">
        <v>686.58042668507005</v>
      </c>
      <c r="C242" s="83">
        <v>682.49223300031088</v>
      </c>
      <c r="D242" s="83">
        <v>684.10762837815003</v>
      </c>
      <c r="E242" s="84">
        <v>4276144.8892912446</v>
      </c>
      <c r="F242" s="85" t="s">
        <v>337</v>
      </c>
      <c r="G242" s="25">
        <f t="shared" si="0"/>
        <v>-8.0163241509989547E-4</v>
      </c>
      <c r="I242" s="83">
        <v>191.41407294996</v>
      </c>
      <c r="J242" s="83">
        <v>196.31701567649998</v>
      </c>
      <c r="K242" s="83">
        <v>190.43747053694997</v>
      </c>
      <c r="L242" s="83">
        <v>191.00549438941499</v>
      </c>
      <c r="M242" s="84">
        <v>10790989.629516808</v>
      </c>
      <c r="N242" s="85" t="s">
        <v>337</v>
      </c>
      <c r="O242" s="25">
        <f t="shared" si="1"/>
        <v>2.1390932331613044E-3</v>
      </c>
      <c r="Q242" s="86">
        <v>-3.4000000000000023E-2</v>
      </c>
      <c r="R242">
        <v>4</v>
      </c>
      <c r="T242" s="82">
        <f t="shared" si="2"/>
        <v>-3.9000000000000028E-2</v>
      </c>
      <c r="U242" s="1">
        <f t="shared" si="3"/>
        <v>3.9895882029208161</v>
      </c>
    </row>
    <row r="243" spans="1:21" ht="15">
      <c r="A243" s="83">
        <v>680.85709511985999</v>
      </c>
      <c r="B243" s="83">
        <v>682.83633086148757</v>
      </c>
      <c r="C243" s="83">
        <v>675.65225352223001</v>
      </c>
      <c r="D243" s="83">
        <v>677.10801381582007</v>
      </c>
      <c r="E243" s="84">
        <v>7310162.5559826996</v>
      </c>
      <c r="F243" s="85" t="s">
        <v>338</v>
      </c>
      <c r="G243" s="25">
        <f t="shared" si="0"/>
        <v>5.5369028685867683E-3</v>
      </c>
      <c r="I243" s="83">
        <v>189.11208154786499</v>
      </c>
      <c r="J243" s="83">
        <v>192.15150742508999</v>
      </c>
      <c r="K243" s="83">
        <v>186.55099154639998</v>
      </c>
      <c r="L243" s="83">
        <v>188.35471641124499</v>
      </c>
      <c r="M243" s="84">
        <v>11990006.816577567</v>
      </c>
      <c r="N243" s="85" t="s">
        <v>338</v>
      </c>
      <c r="O243" s="25">
        <f t="shared" si="1"/>
        <v>4.0209512724194152E-3</v>
      </c>
      <c r="Q243" s="86">
        <v>-3.3000000000000022E-2</v>
      </c>
      <c r="R243">
        <v>4</v>
      </c>
      <c r="T243" s="82">
        <f t="shared" si="2"/>
        <v>-3.8000000000000027E-2</v>
      </c>
      <c r="U243" s="1">
        <f t="shared" si="3"/>
        <v>4.3165944211726259</v>
      </c>
    </row>
    <row r="244" spans="1:21" ht="15">
      <c r="A244" s="83">
        <v>679.59078308365508</v>
      </c>
      <c r="B244" s="83">
        <v>680.01953440299997</v>
      </c>
      <c r="C244" s="83">
        <v>672.78071648831917</v>
      </c>
      <c r="D244" s="83">
        <v>674.35602860328004</v>
      </c>
      <c r="E244" s="84">
        <v>5453356.5187483234</v>
      </c>
      <c r="F244" s="85" t="s">
        <v>339</v>
      </c>
      <c r="G244" s="25">
        <f t="shared" si="0"/>
        <v>7.762597586941089E-3</v>
      </c>
      <c r="I244" s="83">
        <v>187.50766329791998</v>
      </c>
      <c r="J244" s="83">
        <v>187.56745528239</v>
      </c>
      <c r="K244" s="83">
        <v>178.18011372059999</v>
      </c>
      <c r="L244" s="83">
        <v>179.31616142553</v>
      </c>
      <c r="M244" s="84">
        <v>15670663.324180515</v>
      </c>
      <c r="N244" s="85" t="s">
        <v>339</v>
      </c>
      <c r="O244" s="25">
        <f t="shared" si="1"/>
        <v>4.5681893964654829E-2</v>
      </c>
      <c r="Q244" s="86">
        <v>-3.2000000000000021E-2</v>
      </c>
      <c r="R244">
        <v>6</v>
      </c>
      <c r="T244" s="82">
        <f t="shared" si="2"/>
        <v>-3.7000000000000026E-2</v>
      </c>
      <c r="U244" s="1">
        <f t="shared" si="3"/>
        <v>4.660630451556675</v>
      </c>
    </row>
    <row r="245" spans="1:21" ht="15">
      <c r="A245" s="83">
        <v>672.63105236498507</v>
      </c>
      <c r="B245" s="83">
        <v>676.18071445072496</v>
      </c>
      <c r="C245" s="83">
        <v>670.59697633832491</v>
      </c>
      <c r="D245" s="83">
        <v>673.59823557374</v>
      </c>
      <c r="E245" s="84">
        <v>5611397.2201845711</v>
      </c>
      <c r="F245" s="85" t="s">
        <v>340</v>
      </c>
      <c r="G245" s="25">
        <f t="shared" si="0"/>
        <v>-1.4358458168037824E-3</v>
      </c>
      <c r="I245" s="83">
        <v>180.83089169876999</v>
      </c>
      <c r="J245" s="83">
        <v>188.07050517839758</v>
      </c>
      <c r="K245" s="83">
        <v>180.30272916928499</v>
      </c>
      <c r="L245" s="83">
        <v>185.35515185699998</v>
      </c>
      <c r="M245" s="84">
        <v>16377340.922365945</v>
      </c>
      <c r="N245" s="85" t="s">
        <v>340</v>
      </c>
      <c r="O245" s="25">
        <f t="shared" si="1"/>
        <v>-2.4408602150537639E-2</v>
      </c>
      <c r="Q245" s="86">
        <v>-3.1000000000000021E-2</v>
      </c>
      <c r="R245">
        <v>4</v>
      </c>
      <c r="T245" s="82">
        <f t="shared" si="2"/>
        <v>-3.6000000000000025E-2</v>
      </c>
      <c r="U245" s="1">
        <f t="shared" si="3"/>
        <v>5.0215563551478999</v>
      </c>
    </row>
    <row r="246" spans="1:21" ht="15">
      <c r="A246" s="83">
        <v>676.938507480265</v>
      </c>
      <c r="B246" s="83">
        <v>679.63066692731502</v>
      </c>
      <c r="C246" s="83">
        <v>672.29203969387504</v>
      </c>
      <c r="D246" s="83">
        <v>678.20481951646991</v>
      </c>
      <c r="E246" s="84">
        <v>7569986.8603887716</v>
      </c>
      <c r="F246" s="85" t="s">
        <v>341</v>
      </c>
      <c r="G246" s="25">
        <f t="shared" si="0"/>
        <v>-1.8671528124907244E-3</v>
      </c>
      <c r="I246" s="83">
        <v>185.96303703244502</v>
      </c>
      <c r="J246" s="83">
        <v>190.09864929161998</v>
      </c>
      <c r="K246" s="83">
        <v>182.634616563615</v>
      </c>
      <c r="L246" s="83">
        <v>189.34128415499998</v>
      </c>
      <c r="M246" s="84">
        <v>19087113.441411424</v>
      </c>
      <c r="N246" s="85" t="s">
        <v>341</v>
      </c>
      <c r="O246" s="25">
        <f t="shared" si="1"/>
        <v>-1.784210526315777E-2</v>
      </c>
      <c r="Q246" s="86">
        <v>-3.000000000000002E-2</v>
      </c>
      <c r="R246">
        <v>6</v>
      </c>
      <c r="T246" s="82">
        <f t="shared" si="2"/>
        <v>-3.5000000000000024E-2</v>
      </c>
      <c r="U246" s="1">
        <f t="shared" si="3"/>
        <v>5.3991110818546204</v>
      </c>
    </row>
    <row r="247" spans="1:21" ht="15">
      <c r="A247" s="83">
        <v>677.46696840876007</v>
      </c>
      <c r="B247" s="83">
        <v>681.53512046207993</v>
      </c>
      <c r="C247" s="83">
        <v>676.47086941335158</v>
      </c>
      <c r="D247" s="83">
        <v>680.05941824666002</v>
      </c>
      <c r="E247" s="84">
        <v>6421958.6023720764</v>
      </c>
      <c r="F247" s="85" t="s">
        <v>342</v>
      </c>
      <c r="G247" s="25">
        <f t="shared" si="0"/>
        <v>-3.8120931323675222E-3</v>
      </c>
      <c r="I247" s="83">
        <v>192.28105672477497</v>
      </c>
      <c r="J247" s="83">
        <v>195.74899182403499</v>
      </c>
      <c r="K247" s="83">
        <v>188.24509777304999</v>
      </c>
      <c r="L247" s="83">
        <v>189.829585361505</v>
      </c>
      <c r="M247" s="84">
        <v>15506352.541839294</v>
      </c>
      <c r="N247" s="85" t="s">
        <v>342</v>
      </c>
      <c r="O247" s="25">
        <f t="shared" si="1"/>
        <v>1.291406373037951E-2</v>
      </c>
      <c r="Q247" s="86">
        <v>-2.9000000000000019E-2</v>
      </c>
      <c r="R247">
        <v>5</v>
      </c>
      <c r="T247" s="82">
        <f t="shared" si="2"/>
        <v>-3.4000000000000023E-2</v>
      </c>
      <c r="U247" s="1">
        <f t="shared" si="3"/>
        <v>5.7929053655789939</v>
      </c>
    </row>
    <row r="248" spans="1:21" ht="15">
      <c r="A248" s="83">
        <v>685.73289500729504</v>
      </c>
      <c r="B248" s="83">
        <v>687.09891665265002</v>
      </c>
      <c r="C248" s="83">
        <v>681.67471391488994</v>
      </c>
      <c r="D248" s="83">
        <v>681.75448160221003</v>
      </c>
      <c r="E248" s="84">
        <v>5353379.5342331855</v>
      </c>
      <c r="F248" s="85" t="s">
        <v>343</v>
      </c>
      <c r="G248" s="25">
        <f t="shared" si="0"/>
        <v>5.8355515254335799E-3</v>
      </c>
      <c r="I248" s="83">
        <v>194.931834702945</v>
      </c>
      <c r="J248" s="83">
        <v>200.01315684982049</v>
      </c>
      <c r="K248" s="83">
        <v>184.80705866602497</v>
      </c>
      <c r="L248" s="83">
        <v>187.52759395940998</v>
      </c>
      <c r="M248" s="84">
        <v>22324407.119213983</v>
      </c>
      <c r="N248" s="85" t="s">
        <v>343</v>
      </c>
      <c r="O248" s="25">
        <f t="shared" si="1"/>
        <v>3.9483473270273128E-2</v>
      </c>
      <c r="Q248" s="86">
        <v>-2.8000000000000018E-2</v>
      </c>
      <c r="R248">
        <v>1</v>
      </c>
      <c r="T248" s="82">
        <f t="shared" si="2"/>
        <v>-3.3000000000000022E-2</v>
      </c>
      <c r="U248" s="1">
        <f t="shared" si="3"/>
        <v>6.2024154684899981</v>
      </c>
    </row>
    <row r="249" spans="1:21" ht="15">
      <c r="A249" s="83">
        <v>680.42834380051499</v>
      </c>
      <c r="B249" s="83">
        <v>681.92398793776499</v>
      </c>
      <c r="C249" s="83">
        <v>674.2363770723</v>
      </c>
      <c r="D249" s="83">
        <v>676.92853651935002</v>
      </c>
      <c r="E249" s="84">
        <v>4896730.0244401768</v>
      </c>
      <c r="F249" s="85" t="s">
        <v>344</v>
      </c>
      <c r="G249" s="25">
        <f t="shared" si="0"/>
        <v>5.1701281484755057E-3</v>
      </c>
      <c r="I249" s="83">
        <v>189.10211621711997</v>
      </c>
      <c r="J249" s="83">
        <v>190.90584108196498</v>
      </c>
      <c r="K249" s="83">
        <v>184.41841076697</v>
      </c>
      <c r="L249" s="83">
        <v>188.374647072735</v>
      </c>
      <c r="M249" s="84">
        <v>15565723.059300227</v>
      </c>
      <c r="N249" s="85" t="s">
        <v>344</v>
      </c>
      <c r="O249" s="25">
        <f t="shared" si="1"/>
        <v>3.8618208749932048E-3</v>
      </c>
      <c r="Q249" s="86">
        <v>-2.7000000000000017E-2</v>
      </c>
      <c r="R249">
        <v>3</v>
      </c>
      <c r="T249" s="82">
        <f t="shared" si="2"/>
        <v>-3.2000000000000021E-2</v>
      </c>
      <c r="U249" s="1">
        <f t="shared" si="3"/>
        <v>6.6269779195402183</v>
      </c>
    </row>
    <row r="250" spans="1:21" ht="15">
      <c r="A250" s="83">
        <v>676.69920441830493</v>
      </c>
      <c r="B250" s="83">
        <v>677.28749111229001</v>
      </c>
      <c r="C250" s="83">
        <v>670.84625036119996</v>
      </c>
      <c r="D250" s="83">
        <v>675.50268910850502</v>
      </c>
      <c r="E250" s="84">
        <v>6037564.596651515</v>
      </c>
      <c r="F250" s="85" t="s">
        <v>345</v>
      </c>
      <c r="G250" s="25">
        <f t="shared" si="0"/>
        <v>1.771296145954615E-3</v>
      </c>
      <c r="I250" s="83">
        <v>186.18227430883499</v>
      </c>
      <c r="J250" s="83">
        <v>192.25116073253997</v>
      </c>
      <c r="K250" s="83">
        <v>180.24303683812244</v>
      </c>
      <c r="L250" s="83">
        <v>192.25116073253997</v>
      </c>
      <c r="M250" s="84">
        <v>21430183.857585553</v>
      </c>
      <c r="N250" s="85" t="s">
        <v>345</v>
      </c>
      <c r="O250" s="25">
        <f t="shared" si="1"/>
        <v>-3.1567489114658787E-2</v>
      </c>
      <c r="Q250" s="86">
        <v>-2.6000000000000016E-2</v>
      </c>
      <c r="R250">
        <v>5</v>
      </c>
      <c r="T250" s="82">
        <f t="shared" si="2"/>
        <v>-3.1000000000000021E-2</v>
      </c>
      <c r="U250" s="1">
        <f t="shared" si="3"/>
        <v>7.0657853880202479</v>
      </c>
    </row>
    <row r="251" spans="1:21" ht="15">
      <c r="A251" s="83">
        <v>677.54673609607994</v>
      </c>
      <c r="B251" s="83">
        <v>679.08226407698999</v>
      </c>
      <c r="C251" s="83">
        <v>675.11382163282008</v>
      </c>
      <c r="D251" s="83">
        <v>675.11382163282008</v>
      </c>
      <c r="E251" s="84">
        <v>5676979.9163333699</v>
      </c>
      <c r="F251" s="85" t="s">
        <v>346</v>
      </c>
      <c r="G251" s="25">
        <f t="shared" si="0"/>
        <v>3.6037100490338148E-3</v>
      </c>
      <c r="I251" s="83">
        <v>193.16797116108</v>
      </c>
      <c r="J251" s="83">
        <v>195.0037843909239</v>
      </c>
      <c r="K251" s="83">
        <v>189.9392039997</v>
      </c>
      <c r="L251" s="83">
        <v>191.48383026517499</v>
      </c>
      <c r="M251" s="84">
        <v>16606772.401611846</v>
      </c>
      <c r="N251" s="85" t="s">
        <v>346</v>
      </c>
      <c r="O251" s="25">
        <f t="shared" si="1"/>
        <v>8.7952120739007711E-3</v>
      </c>
      <c r="Q251" s="86">
        <v>-2.5000000000000015E-2</v>
      </c>
      <c r="R251">
        <v>4</v>
      </c>
      <c r="T251" s="82">
        <f t="shared" si="2"/>
        <v>-3.000000000000002E-2</v>
      </c>
      <c r="U251" s="1">
        <f t="shared" si="3"/>
        <v>7.5178838258543061</v>
      </c>
    </row>
    <row r="252" spans="1:21" ht="15">
      <c r="A252" s="83">
        <v>676.07103388065991</v>
      </c>
      <c r="B252" s="83">
        <v>676.55961096549493</v>
      </c>
      <c r="C252" s="83">
        <v>673.40878731635496</v>
      </c>
      <c r="D252" s="83">
        <v>673.73782902655</v>
      </c>
      <c r="E252" s="84">
        <v>4322344.0995706683</v>
      </c>
      <c r="F252" s="85" t="s">
        <v>347</v>
      </c>
      <c r="G252" s="25">
        <f t="shared" ref="G252:G315" si="4">A252/D252-1</f>
        <v>3.4630753292879124E-3</v>
      </c>
      <c r="I252" s="83">
        <v>195.27065594827499</v>
      </c>
      <c r="J252" s="83">
        <v>197.31354875099998</v>
      </c>
      <c r="K252" s="83">
        <v>189.550556100645</v>
      </c>
      <c r="L252" s="83">
        <v>191.91233948721001</v>
      </c>
      <c r="M252" s="84">
        <v>20662941.969318449</v>
      </c>
      <c r="N252" s="85" t="s">
        <v>347</v>
      </c>
      <c r="O252" s="25">
        <f t="shared" ref="O252:O315" si="5">I252/L252-1</f>
        <v>1.7499221102918128E-2</v>
      </c>
      <c r="Q252" s="86">
        <v>-2.4000000000000014E-2</v>
      </c>
      <c r="R252">
        <v>5</v>
      </c>
      <c r="T252" s="82">
        <f t="shared" si="2"/>
        <v>-2.9000000000000019E-2</v>
      </c>
      <c r="U252" s="1">
        <f t="shared" si="3"/>
        <v>7.9821710024377159</v>
      </c>
    </row>
    <row r="253" spans="1:21" ht="15">
      <c r="A253" s="83">
        <v>670.58700537740992</v>
      </c>
      <c r="B253" s="83">
        <v>674.79485059314914</v>
      </c>
      <c r="C253" s="83">
        <v>668.97170970918</v>
      </c>
      <c r="D253" s="83">
        <v>673.85748055753004</v>
      </c>
      <c r="E253" s="84">
        <v>6066984.8096581372</v>
      </c>
      <c r="F253" s="85" t="s">
        <v>348</v>
      </c>
      <c r="G253" s="25">
        <f t="shared" si="4"/>
        <v>-4.8533633215946947E-3</v>
      </c>
      <c r="I253" s="83">
        <v>193.91537096695498</v>
      </c>
      <c r="J253" s="83">
        <v>199.45609486117499</v>
      </c>
      <c r="K253" s="83">
        <v>190.13851061459999</v>
      </c>
      <c r="L253" s="83">
        <v>197.92143392644499</v>
      </c>
      <c r="M253" s="84">
        <v>30462408.267614406</v>
      </c>
      <c r="N253" s="85" t="s">
        <v>348</v>
      </c>
      <c r="O253" s="25">
        <f t="shared" si="5"/>
        <v>-2.0240672675091886E-2</v>
      </c>
      <c r="Q253" s="86">
        <v>-2.3000000000000013E-2</v>
      </c>
      <c r="R253">
        <v>6</v>
      </c>
      <c r="T253" s="82">
        <f t="shared" si="2"/>
        <v>-2.8000000000000018E-2</v>
      </c>
      <c r="U253" s="1">
        <f t="shared" si="3"/>
        <v>8.4573965430987865</v>
      </c>
    </row>
    <row r="254" spans="1:21" ht="15">
      <c r="A254" s="83">
        <v>672.70084909138995</v>
      </c>
      <c r="B254" s="83">
        <v>673.37887443361001</v>
      </c>
      <c r="C254" s="83">
        <v>667.20684962722498</v>
      </c>
      <c r="D254" s="83">
        <v>667.50597845467507</v>
      </c>
      <c r="E254" s="84">
        <v>6416177.8384626228</v>
      </c>
      <c r="F254" s="85" t="s">
        <v>349</v>
      </c>
      <c r="G254" s="25">
        <f t="shared" si="4"/>
        <v>7.7825080289788406E-3</v>
      </c>
      <c r="I254" s="83">
        <v>193.35731244523498</v>
      </c>
      <c r="J254" s="83">
        <v>193.61641104460497</v>
      </c>
      <c r="K254" s="83">
        <v>182.03669671891498</v>
      </c>
      <c r="L254" s="83">
        <v>185.55445847189998</v>
      </c>
      <c r="M254" s="84">
        <v>27383138.86710842</v>
      </c>
      <c r="N254" s="85" t="s">
        <v>349</v>
      </c>
      <c r="O254" s="25">
        <f t="shared" si="5"/>
        <v>4.205155746509126E-2</v>
      </c>
      <c r="Q254" s="86">
        <v>-2.2000000000000013E-2</v>
      </c>
      <c r="R254">
        <v>4</v>
      </c>
      <c r="T254" s="82">
        <f t="shared" si="2"/>
        <v>-2.7000000000000017E-2</v>
      </c>
      <c r="U254" s="1">
        <f t="shared" si="3"/>
        <v>8.9421635667919013</v>
      </c>
    </row>
    <row r="255" spans="1:21" ht="15">
      <c r="A255" s="83">
        <v>663.36802967494998</v>
      </c>
      <c r="B255" s="83">
        <v>664.61439978932492</v>
      </c>
      <c r="C255" s="83">
        <v>661.40375037469505</v>
      </c>
      <c r="D255" s="83">
        <v>661.65302439756999</v>
      </c>
      <c r="E255" s="84">
        <v>4962020.0405729897</v>
      </c>
      <c r="F255" s="85" t="s">
        <v>350</v>
      </c>
      <c r="G255" s="25">
        <f t="shared" si="4"/>
        <v>2.5920009644655462E-3</v>
      </c>
      <c r="I255" s="83">
        <v>184.70740535857499</v>
      </c>
      <c r="J255" s="83">
        <v>185.87334905573999</v>
      </c>
      <c r="K255" s="83">
        <v>178.37942033549999</v>
      </c>
      <c r="L255" s="83">
        <v>181.4935861933125</v>
      </c>
      <c r="M255" s="84">
        <v>23172362.842032295</v>
      </c>
      <c r="N255" s="85" t="s">
        <v>350</v>
      </c>
      <c r="O255" s="25">
        <f t="shared" si="5"/>
        <v>1.7707618393960178E-2</v>
      </c>
      <c r="Q255" s="86">
        <v>-2.1000000000000012E-2</v>
      </c>
      <c r="R255">
        <v>9</v>
      </c>
      <c r="T255" s="82">
        <f t="shared" si="2"/>
        <v>-2.6000000000000016E-2</v>
      </c>
      <c r="U255" s="1">
        <f t="shared" si="3"/>
        <v>9.4349320005158273</v>
      </c>
    </row>
    <row r="256" spans="1:21" ht="15">
      <c r="A256" s="83">
        <v>658.20307192098005</v>
      </c>
      <c r="B256" s="83">
        <v>661.92224034227502</v>
      </c>
      <c r="C256" s="83">
        <v>655.48099959118497</v>
      </c>
      <c r="D256" s="83">
        <v>660.06764161208503</v>
      </c>
      <c r="E256" s="84">
        <v>5944718.78260291</v>
      </c>
      <c r="F256" s="85" t="s">
        <v>351</v>
      </c>
      <c r="G256" s="25">
        <f t="shared" si="4"/>
        <v>-2.8248160848350912E-3</v>
      </c>
      <c r="I256" s="83">
        <v>179.66494800160498</v>
      </c>
      <c r="J256" s="83">
        <v>182.86381917074999</v>
      </c>
      <c r="K256" s="83">
        <v>173.65585356236997</v>
      </c>
      <c r="L256" s="83">
        <v>175.40975177349</v>
      </c>
      <c r="M256" s="84">
        <v>33449764.731316</v>
      </c>
      <c r="N256" s="85" t="s">
        <v>351</v>
      </c>
      <c r="O256" s="25">
        <f t="shared" si="5"/>
        <v>2.4258606976479857E-2</v>
      </c>
      <c r="Q256" s="86">
        <v>-2.0000000000000011E-2</v>
      </c>
      <c r="R256">
        <v>8</v>
      </c>
      <c r="T256" s="82">
        <f t="shared" si="2"/>
        <v>-2.5000000000000015E-2</v>
      </c>
      <c r="U256" s="1">
        <f t="shared" si="3"/>
        <v>9.9340236273876918</v>
      </c>
    </row>
    <row r="257" spans="1:21" ht="15">
      <c r="A257" s="83">
        <v>660.59610254057998</v>
      </c>
      <c r="B257" s="83">
        <v>664.47979181697247</v>
      </c>
      <c r="C257" s="83">
        <v>660.45650908776997</v>
      </c>
      <c r="D257" s="83">
        <v>661.16444731273498</v>
      </c>
      <c r="E257" s="84">
        <v>4948602.4611500539</v>
      </c>
      <c r="F257" s="85" t="s">
        <v>352</v>
      </c>
      <c r="G257" s="25">
        <f t="shared" si="4"/>
        <v>-8.5961181740035197E-4</v>
      </c>
      <c r="I257" s="83">
        <v>171.23427819133499</v>
      </c>
      <c r="J257" s="83">
        <v>173.69571488535001</v>
      </c>
      <c r="K257" s="83">
        <v>165.57397032817499</v>
      </c>
      <c r="L257" s="83">
        <v>165.84303425828998</v>
      </c>
      <c r="M257" s="84">
        <v>26293023.539681826</v>
      </c>
      <c r="N257" s="85" t="s">
        <v>352</v>
      </c>
      <c r="O257" s="25">
        <f t="shared" si="5"/>
        <v>3.2508112005768641E-2</v>
      </c>
      <c r="Q257" s="86">
        <v>-1.900000000000001E-2</v>
      </c>
      <c r="R257">
        <v>8</v>
      </c>
      <c r="T257" s="82">
        <f t="shared" si="2"/>
        <v>-2.4000000000000014E-2</v>
      </c>
      <c r="U257" s="1">
        <f t="shared" si="3"/>
        <v>10.437628902537055</v>
      </c>
    </row>
    <row r="258" spans="1:21" ht="15">
      <c r="A258" s="83">
        <v>658.66173612307</v>
      </c>
      <c r="B258" s="83">
        <v>659.84828047195504</v>
      </c>
      <c r="C258" s="83">
        <v>651.24832668276747</v>
      </c>
      <c r="D258" s="83">
        <v>655.09213211550002</v>
      </c>
      <c r="E258" s="84">
        <v>5919880.3991099587</v>
      </c>
      <c r="F258" s="85" t="s">
        <v>353</v>
      </c>
      <c r="G258" s="25">
        <f t="shared" si="4"/>
        <v>5.4490106544899941E-3</v>
      </c>
      <c r="I258" s="83">
        <v>160.83047289355497</v>
      </c>
      <c r="J258" s="83">
        <v>164.60733324590998</v>
      </c>
      <c r="K258" s="83">
        <v>159.77414783458499</v>
      </c>
      <c r="L258" s="83">
        <v>161.45828873049001</v>
      </c>
      <c r="M258" s="84">
        <v>20801177.182102654</v>
      </c>
      <c r="N258" s="85" t="s">
        <v>353</v>
      </c>
      <c r="O258" s="25">
        <f t="shared" si="5"/>
        <v>-3.888408838415236E-3</v>
      </c>
      <c r="Q258" s="86">
        <v>-1.8000000000000009E-2</v>
      </c>
      <c r="R258">
        <v>10</v>
      </c>
      <c r="T258" s="82">
        <f t="shared" si="2"/>
        <v>-2.3000000000000013E-2</v>
      </c>
      <c r="U258" s="1">
        <f t="shared" si="3"/>
        <v>10.943815546329132</v>
      </c>
    </row>
    <row r="259" spans="1:21" ht="15">
      <c r="A259" s="83">
        <v>652.34014690295999</v>
      </c>
      <c r="B259" s="83">
        <v>652.82244228241859</v>
      </c>
      <c r="C259" s="83">
        <v>649.36880055028996</v>
      </c>
      <c r="D259" s="83">
        <v>651.72194732622995</v>
      </c>
      <c r="E259" s="84">
        <v>6221167.1225872021</v>
      </c>
      <c r="F259" s="85" t="s">
        <v>354</v>
      </c>
      <c r="G259" s="25">
        <f t="shared" si="4"/>
        <v>9.4856338545334928E-4</v>
      </c>
      <c r="I259" s="83">
        <v>163.26201359533499</v>
      </c>
      <c r="J259" s="83">
        <v>164.18878935461998</v>
      </c>
      <c r="K259" s="83">
        <v>160.09303841842501</v>
      </c>
      <c r="L259" s="83">
        <v>163.47128554097998</v>
      </c>
      <c r="M259" s="84">
        <v>20192760.263773866</v>
      </c>
      <c r="N259" s="85" t="s">
        <v>354</v>
      </c>
      <c r="O259" s="25">
        <f t="shared" si="5"/>
        <v>-1.2801755669348269E-3</v>
      </c>
      <c r="Q259" s="86">
        <v>-1.7000000000000008E-2</v>
      </c>
      <c r="R259">
        <v>7</v>
      </c>
      <c r="T259" s="82">
        <f t="shared" si="2"/>
        <v>-2.2000000000000013E-2</v>
      </c>
      <c r="U259" s="1">
        <f t="shared" si="3"/>
        <v>11.450538898250324</v>
      </c>
    </row>
    <row r="260" spans="1:21" ht="15">
      <c r="A260" s="83">
        <v>652.36008882478995</v>
      </c>
      <c r="B260" s="83">
        <v>653.48680740818497</v>
      </c>
      <c r="C260" s="83">
        <v>650.11662261891502</v>
      </c>
      <c r="D260" s="83">
        <v>652.50965323851494</v>
      </c>
      <c r="E260" s="84">
        <v>5525715.9773953436</v>
      </c>
      <c r="F260" s="85" t="s">
        <v>355</v>
      </c>
      <c r="G260" s="25">
        <f t="shared" si="4"/>
        <v>-2.2921410125154029E-4</v>
      </c>
      <c r="I260" s="83">
        <v>165.38462904401999</v>
      </c>
      <c r="J260" s="83">
        <v>168.11503001484255</v>
      </c>
      <c r="K260" s="83">
        <v>161.48818472272501</v>
      </c>
      <c r="L260" s="83">
        <v>161.59780336091998</v>
      </c>
      <c r="M260" s="84">
        <v>33570398.078041919</v>
      </c>
      <c r="N260" s="85" t="s">
        <v>355</v>
      </c>
      <c r="O260" s="25">
        <f t="shared" si="5"/>
        <v>2.3433645781943735E-2</v>
      </c>
      <c r="Q260" s="86">
        <v>-1.6000000000000007E-2</v>
      </c>
      <c r="R260">
        <v>9</v>
      </c>
      <c r="T260" s="82">
        <f t="shared" si="2"/>
        <v>-2.1000000000000012E-2</v>
      </c>
      <c r="U260" s="1">
        <f t="shared" si="3"/>
        <v>11.955653987516751</v>
      </c>
    </row>
    <row r="261" spans="1:21" ht="15">
      <c r="A261" s="83">
        <v>655.59068016125002</v>
      </c>
      <c r="B261" s="83">
        <v>655.98951859784995</v>
      </c>
      <c r="C261" s="83">
        <v>652.93840455786005</v>
      </c>
      <c r="D261" s="83">
        <v>653.76599431380498</v>
      </c>
      <c r="E261" s="84">
        <v>5297681.2909310255</v>
      </c>
      <c r="F261" s="85" t="s">
        <v>356</v>
      </c>
      <c r="G261" s="25">
        <f t="shared" si="4"/>
        <v>2.791038174691618E-3</v>
      </c>
      <c r="I261" s="83">
        <v>172.36036056552001</v>
      </c>
      <c r="J261" s="83">
        <v>172.94831507947501</v>
      </c>
      <c r="K261" s="83">
        <v>167.31790320855001</v>
      </c>
      <c r="L261" s="83">
        <v>171.985664129508</v>
      </c>
      <c r="M261" s="84">
        <v>21299311.38075839</v>
      </c>
      <c r="N261" s="85" t="s">
        <v>356</v>
      </c>
      <c r="O261" s="25">
        <f t="shared" si="5"/>
        <v>2.1786492374729072E-3</v>
      </c>
      <c r="Q261" s="86">
        <v>-1.5000000000000006E-2</v>
      </c>
      <c r="R261">
        <v>11</v>
      </c>
      <c r="T261" s="82">
        <f t="shared" si="2"/>
        <v>-2.0000000000000011E-2</v>
      </c>
      <c r="U261" s="1">
        <f t="shared" si="3"/>
        <v>12.456929248566031</v>
      </c>
    </row>
    <row r="262" spans="1:21" ht="15">
      <c r="A262" s="83">
        <v>654.51381638242992</v>
      </c>
      <c r="B262" s="83">
        <v>654.91265481903008</v>
      </c>
      <c r="C262" s="83">
        <v>649.92737378074833</v>
      </c>
      <c r="D262" s="83">
        <v>651.50258618609996</v>
      </c>
      <c r="E262" s="84">
        <v>4736752.4966373816</v>
      </c>
      <c r="F262" s="85" t="s">
        <v>357</v>
      </c>
      <c r="G262" s="25">
        <f t="shared" si="4"/>
        <v>4.6219773492499616E-3</v>
      </c>
      <c r="I262" s="83">
        <v>172.67925114936</v>
      </c>
      <c r="J262" s="83">
        <v>180.08349189289501</v>
      </c>
      <c r="K262" s="83">
        <v>168.2147829756</v>
      </c>
      <c r="L262" s="83">
        <v>179.87920261262249</v>
      </c>
      <c r="M262" s="84">
        <v>33108136.426634982</v>
      </c>
      <c r="N262" s="85" t="s">
        <v>357</v>
      </c>
      <c r="O262" s="25">
        <f t="shared" si="5"/>
        <v>-4.0026592061161659E-2</v>
      </c>
      <c r="Q262" s="86">
        <v>-1.4000000000000005E-2</v>
      </c>
      <c r="R262">
        <v>11</v>
      </c>
      <c r="T262" s="82">
        <f t="shared" si="2"/>
        <v>-1.900000000000001E-2</v>
      </c>
      <c r="U262" s="1">
        <f t="shared" si="3"/>
        <v>12.952061781569762</v>
      </c>
    </row>
    <row r="263" spans="1:21" ht="15">
      <c r="A263" s="83">
        <v>649.36880055028996</v>
      </c>
      <c r="B263" s="83">
        <v>652.99823032334996</v>
      </c>
      <c r="C263" s="83">
        <v>643.78506243789002</v>
      </c>
      <c r="D263" s="83">
        <v>650.33598375904501</v>
      </c>
      <c r="E263" s="84">
        <v>6034316.5947511885</v>
      </c>
      <c r="F263" s="85" t="s">
        <v>358</v>
      </c>
      <c r="G263" s="25">
        <f t="shared" si="4"/>
        <v>-1.4872054336660945E-3</v>
      </c>
      <c r="I263" s="83">
        <v>175.66885037285999</v>
      </c>
      <c r="J263" s="83">
        <v>181.25940092080498</v>
      </c>
      <c r="K263" s="83">
        <v>173.47647760896001</v>
      </c>
      <c r="L263" s="83">
        <v>179.77456663979999</v>
      </c>
      <c r="M263" s="84">
        <v>36241426.820901766</v>
      </c>
      <c r="N263" s="85" t="s">
        <v>358</v>
      </c>
      <c r="O263" s="25">
        <f t="shared" si="5"/>
        <v>-2.2838137472283804E-2</v>
      </c>
      <c r="Q263" s="86">
        <v>-1.3000000000000005E-2</v>
      </c>
      <c r="R263">
        <v>6</v>
      </c>
      <c r="T263" s="82">
        <f t="shared" si="2"/>
        <v>-1.8000000000000009E-2</v>
      </c>
      <c r="U263" s="1">
        <f t="shared" si="3"/>
        <v>13.438694030493133</v>
      </c>
    </row>
    <row r="264" spans="1:21" ht="15">
      <c r="A264" s="83">
        <v>652.00113423184996</v>
      </c>
      <c r="B264" s="83">
        <v>652.29029209838507</v>
      </c>
      <c r="C264" s="83">
        <v>649.199294214735</v>
      </c>
      <c r="D264" s="83">
        <v>650.08670973617006</v>
      </c>
      <c r="E264" s="84">
        <v>4504953.3060976798</v>
      </c>
      <c r="F264" s="85" t="s">
        <v>359</v>
      </c>
      <c r="G264" s="25">
        <f t="shared" si="4"/>
        <v>2.9448756096810413E-3</v>
      </c>
      <c r="I264" s="83">
        <v>186.84995146874999</v>
      </c>
      <c r="J264" s="83">
        <v>188.52412703390999</v>
      </c>
      <c r="K264" s="83">
        <v>182.16624601859999</v>
      </c>
      <c r="L264" s="83">
        <v>185.53452781041</v>
      </c>
      <c r="M264" s="84">
        <v>32113923.99831482</v>
      </c>
      <c r="N264" s="85" t="s">
        <v>359</v>
      </c>
      <c r="O264" s="25">
        <f t="shared" si="5"/>
        <v>7.089912987431557E-3</v>
      </c>
      <c r="Q264" s="86">
        <v>-1.2000000000000004E-2</v>
      </c>
      <c r="R264">
        <v>16</v>
      </c>
      <c r="T264" s="82">
        <f t="shared" si="2"/>
        <v>-1.7000000000000008E-2</v>
      </c>
      <c r="U264" s="1">
        <f t="shared" si="3"/>
        <v>13.914431724576742</v>
      </c>
    </row>
    <row r="265" spans="1:21" ht="15">
      <c r="A265" s="83">
        <v>645.37044522337499</v>
      </c>
      <c r="B265" s="83">
        <v>651.96125038819002</v>
      </c>
      <c r="C265" s="83">
        <v>644.06464818194661</v>
      </c>
      <c r="D265" s="83">
        <v>651.04392198401001</v>
      </c>
      <c r="E265" s="84">
        <v>8481656.2908972148</v>
      </c>
      <c r="F265" s="85" t="s">
        <v>360</v>
      </c>
      <c r="G265" s="25">
        <f t="shared" si="4"/>
        <v>-8.7144301160902993E-3</v>
      </c>
      <c r="I265" s="83">
        <v>180.54189710716497</v>
      </c>
      <c r="J265" s="83">
        <v>184.69744002783</v>
      </c>
      <c r="K265" s="83">
        <v>175.40207846881634</v>
      </c>
      <c r="L265" s="83">
        <v>177.73167383707499</v>
      </c>
      <c r="M265" s="84">
        <v>38749218.211622939</v>
      </c>
      <c r="N265" s="85" t="s">
        <v>360</v>
      </c>
      <c r="O265" s="25">
        <f t="shared" si="5"/>
        <v>1.5811606391925803E-2</v>
      </c>
      <c r="Q265" s="86">
        <v>-1.1000000000000003E-2</v>
      </c>
      <c r="R265">
        <v>9</v>
      </c>
      <c r="T265" s="82">
        <f t="shared" si="2"/>
        <v>-1.6000000000000007E-2</v>
      </c>
      <c r="U265" s="1">
        <f t="shared" si="3"/>
        <v>14.376862903977651</v>
      </c>
    </row>
    <row r="266" spans="1:21" ht="15">
      <c r="A266" s="83">
        <v>649.64798745590997</v>
      </c>
      <c r="B266" s="83">
        <v>650.70490931289999</v>
      </c>
      <c r="C266" s="83">
        <v>647.284869719055</v>
      </c>
      <c r="D266" s="83">
        <v>649.72775514322996</v>
      </c>
      <c r="E266" s="84">
        <v>6369044.2896495899</v>
      </c>
      <c r="F266" s="85" t="s">
        <v>361</v>
      </c>
      <c r="G266" s="25">
        <f t="shared" si="4"/>
        <v>-1.2277094011847733E-4</v>
      </c>
      <c r="I266" s="83">
        <v>176.96434336971001</v>
      </c>
      <c r="J266" s="83">
        <v>177.14371932312</v>
      </c>
      <c r="K266" s="83">
        <v>172.90845375649499</v>
      </c>
      <c r="L266" s="83">
        <v>176.19701290234499</v>
      </c>
      <c r="M266" s="84">
        <v>22187937.345375083</v>
      </c>
      <c r="N266" s="85" t="s">
        <v>361</v>
      </c>
      <c r="O266" s="25">
        <f t="shared" si="5"/>
        <v>4.3549572987953145E-3</v>
      </c>
      <c r="Q266" s="86">
        <v>-1.0000000000000002E-2</v>
      </c>
      <c r="R266">
        <v>10</v>
      </c>
      <c r="T266" s="82">
        <f t="shared" si="2"/>
        <v>-1.5000000000000006E-2</v>
      </c>
      <c r="U266" s="1">
        <f t="shared" si="3"/>
        <v>14.823577827224886</v>
      </c>
    </row>
    <row r="267" spans="1:21" ht="15">
      <c r="A267" s="83">
        <v>650.88438660936993</v>
      </c>
      <c r="B267" s="83">
        <v>652.97828840151999</v>
      </c>
      <c r="C267" s="83">
        <v>646.97576993069003</v>
      </c>
      <c r="D267" s="83">
        <v>647.29484067996998</v>
      </c>
      <c r="E267" s="84">
        <v>7806647.4112741025</v>
      </c>
      <c r="F267" s="85" t="s">
        <v>362</v>
      </c>
      <c r="G267" s="25">
        <f t="shared" si="4"/>
        <v>5.5454573461903856E-3</v>
      </c>
      <c r="I267" s="83">
        <v>174.45308002196998</v>
      </c>
      <c r="J267" s="83">
        <v>183.86035224525</v>
      </c>
      <c r="K267" s="83">
        <v>172.75897379532</v>
      </c>
      <c r="L267" s="83">
        <v>182.295795318285</v>
      </c>
      <c r="M267" s="84">
        <v>44822380.832177788</v>
      </c>
      <c r="N267" s="85" t="s">
        <v>362</v>
      </c>
      <c r="O267" s="25">
        <f t="shared" si="5"/>
        <v>-4.3021920953370207E-2</v>
      </c>
      <c r="Q267" s="86">
        <v>-9.0000000000000011E-3</v>
      </c>
      <c r="R267">
        <v>18</v>
      </c>
      <c r="T267" s="82">
        <f t="shared" si="2"/>
        <v>-1.4000000000000005E-2</v>
      </c>
      <c r="U267" s="1">
        <f t="shared" si="3"/>
        <v>15.252189537641033</v>
      </c>
    </row>
    <row r="268" spans="1:21" ht="15">
      <c r="A268" s="83">
        <v>642.98738556469004</v>
      </c>
      <c r="B268" s="83">
        <v>644.19387183540505</v>
      </c>
      <c r="C268" s="83">
        <v>640.28525515672493</v>
      </c>
      <c r="D268" s="83">
        <v>642.63840193266503</v>
      </c>
      <c r="E268" s="84">
        <v>5875107.2734497823</v>
      </c>
      <c r="F268" s="85" t="s">
        <v>363</v>
      </c>
      <c r="G268" s="25">
        <f t="shared" si="4"/>
        <v>5.4304820716510882E-4</v>
      </c>
      <c r="I268" s="83">
        <v>177.72170850633</v>
      </c>
      <c r="J268" s="83">
        <v>179.645017340115</v>
      </c>
      <c r="K268" s="83">
        <v>173.19744834810001</v>
      </c>
      <c r="L268" s="83">
        <v>175.80836500328999</v>
      </c>
      <c r="M268" s="84">
        <v>46736529.755189776</v>
      </c>
      <c r="N268" s="85" t="s">
        <v>363</v>
      </c>
      <c r="O268" s="25">
        <f t="shared" si="5"/>
        <v>1.0883119827683974E-2</v>
      </c>
      <c r="Q268" s="86">
        <v>-8.0000000000000002E-3</v>
      </c>
      <c r="R268">
        <v>16</v>
      </c>
      <c r="T268" s="82">
        <f t="shared" si="2"/>
        <v>-1.3000000000000005E-2</v>
      </c>
      <c r="U268" s="1">
        <f t="shared" si="3"/>
        <v>15.660354848441816</v>
      </c>
    </row>
    <row r="269" spans="1:21" ht="15">
      <c r="A269" s="83">
        <v>641.58148007567502</v>
      </c>
      <c r="B269" s="83">
        <v>641.92049274678493</v>
      </c>
      <c r="C269" s="83">
        <v>636.37663847804504</v>
      </c>
      <c r="D269" s="83">
        <v>637.3338507258851</v>
      </c>
      <c r="E269" s="84">
        <v>5065156.4900853885</v>
      </c>
      <c r="F269" s="85" t="s">
        <v>364</v>
      </c>
      <c r="G269" s="25">
        <f t="shared" si="4"/>
        <v>6.6646849919427265E-3</v>
      </c>
      <c r="I269" s="83">
        <v>169.221281380845</v>
      </c>
      <c r="J269" s="83">
        <v>171.96174733571999</v>
      </c>
      <c r="K269" s="83">
        <v>165.63376231264499</v>
      </c>
      <c r="L269" s="83">
        <v>166.31140480330498</v>
      </c>
      <c r="M269" s="84">
        <v>42270441.842821144</v>
      </c>
      <c r="N269" s="85" t="s">
        <v>364</v>
      </c>
      <c r="O269" s="25">
        <f t="shared" si="5"/>
        <v>1.7496554616813542E-2</v>
      </c>
      <c r="Q269" s="86">
        <v>-7.0000000000000001E-3</v>
      </c>
      <c r="R269">
        <v>14</v>
      </c>
      <c r="T269" s="82">
        <f t="shared" si="2"/>
        <v>-1.2000000000000004E-2</v>
      </c>
      <c r="U269" s="1">
        <f t="shared" si="3"/>
        <v>16.045795492288384</v>
      </c>
    </row>
    <row r="270" spans="1:21" ht="15">
      <c r="A270" s="83">
        <v>636.49629000902507</v>
      </c>
      <c r="B270" s="83">
        <v>636.66579634458003</v>
      </c>
      <c r="C270" s="83">
        <v>630.38409096813007</v>
      </c>
      <c r="D270" s="83">
        <v>630.3890764485875</v>
      </c>
      <c r="E270" s="84">
        <v>5013507.8729270091</v>
      </c>
      <c r="F270" s="85" t="s">
        <v>365</v>
      </c>
      <c r="G270" s="25">
        <f t="shared" si="4"/>
        <v>9.6880066432045719E-3</v>
      </c>
      <c r="I270" s="83">
        <v>162.43489114349998</v>
      </c>
      <c r="J270" s="83">
        <v>168.81270282029999</v>
      </c>
      <c r="K270" s="83">
        <v>160.99988351622</v>
      </c>
      <c r="L270" s="83">
        <v>167.347799200785</v>
      </c>
      <c r="M270" s="84">
        <v>57741758.788157515</v>
      </c>
      <c r="N270" s="85" t="s">
        <v>365</v>
      </c>
      <c r="O270" s="25">
        <f t="shared" si="5"/>
        <v>-2.9357470374560934E-2</v>
      </c>
      <c r="Q270" s="86">
        <v>-6.0000000000000001E-3</v>
      </c>
      <c r="R270">
        <v>13</v>
      </c>
      <c r="T270" s="82">
        <f t="shared" si="2"/>
        <v>-1.1000000000000003E-2</v>
      </c>
      <c r="U270" s="1">
        <f t="shared" si="3"/>
        <v>16.406319171010651</v>
      </c>
    </row>
    <row r="271" spans="1:21" ht="15">
      <c r="A271" s="83">
        <v>628.88844683088007</v>
      </c>
      <c r="B271" s="83">
        <v>629.06792412735001</v>
      </c>
      <c r="C271" s="83">
        <v>620.17382699117002</v>
      </c>
      <c r="D271" s="83">
        <v>620.94159098162504</v>
      </c>
      <c r="E271" s="84">
        <v>5115773.6243117144</v>
      </c>
      <c r="F271" s="85" t="s">
        <v>366</v>
      </c>
      <c r="G271" s="25">
        <f t="shared" si="4"/>
        <v>1.2798073063027049E-2</v>
      </c>
      <c r="I271" s="83">
        <v>155.08047705369</v>
      </c>
      <c r="J271" s="83">
        <v>155.36947164529499</v>
      </c>
      <c r="K271" s="83">
        <v>139.23560116913998</v>
      </c>
      <c r="L271" s="83">
        <v>139.28542782286499</v>
      </c>
      <c r="M271" s="84">
        <v>48808762.982708208</v>
      </c>
      <c r="N271" s="85" t="s">
        <v>366</v>
      </c>
      <c r="O271" s="25">
        <f t="shared" si="5"/>
        <v>0.11340058667811426</v>
      </c>
      <c r="Q271" s="86">
        <v>-5.0000000000000001E-3</v>
      </c>
      <c r="R271">
        <v>7</v>
      </c>
      <c r="T271" s="82">
        <f t="shared" si="2"/>
        <v>-1.0000000000000002E-2</v>
      </c>
      <c r="U271" s="1">
        <f t="shared" si="3"/>
        <v>16.73984023535246</v>
      </c>
    </row>
    <row r="272" spans="1:21" ht="15">
      <c r="A272" s="83">
        <v>622.78621875090005</v>
      </c>
      <c r="B272" s="83">
        <v>625.16927840958499</v>
      </c>
      <c r="C272" s="83">
        <v>621.90877419038009</v>
      </c>
      <c r="D272" s="83">
        <v>624.50620950873758</v>
      </c>
      <c r="E272" s="84">
        <v>4587617.0252744388</v>
      </c>
      <c r="F272" s="85" t="s">
        <v>367</v>
      </c>
      <c r="G272" s="25">
        <f t="shared" si="4"/>
        <v>-2.7541611783020725E-3</v>
      </c>
      <c r="I272" s="83">
        <v>137.61125225770499</v>
      </c>
      <c r="J272" s="83">
        <v>139.67905838729249</v>
      </c>
      <c r="K272" s="83">
        <v>134.10345583546498</v>
      </c>
      <c r="L272" s="83">
        <v>136.84392179033998</v>
      </c>
      <c r="M272" s="84">
        <v>26113216.42982759</v>
      </c>
      <c r="N272" s="85" t="s">
        <v>367</v>
      </c>
      <c r="O272" s="25">
        <f t="shared" si="5"/>
        <v>5.6073405184970948E-3</v>
      </c>
      <c r="Q272" s="86">
        <v>-4.0000000000000001E-3</v>
      </c>
      <c r="R272">
        <v>19</v>
      </c>
      <c r="T272" s="82">
        <f t="shared" si="2"/>
        <v>-9.0000000000000011E-3</v>
      </c>
      <c r="U272" s="1">
        <f t="shared" si="3"/>
        <v>17.044399723139016</v>
      </c>
    </row>
    <row r="273" spans="1:21" ht="15">
      <c r="A273" s="83">
        <v>623.20499910932995</v>
      </c>
      <c r="B273" s="83">
        <v>624.35165961455493</v>
      </c>
      <c r="C273" s="83">
        <v>617.60131907509992</v>
      </c>
      <c r="D273" s="83">
        <v>618.53858940111002</v>
      </c>
      <c r="E273" s="84">
        <v>5486228.9817731176</v>
      </c>
      <c r="F273" s="85" t="s">
        <v>368</v>
      </c>
      <c r="G273" s="25">
        <f t="shared" si="4"/>
        <v>7.5442499274589458E-3</v>
      </c>
      <c r="I273" s="83">
        <v>137.38204965057</v>
      </c>
      <c r="J273" s="83">
        <v>142.30492303860001</v>
      </c>
      <c r="K273" s="83">
        <v>135.52849813199998</v>
      </c>
      <c r="L273" s="83">
        <v>141.70700319389999</v>
      </c>
      <c r="M273" s="84">
        <v>30215977.806966409</v>
      </c>
      <c r="N273" s="85" t="s">
        <v>368</v>
      </c>
      <c r="O273" s="25">
        <f t="shared" si="5"/>
        <v>-3.0520393811533042E-2</v>
      </c>
      <c r="Q273" s="86">
        <v>-3.0000000000000001E-3</v>
      </c>
      <c r="R273">
        <v>24</v>
      </c>
      <c r="T273" s="82">
        <f t="shared" si="2"/>
        <v>-8.0000000000000002E-3</v>
      </c>
      <c r="U273" s="1">
        <f t="shared" si="3"/>
        <v>17.318184487374438</v>
      </c>
    </row>
    <row r="274" spans="1:21" ht="15">
      <c r="A274" s="83">
        <v>619.53568549261001</v>
      </c>
      <c r="B274" s="83">
        <v>620.682345997835</v>
      </c>
      <c r="C274" s="83">
        <v>615.50741728294997</v>
      </c>
      <c r="D274" s="83">
        <v>619.98936421424241</v>
      </c>
      <c r="E274" s="84">
        <v>9794014.5090820454</v>
      </c>
      <c r="F274" s="85" t="s">
        <v>369</v>
      </c>
      <c r="G274" s="25">
        <f t="shared" si="4"/>
        <v>-7.3175242644263339E-4</v>
      </c>
      <c r="I274" s="83">
        <v>142.66367494937222</v>
      </c>
      <c r="J274" s="83">
        <v>150.40957961737379</v>
      </c>
      <c r="K274" s="83">
        <v>141.90894577659262</v>
      </c>
      <c r="L274" s="83">
        <v>149.25762456418383</v>
      </c>
      <c r="M274" s="84">
        <v>23199381.551877875</v>
      </c>
      <c r="N274" s="85" t="s">
        <v>369</v>
      </c>
      <c r="O274" s="25">
        <f t="shared" si="5"/>
        <v>-4.4178310046573688E-2</v>
      </c>
      <c r="Q274" s="86">
        <v>-2E-3</v>
      </c>
      <c r="R274">
        <v>21</v>
      </c>
      <c r="T274" s="82">
        <f t="shared" si="2"/>
        <v>-7.0000000000000001E-3</v>
      </c>
      <c r="U274" s="1">
        <f t="shared" si="3"/>
        <v>17.559545153490838</v>
      </c>
    </row>
    <row r="275" spans="1:21" ht="15">
      <c r="A275" s="83">
        <v>604.28011529265996</v>
      </c>
      <c r="B275" s="83">
        <v>604.54933123736498</v>
      </c>
      <c r="C275" s="83">
        <v>596.76201076275004</v>
      </c>
      <c r="D275" s="83">
        <v>601.82725890757001</v>
      </c>
      <c r="E275" s="84">
        <v>6164208.2777134217</v>
      </c>
      <c r="F275" s="85" t="s">
        <v>370</v>
      </c>
      <c r="G275" s="25">
        <f t="shared" si="4"/>
        <v>4.0756817654659105E-3</v>
      </c>
      <c r="I275" s="83">
        <v>142.17707324586956</v>
      </c>
      <c r="J275" s="83">
        <v>143.56736382730574</v>
      </c>
      <c r="K275" s="83">
        <v>138.96947426155612</v>
      </c>
      <c r="L275" s="83">
        <v>142.78284271349534</v>
      </c>
      <c r="M275" s="84">
        <v>16558578.622030912</v>
      </c>
      <c r="N275" s="85" t="s">
        <v>370</v>
      </c>
      <c r="O275" s="25">
        <f t="shared" si="5"/>
        <v>-4.2425928501879095E-3</v>
      </c>
      <c r="Q275" s="86">
        <v>-1E-3</v>
      </c>
      <c r="R275">
        <v>15</v>
      </c>
      <c r="T275" s="82">
        <f t="shared" ref="T275:T278" si="6">T276-0.001</f>
        <v>-6.0000000000000001E-3</v>
      </c>
      <c r="U275" s="1">
        <f t="shared" ref="U275:U338" si="7">_xlfn.NORM.DIST(T275,$S$202,$S$204,FALSE)</f>
        <v>17.767012657241679</v>
      </c>
    </row>
    <row r="276" spans="1:21" ht="15">
      <c r="A276" s="83">
        <v>603.91118973880498</v>
      </c>
      <c r="B276" s="83">
        <v>604.67895372926</v>
      </c>
      <c r="C276" s="83">
        <v>600.86007569881497</v>
      </c>
      <c r="D276" s="83">
        <v>601.16917548717993</v>
      </c>
      <c r="E276" s="84">
        <v>6300935.5060740402</v>
      </c>
      <c r="F276" s="85" t="s">
        <v>371</v>
      </c>
      <c r="G276" s="25">
        <f t="shared" si="4"/>
        <v>4.5611358057453533E-3</v>
      </c>
      <c r="I276" s="83">
        <v>144.53063658730082</v>
      </c>
      <c r="J276" s="83">
        <v>147.51976133738862</v>
      </c>
      <c r="K276" s="83">
        <v>142.85235724256714</v>
      </c>
      <c r="L276" s="83">
        <v>146.41745951924992</v>
      </c>
      <c r="M276" s="84">
        <v>11529865.004236076</v>
      </c>
      <c r="N276" s="85" t="s">
        <v>371</v>
      </c>
      <c r="O276" s="25">
        <f t="shared" si="5"/>
        <v>-1.2886597938144284E-2</v>
      </c>
      <c r="Q276" s="86">
        <v>0</v>
      </c>
      <c r="R276">
        <v>32</v>
      </c>
      <c r="T276" s="82">
        <f t="shared" si="6"/>
        <v>-5.0000000000000001E-3</v>
      </c>
      <c r="U276" s="1">
        <f t="shared" si="7"/>
        <v>17.939313131416444</v>
      </c>
    </row>
    <row r="277" spans="1:21" ht="15">
      <c r="A277" s="83">
        <v>601.23897221358504</v>
      </c>
      <c r="B277" s="83">
        <v>603.03374517828502</v>
      </c>
      <c r="C277" s="83">
        <v>591.30988933442802</v>
      </c>
      <c r="D277" s="83">
        <v>592.50441045204502</v>
      </c>
      <c r="E277" s="84">
        <v>12776618.258261422</v>
      </c>
      <c r="F277" s="85" t="s">
        <v>372</v>
      </c>
      <c r="G277" s="25">
        <f t="shared" si="4"/>
        <v>1.474176665600857E-2</v>
      </c>
      <c r="I277" s="83">
        <v>145.36481093616251</v>
      </c>
      <c r="J277" s="83">
        <v>145.42439481822407</v>
      </c>
      <c r="K277" s="83">
        <v>139.32697755392542</v>
      </c>
      <c r="L277" s="83">
        <v>141.7897780124695</v>
      </c>
      <c r="M277" s="84">
        <v>14413686.627280032</v>
      </c>
      <c r="N277" s="85" t="s">
        <v>372</v>
      </c>
      <c r="O277" s="25">
        <f t="shared" si="5"/>
        <v>2.5213615352290164E-2</v>
      </c>
      <c r="Q277" s="86">
        <v>1E-3</v>
      </c>
      <c r="R277">
        <v>10</v>
      </c>
      <c r="T277" s="82">
        <f t="shared" si="6"/>
        <v>-4.0000000000000001E-3</v>
      </c>
      <c r="U277" s="1">
        <f t="shared" si="7"/>
        <v>18.075380930409779</v>
      </c>
    </row>
    <row r="278" spans="1:21" ht="15">
      <c r="A278" s="83">
        <v>600.55097591045001</v>
      </c>
      <c r="B278" s="83">
        <v>603.59211898952503</v>
      </c>
      <c r="C278" s="83">
        <v>598.52687084470494</v>
      </c>
      <c r="D278" s="83">
        <v>599.31457675698994</v>
      </c>
      <c r="E278" s="84">
        <v>11314501.039140819</v>
      </c>
      <c r="F278" s="85" t="s">
        <v>373</v>
      </c>
      <c r="G278" s="25">
        <f t="shared" si="4"/>
        <v>2.0630219944766104E-3</v>
      </c>
      <c r="I278" s="83">
        <v>144.22278652998278</v>
      </c>
      <c r="J278" s="83">
        <v>148.61213250851702</v>
      </c>
      <c r="K278" s="83">
        <v>143.66667029740833</v>
      </c>
      <c r="L278" s="83">
        <v>148.05601627594257</v>
      </c>
      <c r="M278" s="84">
        <v>20574838.194926776</v>
      </c>
      <c r="N278" s="85" t="s">
        <v>373</v>
      </c>
      <c r="O278" s="25">
        <f t="shared" si="5"/>
        <v>-2.5890401770742755E-2</v>
      </c>
      <c r="Q278" s="86">
        <v>2E-3</v>
      </c>
      <c r="R278">
        <v>22</v>
      </c>
      <c r="T278" s="82">
        <f t="shared" si="6"/>
        <v>-3.0000000000000001E-3</v>
      </c>
      <c r="U278" s="1">
        <f t="shared" si="7"/>
        <v>18.17436960637416</v>
      </c>
    </row>
    <row r="279" spans="1:21" ht="15">
      <c r="A279" s="83">
        <v>595.81476947582496</v>
      </c>
      <c r="B279" s="83">
        <v>597.11099439477505</v>
      </c>
      <c r="C279" s="83">
        <v>584.79685766474995</v>
      </c>
      <c r="D279" s="83">
        <v>585.64438934252507</v>
      </c>
      <c r="E279" s="84">
        <v>12375375.254592501</v>
      </c>
      <c r="F279" s="85" t="s">
        <v>374</v>
      </c>
      <c r="G279" s="25">
        <f t="shared" si="4"/>
        <v>1.7366136034732138E-2</v>
      </c>
      <c r="I279" s="83">
        <v>146.08974816791141</v>
      </c>
      <c r="J279" s="83">
        <v>146.37277160770375</v>
      </c>
      <c r="K279" s="83">
        <v>138.88009843846379</v>
      </c>
      <c r="L279" s="83">
        <v>139.32697755392542</v>
      </c>
      <c r="M279" s="84">
        <v>23952879.931114424</v>
      </c>
      <c r="N279" s="85" t="s">
        <v>374</v>
      </c>
      <c r="O279" s="25">
        <f t="shared" si="5"/>
        <v>4.8538845331432823E-2</v>
      </c>
      <c r="Q279" s="86">
        <v>3.0000000000000001E-3</v>
      </c>
      <c r="R279">
        <v>18</v>
      </c>
      <c r="T279" s="82">
        <f>T280-0.001</f>
        <v>-2E-3</v>
      </c>
      <c r="U279" s="1">
        <f t="shared" si="7"/>
        <v>18.235660678803253</v>
      </c>
    </row>
    <row r="280" spans="1:21" ht="15">
      <c r="A280" s="83">
        <v>579.24303243509496</v>
      </c>
      <c r="B280" s="83">
        <v>586.96055618330502</v>
      </c>
      <c r="C280" s="83">
        <v>576.78020508909003</v>
      </c>
      <c r="D280" s="83">
        <v>586.68136927768501</v>
      </c>
      <c r="E280" s="84">
        <v>11776668.833025908</v>
      </c>
      <c r="F280" s="85" t="s">
        <v>375</v>
      </c>
      <c r="G280" s="25">
        <f t="shared" si="4"/>
        <v>-1.2678665510970744E-2</v>
      </c>
      <c r="I280" s="83">
        <v>137.83738050238665</v>
      </c>
      <c r="J280" s="83">
        <v>140.22073578484867</v>
      </c>
      <c r="K280" s="83">
        <v>136.00021080548885</v>
      </c>
      <c r="L280" s="83">
        <v>139.06878073165868</v>
      </c>
      <c r="M280" s="84">
        <v>18185633.01469123</v>
      </c>
      <c r="N280" s="85" t="s">
        <v>375</v>
      </c>
      <c r="O280" s="25">
        <f t="shared" si="5"/>
        <v>-8.8546129677233854E-3</v>
      </c>
      <c r="Q280" s="86">
        <v>4.0000000000000001E-3</v>
      </c>
      <c r="R280">
        <v>21</v>
      </c>
      <c r="T280" s="82">
        <f>T281-0.001</f>
        <v>-1E-3</v>
      </c>
      <c r="U280" s="1">
        <f t="shared" si="7"/>
        <v>18.258870070438405</v>
      </c>
    </row>
    <row r="281" spans="1:21" ht="15">
      <c r="A281" s="83">
        <v>581.26713750084002</v>
      </c>
      <c r="B281" s="83">
        <v>589.1142837409451</v>
      </c>
      <c r="C281" s="83">
        <v>580.33983813574503</v>
      </c>
      <c r="D281" s="83">
        <v>588.96471932722</v>
      </c>
      <c r="E281" s="84">
        <v>11637656.547668856</v>
      </c>
      <c r="F281" s="85" t="s">
        <v>376</v>
      </c>
      <c r="G281" s="25">
        <f t="shared" si="4"/>
        <v>-1.306968239994577E-2</v>
      </c>
      <c r="I281" s="83">
        <v>138.69141614526887</v>
      </c>
      <c r="J281" s="83">
        <v>140.70733748835133</v>
      </c>
      <c r="K281" s="83">
        <v>137.34184121657475</v>
      </c>
      <c r="L281" s="83">
        <v>139.95260831557169</v>
      </c>
      <c r="M281" s="84">
        <v>17949888.460023075</v>
      </c>
      <c r="N281" s="85" t="s">
        <v>376</v>
      </c>
      <c r="O281" s="25">
        <f t="shared" si="5"/>
        <v>-9.0115660256865349E-3</v>
      </c>
      <c r="Q281" s="86">
        <v>5.0000000000000001E-3</v>
      </c>
      <c r="R281">
        <v>18</v>
      </c>
      <c r="T281" s="82">
        <v>0</v>
      </c>
      <c r="U281" s="1">
        <f t="shared" si="7"/>
        <v>18.243852115803463</v>
      </c>
    </row>
    <row r="282" spans="1:21" ht="15">
      <c r="A282" s="83">
        <v>591.32544404802491</v>
      </c>
      <c r="B282" s="83">
        <v>600.25615593327257</v>
      </c>
      <c r="C282" s="83">
        <v>591.0868941479182</v>
      </c>
      <c r="D282" s="83">
        <v>597.66192576961134</v>
      </c>
      <c r="E282" s="84">
        <v>7632666.5755088478</v>
      </c>
      <c r="F282" s="85" t="s">
        <v>377</v>
      </c>
      <c r="G282" s="25">
        <f t="shared" si="4"/>
        <v>-1.0602117097265218E-2</v>
      </c>
      <c r="I282" s="83">
        <v>141.81956995350026</v>
      </c>
      <c r="J282" s="83">
        <v>145.45418675925484</v>
      </c>
      <c r="K282" s="83">
        <v>141.55144248422329</v>
      </c>
      <c r="L282" s="83">
        <v>142.89207983060817</v>
      </c>
      <c r="M282" s="84">
        <v>16954175.278617516</v>
      </c>
      <c r="N282" s="85" t="s">
        <v>377</v>
      </c>
      <c r="O282" s="25">
        <f t="shared" si="5"/>
        <v>-7.5057335464591146E-3</v>
      </c>
      <c r="Q282" s="86">
        <v>6.0000000000000001E-3</v>
      </c>
      <c r="R282">
        <v>19</v>
      </c>
      <c r="T282" s="25">
        <f>T281+0.001</f>
        <v>1E-3</v>
      </c>
      <c r="U282" s="1">
        <f t="shared" si="7"/>
        <v>18.190701083837936</v>
      </c>
    </row>
    <row r="283" spans="1:21" ht="15">
      <c r="A283" s="83">
        <v>602.00055207780338</v>
      </c>
      <c r="B283" s="83">
        <v>605.75771300448525</v>
      </c>
      <c r="C283" s="83">
        <v>599.71444886844677</v>
      </c>
      <c r="D283" s="83">
        <v>603.73003885357753</v>
      </c>
      <c r="E283" s="84">
        <v>23373517.757283315</v>
      </c>
      <c r="F283" s="85" t="s">
        <v>378</v>
      </c>
      <c r="G283" s="25">
        <f t="shared" si="4"/>
        <v>-2.8646690813302067E-3</v>
      </c>
      <c r="I283" s="83">
        <v>145.00730764379324</v>
      </c>
      <c r="J283" s="83">
        <v>148.80081480171194</v>
      </c>
      <c r="K283" s="83">
        <v>143.59795022009735</v>
      </c>
      <c r="L283" s="83">
        <v>148.19008001058103</v>
      </c>
      <c r="M283" s="84">
        <v>20672316.156936705</v>
      </c>
      <c r="N283" s="85" t="s">
        <v>378</v>
      </c>
      <c r="O283" s="25">
        <f t="shared" si="5"/>
        <v>-2.1477634444630356E-2</v>
      </c>
      <c r="Q283" s="86">
        <v>7.0000000000000001E-3</v>
      </c>
      <c r="R283">
        <v>21</v>
      </c>
      <c r="T283" s="25">
        <f>T282+0.001</f>
        <v>2E-3</v>
      </c>
      <c r="U283" s="1">
        <f t="shared" si="7"/>
        <v>18.09975019236165</v>
      </c>
    </row>
    <row r="284" spans="1:21" ht="15">
      <c r="A284" s="83">
        <v>598.74037010967743</v>
      </c>
      <c r="B284" s="83">
        <v>602.24904155708134</v>
      </c>
      <c r="C284" s="83">
        <v>595.69885888331601</v>
      </c>
      <c r="D284" s="83">
        <v>597.00094375473213</v>
      </c>
      <c r="E284" s="84">
        <v>18309374.751382884</v>
      </c>
      <c r="F284" s="85" t="s">
        <v>379</v>
      </c>
      <c r="G284" s="25">
        <f t="shared" si="4"/>
        <v>2.913607378918881E-3</v>
      </c>
      <c r="I284" s="83">
        <v>146.06988687389088</v>
      </c>
      <c r="J284" s="83">
        <v>152.83265748787684</v>
      </c>
      <c r="K284" s="83">
        <v>145.83155134564467</v>
      </c>
      <c r="L284" s="83">
        <v>151.93889925695359</v>
      </c>
      <c r="M284" s="84">
        <v>25980967.347996231</v>
      </c>
      <c r="N284" s="85" t="s">
        <v>379</v>
      </c>
      <c r="O284" s="25">
        <f t="shared" si="5"/>
        <v>-3.8627450980392108E-2</v>
      </c>
      <c r="Q284" s="86">
        <v>8.0000000000000002E-3</v>
      </c>
      <c r="R284">
        <v>18</v>
      </c>
      <c r="T284" s="25">
        <f>T283+0.001</f>
        <v>3.0000000000000001E-3</v>
      </c>
      <c r="U284" s="1">
        <f t="shared" si="7"/>
        <v>17.971568128785503</v>
      </c>
    </row>
    <row r="285" spans="1:21" ht="15">
      <c r="A285" s="83">
        <v>600.77798383975619</v>
      </c>
      <c r="B285" s="83">
        <v>607.33313630310704</v>
      </c>
      <c r="C285" s="83">
        <v>599.4162614933133</v>
      </c>
      <c r="D285" s="83">
        <v>603.19330157833735</v>
      </c>
      <c r="E285" s="84">
        <v>24112839.904276684</v>
      </c>
      <c r="F285" s="85" t="s">
        <v>380</v>
      </c>
      <c r="G285" s="25">
        <f t="shared" si="4"/>
        <v>-4.0042184358830557E-3</v>
      </c>
      <c r="I285" s="83">
        <v>153.26960595632821</v>
      </c>
      <c r="J285" s="83">
        <v>154.69961912580541</v>
      </c>
      <c r="K285" s="83">
        <v>149.66478109160443</v>
      </c>
      <c r="L285" s="83">
        <v>150.36985702933274</v>
      </c>
      <c r="M285" s="84">
        <v>19818546.969365977</v>
      </c>
      <c r="N285" s="85" t="s">
        <v>380</v>
      </c>
      <c r="O285" s="25">
        <f t="shared" si="5"/>
        <v>1.9284110421344813E-2</v>
      </c>
      <c r="Q285" s="86">
        <v>9.0000000000000011E-3</v>
      </c>
      <c r="R285">
        <v>13</v>
      </c>
      <c r="T285" s="25">
        <f t="shared" ref="T285:T348" si="8">T284+0.001</f>
        <v>4.0000000000000001E-3</v>
      </c>
      <c r="U285" s="1">
        <f t="shared" si="7"/>
        <v>17.806953127893291</v>
      </c>
    </row>
    <row r="286" spans="1:21" ht="15">
      <c r="A286" s="83">
        <v>594.32719695770209</v>
      </c>
      <c r="B286" s="83">
        <v>601.94091460277673</v>
      </c>
      <c r="C286" s="83">
        <v>590.97755877703594</v>
      </c>
      <c r="D286" s="83">
        <v>601.7719417568677</v>
      </c>
      <c r="E286" s="84">
        <v>17638954.135451324</v>
      </c>
      <c r="F286" s="85" t="s">
        <v>381</v>
      </c>
      <c r="G286" s="25">
        <f t="shared" si="4"/>
        <v>-1.2371372412995463E-2</v>
      </c>
      <c r="I286" s="83">
        <v>148.64192444954782</v>
      </c>
      <c r="J286" s="83">
        <v>152.18716543221004</v>
      </c>
      <c r="K286" s="83">
        <v>146.92392251677308</v>
      </c>
      <c r="L286" s="83">
        <v>151.98855249200489</v>
      </c>
      <c r="M286" s="84">
        <v>37313600.762288898</v>
      </c>
      <c r="N286" s="85" t="s">
        <v>381</v>
      </c>
      <c r="O286" s="25">
        <f t="shared" si="5"/>
        <v>-2.2018948056190757E-2</v>
      </c>
      <c r="Q286" s="86">
        <v>1.0000000000000002E-2</v>
      </c>
      <c r="R286">
        <v>9</v>
      </c>
      <c r="T286" s="25">
        <f t="shared" si="8"/>
        <v>5.0000000000000001E-3</v>
      </c>
      <c r="U286" s="1">
        <f t="shared" si="7"/>
        <v>17.606924692976399</v>
      </c>
    </row>
    <row r="287" spans="1:21" ht="15">
      <c r="A287" s="83">
        <v>603.08396620745509</v>
      </c>
      <c r="B287" s="83">
        <v>606.00620248376322</v>
      </c>
      <c r="C287" s="83">
        <v>598.89940337641531</v>
      </c>
      <c r="D287" s="83">
        <v>600.48973604379387</v>
      </c>
      <c r="E287" s="84">
        <v>10249751.360103374</v>
      </c>
      <c r="F287" s="85" t="s">
        <v>382</v>
      </c>
      <c r="G287" s="25">
        <f t="shared" si="4"/>
        <v>4.3201906842784688E-3</v>
      </c>
      <c r="I287" s="83">
        <v>154.4414223035387</v>
      </c>
      <c r="J287" s="83">
        <v>155.83171288497488</v>
      </c>
      <c r="K287" s="83">
        <v>147.85740333573736</v>
      </c>
      <c r="L287" s="83">
        <v>149.41651491634795</v>
      </c>
      <c r="M287" s="84">
        <v>22069730.63463033</v>
      </c>
      <c r="N287" s="85" t="s">
        <v>382</v>
      </c>
      <c r="O287" s="25">
        <f t="shared" si="5"/>
        <v>3.3630200717798653E-2</v>
      </c>
      <c r="Q287" s="86">
        <v>1.1000000000000003E-2</v>
      </c>
      <c r="R287">
        <v>16</v>
      </c>
      <c r="T287" s="25">
        <f t="shared" si="8"/>
        <v>6.0000000000000001E-3</v>
      </c>
      <c r="U287" s="1">
        <f t="shared" si="7"/>
        <v>17.372713080444573</v>
      </c>
    </row>
    <row r="288" spans="1:21" ht="15">
      <c r="A288" s="83">
        <v>604.70411761234698</v>
      </c>
      <c r="B288" s="83">
        <v>612.168741569855</v>
      </c>
      <c r="C288" s="83">
        <v>604.45562813306901</v>
      </c>
      <c r="D288" s="83">
        <v>610.97599206932114</v>
      </c>
      <c r="E288" s="84">
        <v>12362167.267208908</v>
      </c>
      <c r="F288" s="85" t="s">
        <v>383</v>
      </c>
      <c r="G288" s="25">
        <f t="shared" si="4"/>
        <v>-1.0265336999137897E-2</v>
      </c>
      <c r="I288" s="83">
        <v>151.839592786851</v>
      </c>
      <c r="J288" s="83">
        <v>153.89047000740959</v>
      </c>
      <c r="K288" s="83">
        <v>150.98555714396878</v>
      </c>
      <c r="L288" s="83">
        <v>152.33612513736392</v>
      </c>
      <c r="M288" s="84">
        <v>17998826.142482031</v>
      </c>
      <c r="N288" s="85" t="s">
        <v>383</v>
      </c>
      <c r="O288" s="25">
        <f t="shared" si="5"/>
        <v>-3.2594524119947677E-3</v>
      </c>
      <c r="Q288" s="86">
        <v>1.2000000000000004E-2</v>
      </c>
      <c r="R288">
        <v>12</v>
      </c>
      <c r="T288" s="25">
        <f t="shared" si="8"/>
        <v>7.0000000000000001E-3</v>
      </c>
      <c r="U288" s="1">
        <f t="shared" si="7"/>
        <v>17.105746699638281</v>
      </c>
    </row>
    <row r="289" spans="1:21" ht="15">
      <c r="A289" s="83">
        <v>613.16269948696652</v>
      </c>
      <c r="B289" s="83">
        <v>616.5222772468037</v>
      </c>
      <c r="C289" s="83">
        <v>612.54644557835741</v>
      </c>
      <c r="D289" s="83">
        <v>614.63375720429167</v>
      </c>
      <c r="E289" s="84">
        <v>8800087.6880364232</v>
      </c>
      <c r="F289" s="85" t="s">
        <v>384</v>
      </c>
      <c r="G289" s="25">
        <f t="shared" si="4"/>
        <v>-2.3933890712680705E-3</v>
      </c>
      <c r="I289" s="83">
        <v>153.61717860168724</v>
      </c>
      <c r="J289" s="83">
        <v>157.81784228702654</v>
      </c>
      <c r="K289" s="83">
        <v>152.43553091393662</v>
      </c>
      <c r="L289" s="83">
        <v>154.36197712745664</v>
      </c>
      <c r="M289" s="84">
        <v>24006605.580253787</v>
      </c>
      <c r="N289" s="85" t="s">
        <v>384</v>
      </c>
      <c r="O289" s="25">
        <f t="shared" si="5"/>
        <v>-4.8250128667011172E-3</v>
      </c>
      <c r="Q289" s="86">
        <v>1.3000000000000005E-2</v>
      </c>
      <c r="R289">
        <v>19</v>
      </c>
      <c r="T289" s="25">
        <f t="shared" si="8"/>
        <v>8.0000000000000002E-3</v>
      </c>
      <c r="U289" s="1">
        <f t="shared" si="7"/>
        <v>16.807637608357769</v>
      </c>
    </row>
    <row r="290" spans="1:21" ht="15">
      <c r="A290" s="83">
        <v>611.47297102787695</v>
      </c>
      <c r="B290" s="83">
        <v>614.34550940832935</v>
      </c>
      <c r="C290" s="83">
        <v>609.83294046464266</v>
      </c>
      <c r="D290" s="83">
        <v>611.00581080683446</v>
      </c>
      <c r="E290" s="84">
        <v>8274060.0646342319</v>
      </c>
      <c r="F290" s="85" t="s">
        <v>385</v>
      </c>
      <c r="G290" s="25">
        <f t="shared" si="4"/>
        <v>7.645757418011101E-4</v>
      </c>
      <c r="I290" s="83">
        <v>154.88830141900033</v>
      </c>
      <c r="J290" s="83">
        <v>157.63909064084191</v>
      </c>
      <c r="K290" s="83">
        <v>153.43882418138301</v>
      </c>
      <c r="L290" s="83">
        <v>154.97767724209265</v>
      </c>
      <c r="M290" s="84">
        <v>21661056.446955785</v>
      </c>
      <c r="N290" s="85" t="s">
        <v>385</v>
      </c>
      <c r="O290" s="25">
        <f t="shared" si="5"/>
        <v>-5.7670126874276306E-4</v>
      </c>
      <c r="Q290" s="86">
        <v>1.4000000000000005E-2</v>
      </c>
      <c r="R290">
        <v>7</v>
      </c>
      <c r="T290" s="25">
        <f t="shared" si="8"/>
        <v>9.0000000000000011E-3</v>
      </c>
      <c r="U290" s="1">
        <f t="shared" si="7"/>
        <v>16.480165310091497</v>
      </c>
    </row>
    <row r="291" spans="1:21" ht="15">
      <c r="A291" s="83">
        <v>605.40982773349617</v>
      </c>
      <c r="B291" s="83">
        <v>614.59797471927561</v>
      </c>
      <c r="C291" s="83">
        <v>604.57490308312242</v>
      </c>
      <c r="D291" s="83">
        <v>611.82085629886592</v>
      </c>
      <c r="E291" s="84">
        <v>23660320.16711612</v>
      </c>
      <c r="F291" s="85" t="s">
        <v>386</v>
      </c>
      <c r="G291" s="25">
        <f t="shared" si="4"/>
        <v>-1.0478604152451498E-2</v>
      </c>
      <c r="I291" s="83">
        <v>154.03426577611813</v>
      </c>
      <c r="J291" s="83">
        <v>159.65501198392437</v>
      </c>
      <c r="K291" s="83">
        <v>153.08092366313332</v>
      </c>
      <c r="L291" s="83">
        <v>157.94694069815992</v>
      </c>
      <c r="M291" s="84">
        <v>26349582.40603007</v>
      </c>
      <c r="N291" s="85" t="s">
        <v>386</v>
      </c>
      <c r="O291" s="25">
        <f t="shared" si="5"/>
        <v>-2.4772084250235582E-2</v>
      </c>
      <c r="Q291" s="86">
        <v>1.5000000000000006E-2</v>
      </c>
      <c r="R291">
        <v>10</v>
      </c>
      <c r="T291" s="25">
        <f t="shared" si="8"/>
        <v>1.0000000000000002E-2</v>
      </c>
      <c r="U291" s="1">
        <f t="shared" si="7"/>
        <v>16.125259080636944</v>
      </c>
    </row>
    <row r="292" spans="1:21" ht="15">
      <c r="A292" s="83">
        <v>608.79922423084668</v>
      </c>
      <c r="B292" s="83">
        <v>613.97774497899809</v>
      </c>
      <c r="C292" s="83">
        <v>608.71970759747774</v>
      </c>
      <c r="D292" s="83">
        <v>613.49070559961342</v>
      </c>
      <c r="E292" s="84">
        <v>12076075.97440413</v>
      </c>
      <c r="F292" s="85" t="s">
        <v>387</v>
      </c>
      <c r="G292" s="25">
        <f t="shared" si="4"/>
        <v>-7.6471922491171407E-3</v>
      </c>
      <c r="I292" s="83">
        <v>158.05617781527275</v>
      </c>
      <c r="J292" s="83">
        <v>166.66604877316681</v>
      </c>
      <c r="K292" s="83">
        <v>157.50999222970856</v>
      </c>
      <c r="L292" s="83">
        <v>163.51803367091489</v>
      </c>
      <c r="M292" s="84">
        <v>37102732.193419546</v>
      </c>
      <c r="N292" s="85" t="s">
        <v>387</v>
      </c>
      <c r="O292" s="25">
        <f t="shared" si="5"/>
        <v>-3.3402162030851557E-2</v>
      </c>
      <c r="Q292" s="86">
        <v>1.6000000000000007E-2</v>
      </c>
      <c r="R292">
        <v>13</v>
      </c>
      <c r="T292" s="25">
        <f t="shared" si="8"/>
        <v>1.1000000000000003E-2</v>
      </c>
      <c r="U292" s="1">
        <f t="shared" si="7"/>
        <v>15.744979069408991</v>
      </c>
    </row>
    <row r="293" spans="1:21" ht="15">
      <c r="A293" s="83">
        <v>618.27164318092014</v>
      </c>
      <c r="B293" s="83">
        <v>621.65110009909949</v>
      </c>
      <c r="C293" s="83">
        <v>615.55813806720539</v>
      </c>
      <c r="D293" s="83">
        <v>619.43457394394068</v>
      </c>
      <c r="E293" s="84">
        <v>6365253.0199522767</v>
      </c>
      <c r="F293" s="85" t="s">
        <v>388</v>
      </c>
      <c r="G293" s="25">
        <f t="shared" si="4"/>
        <v>-1.8774069319640319E-3</v>
      </c>
      <c r="I293" s="83">
        <v>161.98871403133509</v>
      </c>
      <c r="J293" s="83">
        <v>170.56879304819833</v>
      </c>
      <c r="K293" s="83">
        <v>159.46632969072948</v>
      </c>
      <c r="L293" s="83">
        <v>165.22610495667934</v>
      </c>
      <c r="M293" s="84">
        <v>83158929.746865645</v>
      </c>
      <c r="N293" s="85" t="s">
        <v>388</v>
      </c>
      <c r="O293" s="25">
        <f t="shared" si="5"/>
        <v>-1.9593701166005562E-2</v>
      </c>
      <c r="Q293" s="86">
        <v>1.7000000000000008E-2</v>
      </c>
      <c r="R293">
        <v>9</v>
      </c>
      <c r="T293" s="25">
        <f t="shared" si="8"/>
        <v>1.2000000000000004E-2</v>
      </c>
      <c r="U293" s="1">
        <f t="shared" si="7"/>
        <v>15.34149643396395</v>
      </c>
    </row>
    <row r="294" spans="1:21" ht="15">
      <c r="A294" s="83">
        <v>618.95747414372715</v>
      </c>
      <c r="B294" s="83">
        <v>624.70294848779895</v>
      </c>
      <c r="C294" s="83">
        <v>616.88010209696392</v>
      </c>
      <c r="D294" s="83">
        <v>619.55384889399409</v>
      </c>
      <c r="E294" s="84">
        <v>15629246.759101963</v>
      </c>
      <c r="F294" s="85" t="s">
        <v>389</v>
      </c>
      <c r="G294" s="25">
        <f t="shared" si="4"/>
        <v>-9.625874350253083E-4</v>
      </c>
      <c r="I294" s="83">
        <v>148.36386633326057</v>
      </c>
      <c r="J294" s="83">
        <v>153.07099301612303</v>
      </c>
      <c r="K294" s="83">
        <v>147.420454867286</v>
      </c>
      <c r="L294" s="83">
        <v>152.5545993715896</v>
      </c>
      <c r="M294" s="84">
        <v>44242328.635701612</v>
      </c>
      <c r="N294" s="85" t="s">
        <v>389</v>
      </c>
      <c r="O294" s="25">
        <f t="shared" si="5"/>
        <v>-2.7470381460747206E-2</v>
      </c>
      <c r="Q294" s="86">
        <v>1.8000000000000009E-2</v>
      </c>
      <c r="R294">
        <v>9</v>
      </c>
      <c r="T294" s="25">
        <f t="shared" si="8"/>
        <v>1.3000000000000005E-2</v>
      </c>
      <c r="U294" s="1">
        <f t="shared" si="7"/>
        <v>14.917072774965407</v>
      </c>
    </row>
    <row r="295" spans="1:21" ht="15">
      <c r="A295" s="83">
        <v>620.03094869420761</v>
      </c>
      <c r="B295" s="83">
        <v>621.54176472821723</v>
      </c>
      <c r="C295" s="83">
        <v>605.51916310437855</v>
      </c>
      <c r="D295" s="83">
        <v>609.1570490810069</v>
      </c>
      <c r="E295" s="84">
        <v>13259006.27684268</v>
      </c>
      <c r="F295" s="85" t="s">
        <v>390</v>
      </c>
      <c r="G295" s="25">
        <f t="shared" si="4"/>
        <v>1.7850732630616983E-2</v>
      </c>
      <c r="I295" s="83">
        <v>150.50888608747638</v>
      </c>
      <c r="J295" s="83">
        <v>150.94583455592775</v>
      </c>
      <c r="K295" s="83">
        <v>145.41923088177873</v>
      </c>
      <c r="L295" s="83">
        <v>149.65485044459413</v>
      </c>
      <c r="M295" s="84">
        <v>31101075.51239638</v>
      </c>
      <c r="N295" s="85" t="s">
        <v>390</v>
      </c>
      <c r="O295" s="25">
        <f t="shared" si="5"/>
        <v>5.7067020570671367E-3</v>
      </c>
      <c r="Q295" s="86">
        <v>1.900000000000001E-2</v>
      </c>
      <c r="R295">
        <v>9</v>
      </c>
      <c r="T295" s="25">
        <f t="shared" si="8"/>
        <v>1.4000000000000005E-2</v>
      </c>
      <c r="U295" s="1">
        <f t="shared" si="7"/>
        <v>14.474039142912186</v>
      </c>
    </row>
    <row r="296" spans="1:21" ht="15">
      <c r="A296" s="83">
        <v>614.69339467931832</v>
      </c>
      <c r="B296" s="83">
        <v>618.06291201832676</v>
      </c>
      <c r="C296" s="83">
        <v>612.27807694073726</v>
      </c>
      <c r="D296" s="83">
        <v>615.59292659430446</v>
      </c>
      <c r="E296" s="84">
        <v>9721290.7967764959</v>
      </c>
      <c r="F296" s="85" t="s">
        <v>391</v>
      </c>
      <c r="G296" s="25">
        <f t="shared" si="4"/>
        <v>-1.461244722161914E-3</v>
      </c>
      <c r="I296" s="83">
        <v>151.89917666891256</v>
      </c>
      <c r="J296" s="83">
        <v>158.08596975630354</v>
      </c>
      <c r="K296" s="83">
        <v>150.56846996953794</v>
      </c>
      <c r="L296" s="83">
        <v>151.8594540808715</v>
      </c>
      <c r="M296" s="84">
        <v>37856815.319752023</v>
      </c>
      <c r="N296" s="85" t="s">
        <v>391</v>
      </c>
      <c r="O296" s="25">
        <f t="shared" si="5"/>
        <v>2.6157467957110825E-4</v>
      </c>
      <c r="Q296" s="86">
        <v>2.0000000000000011E-2</v>
      </c>
      <c r="R296">
        <v>4</v>
      </c>
      <c r="T296" s="25">
        <f t="shared" si="8"/>
        <v>1.5000000000000006E-2</v>
      </c>
      <c r="U296" s="1">
        <f t="shared" si="7"/>
        <v>14.014774887466743</v>
      </c>
    </row>
    <row r="297" spans="1:21" ht="15">
      <c r="A297" s="83">
        <v>623.02276202471342</v>
      </c>
      <c r="B297" s="83">
        <v>626.69046673885521</v>
      </c>
      <c r="C297" s="83">
        <v>617.64544969313977</v>
      </c>
      <c r="D297" s="83">
        <v>623.49986182492705</v>
      </c>
      <c r="E297" s="84">
        <v>12232951.097802835</v>
      </c>
      <c r="F297" s="85" t="s">
        <v>392</v>
      </c>
      <c r="G297" s="25">
        <f t="shared" si="4"/>
        <v>-7.6519632068117183E-4</v>
      </c>
      <c r="I297" s="83">
        <v>153.71648507178983</v>
      </c>
      <c r="J297" s="83">
        <v>156.84463888002122</v>
      </c>
      <c r="K297" s="83">
        <v>149.07887291799918</v>
      </c>
      <c r="L297" s="83">
        <v>151.53174272953299</v>
      </c>
      <c r="M297" s="84">
        <v>23875821.838805888</v>
      </c>
      <c r="N297" s="85" t="s">
        <v>392</v>
      </c>
      <c r="O297" s="25">
        <f t="shared" si="5"/>
        <v>1.4417720689429148E-2</v>
      </c>
      <c r="Q297" s="86">
        <v>2.1000000000000012E-2</v>
      </c>
      <c r="R297">
        <v>3</v>
      </c>
      <c r="T297" s="25">
        <f t="shared" si="8"/>
        <v>1.6000000000000007E-2</v>
      </c>
      <c r="U297" s="1">
        <f t="shared" si="7"/>
        <v>13.541686615285364</v>
      </c>
    </row>
    <row r="298" spans="1:21" ht="15">
      <c r="A298" s="83">
        <v>626.37240020537945</v>
      </c>
      <c r="B298" s="83">
        <v>628.14164529783818</v>
      </c>
      <c r="C298" s="83">
        <v>621.29327524893938</v>
      </c>
      <c r="D298" s="83">
        <v>623.13209739559568</v>
      </c>
      <c r="E298" s="84">
        <v>13466889.564598415</v>
      </c>
      <c r="F298" s="85" t="s">
        <v>393</v>
      </c>
      <c r="G298" s="25">
        <f t="shared" si="4"/>
        <v>5.2000255215975955E-3</v>
      </c>
      <c r="I298" s="83">
        <v>151.31326849530731</v>
      </c>
      <c r="J298" s="83">
        <v>152.54466872457937</v>
      </c>
      <c r="K298" s="83">
        <v>148.0659469229528</v>
      </c>
      <c r="L298" s="83">
        <v>148.96963580088632</v>
      </c>
      <c r="M298" s="84">
        <v>17044851.723673899</v>
      </c>
      <c r="N298" s="85" t="s">
        <v>393</v>
      </c>
      <c r="O298" s="25">
        <f t="shared" si="5"/>
        <v>1.5732284514365702E-2</v>
      </c>
      <c r="Q298" s="86">
        <v>2.2000000000000013E-2</v>
      </c>
      <c r="R298">
        <v>5</v>
      </c>
      <c r="T298" s="25">
        <f t="shared" si="8"/>
        <v>1.7000000000000008E-2</v>
      </c>
      <c r="U298" s="1">
        <f t="shared" si="7"/>
        <v>13.057187513069952</v>
      </c>
    </row>
    <row r="299" spans="1:21" ht="15">
      <c r="A299" s="83">
        <v>621.93934789506193</v>
      </c>
      <c r="B299" s="83">
        <v>623.99684078348275</v>
      </c>
      <c r="C299" s="83">
        <v>612.15880199068386</v>
      </c>
      <c r="D299" s="83">
        <v>617.05901452204387</v>
      </c>
      <c r="E299" s="84">
        <v>17858757.235400345</v>
      </c>
      <c r="F299" s="85" t="s">
        <v>394</v>
      </c>
      <c r="G299" s="25">
        <f t="shared" si="4"/>
        <v>7.9090220840518644E-3</v>
      </c>
      <c r="I299" s="83">
        <v>147.97657109986048</v>
      </c>
      <c r="J299" s="83">
        <v>149.88325532583011</v>
      </c>
      <c r="K299" s="83">
        <v>142.05790548174647</v>
      </c>
      <c r="L299" s="83">
        <v>143.74611547349039</v>
      </c>
      <c r="M299" s="84">
        <v>20003269.350707799</v>
      </c>
      <c r="N299" s="85" t="s">
        <v>394</v>
      </c>
      <c r="O299" s="25">
        <f t="shared" si="5"/>
        <v>2.9430051813471581E-2</v>
      </c>
      <c r="Q299" s="86">
        <v>2.3000000000000013E-2</v>
      </c>
      <c r="R299">
        <v>5</v>
      </c>
      <c r="T299" s="25">
        <f t="shared" si="8"/>
        <v>1.8000000000000009E-2</v>
      </c>
      <c r="U299" s="1">
        <f t="shared" si="7"/>
        <v>12.563677279426217</v>
      </c>
    </row>
    <row r="300" spans="1:21" ht="15">
      <c r="A300" s="83">
        <v>627.46575391420231</v>
      </c>
      <c r="B300" s="83">
        <v>629.51330722345222</v>
      </c>
      <c r="C300" s="83">
        <v>619.83215711078537</v>
      </c>
      <c r="D300" s="83">
        <v>620.41362249229553</v>
      </c>
      <c r="E300" s="84">
        <v>9196640.0864975248</v>
      </c>
      <c r="F300" s="85" t="s">
        <v>395</v>
      </c>
      <c r="G300" s="25">
        <f t="shared" si="4"/>
        <v>1.1366822336326798E-2</v>
      </c>
      <c r="I300" s="83">
        <v>148.21490662810669</v>
      </c>
      <c r="J300" s="83">
        <v>149.12852615305044</v>
      </c>
      <c r="K300" s="83">
        <v>140.20087449082817</v>
      </c>
      <c r="L300" s="83">
        <v>140.63782295927953</v>
      </c>
      <c r="M300" s="84">
        <v>22062806.269185763</v>
      </c>
      <c r="N300" s="85" t="s">
        <v>395</v>
      </c>
      <c r="O300" s="25">
        <f t="shared" si="5"/>
        <v>5.3876571105776039E-2</v>
      </c>
      <c r="Q300" s="86">
        <v>2.4000000000000014E-2</v>
      </c>
      <c r="R300">
        <v>2</v>
      </c>
      <c r="T300" s="25">
        <f t="shared" si="8"/>
        <v>1.900000000000001E-2</v>
      </c>
      <c r="U300" s="1">
        <f t="shared" si="7"/>
        <v>12.063522892389456</v>
      </c>
    </row>
    <row r="301" spans="1:21" ht="15">
      <c r="A301" s="83">
        <v>627.22720401409549</v>
      </c>
      <c r="B301" s="83">
        <v>627.87327666021804</v>
      </c>
      <c r="C301" s="83">
        <v>623.15197655393808</v>
      </c>
      <c r="D301" s="83">
        <v>624.44412184618307</v>
      </c>
      <c r="E301" s="84">
        <v>10491519.318548061</v>
      </c>
      <c r="F301" s="85" t="s">
        <v>396</v>
      </c>
      <c r="G301" s="25">
        <f t="shared" si="4"/>
        <v>4.4568954539665473E-3</v>
      </c>
      <c r="I301" s="83">
        <v>144.3916075291572</v>
      </c>
      <c r="J301" s="83">
        <v>145.06689152585477</v>
      </c>
      <c r="K301" s="83">
        <v>141.11449401577192</v>
      </c>
      <c r="L301" s="83">
        <v>142.8821491835979</v>
      </c>
      <c r="M301" s="84">
        <v>36482915.574256487</v>
      </c>
      <c r="N301" s="85" t="s">
        <v>396</v>
      </c>
      <c r="O301" s="25">
        <f t="shared" si="5"/>
        <v>1.0564359188212524E-2</v>
      </c>
      <c r="Q301" s="86">
        <v>2.5000000000000015E-2</v>
      </c>
      <c r="R301">
        <v>7</v>
      </c>
      <c r="T301" s="25">
        <f t="shared" si="8"/>
        <v>2.0000000000000011E-2</v>
      </c>
      <c r="U301" s="1">
        <f t="shared" si="7"/>
        <v>11.559040419592579</v>
      </c>
    </row>
    <row r="302" spans="1:21" ht="15">
      <c r="A302" s="83">
        <v>630.11962155289029</v>
      </c>
      <c r="B302" s="83">
        <v>633.91654079625641</v>
      </c>
      <c r="C302" s="83">
        <v>625.62693176754578</v>
      </c>
      <c r="D302" s="83">
        <v>633.79726584620312</v>
      </c>
      <c r="E302" s="84">
        <v>9465251.0645919107</v>
      </c>
      <c r="F302" s="85" t="s">
        <v>397</v>
      </c>
      <c r="G302" s="25">
        <f t="shared" si="4"/>
        <v>-5.8025562612717962E-3</v>
      </c>
      <c r="I302" s="83">
        <v>149.26755521119406</v>
      </c>
      <c r="J302" s="83">
        <v>151.44236690644067</v>
      </c>
      <c r="K302" s="83">
        <v>144.14334135390075</v>
      </c>
      <c r="L302" s="83">
        <v>147.7580968656348</v>
      </c>
      <c r="M302" s="84">
        <v>20490286.405387521</v>
      </c>
      <c r="N302" s="85" t="s">
        <v>397</v>
      </c>
      <c r="O302" s="25">
        <f t="shared" si="5"/>
        <v>1.0215740305127952E-2</v>
      </c>
      <c r="Q302" s="86">
        <v>2.6000000000000016E-2</v>
      </c>
      <c r="R302">
        <v>4</v>
      </c>
      <c r="T302" s="25">
        <f t="shared" si="8"/>
        <v>2.1000000000000012E-2</v>
      </c>
      <c r="U302" s="1">
        <f t="shared" si="7"/>
        <v>11.052478055479412</v>
      </c>
    </row>
    <row r="303" spans="1:21" ht="15">
      <c r="A303" s="83">
        <v>633.67799089614971</v>
      </c>
      <c r="B303" s="83">
        <v>634.1451511171922</v>
      </c>
      <c r="C303" s="83">
        <v>630.90484830740843</v>
      </c>
      <c r="D303" s="83">
        <v>630.93466704492175</v>
      </c>
      <c r="E303" s="84">
        <v>12065849.900015049</v>
      </c>
      <c r="F303" s="85" t="s">
        <v>398</v>
      </c>
      <c r="G303" s="25">
        <f t="shared" si="4"/>
        <v>4.3480315704900185E-3</v>
      </c>
      <c r="I303" s="83">
        <v>146.86433863471152</v>
      </c>
      <c r="J303" s="83">
        <v>152.21636153442023</v>
      </c>
      <c r="K303" s="83">
        <v>146.31318772564219</v>
      </c>
      <c r="L303" s="83">
        <v>148.12553080501436</v>
      </c>
      <c r="M303" s="84">
        <v>26451264.281536967</v>
      </c>
      <c r="N303" s="85" t="s">
        <v>398</v>
      </c>
      <c r="O303" s="25">
        <f t="shared" si="5"/>
        <v>-8.5143470099224849E-3</v>
      </c>
      <c r="Q303" s="86">
        <v>2.7000000000000017E-2</v>
      </c>
      <c r="R303">
        <v>4</v>
      </c>
      <c r="T303" s="25">
        <f t="shared" si="8"/>
        <v>2.2000000000000013E-2</v>
      </c>
      <c r="U303" s="1">
        <f t="shared" si="7"/>
        <v>10.546000545223505</v>
      </c>
    </row>
    <row r="304" spans="1:21" ht="15">
      <c r="A304" s="83">
        <v>628.39013477711615</v>
      </c>
      <c r="B304" s="83">
        <v>629.26481774417425</v>
      </c>
      <c r="C304" s="83">
        <v>621.62128136158617</v>
      </c>
      <c r="D304" s="83">
        <v>623.36070771653135</v>
      </c>
      <c r="E304" s="84">
        <v>6934297.6936378954</v>
      </c>
      <c r="F304" s="85" t="s">
        <v>399</v>
      </c>
      <c r="G304" s="25">
        <f t="shared" si="4"/>
        <v>8.0682452363871615E-3</v>
      </c>
      <c r="I304" s="83">
        <v>145.1264754079163</v>
      </c>
      <c r="J304" s="83">
        <v>145.74217552255234</v>
      </c>
      <c r="K304" s="83">
        <v>137.76786597331483</v>
      </c>
      <c r="L304" s="83">
        <v>139.86323249247937</v>
      </c>
      <c r="M304" s="84">
        <v>21274331.060882468</v>
      </c>
      <c r="N304" s="85" t="s">
        <v>399</v>
      </c>
      <c r="O304" s="25">
        <f t="shared" si="5"/>
        <v>3.7631354728770106E-2</v>
      </c>
      <c r="Q304" s="86">
        <v>2.8000000000000018E-2</v>
      </c>
      <c r="R304">
        <v>1</v>
      </c>
      <c r="T304" s="25">
        <f t="shared" si="8"/>
        <v>2.3000000000000013E-2</v>
      </c>
      <c r="U304" s="1">
        <f t="shared" si="7"/>
        <v>10.041675128639687</v>
      </c>
    </row>
    <row r="305" spans="1:21" ht="15">
      <c r="A305" s="83">
        <v>623.83780751674499</v>
      </c>
      <c r="B305" s="83">
        <v>630.77563377818387</v>
      </c>
      <c r="C305" s="83">
        <v>621.96916663257525</v>
      </c>
      <c r="D305" s="83">
        <v>628.78771794396073</v>
      </c>
      <c r="E305" s="84">
        <v>10883525.717704553</v>
      </c>
      <c r="F305" s="85" t="s">
        <v>400</v>
      </c>
      <c r="G305" s="25">
        <f t="shared" si="4"/>
        <v>-7.8721487172191962E-3</v>
      </c>
      <c r="I305" s="83">
        <v>140.32997290196153</v>
      </c>
      <c r="J305" s="83">
        <v>144.78883340956756</v>
      </c>
      <c r="K305" s="83">
        <v>137.6238715916661</v>
      </c>
      <c r="L305" s="83">
        <v>144.6795962924547</v>
      </c>
      <c r="M305" s="84">
        <v>31780594.941495936</v>
      </c>
      <c r="N305" s="85" t="s">
        <v>400</v>
      </c>
      <c r="O305" s="25">
        <f t="shared" si="5"/>
        <v>-3.0063834168439829E-2</v>
      </c>
      <c r="Q305" s="86">
        <v>2.9000000000000019E-2</v>
      </c>
      <c r="R305">
        <v>4</v>
      </c>
      <c r="T305" s="25">
        <f t="shared" si="8"/>
        <v>2.4000000000000014E-2</v>
      </c>
      <c r="U305" s="1">
        <f t="shared" si="7"/>
        <v>9.5414591099234958</v>
      </c>
    </row>
    <row r="306" spans="1:21" ht="15">
      <c r="A306" s="83">
        <v>630.18919860708797</v>
      </c>
      <c r="B306" s="83">
        <v>630.74581504067055</v>
      </c>
      <c r="C306" s="83">
        <v>623.24143276647806</v>
      </c>
      <c r="D306" s="83">
        <v>623.68871382917825</v>
      </c>
      <c r="E306" s="84">
        <v>7493334.3472365998</v>
      </c>
      <c r="F306" s="85" t="s">
        <v>401</v>
      </c>
      <c r="G306" s="25">
        <f t="shared" si="4"/>
        <v>1.0422642952763406E-2</v>
      </c>
      <c r="I306" s="83">
        <v>147.05302092790646</v>
      </c>
      <c r="J306" s="83">
        <v>152.92203331096917</v>
      </c>
      <c r="K306" s="83">
        <v>146.36780628419862</v>
      </c>
      <c r="L306" s="83">
        <v>152.23681866726136</v>
      </c>
      <c r="M306" s="84">
        <v>29429324.161668628</v>
      </c>
      <c r="N306" s="85" t="s">
        <v>401</v>
      </c>
      <c r="O306" s="25">
        <f t="shared" si="5"/>
        <v>-3.405088062622319E-2</v>
      </c>
      <c r="Q306" s="86">
        <v>3.000000000000002E-2</v>
      </c>
      <c r="R306">
        <v>3</v>
      </c>
      <c r="T306" s="25">
        <f t="shared" si="8"/>
        <v>2.5000000000000015E-2</v>
      </c>
      <c r="U306" s="1">
        <f t="shared" si="7"/>
        <v>9.0471891310735693</v>
      </c>
    </row>
    <row r="307" spans="1:21" ht="15">
      <c r="A307" s="83">
        <v>625.72632755925702</v>
      </c>
      <c r="B307" s="83">
        <v>627.26696233077996</v>
      </c>
      <c r="C307" s="83">
        <v>623.02276202471342</v>
      </c>
      <c r="D307" s="83">
        <v>625.14983196733237</v>
      </c>
      <c r="E307" s="84">
        <v>5201993.878197087</v>
      </c>
      <c r="F307" s="85" t="s">
        <v>402</v>
      </c>
      <c r="G307" s="25">
        <f t="shared" si="4"/>
        <v>9.2217187375776E-4</v>
      </c>
      <c r="I307" s="83">
        <v>155.45434829858505</v>
      </c>
      <c r="J307" s="83">
        <v>158.97247861490931</v>
      </c>
      <c r="K307" s="83">
        <v>154.68968847879518</v>
      </c>
      <c r="L307" s="83">
        <v>156.09984035425185</v>
      </c>
      <c r="M307" s="84">
        <v>14933131.733190183</v>
      </c>
      <c r="N307" s="85" t="s">
        <v>402</v>
      </c>
      <c r="O307" s="25">
        <f t="shared" si="5"/>
        <v>-4.1351230994338684E-3</v>
      </c>
      <c r="Q307" s="86">
        <v>3.1000000000000021E-2</v>
      </c>
      <c r="R307">
        <v>2</v>
      </c>
      <c r="T307" s="25">
        <f t="shared" si="8"/>
        <v>2.6000000000000016E-2</v>
      </c>
      <c r="U307" s="1">
        <f t="shared" si="7"/>
        <v>8.5605721988818431</v>
      </c>
    </row>
    <row r="308" spans="1:21" ht="15">
      <c r="A308" s="83">
        <v>627.33653938497775</v>
      </c>
      <c r="B308" s="83">
        <v>629.97052786532345</v>
      </c>
      <c r="C308" s="83">
        <v>624.20557194607625</v>
      </c>
      <c r="D308" s="83">
        <v>625.30886523407014</v>
      </c>
      <c r="E308" s="84">
        <v>9566979.4830282088</v>
      </c>
      <c r="F308" s="85" t="s">
        <v>403</v>
      </c>
      <c r="G308" s="25">
        <f t="shared" si="4"/>
        <v>3.2426761615615973E-3</v>
      </c>
      <c r="I308" s="83">
        <v>155.08691435920548</v>
      </c>
      <c r="J308" s="83">
        <v>156.20907747136471</v>
      </c>
      <c r="K308" s="83">
        <v>150.32020379428147</v>
      </c>
      <c r="L308" s="83">
        <v>153.3341551618949</v>
      </c>
      <c r="M308" s="84">
        <v>14904447.801548494</v>
      </c>
      <c r="N308" s="85" t="s">
        <v>403</v>
      </c>
      <c r="O308" s="25">
        <f t="shared" si="5"/>
        <v>1.1430976976134044E-2</v>
      </c>
      <c r="Q308" s="86">
        <v>3.2000000000000021E-2</v>
      </c>
      <c r="R308">
        <v>3</v>
      </c>
      <c r="T308" s="25">
        <f t="shared" si="8"/>
        <v>2.7000000000000017E-2</v>
      </c>
      <c r="U308" s="1">
        <f t="shared" si="7"/>
        <v>8.0831784879281425</v>
      </c>
    </row>
    <row r="309" spans="1:21" ht="15">
      <c r="A309" s="83">
        <v>624.19563236690522</v>
      </c>
      <c r="B309" s="83">
        <v>626.1239107261016</v>
      </c>
      <c r="C309" s="83">
        <v>617.75478506402203</v>
      </c>
      <c r="D309" s="83">
        <v>621.76043546998176</v>
      </c>
      <c r="E309" s="84">
        <v>8088295.1497205654</v>
      </c>
      <c r="F309" s="85" t="s">
        <v>404</v>
      </c>
      <c r="G309" s="25">
        <f t="shared" si="4"/>
        <v>3.9166160437382747E-3</v>
      </c>
      <c r="I309" s="83">
        <v>152.90217201694864</v>
      </c>
      <c r="J309" s="83">
        <v>158.17534557939587</v>
      </c>
      <c r="K309" s="83">
        <v>151.81973149283047</v>
      </c>
      <c r="L309" s="83">
        <v>156.88436146806225</v>
      </c>
      <c r="M309" s="84">
        <v>19221135.320067447</v>
      </c>
      <c r="N309" s="85" t="s">
        <v>404</v>
      </c>
      <c r="O309" s="25">
        <f t="shared" si="5"/>
        <v>-2.5382959868337718E-2</v>
      </c>
      <c r="Q309" s="86">
        <v>3.3000000000000022E-2</v>
      </c>
      <c r="R309">
        <v>4</v>
      </c>
      <c r="T309" s="25">
        <f t="shared" si="8"/>
        <v>2.8000000000000018E-2</v>
      </c>
      <c r="U309" s="1">
        <f t="shared" si="7"/>
        <v>7.6164359155676919</v>
      </c>
    </row>
    <row r="310" spans="1:21" ht="15">
      <c r="A310" s="83">
        <v>623.10227865808235</v>
      </c>
      <c r="B310" s="83">
        <v>627.35641854331993</v>
      </c>
      <c r="C310" s="83">
        <v>619.35008752098622</v>
      </c>
      <c r="D310" s="83">
        <v>623.14203697476682</v>
      </c>
      <c r="E310" s="84">
        <v>9304973.4206822477</v>
      </c>
      <c r="F310" s="85" t="s">
        <v>405</v>
      </c>
      <c r="G310" s="25">
        <f t="shared" si="4"/>
        <v>-6.3802976408844359E-5</v>
      </c>
      <c r="I310" s="83">
        <v>159.02938122227806</v>
      </c>
      <c r="J310" s="83">
        <v>161.17440097649393</v>
      </c>
      <c r="K310" s="83">
        <v>154.21301742230276</v>
      </c>
      <c r="L310" s="83">
        <v>158.1455536383651</v>
      </c>
      <c r="M310" s="84">
        <v>18363351.331652541</v>
      </c>
      <c r="N310" s="85" t="s">
        <v>405</v>
      </c>
      <c r="O310" s="25">
        <f t="shared" si="5"/>
        <v>5.5886970172682737E-3</v>
      </c>
      <c r="Q310" s="86">
        <v>3.4000000000000023E-2</v>
      </c>
      <c r="R310">
        <v>4</v>
      </c>
      <c r="T310" s="25">
        <f t="shared" si="8"/>
        <v>2.9000000000000019E-2</v>
      </c>
      <c r="U310" s="1">
        <f t="shared" si="7"/>
        <v>7.161626459885543</v>
      </c>
    </row>
    <row r="311" spans="1:21" ht="15">
      <c r="A311" s="83">
        <v>622.70469549123777</v>
      </c>
      <c r="B311" s="83">
        <v>635.65596715120171</v>
      </c>
      <c r="C311" s="83">
        <v>621.97910621174628</v>
      </c>
      <c r="D311" s="83">
        <v>634.65206965491905</v>
      </c>
      <c r="E311" s="84">
        <v>8920772.0441192109</v>
      </c>
      <c r="F311" s="85" t="s">
        <v>406</v>
      </c>
      <c r="G311" s="25">
        <f t="shared" si="4"/>
        <v>-1.8825077132699541E-2</v>
      </c>
      <c r="I311" s="83">
        <v>155.39476441652351</v>
      </c>
      <c r="J311" s="83">
        <v>157.93701005114966</v>
      </c>
      <c r="K311" s="83">
        <v>151.44236690644067</v>
      </c>
      <c r="L311" s="83">
        <v>156.83470823301099</v>
      </c>
      <c r="M311" s="84">
        <v>23284541.255080134</v>
      </c>
      <c r="N311" s="85" t="s">
        <v>406</v>
      </c>
      <c r="O311" s="25">
        <f t="shared" si="5"/>
        <v>-9.1812828468308405E-3</v>
      </c>
      <c r="Q311" s="86">
        <v>3.5000000000000024E-2</v>
      </c>
      <c r="R311">
        <v>1</v>
      </c>
      <c r="T311" s="25">
        <f t="shared" si="8"/>
        <v>3.000000000000002E-2</v>
      </c>
      <c r="U311" s="1">
        <f t="shared" si="7"/>
        <v>6.7198841683924888</v>
      </c>
    </row>
    <row r="312" spans="1:21" ht="15">
      <c r="A312" s="83">
        <v>632.50512055395802</v>
      </c>
      <c r="B312" s="83">
        <v>637.27611855609359</v>
      </c>
      <c r="C312" s="83">
        <v>630.01028618200803</v>
      </c>
      <c r="D312" s="83">
        <v>636.62010633080001</v>
      </c>
      <c r="E312" s="84">
        <v>5349413.6003778903</v>
      </c>
      <c r="F312" s="85" t="s">
        <v>407</v>
      </c>
      <c r="G312" s="25">
        <f t="shared" si="4"/>
        <v>-6.4638011522428762E-3</v>
      </c>
      <c r="I312" s="83">
        <v>156.07004841322109</v>
      </c>
      <c r="J312" s="83">
        <v>162.52496896988904</v>
      </c>
      <c r="K312" s="83">
        <v>152.93196395797943</v>
      </c>
      <c r="L312" s="83">
        <v>162.52496896988904</v>
      </c>
      <c r="M312" s="84">
        <v>24425981.484331124</v>
      </c>
      <c r="N312" s="85" t="s">
        <v>407</v>
      </c>
      <c r="O312" s="25">
        <f t="shared" si="5"/>
        <v>-3.9716485396553813E-2</v>
      </c>
      <c r="Q312" s="86">
        <v>3.6000000000000025E-2</v>
      </c>
      <c r="R312">
        <v>2</v>
      </c>
      <c r="T312" s="25">
        <f t="shared" si="8"/>
        <v>3.1000000000000021E-2</v>
      </c>
      <c r="U312" s="1">
        <f t="shared" si="7"/>
        <v>6.2921947841782719</v>
      </c>
    </row>
    <row r="313" spans="1:21" ht="15">
      <c r="A313" s="83">
        <v>632.59457676649811</v>
      </c>
      <c r="B313" s="83">
        <v>636.74932086002445</v>
      </c>
      <c r="C313" s="83">
        <v>632.23675191633799</v>
      </c>
      <c r="D313" s="83">
        <v>635.2782631426993</v>
      </c>
      <c r="E313" s="84">
        <v>13702744.115746059</v>
      </c>
      <c r="F313" s="85" t="s">
        <v>408</v>
      </c>
      <c r="G313" s="25">
        <f t="shared" si="4"/>
        <v>-4.2244265732076514E-3</v>
      </c>
      <c r="I313" s="83">
        <v>158.78111504702161</v>
      </c>
      <c r="J313" s="83">
        <v>164.24297090266373</v>
      </c>
      <c r="K313" s="83">
        <v>155.87143547301594</v>
      </c>
      <c r="L313" s="83">
        <v>158.89035216413447</v>
      </c>
      <c r="M313" s="84">
        <v>39993426.368869141</v>
      </c>
      <c r="N313" s="85" t="s">
        <v>408</v>
      </c>
      <c r="O313" s="25">
        <f t="shared" si="5"/>
        <v>-6.8750000000006306E-4</v>
      </c>
      <c r="Q313" s="86">
        <v>3.7000000000000026E-2</v>
      </c>
      <c r="R313">
        <v>3</v>
      </c>
      <c r="T313" s="25">
        <f t="shared" si="8"/>
        <v>3.2000000000000021E-2</v>
      </c>
      <c r="U313" s="1">
        <f t="shared" si="7"/>
        <v>5.8793968975815964</v>
      </c>
    </row>
    <row r="314" spans="1:21" ht="15">
      <c r="A314" s="83">
        <v>634.37376143812787</v>
      </c>
      <c r="B314" s="83">
        <v>636.1231273722442</v>
      </c>
      <c r="C314" s="83">
        <v>629.28469690251654</v>
      </c>
      <c r="D314" s="83">
        <v>630.2388965029437</v>
      </c>
      <c r="E314" s="84">
        <v>8939190.3289226554</v>
      </c>
      <c r="F314" s="85" t="s">
        <v>409</v>
      </c>
      <c r="G314" s="25">
        <f t="shared" si="4"/>
        <v>6.5607898181587743E-3</v>
      </c>
      <c r="I314" s="83">
        <v>155.50400153363637</v>
      </c>
      <c r="J314" s="83">
        <v>158.64208598887802</v>
      </c>
      <c r="K314" s="83">
        <v>145.98051105079855</v>
      </c>
      <c r="L314" s="83">
        <v>147.46017745532706</v>
      </c>
      <c r="M314" s="84">
        <v>49885224.949417412</v>
      </c>
      <c r="N314" s="85" t="s">
        <v>409</v>
      </c>
      <c r="O314" s="25">
        <f t="shared" si="5"/>
        <v>5.4549127887399962E-2</v>
      </c>
      <c r="Q314" s="86">
        <v>3.8000000000000027E-2</v>
      </c>
      <c r="R314">
        <v>3</v>
      </c>
      <c r="T314" s="25">
        <f t="shared" si="8"/>
        <v>3.3000000000000022E-2</v>
      </c>
      <c r="U314" s="1">
        <f t="shared" si="7"/>
        <v>5.4821845153833593</v>
      </c>
    </row>
    <row r="315" spans="1:21" ht="15">
      <c r="A315" s="83">
        <v>631.40182726596413</v>
      </c>
      <c r="B315" s="83">
        <v>632.8728849832894</v>
      </c>
      <c r="C315" s="83">
        <v>622.41644769527545</v>
      </c>
      <c r="D315" s="83">
        <v>622.93330581217344</v>
      </c>
      <c r="E315" s="84">
        <v>13038197.87225973</v>
      </c>
      <c r="F315" s="85" t="s">
        <v>410</v>
      </c>
      <c r="G315" s="25">
        <f t="shared" si="4"/>
        <v>1.3594587694664151E-2</v>
      </c>
      <c r="I315" s="83">
        <v>141.82950060051053</v>
      </c>
      <c r="J315" s="83">
        <v>142.20686518690033</v>
      </c>
      <c r="K315" s="83">
        <v>137.94661761949948</v>
      </c>
      <c r="L315" s="83">
        <v>138.7807919683612</v>
      </c>
      <c r="M315" s="84">
        <v>29950985.035793811</v>
      </c>
      <c r="N315" s="85" t="s">
        <v>410</v>
      </c>
      <c r="O315" s="25">
        <f t="shared" si="5"/>
        <v>2.1967799642218289E-2</v>
      </c>
      <c r="Q315" s="86">
        <v>3.9000000000000028E-2</v>
      </c>
      <c r="R315">
        <v>2</v>
      </c>
      <c r="T315" s="25">
        <f t="shared" si="8"/>
        <v>3.4000000000000023E-2</v>
      </c>
      <c r="U315" s="1">
        <f t="shared" si="7"/>
        <v>5.1011109262127858</v>
      </c>
    </row>
    <row r="316" spans="1:21" ht="15">
      <c r="A316" s="83">
        <v>619.33517815222956</v>
      </c>
      <c r="B316" s="83">
        <v>624.95104038390991</v>
      </c>
      <c r="C316" s="83">
        <v>617.744845484851</v>
      </c>
      <c r="D316" s="83">
        <v>622.45620601195992</v>
      </c>
      <c r="E316" s="84">
        <v>11576929.769259207</v>
      </c>
      <c r="F316" s="85" t="s">
        <v>411</v>
      </c>
      <c r="G316" s="25">
        <f t="shared" ref="G316:G379" si="9">A316/D316-1</f>
        <v>-5.0140521205926936E-3</v>
      </c>
      <c r="I316" s="83">
        <v>135.53347039600669</v>
      </c>
      <c r="J316" s="83">
        <v>145.53363193533693</v>
      </c>
      <c r="K316" s="83">
        <v>134.31200081374493</v>
      </c>
      <c r="L316" s="83">
        <v>144.59022046936235</v>
      </c>
      <c r="M316" s="84">
        <v>41907802.137171209</v>
      </c>
      <c r="N316" s="85" t="s">
        <v>411</v>
      </c>
      <c r="O316" s="25">
        <f t="shared" ref="O316:O379" si="10">I316/L316-1</f>
        <v>-6.2637362637362637E-2</v>
      </c>
      <c r="Q316" s="86">
        <v>4.0000000000000029E-2</v>
      </c>
      <c r="R316">
        <v>1</v>
      </c>
      <c r="T316" s="25">
        <f t="shared" si="8"/>
        <v>3.5000000000000024E-2</v>
      </c>
      <c r="U316" s="1">
        <f t="shared" si="7"/>
        <v>4.7365937303483099</v>
      </c>
    </row>
    <row r="317" spans="1:21" ht="15">
      <c r="A317" s="83">
        <v>627.09798948487094</v>
      </c>
      <c r="B317" s="83">
        <v>632.0777186496</v>
      </c>
      <c r="C317" s="83">
        <v>623.21161402896473</v>
      </c>
      <c r="D317" s="83">
        <v>631.09370031165952</v>
      </c>
      <c r="E317" s="84">
        <v>11296495.361321686</v>
      </c>
      <c r="F317" s="85" t="s">
        <v>412</v>
      </c>
      <c r="G317" s="25">
        <f t="shared" si="9"/>
        <v>-6.3314066117524659E-3</v>
      </c>
      <c r="I317" s="83">
        <v>145.65279969945999</v>
      </c>
      <c r="J317" s="83">
        <v>152.87238007591787</v>
      </c>
      <c r="K317" s="83">
        <v>143.43032089856416</v>
      </c>
      <c r="L317" s="83">
        <v>152.82272684086658</v>
      </c>
      <c r="M317" s="84">
        <v>42284230.782368086</v>
      </c>
      <c r="N317" s="85" t="s">
        <v>412</v>
      </c>
      <c r="O317" s="25">
        <f t="shared" si="10"/>
        <v>-4.6916628760803269E-2</v>
      </c>
      <c r="Q317" s="86">
        <v>4.1000000000000029E-2</v>
      </c>
      <c r="R317">
        <v>0</v>
      </c>
      <c r="T317" s="25">
        <f t="shared" si="8"/>
        <v>3.6000000000000025E-2</v>
      </c>
      <c r="U317" s="1">
        <f t="shared" si="7"/>
        <v>4.3889208944046336</v>
      </c>
    </row>
    <row r="318" spans="1:21" ht="15">
      <c r="A318" s="83">
        <v>630.31841313631253</v>
      </c>
      <c r="B318" s="83">
        <v>637.12702486852686</v>
      </c>
      <c r="C318" s="83">
        <v>625.30389544448462</v>
      </c>
      <c r="D318" s="83">
        <v>636.46107306406213</v>
      </c>
      <c r="E318" s="84">
        <v>9702820.2441666313</v>
      </c>
      <c r="F318" s="85" t="s">
        <v>413</v>
      </c>
      <c r="G318" s="25">
        <f t="shared" si="9"/>
        <v>-9.6512735620695178E-3</v>
      </c>
      <c r="I318" s="83">
        <v>153.59731730766671</v>
      </c>
      <c r="J318" s="83">
        <v>158.27465204949846</v>
      </c>
      <c r="K318" s="83">
        <v>150.84652808582516</v>
      </c>
      <c r="L318" s="83">
        <v>157.16241958434949</v>
      </c>
      <c r="M318" s="84">
        <v>43234183.991887562</v>
      </c>
      <c r="N318" s="85" t="s">
        <v>413</v>
      </c>
      <c r="O318" s="25">
        <f t="shared" si="10"/>
        <v>-2.2684190572475726E-2</v>
      </c>
      <c r="Q318" s="86">
        <v>4.200000000000003E-2</v>
      </c>
      <c r="R318">
        <v>1</v>
      </c>
      <c r="T318" s="25">
        <f t="shared" si="8"/>
        <v>3.7000000000000026E-2</v>
      </c>
      <c r="U318" s="1">
        <f t="shared" si="7"/>
        <v>4.0582576864776643</v>
      </c>
    </row>
    <row r="319" spans="1:21" ht="15">
      <c r="A319" s="83">
        <v>635.81500041793959</v>
      </c>
      <c r="B319" s="83">
        <v>637.0872665518425</v>
      </c>
      <c r="C319" s="83">
        <v>630.2388965029437</v>
      </c>
      <c r="D319" s="83">
        <v>630.34823187382585</v>
      </c>
      <c r="E319" s="84">
        <v>9179997.3046299871</v>
      </c>
      <c r="F319" s="85" t="s">
        <v>414</v>
      </c>
      <c r="G319" s="25">
        <f t="shared" si="9"/>
        <v>8.6726166072723654E-3</v>
      </c>
      <c r="I319" s="83">
        <v>158.94993604619603</v>
      </c>
      <c r="J319" s="83">
        <v>170.01267681562388</v>
      </c>
      <c r="K319" s="83">
        <v>158.89035216413447</v>
      </c>
      <c r="L319" s="83">
        <v>169.73461869933664</v>
      </c>
      <c r="M319" s="84">
        <v>47054104.281151064</v>
      </c>
      <c r="N319" s="85" t="s">
        <v>414</v>
      </c>
      <c r="O319" s="25">
        <f t="shared" si="10"/>
        <v>-6.3538497542709904E-2</v>
      </c>
      <c r="Q319" s="86">
        <v>4.3000000000000031E-2</v>
      </c>
      <c r="R319">
        <v>3</v>
      </c>
      <c r="T319" s="25">
        <f t="shared" si="8"/>
        <v>3.8000000000000027E-2</v>
      </c>
      <c r="U319" s="1">
        <f t="shared" si="7"/>
        <v>3.7446543450690117</v>
      </c>
    </row>
    <row r="320" spans="1:21" ht="15">
      <c r="A320" s="83">
        <v>632.37590602473358</v>
      </c>
      <c r="B320" s="83">
        <v>634.5924321798924</v>
      </c>
      <c r="C320" s="83">
        <v>628.13170571866704</v>
      </c>
      <c r="D320" s="83">
        <v>632.4057247622469</v>
      </c>
      <c r="E320" s="84">
        <v>6559183.1281405091</v>
      </c>
      <c r="F320" s="85" t="s">
        <v>415</v>
      </c>
      <c r="G320" s="25">
        <f t="shared" si="9"/>
        <v>-4.71512770137128E-5</v>
      </c>
      <c r="I320" s="83">
        <v>163.43858849483283</v>
      </c>
      <c r="J320" s="83">
        <v>167.72862800326445</v>
      </c>
      <c r="K320" s="83">
        <v>162.10788179545821</v>
      </c>
      <c r="L320" s="83">
        <v>167.00369077151558</v>
      </c>
      <c r="M320" s="84">
        <v>27304256.179874472</v>
      </c>
      <c r="N320" s="85" t="s">
        <v>415</v>
      </c>
      <c r="O320" s="25">
        <f t="shared" si="10"/>
        <v>-2.134744603674843E-2</v>
      </c>
      <c r="Q320" s="86">
        <v>4.4000000000000032E-2</v>
      </c>
      <c r="R320">
        <v>1</v>
      </c>
      <c r="T320" s="25">
        <f t="shared" si="8"/>
        <v>3.9000000000000028E-2</v>
      </c>
      <c r="U320" s="1">
        <f t="shared" si="7"/>
        <v>3.4480543353846995</v>
      </c>
    </row>
    <row r="321" spans="1:21" ht="15">
      <c r="A321" s="83">
        <v>634.41351975481223</v>
      </c>
      <c r="B321" s="83">
        <v>637.16678318521133</v>
      </c>
      <c r="C321" s="83">
        <v>626.01457535521945</v>
      </c>
      <c r="D321" s="83">
        <v>636.56046885577325</v>
      </c>
      <c r="E321" s="84">
        <v>8537440.9257281832</v>
      </c>
      <c r="F321" s="85" t="s">
        <v>416</v>
      </c>
      <c r="G321" s="25">
        <f t="shared" si="9"/>
        <v>-3.37273394438109E-3</v>
      </c>
      <c r="I321" s="83">
        <v>167.83786512037727</v>
      </c>
      <c r="J321" s="83">
        <v>169.0494040556288</v>
      </c>
      <c r="K321" s="83">
        <v>160.39981050969376</v>
      </c>
      <c r="L321" s="83">
        <v>168.96995887954677</v>
      </c>
      <c r="M321" s="84">
        <v>37233369.549642138</v>
      </c>
      <c r="N321" s="85" t="s">
        <v>416</v>
      </c>
      <c r="O321" s="25">
        <f t="shared" si="10"/>
        <v>-6.6999706141641635E-3</v>
      </c>
      <c r="Q321" s="86">
        <v>4.5000000000000033E-2</v>
      </c>
      <c r="R321">
        <v>0</v>
      </c>
      <c r="T321" s="25">
        <f t="shared" si="8"/>
        <v>4.0000000000000029E-2</v>
      </c>
      <c r="U321" s="1">
        <f t="shared" si="7"/>
        <v>3.168303049211012</v>
      </c>
    </row>
    <row r="322" spans="1:21" ht="15">
      <c r="A322" s="83">
        <v>635.73548378457065</v>
      </c>
      <c r="B322" s="83">
        <v>637.93213078138729</v>
      </c>
      <c r="C322" s="83">
        <v>634.36382185895673</v>
      </c>
      <c r="D322" s="83">
        <v>637.17672276438248</v>
      </c>
      <c r="E322" s="84">
        <v>5521735.7853027182</v>
      </c>
      <c r="F322" s="85" t="s">
        <v>417</v>
      </c>
      <c r="G322" s="25">
        <f t="shared" si="9"/>
        <v>-2.261914047266278E-3</v>
      </c>
      <c r="I322" s="83">
        <v>171.60158033726523</v>
      </c>
      <c r="J322" s="83">
        <v>180.41999488237471</v>
      </c>
      <c r="K322" s="83">
        <v>170.66809951830095</v>
      </c>
      <c r="L322" s="83">
        <v>173.70191217993488</v>
      </c>
      <c r="M322" s="84">
        <v>35695273.392944433</v>
      </c>
      <c r="N322" s="85" t="s">
        <v>417</v>
      </c>
      <c r="O322" s="25">
        <f t="shared" si="10"/>
        <v>-1.2091587342423438E-2</v>
      </c>
      <c r="Q322" s="86">
        <v>4.6000000000000034E-2</v>
      </c>
      <c r="R322">
        <v>1</v>
      </c>
      <c r="T322" s="25">
        <f t="shared" si="8"/>
        <v>4.1000000000000029E-2</v>
      </c>
      <c r="U322" s="1">
        <f t="shared" si="7"/>
        <v>2.9051568092936395</v>
      </c>
    </row>
    <row r="323" spans="1:21" ht="15">
      <c r="A323" s="83">
        <v>635.83487957628188</v>
      </c>
      <c r="B323" s="83">
        <v>636.72536647422214</v>
      </c>
      <c r="C323" s="83">
        <v>634.01593658796764</v>
      </c>
      <c r="D323" s="83">
        <v>634.56261344237896</v>
      </c>
      <c r="E323" s="84">
        <v>4334495.3803676274</v>
      </c>
      <c r="F323" s="85" t="s">
        <v>418</v>
      </c>
      <c r="G323" s="25">
        <f t="shared" si="9"/>
        <v>2.0049497196203969E-3</v>
      </c>
      <c r="I323" s="83">
        <v>173.68701620941951</v>
      </c>
      <c r="J323" s="83">
        <v>178.47358806836405</v>
      </c>
      <c r="K323" s="83">
        <v>172.47547727416799</v>
      </c>
      <c r="L323" s="83">
        <v>177.94726377682034</v>
      </c>
      <c r="M323" s="84">
        <v>26837556.477910198</v>
      </c>
      <c r="N323" s="85" t="s">
        <v>418</v>
      </c>
      <c r="O323" s="25">
        <f t="shared" si="10"/>
        <v>-2.3941068139962995E-2</v>
      </c>
      <c r="Q323" s="86">
        <v>4.7000000000000035E-2</v>
      </c>
      <c r="R323">
        <v>0</v>
      </c>
      <c r="T323" s="25">
        <f t="shared" si="8"/>
        <v>4.200000000000003E-2</v>
      </c>
      <c r="U323" s="1">
        <f t="shared" si="7"/>
        <v>2.658292045737753</v>
      </c>
    </row>
    <row r="324" spans="1:21" ht="15">
      <c r="A324" s="83">
        <v>633.24064941262066</v>
      </c>
      <c r="B324" s="83">
        <v>634.53279470486564</v>
      </c>
      <c r="C324" s="83">
        <v>630.68617756564379</v>
      </c>
      <c r="D324" s="83">
        <v>631.19309610337075</v>
      </c>
      <c r="E324" s="84">
        <v>9030953.7712473068</v>
      </c>
      <c r="F324" s="85" t="s">
        <v>419</v>
      </c>
      <c r="G324" s="25">
        <f t="shared" si="9"/>
        <v>3.2439412311229265E-3</v>
      </c>
      <c r="I324" s="83">
        <v>181.17472405515431</v>
      </c>
      <c r="J324" s="83">
        <v>184.02481974709849</v>
      </c>
      <c r="K324" s="83">
        <v>177.29184107414329</v>
      </c>
      <c r="L324" s="83">
        <v>177.85788795372801</v>
      </c>
      <c r="M324" s="84">
        <v>21077492.713594448</v>
      </c>
      <c r="N324" s="85" t="s">
        <v>419</v>
      </c>
      <c r="O324" s="25">
        <f t="shared" si="10"/>
        <v>1.8648799553322215E-2</v>
      </c>
      <c r="Q324" s="86">
        <v>4.8000000000000036E-2</v>
      </c>
      <c r="R324">
        <v>0</v>
      </c>
      <c r="T324" s="25">
        <f t="shared" si="8"/>
        <v>4.3000000000000031E-2</v>
      </c>
      <c r="U324" s="1">
        <f t="shared" si="7"/>
        <v>2.4273145201416955</v>
      </c>
    </row>
    <row r="325" spans="1:21" ht="15">
      <c r="A325" s="83">
        <v>630.00034660283688</v>
      </c>
      <c r="B325" s="83">
        <v>631.63093456585841</v>
      </c>
      <c r="C325" s="83">
        <v>628.15158487700933</v>
      </c>
      <c r="D325" s="83">
        <v>629.05608658158087</v>
      </c>
      <c r="E325" s="84">
        <v>5862676.7790469797</v>
      </c>
      <c r="F325" s="85" t="s">
        <v>420</v>
      </c>
      <c r="G325" s="25">
        <f t="shared" si="9"/>
        <v>1.5010744532928388E-3</v>
      </c>
      <c r="I325" s="83">
        <v>175.93134243373788</v>
      </c>
      <c r="J325" s="83">
        <v>178.40407353929223</v>
      </c>
      <c r="K325" s="83">
        <v>170.80712857644454</v>
      </c>
      <c r="L325" s="83">
        <v>171.42282869108058</v>
      </c>
      <c r="M325" s="84">
        <v>23073291.172599815</v>
      </c>
      <c r="N325" s="85" t="s">
        <v>420</v>
      </c>
      <c r="O325" s="25">
        <f t="shared" si="10"/>
        <v>2.6300544548719662E-2</v>
      </c>
      <c r="Q325" s="86">
        <v>4.9000000000000037E-2</v>
      </c>
      <c r="R325">
        <v>1</v>
      </c>
      <c r="T325" s="25">
        <f t="shared" si="8"/>
        <v>4.4000000000000032E-2</v>
      </c>
      <c r="U325" s="1">
        <f t="shared" si="7"/>
        <v>2.2117684826992958</v>
      </c>
    </row>
    <row r="326" spans="1:21" ht="15">
      <c r="A326" s="83">
        <v>629.74191754438789</v>
      </c>
      <c r="B326" s="83">
        <v>631.77953127446654</v>
      </c>
      <c r="C326" s="83">
        <v>627.93291413524469</v>
      </c>
      <c r="D326" s="83">
        <v>630.5967213531037</v>
      </c>
      <c r="E326" s="84">
        <v>6094608.1274786247</v>
      </c>
      <c r="F326" s="85" t="s">
        <v>421</v>
      </c>
      <c r="G326" s="25">
        <f t="shared" si="9"/>
        <v>-1.3555474993298677E-3</v>
      </c>
      <c r="I326" s="83">
        <v>176.94426842878426</v>
      </c>
      <c r="J326" s="83">
        <v>178.91053653681541</v>
      </c>
      <c r="K326" s="83">
        <v>175.27591973106084</v>
      </c>
      <c r="L326" s="83">
        <v>178.12601542300501</v>
      </c>
      <c r="M326" s="84">
        <v>21122585.445169482</v>
      </c>
      <c r="N326" s="85" t="s">
        <v>421</v>
      </c>
      <c r="O326" s="25">
        <f t="shared" si="10"/>
        <v>-6.6343312705581248E-3</v>
      </c>
      <c r="Q326" s="86">
        <v>5.0000000000000037E-2</v>
      </c>
      <c r="R326">
        <v>1</v>
      </c>
      <c r="T326" s="25">
        <f t="shared" si="8"/>
        <v>4.5000000000000033E-2</v>
      </c>
      <c r="U326" s="1">
        <f t="shared" si="7"/>
        <v>2.0111456580752423</v>
      </c>
    </row>
    <row r="327" spans="1:21" ht="15">
      <c r="A327" s="83">
        <v>626.48173557626183</v>
      </c>
      <c r="B327" s="83">
        <v>629.57294469847886</v>
      </c>
      <c r="C327" s="83">
        <v>619.88185500664088</v>
      </c>
      <c r="D327" s="83">
        <v>621.24357735308377</v>
      </c>
      <c r="E327" s="84">
        <v>10417923.960092066</v>
      </c>
      <c r="F327" s="85" t="s">
        <v>422</v>
      </c>
      <c r="G327" s="25">
        <f t="shared" si="9"/>
        <v>8.4317301846341675E-3</v>
      </c>
      <c r="I327" s="83">
        <v>172.67409021437314</v>
      </c>
      <c r="J327" s="83">
        <v>179.34748500526678</v>
      </c>
      <c r="K327" s="83">
        <v>169.41683799500836</v>
      </c>
      <c r="L327" s="83">
        <v>178.43386548032302</v>
      </c>
      <c r="M327" s="84">
        <v>37911780.53263656</v>
      </c>
      <c r="N327" s="85" t="s">
        <v>422</v>
      </c>
      <c r="O327" s="25">
        <f t="shared" si="10"/>
        <v>-3.2279608192341991E-2</v>
      </c>
      <c r="Q327" s="86">
        <v>5.1000000000000038E-2</v>
      </c>
      <c r="R327">
        <v>0</v>
      </c>
      <c r="T327" s="25">
        <f t="shared" si="8"/>
        <v>4.6000000000000034E-2</v>
      </c>
      <c r="U327" s="1">
        <f t="shared" si="7"/>
        <v>1.8248939671963929</v>
      </c>
    </row>
    <row r="328" spans="1:21" ht="15">
      <c r="A328" s="83">
        <v>619.38487604808506</v>
      </c>
      <c r="B328" s="83">
        <v>625.95483848440097</v>
      </c>
      <c r="C328" s="83">
        <v>618.46049518517134</v>
      </c>
      <c r="D328" s="83">
        <v>622.97306412885791</v>
      </c>
      <c r="E328" s="84">
        <v>14968067.30332605</v>
      </c>
      <c r="F328" s="85" t="s">
        <v>423</v>
      </c>
      <c r="G328" s="25">
        <f t="shared" si="9"/>
        <v>-5.7597804582296686E-3</v>
      </c>
      <c r="I328" s="83">
        <v>178.6722010085692</v>
      </c>
      <c r="J328" s="83">
        <v>185.89178138502706</v>
      </c>
      <c r="K328" s="83">
        <v>178.11608477599475</v>
      </c>
      <c r="L328" s="83">
        <v>185.89178138502706</v>
      </c>
      <c r="M328" s="84">
        <v>29332924.601900663</v>
      </c>
      <c r="N328" s="85" t="s">
        <v>423</v>
      </c>
      <c r="O328" s="25">
        <f t="shared" si="10"/>
        <v>-3.883754474063783E-2</v>
      </c>
      <c r="Q328" s="86">
        <v>5.2000000000000039E-2</v>
      </c>
      <c r="R328">
        <v>0</v>
      </c>
      <c r="T328" s="25">
        <f t="shared" si="8"/>
        <v>4.7000000000000035E-2</v>
      </c>
      <c r="U328" s="1">
        <f t="shared" si="7"/>
        <v>1.6524259039397804</v>
      </c>
    </row>
    <row r="329" spans="1:21" ht="15">
      <c r="A329" s="83">
        <v>632.24669149550903</v>
      </c>
      <c r="B329" s="83">
        <v>634.65197025912732</v>
      </c>
      <c r="C329" s="83">
        <v>630.84521083238167</v>
      </c>
      <c r="D329" s="83">
        <v>634.10539280050773</v>
      </c>
      <c r="E329" s="84">
        <v>6734732.813892859</v>
      </c>
      <c r="F329" s="85" t="s">
        <v>424</v>
      </c>
      <c r="G329" s="25">
        <f t="shared" si="9"/>
        <v>-2.9312182581980872E-3</v>
      </c>
      <c r="I329" s="83">
        <v>189.76473371902784</v>
      </c>
      <c r="J329" s="83">
        <v>190.53932418582801</v>
      </c>
      <c r="K329" s="83">
        <v>185.23635868235002</v>
      </c>
      <c r="L329" s="83">
        <v>188.59291737181735</v>
      </c>
      <c r="M329" s="84">
        <v>18588039.612053107</v>
      </c>
      <c r="N329" s="85" t="s">
        <v>424</v>
      </c>
      <c r="O329" s="25">
        <f t="shared" si="10"/>
        <v>6.213469538202343E-3</v>
      </c>
      <c r="Q329" s="86">
        <v>5.300000000000004E-2</v>
      </c>
      <c r="R329">
        <v>1</v>
      </c>
      <c r="T329" s="25">
        <f t="shared" si="8"/>
        <v>4.8000000000000036E-2</v>
      </c>
      <c r="U329" s="1">
        <f t="shared" si="7"/>
        <v>1.4931264977786769</v>
      </c>
    </row>
    <row r="330" spans="1:21" ht="15">
      <c r="A330" s="83">
        <v>632.77348919157816</v>
      </c>
      <c r="B330" s="83">
        <v>635.71560462622847</v>
      </c>
      <c r="C330" s="83">
        <v>631.85904790783559</v>
      </c>
      <c r="D330" s="83">
        <v>634.91049871336804</v>
      </c>
      <c r="E330" s="84">
        <v>6792642.7102869321</v>
      </c>
      <c r="F330" s="85" t="s">
        <v>425</v>
      </c>
      <c r="G330" s="25">
        <f t="shared" si="9"/>
        <v>-3.3658437309203038E-3</v>
      </c>
      <c r="I330" s="83">
        <v>188.53333348975579</v>
      </c>
      <c r="J330" s="83">
        <v>193.65754734704913</v>
      </c>
      <c r="K330" s="83">
        <v>188.0765237272839</v>
      </c>
      <c r="L330" s="83">
        <v>193.65754734704913</v>
      </c>
      <c r="M330" s="84">
        <v>16201685.533057066</v>
      </c>
      <c r="N330" s="85" t="s">
        <v>425</v>
      </c>
      <c r="O330" s="25">
        <f t="shared" si="10"/>
        <v>-2.6460181529152416E-2</v>
      </c>
      <c r="Q330" s="86">
        <v>5.4000000000000041E-2</v>
      </c>
      <c r="R330">
        <v>2</v>
      </c>
      <c r="T330" s="25">
        <f t="shared" si="8"/>
        <v>4.9000000000000037E-2</v>
      </c>
      <c r="U330" s="1">
        <f t="shared" si="7"/>
        <v>1.3463608055334741</v>
      </c>
    </row>
    <row r="331" spans="1:21" ht="15">
      <c r="A331" s="83">
        <v>631.10363989083078</v>
      </c>
      <c r="B331" s="83">
        <v>632.27551627510525</v>
      </c>
      <c r="C331" s="83">
        <v>627.18744569741102</v>
      </c>
      <c r="D331" s="83">
        <v>631.65031674524209</v>
      </c>
      <c r="E331" s="84">
        <v>8628389.4442154616</v>
      </c>
      <c r="F331" s="85" t="s">
        <v>426</v>
      </c>
      <c r="G331" s="25">
        <f t="shared" si="9"/>
        <v>-8.6547388629243382E-4</v>
      </c>
      <c r="I331" s="83">
        <v>192.26725676561298</v>
      </c>
      <c r="J331" s="83">
        <v>200.2812889028915</v>
      </c>
      <c r="K331" s="83">
        <v>189.4866756027406</v>
      </c>
      <c r="L331" s="83">
        <v>200.2812889028915</v>
      </c>
      <c r="M331" s="84">
        <v>22492815.399566576</v>
      </c>
      <c r="N331" s="85" t="s">
        <v>426</v>
      </c>
      <c r="O331" s="25">
        <f t="shared" si="10"/>
        <v>-4.0013883379611204E-2</v>
      </c>
      <c r="Q331" s="86">
        <v>5.5000000000000042E-2</v>
      </c>
      <c r="R331">
        <v>1</v>
      </c>
      <c r="T331" s="25">
        <f t="shared" si="8"/>
        <v>5.0000000000000037E-2</v>
      </c>
      <c r="U331" s="1">
        <f t="shared" si="7"/>
        <v>1.2114808872469125</v>
      </c>
    </row>
    <row r="332" spans="1:21" ht="15">
      <c r="A332" s="83">
        <v>634.17496985470541</v>
      </c>
      <c r="B332" s="83">
        <v>636.28285640952402</v>
      </c>
      <c r="C332" s="83">
        <v>631.97335306830337</v>
      </c>
      <c r="D332" s="83">
        <v>635.81500041793959</v>
      </c>
      <c r="E332" s="84">
        <v>8890847.2359478194</v>
      </c>
      <c r="F332" s="85" t="s">
        <v>427</v>
      </c>
      <c r="G332" s="25">
        <f t="shared" si="9"/>
        <v>-2.5794147073537887E-3</v>
      </c>
      <c r="I332" s="83">
        <v>200.88705837051725</v>
      </c>
      <c r="J332" s="83">
        <v>206.35884487316966</v>
      </c>
      <c r="K332" s="83">
        <v>199.26339758434003</v>
      </c>
      <c r="L332" s="83">
        <v>203.57826371029728</v>
      </c>
      <c r="M332" s="84">
        <v>15838312.431961803</v>
      </c>
      <c r="N332" s="85" t="s">
        <v>427</v>
      </c>
      <c r="O332" s="25">
        <f t="shared" si="10"/>
        <v>-1.3219512195121963E-2</v>
      </c>
      <c r="Q332" s="86">
        <v>5.6000000000000043E-2</v>
      </c>
      <c r="R332">
        <v>0</v>
      </c>
      <c r="T332" s="25">
        <f t="shared" si="8"/>
        <v>5.1000000000000038E-2</v>
      </c>
      <c r="U332" s="1">
        <f t="shared" si="7"/>
        <v>1.0878322326709835</v>
      </c>
    </row>
    <row r="333" spans="1:21" ht="15">
      <c r="A333" s="83">
        <v>635.47705472612165</v>
      </c>
      <c r="B333" s="83">
        <v>636.29210021815311</v>
      </c>
      <c r="C333" s="83">
        <v>631.32231063259519</v>
      </c>
      <c r="D333" s="83">
        <v>631.35212937010863</v>
      </c>
      <c r="E333" s="84">
        <v>7937845.1181593072</v>
      </c>
      <c r="F333" s="85" t="s">
        <v>428</v>
      </c>
      <c r="G333" s="25">
        <f t="shared" si="9"/>
        <v>6.5334781718855428E-3</v>
      </c>
      <c r="I333" s="83">
        <v>203.26048300596904</v>
      </c>
      <c r="J333" s="83">
        <v>205.16716723193863</v>
      </c>
      <c r="K333" s="83">
        <v>195.64447120086163</v>
      </c>
      <c r="L333" s="83">
        <v>196.22958492270607</v>
      </c>
      <c r="M333" s="84">
        <v>25226040.130237345</v>
      </c>
      <c r="N333" s="85" t="s">
        <v>428</v>
      </c>
      <c r="O333" s="25">
        <f t="shared" si="10"/>
        <v>3.5829959514170229E-2</v>
      </c>
      <c r="Q333" s="86">
        <v>5.7000000000000044E-2</v>
      </c>
      <c r="R333">
        <v>1</v>
      </c>
      <c r="T333" s="25">
        <f t="shared" si="8"/>
        <v>5.2000000000000039E-2</v>
      </c>
      <c r="U333" s="1">
        <f t="shared" si="7"/>
        <v>0.97475961574902137</v>
      </c>
    </row>
    <row r="334" spans="1:21" ht="15">
      <c r="A334" s="83">
        <v>634.4532780714967</v>
      </c>
      <c r="B334" s="83">
        <v>635.57645051783288</v>
      </c>
      <c r="C334" s="83">
        <v>629.97052786532345</v>
      </c>
      <c r="D334" s="83">
        <v>631.31237105342404</v>
      </c>
      <c r="E334" s="84">
        <v>7891396.4715866614</v>
      </c>
      <c r="F334" s="85" t="s">
        <v>429</v>
      </c>
      <c r="G334" s="25">
        <f t="shared" si="9"/>
        <v>4.9752027080218753E-3</v>
      </c>
      <c r="I334" s="83">
        <v>197.14320444764985</v>
      </c>
      <c r="J334" s="83">
        <v>198.79169185135274</v>
      </c>
      <c r="K334" s="83">
        <v>187.47075425965815</v>
      </c>
      <c r="L334" s="83">
        <v>190.32581527510746</v>
      </c>
      <c r="M334" s="84">
        <v>26243707.960899368</v>
      </c>
      <c r="N334" s="85" t="s">
        <v>429</v>
      </c>
      <c r="O334" s="25">
        <f t="shared" si="10"/>
        <v>3.5819571626098945E-2</v>
      </c>
      <c r="Q334" s="86">
        <v>5.8000000000000045E-2</v>
      </c>
      <c r="R334">
        <v>1</v>
      </c>
      <c r="T334" s="25">
        <f t="shared" si="8"/>
        <v>5.300000000000004E-2</v>
      </c>
      <c r="U334" s="1">
        <f t="shared" si="7"/>
        <v>0.87161236466218694</v>
      </c>
    </row>
    <row r="335" spans="1:21" ht="15">
      <c r="A335" s="83">
        <v>630.22895692377244</v>
      </c>
      <c r="B335" s="83">
        <v>631.26277255336026</v>
      </c>
      <c r="C335" s="83">
        <v>628.41617647454439</v>
      </c>
      <c r="D335" s="83">
        <v>629.6524613318478</v>
      </c>
      <c r="E335" s="84">
        <v>9017282.1662768591</v>
      </c>
      <c r="F335" s="85" t="s">
        <v>430</v>
      </c>
      <c r="G335" s="25">
        <f t="shared" si="9"/>
        <v>9.155774452231924E-4</v>
      </c>
      <c r="I335" s="83">
        <v>187.83818820641122</v>
      </c>
      <c r="J335" s="83">
        <v>189.12576872140374</v>
      </c>
      <c r="K335" s="83">
        <v>184.37162528143131</v>
      </c>
      <c r="L335" s="83">
        <v>189.05643746290414</v>
      </c>
      <c r="M335" s="84">
        <v>19121703.235888679</v>
      </c>
      <c r="N335" s="85" t="s">
        <v>430</v>
      </c>
      <c r="O335" s="25">
        <f t="shared" si="10"/>
        <v>-6.4438390611901708E-3</v>
      </c>
      <c r="Q335" s="86">
        <v>5.9000000000000045E-2</v>
      </c>
      <c r="R335">
        <v>0</v>
      </c>
      <c r="T335" s="25">
        <f t="shared" si="8"/>
        <v>5.4000000000000041E-2</v>
      </c>
      <c r="U335" s="1">
        <f t="shared" si="7"/>
        <v>0.77774904437321835</v>
      </c>
    </row>
    <row r="336" spans="1:21" ht="15">
      <c r="A336" s="83">
        <v>630.33829229465471</v>
      </c>
      <c r="B336" s="83">
        <v>634.36382185895673</v>
      </c>
      <c r="C336" s="83">
        <v>630.09974239454789</v>
      </c>
      <c r="D336" s="83">
        <v>632.73373087489369</v>
      </c>
      <c r="E336" s="84">
        <v>8850232.8404034786</v>
      </c>
      <c r="F336" s="85" t="s">
        <v>431</v>
      </c>
      <c r="G336" s="25">
        <f t="shared" si="9"/>
        <v>-3.7858556662164755E-3</v>
      </c>
      <c r="I336" s="83">
        <v>190.99771270089289</v>
      </c>
      <c r="J336" s="83">
        <v>193.80067643737664</v>
      </c>
      <c r="K336" s="83">
        <v>190.16573759889772</v>
      </c>
      <c r="L336" s="83">
        <v>193.4342112138788</v>
      </c>
      <c r="M336" s="84">
        <v>11213876.20570174</v>
      </c>
      <c r="N336" s="85" t="s">
        <v>431</v>
      </c>
      <c r="O336" s="25">
        <f t="shared" si="10"/>
        <v>-1.2596006144393379E-2</v>
      </c>
      <c r="Q336" s="86">
        <v>6.0000000000000046E-2</v>
      </c>
      <c r="R336">
        <v>1</v>
      </c>
      <c r="T336" s="25">
        <f t="shared" si="8"/>
        <v>5.5000000000000042E-2</v>
      </c>
      <c r="U336" s="1">
        <f t="shared" si="7"/>
        <v>0.69254155705820641</v>
      </c>
    </row>
    <row r="337" spans="1:21" ht="15">
      <c r="A337" s="83">
        <v>632.36596644556244</v>
      </c>
      <c r="B337" s="83">
        <v>632.83312666660481</v>
      </c>
      <c r="C337" s="83">
        <v>628.70820131059179</v>
      </c>
      <c r="D337" s="83">
        <v>628.81753668147405</v>
      </c>
      <c r="E337" s="84">
        <v>8683365.6147949919</v>
      </c>
      <c r="F337" s="85" t="s">
        <v>432</v>
      </c>
      <c r="G337" s="25">
        <f t="shared" si="9"/>
        <v>5.6430197268588778E-3</v>
      </c>
      <c r="I337" s="83">
        <v>191.89901906138766</v>
      </c>
      <c r="J337" s="83">
        <v>193.01327143013123</v>
      </c>
      <c r="K337" s="83">
        <v>188.87815708390517</v>
      </c>
      <c r="L337" s="83">
        <v>190.72038766689451</v>
      </c>
      <c r="M337" s="84">
        <v>15783942.101762701</v>
      </c>
      <c r="N337" s="85" t="s">
        <v>432</v>
      </c>
      <c r="O337" s="25">
        <f t="shared" si="10"/>
        <v>6.179891981719976E-3</v>
      </c>
      <c r="Q337" s="86">
        <v>6.1000000000000047E-2</v>
      </c>
      <c r="R337">
        <v>0</v>
      </c>
      <c r="T337" s="25">
        <f t="shared" si="8"/>
        <v>5.6000000000000043E-2</v>
      </c>
      <c r="U337" s="1">
        <f t="shared" si="7"/>
        <v>0.61537867331171026</v>
      </c>
    </row>
    <row r="338" spans="1:21" ht="15">
      <c r="A338" s="83">
        <v>628.638624256394</v>
      </c>
      <c r="B338" s="83">
        <v>630.20907776543027</v>
      </c>
      <c r="C338" s="83">
        <v>627.41605601834669</v>
      </c>
      <c r="D338" s="83">
        <v>627.56514970591343</v>
      </c>
      <c r="E338" s="84">
        <v>16238522.498923866</v>
      </c>
      <c r="F338" s="85" t="s">
        <v>433</v>
      </c>
      <c r="G338" s="25">
        <f t="shared" si="9"/>
        <v>1.7105388197282689E-3</v>
      </c>
      <c r="I338" s="83">
        <v>190.75010106339434</v>
      </c>
      <c r="J338" s="83">
        <v>199.76316466834209</v>
      </c>
      <c r="K338" s="83">
        <v>190.49258496039585</v>
      </c>
      <c r="L338" s="83">
        <v>196.44516872586132</v>
      </c>
      <c r="M338" s="84">
        <v>22626891.88036437</v>
      </c>
      <c r="N338" s="85" t="s">
        <v>433</v>
      </c>
      <c r="O338" s="25">
        <f t="shared" si="10"/>
        <v>-2.8990622163960866E-2</v>
      </c>
      <c r="Q338" s="86">
        <v>6.2000000000000048E-2</v>
      </c>
      <c r="R338">
        <v>0</v>
      </c>
      <c r="T338" s="25">
        <f t="shared" si="8"/>
        <v>5.7000000000000044E-2</v>
      </c>
      <c r="U338" s="1">
        <f t="shared" si="7"/>
        <v>0.54566901350939301</v>
      </c>
    </row>
    <row r="339" spans="1:21" ht="15">
      <c r="A339" s="83">
        <v>624.50375932120971</v>
      </c>
      <c r="B339" s="83">
        <v>627.8434579227046</v>
      </c>
      <c r="C339" s="83">
        <v>621.43242935733497</v>
      </c>
      <c r="D339" s="83">
        <v>626.82465105766528</v>
      </c>
      <c r="E339" s="84">
        <v>11064395.997728506</v>
      </c>
      <c r="F339" s="85" t="s">
        <v>434</v>
      </c>
      <c r="G339" s="25">
        <f t="shared" si="9"/>
        <v>-3.7026172032951221E-3</v>
      </c>
      <c r="I339" s="83">
        <v>193.84029429937644</v>
      </c>
      <c r="J339" s="83">
        <v>196.6927803633599</v>
      </c>
      <c r="K339" s="83">
        <v>192.35462447438505</v>
      </c>
      <c r="L339" s="83">
        <v>195.58348022736632</v>
      </c>
      <c r="M339" s="84">
        <v>14311271.012133025</v>
      </c>
      <c r="N339" s="85" t="s">
        <v>434</v>
      </c>
      <c r="O339" s="25">
        <f t="shared" si="10"/>
        <v>-8.9127462399350987E-3</v>
      </c>
      <c r="Q339" s="86">
        <v>6.3000000000000042E-2</v>
      </c>
      <c r="R339">
        <v>0</v>
      </c>
      <c r="T339" s="25">
        <f t="shared" si="8"/>
        <v>5.8000000000000045E-2</v>
      </c>
      <c r="U339" s="1">
        <f t="shared" ref="U339:U351" si="11">_xlfn.NORM.DIST(T339,$S$202,$S$204,FALSE)</f>
        <v>0.48284350420614303</v>
      </c>
    </row>
    <row r="340" spans="1:21" ht="15">
      <c r="A340" s="83">
        <v>623.34082855818917</v>
      </c>
      <c r="B340" s="83">
        <v>628.32055772291824</v>
      </c>
      <c r="C340" s="83">
        <v>623.15197655393808</v>
      </c>
      <c r="D340" s="83">
        <v>628.121766139496</v>
      </c>
      <c r="E340" s="84">
        <v>5544694.5037827864</v>
      </c>
      <c r="F340" s="85" t="s">
        <v>435</v>
      </c>
      <c r="G340" s="25">
        <f t="shared" si="9"/>
        <v>-7.6114821027314372E-3</v>
      </c>
      <c r="I340" s="83">
        <v>193.04793705938101</v>
      </c>
      <c r="J340" s="83">
        <v>195.31605965886786</v>
      </c>
      <c r="K340" s="83">
        <v>192.86965668038204</v>
      </c>
      <c r="L340" s="83">
        <v>194.54351134987235</v>
      </c>
      <c r="M340" s="84">
        <v>10297628.882708631</v>
      </c>
      <c r="N340" s="85" t="s">
        <v>435</v>
      </c>
      <c r="O340" s="25">
        <f t="shared" si="10"/>
        <v>-7.6876081865390189E-3</v>
      </c>
      <c r="Q340" s="86">
        <v>6.4000000000000043E-2</v>
      </c>
      <c r="R340">
        <v>0</v>
      </c>
      <c r="T340" s="25">
        <f t="shared" si="8"/>
        <v>5.9000000000000045E-2</v>
      </c>
      <c r="U340" s="1">
        <f t="shared" si="11"/>
        <v>0.42635733894781119</v>
      </c>
    </row>
    <row r="341" spans="1:21" ht="15">
      <c r="A341" s="83">
        <v>627.90309539773136</v>
      </c>
      <c r="B341" s="83">
        <v>629.38409269422766</v>
      </c>
      <c r="C341" s="83">
        <v>627.59496844342675</v>
      </c>
      <c r="D341" s="83">
        <v>628.380195197945</v>
      </c>
      <c r="E341" s="84">
        <v>4176099.3383525754</v>
      </c>
      <c r="F341" s="85" t="s">
        <v>436</v>
      </c>
      <c r="G341" s="25">
        <f t="shared" si="9"/>
        <v>-7.5925340082261261E-4</v>
      </c>
      <c r="I341" s="83">
        <v>195.32596412436783</v>
      </c>
      <c r="J341" s="83">
        <v>196.48478658786109</v>
      </c>
      <c r="K341" s="83">
        <v>193.84029429937644</v>
      </c>
      <c r="L341" s="83">
        <v>194.18695059187442</v>
      </c>
      <c r="M341" s="84">
        <v>14256356.388016947</v>
      </c>
      <c r="N341" s="85" t="s">
        <v>436</v>
      </c>
      <c r="O341" s="25">
        <f t="shared" si="10"/>
        <v>5.8655513618279809E-3</v>
      </c>
      <c r="Q341" s="86">
        <v>6.5000000000000044E-2</v>
      </c>
      <c r="R341">
        <v>0</v>
      </c>
      <c r="T341" s="25">
        <f t="shared" si="8"/>
        <v>6.0000000000000046E-2</v>
      </c>
      <c r="U341" s="1">
        <f t="shared" si="11"/>
        <v>0.37569147641115747</v>
      </c>
    </row>
    <row r="342" spans="1:21" ht="15.75" thickBot="1">
      <c r="A342" s="83">
        <v>628.77777836478958</v>
      </c>
      <c r="B342" s="83">
        <v>629.9605882861523</v>
      </c>
      <c r="C342" s="83">
        <v>627.13774780155552</v>
      </c>
      <c r="D342" s="83">
        <v>628.479590989656</v>
      </c>
      <c r="E342" s="84">
        <v>6536446.7530777976</v>
      </c>
      <c r="F342" s="85" t="s">
        <v>437</v>
      </c>
      <c r="G342" s="25">
        <f t="shared" si="9"/>
        <v>4.744583267437541E-4</v>
      </c>
      <c r="I342" s="83">
        <v>193.51344693787831</v>
      </c>
      <c r="J342" s="83">
        <v>196.61354463936033</v>
      </c>
      <c r="K342" s="83">
        <v>190.79962339089403</v>
      </c>
      <c r="L342" s="83">
        <v>192.3051021468853</v>
      </c>
      <c r="M342" s="84">
        <v>14484719.039188089</v>
      </c>
      <c r="N342" s="85" t="s">
        <v>437</v>
      </c>
      <c r="O342" s="25">
        <f t="shared" si="10"/>
        <v>6.2834775442934809E-3</v>
      </c>
      <c r="Q342" s="87" t="s">
        <v>438</v>
      </c>
      <c r="R342" s="87">
        <v>7</v>
      </c>
      <c r="T342" s="25">
        <f t="shared" si="8"/>
        <v>6.1000000000000047E-2</v>
      </c>
      <c r="U342" s="1">
        <f t="shared" si="11"/>
        <v>0.33035371140468356</v>
      </c>
    </row>
    <row r="343" spans="1:21">
      <c r="A343" s="83">
        <v>631.00424409911955</v>
      </c>
      <c r="B343" s="83">
        <v>632.23178212675236</v>
      </c>
      <c r="C343" s="83">
        <v>630.05004449869239</v>
      </c>
      <c r="D343" s="83">
        <v>631.30243147425301</v>
      </c>
      <c r="E343" s="84">
        <v>3853135.9668922909</v>
      </c>
      <c r="F343" s="85" t="s">
        <v>439</v>
      </c>
      <c r="G343" s="25">
        <f t="shared" si="9"/>
        <v>-4.7233680763292263E-4</v>
      </c>
      <c r="I343" s="83">
        <v>196.09851243336334</v>
      </c>
      <c r="J343" s="83">
        <v>198.45567617769467</v>
      </c>
      <c r="K343" s="83">
        <v>194.23647291937414</v>
      </c>
      <c r="L343" s="83">
        <v>196.16784369186294</v>
      </c>
      <c r="M343" s="84">
        <v>11260411.780993782</v>
      </c>
      <c r="N343" s="85" t="s">
        <v>439</v>
      </c>
      <c r="O343" s="25">
        <f t="shared" si="10"/>
        <v>-3.5342825406448064E-4</v>
      </c>
      <c r="T343" s="25">
        <f t="shared" si="8"/>
        <v>6.2000000000000048E-2</v>
      </c>
      <c r="U343" s="1">
        <f t="shared" si="11"/>
        <v>0.28987935602125714</v>
      </c>
    </row>
    <row r="344" spans="1:21">
      <c r="A344" s="83">
        <v>630.94460662409278</v>
      </c>
      <c r="B344" s="83">
        <v>631.48134389933318</v>
      </c>
      <c r="C344" s="83">
        <v>628.71814088976282</v>
      </c>
      <c r="D344" s="83">
        <v>628.84735541898738</v>
      </c>
      <c r="E344" s="84">
        <v>3293313.472981282</v>
      </c>
      <c r="F344" s="85" t="s">
        <v>440</v>
      </c>
      <c r="G344" s="25">
        <f t="shared" si="9"/>
        <v>3.3350719964593267E-3</v>
      </c>
      <c r="I344" s="83">
        <v>195.60328915836621</v>
      </c>
      <c r="J344" s="83">
        <v>196.38574193286166</v>
      </c>
      <c r="K344" s="83">
        <v>192.56261824988383</v>
      </c>
      <c r="L344" s="83">
        <v>193.1370772488805</v>
      </c>
      <c r="M344" s="84">
        <v>9368551.9930921923</v>
      </c>
      <c r="N344" s="85" t="s">
        <v>440</v>
      </c>
      <c r="O344" s="25">
        <f t="shared" si="10"/>
        <v>1.2769230769230866E-2</v>
      </c>
      <c r="T344" s="25">
        <f t="shared" si="8"/>
        <v>6.3000000000000042E-2</v>
      </c>
      <c r="U344" s="1">
        <f t="shared" si="11"/>
        <v>0.25383156920027056</v>
      </c>
    </row>
    <row r="345" spans="1:21">
      <c r="A345" s="83">
        <v>628.84735541898738</v>
      </c>
      <c r="B345" s="83">
        <v>629.05608658158087</v>
      </c>
      <c r="C345" s="83">
        <v>625.12001322981894</v>
      </c>
      <c r="D345" s="83">
        <v>625.13989238816123</v>
      </c>
      <c r="E345" s="84">
        <v>13842509.590328423</v>
      </c>
      <c r="F345" s="85" t="s">
        <v>441</v>
      </c>
      <c r="G345" s="25">
        <f t="shared" si="9"/>
        <v>5.9306134130441279E-3</v>
      </c>
      <c r="I345" s="83">
        <v>193.47382907587854</v>
      </c>
      <c r="J345" s="83">
        <v>195.31605965886786</v>
      </c>
      <c r="K345" s="83">
        <v>190.35392244339664</v>
      </c>
      <c r="L345" s="83">
        <v>194.55341581537229</v>
      </c>
      <c r="M345" s="84">
        <v>18368227.947389439</v>
      </c>
      <c r="N345" s="85" t="s">
        <v>441</v>
      </c>
      <c r="O345" s="25">
        <f t="shared" si="10"/>
        <v>-5.5490505523596578E-3</v>
      </c>
      <c r="T345" s="25">
        <f t="shared" si="8"/>
        <v>6.4000000000000043E-2</v>
      </c>
      <c r="U345" s="1">
        <f t="shared" si="11"/>
        <v>0.22180137320869908</v>
      </c>
    </row>
    <row r="346" spans="1:21">
      <c r="A346" s="83">
        <v>625.92511914267936</v>
      </c>
      <c r="B346" s="83">
        <v>626.46185641791953</v>
      </c>
      <c r="C346" s="83">
        <v>624.0067803626539</v>
      </c>
      <c r="D346" s="83">
        <v>625.16474133608904</v>
      </c>
      <c r="E346" s="84">
        <v>9855614.4393588509</v>
      </c>
      <c r="F346" s="85" t="s">
        <v>442</v>
      </c>
      <c r="G346" s="25">
        <f t="shared" si="9"/>
        <v>1.2162838949703048E-3</v>
      </c>
      <c r="I346" s="83">
        <v>196.48478658786109</v>
      </c>
      <c r="J346" s="83">
        <v>196.90077413885868</v>
      </c>
      <c r="K346" s="83">
        <v>190.98780823539298</v>
      </c>
      <c r="L346" s="83">
        <v>194.93968996987005</v>
      </c>
      <c r="M346" s="84">
        <v>27160698.374037378</v>
      </c>
      <c r="N346" s="85" t="s">
        <v>442</v>
      </c>
      <c r="O346" s="25">
        <f t="shared" si="10"/>
        <v>7.9260237780713894E-3</v>
      </c>
      <c r="T346" s="25">
        <f t="shared" si="8"/>
        <v>6.5000000000000044E-2</v>
      </c>
      <c r="U346" s="1">
        <f t="shared" si="11"/>
        <v>0.19340739516787073</v>
      </c>
    </row>
    <row r="347" spans="1:21">
      <c r="A347" s="83">
        <v>622.00793100406111</v>
      </c>
      <c r="B347" s="83">
        <v>622.57288817257461</v>
      </c>
      <c r="C347" s="83">
        <v>618.34066517335975</v>
      </c>
      <c r="D347" s="83">
        <v>618.45960352462566</v>
      </c>
      <c r="E347" s="84">
        <v>10540579.27199837</v>
      </c>
      <c r="F347" s="85" t="s">
        <v>443</v>
      </c>
      <c r="G347" s="25">
        <f t="shared" si="9"/>
        <v>5.7373633770312349E-3</v>
      </c>
      <c r="I347" s="83">
        <v>190.13602420239789</v>
      </c>
      <c r="J347" s="83">
        <v>193.25593083487982</v>
      </c>
      <c r="K347" s="83">
        <v>186.32280498492</v>
      </c>
      <c r="L347" s="83">
        <v>186.58527332066848</v>
      </c>
      <c r="M347" s="84">
        <v>76822389.860857248</v>
      </c>
      <c r="N347" s="85" t="s">
        <v>443</v>
      </c>
      <c r="O347" s="25">
        <f t="shared" si="10"/>
        <v>1.9030177561907724E-2</v>
      </c>
      <c r="T347" s="25">
        <f t="shared" si="8"/>
        <v>6.6000000000000045E-2</v>
      </c>
      <c r="U347" s="1">
        <f t="shared" si="11"/>
        <v>0.16829537081979001</v>
      </c>
    </row>
    <row r="348" spans="1:21">
      <c r="A348" s="83">
        <v>616.50703225800896</v>
      </c>
      <c r="B348" s="83">
        <v>620.40226326197035</v>
      </c>
      <c r="C348" s="83">
        <v>615.07977204281713</v>
      </c>
      <c r="D348" s="83">
        <v>617.5378313023142</v>
      </c>
      <c r="E348" s="84">
        <v>33719254.700537026</v>
      </c>
      <c r="F348" s="85" t="s">
        <v>444</v>
      </c>
      <c r="G348" s="25">
        <f t="shared" si="9"/>
        <v>-1.6692079287375927E-3</v>
      </c>
      <c r="I348" s="83">
        <v>178.31009239546646</v>
      </c>
      <c r="J348" s="83">
        <v>182.99490457693929</v>
      </c>
      <c r="K348" s="83">
        <v>176.87394489797478</v>
      </c>
      <c r="L348" s="83">
        <v>180.974393614951</v>
      </c>
      <c r="M348" s="84">
        <v>33019183.115120713</v>
      </c>
      <c r="N348" s="85" t="s">
        <v>444</v>
      </c>
      <c r="O348" s="25">
        <f t="shared" si="10"/>
        <v>-1.4721978984238104E-2</v>
      </c>
      <c r="T348" s="25">
        <f t="shared" si="8"/>
        <v>6.7000000000000046E-2</v>
      </c>
      <c r="U348" s="1">
        <f t="shared" si="11"/>
        <v>0.14613744632774189</v>
      </c>
    </row>
    <row r="349" spans="1:21">
      <c r="A349" s="83">
        <v>611.88825961717953</v>
      </c>
      <c r="B349" s="83">
        <v>620.10491738380529</v>
      </c>
      <c r="C349" s="83">
        <v>611.69894940808115</v>
      </c>
      <c r="D349" s="83">
        <v>619.65889856655781</v>
      </c>
      <c r="E349" s="84">
        <v>21140105.048008054</v>
      </c>
      <c r="F349" s="85" t="s">
        <v>445</v>
      </c>
      <c r="G349" s="25">
        <f t="shared" si="9"/>
        <v>-1.2540187782913992E-2</v>
      </c>
      <c r="I349" s="83">
        <v>176.75509131197546</v>
      </c>
      <c r="J349" s="83">
        <v>184.71828157392929</v>
      </c>
      <c r="K349" s="83">
        <v>175.37837060748342</v>
      </c>
      <c r="L349" s="83">
        <v>181.55875707944762</v>
      </c>
      <c r="M349" s="84">
        <v>49705768.575078949</v>
      </c>
      <c r="N349" s="85" t="s">
        <v>445</v>
      </c>
      <c r="O349" s="25">
        <f t="shared" si="10"/>
        <v>-2.6457912825268659E-2</v>
      </c>
      <c r="T349" s="25">
        <f>T348+0.001</f>
        <v>6.8000000000000047E-2</v>
      </c>
      <c r="U349" s="1">
        <f t="shared" si="11"/>
        <v>0.12663131212356271</v>
      </c>
    </row>
    <row r="350" spans="1:21">
      <c r="A350" s="83">
        <v>618.68756869788558</v>
      </c>
      <c r="B350" s="83">
        <v>620.67978608159092</v>
      </c>
      <c r="C350" s="83">
        <v>615.15906427699429</v>
      </c>
      <c r="D350" s="83">
        <v>619.02456069313916</v>
      </c>
      <c r="E350" s="84">
        <v>14046703.205626735</v>
      </c>
      <c r="F350" s="85" t="s">
        <v>446</v>
      </c>
      <c r="G350" s="25">
        <f t="shared" si="9"/>
        <v>-5.4439196221267583E-4</v>
      </c>
      <c r="I350" s="83">
        <v>186.84774165641696</v>
      </c>
      <c r="J350" s="83">
        <v>187.98675518891037</v>
      </c>
      <c r="K350" s="83">
        <v>182.72748400844085</v>
      </c>
      <c r="L350" s="83">
        <v>182.93547778393963</v>
      </c>
      <c r="M350" s="84">
        <v>32420954.972467855</v>
      </c>
      <c r="N350" s="85" t="s">
        <v>446</v>
      </c>
      <c r="O350" s="25">
        <f t="shared" si="10"/>
        <v>2.1386031402274019E-2</v>
      </c>
      <c r="T350" s="25">
        <f>T349+0.001</f>
        <v>6.9000000000000047E-2</v>
      </c>
      <c r="U350" s="1">
        <f t="shared" si="11"/>
        <v>0.1094992007283439</v>
      </c>
    </row>
    <row r="351" spans="1:21">
      <c r="A351" s="83">
        <v>620.42208632051461</v>
      </c>
      <c r="B351" s="83">
        <v>624.98138978571103</v>
      </c>
      <c r="C351" s="83">
        <v>619.04438375168354</v>
      </c>
      <c r="D351" s="83">
        <v>624.98138978571103</v>
      </c>
      <c r="E351" s="84">
        <v>11407850.079959303</v>
      </c>
      <c r="F351" s="85" t="s">
        <v>447</v>
      </c>
      <c r="G351" s="25">
        <f t="shared" si="9"/>
        <v>-7.2951027657954803E-3</v>
      </c>
      <c r="I351" s="83">
        <v>183.15337602493835</v>
      </c>
      <c r="J351" s="83">
        <v>187.1643874184501</v>
      </c>
      <c r="K351" s="83">
        <v>179.66700416895858</v>
      </c>
      <c r="L351" s="83">
        <v>186.491180898419</v>
      </c>
      <c r="M351" s="84">
        <v>43976623.473778039</v>
      </c>
      <c r="N351" s="85" t="s">
        <v>447</v>
      </c>
      <c r="O351" s="25">
        <f t="shared" si="10"/>
        <v>-1.7897923416007155E-2</v>
      </c>
      <c r="T351" s="25">
        <f>T350+0.001</f>
        <v>7.0000000000000048E-2</v>
      </c>
      <c r="U351" s="1">
        <f t="shared" si="11"/>
        <v>9.4486778160091822E-2</v>
      </c>
    </row>
    <row r="352" spans="1:21">
      <c r="A352" s="83">
        <v>621.32403548428169</v>
      </c>
      <c r="B352" s="83">
        <v>627.82599868682269</v>
      </c>
      <c r="C352" s="83">
        <v>618.95517998823402</v>
      </c>
      <c r="D352" s="83">
        <v>627.20157234267617</v>
      </c>
      <c r="E352" s="84">
        <v>8580697.0513453986</v>
      </c>
      <c r="F352" s="85" t="s">
        <v>448</v>
      </c>
      <c r="G352" s="25">
        <f t="shared" si="9"/>
        <v>-9.3710493046774701E-3</v>
      </c>
      <c r="I352" s="83">
        <v>188.15513110240937</v>
      </c>
      <c r="J352" s="83">
        <v>195.95984991636413</v>
      </c>
      <c r="K352" s="83">
        <v>184.20324936793227</v>
      </c>
      <c r="L352" s="83">
        <v>194.49398902237263</v>
      </c>
      <c r="M352" s="84">
        <v>55281226.432983555</v>
      </c>
      <c r="N352" s="85" t="s">
        <v>448</v>
      </c>
      <c r="O352" s="25">
        <f t="shared" si="10"/>
        <v>-3.2591536385394915E-2</v>
      </c>
    </row>
    <row r="353" spans="1:15">
      <c r="A353" s="83">
        <v>628.10352150644337</v>
      </c>
      <c r="B353" s="83">
        <v>628.26210597479803</v>
      </c>
      <c r="C353" s="83">
        <v>621.7204966551684</v>
      </c>
      <c r="D353" s="83">
        <v>624.42634414646977</v>
      </c>
      <c r="E353" s="84">
        <v>22325749.531044696</v>
      </c>
      <c r="F353" s="85" t="s">
        <v>449</v>
      </c>
      <c r="G353" s="25">
        <f t="shared" si="9"/>
        <v>5.8888888888888324E-3</v>
      </c>
      <c r="I353" s="83">
        <v>196.9502964663584</v>
      </c>
      <c r="J353" s="83">
        <v>200.06029863334038</v>
      </c>
      <c r="K353" s="83">
        <v>184.45086100543082</v>
      </c>
      <c r="L353" s="83">
        <v>188.79892135990565</v>
      </c>
      <c r="M353" s="84">
        <v>100677836.67940284</v>
      </c>
      <c r="N353" s="85" t="s">
        <v>449</v>
      </c>
      <c r="O353" s="25">
        <f t="shared" si="10"/>
        <v>4.3174902948273974E-2</v>
      </c>
    </row>
    <row r="354" spans="1:15">
      <c r="A354" s="83">
        <v>626.56723446925764</v>
      </c>
      <c r="B354" s="83">
        <v>627.90033515636401</v>
      </c>
      <c r="C354" s="83">
        <v>620.9275743133951</v>
      </c>
      <c r="D354" s="83">
        <v>622.07731170896636</v>
      </c>
      <c r="E354" s="84">
        <v>22599171.515239444</v>
      </c>
      <c r="F354" s="85" t="s">
        <v>450</v>
      </c>
      <c r="G354" s="25">
        <f t="shared" si="9"/>
        <v>7.2176282204483577E-3</v>
      </c>
      <c r="I354" s="83">
        <v>220.87948511421968</v>
      </c>
      <c r="J354" s="83">
        <v>223.16741664470644</v>
      </c>
      <c r="K354" s="83">
        <v>215.50136034775088</v>
      </c>
      <c r="L354" s="83">
        <v>219.68104478872664</v>
      </c>
      <c r="M354" s="84">
        <v>37923293.286465302</v>
      </c>
      <c r="N354" s="85" t="s">
        <v>450</v>
      </c>
      <c r="O354" s="25">
        <f t="shared" si="10"/>
        <v>5.4553651938682446E-3</v>
      </c>
    </row>
    <row r="355" spans="1:15">
      <c r="A355" s="83">
        <v>622.54315358475822</v>
      </c>
      <c r="B355" s="83">
        <v>624.63448626118532</v>
      </c>
      <c r="C355" s="83">
        <v>622.10704629678287</v>
      </c>
      <c r="D355" s="83">
        <v>622.62244581893549</v>
      </c>
      <c r="E355" s="84">
        <v>9703690.2539440319</v>
      </c>
      <c r="F355" s="85" t="s">
        <v>451</v>
      </c>
      <c r="G355" s="25">
        <f t="shared" si="9"/>
        <v>-1.2735203285674235E-4</v>
      </c>
      <c r="I355" s="83">
        <v>219.4136242202282</v>
      </c>
      <c r="J355" s="83">
        <v>220.49321095972192</v>
      </c>
      <c r="K355" s="83">
        <v>216.19467293274684</v>
      </c>
      <c r="L355" s="83">
        <v>217.92795439523681</v>
      </c>
      <c r="M355" s="84">
        <v>17399577.998529948</v>
      </c>
      <c r="N355" s="85" t="s">
        <v>451</v>
      </c>
      <c r="O355" s="25">
        <f t="shared" si="10"/>
        <v>6.8172521928828722E-3</v>
      </c>
    </row>
    <row r="356" spans="1:15">
      <c r="A356" s="83">
        <v>623.0486415776387</v>
      </c>
      <c r="B356" s="83">
        <v>625.88333894947823</v>
      </c>
      <c r="C356" s="83">
        <v>621.15653063958212</v>
      </c>
      <c r="D356" s="83">
        <v>625.77431212748434</v>
      </c>
      <c r="E356" s="84">
        <v>6894887.5721843466</v>
      </c>
      <c r="F356" s="85" t="s">
        <v>452</v>
      </c>
      <c r="G356" s="25">
        <f t="shared" si="9"/>
        <v>-4.3556766345664855E-3</v>
      </c>
      <c r="I356" s="83">
        <v>218.43308213573386</v>
      </c>
      <c r="J356" s="83">
        <v>222.6028621112097</v>
      </c>
      <c r="K356" s="83">
        <v>214.83776115925471</v>
      </c>
      <c r="L356" s="83">
        <v>219.23039160847924</v>
      </c>
      <c r="M356" s="84">
        <v>24666887.880160332</v>
      </c>
      <c r="N356" s="85" t="s">
        <v>452</v>
      </c>
      <c r="O356" s="25">
        <f t="shared" si="10"/>
        <v>-3.6368564909982082E-3</v>
      </c>
    </row>
    <row r="357" spans="1:15">
      <c r="A357" s="83">
        <v>624.90209755153376</v>
      </c>
      <c r="B357" s="83">
        <v>627.37997986957532</v>
      </c>
      <c r="C357" s="83">
        <v>623.91094462431715</v>
      </c>
      <c r="D357" s="83">
        <v>624.72369002463472</v>
      </c>
      <c r="E357" s="84">
        <v>5052250.6290349569</v>
      </c>
      <c r="F357" s="85" t="s">
        <v>453</v>
      </c>
      <c r="G357" s="25">
        <f t="shared" si="9"/>
        <v>2.8557829604958229E-4</v>
      </c>
      <c r="I357" s="83">
        <v>215.50136034775088</v>
      </c>
      <c r="J357" s="83">
        <v>217.40301772373985</v>
      </c>
      <c r="K357" s="83">
        <v>211.57919200977361</v>
      </c>
      <c r="L357" s="83">
        <v>216.90779444874272</v>
      </c>
      <c r="M357" s="84">
        <v>24193778.049041513</v>
      </c>
      <c r="N357" s="85" t="s">
        <v>453</v>
      </c>
      <c r="O357" s="25">
        <f t="shared" si="10"/>
        <v>-6.4840182648401301E-3</v>
      </c>
    </row>
    <row r="358" spans="1:15">
      <c r="A358" s="83">
        <v>623.732537097418</v>
      </c>
      <c r="B358" s="83">
        <v>624.6047516733687</v>
      </c>
      <c r="C358" s="83">
        <v>620.93748584266723</v>
      </c>
      <c r="D358" s="83">
        <v>624.55519402700793</v>
      </c>
      <c r="E358" s="84">
        <v>5160085.6533436133</v>
      </c>
      <c r="F358" s="85" t="s">
        <v>454</v>
      </c>
      <c r="G358" s="25">
        <f t="shared" si="9"/>
        <v>-1.3171885166555208E-3</v>
      </c>
      <c r="I358" s="83">
        <v>212.28240906026954</v>
      </c>
      <c r="J358" s="83">
        <v>213.35209133426332</v>
      </c>
      <c r="K358" s="83">
        <v>204.34397996206553</v>
      </c>
      <c r="L358" s="83">
        <v>205.87421988180668</v>
      </c>
      <c r="M358" s="84">
        <v>23141990.852644052</v>
      </c>
      <c r="N358" s="85" t="s">
        <v>454</v>
      </c>
      <c r="O358" s="25">
        <f t="shared" si="10"/>
        <v>3.1126719907630163E-2</v>
      </c>
    </row>
    <row r="359" spans="1:15">
      <c r="A359" s="83">
        <v>623.20722604599325</v>
      </c>
      <c r="B359" s="83">
        <v>624.2082905024821</v>
      </c>
      <c r="C359" s="83">
        <v>619.42102186402587</v>
      </c>
      <c r="D359" s="83">
        <v>620.23376726434344</v>
      </c>
      <c r="E359" s="84">
        <v>5195495.9306441704</v>
      </c>
      <c r="F359" s="85" t="s">
        <v>455</v>
      </c>
      <c r="G359" s="25">
        <f t="shared" si="9"/>
        <v>4.7940936765904496E-3</v>
      </c>
      <c r="I359" s="83">
        <v>205.74546183030739</v>
      </c>
      <c r="J359" s="83">
        <v>205.93364667480631</v>
      </c>
      <c r="K359" s="83">
        <v>197.49504206885524</v>
      </c>
      <c r="L359" s="83">
        <v>198.4161573603499</v>
      </c>
      <c r="M359" s="84">
        <v>19081625.353846252</v>
      </c>
      <c r="N359" s="85" t="s">
        <v>455</v>
      </c>
      <c r="O359" s="25">
        <f t="shared" si="10"/>
        <v>3.693905056656499E-2</v>
      </c>
    </row>
    <row r="360" spans="1:15">
      <c r="A360" s="83">
        <v>621.03660113538899</v>
      </c>
      <c r="B360" s="83">
        <v>623.20722604599325</v>
      </c>
      <c r="C360" s="83">
        <v>619.09394139804431</v>
      </c>
      <c r="D360" s="83">
        <v>621.46279689409209</v>
      </c>
      <c r="E360" s="84">
        <v>5303719.3914790461</v>
      </c>
      <c r="F360" s="85" t="s">
        <v>456</v>
      </c>
      <c r="G360" s="25">
        <f t="shared" si="9"/>
        <v>-6.8579448493633066E-4</v>
      </c>
      <c r="I360" s="83">
        <v>199.17880120384547</v>
      </c>
      <c r="J360" s="83">
        <v>207.69664153379608</v>
      </c>
      <c r="K360" s="83">
        <v>198.0893099988518</v>
      </c>
      <c r="L360" s="83">
        <v>203.18020526582228</v>
      </c>
      <c r="M360" s="84">
        <v>19732806.379216816</v>
      </c>
      <c r="N360" s="85" t="s">
        <v>456</v>
      </c>
      <c r="O360" s="25">
        <f t="shared" si="10"/>
        <v>-1.9693867602612936E-2</v>
      </c>
    </row>
    <row r="361" spans="1:15">
      <c r="A361" s="83">
        <v>619.98597903253926</v>
      </c>
      <c r="B361" s="83">
        <v>622.4539498213087</v>
      </c>
      <c r="C361" s="83">
        <v>618.57854187589169</v>
      </c>
      <c r="D361" s="83">
        <v>618.64792258079683</v>
      </c>
      <c r="E361" s="84">
        <v>8456174.3902999498</v>
      </c>
      <c r="F361" s="85" t="s">
        <v>457</v>
      </c>
      <c r="G361" s="25">
        <f t="shared" si="9"/>
        <v>2.1628722944069256E-3</v>
      </c>
      <c r="I361" s="83">
        <v>199.0203297558464</v>
      </c>
      <c r="J361" s="83">
        <v>201.55587292383169</v>
      </c>
      <c r="K361" s="83">
        <v>194.82083638387073</v>
      </c>
      <c r="L361" s="83">
        <v>198.58453327384893</v>
      </c>
      <c r="M361" s="84">
        <v>13412698.544991653</v>
      </c>
      <c r="N361" s="85" t="s">
        <v>457</v>
      </c>
      <c r="O361" s="25">
        <f t="shared" si="10"/>
        <v>2.1945137157106664E-3</v>
      </c>
    </row>
    <row r="362" spans="1:15">
      <c r="A362" s="83">
        <v>622.85041099219529</v>
      </c>
      <c r="B362" s="83">
        <v>623.06846463618297</v>
      </c>
      <c r="C362" s="83">
        <v>620.16934232407436</v>
      </c>
      <c r="D362" s="83">
        <v>620.48651126078369</v>
      </c>
      <c r="E362" s="84">
        <v>2975491.3888837793</v>
      </c>
      <c r="F362" s="85" t="s">
        <v>458</v>
      </c>
      <c r="G362" s="25">
        <f t="shared" si="9"/>
        <v>3.8097520067088553E-3</v>
      </c>
      <c r="I362" s="83">
        <v>200.02068077134058</v>
      </c>
      <c r="J362" s="83">
        <v>200.40685588118336</v>
      </c>
      <c r="K362" s="83">
        <v>195.72214274436553</v>
      </c>
      <c r="L362" s="83">
        <v>197.60399118935459</v>
      </c>
      <c r="M362" s="84">
        <v>13973419.363296507</v>
      </c>
      <c r="N362" s="85" t="s">
        <v>458</v>
      </c>
      <c r="O362" s="25">
        <f t="shared" si="10"/>
        <v>1.2229963410355316E-2</v>
      </c>
    </row>
    <row r="363" spans="1:15">
      <c r="A363" s="83">
        <v>619.42102186402587</v>
      </c>
      <c r="B363" s="83">
        <v>621.26456630864868</v>
      </c>
      <c r="C363" s="83">
        <v>616.75482048981314</v>
      </c>
      <c r="D363" s="83">
        <v>617.54774283158633</v>
      </c>
      <c r="E363" s="84">
        <v>5339774.3725205241</v>
      </c>
      <c r="F363" s="85" t="s">
        <v>459</v>
      </c>
      <c r="G363" s="25">
        <f t="shared" si="9"/>
        <v>3.033415722402566E-3</v>
      </c>
      <c r="I363" s="83">
        <v>203.00192488682333</v>
      </c>
      <c r="J363" s="83">
        <v>207.99377549879438</v>
      </c>
      <c r="K363" s="83">
        <v>200.30791027083893</v>
      </c>
      <c r="L363" s="83">
        <v>207.49855222379725</v>
      </c>
      <c r="M363" s="84">
        <v>25884016.659100484</v>
      </c>
      <c r="N363" s="85" t="s">
        <v>459</v>
      </c>
      <c r="O363" s="25">
        <f t="shared" si="10"/>
        <v>-2.1670644391407978E-2</v>
      </c>
    </row>
    <row r="364" spans="1:15">
      <c r="A364" s="83">
        <v>615.16897580626653</v>
      </c>
      <c r="B364" s="83">
        <v>616.24933249693265</v>
      </c>
      <c r="C364" s="83">
        <v>605.58452700008183</v>
      </c>
      <c r="D364" s="83">
        <v>609.34099659423282</v>
      </c>
      <c r="E364" s="84">
        <v>7354974.9991373178</v>
      </c>
      <c r="F364" s="85" t="s">
        <v>460</v>
      </c>
      <c r="G364" s="25">
        <f t="shared" si="9"/>
        <v>9.5643970200722794E-3</v>
      </c>
      <c r="I364" s="83">
        <v>195.14768374536885</v>
      </c>
      <c r="J364" s="83">
        <v>197.50494653435518</v>
      </c>
      <c r="K364" s="83">
        <v>183.85659307543429</v>
      </c>
      <c r="L364" s="83">
        <v>192.22586642288579</v>
      </c>
      <c r="M364" s="84">
        <v>29769990.112208389</v>
      </c>
      <c r="N364" s="85" t="s">
        <v>460</v>
      </c>
      <c r="O364" s="25">
        <f t="shared" si="10"/>
        <v>1.5199917559769238E-2</v>
      </c>
    </row>
    <row r="365" spans="1:15">
      <c r="A365" s="83">
        <v>609.49958106258748</v>
      </c>
      <c r="B365" s="83">
        <v>610.63940692888661</v>
      </c>
      <c r="C365" s="83">
        <v>602.92328139050517</v>
      </c>
      <c r="D365" s="83">
        <v>603.88965549454133</v>
      </c>
      <c r="E365" s="84">
        <v>6274066.119607918</v>
      </c>
      <c r="F365" s="85" t="s">
        <v>461</v>
      </c>
      <c r="G365" s="25">
        <f t="shared" si="9"/>
        <v>9.2896533613446852E-3</v>
      </c>
      <c r="I365" s="83">
        <v>198.36663503285018</v>
      </c>
      <c r="J365" s="83">
        <v>201.87281581982987</v>
      </c>
      <c r="K365" s="83">
        <v>192.44376466388454</v>
      </c>
      <c r="L365" s="83">
        <v>194.97435559911983</v>
      </c>
      <c r="M365" s="84">
        <v>31274025.842363272</v>
      </c>
      <c r="N365" s="85" t="s">
        <v>461</v>
      </c>
      <c r="O365" s="25">
        <f t="shared" si="10"/>
        <v>1.7398592872926777E-2</v>
      </c>
    </row>
    <row r="366" spans="1:15">
      <c r="A366" s="83">
        <v>600.56929318836569</v>
      </c>
      <c r="B366" s="83">
        <v>605.6043500586261</v>
      </c>
      <c r="C366" s="83">
        <v>593.08608858788023</v>
      </c>
      <c r="D366" s="83">
        <v>596.9218504162086</v>
      </c>
      <c r="E366" s="84">
        <v>9877250.7563410588</v>
      </c>
      <c r="F366" s="85" t="s">
        <v>462</v>
      </c>
      <c r="G366" s="25">
        <f t="shared" si="9"/>
        <v>6.1104192611041164E-3</v>
      </c>
      <c r="I366" s="83">
        <v>196.86115627685891</v>
      </c>
      <c r="J366" s="83">
        <v>206.3199208293041</v>
      </c>
      <c r="K366" s="83">
        <v>191.70092975138883</v>
      </c>
      <c r="L366" s="83">
        <v>205.10167157281117</v>
      </c>
      <c r="M366" s="84">
        <v>44823130.536683008</v>
      </c>
      <c r="N366" s="85" t="s">
        <v>462</v>
      </c>
      <c r="O366" s="25">
        <f t="shared" si="10"/>
        <v>-4.0177709097933278E-2</v>
      </c>
    </row>
    <row r="367" spans="1:15">
      <c r="A367" s="83">
        <v>594.65211021288258</v>
      </c>
      <c r="B367" s="83">
        <v>615.63362829854566</v>
      </c>
      <c r="C367" s="83">
        <v>594.05741845655257</v>
      </c>
      <c r="D367" s="83">
        <v>613.24613912746634</v>
      </c>
      <c r="E367" s="84">
        <v>13981349.012321869</v>
      </c>
      <c r="F367" s="85" t="s">
        <v>463</v>
      </c>
      <c r="G367" s="25">
        <f t="shared" si="9"/>
        <v>-3.0320662011895538E-2</v>
      </c>
      <c r="I367" s="83">
        <v>208.67718361829043</v>
      </c>
      <c r="J367" s="83">
        <v>231.7644926986566</v>
      </c>
      <c r="K367" s="83">
        <v>208.29090946379267</v>
      </c>
      <c r="L367" s="83">
        <v>228.95162449667291</v>
      </c>
      <c r="M367" s="84">
        <v>26973321.276301943</v>
      </c>
      <c r="N367" s="85" t="s">
        <v>463</v>
      </c>
      <c r="O367" s="25">
        <f t="shared" si="10"/>
        <v>-8.8553382938224567E-2</v>
      </c>
    </row>
    <row r="368" spans="1:15">
      <c r="A368" s="83">
        <v>603.81036326036417</v>
      </c>
      <c r="B368" s="83">
        <v>608.14160243700792</v>
      </c>
      <c r="C368" s="83">
        <v>600.31159342728938</v>
      </c>
      <c r="D368" s="83">
        <v>602.14522634264017</v>
      </c>
      <c r="E368" s="84">
        <v>7362433.9893667689</v>
      </c>
      <c r="F368" s="85" t="s">
        <v>464</v>
      </c>
      <c r="G368" s="25">
        <f t="shared" si="9"/>
        <v>2.7653410587307192E-3</v>
      </c>
      <c r="I368" s="83">
        <v>223.37541042020521</v>
      </c>
      <c r="J368" s="83">
        <v>225.97028133653518</v>
      </c>
      <c r="K368" s="83">
        <v>215.23393977925241</v>
      </c>
      <c r="L368" s="83">
        <v>216.96722124174238</v>
      </c>
      <c r="M368" s="84">
        <v>20724425.7654479</v>
      </c>
      <c r="N368" s="85" t="s">
        <v>464</v>
      </c>
      <c r="O368" s="25">
        <f t="shared" si="10"/>
        <v>2.9535287135944444E-2</v>
      </c>
    </row>
    <row r="369" spans="1:15">
      <c r="A369" s="83">
        <v>601.62982682048755</v>
      </c>
      <c r="B369" s="83">
        <v>606.09992652223445</v>
      </c>
      <c r="C369" s="83">
        <v>597.66521511162102</v>
      </c>
      <c r="D369" s="83">
        <v>603.33460985530007</v>
      </c>
      <c r="E369" s="84">
        <v>8561307.5106677879</v>
      </c>
      <c r="F369" s="85" t="s">
        <v>465</v>
      </c>
      <c r="G369" s="25">
        <f t="shared" si="9"/>
        <v>-2.8256012616637571E-3</v>
      </c>
      <c r="I369" s="83">
        <v>218.38355980823417</v>
      </c>
      <c r="J369" s="83">
        <v>221.56289323371573</v>
      </c>
      <c r="K369" s="83">
        <v>212.45078497376855</v>
      </c>
      <c r="L369" s="83">
        <v>214.13949634150876</v>
      </c>
      <c r="M369" s="84">
        <v>21165065.394110877</v>
      </c>
      <c r="N369" s="85" t="s">
        <v>465</v>
      </c>
      <c r="O369" s="25">
        <f t="shared" si="10"/>
        <v>1.9819153118568078E-2</v>
      </c>
    </row>
    <row r="370" spans="1:15">
      <c r="A370" s="83">
        <v>606.62523757365921</v>
      </c>
      <c r="B370" s="83">
        <v>613.96819403494351</v>
      </c>
      <c r="C370" s="83">
        <v>603.42381361874948</v>
      </c>
      <c r="D370" s="83">
        <v>610.29250340436079</v>
      </c>
      <c r="E370" s="84">
        <v>8937943.6378982458</v>
      </c>
      <c r="F370" s="85" t="s">
        <v>466</v>
      </c>
      <c r="G370" s="25">
        <f t="shared" si="9"/>
        <v>-6.0090297852991581E-3</v>
      </c>
      <c r="I370" s="83">
        <v>217.75957848173778</v>
      </c>
      <c r="J370" s="83">
        <v>220.6714913387209</v>
      </c>
      <c r="K370" s="83">
        <v>213.50065831676247</v>
      </c>
      <c r="L370" s="83">
        <v>216.12534167424727</v>
      </c>
      <c r="M370" s="84">
        <v>16094782.701895827</v>
      </c>
      <c r="N370" s="85" t="s">
        <v>466</v>
      </c>
      <c r="O370" s="25">
        <f t="shared" si="10"/>
        <v>7.5615233032400031E-3</v>
      </c>
    </row>
    <row r="371" spans="1:15">
      <c r="A371" s="83">
        <v>612.36401302224351</v>
      </c>
      <c r="B371" s="83">
        <v>615.72392233021515</v>
      </c>
      <c r="C371" s="83">
        <v>604.43478960451057</v>
      </c>
      <c r="D371" s="83">
        <v>606.33780322476639</v>
      </c>
      <c r="E371" s="84">
        <v>9738048.2213826496</v>
      </c>
      <c r="F371" s="85" t="s">
        <v>467</v>
      </c>
      <c r="G371" s="25">
        <f t="shared" si="9"/>
        <v>9.9387004495301579E-3</v>
      </c>
      <c r="I371" s="83">
        <v>220.72101366622061</v>
      </c>
      <c r="J371" s="83">
        <v>224.88088917619652</v>
      </c>
      <c r="K371" s="83">
        <v>208.75641934228997</v>
      </c>
      <c r="L371" s="83">
        <v>208.81584613528963</v>
      </c>
      <c r="M371" s="84">
        <v>36303315.913623422</v>
      </c>
      <c r="N371" s="85" t="s">
        <v>467</v>
      </c>
      <c r="O371" s="25">
        <f t="shared" si="10"/>
        <v>5.7012759095005361E-2</v>
      </c>
    </row>
    <row r="372" spans="1:15">
      <c r="A372" s="83">
        <v>612.52259749059817</v>
      </c>
      <c r="B372" s="83">
        <v>620.48155549614762</v>
      </c>
      <c r="C372" s="83">
        <v>611.05569115831759</v>
      </c>
      <c r="D372" s="83">
        <v>620.13465197162179</v>
      </c>
      <c r="E372" s="84">
        <v>10620360.098779622</v>
      </c>
      <c r="F372" s="85" t="s">
        <v>468</v>
      </c>
      <c r="G372" s="25">
        <f t="shared" si="9"/>
        <v>-1.2274841370051304E-2</v>
      </c>
      <c r="I372" s="83">
        <v>215.4914558822509</v>
      </c>
      <c r="J372" s="83">
        <v>223.00894519670734</v>
      </c>
      <c r="K372" s="83">
        <v>213.1639064897644</v>
      </c>
      <c r="L372" s="83">
        <v>222.84056928320834</v>
      </c>
      <c r="M372" s="84">
        <v>29610984.05579786</v>
      </c>
      <c r="N372" s="85" t="s">
        <v>468</v>
      </c>
      <c r="O372" s="25">
        <f t="shared" si="10"/>
        <v>-3.2979243521934487E-2</v>
      </c>
    </row>
    <row r="373" spans="1:15">
      <c r="A373" s="83">
        <v>622.66209193602413</v>
      </c>
      <c r="B373" s="83">
        <v>624.19837897320986</v>
      </c>
      <c r="C373" s="83">
        <v>620.56084773032489</v>
      </c>
      <c r="D373" s="83">
        <v>624.07944062194395</v>
      </c>
      <c r="E373" s="84">
        <v>6119969.8184156204</v>
      </c>
      <c r="F373" s="85" t="s">
        <v>469</v>
      </c>
      <c r="G373" s="25">
        <f t="shared" si="9"/>
        <v>-2.2711029937267924E-3</v>
      </c>
      <c r="I373" s="83">
        <v>224.82146238319686</v>
      </c>
      <c r="J373" s="83">
        <v>234.54764750414046</v>
      </c>
      <c r="K373" s="83">
        <v>224.00929621220155</v>
      </c>
      <c r="L373" s="83">
        <v>234.47831624564088</v>
      </c>
      <c r="M373" s="84">
        <v>23407453.940986905</v>
      </c>
      <c r="N373" s="85" t="s">
        <v>469</v>
      </c>
      <c r="O373" s="25">
        <f t="shared" si="10"/>
        <v>-4.1184421728478471E-2</v>
      </c>
    </row>
    <row r="374" spans="1:15">
      <c r="A374" s="83">
        <v>622.35483452858693</v>
      </c>
      <c r="B374" s="83">
        <v>622.92970322637268</v>
      </c>
      <c r="C374" s="83">
        <v>618.54880728807518</v>
      </c>
      <c r="D374" s="83">
        <v>619.6291639787413</v>
      </c>
      <c r="E374" s="84">
        <v>5660956.8976975149</v>
      </c>
      <c r="F374" s="85" t="s">
        <v>470</v>
      </c>
      <c r="G374" s="25">
        <f t="shared" si="9"/>
        <v>4.3988738882845269E-3</v>
      </c>
      <c r="I374" s="83">
        <v>233.89395278114426</v>
      </c>
      <c r="J374" s="83">
        <v>235.18153329613679</v>
      </c>
      <c r="K374" s="83">
        <v>226.70331082818592</v>
      </c>
      <c r="L374" s="83">
        <v>233.97318850514378</v>
      </c>
      <c r="M374" s="84">
        <v>20478593.216481563</v>
      </c>
      <c r="N374" s="85" t="s">
        <v>470</v>
      </c>
      <c r="O374" s="25">
        <f t="shared" si="10"/>
        <v>-3.3865300766189321E-4</v>
      </c>
    </row>
    <row r="375" spans="1:15">
      <c r="A375" s="83">
        <v>620.9275743133951</v>
      </c>
      <c r="B375" s="83">
        <v>621.66102747953539</v>
      </c>
      <c r="C375" s="83">
        <v>615.16897580626653</v>
      </c>
      <c r="D375" s="83">
        <v>617.18101624851636</v>
      </c>
      <c r="E375" s="84">
        <v>8458626.0805823188</v>
      </c>
      <c r="F375" s="85" t="s">
        <v>471</v>
      </c>
      <c r="G375" s="25">
        <f t="shared" si="9"/>
        <v>6.0704363326855582E-3</v>
      </c>
      <c r="I375" s="83">
        <v>238.52924263511738</v>
      </c>
      <c r="J375" s="83">
        <v>244.87800502058059</v>
      </c>
      <c r="K375" s="83">
        <v>234.80516360713898</v>
      </c>
      <c r="L375" s="83">
        <v>243.60032897108798</v>
      </c>
      <c r="M375" s="84">
        <v>16383206.140799882</v>
      </c>
      <c r="N375" s="85" t="s">
        <v>471</v>
      </c>
      <c r="O375" s="25">
        <f t="shared" si="10"/>
        <v>-2.0817239276275656E-2</v>
      </c>
    </row>
    <row r="376" spans="1:15">
      <c r="A376" s="83">
        <v>611.43232927065981</v>
      </c>
      <c r="B376" s="83">
        <v>611.56117915119796</v>
      </c>
      <c r="C376" s="83">
        <v>602.54168751352677</v>
      </c>
      <c r="D376" s="83">
        <v>608.65710107445341</v>
      </c>
      <c r="E376" s="84">
        <v>7594386.0864519393</v>
      </c>
      <c r="F376" s="85" t="s">
        <v>472</v>
      </c>
      <c r="G376" s="25">
        <f t="shared" si="9"/>
        <v>4.5595922421792778E-3</v>
      </c>
      <c r="I376" s="83">
        <v>236.97424155162639</v>
      </c>
      <c r="J376" s="83">
        <v>238.10335061861986</v>
      </c>
      <c r="K376" s="83">
        <v>230.13025589116606</v>
      </c>
      <c r="L376" s="83">
        <v>236.7167254486279</v>
      </c>
      <c r="M376" s="84">
        <v>20534471.042498849</v>
      </c>
      <c r="N376" s="85" t="s">
        <v>472</v>
      </c>
      <c r="O376" s="25">
        <f t="shared" si="10"/>
        <v>1.0878661087865282E-3</v>
      </c>
    </row>
    <row r="377" spans="1:15">
      <c r="A377" s="83">
        <v>610.78807986796903</v>
      </c>
      <c r="B377" s="83">
        <v>617.28013154123789</v>
      </c>
      <c r="C377" s="83">
        <v>609.38064271132157</v>
      </c>
      <c r="D377" s="83">
        <v>616.45747461164819</v>
      </c>
      <c r="E377" s="84">
        <v>7094884.9636632465</v>
      </c>
      <c r="F377" s="85" t="s">
        <v>473</v>
      </c>
      <c r="G377" s="25">
        <f t="shared" si="9"/>
        <v>-9.1967329088689098E-3</v>
      </c>
      <c r="I377" s="83">
        <v>241.47086888860034</v>
      </c>
      <c r="J377" s="83">
        <v>246.69052220707007</v>
      </c>
      <c r="K377" s="83">
        <v>237.00395494812622</v>
      </c>
      <c r="L377" s="83">
        <v>245.57131760557655</v>
      </c>
      <c r="M377" s="84">
        <v>18184783.419261139</v>
      </c>
      <c r="N377" s="85" t="s">
        <v>473</v>
      </c>
      <c r="O377" s="25">
        <f t="shared" si="10"/>
        <v>-1.6697588126159513E-2</v>
      </c>
    </row>
    <row r="378" spans="1:15">
      <c r="A378" s="83">
        <v>617.34951224614315</v>
      </c>
      <c r="B378" s="83">
        <v>620.46173243760325</v>
      </c>
      <c r="C378" s="83">
        <v>614.34631887667672</v>
      </c>
      <c r="D378" s="83">
        <v>615.09959510136139</v>
      </c>
      <c r="E378" s="84">
        <v>10356082.011304678</v>
      </c>
      <c r="F378" s="85" t="s">
        <v>474</v>
      </c>
      <c r="G378" s="25">
        <f t="shared" si="9"/>
        <v>3.6578095038592995E-3</v>
      </c>
      <c r="I378" s="83">
        <v>247.91867592906297</v>
      </c>
      <c r="J378" s="83">
        <v>249.98870921855098</v>
      </c>
      <c r="K378" s="83">
        <v>244.67001124508178</v>
      </c>
      <c r="L378" s="83">
        <v>245.54160420907672</v>
      </c>
      <c r="M378" s="84">
        <v>11975417.552889403</v>
      </c>
      <c r="N378" s="85" t="s">
        <v>474</v>
      </c>
      <c r="O378" s="25">
        <f t="shared" si="10"/>
        <v>9.6809325965068194E-3</v>
      </c>
    </row>
    <row r="379" spans="1:15">
      <c r="A379" s="83">
        <v>615.49605627224798</v>
      </c>
      <c r="B379" s="83">
        <v>619.63907550801343</v>
      </c>
      <c r="C379" s="83">
        <v>614.71304545974692</v>
      </c>
      <c r="D379" s="83">
        <v>616.150217204211</v>
      </c>
      <c r="E379" s="84">
        <v>8276576.4744668305</v>
      </c>
      <c r="F379" s="85" t="s">
        <v>475</v>
      </c>
      <c r="G379" s="25">
        <f t="shared" si="9"/>
        <v>-1.061690661948167E-3</v>
      </c>
      <c r="I379" s="83">
        <v>245.79912031207525</v>
      </c>
      <c r="J379" s="83">
        <v>252.84119528253444</v>
      </c>
      <c r="K379" s="83">
        <v>242.84263736034239</v>
      </c>
      <c r="L379" s="83">
        <v>247.59182856756485</v>
      </c>
      <c r="M379" s="84">
        <v>19588019.161773499</v>
      </c>
      <c r="N379" s="85" t="s">
        <v>475</v>
      </c>
      <c r="O379" s="25">
        <f t="shared" si="10"/>
        <v>-7.2405792463396956E-3</v>
      </c>
    </row>
    <row r="380" spans="1:15">
      <c r="A380" s="83">
        <v>622.71164958238501</v>
      </c>
      <c r="B380" s="83">
        <v>624.96156672716666</v>
      </c>
      <c r="C380" s="83">
        <v>619.6291639787413</v>
      </c>
      <c r="D380" s="83">
        <v>624.84262837590063</v>
      </c>
      <c r="E380" s="84">
        <v>5559411.518335483</v>
      </c>
      <c r="F380" s="85" t="s">
        <v>476</v>
      </c>
      <c r="G380" s="25">
        <f t="shared" ref="G380:G443" si="12">A380/D380-1</f>
        <v>-3.4104247961674883E-3</v>
      </c>
      <c r="I380" s="83">
        <v>255.3866429160197</v>
      </c>
      <c r="J380" s="83">
        <v>263.08241260947506</v>
      </c>
      <c r="K380" s="83">
        <v>252.7916729550347</v>
      </c>
      <c r="L380" s="83">
        <v>262.70604292047727</v>
      </c>
      <c r="M380" s="84">
        <v>15787290.08656816</v>
      </c>
      <c r="N380" s="85" t="s">
        <v>476</v>
      </c>
      <c r="O380" s="25">
        <f t="shared" ref="O380:O443" si="13">I380/L380-1</f>
        <v>-2.7861559342482245E-2</v>
      </c>
    </row>
    <row r="381" spans="1:15">
      <c r="A381" s="83">
        <v>621.49253148190849</v>
      </c>
      <c r="B381" s="83">
        <v>624.36687497083676</v>
      </c>
      <c r="C381" s="83">
        <v>618.97500304677828</v>
      </c>
      <c r="D381" s="83">
        <v>624.26775967811511</v>
      </c>
      <c r="E381" s="84">
        <v>7081931.3622083683</v>
      </c>
      <c r="F381" s="85" t="s">
        <v>477</v>
      </c>
      <c r="G381" s="25">
        <f t="shared" si="12"/>
        <v>-4.4455734789788925E-3</v>
      </c>
      <c r="I381" s="83">
        <v>260.10116849399236</v>
      </c>
      <c r="J381" s="83">
        <v>263.27059745397395</v>
      </c>
      <c r="K381" s="83">
        <v>254.25723671506123</v>
      </c>
      <c r="L381" s="83">
        <v>257.03078418901015</v>
      </c>
      <c r="M381" s="84">
        <v>16222952.162429297</v>
      </c>
      <c r="N381" s="85" t="s">
        <v>477</v>
      </c>
      <c r="O381" s="25">
        <f t="shared" si="13"/>
        <v>1.1945589765326892E-2</v>
      </c>
    </row>
    <row r="382" spans="1:15">
      <c r="A382" s="83">
        <v>619.70845621291869</v>
      </c>
      <c r="B382" s="83">
        <v>625.05077049061617</v>
      </c>
      <c r="C382" s="83">
        <v>619.56969480310829</v>
      </c>
      <c r="D382" s="83">
        <v>623.24687216308189</v>
      </c>
      <c r="E382" s="84">
        <v>6226766.6578269275</v>
      </c>
      <c r="F382" s="85" t="s">
        <v>478</v>
      </c>
      <c r="G382" s="25">
        <f t="shared" si="12"/>
        <v>-5.6773906267392205E-3</v>
      </c>
      <c r="I382" s="83">
        <v>254.43581422802518</v>
      </c>
      <c r="J382" s="83">
        <v>267.1828613264513</v>
      </c>
      <c r="K382" s="83">
        <v>253.83164183252865</v>
      </c>
      <c r="L382" s="83">
        <v>266.17260584545716</v>
      </c>
      <c r="M382" s="84">
        <v>27646998.215258282</v>
      </c>
      <c r="N382" s="85" t="s">
        <v>478</v>
      </c>
      <c r="O382" s="25">
        <f t="shared" si="13"/>
        <v>-4.4094663987497285E-2</v>
      </c>
    </row>
    <row r="383" spans="1:15">
      <c r="A383" s="83">
        <v>626.35909235454221</v>
      </c>
      <c r="B383" s="83">
        <v>628.51980573587434</v>
      </c>
      <c r="C383" s="83">
        <v>622.3151884114983</v>
      </c>
      <c r="D383" s="83">
        <v>627.60794504283513</v>
      </c>
      <c r="E383" s="84">
        <v>6091277.9796295911</v>
      </c>
      <c r="F383" s="85" t="s">
        <v>479</v>
      </c>
      <c r="G383" s="25">
        <f t="shared" si="12"/>
        <v>-1.9898611834935354E-3</v>
      </c>
      <c r="I383" s="83">
        <v>272.66993521341948</v>
      </c>
      <c r="J383" s="83">
        <v>278.92955740938322</v>
      </c>
      <c r="K383" s="83">
        <v>268.75767134094218</v>
      </c>
      <c r="L383" s="83">
        <v>278.77108596138413</v>
      </c>
      <c r="M383" s="84">
        <v>17673122.290245205</v>
      </c>
      <c r="N383" s="85" t="s">
        <v>479</v>
      </c>
      <c r="O383" s="25">
        <f t="shared" si="13"/>
        <v>-2.1885880764584753E-2</v>
      </c>
    </row>
    <row r="384" spans="1:15">
      <c r="A384" s="83">
        <v>626.1013925934659</v>
      </c>
      <c r="B384" s="83">
        <v>627.78635256973405</v>
      </c>
      <c r="C384" s="83">
        <v>624.0695290926717</v>
      </c>
      <c r="D384" s="83">
        <v>626.12121565201016</v>
      </c>
      <c r="E384" s="84">
        <v>5625042.1573758936</v>
      </c>
      <c r="F384" s="85" t="s">
        <v>480</v>
      </c>
      <c r="G384" s="25">
        <f t="shared" si="12"/>
        <v>-3.1660097196350989E-5</v>
      </c>
      <c r="I384" s="83">
        <v>278.14710463488774</v>
      </c>
      <c r="J384" s="83">
        <v>282.73287216136112</v>
      </c>
      <c r="K384" s="83">
        <v>277.85987513538942</v>
      </c>
      <c r="L384" s="83">
        <v>280.29637364837527</v>
      </c>
      <c r="M384" s="84">
        <v>12131917.668923831</v>
      </c>
      <c r="N384" s="85" t="s">
        <v>480</v>
      </c>
      <c r="O384" s="25">
        <f t="shared" si="13"/>
        <v>-7.6678445229680925E-3</v>
      </c>
    </row>
    <row r="385" spans="1:15">
      <c r="A385" s="83">
        <v>624.42634414646977</v>
      </c>
      <c r="B385" s="83">
        <v>624.71377849536248</v>
      </c>
      <c r="C385" s="83">
        <v>621.61146983317451</v>
      </c>
      <c r="D385" s="83">
        <v>622.18633853096014</v>
      </c>
      <c r="E385" s="84">
        <v>7873977.6533942977</v>
      </c>
      <c r="F385" s="85" t="s">
        <v>481</v>
      </c>
      <c r="G385" s="25">
        <f t="shared" si="12"/>
        <v>3.600216650205601E-3</v>
      </c>
      <c r="I385" s="83">
        <v>278.71165916838447</v>
      </c>
      <c r="J385" s="83">
        <v>284.25815984835231</v>
      </c>
      <c r="K385" s="83">
        <v>277.13684915389359</v>
      </c>
      <c r="L385" s="83">
        <v>283.83226783185478</v>
      </c>
      <c r="M385" s="84">
        <v>13989382.869858362</v>
      </c>
      <c r="N385" s="85" t="s">
        <v>481</v>
      </c>
      <c r="O385" s="25">
        <f t="shared" si="13"/>
        <v>-1.8040967302927702E-2</v>
      </c>
    </row>
    <row r="386" spans="1:15">
      <c r="A386" s="83">
        <v>617.04225483870584</v>
      </c>
      <c r="B386" s="83">
        <v>618.27118535316185</v>
      </c>
      <c r="C386" s="83">
        <v>615.71113645745402</v>
      </c>
      <c r="D386" s="83">
        <v>616.41782849455944</v>
      </c>
      <c r="E386" s="84">
        <v>5701283.6716013607</v>
      </c>
      <c r="F386" s="85" t="s">
        <v>482</v>
      </c>
      <c r="G386" s="25">
        <f t="shared" si="12"/>
        <v>1.0129920246975122E-3</v>
      </c>
      <c r="I386" s="83">
        <v>280.62322100987336</v>
      </c>
      <c r="J386" s="83">
        <v>284.44634469285126</v>
      </c>
      <c r="K386" s="83">
        <v>279.54858650312963</v>
      </c>
      <c r="L386" s="83">
        <v>283.18847757435856</v>
      </c>
      <c r="M386" s="84">
        <v>12848455.073192757</v>
      </c>
      <c r="N386" s="85" t="s">
        <v>482</v>
      </c>
      <c r="O386" s="25">
        <f t="shared" si="13"/>
        <v>-9.0584778959151846E-3</v>
      </c>
    </row>
    <row r="387" spans="1:15">
      <c r="A387" s="83">
        <v>611.97746338062905</v>
      </c>
      <c r="B387" s="83">
        <v>613.00231550737101</v>
      </c>
      <c r="C387" s="83">
        <v>608.55798578173165</v>
      </c>
      <c r="D387" s="83">
        <v>608.81568554280796</v>
      </c>
      <c r="E387" s="84">
        <v>5877357.4087693281</v>
      </c>
      <c r="F387" s="85" t="s">
        <v>483</v>
      </c>
      <c r="G387" s="25">
        <f t="shared" si="12"/>
        <v>5.1933251933253821E-3</v>
      </c>
      <c r="I387" s="83">
        <v>277.39436525689212</v>
      </c>
      <c r="J387" s="83">
        <v>280.39541830337475</v>
      </c>
      <c r="K387" s="83">
        <v>269.78278352018623</v>
      </c>
      <c r="L387" s="83">
        <v>270.35229028643289</v>
      </c>
      <c r="M387" s="84">
        <v>16785400.484353613</v>
      </c>
      <c r="N387" s="85" t="s">
        <v>483</v>
      </c>
      <c r="O387" s="25">
        <f t="shared" si="13"/>
        <v>2.6047772567409311E-2</v>
      </c>
    </row>
    <row r="388" spans="1:15">
      <c r="A388" s="83">
        <v>608.53816272318738</v>
      </c>
      <c r="B388" s="83">
        <v>612.36401302224351</v>
      </c>
      <c r="C388" s="83">
        <v>604.43478960451057</v>
      </c>
      <c r="D388" s="83">
        <v>612.36401302224351</v>
      </c>
      <c r="E388" s="84">
        <v>6173644.683856817</v>
      </c>
      <c r="F388" s="85" t="s">
        <v>484</v>
      </c>
      <c r="G388" s="25">
        <f t="shared" si="12"/>
        <v>-6.247673308191537E-3</v>
      </c>
      <c r="I388" s="83">
        <v>270.05515632143465</v>
      </c>
      <c r="J388" s="83">
        <v>274.55178365840857</v>
      </c>
      <c r="K388" s="83">
        <v>266.67773358595423</v>
      </c>
      <c r="L388" s="83">
        <v>272.19452086942226</v>
      </c>
      <c r="M388" s="84">
        <v>16164935.907033857</v>
      </c>
      <c r="N388" s="85" t="s">
        <v>484</v>
      </c>
      <c r="O388" s="25">
        <f t="shared" si="13"/>
        <v>-7.8596899788953012E-3</v>
      </c>
    </row>
    <row r="389" spans="1:15">
      <c r="A389" s="83">
        <v>611.63055985610322</v>
      </c>
      <c r="B389" s="83">
        <v>613.2659621860106</v>
      </c>
      <c r="C389" s="83">
        <v>610.53137125981993</v>
      </c>
      <c r="D389" s="83">
        <v>611.86843655863527</v>
      </c>
      <c r="E389" s="84">
        <v>4193228.8003944606</v>
      </c>
      <c r="F389" s="85" t="s">
        <v>485</v>
      </c>
      <c r="G389" s="25">
        <f t="shared" si="12"/>
        <v>-3.8877099768364065E-4</v>
      </c>
      <c r="I389" s="83">
        <v>272.52136823092036</v>
      </c>
      <c r="J389" s="83">
        <v>277.62206891873575</v>
      </c>
      <c r="K389" s="83">
        <v>269.65897770143692</v>
      </c>
      <c r="L389" s="83">
        <v>275.45309001890337</v>
      </c>
      <c r="M389" s="84">
        <v>18232972.794043936</v>
      </c>
      <c r="N389" s="85" t="s">
        <v>485</v>
      </c>
      <c r="O389" s="25">
        <f t="shared" si="13"/>
        <v>-1.0643270648304615E-2</v>
      </c>
    </row>
    <row r="390" spans="1:15">
      <c r="A390" s="83">
        <v>611.70985209028049</v>
      </c>
      <c r="B390" s="83">
        <v>612.54242054914243</v>
      </c>
      <c r="C390" s="83">
        <v>608.08223237666766</v>
      </c>
      <c r="D390" s="83">
        <v>608.08223237666766</v>
      </c>
      <c r="E390" s="84">
        <v>4085368.5529347514</v>
      </c>
      <c r="F390" s="85" t="s">
        <v>486</v>
      </c>
      <c r="G390" s="25">
        <f t="shared" si="12"/>
        <v>5.9656729311665657E-3</v>
      </c>
      <c r="I390" s="83">
        <v>274.53197472740868</v>
      </c>
      <c r="J390" s="83">
        <v>286.47676012033946</v>
      </c>
      <c r="K390" s="83">
        <v>272.67983967891945</v>
      </c>
      <c r="L390" s="83">
        <v>286.18953062084114</v>
      </c>
      <c r="M390" s="84">
        <v>32373094.742150251</v>
      </c>
      <c r="N390" s="85" t="s">
        <v>486</v>
      </c>
      <c r="O390" s="25">
        <f t="shared" si="13"/>
        <v>-4.0733690949991463E-2</v>
      </c>
    </row>
    <row r="391" spans="1:15">
      <c r="A391" s="83">
        <v>605.35656182682203</v>
      </c>
      <c r="B391" s="83">
        <v>606.60541451511494</v>
      </c>
      <c r="C391" s="83">
        <v>599.74663625877599</v>
      </c>
      <c r="D391" s="83">
        <v>600.97566588852453</v>
      </c>
      <c r="E391" s="84">
        <v>6945537.6773512438</v>
      </c>
      <c r="F391" s="85" t="s">
        <v>487</v>
      </c>
      <c r="G391" s="25">
        <f t="shared" si="12"/>
        <v>7.2896394762016481E-3</v>
      </c>
      <c r="I391" s="83">
        <v>288.52698447882756</v>
      </c>
      <c r="J391" s="83">
        <v>301.37307623225308</v>
      </c>
      <c r="K391" s="83">
        <v>284.75338312334947</v>
      </c>
      <c r="L391" s="83">
        <v>300.84813956075618</v>
      </c>
      <c r="M391" s="84">
        <v>37440659.468413465</v>
      </c>
      <c r="N391" s="85" t="s">
        <v>487</v>
      </c>
      <c r="O391" s="25">
        <f t="shared" si="13"/>
        <v>-4.095473251028825E-2</v>
      </c>
    </row>
    <row r="392" spans="1:15">
      <c r="A392" s="83">
        <v>602.01637646210202</v>
      </c>
      <c r="B392" s="83">
        <v>609.36081965277708</v>
      </c>
      <c r="C392" s="83">
        <v>598.79512944864791</v>
      </c>
      <c r="D392" s="83">
        <v>607.68577120578107</v>
      </c>
      <c r="E392" s="84">
        <v>7600450.7408911688</v>
      </c>
      <c r="F392" s="85" t="s">
        <v>488</v>
      </c>
      <c r="G392" s="25">
        <f t="shared" si="12"/>
        <v>-9.3294841056253963E-3</v>
      </c>
      <c r="I392" s="83">
        <v>310.00977014820307</v>
      </c>
      <c r="J392" s="83">
        <v>319.45863023514829</v>
      </c>
      <c r="K392" s="83">
        <v>300.17463590676005</v>
      </c>
      <c r="L392" s="83">
        <v>302.68046567824558</v>
      </c>
      <c r="M392" s="84">
        <v>32067853.636507798</v>
      </c>
      <c r="N392" s="85" t="s">
        <v>488</v>
      </c>
      <c r="O392" s="25">
        <f t="shared" si="13"/>
        <v>2.4214659685863893E-2</v>
      </c>
    </row>
    <row r="393" spans="1:15">
      <c r="A393" s="83">
        <v>606.02063428805707</v>
      </c>
      <c r="B393" s="83">
        <v>610.75338951551657</v>
      </c>
      <c r="C393" s="83">
        <v>600.46026636637191</v>
      </c>
      <c r="D393" s="83">
        <v>607.64612508869243</v>
      </c>
      <c r="E393" s="84">
        <v>6532781.997812612</v>
      </c>
      <c r="F393" s="85" t="s">
        <v>489</v>
      </c>
      <c r="G393" s="25">
        <f t="shared" si="12"/>
        <v>-2.6750615753504681E-3</v>
      </c>
      <c r="I393" s="83">
        <v>300.71938150925689</v>
      </c>
      <c r="J393" s="83">
        <v>308.03878151371447</v>
      </c>
      <c r="K393" s="83">
        <v>296.06428272428388</v>
      </c>
      <c r="L393" s="83">
        <v>301.98715309324956</v>
      </c>
      <c r="M393" s="84">
        <v>13427823.036060946</v>
      </c>
      <c r="N393" s="85" t="s">
        <v>489</v>
      </c>
      <c r="O393" s="25">
        <f t="shared" si="13"/>
        <v>-4.1980977369630024E-3</v>
      </c>
    </row>
    <row r="394" spans="1:15">
      <c r="A394" s="83">
        <v>603.36434444311658</v>
      </c>
      <c r="B394" s="83">
        <v>606.72435286638097</v>
      </c>
      <c r="C394" s="83">
        <v>595.19724432285159</v>
      </c>
      <c r="D394" s="83">
        <v>598.85459862428104</v>
      </c>
      <c r="E394" s="84">
        <v>7535686.7693209462</v>
      </c>
      <c r="F394" s="85" t="s">
        <v>490</v>
      </c>
      <c r="G394" s="25">
        <f t="shared" si="12"/>
        <v>7.5306190003308071E-3</v>
      </c>
      <c r="I394" s="83">
        <v>296.14351844828343</v>
      </c>
      <c r="J394" s="83">
        <v>301.51173874925234</v>
      </c>
      <c r="K394" s="83">
        <v>289.19058366732372</v>
      </c>
      <c r="L394" s="83">
        <v>300.6698591817572</v>
      </c>
      <c r="M394" s="84">
        <v>17110396.315781232</v>
      </c>
      <c r="N394" s="85" t="s">
        <v>490</v>
      </c>
      <c r="O394" s="25">
        <f t="shared" si="13"/>
        <v>-1.5054188490298825E-2</v>
      </c>
    </row>
    <row r="395" spans="1:15">
      <c r="A395" s="83">
        <v>604.2167359605229</v>
      </c>
      <c r="B395" s="83">
        <v>605.62139788897423</v>
      </c>
      <c r="C395" s="83">
        <v>601.20858682642051</v>
      </c>
      <c r="D395" s="83">
        <v>601.99655340355764</v>
      </c>
      <c r="E395" s="84">
        <v>7004428.6904302407</v>
      </c>
      <c r="F395" s="85" t="s">
        <v>491</v>
      </c>
      <c r="G395" s="25">
        <f t="shared" si="12"/>
        <v>3.6880320068493067E-3</v>
      </c>
      <c r="I395" s="83">
        <v>305.06744186373169</v>
      </c>
      <c r="J395" s="83">
        <v>307.73174308321626</v>
      </c>
      <c r="K395" s="83">
        <v>294.89555579529065</v>
      </c>
      <c r="L395" s="83">
        <v>295.84638448328514</v>
      </c>
      <c r="M395" s="84">
        <v>21545147.489406362</v>
      </c>
      <c r="N395" s="85" t="s">
        <v>491</v>
      </c>
      <c r="O395" s="25">
        <f t="shared" si="13"/>
        <v>3.1168396384332109E-2</v>
      </c>
    </row>
    <row r="396" spans="1:15">
      <c r="A396" s="83">
        <v>595.19724432285159</v>
      </c>
      <c r="B396" s="83">
        <v>614.11835370341691</v>
      </c>
      <c r="C396" s="83">
        <v>594.91972150323102</v>
      </c>
      <c r="D396" s="83">
        <v>612.52259749059817</v>
      </c>
      <c r="E396" s="84">
        <v>13458268.279002609</v>
      </c>
      <c r="F396" s="85" t="s">
        <v>492</v>
      </c>
      <c r="G396" s="25">
        <f t="shared" si="12"/>
        <v>-2.8285247334099428E-2</v>
      </c>
      <c r="I396" s="83">
        <v>290.1612212863181</v>
      </c>
      <c r="J396" s="83">
        <v>304.78021236423342</v>
      </c>
      <c r="K396" s="83">
        <v>289.22029706382352</v>
      </c>
      <c r="L396" s="83">
        <v>297.41129003227604</v>
      </c>
      <c r="M396" s="84">
        <v>28624625.932781871</v>
      </c>
      <c r="N396" s="85" t="s">
        <v>492</v>
      </c>
      <c r="O396" s="25">
        <f t="shared" si="13"/>
        <v>-2.4377247901958055E-2</v>
      </c>
    </row>
    <row r="397" spans="1:15">
      <c r="A397" s="83">
        <v>611.64047138537535</v>
      </c>
      <c r="B397" s="83">
        <v>614.10844217414478</v>
      </c>
      <c r="C397" s="83">
        <v>609.83657305784106</v>
      </c>
      <c r="D397" s="83">
        <v>613.75162712034682</v>
      </c>
      <c r="E397" s="84">
        <v>5932230.8783485722</v>
      </c>
      <c r="F397" s="85" t="s">
        <v>493</v>
      </c>
      <c r="G397" s="25">
        <f t="shared" si="12"/>
        <v>-3.439755825783708E-3</v>
      </c>
      <c r="I397" s="83">
        <v>294.12300748629514</v>
      </c>
      <c r="J397" s="83">
        <v>298.09469815177215</v>
      </c>
      <c r="K397" s="83">
        <v>284.51567595135083</v>
      </c>
      <c r="L397" s="83">
        <v>288.76469165082619</v>
      </c>
      <c r="M397" s="84">
        <v>26585815.25691884</v>
      </c>
      <c r="N397" s="85" t="s">
        <v>493</v>
      </c>
      <c r="O397" s="25">
        <f t="shared" si="13"/>
        <v>1.8555993826101957E-2</v>
      </c>
    </row>
    <row r="398" spans="1:15">
      <c r="A398" s="83">
        <v>613.2956967738271</v>
      </c>
      <c r="B398" s="83">
        <v>613.42454665436526</v>
      </c>
      <c r="C398" s="83">
        <v>610.01914342703446</v>
      </c>
      <c r="D398" s="83">
        <v>610.7633010447887</v>
      </c>
      <c r="E398" s="84">
        <v>5045070.1023931336</v>
      </c>
      <c r="F398" s="85" t="s">
        <v>494</v>
      </c>
      <c r="G398" s="25">
        <f t="shared" si="12"/>
        <v>4.1462801132721161E-3</v>
      </c>
      <c r="I398" s="83">
        <v>285.37736443769205</v>
      </c>
      <c r="J398" s="83">
        <v>288.24468369372676</v>
      </c>
      <c r="K398" s="83">
        <v>280.40404862463873</v>
      </c>
      <c r="L398" s="83">
        <v>282.20353864049503</v>
      </c>
      <c r="M398" s="84">
        <v>18922551.433994427</v>
      </c>
      <c r="N398" s="85" t="s">
        <v>494</v>
      </c>
      <c r="O398" s="25">
        <f t="shared" si="13"/>
        <v>1.1246583981500802E-2</v>
      </c>
    </row>
    <row r="399" spans="1:15">
      <c r="A399" s="83">
        <v>609.75728082366379</v>
      </c>
      <c r="B399" s="83">
        <v>613.26526837896154</v>
      </c>
      <c r="C399" s="83">
        <v>608.38948978410485</v>
      </c>
      <c r="D399" s="83">
        <v>612.82985489803525</v>
      </c>
      <c r="E399" s="84">
        <v>7505913.3618177567</v>
      </c>
      <c r="F399" s="85" t="s">
        <v>495</v>
      </c>
      <c r="G399" s="25">
        <f t="shared" si="12"/>
        <v>-5.0137473718259162E-3</v>
      </c>
      <c r="I399" s="83">
        <v>281.03683632252222</v>
      </c>
      <c r="J399" s="83">
        <v>289.9156387084505</v>
      </c>
      <c r="K399" s="83">
        <v>267.94604082255671</v>
      </c>
      <c r="L399" s="83">
        <v>289.9156387084505</v>
      </c>
      <c r="M399" s="84">
        <v>31688508.842804335</v>
      </c>
      <c r="N399" s="85" t="s">
        <v>495</v>
      </c>
      <c r="O399" s="25">
        <f t="shared" si="13"/>
        <v>-3.0625468931178013E-2</v>
      </c>
    </row>
    <row r="400" spans="1:15">
      <c r="A400" s="83">
        <v>611.9378172635403</v>
      </c>
      <c r="B400" s="83">
        <v>612.81003183949099</v>
      </c>
      <c r="C400" s="83">
        <v>610.03480364328448</v>
      </c>
      <c r="D400" s="83">
        <v>611.99728643917342</v>
      </c>
      <c r="E400" s="84">
        <v>6011376.081723284</v>
      </c>
      <c r="F400" s="85" t="s">
        <v>496</v>
      </c>
      <c r="G400" s="25">
        <f t="shared" si="12"/>
        <v>-9.7172286464108915E-5</v>
      </c>
      <c r="I400" s="83">
        <v>288.30400754040335</v>
      </c>
      <c r="J400" s="83">
        <v>293.33664720013331</v>
      </c>
      <c r="K400" s="83">
        <v>287.52291022582841</v>
      </c>
      <c r="L400" s="83">
        <v>289.08510485497834</v>
      </c>
      <c r="M400" s="84">
        <v>14069419.411561761</v>
      </c>
      <c r="N400" s="85" t="s">
        <v>496</v>
      </c>
      <c r="O400" s="25">
        <f t="shared" si="13"/>
        <v>-2.7019631985771841E-3</v>
      </c>
    </row>
    <row r="401" spans="1:15">
      <c r="A401" s="83">
        <v>609.85639611638544</v>
      </c>
      <c r="B401" s="83">
        <v>612.94879324930127</v>
      </c>
      <c r="C401" s="83">
        <v>608.85334935404228</v>
      </c>
      <c r="D401" s="83">
        <v>610.50064551907633</v>
      </c>
      <c r="E401" s="84">
        <v>7251315.9197170287</v>
      </c>
      <c r="F401" s="85" t="s">
        <v>497</v>
      </c>
      <c r="G401" s="25">
        <f t="shared" si="12"/>
        <v>-1.0552804610765021E-3</v>
      </c>
      <c r="I401" s="83">
        <v>282.91542480061395</v>
      </c>
      <c r="J401" s="83">
        <v>291.31963641312956</v>
      </c>
      <c r="K401" s="83">
        <v>280.79954093581591</v>
      </c>
      <c r="L401" s="83">
        <v>286.33643329229682</v>
      </c>
      <c r="M401" s="84">
        <v>13773035.394256609</v>
      </c>
      <c r="N401" s="85" t="s">
        <v>497</v>
      </c>
      <c r="O401" s="25">
        <f t="shared" si="13"/>
        <v>-1.1947513812154864E-2</v>
      </c>
    </row>
    <row r="402" spans="1:15">
      <c r="A402" s="83">
        <v>609.80683847002456</v>
      </c>
      <c r="B402" s="83">
        <v>611.02595657050108</v>
      </c>
      <c r="C402" s="83">
        <v>607.59656744233155</v>
      </c>
      <c r="D402" s="83">
        <v>610.95657586559582</v>
      </c>
      <c r="E402" s="84">
        <v>7099455.3986340854</v>
      </c>
      <c r="F402" s="85" t="s">
        <v>498</v>
      </c>
      <c r="G402" s="25">
        <f t="shared" si="12"/>
        <v>-1.8818643435375426E-3</v>
      </c>
      <c r="I402" s="83">
        <v>285.5256740543835</v>
      </c>
      <c r="J402" s="83">
        <v>291.64591756985078</v>
      </c>
      <c r="K402" s="83">
        <v>282.82643903059909</v>
      </c>
      <c r="L402" s="83">
        <v>288.51164100377144</v>
      </c>
      <c r="M402" s="84">
        <v>16204884.441175407</v>
      </c>
      <c r="N402" s="85" t="s">
        <v>498</v>
      </c>
      <c r="O402" s="25">
        <f t="shared" si="13"/>
        <v>-1.0349554489376467E-2</v>
      </c>
    </row>
    <row r="403" spans="1:15">
      <c r="A403" s="83">
        <v>609.13285447951739</v>
      </c>
      <c r="B403" s="83">
        <v>609.94559987983496</v>
      </c>
      <c r="C403" s="83">
        <v>604.17708984343426</v>
      </c>
      <c r="D403" s="83">
        <v>604.30593972397241</v>
      </c>
      <c r="E403" s="84">
        <v>9840084.9477271978</v>
      </c>
      <c r="F403" s="85" t="s">
        <v>499</v>
      </c>
      <c r="G403" s="25">
        <f t="shared" si="12"/>
        <v>7.9875348532065793E-3</v>
      </c>
      <c r="I403" s="83">
        <v>285.75308213331039</v>
      </c>
      <c r="J403" s="83">
        <v>286.72203829569457</v>
      </c>
      <c r="K403" s="83">
        <v>274.74850857480465</v>
      </c>
      <c r="L403" s="83">
        <v>275.65814089051224</v>
      </c>
      <c r="M403" s="84">
        <v>23293673.580097068</v>
      </c>
      <c r="N403" s="85" t="s">
        <v>499</v>
      </c>
      <c r="O403" s="25">
        <f t="shared" si="13"/>
        <v>3.6621233859397417E-2</v>
      </c>
    </row>
    <row r="404" spans="1:15">
      <c r="A404" s="83">
        <v>606.9622295689129</v>
      </c>
      <c r="B404" s="83">
        <v>607.43798297397689</v>
      </c>
      <c r="C404" s="83">
        <v>602.8885910380526</v>
      </c>
      <c r="D404" s="83">
        <v>604.03832843362386</v>
      </c>
      <c r="E404" s="84">
        <v>6539276.4547457881</v>
      </c>
      <c r="F404" s="85" t="s">
        <v>500</v>
      </c>
      <c r="G404" s="25">
        <f t="shared" si="12"/>
        <v>4.8405887468618847E-3</v>
      </c>
      <c r="I404" s="83">
        <v>278.07064398869318</v>
      </c>
      <c r="J404" s="83">
        <v>280.79954093581591</v>
      </c>
      <c r="K404" s="83">
        <v>272.79082163447748</v>
      </c>
      <c r="L404" s="83">
        <v>280.49303439465359</v>
      </c>
      <c r="M404" s="84">
        <v>24075406.097423989</v>
      </c>
      <c r="N404" s="85" t="s">
        <v>500</v>
      </c>
      <c r="O404" s="25">
        <f t="shared" si="13"/>
        <v>-8.6361873876414919E-3</v>
      </c>
    </row>
    <row r="405" spans="1:15">
      <c r="A405" s="83">
        <v>604.73213548267552</v>
      </c>
      <c r="B405" s="83">
        <v>606.26842251986125</v>
      </c>
      <c r="C405" s="83">
        <v>603.09673315276814</v>
      </c>
      <c r="D405" s="83">
        <v>605.38629641463842</v>
      </c>
      <c r="E405" s="84">
        <v>5709345.9996040035</v>
      </c>
      <c r="F405" s="85" t="s">
        <v>501</v>
      </c>
      <c r="G405" s="25">
        <f t="shared" si="12"/>
        <v>-1.0805677892564702E-3</v>
      </c>
      <c r="I405" s="83">
        <v>279.57351477116657</v>
      </c>
      <c r="J405" s="83">
        <v>282.75722787614308</v>
      </c>
      <c r="K405" s="83">
        <v>276.45901282064608</v>
      </c>
      <c r="L405" s="83">
        <v>281.39277940258177</v>
      </c>
      <c r="M405" s="84">
        <v>26072322.795119628</v>
      </c>
      <c r="N405" s="85" t="s">
        <v>501</v>
      </c>
      <c r="O405" s="25">
        <f t="shared" si="13"/>
        <v>-6.4652143359101855E-3</v>
      </c>
    </row>
    <row r="406" spans="1:15">
      <c r="A406" s="83">
        <v>603.03726399323136</v>
      </c>
      <c r="B406" s="83">
        <v>603.5709602738076</v>
      </c>
      <c r="C406" s="83">
        <v>599.48423042161801</v>
      </c>
      <c r="D406" s="83">
        <v>600.93212866429212</v>
      </c>
      <c r="E406" s="84">
        <v>6514683.512964623</v>
      </c>
      <c r="F406" s="85" t="s">
        <v>502</v>
      </c>
      <c r="G406" s="25">
        <f t="shared" si="12"/>
        <v>3.5031166225349963E-3</v>
      </c>
      <c r="I406" s="83">
        <v>280.26562631572665</v>
      </c>
      <c r="J406" s="83">
        <v>290.68684871524607</v>
      </c>
      <c r="K406" s="83">
        <v>279.81081015787288</v>
      </c>
      <c r="L406" s="83">
        <v>289.69811793730304</v>
      </c>
      <c r="M406" s="84">
        <v>26286924.185845453</v>
      </c>
      <c r="N406" s="85" t="s">
        <v>502</v>
      </c>
      <c r="O406" s="25">
        <f t="shared" si="13"/>
        <v>-3.2559726962457458E-2</v>
      </c>
    </row>
    <row r="407" spans="1:15">
      <c r="A407" s="83">
        <v>599.50893858275583</v>
      </c>
      <c r="B407" s="83">
        <v>600.83329601974094</v>
      </c>
      <c r="C407" s="83">
        <v>596.30676089929887</v>
      </c>
      <c r="D407" s="83">
        <v>599.53858837612108</v>
      </c>
      <c r="E407" s="84">
        <v>7009572.6280149827</v>
      </c>
      <c r="F407" s="85" t="s">
        <v>503</v>
      </c>
      <c r="G407" s="25">
        <f t="shared" si="12"/>
        <v>-4.9454353631461778E-5</v>
      </c>
      <c r="I407" s="83">
        <v>288.0469375381382</v>
      </c>
      <c r="J407" s="83">
        <v>295.38331991047539</v>
      </c>
      <c r="K407" s="83">
        <v>285.29826597545662</v>
      </c>
      <c r="L407" s="83">
        <v>291.94253680323368</v>
      </c>
      <c r="M407" s="84">
        <v>38375739.73264832</v>
      </c>
      <c r="N407" s="85" t="s">
        <v>503</v>
      </c>
      <c r="O407" s="25">
        <f t="shared" si="13"/>
        <v>-1.3343719307752244E-2</v>
      </c>
    </row>
    <row r="408" spans="1:15">
      <c r="A408" s="83">
        <v>602.38496853919389</v>
      </c>
      <c r="B408" s="83">
        <v>605.58714622265086</v>
      </c>
      <c r="C408" s="83">
        <v>601.09026089557403</v>
      </c>
      <c r="D408" s="83">
        <v>605.47843031364459</v>
      </c>
      <c r="E408" s="84">
        <v>24044766.896532532</v>
      </c>
      <c r="F408" s="85" t="s">
        <v>504</v>
      </c>
      <c r="G408" s="25">
        <f t="shared" si="12"/>
        <v>-5.1091196970439734E-3</v>
      </c>
      <c r="I408" s="83">
        <v>304.98389576430202</v>
      </c>
      <c r="J408" s="83">
        <v>308.94870618385352</v>
      </c>
      <c r="K408" s="83">
        <v>296.64889530624242</v>
      </c>
      <c r="L408" s="83">
        <v>308.3455804093083</v>
      </c>
      <c r="M408" s="84">
        <v>33323899.42239565</v>
      </c>
      <c r="N408" s="85" t="s">
        <v>504</v>
      </c>
      <c r="O408" s="25">
        <f t="shared" si="13"/>
        <v>-1.0902327967677872E-2</v>
      </c>
    </row>
    <row r="409" spans="1:15">
      <c r="A409" s="83">
        <v>604.40115448803715</v>
      </c>
      <c r="B409" s="83">
        <v>608.07772886533951</v>
      </c>
      <c r="C409" s="83">
        <v>603.21615107986906</v>
      </c>
      <c r="D409" s="83">
        <v>607.52920768808076</v>
      </c>
      <c r="E409" s="84">
        <v>10855272.616375949</v>
      </c>
      <c r="F409" s="85" t="s">
        <v>505</v>
      </c>
      <c r="G409" s="25">
        <f t="shared" si="12"/>
        <v>-5.148811218389393E-3</v>
      </c>
      <c r="I409" s="83">
        <v>310.29338004185598</v>
      </c>
      <c r="J409" s="83">
        <v>321.33750283147947</v>
      </c>
      <c r="K409" s="83">
        <v>306.55597770123143</v>
      </c>
      <c r="L409" s="83">
        <v>320.34877205353649</v>
      </c>
      <c r="M409" s="84">
        <v>34826040.382435232</v>
      </c>
      <c r="N409" s="85" t="s">
        <v>505</v>
      </c>
      <c r="O409" s="25">
        <f t="shared" si="13"/>
        <v>-3.1388888888889022E-2</v>
      </c>
    </row>
    <row r="410" spans="1:15">
      <c r="A410" s="83">
        <v>607.58356564258384</v>
      </c>
      <c r="B410" s="83">
        <v>608.03819580751906</v>
      </c>
      <c r="C410" s="83">
        <v>603.38317824916044</v>
      </c>
      <c r="D410" s="83">
        <v>603.39306151361552</v>
      </c>
      <c r="E410" s="84">
        <v>11688027.829734767</v>
      </c>
      <c r="F410" s="85" t="s">
        <v>506</v>
      </c>
      <c r="G410" s="25">
        <f t="shared" si="12"/>
        <v>6.9448994299941003E-3</v>
      </c>
      <c r="I410" s="83">
        <v>324.45200478199996</v>
      </c>
      <c r="J410" s="83">
        <v>325.78679133222306</v>
      </c>
      <c r="K410" s="83">
        <v>303.46125036626978</v>
      </c>
      <c r="L410" s="83">
        <v>306.14071077449535</v>
      </c>
      <c r="M410" s="84">
        <v>44648340.058596157</v>
      </c>
      <c r="N410" s="85" t="s">
        <v>506</v>
      </c>
      <c r="O410" s="25">
        <f t="shared" si="13"/>
        <v>5.981332558214647E-2</v>
      </c>
    </row>
    <row r="411" spans="1:15">
      <c r="A411" s="83">
        <v>604.63835283495985</v>
      </c>
      <c r="B411" s="83">
        <v>605.51796337146504</v>
      </c>
      <c r="C411" s="83">
        <v>601.7425563496115</v>
      </c>
      <c r="D411" s="83">
        <v>603.4918941581667</v>
      </c>
      <c r="E411" s="84">
        <v>6137299.0954030668</v>
      </c>
      <c r="F411" s="85" t="s">
        <v>507</v>
      </c>
      <c r="G411" s="25">
        <f t="shared" si="12"/>
        <v>1.899708493007024E-3</v>
      </c>
      <c r="I411" s="83">
        <v>305.18164191989064</v>
      </c>
      <c r="J411" s="83">
        <v>307.60403232585105</v>
      </c>
      <c r="K411" s="83">
        <v>293.96943489801686</v>
      </c>
      <c r="L411" s="83">
        <v>295.63050260496112</v>
      </c>
      <c r="M411" s="84">
        <v>41240954.473807395</v>
      </c>
      <c r="N411" s="85" t="s">
        <v>507</v>
      </c>
      <c r="O411" s="25">
        <f t="shared" si="13"/>
        <v>3.2307692307692371E-2</v>
      </c>
    </row>
    <row r="412" spans="1:15">
      <c r="A412" s="83">
        <v>601.8315057297076</v>
      </c>
      <c r="B412" s="83">
        <v>604.17383940556954</v>
      </c>
      <c r="C412" s="83">
        <v>599.98333527660134</v>
      </c>
      <c r="D412" s="83">
        <v>601.44605841595808</v>
      </c>
      <c r="E412" s="84">
        <v>11159501.043496931</v>
      </c>
      <c r="F412" s="85" t="s">
        <v>508</v>
      </c>
      <c r="G412" s="25">
        <f t="shared" si="12"/>
        <v>6.4086763618442788E-4</v>
      </c>
      <c r="I412" s="83">
        <v>293.27732335345678</v>
      </c>
      <c r="J412" s="83">
        <v>300.39618495464646</v>
      </c>
      <c r="K412" s="83">
        <v>288.70938715936001</v>
      </c>
      <c r="L412" s="83">
        <v>299.62003129396123</v>
      </c>
      <c r="M412" s="84">
        <v>24455542.943959642</v>
      </c>
      <c r="N412" s="85" t="s">
        <v>508</v>
      </c>
      <c r="O412" s="25">
        <f t="shared" si="13"/>
        <v>-2.1169171877835957E-2</v>
      </c>
    </row>
    <row r="413" spans="1:15">
      <c r="A413" s="83">
        <v>599.01477536000016</v>
      </c>
      <c r="B413" s="83">
        <v>601.22862659794566</v>
      </c>
      <c r="C413" s="83">
        <v>594.5277732973783</v>
      </c>
      <c r="D413" s="83">
        <v>599.75602019413361</v>
      </c>
      <c r="E413" s="84">
        <v>11750801.62303127</v>
      </c>
      <c r="F413" s="85" t="s">
        <v>509</v>
      </c>
      <c r="G413" s="25">
        <f t="shared" si="12"/>
        <v>-1.2359106189439029E-3</v>
      </c>
      <c r="I413" s="83">
        <v>298.01334377980379</v>
      </c>
      <c r="J413" s="83">
        <v>305.18164191989064</v>
      </c>
      <c r="K413" s="83">
        <v>291.70524141652731</v>
      </c>
      <c r="L413" s="83">
        <v>304.22257306528593</v>
      </c>
      <c r="M413" s="84">
        <v>28023754.917030577</v>
      </c>
      <c r="N413" s="85" t="s">
        <v>509</v>
      </c>
      <c r="O413" s="25">
        <f t="shared" si="13"/>
        <v>-2.041015307614813E-2</v>
      </c>
    </row>
    <row r="414" spans="1:15">
      <c r="A414" s="83">
        <v>599.70660387185796</v>
      </c>
      <c r="B414" s="83">
        <v>601.31757597804153</v>
      </c>
      <c r="C414" s="83">
        <v>598.98601506043565</v>
      </c>
      <c r="D414" s="83">
        <v>601.06061110220867</v>
      </c>
      <c r="E414" s="84">
        <v>6442357.2079015095</v>
      </c>
      <c r="F414" s="85" t="s">
        <v>510</v>
      </c>
      <c r="G414" s="25">
        <f t="shared" si="12"/>
        <v>-2.2526966587741448E-3</v>
      </c>
      <c r="I414" s="83">
        <v>303.19429305622515</v>
      </c>
      <c r="J414" s="83">
        <v>316.36418701842615</v>
      </c>
      <c r="K414" s="83">
        <v>298.86602520270185</v>
      </c>
      <c r="L414" s="83">
        <v>310.52078812078292</v>
      </c>
      <c r="M414" s="84">
        <v>51791321.907197058</v>
      </c>
      <c r="N414" s="85" t="s">
        <v>510</v>
      </c>
      <c r="O414" s="25">
        <f t="shared" si="13"/>
        <v>-2.3594217665414363E-2</v>
      </c>
    </row>
    <row r="415" spans="1:15">
      <c r="A415" s="83">
        <v>600.49726502826718</v>
      </c>
      <c r="B415" s="83">
        <v>600.67516378845914</v>
      </c>
      <c r="C415" s="83">
        <v>599.12349126900642</v>
      </c>
      <c r="D415" s="83">
        <v>599.39033940929448</v>
      </c>
      <c r="E415" s="84">
        <v>7535095.3460995434</v>
      </c>
      <c r="F415" s="85" t="s">
        <v>511</v>
      </c>
      <c r="G415" s="25">
        <f t="shared" si="12"/>
        <v>1.8467525186736111E-3</v>
      </c>
      <c r="I415" s="83">
        <v>298.73511724770219</v>
      </c>
      <c r="J415" s="83">
        <v>303.57001075184348</v>
      </c>
      <c r="K415" s="83">
        <v>293.93977297467859</v>
      </c>
      <c r="L415" s="83">
        <v>302.99654690063659</v>
      </c>
      <c r="M415" s="84">
        <v>38350916.999759339</v>
      </c>
      <c r="N415" s="85" t="s">
        <v>511</v>
      </c>
      <c r="O415" s="25">
        <f t="shared" si="13"/>
        <v>-1.4064284548866102E-2</v>
      </c>
    </row>
    <row r="416" spans="1:15">
      <c r="A416" s="83">
        <v>597.38403672490631</v>
      </c>
      <c r="B416" s="83">
        <v>598.90605945099378</v>
      </c>
      <c r="C416" s="83">
        <v>596.89975676660572</v>
      </c>
      <c r="D416" s="83">
        <v>597.53228569173302</v>
      </c>
      <c r="E416" s="84">
        <v>8204467.2960302038</v>
      </c>
      <c r="F416" s="85" t="s">
        <v>512</v>
      </c>
      <c r="G416" s="25">
        <f t="shared" si="12"/>
        <v>-2.4810201955050015E-4</v>
      </c>
      <c r="I416" s="83">
        <v>288.88735869938978</v>
      </c>
      <c r="J416" s="83">
        <v>304.49941768310998</v>
      </c>
      <c r="K416" s="83">
        <v>288.46220446487428</v>
      </c>
      <c r="L416" s="83">
        <v>302.3439845871942</v>
      </c>
      <c r="M416" s="84">
        <v>51767349.759744227</v>
      </c>
      <c r="N416" s="85" t="s">
        <v>512</v>
      </c>
      <c r="O416" s="25">
        <f t="shared" si="13"/>
        <v>-4.4507668661499689E-2</v>
      </c>
    </row>
    <row r="417" spans="1:15">
      <c r="A417" s="83">
        <v>597.51251916282285</v>
      </c>
      <c r="B417" s="83">
        <v>598.16481461686033</v>
      </c>
      <c r="C417" s="83">
        <v>593.87547784334083</v>
      </c>
      <c r="D417" s="83">
        <v>594.40917412391696</v>
      </c>
      <c r="E417" s="84">
        <v>9194134.2268729694</v>
      </c>
      <c r="F417" s="85" t="s">
        <v>513</v>
      </c>
      <c r="G417" s="25">
        <f t="shared" si="12"/>
        <v>5.2208902116623879E-3</v>
      </c>
      <c r="I417" s="83">
        <v>304.39065729753622</v>
      </c>
      <c r="J417" s="83">
        <v>327.26988749913755</v>
      </c>
      <c r="K417" s="83">
        <v>301.16739496144203</v>
      </c>
      <c r="L417" s="83">
        <v>326.61732518569517</v>
      </c>
      <c r="M417" s="84">
        <v>70308679.11750859</v>
      </c>
      <c r="N417" s="85" t="s">
        <v>513</v>
      </c>
      <c r="O417" s="25">
        <f t="shared" si="13"/>
        <v>-6.8051098867833115E-2</v>
      </c>
    </row>
    <row r="418" spans="1:15">
      <c r="A418" s="83">
        <v>592.67960284427204</v>
      </c>
      <c r="B418" s="83">
        <v>594.72543858648066</v>
      </c>
      <c r="C418" s="83">
        <v>591.17734664709474</v>
      </c>
      <c r="D418" s="83">
        <v>593.90512763670608</v>
      </c>
      <c r="E418" s="84">
        <v>21796803.169476327</v>
      </c>
      <c r="F418" s="85" t="s">
        <v>514</v>
      </c>
      <c r="G418" s="25">
        <f t="shared" si="12"/>
        <v>-2.0635026293015502E-3</v>
      </c>
      <c r="I418" s="83">
        <v>324.62997632202968</v>
      </c>
      <c r="J418" s="83">
        <v>341.82400455045877</v>
      </c>
      <c r="K418" s="83">
        <v>308.57298848823513</v>
      </c>
      <c r="L418" s="83">
        <v>315.59297701163058</v>
      </c>
      <c r="M418" s="84">
        <v>130716852.23441993</v>
      </c>
      <c r="N418" s="85" t="s">
        <v>514</v>
      </c>
      <c r="O418" s="25">
        <f t="shared" si="13"/>
        <v>2.8634982298944012E-2</v>
      </c>
    </row>
    <row r="419" spans="1:15">
      <c r="A419" s="83">
        <v>590.96979809353741</v>
      </c>
      <c r="B419" s="83">
        <v>591.38489520065207</v>
      </c>
      <c r="C419" s="83">
        <v>588.06411834373387</v>
      </c>
      <c r="D419" s="83">
        <v>589.64544065655207</v>
      </c>
      <c r="E419" s="84">
        <v>7872008.3180353548</v>
      </c>
      <c r="F419" s="85" t="s">
        <v>515</v>
      </c>
      <c r="G419" s="25">
        <f t="shared" si="12"/>
        <v>2.2460233653476269E-3</v>
      </c>
      <c r="I419" s="83">
        <v>238.78837018101726</v>
      </c>
      <c r="J419" s="83">
        <v>240.74605712134442</v>
      </c>
      <c r="K419" s="83">
        <v>231.91669127431331</v>
      </c>
      <c r="L419" s="83">
        <v>237.23606285964672</v>
      </c>
      <c r="M419" s="84">
        <v>31559362.463578988</v>
      </c>
      <c r="N419" s="85" t="s">
        <v>515</v>
      </c>
      <c r="O419" s="25">
        <f t="shared" si="13"/>
        <v>6.5433024922898486E-3</v>
      </c>
    </row>
    <row r="420" spans="1:15">
      <c r="A420" s="83">
        <v>589.5367247475458</v>
      </c>
      <c r="B420" s="83">
        <v>590.43610181296117</v>
      </c>
      <c r="C420" s="83">
        <v>588.08388487264403</v>
      </c>
      <c r="D420" s="83">
        <v>589.34894272289864</v>
      </c>
      <c r="E420" s="84">
        <v>9559890.9074128233</v>
      </c>
      <c r="F420" s="85" t="s">
        <v>516</v>
      </c>
      <c r="G420" s="25">
        <f t="shared" si="12"/>
        <v>3.1862621790668122E-4</v>
      </c>
      <c r="I420" s="83">
        <v>235.79251592384992</v>
      </c>
      <c r="J420" s="83">
        <v>239.6881151889454</v>
      </c>
      <c r="K420" s="83">
        <v>232.65823935777058</v>
      </c>
      <c r="L420" s="83">
        <v>237.18662632074955</v>
      </c>
      <c r="M420" s="84">
        <v>18778047.992625643</v>
      </c>
      <c r="N420" s="85" t="s">
        <v>516</v>
      </c>
      <c r="O420" s="25">
        <f t="shared" si="13"/>
        <v>-5.8776939430571495E-3</v>
      </c>
    </row>
    <row r="421" spans="1:15">
      <c r="A421" s="83">
        <v>588.01470202145833</v>
      </c>
      <c r="B421" s="83">
        <v>592.60053672863114</v>
      </c>
      <c r="C421" s="83">
        <v>584.54567619771331</v>
      </c>
      <c r="D421" s="83">
        <v>591.91859148122819</v>
      </c>
      <c r="E421" s="84">
        <v>6700346.8642119467</v>
      </c>
      <c r="F421" s="85" t="s">
        <v>517</v>
      </c>
      <c r="G421" s="25">
        <f t="shared" si="12"/>
        <v>-6.5953148219262125E-3</v>
      </c>
      <c r="I421" s="83">
        <v>230.17652510513361</v>
      </c>
      <c r="J421" s="83">
        <v>231.9760151209899</v>
      </c>
      <c r="K421" s="83">
        <v>223.33945177565766</v>
      </c>
      <c r="L421" s="83">
        <v>229.92934241064788</v>
      </c>
      <c r="M421" s="84">
        <v>15420905.6096348</v>
      </c>
      <c r="N421" s="85" t="s">
        <v>517</v>
      </c>
      <c r="O421" s="25">
        <f t="shared" si="13"/>
        <v>1.0750376263168882E-3</v>
      </c>
    </row>
    <row r="422" spans="1:15">
      <c r="A422" s="83">
        <v>589.6256741276419</v>
      </c>
      <c r="B422" s="83">
        <v>589.80357288783387</v>
      </c>
      <c r="C422" s="83">
        <v>584.69392516454002</v>
      </c>
      <c r="D422" s="83">
        <v>585.55376917213493</v>
      </c>
      <c r="E422" s="84">
        <v>8107115.8587222453</v>
      </c>
      <c r="F422" s="85" t="s">
        <v>518</v>
      </c>
      <c r="G422" s="25">
        <f t="shared" si="12"/>
        <v>6.9539385960470934E-3</v>
      </c>
      <c r="I422" s="83">
        <v>220.48696348129207</v>
      </c>
      <c r="J422" s="83">
        <v>221.0505400247196</v>
      </c>
      <c r="K422" s="83">
        <v>217.0858284782459</v>
      </c>
      <c r="L422" s="83">
        <v>219.49823270334906</v>
      </c>
      <c r="M422" s="84">
        <v>10383510.080831848</v>
      </c>
      <c r="N422" s="85" t="s">
        <v>518</v>
      </c>
      <c r="O422" s="25">
        <f t="shared" si="13"/>
        <v>4.5045045045044585E-3</v>
      </c>
    </row>
    <row r="423" spans="1:15">
      <c r="A423" s="83">
        <v>584.81252433800137</v>
      </c>
      <c r="B423" s="83">
        <v>585.31657082521224</v>
      </c>
      <c r="C423" s="83">
        <v>581.90684458819783</v>
      </c>
      <c r="D423" s="83">
        <v>583.91314727258589</v>
      </c>
      <c r="E423" s="84">
        <v>6748655.8012204012</v>
      </c>
      <c r="F423" s="85" t="s">
        <v>519</v>
      </c>
      <c r="G423" s="25">
        <f t="shared" si="12"/>
        <v>1.5402582894672445E-3</v>
      </c>
      <c r="I423" s="83">
        <v>220.93189233136641</v>
      </c>
      <c r="J423" s="83">
        <v>223.35428273732683</v>
      </c>
      <c r="K423" s="83">
        <v>219.2510500088633</v>
      </c>
      <c r="L423" s="83">
        <v>223.35428273732683</v>
      </c>
      <c r="M423" s="84">
        <v>8852175.1271956991</v>
      </c>
      <c r="N423" s="85" t="s">
        <v>519</v>
      </c>
      <c r="O423" s="25">
        <f t="shared" si="13"/>
        <v>-1.0845506861443255E-2</v>
      </c>
    </row>
    <row r="424" spans="1:15">
      <c r="A424" s="83">
        <v>581.83766173701213</v>
      </c>
      <c r="B424" s="83">
        <v>581.926611117108</v>
      </c>
      <c r="C424" s="83">
        <v>576.8564964516346</v>
      </c>
      <c r="D424" s="83">
        <v>579.21859665640682</v>
      </c>
      <c r="E424" s="84">
        <v>11194339.734858856</v>
      </c>
      <c r="F424" s="85" t="s">
        <v>520</v>
      </c>
      <c r="G424" s="25">
        <f t="shared" si="12"/>
        <v>4.5217213254618027E-3</v>
      </c>
      <c r="I424" s="83">
        <v>222.76104427056103</v>
      </c>
      <c r="J424" s="83">
        <v>222.90935388725245</v>
      </c>
      <c r="K424" s="83">
        <v>216.32440690615198</v>
      </c>
      <c r="L424" s="83">
        <v>219.49823270334906</v>
      </c>
      <c r="M424" s="84">
        <v>10556940.506813675</v>
      </c>
      <c r="N424" s="85" t="s">
        <v>520</v>
      </c>
      <c r="O424" s="25">
        <f t="shared" si="13"/>
        <v>1.4864864864865046E-2</v>
      </c>
    </row>
    <row r="425" spans="1:15">
      <c r="A425" s="83">
        <v>586.15664830389687</v>
      </c>
      <c r="B425" s="83">
        <v>588.59781462430999</v>
      </c>
      <c r="C425" s="83">
        <v>584.3430692763834</v>
      </c>
      <c r="D425" s="83">
        <v>588.29143342620148</v>
      </c>
      <c r="E425" s="84">
        <v>7569104.3520840062</v>
      </c>
      <c r="F425" s="85" t="s">
        <v>521</v>
      </c>
      <c r="G425" s="25">
        <f t="shared" si="12"/>
        <v>-3.6287883878771687E-3</v>
      </c>
      <c r="I425" s="83">
        <v>223.58169081625371</v>
      </c>
      <c r="J425" s="83">
        <v>235.53544592158474</v>
      </c>
      <c r="K425" s="83">
        <v>220.59572386686582</v>
      </c>
      <c r="L425" s="83">
        <v>234.93232014703952</v>
      </c>
      <c r="M425" s="84">
        <v>16777605.562670257</v>
      </c>
      <c r="N425" s="85" t="s">
        <v>521</v>
      </c>
      <c r="O425" s="25">
        <f t="shared" si="13"/>
        <v>-4.8314464879424257E-2</v>
      </c>
    </row>
    <row r="426" spans="1:15">
      <c r="A426" s="83">
        <v>589.55649127645597</v>
      </c>
      <c r="B426" s="83">
        <v>590.10007082148741</v>
      </c>
      <c r="C426" s="83">
        <v>586.34443032854404</v>
      </c>
      <c r="D426" s="83">
        <v>588.1234179304646</v>
      </c>
      <c r="E426" s="84">
        <v>5097488.8134185066</v>
      </c>
      <c r="F426" s="85" t="s">
        <v>522</v>
      </c>
      <c r="G426" s="25">
        <f t="shared" si="12"/>
        <v>2.4366881207249502E-3</v>
      </c>
      <c r="I426" s="83">
        <v>237.61178055526506</v>
      </c>
      <c r="J426" s="83">
        <v>239.22341172331218</v>
      </c>
      <c r="K426" s="83">
        <v>232.47038050996142</v>
      </c>
      <c r="L426" s="83">
        <v>232.88564743669747</v>
      </c>
      <c r="M426" s="84">
        <v>8776798.6934256796</v>
      </c>
      <c r="N426" s="85" t="s">
        <v>522</v>
      </c>
      <c r="O426" s="25">
        <f t="shared" si="13"/>
        <v>2.0293792986329162E-2</v>
      </c>
    </row>
    <row r="427" spans="1:15">
      <c r="A427" s="83">
        <v>587.4810057408821</v>
      </c>
      <c r="B427" s="83">
        <v>588.1926007816503</v>
      </c>
      <c r="C427" s="83">
        <v>585.52411937876957</v>
      </c>
      <c r="D427" s="83">
        <v>585.60318549441047</v>
      </c>
      <c r="E427" s="84">
        <v>6161490.4950247062</v>
      </c>
      <c r="F427" s="85" t="s">
        <v>523</v>
      </c>
      <c r="G427" s="25">
        <f t="shared" si="12"/>
        <v>3.20664281374472E-3</v>
      </c>
      <c r="I427" s="83">
        <v>233.15260474674207</v>
      </c>
      <c r="J427" s="83">
        <v>233.86449090686105</v>
      </c>
      <c r="K427" s="83">
        <v>230.05787741178045</v>
      </c>
      <c r="L427" s="83">
        <v>232.34678916271852</v>
      </c>
      <c r="M427" s="84">
        <v>5641834.0810682308</v>
      </c>
      <c r="N427" s="85" t="s">
        <v>523</v>
      </c>
      <c r="O427" s="25">
        <f t="shared" si="13"/>
        <v>3.4681588969978083E-3</v>
      </c>
    </row>
    <row r="428" spans="1:15">
      <c r="A428" s="83">
        <v>586.13688177498659</v>
      </c>
      <c r="B428" s="83">
        <v>586.50256255982583</v>
      </c>
      <c r="C428" s="83">
        <v>582.90999593039191</v>
      </c>
      <c r="D428" s="83">
        <v>583.48816690101603</v>
      </c>
      <c r="E428" s="84">
        <v>4802918.1264534742</v>
      </c>
      <c r="F428" s="85" t="s">
        <v>524</v>
      </c>
      <c r="G428" s="25">
        <f t="shared" si="12"/>
        <v>4.5394491683323768E-3</v>
      </c>
      <c r="I428" s="83">
        <v>231.57063550203327</v>
      </c>
      <c r="J428" s="83">
        <v>234.23526494858967</v>
      </c>
      <c r="K428" s="83">
        <v>230.08753933511875</v>
      </c>
      <c r="L428" s="83">
        <v>232.35173281660823</v>
      </c>
      <c r="M428" s="84">
        <v>11922924.079015007</v>
      </c>
      <c r="N428" s="85" t="s">
        <v>524</v>
      </c>
      <c r="O428" s="25">
        <f t="shared" si="13"/>
        <v>-3.361702127659516E-3</v>
      </c>
    </row>
    <row r="429" spans="1:15">
      <c r="A429" s="83">
        <v>583.80443136357974</v>
      </c>
      <c r="B429" s="83">
        <v>586.30479843807905</v>
      </c>
      <c r="C429" s="83">
        <v>583.65618239675302</v>
      </c>
      <c r="D429" s="83">
        <v>585.13867206502005</v>
      </c>
      <c r="E429" s="84">
        <v>6559608.9525313303</v>
      </c>
      <c r="F429" s="85" t="s">
        <v>525</v>
      </c>
      <c r="G429" s="25">
        <f t="shared" si="12"/>
        <v>-2.2802128198630145E-3</v>
      </c>
      <c r="I429" s="83">
        <v>232.75711243556486</v>
      </c>
      <c r="J429" s="83">
        <v>236.33631785171858</v>
      </c>
      <c r="K429" s="83">
        <v>232.61869012665287</v>
      </c>
      <c r="L429" s="83">
        <v>234.67525014477431</v>
      </c>
      <c r="M429" s="84">
        <v>6380528.5935617974</v>
      </c>
      <c r="N429" s="85" t="s">
        <v>525</v>
      </c>
      <c r="O429" s="25">
        <f t="shared" si="13"/>
        <v>-8.1735833157783322E-3</v>
      </c>
    </row>
    <row r="430" spans="1:15">
      <c r="A430" s="83">
        <v>586.28513074181342</v>
      </c>
      <c r="B430" s="83">
        <v>587.38217309633103</v>
      </c>
      <c r="C430" s="83">
        <v>579.0011648383944</v>
      </c>
      <c r="D430" s="83">
        <v>579.42614520996426</v>
      </c>
      <c r="E430" s="84">
        <v>6443763.6257974515</v>
      </c>
      <c r="F430" s="85" t="s">
        <v>526</v>
      </c>
      <c r="G430" s="25">
        <f t="shared" si="12"/>
        <v>1.1837549252051272E-2</v>
      </c>
      <c r="I430" s="83">
        <v>233.70629398239018</v>
      </c>
      <c r="J430" s="83">
        <v>235.81229053940879</v>
      </c>
      <c r="K430" s="83">
        <v>228.85162586268999</v>
      </c>
      <c r="L430" s="83">
        <v>231.42232588534182</v>
      </c>
      <c r="M430" s="84">
        <v>9422916.9434603937</v>
      </c>
      <c r="N430" s="85" t="s">
        <v>526</v>
      </c>
      <c r="O430" s="25">
        <f t="shared" si="13"/>
        <v>9.8692642912072692E-3</v>
      </c>
    </row>
    <row r="431" spans="1:15">
      <c r="A431" s="83">
        <v>577.44949231894145</v>
      </c>
      <c r="B431" s="83">
        <v>579.61392723461142</v>
      </c>
      <c r="C431" s="83">
        <v>575.84840347721297</v>
      </c>
      <c r="D431" s="83">
        <v>578.10178777297892</v>
      </c>
      <c r="E431" s="84">
        <v>4864057.8442809507</v>
      </c>
      <c r="F431" s="85" t="s">
        <v>527</v>
      </c>
      <c r="G431" s="25">
        <f t="shared" si="12"/>
        <v>-1.1283401432649054E-3</v>
      </c>
      <c r="I431" s="83">
        <v>230.5324681851931</v>
      </c>
      <c r="J431" s="83">
        <v>233.26126625923803</v>
      </c>
      <c r="K431" s="83">
        <v>229.81069471729469</v>
      </c>
      <c r="L431" s="83">
        <v>230.41876414572963</v>
      </c>
      <c r="M431" s="84">
        <v>7487506.3719587019</v>
      </c>
      <c r="N431" s="85" t="s">
        <v>527</v>
      </c>
      <c r="O431" s="25">
        <f t="shared" si="13"/>
        <v>4.9346692698848393E-4</v>
      </c>
    </row>
    <row r="432" spans="1:15">
      <c r="A432" s="83">
        <v>579.73252640807289</v>
      </c>
      <c r="B432" s="83">
        <v>581.13594996069901</v>
      </c>
      <c r="C432" s="83">
        <v>575.05774232080398</v>
      </c>
      <c r="D432" s="83">
        <v>580.94816793605173</v>
      </c>
      <c r="E432" s="84">
        <v>7137587.0108887851</v>
      </c>
      <c r="F432" s="85" t="s">
        <v>528</v>
      </c>
      <c r="G432" s="25">
        <f t="shared" si="12"/>
        <v>-2.0925128868168885E-3</v>
      </c>
      <c r="I432" s="83">
        <v>232.41105666328482</v>
      </c>
      <c r="J432" s="83">
        <v>233.22181590119808</v>
      </c>
      <c r="K432" s="83">
        <v>225.68205160783805</v>
      </c>
      <c r="L432" s="83">
        <v>229.56351202280894</v>
      </c>
      <c r="M432" s="84">
        <v>11129163.009259745</v>
      </c>
      <c r="N432" s="85" t="s">
        <v>528</v>
      </c>
      <c r="O432" s="25">
        <f t="shared" si="13"/>
        <v>1.2404169179085267E-2</v>
      </c>
    </row>
    <row r="433" spans="1:15">
      <c r="A433" s="83">
        <v>581.26443239861544</v>
      </c>
      <c r="B433" s="83">
        <v>585.20785491620597</v>
      </c>
      <c r="C433" s="83">
        <v>580.08832392845693</v>
      </c>
      <c r="D433" s="83">
        <v>584.34801090861095</v>
      </c>
      <c r="E433" s="84">
        <v>6768609.7345483676</v>
      </c>
      <c r="F433" s="85" t="s">
        <v>529</v>
      </c>
      <c r="G433" s="25">
        <f t="shared" si="12"/>
        <v>-5.2769556025369369E-3</v>
      </c>
      <c r="I433" s="83">
        <v>231.9760151209899</v>
      </c>
      <c r="J433" s="83">
        <v>246.4411464022962</v>
      </c>
      <c r="K433" s="83">
        <v>229.61294856170608</v>
      </c>
      <c r="L433" s="83">
        <v>246.4411464022962</v>
      </c>
      <c r="M433" s="84">
        <v>16269630.074089941</v>
      </c>
      <c r="N433" s="85" t="s">
        <v>529</v>
      </c>
      <c r="O433" s="25">
        <f t="shared" si="13"/>
        <v>-5.8696088264794444E-2</v>
      </c>
    </row>
    <row r="434" spans="1:15">
      <c r="A434" s="83">
        <v>584.45672681761732</v>
      </c>
      <c r="B434" s="83">
        <v>585.10902227165479</v>
      </c>
      <c r="C434" s="83">
        <v>583.45851710765078</v>
      </c>
      <c r="D434" s="83">
        <v>584.081162768323</v>
      </c>
      <c r="E434" s="84">
        <v>5374482.3121185713</v>
      </c>
      <c r="F434" s="85" t="s">
        <v>530</v>
      </c>
      <c r="G434" s="25">
        <f t="shared" si="12"/>
        <v>6.4299976310544515E-4</v>
      </c>
      <c r="I434" s="83">
        <v>246.26317486226642</v>
      </c>
      <c r="J434" s="83">
        <v>246.35216063228131</v>
      </c>
      <c r="K434" s="83">
        <v>240.87459212247703</v>
      </c>
      <c r="L434" s="83">
        <v>243.42551752956999</v>
      </c>
      <c r="M434" s="84">
        <v>6836968.314128493</v>
      </c>
      <c r="N434" s="85" t="s">
        <v>530</v>
      </c>
      <c r="O434" s="25">
        <f t="shared" si="13"/>
        <v>1.1657189277010538E-2</v>
      </c>
    </row>
    <row r="435" spans="1:15">
      <c r="A435" s="83">
        <v>584.66427537117465</v>
      </c>
      <c r="B435" s="83">
        <v>587.01649231149179</v>
      </c>
      <c r="C435" s="83">
        <v>583.76489830575929</v>
      </c>
      <c r="D435" s="83">
        <v>586.92754293139581</v>
      </c>
      <c r="E435" s="84">
        <v>7281313.8135511372</v>
      </c>
      <c r="F435" s="85" t="s">
        <v>531</v>
      </c>
      <c r="G435" s="25">
        <f t="shared" si="12"/>
        <v>-3.8561277068670519E-3</v>
      </c>
      <c r="I435" s="83">
        <v>245.48207754769146</v>
      </c>
      <c r="J435" s="83">
        <v>247.80559487585754</v>
      </c>
      <c r="K435" s="83">
        <v>240.18742423180663</v>
      </c>
      <c r="L435" s="83">
        <v>244.13740368968894</v>
      </c>
      <c r="M435" s="84">
        <v>11685676.483175</v>
      </c>
      <c r="N435" s="85" t="s">
        <v>531</v>
      </c>
      <c r="O435" s="25">
        <f t="shared" si="13"/>
        <v>5.5078567957234092E-3</v>
      </c>
    </row>
    <row r="436" spans="1:15">
      <c r="A436" s="83">
        <v>585.92933322142926</v>
      </c>
      <c r="B436" s="83">
        <v>586.58162867546673</v>
      </c>
      <c r="C436" s="83">
        <v>583.60676607447749</v>
      </c>
      <c r="D436" s="83">
        <v>584.02186318159215</v>
      </c>
      <c r="E436" s="84">
        <v>6310329.9808728099</v>
      </c>
      <c r="F436" s="85" t="s">
        <v>532</v>
      </c>
      <c r="G436" s="25">
        <f t="shared" si="12"/>
        <v>3.2660935490422816E-3</v>
      </c>
      <c r="I436" s="83">
        <v>242.19949136492068</v>
      </c>
      <c r="J436" s="83">
        <v>246.11486524557498</v>
      </c>
      <c r="K436" s="83">
        <v>239.83642480563685</v>
      </c>
      <c r="L436" s="83">
        <v>242.18960405714122</v>
      </c>
      <c r="M436" s="84">
        <v>10402786.30892667</v>
      </c>
      <c r="N436" s="85" t="s">
        <v>532</v>
      </c>
      <c r="O436" s="25">
        <f t="shared" si="13"/>
        <v>4.0824658093630006E-5</v>
      </c>
    </row>
    <row r="437" spans="1:15">
      <c r="A437" s="83">
        <v>585.91944995697418</v>
      </c>
      <c r="B437" s="83">
        <v>587.09555842713269</v>
      </c>
      <c r="C437" s="83">
        <v>583.91314727258589</v>
      </c>
      <c r="D437" s="83">
        <v>585.93921648588434</v>
      </c>
      <c r="E437" s="84">
        <v>5456671.7550591268</v>
      </c>
      <c r="F437" s="85" t="s">
        <v>533</v>
      </c>
      <c r="G437" s="25">
        <f t="shared" si="12"/>
        <v>-3.3734777181715359E-5</v>
      </c>
      <c r="I437" s="83">
        <v>241.4282813581251</v>
      </c>
      <c r="J437" s="83">
        <v>254.76616067949854</v>
      </c>
      <c r="K437" s="83">
        <v>239.90069230620313</v>
      </c>
      <c r="L437" s="83">
        <v>254.27189416360488</v>
      </c>
      <c r="M437" s="84">
        <v>14343720.572252071</v>
      </c>
      <c r="N437" s="85" t="s">
        <v>533</v>
      </c>
      <c r="O437" s="25">
        <f t="shared" si="13"/>
        <v>-5.0511334914647987E-2</v>
      </c>
    </row>
    <row r="438" spans="1:15">
      <c r="A438" s="83">
        <v>583.88349747922064</v>
      </c>
      <c r="B438" s="83">
        <v>584.06139623941272</v>
      </c>
      <c r="C438" s="83">
        <v>578.60089262796225</v>
      </c>
      <c r="D438" s="83">
        <v>579.90054190380977</v>
      </c>
      <c r="E438" s="84">
        <v>5943628.2684517978</v>
      </c>
      <c r="F438" s="85" t="s">
        <v>534</v>
      </c>
      <c r="G438" s="25">
        <f t="shared" si="12"/>
        <v>6.8683425649764818E-3</v>
      </c>
      <c r="I438" s="83">
        <v>250.99919528861349</v>
      </c>
      <c r="J438" s="83">
        <v>254.96400570816496</v>
      </c>
      <c r="K438" s="83">
        <v>248.25052372593191</v>
      </c>
      <c r="L438" s="83">
        <v>249.73361989284643</v>
      </c>
      <c r="M438" s="84">
        <v>10115708.161536017</v>
      </c>
      <c r="N438" s="85" t="s">
        <v>534</v>
      </c>
      <c r="O438" s="25">
        <f t="shared" si="13"/>
        <v>5.0677013223532352E-3</v>
      </c>
    </row>
    <row r="439" spans="1:15">
      <c r="A439" s="83">
        <v>577.71634045922951</v>
      </c>
      <c r="B439" s="83">
        <v>580.50342103557171</v>
      </c>
      <c r="C439" s="83">
        <v>576.6291813691671</v>
      </c>
      <c r="D439" s="83">
        <v>579.18894686304145</v>
      </c>
      <c r="E439" s="84">
        <v>5437423.0543020032</v>
      </c>
      <c r="F439" s="85" t="s">
        <v>535</v>
      </c>
      <c r="G439" s="25">
        <f t="shared" si="12"/>
        <v>-2.5425319522890399E-3</v>
      </c>
      <c r="I439" s="83">
        <v>249.83249297064074</v>
      </c>
      <c r="J439" s="83">
        <v>251.81984183430617</v>
      </c>
      <c r="K439" s="83">
        <v>242.79272983168647</v>
      </c>
      <c r="L439" s="83">
        <v>245.60072524104464</v>
      </c>
      <c r="M439" s="84">
        <v>9114829.032377325</v>
      </c>
      <c r="N439" s="85" t="s">
        <v>535</v>
      </c>
      <c r="O439" s="25">
        <f t="shared" si="13"/>
        <v>1.7230273752012915E-2</v>
      </c>
    </row>
    <row r="440" spans="1:15">
      <c r="A440" s="83">
        <v>578.90233219384322</v>
      </c>
      <c r="B440" s="83">
        <v>579.32731256541308</v>
      </c>
      <c r="C440" s="83">
        <v>575.79898715493744</v>
      </c>
      <c r="D440" s="83">
        <v>576.12513488195611</v>
      </c>
      <c r="E440" s="84">
        <v>4393630.282505624</v>
      </c>
      <c r="F440" s="85" t="s">
        <v>536</v>
      </c>
      <c r="G440" s="25">
        <f t="shared" si="12"/>
        <v>4.8204758718888296E-3</v>
      </c>
      <c r="I440" s="83">
        <v>247.23213102465061</v>
      </c>
      <c r="J440" s="83">
        <v>248.06602656276775</v>
      </c>
      <c r="K440" s="83">
        <v>245.06681062095541</v>
      </c>
      <c r="L440" s="83">
        <v>247.21235640909174</v>
      </c>
      <c r="M440" s="84">
        <v>8408029.9566432051</v>
      </c>
      <c r="N440" s="85" t="s">
        <v>536</v>
      </c>
      <c r="O440" s="25">
        <f t="shared" si="13"/>
        <v>7.9990401151919244E-5</v>
      </c>
    </row>
    <row r="441" spans="1:15">
      <c r="A441" s="83">
        <v>574.50427951131746</v>
      </c>
      <c r="B441" s="83">
        <v>578.68490037583069</v>
      </c>
      <c r="C441" s="83">
        <v>571.56173518509638</v>
      </c>
      <c r="D441" s="83">
        <v>578.04248818624831</v>
      </c>
      <c r="E441" s="84">
        <v>4648524.8076335527</v>
      </c>
      <c r="F441" s="85" t="s">
        <v>537</v>
      </c>
      <c r="G441" s="25">
        <f t="shared" si="12"/>
        <v>-6.1210183459573519E-3</v>
      </c>
      <c r="I441" s="83">
        <v>246.5795687112082</v>
      </c>
      <c r="J441" s="83">
        <v>254.85524532259123</v>
      </c>
      <c r="K441" s="83">
        <v>243.74191137851176</v>
      </c>
      <c r="L441" s="83">
        <v>254.80580878369406</v>
      </c>
      <c r="M441" s="84">
        <v>12090473.227575596</v>
      </c>
      <c r="N441" s="85" t="s">
        <v>537</v>
      </c>
      <c r="O441" s="25">
        <f t="shared" si="13"/>
        <v>-3.2284350626673342E-2</v>
      </c>
    </row>
    <row r="442" spans="1:15">
      <c r="A442" s="83">
        <v>574.85019376724654</v>
      </c>
      <c r="B442" s="83">
        <v>575.47283942791864</v>
      </c>
      <c r="C442" s="83">
        <v>570.66957290273331</v>
      </c>
      <c r="D442" s="83">
        <v>571.49976711696286</v>
      </c>
      <c r="E442" s="84">
        <v>4598698.1534712035</v>
      </c>
      <c r="F442" s="85" t="s">
        <v>538</v>
      </c>
      <c r="G442" s="25">
        <f t="shared" si="12"/>
        <v>5.8625162127108332E-3</v>
      </c>
      <c r="I442" s="83">
        <v>253.54023338792703</v>
      </c>
      <c r="J442" s="83">
        <v>253.94561300688363</v>
      </c>
      <c r="K442" s="83">
        <v>248.88331142381543</v>
      </c>
      <c r="L442" s="83">
        <v>253.94561300688363</v>
      </c>
      <c r="M442" s="84">
        <v>10043403.34247422</v>
      </c>
      <c r="N442" s="85" t="s">
        <v>538</v>
      </c>
      <c r="O442" s="25">
        <f t="shared" si="13"/>
        <v>-1.5963245600372211E-3</v>
      </c>
    </row>
    <row r="443" spans="1:15">
      <c r="A443" s="83">
        <v>570.61027331600269</v>
      </c>
      <c r="B443" s="83">
        <v>574.71182806487491</v>
      </c>
      <c r="C443" s="83">
        <v>569.67136319276676</v>
      </c>
      <c r="D443" s="83">
        <v>574.01011628856179</v>
      </c>
      <c r="E443" s="84">
        <v>4702273.2429215647</v>
      </c>
      <c r="F443" s="85" t="s">
        <v>539</v>
      </c>
      <c r="G443" s="25">
        <f t="shared" si="12"/>
        <v>-5.9229669932332474E-3</v>
      </c>
      <c r="I443" s="83">
        <v>252.78879799669033</v>
      </c>
      <c r="J443" s="83">
        <v>255.57425034431137</v>
      </c>
      <c r="K443" s="83">
        <v>248.53725565153539</v>
      </c>
      <c r="L443" s="83">
        <v>252.53172799442515</v>
      </c>
      <c r="M443" s="84">
        <v>11324909.924717003</v>
      </c>
      <c r="N443" s="85" t="s">
        <v>539</v>
      </c>
      <c r="O443" s="25">
        <f t="shared" si="13"/>
        <v>1.0179711052817897E-3</v>
      </c>
    </row>
    <row r="444" spans="1:15">
      <c r="A444" s="83">
        <v>573.3677040989794</v>
      </c>
      <c r="B444" s="83">
        <v>573.43688695016522</v>
      </c>
      <c r="C444" s="83">
        <v>568.36677228469182</v>
      </c>
      <c r="D444" s="83">
        <v>568.4557216647878</v>
      </c>
      <c r="E444" s="84">
        <v>6718517.9857898047</v>
      </c>
      <c r="F444" s="85" t="s">
        <v>540</v>
      </c>
      <c r="G444" s="25">
        <f t="shared" ref="G444:G507" si="14">A444/D444-1</f>
        <v>8.6409235530364725E-3</v>
      </c>
      <c r="I444" s="83">
        <v>249.68418335394927</v>
      </c>
      <c r="J444" s="83">
        <v>250.0599010495676</v>
      </c>
      <c r="K444" s="83">
        <v>243.12889829618709</v>
      </c>
      <c r="L444" s="83">
        <v>243.12889829618709</v>
      </c>
      <c r="M444" s="84">
        <v>8712972.4209885169</v>
      </c>
      <c r="N444" s="85" t="s">
        <v>540</v>
      </c>
      <c r="O444" s="25">
        <f t="shared" ref="O444:O507" si="15">I444/L444-1</f>
        <v>2.6962179747864967E-2</v>
      </c>
    </row>
    <row r="445" spans="1:15">
      <c r="A445" s="83">
        <v>564.77914728748544</v>
      </c>
      <c r="B445" s="83">
        <v>569.01906773872929</v>
      </c>
      <c r="C445" s="83">
        <v>562.64436216518072</v>
      </c>
      <c r="D445" s="83">
        <v>569.00918447427421</v>
      </c>
      <c r="E445" s="84">
        <v>8884973.2190018333</v>
      </c>
      <c r="F445" s="85" t="s">
        <v>541</v>
      </c>
      <c r="G445" s="25">
        <f t="shared" si="14"/>
        <v>-7.4340402619282875E-3</v>
      </c>
      <c r="I445" s="83">
        <v>241.66557674483141</v>
      </c>
      <c r="J445" s="83">
        <v>245.61061254882404</v>
      </c>
      <c r="K445" s="83">
        <v>239.27284826220932</v>
      </c>
      <c r="L445" s="83">
        <v>245.03714869761711</v>
      </c>
      <c r="M445" s="84">
        <v>12863175.98655053</v>
      </c>
      <c r="N445" s="85" t="s">
        <v>541</v>
      </c>
      <c r="O445" s="25">
        <f t="shared" si="15"/>
        <v>-1.375943186861972E-2</v>
      </c>
    </row>
    <row r="446" spans="1:15">
      <c r="A446" s="83">
        <v>574.2374313710294</v>
      </c>
      <c r="B446" s="83">
        <v>581.29546584900447</v>
      </c>
      <c r="C446" s="83">
        <v>573.07120616532609</v>
      </c>
      <c r="D446" s="83">
        <v>580.96793446496213</v>
      </c>
      <c r="E446" s="84">
        <v>7130076.3345998805</v>
      </c>
      <c r="F446" s="85" t="s">
        <v>542</v>
      </c>
      <c r="G446" s="25">
        <f t="shared" si="14"/>
        <v>-1.1584982052634474E-2</v>
      </c>
      <c r="I446" s="83">
        <v>250.91020951859861</v>
      </c>
      <c r="J446" s="83">
        <v>257.930198041994</v>
      </c>
      <c r="K446" s="83">
        <v>250.46330320696839</v>
      </c>
      <c r="L446" s="83">
        <v>252.8827274205949</v>
      </c>
      <c r="M446" s="84">
        <v>15725945.168155938</v>
      </c>
      <c r="N446" s="85" t="s">
        <v>542</v>
      </c>
      <c r="O446" s="25">
        <f t="shared" si="15"/>
        <v>-7.8001290246906274E-3</v>
      </c>
    </row>
    <row r="447" spans="1:15">
      <c r="A447" s="83">
        <v>576.40186628669949</v>
      </c>
      <c r="B447" s="83">
        <v>579.30754603650291</v>
      </c>
      <c r="C447" s="83">
        <v>573.77291794163909</v>
      </c>
      <c r="D447" s="83">
        <v>577.83493963269086</v>
      </c>
      <c r="E447" s="84">
        <v>7057110.5647092592</v>
      </c>
      <c r="F447" s="85" t="s">
        <v>543</v>
      </c>
      <c r="G447" s="25">
        <f t="shared" si="14"/>
        <v>-2.4800738890976559E-3</v>
      </c>
      <c r="I447" s="83">
        <v>247.77593295251924</v>
      </c>
      <c r="J447" s="83">
        <v>248.22086180259362</v>
      </c>
      <c r="K447" s="83">
        <v>242.83227906280419</v>
      </c>
      <c r="L447" s="83">
        <v>245.83802062775092</v>
      </c>
      <c r="M447" s="84">
        <v>8537589.9975134842</v>
      </c>
      <c r="N447" s="85" t="s">
        <v>543</v>
      </c>
      <c r="O447" s="25">
        <f t="shared" si="15"/>
        <v>7.8828828828829689E-3</v>
      </c>
    </row>
    <row r="448" spans="1:15">
      <c r="A448" s="83">
        <v>577.10357806301249</v>
      </c>
      <c r="B448" s="83">
        <v>580.22668963082856</v>
      </c>
      <c r="C448" s="83">
        <v>576.31291690660339</v>
      </c>
      <c r="D448" s="83">
        <v>579.96972475499558</v>
      </c>
      <c r="E448" s="84">
        <v>5092758.5949555356</v>
      </c>
      <c r="F448" s="85" t="s">
        <v>544</v>
      </c>
      <c r="G448" s="25">
        <f t="shared" si="14"/>
        <v>-4.9418901877918975E-3</v>
      </c>
      <c r="I448" s="83">
        <v>247.16291987019457</v>
      </c>
      <c r="J448" s="83">
        <v>250.2180979740385</v>
      </c>
      <c r="K448" s="83">
        <v>243.81112253296777</v>
      </c>
      <c r="L448" s="83">
        <v>245.89734447442751</v>
      </c>
      <c r="M448" s="84">
        <v>8497464.8179549631</v>
      </c>
      <c r="N448" s="85" t="s">
        <v>544</v>
      </c>
      <c r="O448" s="25">
        <f t="shared" si="15"/>
        <v>5.1467631684760651E-3</v>
      </c>
    </row>
    <row r="449" spans="1:15">
      <c r="A449" s="83">
        <v>578.60583426018991</v>
      </c>
      <c r="B449" s="83">
        <v>579.65346029243187</v>
      </c>
      <c r="C449" s="83">
        <v>577.4198425255762</v>
      </c>
      <c r="D449" s="83">
        <v>579.19883012749665</v>
      </c>
      <c r="E449" s="84">
        <v>4219110.010602193</v>
      </c>
      <c r="F449" s="85" t="s">
        <v>545</v>
      </c>
      <c r="G449" s="25">
        <f t="shared" si="14"/>
        <v>-1.0238208995971831E-3</v>
      </c>
      <c r="I449" s="83">
        <v>244.91850100426396</v>
      </c>
      <c r="J449" s="83">
        <v>244.98771215871994</v>
      </c>
      <c r="K449" s="83">
        <v>240.67684596688841</v>
      </c>
      <c r="L449" s="83">
        <v>243.2277713739814</v>
      </c>
      <c r="M449" s="84">
        <v>6795218.8299201848</v>
      </c>
      <c r="N449" s="85" t="s">
        <v>545</v>
      </c>
      <c r="O449" s="25">
        <f t="shared" si="15"/>
        <v>6.9512195121952391E-3</v>
      </c>
    </row>
    <row r="450" spans="1:15">
      <c r="A450" s="83">
        <v>578.74419996256142</v>
      </c>
      <c r="B450" s="83">
        <v>579.19883012749665</v>
      </c>
      <c r="C450" s="83">
        <v>576.77743033599381</v>
      </c>
      <c r="D450" s="83">
        <v>576.99486215400623</v>
      </c>
      <c r="E450" s="84">
        <v>3226728.3896768284</v>
      </c>
      <c r="F450" s="85" t="s">
        <v>546</v>
      </c>
      <c r="G450" s="25">
        <f t="shared" si="14"/>
        <v>3.0318082937943469E-3</v>
      </c>
      <c r="I450" s="83">
        <v>242.35768828939155</v>
      </c>
      <c r="J450" s="83">
        <v>242.70374406167159</v>
      </c>
      <c r="K450" s="83">
        <v>238.70927171878182</v>
      </c>
      <c r="L450" s="83">
        <v>239.60901672670997</v>
      </c>
      <c r="M450" s="84">
        <v>7216467.9801352751</v>
      </c>
      <c r="N450" s="85" t="s">
        <v>546</v>
      </c>
      <c r="O450" s="25">
        <f t="shared" si="15"/>
        <v>1.1471486341503745E-2</v>
      </c>
    </row>
    <row r="451" spans="1:15">
      <c r="A451" s="83">
        <v>576.45128260897502</v>
      </c>
      <c r="B451" s="83">
        <v>577.92388901278696</v>
      </c>
      <c r="C451" s="83">
        <v>575.9175863283989</v>
      </c>
      <c r="D451" s="83">
        <v>576.53034872461592</v>
      </c>
      <c r="E451" s="84">
        <v>3886267.5560731259</v>
      </c>
      <c r="F451" s="85" t="s">
        <v>547</v>
      </c>
      <c r="G451" s="25">
        <f t="shared" si="14"/>
        <v>-1.3714128981379137E-4</v>
      </c>
      <c r="I451" s="83">
        <v>240.09349480790206</v>
      </c>
      <c r="J451" s="83">
        <v>241.32940828033082</v>
      </c>
      <c r="K451" s="83">
        <v>237.8491748150492</v>
      </c>
      <c r="L451" s="83">
        <v>239.67822788116598</v>
      </c>
      <c r="M451" s="84">
        <v>8331743.2649747999</v>
      </c>
      <c r="N451" s="85" t="s">
        <v>547</v>
      </c>
      <c r="O451" s="25">
        <f t="shared" si="15"/>
        <v>1.7326017903551705E-3</v>
      </c>
    </row>
    <row r="452" spans="1:15">
      <c r="A452" s="83">
        <v>576.05595203077041</v>
      </c>
      <c r="B452" s="83">
        <v>576.15478467532159</v>
      </c>
      <c r="C452" s="83">
        <v>572.11252951317999</v>
      </c>
      <c r="D452" s="83">
        <v>573.79268447054937</v>
      </c>
      <c r="E452" s="84">
        <v>4307630.3576973584</v>
      </c>
      <c r="F452" s="85" t="s">
        <v>548</v>
      </c>
      <c r="G452" s="25">
        <f t="shared" si="14"/>
        <v>3.9443994694867701E-3</v>
      </c>
      <c r="I452" s="83">
        <v>239.17397518441504</v>
      </c>
      <c r="J452" s="83">
        <v>240.67684596688841</v>
      </c>
      <c r="K452" s="83">
        <v>235.97048746387966</v>
      </c>
      <c r="L452" s="83">
        <v>237.24595016742614</v>
      </c>
      <c r="M452" s="84">
        <v>7338496.1425952427</v>
      </c>
      <c r="N452" s="85" t="s">
        <v>548</v>
      </c>
      <c r="O452" s="25">
        <f t="shared" si="15"/>
        <v>8.1266930610544019E-3</v>
      </c>
    </row>
    <row r="453" spans="1:15">
      <c r="A453" s="83">
        <v>571.20326918330954</v>
      </c>
      <c r="B453" s="83">
        <v>572.08287971981463</v>
      </c>
      <c r="C453" s="83">
        <v>568.92023509417811</v>
      </c>
      <c r="D453" s="83">
        <v>571.52941691032822</v>
      </c>
      <c r="E453" s="84">
        <v>4799708.6605787054</v>
      </c>
      <c r="F453" s="85" t="s">
        <v>549</v>
      </c>
      <c r="G453" s="25">
        <f t="shared" si="14"/>
        <v>-5.7065781282406025E-4</v>
      </c>
      <c r="I453" s="83">
        <v>235.42668553601104</v>
      </c>
      <c r="J453" s="83">
        <v>239.5595801878128</v>
      </c>
      <c r="K453" s="83">
        <v>232.75721130864267</v>
      </c>
      <c r="L453" s="83">
        <v>239.25307364665048</v>
      </c>
      <c r="M453" s="84">
        <v>11459858.692345727</v>
      </c>
      <c r="N453" s="85" t="s">
        <v>549</v>
      </c>
      <c r="O453" s="25">
        <f t="shared" si="15"/>
        <v>-1.5993057277460809E-2</v>
      </c>
    </row>
    <row r="454" spans="1:15">
      <c r="A454" s="83">
        <v>571.20326918330954</v>
      </c>
      <c r="B454" s="83">
        <v>573.75315141272881</v>
      </c>
      <c r="C454" s="83">
        <v>570.84747166292539</v>
      </c>
      <c r="D454" s="83">
        <v>571.2329189766748</v>
      </c>
      <c r="E454" s="84">
        <v>5961802.4254639642</v>
      </c>
      <c r="F454" s="85" t="s">
        <v>550</v>
      </c>
      <c r="G454" s="25">
        <f t="shared" si="14"/>
        <v>-5.1904910204347843E-5</v>
      </c>
      <c r="I454" s="83">
        <v>240.79549366024156</v>
      </c>
      <c r="J454" s="83">
        <v>244.01875599633581</v>
      </c>
      <c r="K454" s="83">
        <v>240.49887442685869</v>
      </c>
      <c r="L454" s="83">
        <v>242.54554713720071</v>
      </c>
      <c r="M454" s="84">
        <v>7187940.4975998569</v>
      </c>
      <c r="N454" s="85" t="s">
        <v>550</v>
      </c>
      <c r="O454" s="25">
        <f t="shared" si="15"/>
        <v>-7.2153601565366765E-3</v>
      </c>
    </row>
    <row r="455" spans="1:15">
      <c r="A455" s="83">
        <v>570.18529294443272</v>
      </c>
      <c r="B455" s="83">
        <v>571.74684872834075</v>
      </c>
      <c r="C455" s="83">
        <v>569.11790038328047</v>
      </c>
      <c r="D455" s="83">
        <v>571.71719893497539</v>
      </c>
      <c r="E455" s="84">
        <v>4294276.4703659611</v>
      </c>
      <c r="F455" s="85" t="s">
        <v>551</v>
      </c>
      <c r="G455" s="25">
        <f t="shared" si="14"/>
        <v>-2.679482082044049E-3</v>
      </c>
      <c r="I455" s="83">
        <v>242.68396944611271</v>
      </c>
      <c r="J455" s="83">
        <v>246.8663006368117</v>
      </c>
      <c r="K455" s="83">
        <v>242.23904059603836</v>
      </c>
      <c r="L455" s="83">
        <v>245.69959831883892</v>
      </c>
      <c r="M455" s="84">
        <v>9726246.2285302319</v>
      </c>
      <c r="N455" s="85" t="s">
        <v>551</v>
      </c>
      <c r="O455" s="25">
        <f t="shared" si="15"/>
        <v>-1.2273641851106687E-2</v>
      </c>
    </row>
    <row r="456" spans="1:15">
      <c r="A456" s="83">
        <v>570.4422578202657</v>
      </c>
      <c r="B456" s="83">
        <v>570.906771249656</v>
      </c>
      <c r="C456" s="83">
        <v>567.1017144344371</v>
      </c>
      <c r="D456" s="83">
        <v>567.31914625244974</v>
      </c>
      <c r="E456" s="84">
        <v>5455257.2426716974</v>
      </c>
      <c r="F456" s="85" t="s">
        <v>552</v>
      </c>
      <c r="G456" s="25">
        <f t="shared" si="14"/>
        <v>5.5050346677816275E-3</v>
      </c>
      <c r="I456" s="83">
        <v>245.94678101332468</v>
      </c>
      <c r="J456" s="83">
        <v>248.76456485738447</v>
      </c>
      <c r="K456" s="83">
        <v>239.28273556998874</v>
      </c>
      <c r="L456" s="83">
        <v>240.59774750465297</v>
      </c>
      <c r="M456" s="84">
        <v>17786912.66857034</v>
      </c>
      <c r="N456" s="85" t="s">
        <v>552</v>
      </c>
      <c r="O456" s="25">
        <f t="shared" si="15"/>
        <v>2.2232267609106682E-2</v>
      </c>
    </row>
    <row r="457" spans="1:15">
      <c r="A457" s="83">
        <v>567.04241484770648</v>
      </c>
      <c r="B457" s="83">
        <v>567.55634459937244</v>
      </c>
      <c r="C457" s="83">
        <v>561.53743654620803</v>
      </c>
      <c r="D457" s="83">
        <v>566.70638385623261</v>
      </c>
      <c r="E457" s="84">
        <v>6192136.2397961393</v>
      </c>
      <c r="F457" s="85" t="s">
        <v>553</v>
      </c>
      <c r="G457" s="25">
        <f t="shared" si="14"/>
        <v>5.9295430763861567E-4</v>
      </c>
      <c r="I457" s="83">
        <v>238.58073671764924</v>
      </c>
      <c r="J457" s="83">
        <v>238.61039864098754</v>
      </c>
      <c r="K457" s="83">
        <v>230.56213010853139</v>
      </c>
      <c r="L457" s="83">
        <v>232.84609820557975</v>
      </c>
      <c r="M457" s="84">
        <v>12672263.551931368</v>
      </c>
      <c r="N457" s="85" t="s">
        <v>553</v>
      </c>
      <c r="O457" s="25">
        <f t="shared" si="15"/>
        <v>2.4628450106157107E-2</v>
      </c>
    </row>
    <row r="458" spans="1:15">
      <c r="A458" s="83">
        <v>565.18436113014513</v>
      </c>
      <c r="B458" s="83">
        <v>570.42249129135541</v>
      </c>
      <c r="C458" s="83">
        <v>565.17447786569005</v>
      </c>
      <c r="D458" s="83">
        <v>570.11611009324702</v>
      </c>
      <c r="E458" s="84">
        <v>5401320.6104566017</v>
      </c>
      <c r="F458" s="85" t="s">
        <v>554</v>
      </c>
      <c r="G458" s="25">
        <f t="shared" si="14"/>
        <v>-8.6504290543469864E-3</v>
      </c>
      <c r="I458" s="83">
        <v>232.31218358549052</v>
      </c>
      <c r="J458" s="83">
        <v>232.94497128337403</v>
      </c>
      <c r="K458" s="83">
        <v>226.61709430453874</v>
      </c>
      <c r="L458" s="83">
        <v>229.78597644784611</v>
      </c>
      <c r="M458" s="84">
        <v>10721886.317784879</v>
      </c>
      <c r="N458" s="85" t="s">
        <v>554</v>
      </c>
      <c r="O458" s="25">
        <f t="shared" si="15"/>
        <v>1.0993739377380018E-2</v>
      </c>
    </row>
    <row r="459" spans="1:15">
      <c r="A459" s="83">
        <v>567.64529397946853</v>
      </c>
      <c r="B459" s="83">
        <v>567.9704533800417</v>
      </c>
      <c r="C459" s="83">
        <v>564.90762972540199</v>
      </c>
      <c r="D459" s="83">
        <v>566.1628043112014</v>
      </c>
      <c r="E459" s="84">
        <v>4775720.6350556882</v>
      </c>
      <c r="F459" s="85" t="s">
        <v>555</v>
      </c>
      <c r="G459" s="25">
        <f t="shared" si="14"/>
        <v>2.6184865147944603E-3</v>
      </c>
      <c r="I459" s="83">
        <v>226.6961927667742</v>
      </c>
      <c r="J459" s="83">
        <v>228.0408666247767</v>
      </c>
      <c r="K459" s="83">
        <v>222.58307273053126</v>
      </c>
      <c r="L459" s="83">
        <v>226.8642769990245</v>
      </c>
      <c r="M459" s="84">
        <v>10806571.655662393</v>
      </c>
      <c r="N459" s="85" t="s">
        <v>555</v>
      </c>
      <c r="O459" s="25">
        <f t="shared" si="15"/>
        <v>-7.4090215733269016E-4</v>
      </c>
    </row>
    <row r="460" spans="1:15">
      <c r="A460" s="83">
        <v>566.52848509604064</v>
      </c>
      <c r="B460" s="83">
        <v>567.67069396911813</v>
      </c>
      <c r="C460" s="83">
        <v>564.70008117184454</v>
      </c>
      <c r="D460" s="83">
        <v>565.7674737329969</v>
      </c>
      <c r="E460" s="84">
        <v>4466396.7255433667</v>
      </c>
      <c r="F460" s="85" t="s">
        <v>556</v>
      </c>
      <c r="G460" s="25">
        <f t="shared" si="14"/>
        <v>1.3450956415406168E-3</v>
      </c>
      <c r="I460" s="83">
        <v>227.96176816254126</v>
      </c>
      <c r="J460" s="83">
        <v>231.36300203866523</v>
      </c>
      <c r="K460" s="83">
        <v>227.27954392576058</v>
      </c>
      <c r="L460" s="83">
        <v>228.7626400926751</v>
      </c>
      <c r="M460" s="84">
        <v>9848815.4887409061</v>
      </c>
      <c r="N460" s="85" t="s">
        <v>556</v>
      </c>
      <c r="O460" s="25">
        <f t="shared" si="15"/>
        <v>-3.5008860267103925E-3</v>
      </c>
    </row>
    <row r="461" spans="1:15">
      <c r="A461" s="83">
        <v>568.57432083824915</v>
      </c>
      <c r="B461" s="83">
        <v>569.53299749039525</v>
      </c>
      <c r="C461" s="83">
        <v>566.01455534437468</v>
      </c>
      <c r="D461" s="83">
        <v>567.08194790552693</v>
      </c>
      <c r="E461" s="84">
        <v>4978394.5601638583</v>
      </c>
      <c r="F461" s="85" t="s">
        <v>557</v>
      </c>
      <c r="G461" s="25">
        <f t="shared" si="14"/>
        <v>2.6316706751716712E-3</v>
      </c>
      <c r="I461" s="83">
        <v>232.35173281660823</v>
      </c>
      <c r="J461" s="83">
        <v>237.34976689911019</v>
      </c>
      <c r="K461" s="83">
        <v>230.86863664969371</v>
      </c>
      <c r="L461" s="83">
        <v>237.23606285964672</v>
      </c>
      <c r="M461" s="84">
        <v>11571385.512851315</v>
      </c>
      <c r="N461" s="85" t="s">
        <v>557</v>
      </c>
      <c r="O461" s="25">
        <f t="shared" si="15"/>
        <v>-2.0588480453446745E-2</v>
      </c>
    </row>
    <row r="462" spans="1:15">
      <c r="A462" s="83">
        <v>566.91393240979005</v>
      </c>
      <c r="B462" s="83">
        <v>567.55634459937244</v>
      </c>
      <c r="C462" s="83">
        <v>564.09720204008261</v>
      </c>
      <c r="D462" s="83">
        <v>565.77735699745199</v>
      </c>
      <c r="E462" s="84">
        <v>6913848.1834959984</v>
      </c>
      <c r="F462" s="85" t="s">
        <v>558</v>
      </c>
      <c r="G462" s="25">
        <f t="shared" si="14"/>
        <v>2.0088739824615232E-3</v>
      </c>
      <c r="I462" s="83">
        <v>232.65823936479944</v>
      </c>
      <c r="J462" s="83">
        <v>233.34888338988472</v>
      </c>
      <c r="K462" s="83">
        <v>228.89916259969243</v>
      </c>
      <c r="L462" s="83">
        <v>232.36224906833434</v>
      </c>
      <c r="M462" s="84">
        <v>10959444.409969941</v>
      </c>
      <c r="N462" s="85" t="s">
        <v>558</v>
      </c>
      <c r="O462" s="25">
        <f t="shared" si="15"/>
        <v>1.2738312598190582E-3</v>
      </c>
    </row>
    <row r="463" spans="1:15">
      <c r="A463" s="83">
        <v>563.57338902396157</v>
      </c>
      <c r="B463" s="83">
        <v>565.15471133677977</v>
      </c>
      <c r="C463" s="83">
        <v>562.832144189828</v>
      </c>
      <c r="D463" s="83">
        <v>564.48264935383202</v>
      </c>
      <c r="E463" s="84">
        <v>6998512.517208837</v>
      </c>
      <c r="F463" s="85" t="s">
        <v>559</v>
      </c>
      <c r="G463" s="25">
        <f t="shared" si="14"/>
        <v>-1.6107852578131077E-3</v>
      </c>
      <c r="I463" s="83">
        <v>231.36574840356843</v>
      </c>
      <c r="J463" s="83">
        <v>238.21151064364588</v>
      </c>
      <c r="K463" s="83">
        <v>230.07325744233742</v>
      </c>
      <c r="L463" s="83">
        <v>233.96059666924597</v>
      </c>
      <c r="M463" s="84">
        <v>20420577.877667956</v>
      </c>
      <c r="N463" s="85" t="s">
        <v>559</v>
      </c>
      <c r="O463" s="25">
        <f t="shared" si="15"/>
        <v>-1.1090962763041334E-2</v>
      </c>
    </row>
    <row r="464" spans="1:15">
      <c r="A464" s="83">
        <v>563.94895307325589</v>
      </c>
      <c r="B464" s="83">
        <v>566.89416588087988</v>
      </c>
      <c r="C464" s="83">
        <v>561.34965452156086</v>
      </c>
      <c r="D464" s="83">
        <v>566.31105327802811</v>
      </c>
      <c r="E464" s="84">
        <v>6422884.8968170462</v>
      </c>
      <c r="F464" s="85" t="s">
        <v>560</v>
      </c>
      <c r="G464" s="25">
        <f t="shared" si="14"/>
        <v>-4.1710296684118742E-3</v>
      </c>
      <c r="I464" s="83">
        <v>229.15568752329554</v>
      </c>
      <c r="J464" s="83">
        <v>232.10572414473123</v>
      </c>
      <c r="K464" s="83">
        <v>226.43257679581643</v>
      </c>
      <c r="L464" s="83">
        <v>231.96759533971419</v>
      </c>
      <c r="M464" s="84">
        <v>16258436.028044257</v>
      </c>
      <c r="N464" s="85" t="s">
        <v>560</v>
      </c>
      <c r="O464" s="25">
        <f t="shared" si="15"/>
        <v>-1.2121985453617534E-2</v>
      </c>
    </row>
    <row r="465" spans="1:15">
      <c r="A465" s="83">
        <v>568.50513798706345</v>
      </c>
      <c r="B465" s="83">
        <v>568.94988488754348</v>
      </c>
      <c r="C465" s="83">
        <v>565.4512092704332</v>
      </c>
      <c r="D465" s="83">
        <v>565.50062559270873</v>
      </c>
      <c r="E465" s="84">
        <v>4891069.1623745253</v>
      </c>
      <c r="F465" s="85" t="s">
        <v>561</v>
      </c>
      <c r="G465" s="25">
        <f t="shared" si="14"/>
        <v>5.3130133873957597E-3</v>
      </c>
      <c r="I465" s="83">
        <v>234.14805719034055</v>
      </c>
      <c r="J465" s="83">
        <v>234.80900352234718</v>
      </c>
      <c r="K465" s="83">
        <v>228.10985514245212</v>
      </c>
      <c r="L465" s="83">
        <v>230.10285647198393</v>
      </c>
      <c r="M465" s="84">
        <v>18683555.393687345</v>
      </c>
      <c r="N465" s="85" t="s">
        <v>561</v>
      </c>
      <c r="O465" s="25">
        <f t="shared" si="15"/>
        <v>1.7579967412743258E-2</v>
      </c>
    </row>
    <row r="466" spans="1:15">
      <c r="A466" s="83">
        <v>563.63268861069218</v>
      </c>
      <c r="B466" s="83">
        <v>563.68210493296783</v>
      </c>
      <c r="C466" s="83">
        <v>560.19331258031252</v>
      </c>
      <c r="D466" s="83">
        <v>560.74677538979893</v>
      </c>
      <c r="E466" s="84">
        <v>6206477.6550890049</v>
      </c>
      <c r="F466" s="85" t="s">
        <v>562</v>
      </c>
      <c r="G466" s="25">
        <f t="shared" si="14"/>
        <v>5.1465533954915266E-3</v>
      </c>
      <c r="I466" s="83">
        <v>226.90616127016062</v>
      </c>
      <c r="J466" s="83">
        <v>228.8004991675374</v>
      </c>
      <c r="K466" s="83">
        <v>213.82339016640233</v>
      </c>
      <c r="L466" s="83">
        <v>214.77055911509075</v>
      </c>
      <c r="M466" s="84">
        <v>22498035.508352354</v>
      </c>
      <c r="N466" s="85" t="s">
        <v>562</v>
      </c>
      <c r="O466" s="25">
        <f t="shared" si="15"/>
        <v>5.6504961411245835E-2</v>
      </c>
    </row>
    <row r="467" spans="1:15">
      <c r="A467" s="83">
        <v>561.14210596800353</v>
      </c>
      <c r="B467" s="83">
        <v>562.16008220688013</v>
      </c>
      <c r="C467" s="83">
        <v>559.19510287034598</v>
      </c>
      <c r="D467" s="83">
        <v>559.94623096893463</v>
      </c>
      <c r="E467" s="84">
        <v>7456392.6053672014</v>
      </c>
      <c r="F467" s="85" t="s">
        <v>563</v>
      </c>
      <c r="G467" s="25">
        <f t="shared" si="14"/>
        <v>2.1356961310365907E-3</v>
      </c>
      <c r="I467" s="83">
        <v>216.03345104667525</v>
      </c>
      <c r="J467" s="83">
        <v>220.18718154040241</v>
      </c>
      <c r="K467" s="83">
        <v>213.41679816249143</v>
      </c>
      <c r="L467" s="83">
        <v>216.36890671600239</v>
      </c>
      <c r="M467" s="84">
        <v>16839421.290242761</v>
      </c>
      <c r="N467" s="85" t="s">
        <v>563</v>
      </c>
      <c r="O467" s="25">
        <f t="shared" si="15"/>
        <v>-1.5503875968991832E-3</v>
      </c>
    </row>
    <row r="468" spans="1:15">
      <c r="A468" s="83">
        <v>561.3990708438364</v>
      </c>
      <c r="B468" s="83">
        <v>562.50599646280921</v>
      </c>
      <c r="C468" s="83">
        <v>558.77506413100366</v>
      </c>
      <c r="D468" s="83">
        <v>560.87525782771547</v>
      </c>
      <c r="E468" s="84">
        <v>5786739.8226308748</v>
      </c>
      <c r="F468" s="85" t="s">
        <v>564</v>
      </c>
      <c r="G468" s="25">
        <f t="shared" si="14"/>
        <v>9.3392070484554779E-4</v>
      </c>
      <c r="I468" s="83">
        <v>215.70786172056361</v>
      </c>
      <c r="J468" s="83">
        <v>225.16968486423193</v>
      </c>
      <c r="K468" s="83">
        <v>215.46130180360817</v>
      </c>
      <c r="L468" s="83">
        <v>223.47267383116525</v>
      </c>
      <c r="M468" s="84">
        <v>32093059.513927076</v>
      </c>
      <c r="N468" s="85" t="s">
        <v>564</v>
      </c>
      <c r="O468" s="25">
        <f t="shared" si="15"/>
        <v>-3.4746136865342225E-2</v>
      </c>
    </row>
    <row r="469" spans="1:15">
      <c r="A469" s="83">
        <v>558.60734512261058</v>
      </c>
      <c r="B469" s="83">
        <v>559.96703845759453</v>
      </c>
      <c r="C469" s="83">
        <v>554.92237912779876</v>
      </c>
      <c r="D469" s="83">
        <v>556.79442067596517</v>
      </c>
      <c r="E469" s="84">
        <v>6146976.6049107648</v>
      </c>
      <c r="F469" s="85" t="s">
        <v>565</v>
      </c>
      <c r="G469" s="25">
        <f t="shared" si="14"/>
        <v>3.2560032560033925E-3</v>
      </c>
      <c r="I469" s="83">
        <v>207.42999976275578</v>
      </c>
      <c r="J469" s="83">
        <v>211.78105712079304</v>
      </c>
      <c r="K469" s="83">
        <v>207.15374215272166</v>
      </c>
      <c r="L469" s="83">
        <v>210.83388817210465</v>
      </c>
      <c r="M469" s="84">
        <v>14318883.593872981</v>
      </c>
      <c r="N469" s="85" t="s">
        <v>565</v>
      </c>
      <c r="O469" s="25">
        <f t="shared" si="15"/>
        <v>-1.6144882774111968E-2</v>
      </c>
    </row>
    <row r="470" spans="1:15">
      <c r="A470" s="83">
        <v>555.84854705162832</v>
      </c>
      <c r="B470" s="83">
        <v>556.24266106176867</v>
      </c>
      <c r="C470" s="83">
        <v>552.70548782075946</v>
      </c>
      <c r="D470" s="83">
        <v>553.25724743495584</v>
      </c>
      <c r="E470" s="84">
        <v>6172268.7786055068</v>
      </c>
      <c r="F470" s="85" t="s">
        <v>566</v>
      </c>
      <c r="G470" s="25">
        <f t="shared" si="14"/>
        <v>4.6837156290069348E-3</v>
      </c>
      <c r="I470" s="83">
        <v>209.97551631235578</v>
      </c>
      <c r="J470" s="83">
        <v>211.55413122683643</v>
      </c>
      <c r="K470" s="83">
        <v>207.5471132567238</v>
      </c>
      <c r="L470" s="83">
        <v>209.16647616868445</v>
      </c>
      <c r="M470" s="84">
        <v>10673774.234258745</v>
      </c>
      <c r="N470" s="85" t="s">
        <v>566</v>
      </c>
      <c r="O470" s="25">
        <f t="shared" si="15"/>
        <v>3.8679245283019803E-3</v>
      </c>
    </row>
    <row r="471" spans="1:15">
      <c r="A471" s="83">
        <v>551.48373438932458</v>
      </c>
      <c r="B471" s="83">
        <v>552.76460492228045</v>
      </c>
      <c r="C471" s="83">
        <v>550.12404105434052</v>
      </c>
      <c r="D471" s="83">
        <v>552.27196240960507</v>
      </c>
      <c r="E471" s="84">
        <v>16718314.575151458</v>
      </c>
      <c r="F471" s="85" t="s">
        <v>567</v>
      </c>
      <c r="G471" s="25">
        <f t="shared" si="14"/>
        <v>-1.4272461285946836E-3</v>
      </c>
      <c r="I471" s="83">
        <v>207.90358423709995</v>
      </c>
      <c r="J471" s="83">
        <v>214.03048471049578</v>
      </c>
      <c r="K471" s="83">
        <v>207.42013341954026</v>
      </c>
      <c r="L471" s="83">
        <v>212.06708241061048</v>
      </c>
      <c r="M471" s="84">
        <v>11964517.899043113</v>
      </c>
      <c r="N471" s="85" t="s">
        <v>567</v>
      </c>
      <c r="O471" s="25">
        <f t="shared" si="15"/>
        <v>-1.9632929949255584E-2</v>
      </c>
    </row>
    <row r="472" spans="1:15">
      <c r="A472" s="83">
        <v>551.20785458222633</v>
      </c>
      <c r="B472" s="83">
        <v>552.18328675732357</v>
      </c>
      <c r="C472" s="83">
        <v>548.18302955439947</v>
      </c>
      <c r="D472" s="83">
        <v>548.9811104249336</v>
      </c>
      <c r="E472" s="84">
        <v>6871144.7203715621</v>
      </c>
      <c r="F472" s="85" t="s">
        <v>568</v>
      </c>
      <c r="G472" s="25">
        <f t="shared" si="14"/>
        <v>4.0561398470870813E-3</v>
      </c>
      <c r="I472" s="83">
        <v>212.39277040015429</v>
      </c>
      <c r="J472" s="83">
        <v>213.47313498225196</v>
      </c>
      <c r="K472" s="83">
        <v>205.76258775933562</v>
      </c>
      <c r="L472" s="83">
        <v>207.18334118236817</v>
      </c>
      <c r="M472" s="84">
        <v>19288419.81707596</v>
      </c>
      <c r="N472" s="85" t="s">
        <v>568</v>
      </c>
      <c r="O472" s="25">
        <f t="shared" si="15"/>
        <v>2.5144054478784872E-2</v>
      </c>
    </row>
    <row r="473" spans="1:15">
      <c r="A473" s="83">
        <v>545.21732162809371</v>
      </c>
      <c r="B473" s="83">
        <v>545.55231853671307</v>
      </c>
      <c r="C473" s="83">
        <v>537.71930258517455</v>
      </c>
      <c r="D473" s="83">
        <v>540.58648200894515</v>
      </c>
      <c r="E473" s="84">
        <v>9835885.8103522025</v>
      </c>
      <c r="F473" s="85" t="s">
        <v>569</v>
      </c>
      <c r="G473" s="25">
        <f t="shared" si="14"/>
        <v>8.5663252287391245E-3</v>
      </c>
      <c r="I473" s="83">
        <v>204.27276993379448</v>
      </c>
      <c r="J473" s="83">
        <v>204.49969582775108</v>
      </c>
      <c r="K473" s="83">
        <v>199.83291548681768</v>
      </c>
      <c r="L473" s="83">
        <v>202.75828625021464</v>
      </c>
      <c r="M473" s="84">
        <v>12025630.713267181</v>
      </c>
      <c r="N473" s="85" t="s">
        <v>569</v>
      </c>
      <c r="O473" s="25">
        <f t="shared" si="15"/>
        <v>7.4694046373566803E-3</v>
      </c>
    </row>
    <row r="474" spans="1:15">
      <c r="A474" s="83">
        <v>539.66031408511549</v>
      </c>
      <c r="B474" s="83">
        <v>544.58673921186926</v>
      </c>
      <c r="C474" s="83">
        <v>538.57650055722968</v>
      </c>
      <c r="D474" s="83">
        <v>543.60145418651848</v>
      </c>
      <c r="E474" s="84">
        <v>10091351.988690184</v>
      </c>
      <c r="F474" s="85" t="s">
        <v>570</v>
      </c>
      <c r="G474" s="25">
        <f t="shared" si="14"/>
        <v>-7.2500543754078217E-3</v>
      </c>
      <c r="I474" s="83">
        <v>202.42776375249522</v>
      </c>
      <c r="J474" s="83">
        <v>210.94241794747521</v>
      </c>
      <c r="K474" s="83">
        <v>201.90484756207351</v>
      </c>
      <c r="L474" s="83">
        <v>210.49843250277749</v>
      </c>
      <c r="M474" s="84">
        <v>21081928.274413373</v>
      </c>
      <c r="N474" s="85" t="s">
        <v>570</v>
      </c>
      <c r="O474" s="25">
        <f t="shared" si="15"/>
        <v>-3.8340754628544693E-2</v>
      </c>
    </row>
    <row r="475" spans="1:15">
      <c r="A475" s="83">
        <v>541.15794732364861</v>
      </c>
      <c r="B475" s="83">
        <v>544.57688636161583</v>
      </c>
      <c r="C475" s="83">
        <v>540.32045505210044</v>
      </c>
      <c r="D475" s="83">
        <v>542.06440954697132</v>
      </c>
      <c r="E475" s="84">
        <v>4671063.5821970413</v>
      </c>
      <c r="F475" s="85" t="s">
        <v>571</v>
      </c>
      <c r="G475" s="25">
        <f t="shared" si="14"/>
        <v>-1.6722408026755842E-3</v>
      </c>
      <c r="I475" s="83">
        <v>208.05157938533253</v>
      </c>
      <c r="J475" s="83">
        <v>211.8500228598694</v>
      </c>
      <c r="K475" s="83">
        <v>206.76905343074915</v>
      </c>
      <c r="L475" s="83">
        <v>208.26370576446587</v>
      </c>
      <c r="M475" s="84">
        <v>15259341.451189272</v>
      </c>
      <c r="N475" s="85" t="s">
        <v>571</v>
      </c>
      <c r="O475" s="25">
        <f t="shared" si="15"/>
        <v>-1.0185470308169409E-3</v>
      </c>
    </row>
    <row r="476" spans="1:15">
      <c r="A476" s="83">
        <v>541.26632867643718</v>
      </c>
      <c r="B476" s="83">
        <v>545.02026462302354</v>
      </c>
      <c r="C476" s="83">
        <v>540.56184988331142</v>
      </c>
      <c r="D476" s="83">
        <v>543.67042413829301</v>
      </c>
      <c r="E476" s="84">
        <v>4824333.9518002328</v>
      </c>
      <c r="F476" s="85" t="s">
        <v>572</v>
      </c>
      <c r="G476" s="25">
        <f t="shared" si="14"/>
        <v>-4.4219721270772894E-3</v>
      </c>
      <c r="I476" s="83">
        <v>205.39753306036195</v>
      </c>
      <c r="J476" s="83">
        <v>212.9946173363</v>
      </c>
      <c r="K476" s="83">
        <v>204.70738235243743</v>
      </c>
      <c r="L476" s="83">
        <v>207.84438617780694</v>
      </c>
      <c r="M476" s="84">
        <v>18060553.551389683</v>
      </c>
      <c r="N476" s="85" t="s">
        <v>572</v>
      </c>
      <c r="O476" s="25">
        <f t="shared" si="15"/>
        <v>-1.1772524446976185E-2</v>
      </c>
    </row>
    <row r="477" spans="1:15">
      <c r="A477" s="83">
        <v>545.91687399609282</v>
      </c>
      <c r="B477" s="83">
        <v>547.51303573716109</v>
      </c>
      <c r="C477" s="83">
        <v>543.74924694032109</v>
      </c>
      <c r="D477" s="83">
        <v>543.81821689209573</v>
      </c>
      <c r="E477" s="84">
        <v>7532162.5814398807</v>
      </c>
      <c r="F477" s="85" t="s">
        <v>573</v>
      </c>
      <c r="G477" s="25">
        <f t="shared" si="14"/>
        <v>3.8591151212088448E-3</v>
      </c>
      <c r="I477" s="83">
        <v>208.27850527928911</v>
      </c>
      <c r="J477" s="83">
        <v>212.29410696799923</v>
      </c>
      <c r="K477" s="83">
        <v>207.16982429216293</v>
      </c>
      <c r="L477" s="83">
        <v>210.35043735454494</v>
      </c>
      <c r="M477" s="84">
        <v>22972339.908451311</v>
      </c>
      <c r="N477" s="85" t="s">
        <v>573</v>
      </c>
      <c r="O477" s="25">
        <f t="shared" si="15"/>
        <v>-9.8499061913696062E-3</v>
      </c>
    </row>
    <row r="478" spans="1:15">
      <c r="A478" s="83">
        <v>540.69486336173372</v>
      </c>
      <c r="B478" s="83">
        <v>545.10401385017838</v>
      </c>
      <c r="C478" s="83">
        <v>539.35487572725674</v>
      </c>
      <c r="D478" s="83">
        <v>542.14323234899939</v>
      </c>
      <c r="E478" s="84">
        <v>7167789.8458731398</v>
      </c>
      <c r="F478" s="85" t="s">
        <v>574</v>
      </c>
      <c r="G478" s="25">
        <f t="shared" si="14"/>
        <v>-2.671561500436237E-3</v>
      </c>
      <c r="I478" s="83">
        <v>212.34343868407674</v>
      </c>
      <c r="J478" s="83">
        <v>213.70489538438414</v>
      </c>
      <c r="K478" s="83">
        <v>198.51082549594014</v>
      </c>
      <c r="L478" s="83">
        <v>198.88574653812933</v>
      </c>
      <c r="M478" s="84">
        <v>53767823.439020902</v>
      </c>
      <c r="N478" s="85" t="s">
        <v>574</v>
      </c>
      <c r="O478" s="25">
        <f t="shared" si="15"/>
        <v>6.7665443000297643E-2</v>
      </c>
    </row>
    <row r="479" spans="1:15">
      <c r="A479" s="83">
        <v>546.78392481840149</v>
      </c>
      <c r="B479" s="83">
        <v>546.83318906966895</v>
      </c>
      <c r="C479" s="83">
        <v>543.02230364861737</v>
      </c>
      <c r="D479" s="83">
        <v>543.48321998347637</v>
      </c>
      <c r="E479" s="84">
        <v>8548737.4549323823</v>
      </c>
      <c r="F479" s="85" t="s">
        <v>575</v>
      </c>
      <c r="G479" s="25">
        <f t="shared" si="14"/>
        <v>6.0732414793329692E-3</v>
      </c>
      <c r="I479" s="83">
        <v>197.18873550506265</v>
      </c>
      <c r="J479" s="83">
        <v>199.78358377074019</v>
      </c>
      <c r="K479" s="83">
        <v>186.35549065443925</v>
      </c>
      <c r="L479" s="83">
        <v>187.42105572171369</v>
      </c>
      <c r="M479" s="84">
        <v>55349782.393730015</v>
      </c>
      <c r="N479" s="85" t="s">
        <v>575</v>
      </c>
      <c r="O479" s="25">
        <f t="shared" si="15"/>
        <v>5.2116234996841593E-2</v>
      </c>
    </row>
    <row r="480" spans="1:15">
      <c r="A480" s="83">
        <v>544.72467911541833</v>
      </c>
      <c r="B480" s="83">
        <v>548.04016322572363</v>
      </c>
      <c r="C480" s="83">
        <v>542.80337331598435</v>
      </c>
      <c r="D480" s="83">
        <v>547.23715593006273</v>
      </c>
      <c r="E480" s="84">
        <v>21111207.888900109</v>
      </c>
      <c r="F480" s="85" t="s">
        <v>576</v>
      </c>
      <c r="G480" s="25">
        <f t="shared" si="14"/>
        <v>-4.5912028951584638E-3</v>
      </c>
      <c r="I480" s="83">
        <v>174.02256163505928</v>
      </c>
      <c r="J480" s="83">
        <v>177.15019243437405</v>
      </c>
      <c r="K480" s="83">
        <v>173.84496745718019</v>
      </c>
      <c r="L480" s="83">
        <v>175.17692379127325</v>
      </c>
      <c r="M480" s="84">
        <v>18246790.737737771</v>
      </c>
      <c r="N480" s="85" t="s">
        <v>576</v>
      </c>
      <c r="O480" s="25">
        <f t="shared" si="15"/>
        <v>-6.5896930442129742E-3</v>
      </c>
    </row>
    <row r="481" spans="1:15">
      <c r="A481" s="83">
        <v>546.23216520420499</v>
      </c>
      <c r="B481" s="83">
        <v>546.57701496307777</v>
      </c>
      <c r="C481" s="83">
        <v>542.63587486167478</v>
      </c>
      <c r="D481" s="83">
        <v>543.66057128803948</v>
      </c>
      <c r="E481" s="84">
        <v>6040170.9625916425</v>
      </c>
      <c r="F481" s="85" t="s">
        <v>577</v>
      </c>
      <c r="G481" s="25">
        <f t="shared" si="14"/>
        <v>4.7301460727102729E-3</v>
      </c>
      <c r="I481" s="83">
        <v>175.10785938876469</v>
      </c>
      <c r="J481" s="83">
        <v>175.47291408773836</v>
      </c>
      <c r="K481" s="83">
        <v>171.95062955980345</v>
      </c>
      <c r="L481" s="83">
        <v>175.3347852827213</v>
      </c>
      <c r="M481" s="84">
        <v>11165018.041020278</v>
      </c>
      <c r="N481" s="85" t="s">
        <v>577</v>
      </c>
      <c r="O481" s="25">
        <f t="shared" si="15"/>
        <v>-1.2942434303079287E-3</v>
      </c>
    </row>
    <row r="482" spans="1:15">
      <c r="A482" s="83">
        <v>543.13837022460359</v>
      </c>
      <c r="B482" s="83">
        <v>544.5670335113623</v>
      </c>
      <c r="C482" s="83">
        <v>542.10382094798535</v>
      </c>
      <c r="D482" s="83">
        <v>543.18763447587116</v>
      </c>
      <c r="E482" s="84">
        <v>4549321.1453247285</v>
      </c>
      <c r="F482" s="85" t="s">
        <v>578</v>
      </c>
      <c r="G482" s="25">
        <f t="shared" si="14"/>
        <v>-9.0694721567308179E-5</v>
      </c>
      <c r="I482" s="83">
        <v>174.78227006265308</v>
      </c>
      <c r="J482" s="83">
        <v>176.3312859474872</v>
      </c>
      <c r="K482" s="83">
        <v>171.46717874224373</v>
      </c>
      <c r="L482" s="83">
        <v>172.52287746630267</v>
      </c>
      <c r="M482" s="84">
        <v>9753448.4558354598</v>
      </c>
      <c r="N482" s="85" t="s">
        <v>578</v>
      </c>
      <c r="O482" s="25">
        <f t="shared" si="15"/>
        <v>1.3096191238705313E-2</v>
      </c>
    </row>
    <row r="483" spans="1:15">
      <c r="A483" s="83">
        <v>542.55705205964671</v>
      </c>
      <c r="B483" s="83">
        <v>544.19262520172902</v>
      </c>
      <c r="C483" s="83">
        <v>540.62579488145661</v>
      </c>
      <c r="D483" s="83">
        <v>542.20234945052039</v>
      </c>
      <c r="E483" s="84">
        <v>4782980.4358615382</v>
      </c>
      <c r="F483" s="85" t="s">
        <v>579</v>
      </c>
      <c r="G483" s="25">
        <f t="shared" si="14"/>
        <v>6.5418862438670899E-4</v>
      </c>
      <c r="I483" s="83">
        <v>171.69410463620034</v>
      </c>
      <c r="J483" s="83">
        <v>172.45381306379414</v>
      </c>
      <c r="K483" s="83">
        <v>170.35238062232395</v>
      </c>
      <c r="L483" s="83">
        <v>171.67437194976932</v>
      </c>
      <c r="M483" s="84">
        <v>6897742.0016219905</v>
      </c>
      <c r="N483" s="85" t="s">
        <v>579</v>
      </c>
      <c r="O483" s="25">
        <f t="shared" si="15"/>
        <v>1.1494252873567312E-4</v>
      </c>
    </row>
    <row r="484" spans="1:15">
      <c r="A484" s="83">
        <v>537.06901446844302</v>
      </c>
      <c r="B484" s="83">
        <v>542.52749350888621</v>
      </c>
      <c r="C484" s="83">
        <v>535.34230246151571</v>
      </c>
      <c r="D484" s="83">
        <v>541.39441572973283</v>
      </c>
      <c r="E484" s="84">
        <v>6429142.6714264201</v>
      </c>
      <c r="F484" s="85" t="s">
        <v>580</v>
      </c>
      <c r="G484" s="25">
        <f t="shared" si="14"/>
        <v>-7.9893717696731814E-3</v>
      </c>
      <c r="I484" s="83">
        <v>168.85259779013518</v>
      </c>
      <c r="J484" s="83">
        <v>169.95752956683947</v>
      </c>
      <c r="K484" s="83">
        <v>166.49947493323748</v>
      </c>
      <c r="L484" s="83">
        <v>166.74120034201732</v>
      </c>
      <c r="M484" s="84">
        <v>7786954.9357730811</v>
      </c>
      <c r="N484" s="85" t="s">
        <v>580</v>
      </c>
      <c r="O484" s="25">
        <f t="shared" si="15"/>
        <v>1.2662721893491158E-2</v>
      </c>
    </row>
    <row r="485" spans="1:15">
      <c r="A485" s="83">
        <v>539.59134413334095</v>
      </c>
      <c r="B485" s="83">
        <v>541.56191418404239</v>
      </c>
      <c r="C485" s="83">
        <v>539.3869960190832</v>
      </c>
      <c r="D485" s="83">
        <v>540.67515766122676</v>
      </c>
      <c r="E485" s="84">
        <v>4577631.7349331211</v>
      </c>
      <c r="F485" s="85" t="s">
        <v>581</v>
      </c>
      <c r="G485" s="25">
        <f t="shared" si="14"/>
        <v>-2.0045558086559945E-3</v>
      </c>
      <c r="I485" s="83">
        <v>165.85322945262197</v>
      </c>
      <c r="J485" s="83">
        <v>168.20141913791193</v>
      </c>
      <c r="K485" s="83">
        <v>165.33031326220026</v>
      </c>
      <c r="L485" s="83">
        <v>167.44171071031812</v>
      </c>
      <c r="M485" s="84">
        <v>6431185.1528022056</v>
      </c>
      <c r="N485" s="85" t="s">
        <v>581</v>
      </c>
      <c r="O485" s="25">
        <f t="shared" si="15"/>
        <v>-9.4867715514701523E-3</v>
      </c>
    </row>
    <row r="486" spans="1:15">
      <c r="A486" s="83">
        <v>539.93619389221374</v>
      </c>
      <c r="B486" s="83">
        <v>540.79339186426887</v>
      </c>
      <c r="C486" s="83">
        <v>536.08372944309224</v>
      </c>
      <c r="D486" s="83">
        <v>536.51725485424652</v>
      </c>
      <c r="E486" s="84">
        <v>5042854.4757707994</v>
      </c>
      <c r="F486" s="85" t="s">
        <v>582</v>
      </c>
      <c r="G486" s="25">
        <f t="shared" si="14"/>
        <v>6.3724679999266343E-3</v>
      </c>
      <c r="I486" s="83">
        <v>166.87932914703438</v>
      </c>
      <c r="J486" s="83">
        <v>167.06678966812899</v>
      </c>
      <c r="K486" s="83">
        <v>164.36341162708086</v>
      </c>
      <c r="L486" s="83">
        <v>164.57060483460646</v>
      </c>
      <c r="M486" s="84">
        <v>7005107.0077709164</v>
      </c>
      <c r="N486" s="85" t="s">
        <v>582</v>
      </c>
      <c r="O486" s="25">
        <f t="shared" si="15"/>
        <v>1.4028776978417312E-2</v>
      </c>
    </row>
    <row r="487" spans="1:15">
      <c r="A487" s="83">
        <v>536.8916631638798</v>
      </c>
      <c r="B487" s="83">
        <v>536.8916631638798</v>
      </c>
      <c r="C487" s="83">
        <v>529.8862866336359</v>
      </c>
      <c r="D487" s="83">
        <v>532.30023494574539</v>
      </c>
      <c r="E487" s="84">
        <v>5988997.9530535638</v>
      </c>
      <c r="F487" s="85" t="s">
        <v>583</v>
      </c>
      <c r="G487" s="25">
        <f t="shared" si="14"/>
        <v>8.6256362795000818E-3</v>
      </c>
      <c r="I487" s="83">
        <v>164.34367894064985</v>
      </c>
      <c r="J487" s="83">
        <v>164.76793169891653</v>
      </c>
      <c r="K487" s="83">
        <v>160.42674068409477</v>
      </c>
      <c r="L487" s="83">
        <v>161.97082339732114</v>
      </c>
      <c r="M487" s="84">
        <v>7194992.9623823483</v>
      </c>
      <c r="N487" s="85" t="s">
        <v>583</v>
      </c>
      <c r="O487" s="25">
        <f t="shared" si="15"/>
        <v>1.4649894922791118E-2</v>
      </c>
    </row>
    <row r="488" spans="1:15">
      <c r="A488" s="83">
        <v>533.78801533402498</v>
      </c>
      <c r="B488" s="83">
        <v>535.39402992534667</v>
      </c>
      <c r="C488" s="83">
        <v>528.27041919206067</v>
      </c>
      <c r="D488" s="83">
        <v>533.3840484736312</v>
      </c>
      <c r="E488" s="84">
        <v>6252100.5003674394</v>
      </c>
      <c r="F488" s="85" t="s">
        <v>584</v>
      </c>
      <c r="G488" s="25">
        <f t="shared" si="14"/>
        <v>7.5736584464758394E-4</v>
      </c>
      <c r="I488" s="83">
        <v>163.31757924623744</v>
      </c>
      <c r="J488" s="83">
        <v>163.53463879697853</v>
      </c>
      <c r="K488" s="83">
        <v>159.39087330989901</v>
      </c>
      <c r="L488" s="83">
        <v>161.24564717098161</v>
      </c>
      <c r="M488" s="84">
        <v>17713098.579965919</v>
      </c>
      <c r="N488" s="85" t="s">
        <v>584</v>
      </c>
      <c r="O488" s="25">
        <f t="shared" si="15"/>
        <v>1.284953802851363E-2</v>
      </c>
    </row>
    <row r="489" spans="1:15">
      <c r="A489" s="83">
        <v>534.33977494822147</v>
      </c>
      <c r="B489" s="83">
        <v>537.25621862325966</v>
      </c>
      <c r="C489" s="83">
        <v>530.81245455746568</v>
      </c>
      <c r="D489" s="83">
        <v>537.12813156996401</v>
      </c>
      <c r="E489" s="84">
        <v>4738668.3851587912</v>
      </c>
      <c r="F489" s="85" t="s">
        <v>585</v>
      </c>
      <c r="G489" s="25">
        <f t="shared" si="14"/>
        <v>-5.1912317710719469E-3</v>
      </c>
      <c r="I489" s="83">
        <v>160.7227309805599</v>
      </c>
      <c r="J489" s="83">
        <v>163.11038603871185</v>
      </c>
      <c r="K489" s="83">
        <v>159.33157658717386</v>
      </c>
      <c r="L489" s="83">
        <v>162.79466305581573</v>
      </c>
      <c r="M489" s="84">
        <v>7090601.702368049</v>
      </c>
      <c r="N489" s="85" t="s">
        <v>585</v>
      </c>
      <c r="O489" s="25">
        <f t="shared" si="15"/>
        <v>-1.2727272727272698E-2</v>
      </c>
    </row>
    <row r="490" spans="1:15">
      <c r="A490" s="83">
        <v>532.29038209549185</v>
      </c>
      <c r="B490" s="83">
        <v>536.88181031362637</v>
      </c>
      <c r="C490" s="83">
        <v>531.66965252952082</v>
      </c>
      <c r="D490" s="83">
        <v>535.78814393548703</v>
      </c>
      <c r="E490" s="84">
        <v>4878023.9994909177</v>
      </c>
      <c r="F490" s="85" t="s">
        <v>586</v>
      </c>
      <c r="G490" s="25">
        <f t="shared" si="14"/>
        <v>-6.5282553927067388E-3</v>
      </c>
      <c r="I490" s="83">
        <v>161.66003358603277</v>
      </c>
      <c r="J490" s="83">
        <v>162.12375171716147</v>
      </c>
      <c r="K490" s="83">
        <v>159.12438337964826</v>
      </c>
      <c r="L490" s="83">
        <v>159.70156445775524</v>
      </c>
      <c r="M490" s="84">
        <v>8131391.5650056684</v>
      </c>
      <c r="N490" s="85" t="s">
        <v>586</v>
      </c>
      <c r="O490" s="25">
        <f t="shared" si="15"/>
        <v>1.226330584128732E-2</v>
      </c>
    </row>
    <row r="491" spans="1:15">
      <c r="A491" s="83">
        <v>535.34476567407921</v>
      </c>
      <c r="B491" s="83">
        <v>535.52211697864232</v>
      </c>
      <c r="C491" s="83">
        <v>529.27540991791852</v>
      </c>
      <c r="D491" s="83">
        <v>530.79274885695872</v>
      </c>
      <c r="E491" s="84">
        <v>6177196.2867631307</v>
      </c>
      <c r="F491" s="85" t="s">
        <v>587</v>
      </c>
      <c r="G491" s="25">
        <f t="shared" si="14"/>
        <v>8.5758835758835694E-3</v>
      </c>
      <c r="I491" s="83">
        <v>159.74596300222501</v>
      </c>
      <c r="J491" s="83">
        <v>160.22941381978472</v>
      </c>
      <c r="K491" s="83">
        <v>156.7959263807893</v>
      </c>
      <c r="L491" s="83">
        <v>157.19058010940947</v>
      </c>
      <c r="M491" s="84">
        <v>7056433.0146753024</v>
      </c>
      <c r="N491" s="85" t="s">
        <v>587</v>
      </c>
      <c r="O491" s="25">
        <f t="shared" si="15"/>
        <v>1.6256590509666102E-2</v>
      </c>
    </row>
    <row r="492" spans="1:15">
      <c r="A492" s="83">
        <v>524.56574749674189</v>
      </c>
      <c r="B492" s="83">
        <v>526.94018587933465</v>
      </c>
      <c r="C492" s="83">
        <v>521.32415976333789</v>
      </c>
      <c r="D492" s="83">
        <v>521.63945097145017</v>
      </c>
      <c r="E492" s="84">
        <v>6552291.8078469234</v>
      </c>
      <c r="F492" s="85" t="s">
        <v>588</v>
      </c>
      <c r="G492" s="25">
        <f t="shared" si="14"/>
        <v>5.6098067733221235E-3</v>
      </c>
      <c r="I492" s="83">
        <v>153.88535513221564</v>
      </c>
      <c r="J492" s="83">
        <v>155.27157635399396</v>
      </c>
      <c r="K492" s="83">
        <v>152.19544786626415</v>
      </c>
      <c r="L492" s="83">
        <v>152.91845349709627</v>
      </c>
      <c r="M492" s="84">
        <v>6615942.5609101588</v>
      </c>
      <c r="N492" s="85" t="s">
        <v>588</v>
      </c>
      <c r="O492" s="25">
        <f t="shared" si="15"/>
        <v>6.3229885799083174E-3</v>
      </c>
    </row>
    <row r="493" spans="1:15">
      <c r="A493" s="83">
        <v>528.1324792885116</v>
      </c>
      <c r="B493" s="83">
        <v>531.29031779476088</v>
      </c>
      <c r="C493" s="83">
        <v>526.57572894845748</v>
      </c>
      <c r="D493" s="83">
        <v>527.7186595778644</v>
      </c>
      <c r="E493" s="84">
        <v>5903440.9844291899</v>
      </c>
      <c r="F493" s="85" t="s">
        <v>589</v>
      </c>
      <c r="G493" s="25">
        <f t="shared" si="14"/>
        <v>7.8416728902142019E-4</v>
      </c>
      <c r="I493" s="83">
        <v>155.20744512309318</v>
      </c>
      <c r="J493" s="83">
        <v>157.06231764760793</v>
      </c>
      <c r="K493" s="83">
        <v>154.72399430553347</v>
      </c>
      <c r="L493" s="83">
        <v>154.87692262537379</v>
      </c>
      <c r="M493" s="84">
        <v>7706260.3985357266</v>
      </c>
      <c r="N493" s="85" t="s">
        <v>589</v>
      </c>
      <c r="O493" s="25">
        <f t="shared" si="15"/>
        <v>2.1340977862716048E-3</v>
      </c>
    </row>
    <row r="494" spans="1:15">
      <c r="A494" s="83">
        <v>527.88615803217397</v>
      </c>
      <c r="B494" s="83">
        <v>536.67539310081543</v>
      </c>
      <c r="C494" s="83">
        <v>526.95013725809076</v>
      </c>
      <c r="D494" s="83">
        <v>532.9505230624768</v>
      </c>
      <c r="E494" s="84">
        <v>6434169.6431884607</v>
      </c>
      <c r="F494" s="85" t="s">
        <v>590</v>
      </c>
      <c r="G494" s="25">
        <f t="shared" si="14"/>
        <v>-9.5025050378065856E-3</v>
      </c>
      <c r="I494" s="83">
        <v>155.07918266129164</v>
      </c>
      <c r="J494" s="83">
        <v>158.74946233745911</v>
      </c>
      <c r="K494" s="83">
        <v>154.3678193154538</v>
      </c>
      <c r="L494" s="83">
        <v>156.23354481750559</v>
      </c>
      <c r="M494" s="84">
        <v>6092467.967822412</v>
      </c>
      <c r="N494" s="85" t="s">
        <v>590</v>
      </c>
      <c r="O494" s="25">
        <f t="shared" si="15"/>
        <v>-7.3886959267444041E-3</v>
      </c>
    </row>
    <row r="495" spans="1:15">
      <c r="A495" s="83">
        <v>536.8621046131193</v>
      </c>
      <c r="B495" s="83">
        <v>538.02474094303318</v>
      </c>
      <c r="C495" s="83">
        <v>534.01463088985565</v>
      </c>
      <c r="D495" s="83">
        <v>537.19710152173866</v>
      </c>
      <c r="E495" s="84">
        <v>7265110.9230567338</v>
      </c>
      <c r="F495" s="85" t="s">
        <v>591</v>
      </c>
      <c r="G495" s="25">
        <f t="shared" si="14"/>
        <v>-6.2360148197082577E-4</v>
      </c>
      <c r="I495" s="83">
        <v>158.16734808774439</v>
      </c>
      <c r="J495" s="83">
        <v>158.2166798038219</v>
      </c>
      <c r="K495" s="83">
        <v>155.42450467383426</v>
      </c>
      <c r="L495" s="83">
        <v>156.50980242753971</v>
      </c>
      <c r="M495" s="84">
        <v>7679053.7633987907</v>
      </c>
      <c r="N495" s="85" t="s">
        <v>591</v>
      </c>
      <c r="O495" s="25">
        <f t="shared" si="15"/>
        <v>1.0590682720796885E-2</v>
      </c>
    </row>
    <row r="496" spans="1:15">
      <c r="A496" s="83">
        <v>538.77355756229986</v>
      </c>
      <c r="B496" s="83">
        <v>539.39428712827078</v>
      </c>
      <c r="C496" s="83">
        <v>532.6253790041111</v>
      </c>
      <c r="D496" s="83">
        <v>532.67464325537867</v>
      </c>
      <c r="E496" s="84">
        <v>7882042.0489343526</v>
      </c>
      <c r="F496" s="85" t="s">
        <v>592</v>
      </c>
      <c r="G496" s="25">
        <f t="shared" si="14"/>
        <v>1.144960509035764E-2</v>
      </c>
      <c r="I496" s="83">
        <v>157.50630309230559</v>
      </c>
      <c r="J496" s="83">
        <v>159.80506239808588</v>
      </c>
      <c r="K496" s="83">
        <v>155.71940967254568</v>
      </c>
      <c r="L496" s="83">
        <v>156.18421310142807</v>
      </c>
      <c r="M496" s="84">
        <v>10408027.346812151</v>
      </c>
      <c r="N496" s="85" t="s">
        <v>592</v>
      </c>
      <c r="O496" s="25">
        <f t="shared" si="15"/>
        <v>8.4649399873657494E-3</v>
      </c>
    </row>
    <row r="497" spans="1:15">
      <c r="A497" s="83">
        <v>538.22179794810336</v>
      </c>
      <c r="B497" s="83">
        <v>538.42870780342707</v>
      </c>
      <c r="C497" s="83">
        <v>533.72889823250398</v>
      </c>
      <c r="D497" s="83">
        <v>535.47285272737474</v>
      </c>
      <c r="E497" s="84">
        <v>7363698.6387945423</v>
      </c>
      <c r="F497" s="85" t="s">
        <v>593</v>
      </c>
      <c r="G497" s="25">
        <f t="shared" si="14"/>
        <v>5.1336780319060082E-3</v>
      </c>
      <c r="I497" s="83">
        <v>158.34494226562344</v>
      </c>
      <c r="J497" s="83">
        <v>158.6902642781661</v>
      </c>
      <c r="K497" s="83">
        <v>156.40127265216918</v>
      </c>
      <c r="L497" s="83">
        <v>157.86149144806376</v>
      </c>
      <c r="M497" s="84">
        <v>8630814.6939575337</v>
      </c>
      <c r="N497" s="85" t="s">
        <v>593</v>
      </c>
      <c r="O497" s="25">
        <f t="shared" si="15"/>
        <v>3.062499999999968E-3</v>
      </c>
    </row>
    <row r="498" spans="1:15">
      <c r="A498" s="83">
        <v>534.77330035937575</v>
      </c>
      <c r="B498" s="83">
        <v>535.25500620826972</v>
      </c>
      <c r="C498" s="83">
        <v>529.92569803465005</v>
      </c>
      <c r="D498" s="83">
        <v>530.33951774529737</v>
      </c>
      <c r="E498" s="84">
        <v>7472145.4305865541</v>
      </c>
      <c r="F498" s="85" t="s">
        <v>594</v>
      </c>
      <c r="G498" s="25">
        <f t="shared" si="14"/>
        <v>8.360271987515322E-3</v>
      </c>
      <c r="I498" s="83">
        <v>157.26951085513352</v>
      </c>
      <c r="J498" s="83">
        <v>159.57823516756144</v>
      </c>
      <c r="K498" s="83">
        <v>156.7860600375738</v>
      </c>
      <c r="L498" s="83">
        <v>159.20331412537232</v>
      </c>
      <c r="M498" s="84">
        <v>10306976.736852292</v>
      </c>
      <c r="N498" s="85" t="s">
        <v>594</v>
      </c>
      <c r="O498" s="25">
        <f t="shared" si="15"/>
        <v>-1.2146752602875677E-2</v>
      </c>
    </row>
    <row r="499" spans="1:15">
      <c r="A499" s="83">
        <v>532.16229504219621</v>
      </c>
      <c r="B499" s="83">
        <v>533.45301842540573</v>
      </c>
      <c r="C499" s="83">
        <v>530.3198120447903</v>
      </c>
      <c r="D499" s="83">
        <v>532.41846914878738</v>
      </c>
      <c r="E499" s="84">
        <v>5106442.1670357678</v>
      </c>
      <c r="F499" s="85" t="s">
        <v>595</v>
      </c>
      <c r="G499" s="25">
        <f t="shared" si="14"/>
        <v>-4.8115180339391994E-4</v>
      </c>
      <c r="I499" s="83">
        <v>160.77206269663742</v>
      </c>
      <c r="J499" s="83">
        <v>161.2259144845506</v>
      </c>
      <c r="K499" s="83">
        <v>158.90515323339974</v>
      </c>
      <c r="L499" s="83">
        <v>160.1899484469227</v>
      </c>
      <c r="M499" s="84">
        <v>7600984.3122175662</v>
      </c>
      <c r="N499" s="85" t="s">
        <v>595</v>
      </c>
      <c r="O499" s="25">
        <f t="shared" si="15"/>
        <v>3.6338999753633416E-3</v>
      </c>
    </row>
    <row r="500" spans="1:15">
      <c r="A500" s="83">
        <v>531.50215407521125</v>
      </c>
      <c r="B500" s="83">
        <v>533.51213552692684</v>
      </c>
      <c r="C500" s="83">
        <v>527.89601088242739</v>
      </c>
      <c r="D500" s="83">
        <v>528.43791764637047</v>
      </c>
      <c r="E500" s="84">
        <v>7466675.9472783282</v>
      </c>
      <c r="F500" s="85" t="s">
        <v>596</v>
      </c>
      <c r="G500" s="25">
        <f t="shared" si="14"/>
        <v>5.7986687300728423E-3</v>
      </c>
      <c r="I500" s="83">
        <v>160.10115135798316</v>
      </c>
      <c r="J500" s="83">
        <v>161.03845396345602</v>
      </c>
      <c r="K500" s="83">
        <v>155.46397004669626</v>
      </c>
      <c r="L500" s="83">
        <v>156.10528235570405</v>
      </c>
      <c r="M500" s="84">
        <v>12117110.401362939</v>
      </c>
      <c r="N500" s="85" t="s">
        <v>596</v>
      </c>
      <c r="O500" s="25">
        <f t="shared" si="15"/>
        <v>2.5597269624573427E-2</v>
      </c>
    </row>
    <row r="501" spans="1:15">
      <c r="A501" s="83">
        <v>528.03395078597657</v>
      </c>
      <c r="B501" s="83">
        <v>528.03395078597657</v>
      </c>
      <c r="C501" s="83">
        <v>522.58532459578691</v>
      </c>
      <c r="D501" s="83">
        <v>526.63484604997848</v>
      </c>
      <c r="E501" s="84">
        <v>7909971.0230808984</v>
      </c>
      <c r="F501" s="85" t="s">
        <v>597</v>
      </c>
      <c r="G501" s="25">
        <f t="shared" si="14"/>
        <v>2.6566884939196456E-3</v>
      </c>
      <c r="I501" s="83">
        <v>155.11864803415364</v>
      </c>
      <c r="J501" s="83">
        <v>155.32584124167923</v>
      </c>
      <c r="K501" s="83">
        <v>152.35261871368712</v>
      </c>
      <c r="L501" s="83">
        <v>154.22081080154277</v>
      </c>
      <c r="M501" s="84">
        <v>7982147.8211142002</v>
      </c>
      <c r="N501" s="85" t="s">
        <v>597</v>
      </c>
      <c r="O501" s="25">
        <f t="shared" si="15"/>
        <v>5.8217644424540804E-3</v>
      </c>
    </row>
    <row r="502" spans="1:15">
      <c r="A502" s="83">
        <v>511.018078398169</v>
      </c>
      <c r="B502" s="83">
        <v>513.95481894472948</v>
      </c>
      <c r="C502" s="83">
        <v>509.74706071546655</v>
      </c>
      <c r="D502" s="83">
        <v>513.02805984988458</v>
      </c>
      <c r="E502" s="84">
        <v>4810289.2848825827</v>
      </c>
      <c r="F502" s="85" t="s">
        <v>598</v>
      </c>
      <c r="G502" s="25">
        <f t="shared" si="14"/>
        <v>-3.9178782000807155E-3</v>
      </c>
      <c r="I502" s="83">
        <v>148.33060390188692</v>
      </c>
      <c r="J502" s="83">
        <v>149.7702020404611</v>
      </c>
      <c r="K502" s="83">
        <v>147.78795502503417</v>
      </c>
      <c r="L502" s="83">
        <v>148.03461360542178</v>
      </c>
      <c r="M502" s="84">
        <v>4770896.2653997382</v>
      </c>
      <c r="N502" s="85" t="s">
        <v>598</v>
      </c>
      <c r="O502" s="25">
        <f t="shared" si="15"/>
        <v>1.9994668088509915E-3</v>
      </c>
    </row>
    <row r="503" spans="1:15">
      <c r="A503" s="83">
        <v>511.69792506566108</v>
      </c>
      <c r="B503" s="83">
        <v>516.51596883962623</v>
      </c>
      <c r="C503" s="83">
        <v>508.74699641473558</v>
      </c>
      <c r="D503" s="83">
        <v>511.89498207073115</v>
      </c>
      <c r="E503" s="84">
        <v>5164190.9387475308</v>
      </c>
      <c r="F503" s="85" t="s">
        <v>599</v>
      </c>
      <c r="G503" s="25">
        <f t="shared" si="14"/>
        <v>-3.8495592254672584E-4</v>
      </c>
      <c r="I503" s="83">
        <v>148.29113852902489</v>
      </c>
      <c r="J503" s="83">
        <v>149.780956354566</v>
      </c>
      <c r="K503" s="83">
        <v>146.62372652560472</v>
      </c>
      <c r="L503" s="83">
        <v>147.05784562708689</v>
      </c>
      <c r="M503" s="84">
        <v>6196431.5111125084</v>
      </c>
      <c r="N503" s="85" t="s">
        <v>599</v>
      </c>
      <c r="O503" s="25">
        <f t="shared" si="15"/>
        <v>8.3864475008386119E-3</v>
      </c>
    </row>
    <row r="504" spans="1:15">
      <c r="A504" s="83">
        <v>508.30854457845442</v>
      </c>
      <c r="B504" s="83">
        <v>510.55499443625411</v>
      </c>
      <c r="C504" s="83">
        <v>503.57917645677088</v>
      </c>
      <c r="D504" s="83">
        <v>507.34296525361066</v>
      </c>
      <c r="E504" s="84">
        <v>5548997.3554136399</v>
      </c>
      <c r="F504" s="85" t="s">
        <v>600</v>
      </c>
      <c r="G504" s="25">
        <f t="shared" si="14"/>
        <v>1.9032082653616111E-3</v>
      </c>
      <c r="I504" s="83">
        <v>147.37356860998301</v>
      </c>
      <c r="J504" s="83">
        <v>147.89648480040472</v>
      </c>
      <c r="K504" s="83">
        <v>145.27203750508068</v>
      </c>
      <c r="L504" s="83">
        <v>145.52856242868376</v>
      </c>
      <c r="M504" s="84">
        <v>6133921.0159342308</v>
      </c>
      <c r="N504" s="85" t="s">
        <v>600</v>
      </c>
      <c r="O504" s="25">
        <f t="shared" si="15"/>
        <v>1.2677966101694915E-2</v>
      </c>
    </row>
    <row r="505" spans="1:15">
      <c r="A505" s="83">
        <v>506.02268331964075</v>
      </c>
      <c r="B505" s="83">
        <v>510.20521825225472</v>
      </c>
      <c r="C505" s="83">
        <v>504.40681587806546</v>
      </c>
      <c r="D505" s="83">
        <v>505.34283665214866</v>
      </c>
      <c r="E505" s="84">
        <v>4764377.6970312437</v>
      </c>
      <c r="F505" s="85" t="s">
        <v>601</v>
      </c>
      <c r="G505" s="25">
        <f t="shared" si="14"/>
        <v>1.3453177094504554E-3</v>
      </c>
      <c r="I505" s="83">
        <v>145.72588929299383</v>
      </c>
      <c r="J505" s="83">
        <v>146.95030248603788</v>
      </c>
      <c r="K505" s="83">
        <v>143.77235333632404</v>
      </c>
      <c r="L505" s="83">
        <v>145.01551258147754</v>
      </c>
      <c r="M505" s="84">
        <v>5177799.8073007911</v>
      </c>
      <c r="N505" s="85" t="s">
        <v>601</v>
      </c>
      <c r="O505" s="25">
        <f t="shared" si="15"/>
        <v>4.898625663355638E-3</v>
      </c>
    </row>
    <row r="506" spans="1:15">
      <c r="A506" s="83">
        <v>510.36779028143752</v>
      </c>
      <c r="B506" s="83">
        <v>513.18570545394073</v>
      </c>
      <c r="C506" s="83">
        <v>508.67310003783422</v>
      </c>
      <c r="D506" s="83">
        <v>509.47118090836841</v>
      </c>
      <c r="E506" s="84">
        <v>4865086.626373467</v>
      </c>
      <c r="F506" s="85" t="s">
        <v>602</v>
      </c>
      <c r="G506" s="25">
        <f t="shared" si="14"/>
        <v>1.7598824166471516E-3</v>
      </c>
      <c r="I506" s="83">
        <v>147.29463786425899</v>
      </c>
      <c r="J506" s="83">
        <v>148.80418837623108</v>
      </c>
      <c r="K506" s="83">
        <v>146.53502810009735</v>
      </c>
      <c r="L506" s="83">
        <v>147.43769984088379</v>
      </c>
      <c r="M506" s="84">
        <v>5257722.0219224039</v>
      </c>
      <c r="N506" s="85" t="s">
        <v>602</v>
      </c>
      <c r="O506" s="25">
        <f t="shared" si="15"/>
        <v>-9.7032154448417618E-4</v>
      </c>
    </row>
    <row r="507" spans="1:15">
      <c r="A507" s="83">
        <v>513.04776555039166</v>
      </c>
      <c r="B507" s="83">
        <v>514.72275009348789</v>
      </c>
      <c r="C507" s="83">
        <v>509.28397675355171</v>
      </c>
      <c r="D507" s="83">
        <v>511.48116236008389</v>
      </c>
      <c r="E507" s="84">
        <v>6379260.6588762915</v>
      </c>
      <c r="F507" s="85" t="s">
        <v>603</v>
      </c>
      <c r="G507" s="25">
        <f t="shared" si="14"/>
        <v>3.0628756356914089E-3</v>
      </c>
      <c r="I507" s="83">
        <v>148.71539128729154</v>
      </c>
      <c r="J507" s="83">
        <v>151.01424925650397</v>
      </c>
      <c r="K507" s="83">
        <v>146.3474689155706</v>
      </c>
      <c r="L507" s="83">
        <v>146.3474689155706</v>
      </c>
      <c r="M507" s="84">
        <v>11499677.99840058</v>
      </c>
      <c r="N507" s="85" t="s">
        <v>603</v>
      </c>
      <c r="O507" s="25">
        <f t="shared" si="15"/>
        <v>1.6180138879525297E-2</v>
      </c>
    </row>
    <row r="508" spans="1:15">
      <c r="A508" s="83">
        <v>505.79606776381007</v>
      </c>
      <c r="B508" s="83">
        <v>510.81116854284545</v>
      </c>
      <c r="C508" s="83">
        <v>505.22460244910656</v>
      </c>
      <c r="D508" s="83">
        <v>507.54987510893437</v>
      </c>
      <c r="E508" s="84">
        <v>5870872.7435908839</v>
      </c>
      <c r="F508" s="85" t="s">
        <v>604</v>
      </c>
      <c r="G508" s="25">
        <f t="shared" ref="G508:G571" si="16">A508/D508-1</f>
        <v>-3.4554384330168775E-3</v>
      </c>
      <c r="I508" s="83">
        <v>143.54542744236747</v>
      </c>
      <c r="J508" s="83">
        <v>146.6533255552512</v>
      </c>
      <c r="K508" s="83">
        <v>143.39249912252717</v>
      </c>
      <c r="L508" s="83">
        <v>144.60112616642638</v>
      </c>
      <c r="M508" s="84">
        <v>11681887.35000463</v>
      </c>
      <c r="N508" s="85" t="s">
        <v>604</v>
      </c>
      <c r="O508" s="25">
        <f t="shared" ref="O508:O571" si="17">I508/L508-1</f>
        <v>-7.3007641921396527E-3</v>
      </c>
    </row>
    <row r="509" spans="1:15">
      <c r="A509" s="83">
        <v>502.23918882229384</v>
      </c>
      <c r="B509" s="83">
        <v>503.97329046691112</v>
      </c>
      <c r="C509" s="83">
        <v>490.43547421859176</v>
      </c>
      <c r="D509" s="83">
        <v>495.85454185802092</v>
      </c>
      <c r="E509" s="84">
        <v>7991277.4450185318</v>
      </c>
      <c r="F509" s="85" t="s">
        <v>605</v>
      </c>
      <c r="G509" s="25">
        <f t="shared" si="16"/>
        <v>1.2876048165957998E-2</v>
      </c>
      <c r="I509" s="83">
        <v>138.83918172857207</v>
      </c>
      <c r="J509" s="83">
        <v>139.4114296350713</v>
      </c>
      <c r="K509" s="83">
        <v>133.75308180097977</v>
      </c>
      <c r="L509" s="83">
        <v>136.62912084829915</v>
      </c>
      <c r="M509" s="84">
        <v>9571467.1522478685</v>
      </c>
      <c r="N509" s="85" t="s">
        <v>605</v>
      </c>
      <c r="O509" s="25">
        <f t="shared" si="17"/>
        <v>1.6175621028307496E-2</v>
      </c>
    </row>
    <row r="510" spans="1:15">
      <c r="A510" s="83">
        <v>501.99286756595615</v>
      </c>
      <c r="B510" s="83">
        <v>503.0369741073203</v>
      </c>
      <c r="C510" s="83">
        <v>496.83982688337164</v>
      </c>
      <c r="D510" s="83">
        <v>497.11570669046989</v>
      </c>
      <c r="E510" s="84">
        <v>6622912.9968528459</v>
      </c>
      <c r="F510" s="85" t="s">
        <v>606</v>
      </c>
      <c r="G510" s="25">
        <f t="shared" si="16"/>
        <v>9.810916874777087E-3</v>
      </c>
      <c r="I510" s="83">
        <v>138.90824613108057</v>
      </c>
      <c r="J510" s="83">
        <v>139.27330083005424</v>
      </c>
      <c r="K510" s="83">
        <v>137.68481957235812</v>
      </c>
      <c r="L510" s="83">
        <v>137.9413444959612</v>
      </c>
      <c r="M510" s="84">
        <v>4917179.4392641978</v>
      </c>
      <c r="N510" s="85" t="s">
        <v>606</v>
      </c>
      <c r="O510" s="25">
        <f t="shared" si="17"/>
        <v>7.0095129103782128E-3</v>
      </c>
    </row>
    <row r="511" spans="1:15">
      <c r="A511" s="83">
        <v>498.96804253812934</v>
      </c>
      <c r="B511" s="83">
        <v>501.25390379694306</v>
      </c>
      <c r="C511" s="83">
        <v>493.58838629971416</v>
      </c>
      <c r="D511" s="83">
        <v>499.3523036980161</v>
      </c>
      <c r="E511" s="84">
        <v>4272891.4899536427</v>
      </c>
      <c r="F511" s="85" t="s">
        <v>607</v>
      </c>
      <c r="G511" s="25">
        <f t="shared" si="16"/>
        <v>-7.6951914918799158E-4</v>
      </c>
      <c r="I511" s="83">
        <v>138.26693382207282</v>
      </c>
      <c r="J511" s="83">
        <v>138.78985001249453</v>
      </c>
      <c r="K511" s="83">
        <v>136.23446711967904</v>
      </c>
      <c r="L511" s="83">
        <v>137.78348300451316</v>
      </c>
      <c r="M511" s="84">
        <v>7079727.3593965406</v>
      </c>
      <c r="N511" s="85" t="s">
        <v>607</v>
      </c>
      <c r="O511" s="25">
        <f t="shared" si="17"/>
        <v>3.5087719298243503E-3</v>
      </c>
    </row>
    <row r="512" spans="1:15">
      <c r="A512" s="83">
        <v>498.66260418027059</v>
      </c>
      <c r="B512" s="83">
        <v>499.06657104066437</v>
      </c>
      <c r="C512" s="83">
        <v>492.39619141903978</v>
      </c>
      <c r="D512" s="83">
        <v>495.04660813723331</v>
      </c>
      <c r="E512" s="84">
        <v>7036971.8625650965</v>
      </c>
      <c r="F512" s="85" t="s">
        <v>608</v>
      </c>
      <c r="G512" s="25">
        <f t="shared" si="16"/>
        <v>7.3043547488258476E-3</v>
      </c>
      <c r="I512" s="83">
        <v>136.6389871915147</v>
      </c>
      <c r="J512" s="83">
        <v>137.14217069550537</v>
      </c>
      <c r="K512" s="83">
        <v>134.92717664362473</v>
      </c>
      <c r="L512" s="83">
        <v>135.65235286996429</v>
      </c>
      <c r="M512" s="84">
        <v>5550565.0679112934</v>
      </c>
      <c r="N512" s="85" t="s">
        <v>608</v>
      </c>
      <c r="O512" s="25">
        <f t="shared" si="17"/>
        <v>7.2732562368174047E-3</v>
      </c>
    </row>
    <row r="513" spans="1:15">
      <c r="A513" s="83">
        <v>495.01704958647281</v>
      </c>
      <c r="B513" s="83">
        <v>495.59836775142969</v>
      </c>
      <c r="C513" s="83">
        <v>484.98004956172713</v>
      </c>
      <c r="D513" s="83">
        <v>486.00169160451338</v>
      </c>
      <c r="E513" s="84">
        <v>6276694.3989617815</v>
      </c>
      <c r="F513" s="85" t="s">
        <v>609</v>
      </c>
      <c r="G513" s="25">
        <f t="shared" si="16"/>
        <v>1.8550054737866528E-2</v>
      </c>
      <c r="I513" s="83">
        <v>135.67208555639527</v>
      </c>
      <c r="J513" s="83">
        <v>136.01740756893795</v>
      </c>
      <c r="K513" s="83">
        <v>130.2357304446526</v>
      </c>
      <c r="L513" s="83">
        <v>130.7389139486433</v>
      </c>
      <c r="M513" s="84">
        <v>7404857.9503290737</v>
      </c>
      <c r="N513" s="85" t="s">
        <v>609</v>
      </c>
      <c r="O513" s="25">
        <f t="shared" si="17"/>
        <v>3.7733001282921785E-2</v>
      </c>
    </row>
    <row r="514" spans="1:15">
      <c r="A514" s="83">
        <v>484.82920242434597</v>
      </c>
      <c r="B514" s="83">
        <v>493.80514900529136</v>
      </c>
      <c r="C514" s="83">
        <v>483.47936193961544</v>
      </c>
      <c r="D514" s="83">
        <v>489.38121924146645</v>
      </c>
      <c r="E514" s="84">
        <v>8167789.8201437779</v>
      </c>
      <c r="F514" s="85" t="s">
        <v>610</v>
      </c>
      <c r="G514" s="25">
        <f t="shared" si="16"/>
        <v>-9.3015764360063757E-3</v>
      </c>
      <c r="I514" s="83">
        <v>129.64374985172236</v>
      </c>
      <c r="J514" s="83">
        <v>134.05400526905265</v>
      </c>
      <c r="K514" s="83">
        <v>129.2392297798867</v>
      </c>
      <c r="L514" s="83">
        <v>133.10683632036424</v>
      </c>
      <c r="M514" s="84">
        <v>9657958.1632902417</v>
      </c>
      <c r="N514" s="85" t="s">
        <v>610</v>
      </c>
      <c r="O514" s="25">
        <f t="shared" si="17"/>
        <v>-2.6017344896597572E-2</v>
      </c>
    </row>
    <row r="515" spans="1:15">
      <c r="A515" s="83">
        <v>477.16368492711712</v>
      </c>
      <c r="B515" s="83">
        <v>479.32145913263525</v>
      </c>
      <c r="C515" s="83">
        <v>470.1681612471267</v>
      </c>
      <c r="D515" s="83">
        <v>471.03521206943537</v>
      </c>
      <c r="E515" s="84">
        <v>6329456.7963010622</v>
      </c>
      <c r="F515" s="85" t="s">
        <v>611</v>
      </c>
      <c r="G515" s="25">
        <f t="shared" si="16"/>
        <v>1.301064697638421E-2</v>
      </c>
      <c r="I515" s="83">
        <v>125.5393510740727</v>
      </c>
      <c r="J515" s="83">
        <v>126.27932681523549</v>
      </c>
      <c r="K515" s="83">
        <v>121.74080893610366</v>
      </c>
      <c r="L515" s="83">
        <v>122.8359730330246</v>
      </c>
      <c r="M515" s="84">
        <v>11385882.038187508</v>
      </c>
      <c r="N515" s="85" t="s">
        <v>611</v>
      </c>
      <c r="O515" s="25">
        <f t="shared" si="17"/>
        <v>2.2008032128514099E-2</v>
      </c>
    </row>
    <row r="516" spans="1:15">
      <c r="A516" s="83">
        <v>465.41908742493609</v>
      </c>
      <c r="B516" s="83">
        <v>472.43431680543347</v>
      </c>
      <c r="C516" s="83">
        <v>460.45325089716829</v>
      </c>
      <c r="D516" s="83">
        <v>471.97123284351858</v>
      </c>
      <c r="E516" s="84">
        <v>7878431.9260678925</v>
      </c>
      <c r="F516" s="85" t="s">
        <v>612</v>
      </c>
      <c r="G516" s="25">
        <f t="shared" si="16"/>
        <v>-1.3882510124838099E-2</v>
      </c>
      <c r="I516" s="83">
        <v>121.17842737281993</v>
      </c>
      <c r="J516" s="83">
        <v>125.49495252960293</v>
      </c>
      <c r="K516" s="83">
        <v>119.61461197316255</v>
      </c>
      <c r="L516" s="83">
        <v>125.18909588992231</v>
      </c>
      <c r="M516" s="84">
        <v>12366517.901816927</v>
      </c>
      <c r="N516" s="85" t="s">
        <v>612</v>
      </c>
      <c r="O516" s="25">
        <f t="shared" si="17"/>
        <v>-3.2036883792410653E-2</v>
      </c>
    </row>
    <row r="517" spans="1:15">
      <c r="A517" s="83">
        <v>476.7794237672303</v>
      </c>
      <c r="B517" s="83">
        <v>480.97673797522452</v>
      </c>
      <c r="C517" s="83">
        <v>474.4147397063885</v>
      </c>
      <c r="D517" s="83">
        <v>477.65632743979251</v>
      </c>
      <c r="E517" s="84">
        <v>5723155.0819445113</v>
      </c>
      <c r="F517" s="85" t="s">
        <v>613</v>
      </c>
      <c r="G517" s="25">
        <f t="shared" si="16"/>
        <v>-1.8358464489779402E-3</v>
      </c>
      <c r="I517" s="83">
        <v>126.90090643781225</v>
      </c>
      <c r="J517" s="83">
        <v>129.54508641956733</v>
      </c>
      <c r="K517" s="83">
        <v>126.72331225993317</v>
      </c>
      <c r="L517" s="83">
        <v>129.15043269094716</v>
      </c>
      <c r="M517" s="84">
        <v>9046433.7242742814</v>
      </c>
      <c r="N517" s="85" t="s">
        <v>613</v>
      </c>
      <c r="O517" s="25">
        <f t="shared" si="17"/>
        <v>-1.7417876241405561E-2</v>
      </c>
    </row>
    <row r="518" spans="1:15">
      <c r="A518" s="83">
        <v>476.11928280024529</v>
      </c>
      <c r="B518" s="83">
        <v>484.52869049161399</v>
      </c>
      <c r="C518" s="83">
        <v>471.19285767349152</v>
      </c>
      <c r="D518" s="83">
        <v>481.45952763764637</v>
      </c>
      <c r="E518" s="84">
        <v>6470076.0043831877</v>
      </c>
      <c r="F518" s="85" t="s">
        <v>614</v>
      </c>
      <c r="G518" s="25">
        <f t="shared" si="16"/>
        <v>-1.1091783485112083E-2</v>
      </c>
      <c r="I518" s="83">
        <v>128.02566956437968</v>
      </c>
      <c r="J518" s="83">
        <v>130.76535574846085</v>
      </c>
      <c r="K518" s="83">
        <v>126.14119801021843</v>
      </c>
      <c r="L518" s="83">
        <v>130.5119880546867</v>
      </c>
      <c r="M518" s="84">
        <v>8407548.5910169333</v>
      </c>
      <c r="N518" s="85" t="s">
        <v>614</v>
      </c>
      <c r="O518" s="25">
        <f t="shared" si="17"/>
        <v>-1.9050498941639016E-2</v>
      </c>
    </row>
    <row r="519" spans="1:15">
      <c r="A519" s="83">
        <v>486.81947817555448</v>
      </c>
      <c r="B519" s="83">
        <v>491.92325460687141</v>
      </c>
      <c r="C519" s="83">
        <v>486.15933720856953</v>
      </c>
      <c r="D519" s="83">
        <v>488.73093112473492</v>
      </c>
      <c r="E519" s="84">
        <v>8323056.5663784929</v>
      </c>
      <c r="F519" s="85" t="s">
        <v>615</v>
      </c>
      <c r="G519" s="25">
        <f t="shared" si="16"/>
        <v>-3.911053766909256E-3</v>
      </c>
      <c r="I519" s="83">
        <v>132.14980102846036</v>
      </c>
      <c r="J519" s="83">
        <v>134.65782547384148</v>
      </c>
      <c r="K519" s="83">
        <v>131.93274147771928</v>
      </c>
      <c r="L519" s="83">
        <v>132.95884117213168</v>
      </c>
      <c r="M519" s="84">
        <v>8746866.809213439</v>
      </c>
      <c r="N519" s="85" t="s">
        <v>615</v>
      </c>
      <c r="O519" s="25">
        <f t="shared" si="17"/>
        <v>-6.0848916592460833E-3</v>
      </c>
    </row>
    <row r="520" spans="1:15">
      <c r="A520" s="83">
        <v>488.18902436079208</v>
      </c>
      <c r="B520" s="83">
        <v>492.89868678196865</v>
      </c>
      <c r="C520" s="83">
        <v>483.46950908936191</v>
      </c>
      <c r="D520" s="83">
        <v>492.69177692664499</v>
      </c>
      <c r="E520" s="84">
        <v>7816507.71284007</v>
      </c>
      <c r="F520" s="85" t="s">
        <v>616</v>
      </c>
      <c r="G520" s="25">
        <f t="shared" si="16"/>
        <v>-9.1390860913908023E-3</v>
      </c>
      <c r="I520" s="83">
        <v>132.84044505354564</v>
      </c>
      <c r="J520" s="83">
        <v>134.9715751880945</v>
      </c>
      <c r="K520" s="83">
        <v>131.09410230440145</v>
      </c>
      <c r="L520" s="83">
        <v>134.9715751880945</v>
      </c>
      <c r="M520" s="84">
        <v>8329063.5856723823</v>
      </c>
      <c r="N520" s="85" t="s">
        <v>616</v>
      </c>
      <c r="O520" s="25">
        <f t="shared" si="17"/>
        <v>-1.5789473684210575E-2</v>
      </c>
    </row>
    <row r="521" spans="1:15">
      <c r="A521" s="83">
        <v>483.33156918581284</v>
      </c>
      <c r="B521" s="83">
        <v>485.74551749792215</v>
      </c>
      <c r="C521" s="83">
        <v>470.96624211766084</v>
      </c>
      <c r="D521" s="83">
        <v>473.61665883585437</v>
      </c>
      <c r="E521" s="84">
        <v>11713559.734546266</v>
      </c>
      <c r="F521" s="85" t="s">
        <v>617</v>
      </c>
      <c r="G521" s="25">
        <f t="shared" si="16"/>
        <v>2.051218040733116E-2</v>
      </c>
      <c r="I521" s="83">
        <v>130.58105245719523</v>
      </c>
      <c r="J521" s="83">
        <v>131.22236476620299</v>
      </c>
      <c r="K521" s="83">
        <v>127.11796598855334</v>
      </c>
      <c r="L521" s="83">
        <v>130.34426022002316</v>
      </c>
      <c r="M521" s="84">
        <v>10328218.649425399</v>
      </c>
      <c r="N521" s="85" t="s">
        <v>617</v>
      </c>
      <c r="O521" s="25">
        <f t="shared" si="17"/>
        <v>1.8166679282414222E-3</v>
      </c>
    </row>
    <row r="522" spans="1:15">
      <c r="A522" s="83">
        <v>474.96649932058489</v>
      </c>
      <c r="B522" s="83">
        <v>483.08524792947514</v>
      </c>
      <c r="C522" s="83">
        <v>461.43853592251901</v>
      </c>
      <c r="D522" s="83">
        <v>481.95217015032176</v>
      </c>
      <c r="E522" s="84">
        <v>16899985.863554809</v>
      </c>
      <c r="F522" s="85" t="s">
        <v>618</v>
      </c>
      <c r="G522" s="25">
        <f t="shared" si="16"/>
        <v>-1.4494531329858007E-2</v>
      </c>
      <c r="I522" s="83">
        <v>131.56768677874564</v>
      </c>
      <c r="J522" s="83">
        <v>134.82358003986195</v>
      </c>
      <c r="K522" s="83">
        <v>127.52741923199675</v>
      </c>
      <c r="L522" s="83">
        <v>134.82358003986195</v>
      </c>
      <c r="M522" s="84">
        <v>12569562.733751416</v>
      </c>
      <c r="N522" s="85" t="s">
        <v>618</v>
      </c>
      <c r="O522" s="25">
        <f t="shared" si="17"/>
        <v>-2.4149286498353462E-2</v>
      </c>
    </row>
    <row r="523" spans="1:15">
      <c r="A523" s="83">
        <v>491.75575615256179</v>
      </c>
      <c r="B523" s="83">
        <v>494.67338216963043</v>
      </c>
      <c r="C523" s="83">
        <v>446.49176208794813</v>
      </c>
      <c r="D523" s="83">
        <v>446.81690614631384</v>
      </c>
      <c r="E523" s="84">
        <v>29723981.636252075</v>
      </c>
      <c r="F523" s="85" t="s">
        <v>619</v>
      </c>
      <c r="G523" s="25">
        <f t="shared" si="16"/>
        <v>0.10057553639551031</v>
      </c>
      <c r="I523" s="83">
        <v>137.32963121446193</v>
      </c>
      <c r="J523" s="83">
        <v>138.21442374143606</v>
      </c>
      <c r="K523" s="83">
        <v>121.31488647623024</v>
      </c>
      <c r="L523" s="83">
        <v>121.31488647623024</v>
      </c>
      <c r="M523" s="84">
        <v>18067280.308830481</v>
      </c>
      <c r="N523" s="85" t="s">
        <v>619</v>
      </c>
      <c r="O523" s="25">
        <f t="shared" si="17"/>
        <v>0.13200972447325765</v>
      </c>
    </row>
    <row r="524" spans="1:15">
      <c r="A524" s="83">
        <v>450.01908247870381</v>
      </c>
      <c r="B524" s="83">
        <v>475.39017188148574</v>
      </c>
      <c r="C524" s="83">
        <v>442.98414739769942</v>
      </c>
      <c r="D524" s="83">
        <v>472.62152096025011</v>
      </c>
      <c r="E524" s="84">
        <v>19286484.124972031</v>
      </c>
      <c r="F524" s="85" t="s">
        <v>620</v>
      </c>
      <c r="G524" s="25">
        <f t="shared" si="16"/>
        <v>-4.7823549032688373E-2</v>
      </c>
      <c r="I524" s="83">
        <v>122.39629956475417</v>
      </c>
      <c r="J524" s="83">
        <v>130.74284240254343</v>
      </c>
      <c r="K524" s="83">
        <v>119.63869618901813</v>
      </c>
      <c r="L524" s="83">
        <v>130.30044613905636</v>
      </c>
      <c r="M524" s="84">
        <v>12155673.756402001</v>
      </c>
      <c r="N524" s="85" t="s">
        <v>620</v>
      </c>
      <c r="O524" s="25">
        <f t="shared" si="17"/>
        <v>-6.0660932548664448E-2</v>
      </c>
    </row>
    <row r="525" spans="1:15">
      <c r="A525" s="83">
        <v>456.73872635159597</v>
      </c>
      <c r="B525" s="83">
        <v>473.6856287876289</v>
      </c>
      <c r="C525" s="83">
        <v>436.28420922531427</v>
      </c>
      <c r="D525" s="83">
        <v>442.92503029617836</v>
      </c>
      <c r="E525" s="84">
        <v>31752504.295762185</v>
      </c>
      <c r="F525" s="85" t="s">
        <v>621</v>
      </c>
      <c r="G525" s="25">
        <f t="shared" si="16"/>
        <v>3.1187436045735595E-2</v>
      </c>
      <c r="I525" s="83">
        <v>125.01135303336659</v>
      </c>
      <c r="J525" s="83">
        <v>131.84391754722236</v>
      </c>
      <c r="K525" s="83">
        <v>116.85159972904964</v>
      </c>
      <c r="L525" s="83">
        <v>116.85159972904964</v>
      </c>
      <c r="M525" s="84">
        <v>19817512.315531511</v>
      </c>
      <c r="N525" s="85" t="s">
        <v>621</v>
      </c>
      <c r="O525" s="25">
        <f t="shared" si="17"/>
        <v>6.9830052162207723E-2</v>
      </c>
    </row>
    <row r="526" spans="1:15">
      <c r="A526" s="83">
        <v>458.66988500128343</v>
      </c>
      <c r="B526" s="83">
        <v>476.18825275201988</v>
      </c>
      <c r="C526" s="83">
        <v>457.40872016883446</v>
      </c>
      <c r="D526" s="83">
        <v>474.19797700081131</v>
      </c>
      <c r="E526" s="84">
        <v>31428984.713307835</v>
      </c>
      <c r="F526" s="85" t="s">
        <v>622</v>
      </c>
      <c r="G526" s="25">
        <f t="shared" si="16"/>
        <v>-3.2746010638297851E-2</v>
      </c>
      <c r="I526" s="83">
        <v>126.10259714996802</v>
      </c>
      <c r="J526" s="83">
        <v>131.55881773297511</v>
      </c>
      <c r="K526" s="83">
        <v>124.8049014437393</v>
      </c>
      <c r="L526" s="83">
        <v>130.66419417792349</v>
      </c>
      <c r="M526" s="84">
        <v>15244449.392139167</v>
      </c>
      <c r="N526" s="85" t="s">
        <v>622</v>
      </c>
      <c r="O526" s="25">
        <f t="shared" si="17"/>
        <v>-3.4910841923105673E-2</v>
      </c>
    </row>
    <row r="527" spans="1:15">
      <c r="A527" s="83">
        <v>486.88844812732907</v>
      </c>
      <c r="B527" s="83">
        <v>496.24865586816122</v>
      </c>
      <c r="C527" s="83">
        <v>486.23816001059754</v>
      </c>
      <c r="D527" s="83">
        <v>493.62779770072819</v>
      </c>
      <c r="E527" s="84">
        <v>16468354.417772302</v>
      </c>
      <c r="F527" s="85" t="s">
        <v>623</v>
      </c>
      <c r="G527" s="25">
        <f t="shared" si="16"/>
        <v>-1.3652694610778338E-2</v>
      </c>
      <c r="I527" s="83">
        <v>134.9111983073993</v>
      </c>
      <c r="J527" s="83">
        <v>139.01073701571278</v>
      </c>
      <c r="K527" s="83">
        <v>134.33116765082738</v>
      </c>
      <c r="L527" s="83">
        <v>136.89706597905234</v>
      </c>
      <c r="M527" s="84">
        <v>14681850.042772649</v>
      </c>
      <c r="N527" s="85" t="s">
        <v>623</v>
      </c>
      <c r="O527" s="25">
        <f t="shared" si="17"/>
        <v>-1.4506283662477526E-2</v>
      </c>
    </row>
    <row r="528" spans="1:15">
      <c r="A528" s="83">
        <v>511.27425250476017</v>
      </c>
      <c r="B528" s="83">
        <v>513.81628787016518</v>
      </c>
      <c r="C528" s="83">
        <v>502.42619592010539</v>
      </c>
      <c r="D528" s="83">
        <v>502.63330283243408</v>
      </c>
      <c r="E528" s="84">
        <v>6402860.9363611965</v>
      </c>
      <c r="F528" s="85" t="s">
        <v>624</v>
      </c>
      <c r="G528" s="25">
        <f t="shared" si="16"/>
        <v>1.7191359234719705E-2</v>
      </c>
      <c r="I528" s="83">
        <v>143.39537553827344</v>
      </c>
      <c r="J528" s="83">
        <v>145.39107423800397</v>
      </c>
      <c r="K528" s="83">
        <v>137.49675869177926</v>
      </c>
      <c r="L528" s="83">
        <v>137.49675869177926</v>
      </c>
      <c r="M528" s="84">
        <v>11793712.629655996</v>
      </c>
      <c r="N528" s="85" t="s">
        <v>624</v>
      </c>
      <c r="O528" s="25">
        <f t="shared" si="17"/>
        <v>4.2900042900043012E-2</v>
      </c>
    </row>
    <row r="529" spans="1:15">
      <c r="A529" s="83">
        <v>508.21001607591933</v>
      </c>
      <c r="B529" s="83">
        <v>509.73720786521307</v>
      </c>
      <c r="C529" s="83">
        <v>501.39184370049213</v>
      </c>
      <c r="D529" s="83">
        <v>504.82063558871278</v>
      </c>
      <c r="E529" s="84">
        <v>7811969.9396222057</v>
      </c>
      <c r="F529" s="85" t="s">
        <v>625</v>
      </c>
      <c r="G529" s="25">
        <f t="shared" si="16"/>
        <v>6.7140291982199507E-3</v>
      </c>
      <c r="I529" s="83">
        <v>139.54161253189724</v>
      </c>
      <c r="J529" s="83">
        <v>140.82947721004848</v>
      </c>
      <c r="K529" s="83">
        <v>136.41534560325533</v>
      </c>
      <c r="L529" s="83">
        <v>137.39844841100435</v>
      </c>
      <c r="M529" s="84">
        <v>9682056.571269514</v>
      </c>
      <c r="N529" s="85" t="s">
        <v>625</v>
      </c>
      <c r="O529" s="25">
        <f t="shared" si="17"/>
        <v>1.5598168288494696E-2</v>
      </c>
    </row>
    <row r="530" spans="1:15">
      <c r="A530" s="83">
        <v>506.3478273780064</v>
      </c>
      <c r="B530" s="83">
        <v>507.74693211400455</v>
      </c>
      <c r="C530" s="83">
        <v>495.24366514230343</v>
      </c>
      <c r="D530" s="83">
        <v>497.87437615998994</v>
      </c>
      <c r="E530" s="84">
        <v>8319083.096875486</v>
      </c>
      <c r="F530" s="85" t="s">
        <v>626</v>
      </c>
      <c r="G530" s="25">
        <f t="shared" si="16"/>
        <v>1.7019255506520725E-2</v>
      </c>
      <c r="I530" s="83">
        <v>137.44760355139181</v>
      </c>
      <c r="J530" s="83">
        <v>138.21442374143606</v>
      </c>
      <c r="K530" s="83">
        <v>134.44913998775726</v>
      </c>
      <c r="L530" s="83">
        <v>136.29737326632542</v>
      </c>
      <c r="M530" s="84">
        <v>15776501.580249211</v>
      </c>
      <c r="N530" s="85" t="s">
        <v>626</v>
      </c>
      <c r="O530" s="25">
        <f t="shared" si="17"/>
        <v>8.4391229082516617E-3</v>
      </c>
    </row>
    <row r="531" spans="1:15">
      <c r="A531" s="83">
        <v>503.28359094916561</v>
      </c>
      <c r="B531" s="83">
        <v>512.80144429405391</v>
      </c>
      <c r="C531" s="83">
        <v>502.65300853294116</v>
      </c>
      <c r="D531" s="83">
        <v>512.11174477630834</v>
      </c>
      <c r="E531" s="84">
        <v>5918889.3060908141</v>
      </c>
      <c r="F531" s="85" t="s">
        <v>627</v>
      </c>
      <c r="G531" s="25">
        <f t="shared" si="16"/>
        <v>-1.7238725565645652E-2</v>
      </c>
      <c r="I531" s="83">
        <v>138.4896925276058</v>
      </c>
      <c r="J531" s="83">
        <v>143.18892394864613</v>
      </c>
      <c r="K531" s="83">
        <v>136.75943158596749</v>
      </c>
      <c r="L531" s="83">
        <v>141.35052169815546</v>
      </c>
      <c r="M531" s="84">
        <v>13370408.360542063</v>
      </c>
      <c r="N531" s="85" t="s">
        <v>627</v>
      </c>
      <c r="O531" s="25">
        <f t="shared" si="17"/>
        <v>-2.0239254416469565E-2</v>
      </c>
    </row>
    <row r="532" spans="1:15">
      <c r="A532" s="83">
        <v>513.54040806306705</v>
      </c>
      <c r="B532" s="83">
        <v>516.95737653098342</v>
      </c>
      <c r="C532" s="83">
        <v>511.58954371287251</v>
      </c>
      <c r="D532" s="83">
        <v>513.61923086509501</v>
      </c>
      <c r="E532" s="84">
        <v>5617590.7048111307</v>
      </c>
      <c r="F532" s="85" t="s">
        <v>628</v>
      </c>
      <c r="G532" s="25">
        <f t="shared" si="16"/>
        <v>-1.5346544150074415E-4</v>
      </c>
      <c r="I532" s="83">
        <v>143.31672731365353</v>
      </c>
      <c r="J532" s="83">
        <v>144.55543685141728</v>
      </c>
      <c r="K532" s="83">
        <v>142.47125889898933</v>
      </c>
      <c r="L532" s="83">
        <v>143.38554451019596</v>
      </c>
      <c r="M532" s="84">
        <v>9305558.8163221087</v>
      </c>
      <c r="N532" s="85" t="s">
        <v>628</v>
      </c>
      <c r="O532" s="25">
        <f t="shared" si="17"/>
        <v>-4.7994514912574893E-4</v>
      </c>
    </row>
    <row r="533" spans="1:15">
      <c r="A533" s="83">
        <v>514.95714942157781</v>
      </c>
      <c r="B533" s="83">
        <v>521.78122025344283</v>
      </c>
      <c r="C533" s="83">
        <v>513.62179167606178</v>
      </c>
      <c r="D533" s="83">
        <v>520.94662166249532</v>
      </c>
      <c r="E533" s="84">
        <v>4511368.8674280494</v>
      </c>
      <c r="F533" s="85" t="s">
        <v>629</v>
      </c>
      <c r="G533" s="25">
        <f t="shared" si="16"/>
        <v>-1.1497285886610253E-2</v>
      </c>
      <c r="I533" s="83">
        <v>145.30259498530657</v>
      </c>
      <c r="J533" s="83">
        <v>150.44422266983398</v>
      </c>
      <c r="K533" s="83">
        <v>144.08354750369776</v>
      </c>
      <c r="L533" s="83">
        <v>150.3065882767491</v>
      </c>
      <c r="M533" s="84">
        <v>13449784.59605366</v>
      </c>
      <c r="N533" s="85" t="s">
        <v>629</v>
      </c>
      <c r="O533" s="25">
        <f t="shared" si="17"/>
        <v>-3.329190921577585E-2</v>
      </c>
    </row>
    <row r="534" spans="1:15">
      <c r="A534" s="83">
        <v>521.03499092506627</v>
      </c>
      <c r="B534" s="83">
        <v>521.96777758553708</v>
      </c>
      <c r="C534" s="83">
        <v>519.52289465440845</v>
      </c>
      <c r="D534" s="83">
        <v>520.97607808335238</v>
      </c>
      <c r="E534" s="84">
        <v>6375722.6620270433</v>
      </c>
      <c r="F534" s="85" t="s">
        <v>630</v>
      </c>
      <c r="G534" s="25">
        <f t="shared" si="16"/>
        <v>1.1308166380818996E-4</v>
      </c>
      <c r="I534" s="83">
        <v>151.32901519680811</v>
      </c>
      <c r="J534" s="83">
        <v>152.97079688574897</v>
      </c>
      <c r="K534" s="83">
        <v>150.46388472598898</v>
      </c>
      <c r="L534" s="83">
        <v>151.89921482530252</v>
      </c>
      <c r="M534" s="84">
        <v>8667708.9444091376</v>
      </c>
      <c r="N534" s="85" t="s">
        <v>630</v>
      </c>
      <c r="O534" s="25">
        <f t="shared" si="17"/>
        <v>-3.7538023428902445E-3</v>
      </c>
    </row>
    <row r="535" spans="1:15">
      <c r="A535" s="83">
        <v>519.79782124907342</v>
      </c>
      <c r="B535" s="83">
        <v>520.77970194430588</v>
      </c>
      <c r="C535" s="83">
        <v>516.35142000880774</v>
      </c>
      <c r="D535" s="83">
        <v>516.94054842594721</v>
      </c>
      <c r="E535" s="84">
        <v>22789191.302619595</v>
      </c>
      <c r="F535" s="85" t="s">
        <v>631</v>
      </c>
      <c r="G535" s="25">
        <f t="shared" si="16"/>
        <v>5.5272754900470566E-3</v>
      </c>
      <c r="I535" s="83">
        <v>152.25313183609219</v>
      </c>
      <c r="J535" s="83">
        <v>153.95881520753676</v>
      </c>
      <c r="K535" s="83">
        <v>151.427325477583</v>
      </c>
      <c r="L535" s="83">
        <v>153.69829296348328</v>
      </c>
      <c r="M535" s="84">
        <v>7983226.1063011372</v>
      </c>
      <c r="N535" s="85" t="s">
        <v>631</v>
      </c>
      <c r="O535" s="25">
        <f t="shared" si="17"/>
        <v>-9.4025841115518149E-3</v>
      </c>
    </row>
    <row r="536" spans="1:15">
      <c r="A536" s="83">
        <v>510.83325050160175</v>
      </c>
      <c r="B536" s="83">
        <v>511.51074818131212</v>
      </c>
      <c r="C536" s="83">
        <v>505.32980920482419</v>
      </c>
      <c r="D536" s="83">
        <v>506.44424379391296</v>
      </c>
      <c r="E536" s="84">
        <v>5152368.3320840271</v>
      </c>
      <c r="F536" s="85" t="s">
        <v>632</v>
      </c>
      <c r="G536" s="25">
        <f t="shared" si="16"/>
        <v>8.6663176874308689E-3</v>
      </c>
      <c r="I536" s="83">
        <v>149.65774042363475</v>
      </c>
      <c r="J536" s="83">
        <v>151.24053594411069</v>
      </c>
      <c r="K536" s="83">
        <v>147.57356247120683</v>
      </c>
      <c r="L536" s="83">
        <v>149.08754079514031</v>
      </c>
      <c r="M536" s="84">
        <v>17923073.620697219</v>
      </c>
      <c r="N536" s="85" t="s">
        <v>632</v>
      </c>
      <c r="O536" s="25">
        <f t="shared" si="17"/>
        <v>3.8245961094625081E-3</v>
      </c>
    </row>
    <row r="537" spans="1:15">
      <c r="A537" s="83">
        <v>510.70560601122156</v>
      </c>
      <c r="B537" s="83">
        <v>515.10934092933883</v>
      </c>
      <c r="C537" s="83">
        <v>507.9465212576186</v>
      </c>
      <c r="D537" s="83">
        <v>508.57492490256732</v>
      </c>
      <c r="E537" s="84">
        <v>6141007.7917591697</v>
      </c>
      <c r="F537" s="85" t="s">
        <v>633</v>
      </c>
      <c r="G537" s="25">
        <f t="shared" si="16"/>
        <v>4.1895127036835067E-3</v>
      </c>
      <c r="I537" s="83">
        <v>150.13946079943179</v>
      </c>
      <c r="J537" s="83">
        <v>151.87955276914758</v>
      </c>
      <c r="K537" s="83">
        <v>148.27156546470863</v>
      </c>
      <c r="L537" s="83">
        <v>149.01872359859789</v>
      </c>
      <c r="M537" s="84">
        <v>7172815.441495683</v>
      </c>
      <c r="N537" s="85" t="s">
        <v>633</v>
      </c>
      <c r="O537" s="25">
        <f t="shared" si="17"/>
        <v>7.5207811056867691E-3</v>
      </c>
    </row>
    <row r="538" spans="1:15">
      <c r="A538" s="83">
        <v>511.88386284550046</v>
      </c>
      <c r="B538" s="83">
        <v>515.44808976919398</v>
      </c>
      <c r="C538" s="83">
        <v>507.06194493928365</v>
      </c>
      <c r="D538" s="83">
        <v>508.16253501056963</v>
      </c>
      <c r="E538" s="84">
        <v>5473118.0947886109</v>
      </c>
      <c r="F538" s="85" t="s">
        <v>634</v>
      </c>
      <c r="G538" s="25">
        <f t="shared" si="16"/>
        <v>7.3231054604476764E-3</v>
      </c>
      <c r="I538" s="83">
        <v>149.87402304133954</v>
      </c>
      <c r="J538" s="83">
        <v>151.46664958989297</v>
      </c>
      <c r="K538" s="83">
        <v>147.46542116235443</v>
      </c>
      <c r="L538" s="83">
        <v>147.52440733081937</v>
      </c>
      <c r="M538" s="84">
        <v>7028261.8923858134</v>
      </c>
      <c r="N538" s="85" t="s">
        <v>634</v>
      </c>
      <c r="O538" s="25">
        <f t="shared" si="17"/>
        <v>1.5926962548313828E-2</v>
      </c>
    </row>
    <row r="539" spans="1:15">
      <c r="A539" s="83">
        <v>506.56206947734086</v>
      </c>
      <c r="B539" s="83">
        <v>510.10665878712979</v>
      </c>
      <c r="C539" s="83">
        <v>504.75619450266942</v>
      </c>
      <c r="D539" s="83">
        <v>509.91028264808335</v>
      </c>
      <c r="E539" s="84">
        <v>6121515.6069215089</v>
      </c>
      <c r="F539" s="85" t="s">
        <v>635</v>
      </c>
      <c r="G539" s="25">
        <f t="shared" si="16"/>
        <v>-6.5662789802050092E-3</v>
      </c>
      <c r="I539" s="83">
        <v>146.92471461809245</v>
      </c>
      <c r="J539" s="83">
        <v>149.83961444306831</v>
      </c>
      <c r="K539" s="83">
        <v>146.11857031573825</v>
      </c>
      <c r="L539" s="83">
        <v>149.79537481671963</v>
      </c>
      <c r="M539" s="84">
        <v>9564114.6845349167</v>
      </c>
      <c r="N539" s="85" t="s">
        <v>635</v>
      </c>
      <c r="O539" s="25">
        <f t="shared" si="17"/>
        <v>-1.9163877403688412E-2</v>
      </c>
    </row>
    <row r="540" spans="1:15">
      <c r="A540" s="83">
        <v>511.962413301119</v>
      </c>
      <c r="B540" s="83">
        <v>514.34838339053374</v>
      </c>
      <c r="C540" s="83">
        <v>507.71086989076281</v>
      </c>
      <c r="D540" s="83">
        <v>508.07416574799879</v>
      </c>
      <c r="E540" s="84">
        <v>6385544.6292444738</v>
      </c>
      <c r="F540" s="85" t="s">
        <v>636</v>
      </c>
      <c r="G540" s="25">
        <f t="shared" si="16"/>
        <v>7.6529133249587655E-3</v>
      </c>
      <c r="I540" s="83">
        <v>151.40766342142803</v>
      </c>
      <c r="J540" s="83">
        <v>153.11826230691133</v>
      </c>
      <c r="K540" s="83">
        <v>147.85866228545405</v>
      </c>
      <c r="L540" s="83">
        <v>147.85866228545405</v>
      </c>
      <c r="M540" s="84">
        <v>10054893.467991684</v>
      </c>
      <c r="N540" s="85" t="s">
        <v>636</v>
      </c>
      <c r="O540" s="25">
        <f t="shared" si="17"/>
        <v>2.400265957446801E-2</v>
      </c>
    </row>
    <row r="541" spans="1:15">
      <c r="A541" s="83">
        <v>508.08398455495109</v>
      </c>
      <c r="B541" s="83">
        <v>509.02659002237414</v>
      </c>
      <c r="C541" s="83">
        <v>501.58393435251264</v>
      </c>
      <c r="D541" s="83">
        <v>502.01596185841487</v>
      </c>
      <c r="E541" s="84">
        <v>7549044.4368556393</v>
      </c>
      <c r="F541" s="85" t="s">
        <v>637</v>
      </c>
      <c r="G541" s="25">
        <f t="shared" si="16"/>
        <v>1.2087310280081587E-2</v>
      </c>
      <c r="I541" s="83">
        <v>146.74775611269763</v>
      </c>
      <c r="J541" s="83">
        <v>148.33055163317357</v>
      </c>
      <c r="K541" s="83">
        <v>145.38124320992648</v>
      </c>
      <c r="L541" s="83">
        <v>146.39875461594673</v>
      </c>
      <c r="M541" s="84">
        <v>9490323.8262155298</v>
      </c>
      <c r="N541" s="85" t="s">
        <v>637</v>
      </c>
      <c r="O541" s="25">
        <f t="shared" si="17"/>
        <v>2.3839102843903337E-3</v>
      </c>
    </row>
    <row r="542" spans="1:15">
      <c r="A542" s="83">
        <v>497.86260651758192</v>
      </c>
      <c r="B542" s="83">
        <v>504.74559019116089</v>
      </c>
      <c r="C542" s="83">
        <v>496.26214098435315</v>
      </c>
      <c r="D542" s="83">
        <v>504.20555580878312</v>
      </c>
      <c r="E542" s="84">
        <v>22049518.953905061</v>
      </c>
      <c r="F542" s="85" t="s">
        <v>638</v>
      </c>
      <c r="G542" s="25">
        <f t="shared" si="16"/>
        <v>-1.2580086074273078E-2</v>
      </c>
      <c r="I542" s="83">
        <v>145.16496059222169</v>
      </c>
      <c r="J542" s="83">
        <v>147.63254863967174</v>
      </c>
      <c r="K542" s="83">
        <v>143.0217964713288</v>
      </c>
      <c r="L542" s="83">
        <v>147.25896957272712</v>
      </c>
      <c r="M542" s="84">
        <v>14431514.067674074</v>
      </c>
      <c r="N542" s="85" t="s">
        <v>638</v>
      </c>
      <c r="O542" s="25">
        <f t="shared" si="17"/>
        <v>-1.4219907871019455E-2</v>
      </c>
    </row>
    <row r="543" spans="1:15">
      <c r="A543" s="83">
        <v>504.45102598259126</v>
      </c>
      <c r="B543" s="83">
        <v>508.35891114961618</v>
      </c>
      <c r="C543" s="83">
        <v>499.87546194280833</v>
      </c>
      <c r="D543" s="83">
        <v>507.52431255866861</v>
      </c>
      <c r="E543" s="84">
        <v>8749082.2884208206</v>
      </c>
      <c r="F543" s="85" t="s">
        <v>639</v>
      </c>
      <c r="G543" s="25">
        <f t="shared" si="16"/>
        <v>-6.0554470003288952E-3</v>
      </c>
      <c r="I543" s="83">
        <v>148.34038266125106</v>
      </c>
      <c r="J543" s="83">
        <v>149.65774042363475</v>
      </c>
      <c r="K543" s="83">
        <v>142.56180266758304</v>
      </c>
      <c r="L543" s="83">
        <v>143.75912357714057</v>
      </c>
      <c r="M543" s="84">
        <v>15638092.861519627</v>
      </c>
      <c r="N543" s="85" t="s">
        <v>639</v>
      </c>
      <c r="O543" s="25">
        <f t="shared" si="17"/>
        <v>3.1867605826437773E-2</v>
      </c>
    </row>
    <row r="544" spans="1:15">
      <c r="A544" s="83">
        <v>502.01596185841487</v>
      </c>
      <c r="B544" s="83">
        <v>508.15261801554783</v>
      </c>
      <c r="C544" s="83">
        <v>498.33390925129345</v>
      </c>
      <c r="D544" s="83">
        <v>505.01069797887374</v>
      </c>
      <c r="E544" s="84">
        <v>11415759.62785084</v>
      </c>
      <c r="F544" s="85" t="s">
        <v>640</v>
      </c>
      <c r="G544" s="25">
        <f t="shared" si="16"/>
        <v>-5.9300449127993593E-3</v>
      </c>
      <c r="I544" s="83">
        <v>141.74376282125507</v>
      </c>
      <c r="J544" s="83">
        <v>143.31672731365353</v>
      </c>
      <c r="K544" s="83">
        <v>135.37325662704134</v>
      </c>
      <c r="L544" s="83">
        <v>140.99660468736579</v>
      </c>
      <c r="M544" s="84">
        <v>27667740.12402555</v>
      </c>
      <c r="N544" s="85" t="s">
        <v>640</v>
      </c>
      <c r="O544" s="25">
        <f t="shared" si="17"/>
        <v>5.29912146144218E-3</v>
      </c>
    </row>
    <row r="545" spans="1:15">
      <c r="A545" s="83">
        <v>506.16931719924793</v>
      </c>
      <c r="B545" s="83">
        <v>514.21092009320125</v>
      </c>
      <c r="C545" s="83">
        <v>501.57411554556035</v>
      </c>
      <c r="D545" s="83">
        <v>512.44353484178282</v>
      </c>
      <c r="E545" s="84">
        <v>11383145.685896903</v>
      </c>
      <c r="F545" s="85" t="s">
        <v>641</v>
      </c>
      <c r="G545" s="25">
        <f t="shared" si="16"/>
        <v>-1.2243724851504045E-2</v>
      </c>
      <c r="I545" s="83">
        <v>146.27586676497808</v>
      </c>
      <c r="J545" s="83">
        <v>149.942840237882</v>
      </c>
      <c r="K545" s="83">
        <v>144.31949217755755</v>
      </c>
      <c r="L545" s="83">
        <v>147.98646565046141</v>
      </c>
      <c r="M545" s="84">
        <v>21855345.982782554</v>
      </c>
      <c r="N545" s="85" t="s">
        <v>641</v>
      </c>
      <c r="O545" s="25">
        <f t="shared" si="17"/>
        <v>-1.1559157642994866E-2</v>
      </c>
    </row>
    <row r="546" spans="1:15">
      <c r="A546" s="83">
        <v>519.91564693250132</v>
      </c>
      <c r="B546" s="83">
        <v>521.26082348496971</v>
      </c>
      <c r="C546" s="83">
        <v>510.70560601122156</v>
      </c>
      <c r="D546" s="83">
        <v>515.38917692747998</v>
      </c>
      <c r="E546" s="84">
        <v>7443144.6055371407</v>
      </c>
      <c r="F546" s="85" t="s">
        <v>642</v>
      </c>
      <c r="G546" s="25">
        <f t="shared" si="16"/>
        <v>8.782625261954724E-3</v>
      </c>
      <c r="I546" s="83">
        <v>152.53823165033941</v>
      </c>
      <c r="J546" s="83">
        <v>153.83592735656813</v>
      </c>
      <c r="K546" s="83">
        <v>145.99076695073089</v>
      </c>
      <c r="L546" s="83">
        <v>148.07494490315884</v>
      </c>
      <c r="M546" s="84">
        <v>12863850.962806372</v>
      </c>
      <c r="N546" s="85" t="s">
        <v>642</v>
      </c>
      <c r="O546" s="25">
        <f t="shared" si="17"/>
        <v>3.0142079405125255E-2</v>
      </c>
    </row>
    <row r="547" spans="1:15">
      <c r="A547" s="83">
        <v>517.12710575804135</v>
      </c>
      <c r="B547" s="83">
        <v>523.76461925781223</v>
      </c>
      <c r="C547" s="83">
        <v>514.72149805472202</v>
      </c>
      <c r="D547" s="83">
        <v>519.60144511002704</v>
      </c>
      <c r="E547" s="84">
        <v>7362326.2328108912</v>
      </c>
      <c r="F547" s="85" t="s">
        <v>643</v>
      </c>
      <c r="G547" s="25">
        <f t="shared" si="16"/>
        <v>-4.7619947466884804E-3</v>
      </c>
      <c r="I547" s="83">
        <v>148.38953780163851</v>
      </c>
      <c r="J547" s="83">
        <v>154.49952175179874</v>
      </c>
      <c r="K547" s="83">
        <v>147.19860706033134</v>
      </c>
      <c r="L547" s="83">
        <v>154.49952175179874</v>
      </c>
      <c r="M547" s="84">
        <v>12533018.828632435</v>
      </c>
      <c r="N547" s="85" t="s">
        <v>643</v>
      </c>
      <c r="O547" s="25">
        <f t="shared" si="17"/>
        <v>-3.9546944099774217E-2</v>
      </c>
    </row>
    <row r="548" spans="1:15">
      <c r="A548" s="83">
        <v>526.68080492265244</v>
      </c>
      <c r="B548" s="83">
        <v>528.04571727709504</v>
      </c>
      <c r="C548" s="83">
        <v>517.38239473880174</v>
      </c>
      <c r="D548" s="83">
        <v>520.64223864697328</v>
      </c>
      <c r="E548" s="84">
        <v>6336559.0445053661</v>
      </c>
      <c r="F548" s="85" t="s">
        <v>644</v>
      </c>
      <c r="G548" s="25">
        <f t="shared" si="16"/>
        <v>1.1598302687411577E-2</v>
      </c>
      <c r="I548" s="83">
        <v>158.8300896199332</v>
      </c>
      <c r="J548" s="83">
        <v>159.73975464794339</v>
      </c>
      <c r="K548" s="83">
        <v>154.39629595698509</v>
      </c>
      <c r="L548" s="83">
        <v>155.38922979281159</v>
      </c>
      <c r="M548" s="84">
        <v>7263732.6876834463</v>
      </c>
      <c r="N548" s="85" t="s">
        <v>644</v>
      </c>
      <c r="O548" s="25">
        <f t="shared" si="17"/>
        <v>2.2143489813994721E-2</v>
      </c>
    </row>
    <row r="549" spans="1:15">
      <c r="A549" s="83">
        <v>520.83861478601978</v>
      </c>
      <c r="B549" s="83">
        <v>528.52664244161986</v>
      </c>
      <c r="C549" s="83">
        <v>516.62634660347283</v>
      </c>
      <c r="D549" s="83">
        <v>523.4013234005763</v>
      </c>
      <c r="E549" s="84">
        <v>10670782.153956339</v>
      </c>
      <c r="F549" s="85" t="s">
        <v>645</v>
      </c>
      <c r="G549" s="25">
        <f t="shared" si="16"/>
        <v>-4.8962593329081594E-3</v>
      </c>
      <c r="I549" s="83">
        <v>154.80919913623967</v>
      </c>
      <c r="J549" s="83">
        <v>157.06050456598493</v>
      </c>
      <c r="K549" s="83">
        <v>150.92594304563102</v>
      </c>
      <c r="L549" s="83">
        <v>156.52962904980046</v>
      </c>
      <c r="M549" s="84">
        <v>13398290.490248071</v>
      </c>
      <c r="N549" s="85" t="s">
        <v>645</v>
      </c>
      <c r="O549" s="25">
        <f t="shared" si="17"/>
        <v>-1.0991081522421786E-2</v>
      </c>
    </row>
    <row r="550" spans="1:15">
      <c r="A550" s="83">
        <v>527.19138288417332</v>
      </c>
      <c r="B550" s="83">
        <v>539.33724708419788</v>
      </c>
      <c r="C550" s="83">
        <v>523.58886261336568</v>
      </c>
      <c r="D550" s="83">
        <v>538.2669971263947</v>
      </c>
      <c r="E550" s="84">
        <v>7424525.2354967985</v>
      </c>
      <c r="F550" s="85" t="s">
        <v>646</v>
      </c>
      <c r="G550" s="25">
        <f t="shared" si="16"/>
        <v>-2.0576431959139052E-2</v>
      </c>
      <c r="I550" s="83">
        <v>159.28231691149776</v>
      </c>
      <c r="J550" s="83">
        <v>164.2961412310178</v>
      </c>
      <c r="K550" s="83">
        <v>158.40735541260111</v>
      </c>
      <c r="L550" s="83">
        <v>164.12901375370046</v>
      </c>
      <c r="M550" s="84">
        <v>8220747.5518299658</v>
      </c>
      <c r="N550" s="85" t="s">
        <v>646</v>
      </c>
      <c r="O550" s="25">
        <f t="shared" si="17"/>
        <v>-2.9529799341119989E-2</v>
      </c>
    </row>
    <row r="551" spans="1:15">
      <c r="A551" s="83">
        <v>536.43088022631014</v>
      </c>
      <c r="B551" s="83">
        <v>536.9807334156402</v>
      </c>
      <c r="C551" s="83">
        <v>525.87566275256199</v>
      </c>
      <c r="D551" s="83">
        <v>528.66420392702184</v>
      </c>
      <c r="E551" s="84">
        <v>7463280.4530958105</v>
      </c>
      <c r="F551" s="85" t="s">
        <v>647</v>
      </c>
      <c r="G551" s="25">
        <f t="shared" si="16"/>
        <v>1.4691133315998917E-2</v>
      </c>
      <c r="I551" s="83">
        <v>163.25405225480384</v>
      </c>
      <c r="J551" s="83">
        <v>163.34253150750126</v>
      </c>
      <c r="K551" s="83">
        <v>158.09276251412143</v>
      </c>
      <c r="L551" s="83">
        <v>160.3538989719442</v>
      </c>
      <c r="M551" s="84">
        <v>13064031.451000277</v>
      </c>
      <c r="N551" s="85" t="s">
        <v>647</v>
      </c>
      <c r="O551" s="25">
        <f t="shared" si="17"/>
        <v>1.8085954263993509E-2</v>
      </c>
    </row>
    <row r="552" spans="1:15">
      <c r="A552" s="83">
        <v>528.22235761416732</v>
      </c>
      <c r="B552" s="83">
        <v>539.91655669438501</v>
      </c>
      <c r="C552" s="83">
        <v>527.8590617569314</v>
      </c>
      <c r="D552" s="83">
        <v>538.88558196439112</v>
      </c>
      <c r="E552" s="84">
        <v>5623240.2030200129</v>
      </c>
      <c r="F552" s="85" t="s">
        <v>648</v>
      </c>
      <c r="G552" s="25">
        <f t="shared" si="16"/>
        <v>-1.9787548056775406E-2</v>
      </c>
      <c r="I552" s="83">
        <v>161.97601860473009</v>
      </c>
      <c r="J552" s="83">
        <v>171.90535696299531</v>
      </c>
      <c r="K552" s="83">
        <v>161.79906009933529</v>
      </c>
      <c r="L552" s="83">
        <v>170.0767857405821</v>
      </c>
      <c r="M552" s="84">
        <v>7564631.0247325627</v>
      </c>
      <c r="N552" s="85" t="s">
        <v>648</v>
      </c>
      <c r="O552" s="25">
        <f t="shared" si="17"/>
        <v>-4.7630057803468295E-2</v>
      </c>
    </row>
    <row r="553" spans="1:15">
      <c r="A553" s="83">
        <v>536.84327011830771</v>
      </c>
      <c r="B553" s="83">
        <v>541.35501191290052</v>
      </c>
      <c r="C553" s="83">
        <v>534.38856838022673</v>
      </c>
      <c r="D553" s="83">
        <v>538.08043979430045</v>
      </c>
      <c r="E553" s="84">
        <v>4257954.1692797067</v>
      </c>
      <c r="F553" s="85" t="s">
        <v>649</v>
      </c>
      <c r="G553" s="25">
        <f t="shared" si="16"/>
        <v>-2.2992281162751427E-3</v>
      </c>
      <c r="I553" s="83">
        <v>169.55574125247512</v>
      </c>
      <c r="J553" s="83">
        <v>170.93208518332375</v>
      </c>
      <c r="K553" s="83">
        <v>166.26726236055461</v>
      </c>
      <c r="L553" s="83">
        <v>168.09091806892906</v>
      </c>
      <c r="M553" s="84">
        <v>7033969.332091786</v>
      </c>
      <c r="N553" s="85" t="s">
        <v>649</v>
      </c>
      <c r="O553" s="25">
        <f t="shared" si="17"/>
        <v>8.7144695285998885E-3</v>
      </c>
    </row>
    <row r="554" spans="1:15">
      <c r="A554" s="83">
        <v>536.50943068192862</v>
      </c>
      <c r="B554" s="83">
        <v>539.80854981790947</v>
      </c>
      <c r="C554" s="83">
        <v>532.34468552503097</v>
      </c>
      <c r="D554" s="83">
        <v>539.22924020772234</v>
      </c>
      <c r="E554" s="84">
        <v>5592832.2317206748</v>
      </c>
      <c r="F554" s="85" t="s">
        <v>650</v>
      </c>
      <c r="G554" s="25">
        <f t="shared" si="16"/>
        <v>-5.0438836082887795E-3</v>
      </c>
      <c r="I554" s="83">
        <v>165.69214721802143</v>
      </c>
      <c r="J554" s="83">
        <v>167.71733900198441</v>
      </c>
      <c r="K554" s="83">
        <v>161.66240880905815</v>
      </c>
      <c r="L554" s="83">
        <v>166.4294743238332</v>
      </c>
      <c r="M554" s="84">
        <v>8459018.6646308154</v>
      </c>
      <c r="N554" s="85" t="s">
        <v>650</v>
      </c>
      <c r="O554" s="25">
        <f t="shared" si="17"/>
        <v>-4.4302675881623399E-3</v>
      </c>
    </row>
    <row r="555" spans="1:15">
      <c r="A555" s="83">
        <v>539.18996497991304</v>
      </c>
      <c r="B555" s="83">
        <v>544.46266431331105</v>
      </c>
      <c r="C555" s="83">
        <v>538.57462034821094</v>
      </c>
      <c r="D555" s="83">
        <v>543.57897168760189</v>
      </c>
      <c r="E555" s="84">
        <v>4860320.6307773711</v>
      </c>
      <c r="F555" s="85" t="s">
        <v>651</v>
      </c>
      <c r="G555" s="25">
        <f t="shared" si="16"/>
        <v>-8.0742761149547038E-3</v>
      </c>
      <c r="I555" s="83">
        <v>167.08815320502507</v>
      </c>
      <c r="J555" s="83">
        <v>171.22701602564845</v>
      </c>
      <c r="K555" s="83">
        <v>161.87770832395518</v>
      </c>
      <c r="L555" s="83">
        <v>170.63715434099905</v>
      </c>
      <c r="M555" s="84">
        <v>10821912.943530094</v>
      </c>
      <c r="N555" s="85" t="s">
        <v>651</v>
      </c>
      <c r="O555" s="25">
        <f t="shared" si="17"/>
        <v>-2.0798525090741427E-2</v>
      </c>
    </row>
    <row r="556" spans="1:15">
      <c r="A556" s="83">
        <v>541.75267359446968</v>
      </c>
      <c r="B556" s="83">
        <v>551.03144616441568</v>
      </c>
      <c r="C556" s="83">
        <v>541.27646145728193</v>
      </c>
      <c r="D556" s="83">
        <v>550.93325809489249</v>
      </c>
      <c r="E556" s="84">
        <v>6262159.9852767801</v>
      </c>
      <c r="F556" s="85" t="s">
        <v>652</v>
      </c>
      <c r="G556" s="25">
        <f t="shared" si="16"/>
        <v>-1.6663696310817988E-2</v>
      </c>
      <c r="I556" s="83">
        <v>164.97448216836463</v>
      </c>
      <c r="J556" s="83">
        <v>173.88630912060958</v>
      </c>
      <c r="K556" s="83">
        <v>164.7188754383499</v>
      </c>
      <c r="L556" s="83">
        <v>173.14406650075907</v>
      </c>
      <c r="M556" s="84">
        <v>9880829.2718047015</v>
      </c>
      <c r="N556" s="85" t="s">
        <v>652</v>
      </c>
      <c r="O556" s="25">
        <f t="shared" si="17"/>
        <v>-4.7183738360208949E-2</v>
      </c>
    </row>
    <row r="557" spans="1:15">
      <c r="A557" s="83">
        <v>551.12963423393887</v>
      </c>
      <c r="B557" s="83">
        <v>552.29267191744168</v>
      </c>
      <c r="C557" s="83">
        <v>548.10544169262323</v>
      </c>
      <c r="D557" s="83">
        <v>552.19988419174217</v>
      </c>
      <c r="E557" s="84">
        <v>4528841.4586331742</v>
      </c>
      <c r="F557" s="85" t="s">
        <v>653</v>
      </c>
      <c r="G557" s="25">
        <f t="shared" si="16"/>
        <v>-1.9381567951065604E-3</v>
      </c>
      <c r="I557" s="83">
        <v>173.02609416382919</v>
      </c>
      <c r="J557" s="83">
        <v>177.22394315291754</v>
      </c>
      <c r="K557" s="83">
        <v>171.48262275566321</v>
      </c>
      <c r="L557" s="83">
        <v>176.77171586135299</v>
      </c>
      <c r="M557" s="84">
        <v>8887203.7910305988</v>
      </c>
      <c r="N557" s="85" t="s">
        <v>653</v>
      </c>
      <c r="O557" s="25">
        <f t="shared" si="17"/>
        <v>-2.1189032868027313E-2</v>
      </c>
    </row>
    <row r="558" spans="1:15">
      <c r="A558" s="83">
        <v>553.45669148163961</v>
      </c>
      <c r="B558" s="83">
        <v>553.70216165544775</v>
      </c>
      <c r="C558" s="83">
        <v>550.3745679793052</v>
      </c>
      <c r="D558" s="83">
        <v>550.8547076392739</v>
      </c>
      <c r="E558" s="84">
        <v>3928747.1672788206</v>
      </c>
      <c r="F558" s="85" t="s">
        <v>654</v>
      </c>
      <c r="G558" s="25">
        <f t="shared" si="16"/>
        <v>4.7235392677620336E-3</v>
      </c>
      <c r="I558" s="83">
        <v>178.45282166260384</v>
      </c>
      <c r="J558" s="83">
        <v>178.61011811184369</v>
      </c>
      <c r="K558" s="83">
        <v>172.73116332150445</v>
      </c>
      <c r="L558" s="83">
        <v>175.56249940782169</v>
      </c>
      <c r="M558" s="84">
        <v>8837834.5901520774</v>
      </c>
      <c r="N558" s="85" t="s">
        <v>654</v>
      </c>
      <c r="O558" s="25">
        <f t="shared" si="17"/>
        <v>1.6463209765931186E-2</v>
      </c>
    </row>
    <row r="559" spans="1:15">
      <c r="A559" s="83">
        <v>552.12133373612357</v>
      </c>
      <c r="B559" s="83">
        <v>552.12133373612357</v>
      </c>
      <c r="C559" s="83">
        <v>549.35243017556832</v>
      </c>
      <c r="D559" s="83">
        <v>551.62057458155505</v>
      </c>
      <c r="E559" s="84">
        <v>3915857.6175998701</v>
      </c>
      <c r="F559" s="85" t="s">
        <v>655</v>
      </c>
      <c r="G559" s="25">
        <f t="shared" si="16"/>
        <v>9.077963688144397E-4</v>
      </c>
      <c r="I559" s="83">
        <v>176.7618848332755</v>
      </c>
      <c r="J559" s="83">
        <v>179.16065568418313</v>
      </c>
      <c r="K559" s="83">
        <v>173.11457341652661</v>
      </c>
      <c r="L559" s="83">
        <v>173.76342126964096</v>
      </c>
      <c r="M559" s="84">
        <v>11626959.978043338</v>
      </c>
      <c r="N559" s="85" t="s">
        <v>655</v>
      </c>
      <c r="O559" s="25">
        <f t="shared" si="17"/>
        <v>1.7256011315417208E-2</v>
      </c>
    </row>
    <row r="560" spans="1:15">
      <c r="A560" s="83">
        <v>550.53068700984727</v>
      </c>
      <c r="B560" s="83">
        <v>551.67948742326905</v>
      </c>
      <c r="C560" s="83">
        <v>549.92192097880309</v>
      </c>
      <c r="D560" s="83">
        <v>550.736881955846</v>
      </c>
      <c r="E560" s="84">
        <v>3442953.9315872807</v>
      </c>
      <c r="F560" s="85" t="s">
        <v>656</v>
      </c>
      <c r="G560" s="25">
        <f t="shared" si="16"/>
        <v>-3.7439828846486112E-4</v>
      </c>
      <c r="I560" s="83">
        <v>171.21718499757097</v>
      </c>
      <c r="J560" s="83">
        <v>172.07248444031262</v>
      </c>
      <c r="K560" s="83">
        <v>169.8927488949715</v>
      </c>
      <c r="L560" s="83">
        <v>171.30566425026839</v>
      </c>
      <c r="M560" s="84">
        <v>7385647.7092409851</v>
      </c>
      <c r="N560" s="85" t="s">
        <v>656</v>
      </c>
      <c r="O560" s="25">
        <f t="shared" si="17"/>
        <v>-5.1649928263997058E-4</v>
      </c>
    </row>
    <row r="561" spans="1:15">
      <c r="A561" s="83">
        <v>550.51104939594245</v>
      </c>
      <c r="B561" s="83">
        <v>550.7172443419413</v>
      </c>
      <c r="C561" s="83">
        <v>544.64431224192901</v>
      </c>
      <c r="D561" s="83">
        <v>545.79802205882709</v>
      </c>
      <c r="E561" s="84">
        <v>3451028.232302729</v>
      </c>
      <c r="F561" s="85" t="s">
        <v>657</v>
      </c>
      <c r="G561" s="25">
        <f t="shared" si="16"/>
        <v>8.6351125263099959E-3</v>
      </c>
      <c r="I561" s="83">
        <v>170.92225415524626</v>
      </c>
      <c r="J561" s="83">
        <v>171.42855210123702</v>
      </c>
      <c r="K561" s="83">
        <v>169.19199321360796</v>
      </c>
      <c r="L561" s="83">
        <v>170.0767857405821</v>
      </c>
      <c r="M561" s="84">
        <v>6532046.2411285788</v>
      </c>
      <c r="N561" s="85" t="s">
        <v>657</v>
      </c>
      <c r="O561" s="25">
        <f t="shared" si="17"/>
        <v>4.9710982658959235E-3</v>
      </c>
    </row>
    <row r="562" spans="1:15">
      <c r="A562" s="83">
        <v>544.75722852188073</v>
      </c>
      <c r="B562" s="83">
        <v>545.84220669011245</v>
      </c>
      <c r="C562" s="83">
        <v>540.41731584895354</v>
      </c>
      <c r="D562" s="83">
        <v>541.01626307304537</v>
      </c>
      <c r="E562" s="84">
        <v>3645537.6069419757</v>
      </c>
      <c r="F562" s="85" t="s">
        <v>658</v>
      </c>
      <c r="G562" s="25">
        <f t="shared" si="16"/>
        <v>6.9147005444645249E-3</v>
      </c>
      <c r="I562" s="83">
        <v>169.30996555053787</v>
      </c>
      <c r="J562" s="83">
        <v>171.93485004722774</v>
      </c>
      <c r="K562" s="83">
        <v>167.82548031083684</v>
      </c>
      <c r="L562" s="83">
        <v>171.93485004722774</v>
      </c>
      <c r="M562" s="84">
        <v>7582971.9346128674</v>
      </c>
      <c r="N562" s="85" t="s">
        <v>658</v>
      </c>
      <c r="O562" s="25">
        <f t="shared" si="17"/>
        <v>-1.5266739093144022E-2</v>
      </c>
    </row>
    <row r="563" spans="1:15">
      <c r="A563" s="83">
        <v>546.56388900110835</v>
      </c>
      <c r="B563" s="83">
        <v>547.0204635243914</v>
      </c>
      <c r="C563" s="83">
        <v>543.95208635179017</v>
      </c>
      <c r="D563" s="83">
        <v>544.06009322826571</v>
      </c>
      <c r="E563" s="84">
        <v>2803724.5394140785</v>
      </c>
      <c r="F563" s="85" t="s">
        <v>659</v>
      </c>
      <c r="G563" s="25">
        <f t="shared" si="16"/>
        <v>4.6020573903629014E-3</v>
      </c>
      <c r="I563" s="83">
        <v>174.19598650505054</v>
      </c>
      <c r="J563" s="83">
        <v>176.09337492400616</v>
      </c>
      <c r="K563" s="83">
        <v>173.46849042731623</v>
      </c>
      <c r="L563" s="83">
        <v>174.61872071238261</v>
      </c>
      <c r="M563" s="84">
        <v>6640979.9143475648</v>
      </c>
      <c r="N563" s="85" t="s">
        <v>659</v>
      </c>
      <c r="O563" s="25">
        <f t="shared" si="17"/>
        <v>-2.4208985474607481E-3</v>
      </c>
    </row>
    <row r="564" spans="1:15">
      <c r="A564" s="83">
        <v>546.07294865349206</v>
      </c>
      <c r="B564" s="83">
        <v>546.68711502835993</v>
      </c>
      <c r="C564" s="83">
        <v>544.19755652559832</v>
      </c>
      <c r="D564" s="83">
        <v>545.37581335987716</v>
      </c>
      <c r="E564" s="84">
        <v>3582463.7525514048</v>
      </c>
      <c r="F564" s="85" t="s">
        <v>660</v>
      </c>
      <c r="G564" s="25">
        <f t="shared" si="16"/>
        <v>1.2782658793026869E-3</v>
      </c>
      <c r="I564" s="83">
        <v>175.89675436245633</v>
      </c>
      <c r="J564" s="83">
        <v>176.94867436674784</v>
      </c>
      <c r="K564" s="83">
        <v>171.96434313146023</v>
      </c>
      <c r="L564" s="83">
        <v>173.02609416382919</v>
      </c>
      <c r="M564" s="84">
        <v>7756971.0307925101</v>
      </c>
      <c r="N564" s="85" t="s">
        <v>660</v>
      </c>
      <c r="O564" s="25">
        <f t="shared" si="17"/>
        <v>1.6590909090909101E-2</v>
      </c>
    </row>
    <row r="565" spans="1:15">
      <c r="A565" s="83">
        <v>542.19451990732421</v>
      </c>
      <c r="B565" s="83">
        <v>549.06768477395099</v>
      </c>
      <c r="C565" s="83">
        <v>541.79685822575505</v>
      </c>
      <c r="D565" s="83">
        <v>547.98761600919534</v>
      </c>
      <c r="E565" s="84">
        <v>10349071.989438603</v>
      </c>
      <c r="F565" s="85" t="s">
        <v>661</v>
      </c>
      <c r="G565" s="25">
        <f t="shared" si="16"/>
        <v>-1.0571582153735992E-2</v>
      </c>
      <c r="I565" s="83">
        <v>171.5121158398957</v>
      </c>
      <c r="J565" s="83">
        <v>174.39260706660033</v>
      </c>
      <c r="K565" s="83">
        <v>170.25374424597692</v>
      </c>
      <c r="L565" s="83">
        <v>172.04299135608017</v>
      </c>
      <c r="M565" s="84">
        <v>10163023.562995071</v>
      </c>
      <c r="N565" s="85" t="s">
        <v>661</v>
      </c>
      <c r="O565" s="25">
        <f t="shared" si="17"/>
        <v>-3.0857142857142472E-3</v>
      </c>
    </row>
    <row r="566" spans="1:15">
      <c r="A566" s="83">
        <v>547.51631327548375</v>
      </c>
      <c r="B566" s="83">
        <v>547.5457696963407</v>
      </c>
      <c r="C566" s="83">
        <v>544.14846249083666</v>
      </c>
      <c r="D566" s="83">
        <v>547.19229264605701</v>
      </c>
      <c r="E566" s="84">
        <v>3672848.4606232909</v>
      </c>
      <c r="F566" s="85" t="s">
        <v>662</v>
      </c>
      <c r="G566" s="25">
        <f t="shared" si="16"/>
        <v>5.9215130363021728E-4</v>
      </c>
      <c r="I566" s="83">
        <v>169.43776891554523</v>
      </c>
      <c r="J566" s="83">
        <v>172.68200818111703</v>
      </c>
      <c r="K566" s="83">
        <v>168.67094872550098</v>
      </c>
      <c r="L566" s="83">
        <v>170.0767857405821</v>
      </c>
      <c r="M566" s="84">
        <v>7157855.6632465757</v>
      </c>
      <c r="N566" s="85" t="s">
        <v>662</v>
      </c>
      <c r="O566" s="25">
        <f t="shared" si="17"/>
        <v>-3.7572254335259681E-3</v>
      </c>
    </row>
    <row r="567" spans="1:15">
      <c r="A567" s="83">
        <v>545.55255188501894</v>
      </c>
      <c r="B567" s="83">
        <v>545.6605587614946</v>
      </c>
      <c r="C567" s="83">
        <v>540.43695346285824</v>
      </c>
      <c r="D567" s="83">
        <v>542.33198320465681</v>
      </c>
      <c r="E567" s="84">
        <v>3487372.7700589728</v>
      </c>
      <c r="F567" s="85" t="s">
        <v>663</v>
      </c>
      <c r="G567" s="25">
        <f t="shared" si="16"/>
        <v>5.9383712930438648E-3</v>
      </c>
      <c r="I567" s="83">
        <v>168.7594279781984</v>
      </c>
      <c r="J567" s="83">
        <v>168.98554162398065</v>
      </c>
      <c r="K567" s="83">
        <v>165.67248516186646</v>
      </c>
      <c r="L567" s="83">
        <v>166.1345434815085</v>
      </c>
      <c r="M567" s="84">
        <v>8001858.9490268556</v>
      </c>
      <c r="N567" s="85" t="s">
        <v>663</v>
      </c>
      <c r="O567" s="25">
        <f t="shared" si="17"/>
        <v>1.5799751464583567E-2</v>
      </c>
    </row>
    <row r="568" spans="1:15">
      <c r="A568" s="83">
        <v>543.32368270684151</v>
      </c>
      <c r="B568" s="83">
        <v>543.79498544055309</v>
      </c>
      <c r="C568" s="83">
        <v>539.27833424248399</v>
      </c>
      <c r="D568" s="83">
        <v>539.73981816924334</v>
      </c>
      <c r="E568" s="84">
        <v>4258575.4260199219</v>
      </c>
      <c r="F568" s="85" t="s">
        <v>664</v>
      </c>
      <c r="G568" s="25">
        <f t="shared" si="16"/>
        <v>6.6399854466072661E-3</v>
      </c>
      <c r="I568" s="83">
        <v>165.05313039298454</v>
      </c>
      <c r="J568" s="83">
        <v>167.52071844043462</v>
      </c>
      <c r="K568" s="83">
        <v>163.53915206905106</v>
      </c>
      <c r="L568" s="83">
        <v>167.52071844043462</v>
      </c>
      <c r="M568" s="84">
        <v>6893462.1553131156</v>
      </c>
      <c r="N568" s="85" t="s">
        <v>664</v>
      </c>
      <c r="O568" s="25">
        <f t="shared" si="17"/>
        <v>-1.473004694835689E-2</v>
      </c>
    </row>
    <row r="569" spans="1:15">
      <c r="A569" s="83">
        <v>539.73981816924334</v>
      </c>
      <c r="B569" s="83">
        <v>541.95877035239891</v>
      </c>
      <c r="C569" s="83">
        <v>533.14157989728164</v>
      </c>
      <c r="D569" s="83">
        <v>535.11516009469869</v>
      </c>
      <c r="E569" s="84">
        <v>7968419.2162961727</v>
      </c>
      <c r="F569" s="85" t="s">
        <v>665</v>
      </c>
      <c r="G569" s="25">
        <f t="shared" si="16"/>
        <v>8.6423604102829898E-3</v>
      </c>
      <c r="I569" s="83">
        <v>165.75113338648637</v>
      </c>
      <c r="J569" s="83">
        <v>167.02916703656012</v>
      </c>
      <c r="K569" s="83">
        <v>160.4423782246416</v>
      </c>
      <c r="L569" s="83">
        <v>160.4423782246416</v>
      </c>
      <c r="M569" s="84">
        <v>8392395.9274320826</v>
      </c>
      <c r="N569" s="85" t="s">
        <v>665</v>
      </c>
      <c r="O569" s="25">
        <f t="shared" si="17"/>
        <v>3.3088235294117752E-2</v>
      </c>
    </row>
    <row r="570" spans="1:15">
      <c r="A570" s="83">
        <v>543.3040450929368</v>
      </c>
      <c r="B570" s="83">
        <v>550.72706314889365</v>
      </c>
      <c r="C570" s="83">
        <v>542.69527906189273</v>
      </c>
      <c r="D570" s="83">
        <v>548.4981939707161</v>
      </c>
      <c r="E570" s="84">
        <v>6358534.2193965409</v>
      </c>
      <c r="F570" s="85" t="s">
        <v>666</v>
      </c>
      <c r="G570" s="25">
        <f t="shared" si="16"/>
        <v>-9.4697647774872884E-3</v>
      </c>
      <c r="I570" s="83">
        <v>167.18646348579995</v>
      </c>
      <c r="J570" s="83">
        <v>170.0767857405821</v>
      </c>
      <c r="K570" s="83">
        <v>166.27178463347028</v>
      </c>
      <c r="L570" s="83">
        <v>167.53054946851211</v>
      </c>
      <c r="M570" s="84">
        <v>8872388.4534227755</v>
      </c>
      <c r="N570" s="85" t="s">
        <v>666</v>
      </c>
      <c r="O570" s="25">
        <f t="shared" si="17"/>
        <v>-2.0538700780470265E-3</v>
      </c>
    </row>
    <row r="571" spans="1:15">
      <c r="A571" s="83">
        <v>546.2202307577769</v>
      </c>
      <c r="B571" s="83">
        <v>547.67341418672095</v>
      </c>
      <c r="C571" s="83">
        <v>542.37125843246599</v>
      </c>
      <c r="D571" s="83">
        <v>545.30708171121091</v>
      </c>
      <c r="E571" s="84">
        <v>4375824.9050645754</v>
      </c>
      <c r="F571" s="85" t="s">
        <v>667</v>
      </c>
      <c r="G571" s="25">
        <f t="shared" si="16"/>
        <v>1.6745593028069106E-3</v>
      </c>
      <c r="I571" s="83">
        <v>167.50105638427965</v>
      </c>
      <c r="J571" s="83">
        <v>168.59230050088107</v>
      </c>
      <c r="K571" s="83">
        <v>161.32717075161574</v>
      </c>
      <c r="L571" s="83">
        <v>161.99568066088509</v>
      </c>
      <c r="M571" s="84">
        <v>15239205.789985487</v>
      </c>
      <c r="N571" s="85" t="s">
        <v>667</v>
      </c>
      <c r="O571" s="25">
        <f t="shared" si="17"/>
        <v>3.3984706881903248E-2</v>
      </c>
    </row>
    <row r="572" spans="1:15">
      <c r="A572" s="83">
        <v>543.3825955485554</v>
      </c>
      <c r="B572" s="83">
        <v>545.43472620159105</v>
      </c>
      <c r="C572" s="83">
        <v>540.98690484025792</v>
      </c>
      <c r="D572" s="83">
        <v>545.11070557216431</v>
      </c>
      <c r="E572" s="84">
        <v>4251505.3206255417</v>
      </c>
      <c r="F572" s="85" t="s">
        <v>668</v>
      </c>
      <c r="G572" s="25">
        <f t="shared" ref="G572:G635" si="18">A572/D572-1</f>
        <v>-3.1702001188823603E-3</v>
      </c>
      <c r="I572" s="83">
        <v>159.28231691149776</v>
      </c>
      <c r="J572" s="83">
        <v>161.25343804103457</v>
      </c>
      <c r="K572" s="83">
        <v>157.3062802679222</v>
      </c>
      <c r="L572" s="83">
        <v>161.25343804103457</v>
      </c>
      <c r="M572" s="84">
        <v>10036166.026817799</v>
      </c>
      <c r="N572" s="85" t="s">
        <v>668</v>
      </c>
      <c r="O572" s="25">
        <f t="shared" ref="O572:O635" si="19">I572/L572-1</f>
        <v>-1.2223746380125022E-2</v>
      </c>
    </row>
    <row r="573" spans="1:15">
      <c r="A573" s="83">
        <v>545.77838444492249</v>
      </c>
      <c r="B573" s="83">
        <v>546.56388900110835</v>
      </c>
      <c r="C573" s="83">
        <v>539.26851543553175</v>
      </c>
      <c r="D573" s="83">
        <v>542.2927079768474</v>
      </c>
      <c r="E573" s="84">
        <v>4241527.5299962219</v>
      </c>
      <c r="F573" s="85" t="s">
        <v>669</v>
      </c>
      <c r="G573" s="25">
        <f t="shared" si="18"/>
        <v>6.4276661234838883E-3</v>
      </c>
      <c r="I573" s="83">
        <v>161.22886047084083</v>
      </c>
      <c r="J573" s="83">
        <v>163.02302309498279</v>
      </c>
      <c r="K573" s="83">
        <v>154.10136511466038</v>
      </c>
      <c r="L573" s="83">
        <v>160.23592663501432</v>
      </c>
      <c r="M573" s="84">
        <v>20668540.298978776</v>
      </c>
      <c r="N573" s="85" t="s">
        <v>669</v>
      </c>
      <c r="O573" s="25">
        <f t="shared" si="19"/>
        <v>6.1966991839990104E-3</v>
      </c>
    </row>
    <row r="574" spans="1:15">
      <c r="A574" s="83">
        <v>541.2420956329488</v>
      </c>
      <c r="B574" s="83">
        <v>541.399196544186</v>
      </c>
      <c r="C574" s="83">
        <v>536.92182057392631</v>
      </c>
      <c r="D574" s="83">
        <v>537.0200086434495</v>
      </c>
      <c r="E574" s="84">
        <v>7757953.7279701289</v>
      </c>
      <c r="F574" s="85" t="s">
        <v>670</v>
      </c>
      <c r="G574" s="25">
        <f t="shared" si="18"/>
        <v>7.8620664436035437E-3</v>
      </c>
      <c r="I574" s="83">
        <v>155.60551241051638</v>
      </c>
      <c r="J574" s="83">
        <v>169.60489639286257</v>
      </c>
      <c r="K574" s="83">
        <v>150.08047463096685</v>
      </c>
      <c r="L574" s="83">
        <v>166.04606422881108</v>
      </c>
      <c r="M574" s="84">
        <v>42926936.702202357</v>
      </c>
      <c r="N574" s="85" t="s">
        <v>670</v>
      </c>
      <c r="O574" s="25">
        <f t="shared" si="19"/>
        <v>-6.2877442273534645E-2</v>
      </c>
    </row>
    <row r="575" spans="1:15">
      <c r="A575" s="83">
        <v>548.88112744185673</v>
      </c>
      <c r="B575" s="83">
        <v>551.48311128422256</v>
      </c>
      <c r="C575" s="83">
        <v>547.90906555357674</v>
      </c>
      <c r="D575" s="83">
        <v>550.5994186585134</v>
      </c>
      <c r="E575" s="84">
        <v>3678798.2669779393</v>
      </c>
      <c r="F575" s="85" t="s">
        <v>671</v>
      </c>
      <c r="G575" s="25">
        <f t="shared" si="18"/>
        <v>-3.1207646765104569E-3</v>
      </c>
      <c r="I575" s="83">
        <v>180.49767550272182</v>
      </c>
      <c r="J575" s="83">
        <v>185.90474094534147</v>
      </c>
      <c r="K575" s="83">
        <v>178.796907645316</v>
      </c>
      <c r="L575" s="83">
        <v>185.45251365377692</v>
      </c>
      <c r="M575" s="84">
        <v>12355961.04929545</v>
      </c>
      <c r="N575" s="85" t="s">
        <v>671</v>
      </c>
      <c r="O575" s="25">
        <f t="shared" si="19"/>
        <v>-2.6717557251908386E-2</v>
      </c>
    </row>
    <row r="576" spans="1:15">
      <c r="A576" s="83">
        <v>550.54050581679951</v>
      </c>
      <c r="B576" s="83">
        <v>550.54050581679951</v>
      </c>
      <c r="C576" s="83">
        <v>546.71117110539319</v>
      </c>
      <c r="D576" s="83">
        <v>546.94682247224887</v>
      </c>
      <c r="E576" s="84">
        <v>6332620.6841538725</v>
      </c>
      <c r="F576" s="85" t="s">
        <v>672</v>
      </c>
      <c r="G576" s="25">
        <f t="shared" si="18"/>
        <v>6.5704437742353239E-3</v>
      </c>
      <c r="I576" s="83">
        <v>183.31918056096151</v>
      </c>
      <c r="J576" s="83">
        <v>183.41749084173642</v>
      </c>
      <c r="K576" s="83">
        <v>178.43315960644884</v>
      </c>
      <c r="L576" s="83">
        <v>178.57079399953369</v>
      </c>
      <c r="M576" s="84">
        <v>17612242.446590748</v>
      </c>
      <c r="N576" s="85" t="s">
        <v>672</v>
      </c>
      <c r="O576" s="25">
        <f t="shared" si="19"/>
        <v>2.6591059238053383E-2</v>
      </c>
    </row>
    <row r="577" spans="1:15">
      <c r="A577" s="83">
        <v>547.5064944685314</v>
      </c>
      <c r="B577" s="83">
        <v>548.80247879816864</v>
      </c>
      <c r="C577" s="83">
        <v>546.64243945672695</v>
      </c>
      <c r="D577" s="83">
        <v>547.09410457653382</v>
      </c>
      <c r="E577" s="84">
        <v>4868245.2188029652</v>
      </c>
      <c r="F577" s="85" t="s">
        <v>673</v>
      </c>
      <c r="G577" s="25">
        <f t="shared" si="18"/>
        <v>7.5378237226075839E-4</v>
      </c>
      <c r="I577" s="83">
        <v>181.1071992435262</v>
      </c>
      <c r="J577" s="83">
        <v>188.74590805973617</v>
      </c>
      <c r="K577" s="83">
        <v>177.51887399524225</v>
      </c>
      <c r="L577" s="83">
        <v>188.27401871201661</v>
      </c>
      <c r="M577" s="84">
        <v>48854013.661062516</v>
      </c>
      <c r="N577" s="85" t="s">
        <v>673</v>
      </c>
      <c r="O577" s="25">
        <f t="shared" si="19"/>
        <v>-3.8065897342175359E-2</v>
      </c>
    </row>
    <row r="578" spans="1:15">
      <c r="A578" s="83">
        <v>544.4135702785494</v>
      </c>
      <c r="B578" s="83">
        <v>544.4135702785494</v>
      </c>
      <c r="C578" s="83">
        <v>540.52532272542919</v>
      </c>
      <c r="D578" s="83">
        <v>542.3123455907521</v>
      </c>
      <c r="E578" s="84">
        <v>5399513.4294245616</v>
      </c>
      <c r="F578" s="85" t="s">
        <v>674</v>
      </c>
      <c r="G578" s="25">
        <f t="shared" si="18"/>
        <v>3.8745654692931009E-3</v>
      </c>
      <c r="I578" s="83">
        <v>169.65405153325</v>
      </c>
      <c r="J578" s="83">
        <v>170.44053377944925</v>
      </c>
      <c r="K578" s="83">
        <v>159.99998196115456</v>
      </c>
      <c r="L578" s="83">
        <v>161.10105710583346</v>
      </c>
      <c r="M578" s="84">
        <v>30751664.792028304</v>
      </c>
      <c r="N578" s="85" t="s">
        <v>674</v>
      </c>
      <c r="O578" s="25">
        <f t="shared" si="19"/>
        <v>5.3090864709830932E-2</v>
      </c>
    </row>
    <row r="579" spans="1:15">
      <c r="A579" s="83">
        <v>539.50416680238754</v>
      </c>
      <c r="B579" s="83">
        <v>541.13408875647326</v>
      </c>
      <c r="C579" s="83">
        <v>537.75641916487382</v>
      </c>
      <c r="D579" s="83">
        <v>538.97395122696196</v>
      </c>
      <c r="E579" s="84">
        <v>6679682.1974870656</v>
      </c>
      <c r="F579" s="85" t="s">
        <v>675</v>
      </c>
      <c r="G579" s="25">
        <f t="shared" si="18"/>
        <v>9.83749908912257E-4</v>
      </c>
      <c r="I579" s="83">
        <v>158.30904513182622</v>
      </c>
      <c r="J579" s="83">
        <v>160.40305411233166</v>
      </c>
      <c r="K579" s="83">
        <v>157.82732475602918</v>
      </c>
      <c r="L579" s="83">
        <v>159.03654120956051</v>
      </c>
      <c r="M579" s="84">
        <v>11817973.571453743</v>
      </c>
      <c r="N579" s="85" t="s">
        <v>675</v>
      </c>
      <c r="O579" s="25">
        <f t="shared" si="19"/>
        <v>-4.574395747048321E-3</v>
      </c>
    </row>
    <row r="580" spans="1:15">
      <c r="A580" s="83">
        <v>534.37874957327438</v>
      </c>
      <c r="B580" s="83">
        <v>536.60761875145192</v>
      </c>
      <c r="C580" s="83">
        <v>533.54415098232687</v>
      </c>
      <c r="D580" s="83">
        <v>536.45051784021473</v>
      </c>
      <c r="E580" s="84">
        <v>3699789.6156214951</v>
      </c>
      <c r="F580" s="85" t="s">
        <v>676</v>
      </c>
      <c r="G580" s="25">
        <f t="shared" si="18"/>
        <v>-3.861993227784466E-3</v>
      </c>
      <c r="I580" s="83">
        <v>156.84422194828016</v>
      </c>
      <c r="J580" s="83">
        <v>158.77110345146826</v>
      </c>
      <c r="K580" s="83">
        <v>155.73331577552375</v>
      </c>
      <c r="L580" s="83">
        <v>157.44391466100708</v>
      </c>
      <c r="M580" s="84">
        <v>9368862.4703341387</v>
      </c>
      <c r="N580" s="85" t="s">
        <v>676</v>
      </c>
      <c r="O580" s="25">
        <f t="shared" si="19"/>
        <v>-3.8089291289417071E-3</v>
      </c>
    </row>
    <row r="581" spans="1:15">
      <c r="A581" s="83">
        <v>535.17407293641259</v>
      </c>
      <c r="B581" s="83">
        <v>536.23450408726364</v>
      </c>
      <c r="C581" s="83">
        <v>531.9436854490981</v>
      </c>
      <c r="D581" s="83">
        <v>533.00411659994904</v>
      </c>
      <c r="E581" s="84">
        <v>5405257.5081373686</v>
      </c>
      <c r="F581" s="85" t="s">
        <v>677</v>
      </c>
      <c r="G581" s="25">
        <f t="shared" si="18"/>
        <v>4.0711811951956722E-3</v>
      </c>
      <c r="I581" s="83">
        <v>155.63500549474887</v>
      </c>
      <c r="J581" s="83">
        <v>156.46032030185415</v>
      </c>
      <c r="K581" s="83">
        <v>154.60274754661236</v>
      </c>
      <c r="L581" s="83">
        <v>155.98400699149974</v>
      </c>
      <c r="M581" s="84">
        <v>10885162.686598547</v>
      </c>
      <c r="N581" s="85" t="s">
        <v>677</v>
      </c>
      <c r="O581" s="25">
        <f t="shared" si="19"/>
        <v>-2.2374184602776959E-3</v>
      </c>
    </row>
    <row r="582" spans="1:15">
      <c r="A582" s="83">
        <v>525.56146093008761</v>
      </c>
      <c r="B582" s="83">
        <v>528.15991000195049</v>
      </c>
      <c r="C582" s="83">
        <v>522.17878374694249</v>
      </c>
      <c r="D582" s="83">
        <v>527.58413516226631</v>
      </c>
      <c r="E582" s="84">
        <v>8982764.4466647971</v>
      </c>
      <c r="F582" s="85" t="s">
        <v>678</v>
      </c>
      <c r="G582" s="25">
        <f t="shared" si="18"/>
        <v>-3.8338420308196008E-3</v>
      </c>
      <c r="I582" s="83">
        <v>153.6687998792508</v>
      </c>
      <c r="J582" s="83">
        <v>154.59291651853488</v>
      </c>
      <c r="K582" s="83">
        <v>151.7419183760627</v>
      </c>
      <c r="L582" s="83">
        <v>153.77694118810317</v>
      </c>
      <c r="M582" s="84">
        <v>7537606.3841857286</v>
      </c>
      <c r="N582" s="85" t="s">
        <v>678</v>
      </c>
      <c r="O582" s="25">
        <f t="shared" si="19"/>
        <v>-7.032348804498767E-4</v>
      </c>
    </row>
    <row r="583" spans="1:15">
      <c r="A583" s="83">
        <v>524.89378205732953</v>
      </c>
      <c r="B583" s="83">
        <v>525.21780268675616</v>
      </c>
      <c r="C583" s="83">
        <v>519.4345253918375</v>
      </c>
      <c r="D583" s="83">
        <v>519.80764005602578</v>
      </c>
      <c r="E583" s="84">
        <v>5724739.2960197106</v>
      </c>
      <c r="F583" s="85" t="s">
        <v>679</v>
      </c>
      <c r="G583" s="25">
        <f t="shared" si="18"/>
        <v>9.7846618813750563E-3</v>
      </c>
      <c r="I583" s="83">
        <v>151.3191841687306</v>
      </c>
      <c r="J583" s="83">
        <v>151.54529781451291</v>
      </c>
      <c r="K583" s="83">
        <v>149.84452995710706</v>
      </c>
      <c r="L583" s="83">
        <v>151.14222566333581</v>
      </c>
      <c r="M583" s="84">
        <v>8980232.7187064383</v>
      </c>
      <c r="N583" s="85" t="s">
        <v>679</v>
      </c>
      <c r="O583" s="25">
        <f t="shared" si="19"/>
        <v>1.1708078574215186E-3</v>
      </c>
    </row>
    <row r="584" spans="1:15">
      <c r="A584" s="83">
        <v>524.21628437761922</v>
      </c>
      <c r="B584" s="83">
        <v>528.98822455644859</v>
      </c>
      <c r="C584" s="83">
        <v>522.36052986362995</v>
      </c>
      <c r="D584" s="83">
        <v>528.94894932863929</v>
      </c>
      <c r="E584" s="84">
        <v>8081635.6187977921</v>
      </c>
      <c r="F584" s="85" t="s">
        <v>680</v>
      </c>
      <c r="G584" s="25">
        <f t="shared" si="18"/>
        <v>-8.9473000315567486E-3</v>
      </c>
      <c r="I584" s="83">
        <v>151.88938379722507</v>
      </c>
      <c r="J584" s="83">
        <v>156.50996699364549</v>
      </c>
      <c r="K584" s="83">
        <v>151.3191841687306</v>
      </c>
      <c r="L584" s="83">
        <v>156.50996699364549</v>
      </c>
      <c r="M584" s="84">
        <v>13827528.40582905</v>
      </c>
      <c r="N584" s="85" t="s">
        <v>680</v>
      </c>
      <c r="O584" s="25">
        <f t="shared" si="19"/>
        <v>-2.9522613065326553E-2</v>
      </c>
    </row>
    <row r="585" spans="1:15">
      <c r="A585" s="83">
        <v>532.31680011328638</v>
      </c>
      <c r="B585" s="83">
        <v>533.16121751118624</v>
      </c>
      <c r="C585" s="83">
        <v>528.33036449064298</v>
      </c>
      <c r="D585" s="83">
        <v>531.51165794319593</v>
      </c>
      <c r="E585" s="84">
        <v>4396663.4856572589</v>
      </c>
      <c r="F585" s="85" t="s">
        <v>681</v>
      </c>
      <c r="G585" s="25">
        <f t="shared" si="18"/>
        <v>1.514815635852873E-3</v>
      </c>
      <c r="I585" s="83">
        <v>159.99015093617186</v>
      </c>
      <c r="J585" s="83">
        <v>160.81393251510028</v>
      </c>
      <c r="K585" s="83">
        <v>158.31316700763898</v>
      </c>
      <c r="L585" s="83">
        <v>159.04868627453936</v>
      </c>
      <c r="M585" s="84">
        <v>7745766.5031792978</v>
      </c>
      <c r="N585" s="85" t="s">
        <v>681</v>
      </c>
      <c r="O585" s="25">
        <f t="shared" si="19"/>
        <v>5.9193488716240417E-3</v>
      </c>
    </row>
    <row r="586" spans="1:15">
      <c r="A586" s="83">
        <v>531.60002720576676</v>
      </c>
      <c r="B586" s="83">
        <v>539.64163009972003</v>
      </c>
      <c r="C586" s="83">
        <v>529.78354791958679</v>
      </c>
      <c r="D586" s="83">
        <v>539.36670350505494</v>
      </c>
      <c r="E586" s="84">
        <v>5482575.4555912921</v>
      </c>
      <c r="F586" s="85" t="s">
        <v>682</v>
      </c>
      <c r="G586" s="25">
        <f t="shared" si="18"/>
        <v>-1.439962135003281E-2</v>
      </c>
      <c r="I586" s="83">
        <v>158.9015824211593</v>
      </c>
      <c r="J586" s="83">
        <v>162.95184185089076</v>
      </c>
      <c r="K586" s="83">
        <v>158.20529084849358</v>
      </c>
      <c r="L586" s="83">
        <v>162.38304028448781</v>
      </c>
      <c r="M586" s="84">
        <v>7864058.441834636</v>
      </c>
      <c r="N586" s="85" t="s">
        <v>682</v>
      </c>
      <c r="O586" s="25">
        <f t="shared" si="19"/>
        <v>-2.1439787413938927E-2</v>
      </c>
    </row>
    <row r="587" spans="1:15">
      <c r="A587" s="83">
        <v>537.64841228839828</v>
      </c>
      <c r="B587" s="83">
        <v>541.43847177199518</v>
      </c>
      <c r="C587" s="83">
        <v>535.93012107174161</v>
      </c>
      <c r="D587" s="83">
        <v>538.34554758201318</v>
      </c>
      <c r="E587" s="84">
        <v>6093851.3498158418</v>
      </c>
      <c r="F587" s="85" t="s">
        <v>683</v>
      </c>
      <c r="G587" s="25">
        <f t="shared" si="18"/>
        <v>-1.2949587801851514E-3</v>
      </c>
      <c r="I587" s="83">
        <v>162.49091644363318</v>
      </c>
      <c r="J587" s="83">
        <v>164.80535040347974</v>
      </c>
      <c r="K587" s="83">
        <v>162.00057026569959</v>
      </c>
      <c r="L587" s="83">
        <v>164.07963806013802</v>
      </c>
      <c r="M587" s="84">
        <v>6980143.1193444496</v>
      </c>
      <c r="N587" s="85" t="s">
        <v>683</v>
      </c>
      <c r="O587" s="25">
        <f t="shared" si="19"/>
        <v>-9.6826250672404912E-3</v>
      </c>
    </row>
    <row r="588" spans="1:15">
      <c r="A588" s="83">
        <v>534.53585048451157</v>
      </c>
      <c r="B588" s="83">
        <v>535.00715321822315</v>
      </c>
      <c r="C588" s="83">
        <v>529.43007086930322</v>
      </c>
      <c r="D588" s="83">
        <v>530.40213275758333</v>
      </c>
      <c r="E588" s="84">
        <v>6538129.3584559401</v>
      </c>
      <c r="F588" s="85" t="s">
        <v>684</v>
      </c>
      <c r="G588" s="25">
        <f t="shared" si="18"/>
        <v>7.7935541198466129E-3</v>
      </c>
      <c r="I588" s="83">
        <v>163.10875262782949</v>
      </c>
      <c r="J588" s="83">
        <v>163.97176190099262</v>
      </c>
      <c r="K588" s="83">
        <v>162.07902565416896</v>
      </c>
      <c r="L588" s="83">
        <v>163.48141572305903</v>
      </c>
      <c r="M588" s="84">
        <v>5993777.7273713034</v>
      </c>
      <c r="N588" s="85" t="s">
        <v>684</v>
      </c>
      <c r="O588" s="25">
        <f t="shared" si="19"/>
        <v>-2.2795440911818066E-3</v>
      </c>
    </row>
    <row r="589" spans="1:15">
      <c r="A589" s="83">
        <v>527.72159845959891</v>
      </c>
      <c r="B589" s="83">
        <v>533.69133489854221</v>
      </c>
      <c r="C589" s="83">
        <v>524.12300571157209</v>
      </c>
      <c r="D589" s="83">
        <v>532.19897442985848</v>
      </c>
      <c r="E589" s="84">
        <v>7274507.0095399907</v>
      </c>
      <c r="F589" s="85" t="s">
        <v>685</v>
      </c>
      <c r="G589" s="25">
        <f t="shared" si="18"/>
        <v>-8.4129736910074637E-3</v>
      </c>
      <c r="I589" s="83">
        <v>162.82435184462801</v>
      </c>
      <c r="J589" s="83">
        <v>165.43299351123471</v>
      </c>
      <c r="K589" s="83">
        <v>161.71616948249812</v>
      </c>
      <c r="L589" s="83">
        <v>165.26627581073731</v>
      </c>
      <c r="M589" s="84">
        <v>5471305.0100766718</v>
      </c>
      <c r="N589" s="85" t="s">
        <v>685</v>
      </c>
      <c r="O589" s="25">
        <f t="shared" si="19"/>
        <v>-1.4775694279610896E-2</v>
      </c>
    </row>
    <row r="590" spans="1:15">
      <c r="A590" s="83">
        <v>529.04713739816248</v>
      </c>
      <c r="B590" s="83">
        <v>533.22513794444592</v>
      </c>
      <c r="C590" s="83">
        <v>527.6627838059544</v>
      </c>
      <c r="D590" s="83">
        <v>532.62118312880852</v>
      </c>
      <c r="E590" s="84">
        <v>6152224.0220542289</v>
      </c>
      <c r="F590" s="85" t="s">
        <v>686</v>
      </c>
      <c r="G590" s="25">
        <f t="shared" si="18"/>
        <v>-6.7102958798048729E-3</v>
      </c>
      <c r="I590" s="83">
        <v>163.42257418170698</v>
      </c>
      <c r="J590" s="83">
        <v>164.06983113657935</v>
      </c>
      <c r="K590" s="83">
        <v>162.63802029701327</v>
      </c>
      <c r="L590" s="83">
        <v>163.97176190099262</v>
      </c>
      <c r="M590" s="84">
        <v>4392329.5355871888</v>
      </c>
      <c r="N590" s="85" t="s">
        <v>686</v>
      </c>
      <c r="O590" s="25">
        <f t="shared" si="19"/>
        <v>-3.3492822966508795E-3</v>
      </c>
    </row>
    <row r="591" spans="1:15">
      <c r="A591" s="83">
        <v>531.18763731376919</v>
      </c>
      <c r="B591" s="83">
        <v>534.23146746898954</v>
      </c>
      <c r="C591" s="83">
        <v>527.6626856178849</v>
      </c>
      <c r="D591" s="83">
        <v>530.76542861481914</v>
      </c>
      <c r="E591" s="84">
        <v>6625131.7818815084</v>
      </c>
      <c r="F591" s="85" t="s">
        <v>687</v>
      </c>
      <c r="G591" s="25">
        <f t="shared" si="18"/>
        <v>7.9547136303115273E-4</v>
      </c>
      <c r="I591" s="83">
        <v>163.68736111779114</v>
      </c>
      <c r="J591" s="83">
        <v>164.66805347365832</v>
      </c>
      <c r="K591" s="83">
        <v>161.37292715794459</v>
      </c>
      <c r="L591" s="83">
        <v>163.29508417544426</v>
      </c>
      <c r="M591" s="84">
        <v>5358288.9359358726</v>
      </c>
      <c r="N591" s="85" t="s">
        <v>687</v>
      </c>
      <c r="O591" s="25">
        <f t="shared" si="19"/>
        <v>2.4022581226352813E-3</v>
      </c>
    </row>
    <row r="592" spans="1:15">
      <c r="A592" s="83">
        <v>537.16729074773446</v>
      </c>
      <c r="B592" s="83">
        <v>539.66126771362462</v>
      </c>
      <c r="C592" s="83">
        <v>533.35769183830223</v>
      </c>
      <c r="D592" s="83">
        <v>539.41579753981659</v>
      </c>
      <c r="E592" s="84">
        <v>7207734.1314109601</v>
      </c>
      <c r="F592" s="85" t="s">
        <v>688</v>
      </c>
      <c r="G592" s="25">
        <f t="shared" si="18"/>
        <v>-4.1684110890656267E-3</v>
      </c>
      <c r="I592" s="83">
        <v>165.69778044731888</v>
      </c>
      <c r="J592" s="83">
        <v>167.845496706668</v>
      </c>
      <c r="K592" s="83">
        <v>163.97176190099262</v>
      </c>
      <c r="L592" s="83">
        <v>167.09036359265025</v>
      </c>
      <c r="M592" s="84">
        <v>4429816.317022833</v>
      </c>
      <c r="N592" s="85" t="s">
        <v>688</v>
      </c>
      <c r="O592" s="25">
        <f t="shared" si="19"/>
        <v>-8.3343115389128419E-3</v>
      </c>
    </row>
    <row r="593" spans="1:15">
      <c r="A593" s="83">
        <v>542.79346713141592</v>
      </c>
      <c r="B593" s="83">
        <v>543.93244873788558</v>
      </c>
      <c r="C593" s="83">
        <v>539.95593011026392</v>
      </c>
      <c r="D593" s="83">
        <v>541.21263921209186</v>
      </c>
      <c r="E593" s="84">
        <v>4579240.6570696896</v>
      </c>
      <c r="F593" s="85" t="s">
        <v>689</v>
      </c>
      <c r="G593" s="25">
        <f t="shared" si="18"/>
        <v>2.9208998548619913E-3</v>
      </c>
      <c r="I593" s="83">
        <v>168.3652636552776</v>
      </c>
      <c r="J593" s="83">
        <v>169.21846600488206</v>
      </c>
      <c r="K593" s="83">
        <v>167.20804667535432</v>
      </c>
      <c r="L593" s="83">
        <v>167.20804667535432</v>
      </c>
      <c r="M593" s="84">
        <v>4184678.2790216892</v>
      </c>
      <c r="N593" s="85" t="s">
        <v>689</v>
      </c>
      <c r="O593" s="25">
        <f t="shared" si="19"/>
        <v>6.9208211143694243E-3</v>
      </c>
    </row>
    <row r="594" spans="1:15">
      <c r="A594" s="83">
        <v>542.80328593836839</v>
      </c>
      <c r="B594" s="83">
        <v>542.88183639398687</v>
      </c>
      <c r="C594" s="83">
        <v>537.61895586754122</v>
      </c>
      <c r="D594" s="83">
        <v>538.1295338290621</v>
      </c>
      <c r="E594" s="84">
        <v>3502716.793088608</v>
      </c>
      <c r="F594" s="85" t="s">
        <v>690</v>
      </c>
      <c r="G594" s="25">
        <f t="shared" si="18"/>
        <v>8.6851804546950184E-3</v>
      </c>
      <c r="I594" s="83">
        <v>168.10047671919344</v>
      </c>
      <c r="J594" s="83">
        <v>168.45352596730564</v>
      </c>
      <c r="K594" s="83">
        <v>165.76642891222957</v>
      </c>
      <c r="L594" s="83">
        <v>166.42349279066056</v>
      </c>
      <c r="M594" s="84">
        <v>2499812.4899548246</v>
      </c>
      <c r="N594" s="85" t="s">
        <v>690</v>
      </c>
      <c r="O594" s="25">
        <f t="shared" si="19"/>
        <v>1.0076605774896885E-2</v>
      </c>
    </row>
    <row r="595" spans="1:15">
      <c r="A595" s="83">
        <v>537.27529762421</v>
      </c>
      <c r="B595" s="83">
        <v>537.44221734239943</v>
      </c>
      <c r="C595" s="83">
        <v>530.52977724796347</v>
      </c>
      <c r="D595" s="83">
        <v>533.46560052670827</v>
      </c>
      <c r="E595" s="84">
        <v>7193699.839804139</v>
      </c>
      <c r="F595" s="85" t="s">
        <v>691</v>
      </c>
      <c r="G595" s="25">
        <f t="shared" si="18"/>
        <v>7.1414109808398685E-3</v>
      </c>
      <c r="I595" s="83">
        <v>165.87430507137495</v>
      </c>
      <c r="J595" s="83">
        <v>166.3450374021912</v>
      </c>
      <c r="K595" s="83">
        <v>163.94067395331163</v>
      </c>
      <c r="L595" s="83">
        <v>166.31561663151518</v>
      </c>
      <c r="M595" s="84">
        <v>6646558.3839860084</v>
      </c>
      <c r="N595" s="85" t="s">
        <v>691</v>
      </c>
      <c r="O595" s="25">
        <f t="shared" si="19"/>
        <v>-2.6534583407040735E-3</v>
      </c>
    </row>
    <row r="596" spans="1:15">
      <c r="A596" s="83">
        <v>533.45725451530132</v>
      </c>
      <c r="B596" s="83">
        <v>537.86162418600225</v>
      </c>
      <c r="C596" s="83">
        <v>524.46255289891428</v>
      </c>
      <c r="D596" s="83">
        <v>525.20640199885486</v>
      </c>
      <c r="E596" s="84">
        <v>9593281.5951108411</v>
      </c>
      <c r="F596" s="85" t="s">
        <v>692</v>
      </c>
      <c r="G596" s="25">
        <f t="shared" si="18"/>
        <v>1.5709733325879105E-2</v>
      </c>
      <c r="I596" s="83">
        <v>166.38426509642588</v>
      </c>
      <c r="J596" s="83">
        <v>167.95337286581335</v>
      </c>
      <c r="K596" s="83">
        <v>162.43207490228113</v>
      </c>
      <c r="L596" s="83">
        <v>164.49152884960222</v>
      </c>
      <c r="M596" s="84">
        <v>14082423.419919485</v>
      </c>
      <c r="N596" s="85" t="s">
        <v>692</v>
      </c>
      <c r="O596" s="25">
        <f t="shared" si="19"/>
        <v>1.1506587968759252E-2</v>
      </c>
    </row>
    <row r="597" spans="1:15">
      <c r="A597" s="83">
        <v>527.48688673946231</v>
      </c>
      <c r="B597" s="83">
        <v>533.51597944424395</v>
      </c>
      <c r="C597" s="83">
        <v>527.20304958290592</v>
      </c>
      <c r="D597" s="83">
        <v>532.13594361409105</v>
      </c>
      <c r="E597" s="84">
        <v>17156725.740501631</v>
      </c>
      <c r="F597" s="85" t="s">
        <v>693</v>
      </c>
      <c r="G597" s="25">
        <f t="shared" si="18"/>
        <v>-8.7365962221117588E-3</v>
      </c>
      <c r="I597" s="83">
        <v>165.53106274682142</v>
      </c>
      <c r="J597" s="83">
        <v>167.69839285328791</v>
      </c>
      <c r="K597" s="83">
        <v>164.16790037216606</v>
      </c>
      <c r="L597" s="83">
        <v>164.31500422554615</v>
      </c>
      <c r="M597" s="84">
        <v>8551503.3841416053</v>
      </c>
      <c r="N597" s="85" t="s">
        <v>693</v>
      </c>
      <c r="O597" s="25">
        <f t="shared" si="19"/>
        <v>7.4007758877945307E-3</v>
      </c>
    </row>
    <row r="598" spans="1:15">
      <c r="A598" s="83">
        <v>527.68263650260451</v>
      </c>
      <c r="B598" s="83">
        <v>545.68182722353572</v>
      </c>
      <c r="C598" s="83">
        <v>527.08559972502053</v>
      </c>
      <c r="D598" s="83">
        <v>543.49921736449949</v>
      </c>
      <c r="E598" s="84">
        <v>25118732.820261329</v>
      </c>
      <c r="F598" s="85" t="s">
        <v>694</v>
      </c>
      <c r="G598" s="25">
        <f t="shared" si="18"/>
        <v>-2.9101386637853333E-2</v>
      </c>
      <c r="I598" s="83">
        <v>162.21632258399035</v>
      </c>
      <c r="J598" s="83">
        <v>167.92395209513734</v>
      </c>
      <c r="K598" s="83">
        <v>162.16728796619702</v>
      </c>
      <c r="L598" s="83">
        <v>166.13909200745908</v>
      </c>
      <c r="M598" s="84">
        <v>8991539.4437868446</v>
      </c>
      <c r="N598" s="85" t="s">
        <v>694</v>
      </c>
      <c r="O598" s="25">
        <f t="shared" si="19"/>
        <v>-2.3611357062747307E-2</v>
      </c>
    </row>
    <row r="599" spans="1:15">
      <c r="A599" s="83">
        <v>543.6460296868562</v>
      </c>
      <c r="B599" s="83">
        <v>544.56115982954634</v>
      </c>
      <c r="C599" s="83">
        <v>542.51068106063099</v>
      </c>
      <c r="D599" s="83">
        <v>543.66560466317048</v>
      </c>
      <c r="E599" s="84">
        <v>6243563.1102744061</v>
      </c>
      <c r="F599" s="85" t="s">
        <v>695</v>
      </c>
      <c r="G599" s="25">
        <f t="shared" si="18"/>
        <v>-3.6005544854056382E-5</v>
      </c>
      <c r="I599" s="83">
        <v>166.43329971421926</v>
      </c>
      <c r="J599" s="83">
        <v>169.6499706414636</v>
      </c>
      <c r="K599" s="83">
        <v>166.00179507763769</v>
      </c>
      <c r="L599" s="83">
        <v>167.45321976432112</v>
      </c>
      <c r="M599" s="84">
        <v>9116216.6672489177</v>
      </c>
      <c r="N599" s="85" t="s">
        <v>695</v>
      </c>
      <c r="O599" s="25">
        <f t="shared" si="19"/>
        <v>-6.0907759882868895E-3</v>
      </c>
    </row>
    <row r="600" spans="1:15">
      <c r="A600" s="83">
        <v>545.93630191562067</v>
      </c>
      <c r="B600" s="83">
        <v>546.92317434650249</v>
      </c>
      <c r="C600" s="83">
        <v>544.59052229401755</v>
      </c>
      <c r="D600" s="83">
        <v>545.2903276972512</v>
      </c>
      <c r="E600" s="84">
        <v>23342842.037970304</v>
      </c>
      <c r="F600" s="85" t="s">
        <v>696</v>
      </c>
      <c r="G600" s="25">
        <f t="shared" si="18"/>
        <v>1.1846427225243872E-3</v>
      </c>
      <c r="I600" s="83">
        <v>167.92395209513734</v>
      </c>
      <c r="J600" s="83">
        <v>170.90525685697361</v>
      </c>
      <c r="K600" s="83">
        <v>167.62974438837722</v>
      </c>
      <c r="L600" s="83">
        <v>170.48355914395071</v>
      </c>
      <c r="M600" s="84">
        <v>9760405.4347257186</v>
      </c>
      <c r="N600" s="85" t="s">
        <v>696</v>
      </c>
      <c r="O600" s="25">
        <f t="shared" si="19"/>
        <v>-1.5013805798435587E-2</v>
      </c>
    </row>
    <row r="601" spans="1:15">
      <c r="A601" s="83">
        <v>543.80262949737005</v>
      </c>
      <c r="B601" s="83">
        <v>546.29843897743388</v>
      </c>
      <c r="C601" s="83">
        <v>542.42690016200618</v>
      </c>
      <c r="D601" s="83">
        <v>545.66225224722155</v>
      </c>
      <c r="E601" s="84">
        <v>4768192.7426990131</v>
      </c>
      <c r="F601" s="85" t="s">
        <v>697</v>
      </c>
      <c r="G601" s="25">
        <f t="shared" si="18"/>
        <v>-3.4080106186435977E-3</v>
      </c>
      <c r="I601" s="83">
        <v>170.04224758381045</v>
      </c>
      <c r="J601" s="83">
        <v>172.73915156244519</v>
      </c>
      <c r="K601" s="83">
        <v>168.32603596104289</v>
      </c>
      <c r="L601" s="83">
        <v>171.62116227675662</v>
      </c>
      <c r="M601" s="84">
        <v>8515520.6421645898</v>
      </c>
      <c r="N601" s="85" t="s">
        <v>697</v>
      </c>
      <c r="O601" s="25">
        <f t="shared" si="19"/>
        <v>-9.200000000000097E-3</v>
      </c>
    </row>
    <row r="602" spans="1:15">
      <c r="A602" s="83">
        <v>543.8417794499984</v>
      </c>
      <c r="B602" s="83">
        <v>546.33758893006245</v>
      </c>
      <c r="C602" s="83">
        <v>543.81241698552719</v>
      </c>
      <c r="D602" s="83">
        <v>545.81885205773528</v>
      </c>
      <c r="E602" s="84">
        <v>4136507.6871715989</v>
      </c>
      <c r="F602" s="85" t="s">
        <v>698</v>
      </c>
      <c r="G602" s="25">
        <f t="shared" si="18"/>
        <v>-3.6222138540714655E-3</v>
      </c>
      <c r="I602" s="83">
        <v>171.93498383063411</v>
      </c>
      <c r="J602" s="83">
        <v>174.72985897562</v>
      </c>
      <c r="K602" s="83">
        <v>171.43483072914188</v>
      </c>
      <c r="L602" s="83">
        <v>174.56323934435818</v>
      </c>
      <c r="M602" s="84">
        <v>8314756.3567879591</v>
      </c>
      <c r="N602" s="85" t="s">
        <v>698</v>
      </c>
      <c r="O602" s="25">
        <f t="shared" si="19"/>
        <v>-1.5056179775281064E-2</v>
      </c>
    </row>
    <row r="603" spans="1:15">
      <c r="A603" s="83">
        <v>546.66057603924708</v>
      </c>
      <c r="B603" s="83">
        <v>547.50230002075887</v>
      </c>
      <c r="C603" s="83">
        <v>544.8303157538669</v>
      </c>
      <c r="D603" s="83">
        <v>545.08479044595185</v>
      </c>
      <c r="E603" s="84">
        <v>3590724.1404382423</v>
      </c>
      <c r="F603" s="85" t="s">
        <v>699</v>
      </c>
      <c r="G603" s="25">
        <f t="shared" si="18"/>
        <v>2.8908999497234689E-3</v>
      </c>
      <c r="I603" s="83">
        <v>175.13204091076113</v>
      </c>
      <c r="J603" s="83">
        <v>177.87797950718922</v>
      </c>
      <c r="K603" s="83">
        <v>171.45454264549477</v>
      </c>
      <c r="L603" s="83">
        <v>174.56323934435818</v>
      </c>
      <c r="M603" s="84">
        <v>13448370.34886219</v>
      </c>
      <c r="N603" s="85" t="s">
        <v>699</v>
      </c>
      <c r="O603" s="25">
        <f t="shared" si="19"/>
        <v>3.2584269662920828E-3</v>
      </c>
    </row>
    <row r="604" spans="1:15">
      <c r="A604" s="83">
        <v>542.54983101325956</v>
      </c>
      <c r="B604" s="83">
        <v>545.04564049332339</v>
      </c>
      <c r="C604" s="83">
        <v>541.80598191331899</v>
      </c>
      <c r="D604" s="83">
        <v>544.75201584861009</v>
      </c>
      <c r="E604" s="84">
        <v>4199354.2510831943</v>
      </c>
      <c r="F604" s="85" t="s">
        <v>700</v>
      </c>
      <c r="G604" s="25">
        <f t="shared" si="18"/>
        <v>-4.0425455460132431E-3</v>
      </c>
      <c r="I604" s="83">
        <v>174.30825933183272</v>
      </c>
      <c r="J604" s="83">
        <v>174.36710087318474</v>
      </c>
      <c r="K604" s="83">
        <v>167.75644984075524</v>
      </c>
      <c r="L604" s="83">
        <v>170.11089604872117</v>
      </c>
      <c r="M604" s="84">
        <v>27023781.557433981</v>
      </c>
      <c r="N604" s="85" t="s">
        <v>700</v>
      </c>
      <c r="O604" s="25">
        <f t="shared" si="19"/>
        <v>2.4674276490257219E-2</v>
      </c>
    </row>
    <row r="605" spans="1:15">
      <c r="A605" s="83">
        <v>544.09625414208335</v>
      </c>
      <c r="B605" s="83">
        <v>546.98845689251038</v>
      </c>
      <c r="C605" s="83">
        <v>543.57751726975641</v>
      </c>
      <c r="D605" s="83">
        <v>546.83675082607522</v>
      </c>
      <c r="E605" s="84">
        <v>4508077.9962868057</v>
      </c>
      <c r="F605" s="85" t="s">
        <v>701</v>
      </c>
      <c r="G605" s="25">
        <f t="shared" si="18"/>
        <v>-5.0115444506096951E-3</v>
      </c>
      <c r="I605" s="83">
        <v>186.77285917490457</v>
      </c>
      <c r="J605" s="83">
        <v>194.48100302278502</v>
      </c>
      <c r="K605" s="83">
        <v>185.28220679398646</v>
      </c>
      <c r="L605" s="83">
        <v>192.5099094567276</v>
      </c>
      <c r="M605" s="84">
        <v>20554822.192098413</v>
      </c>
      <c r="N605" s="85" t="s">
        <v>701</v>
      </c>
      <c r="O605" s="25">
        <f t="shared" si="19"/>
        <v>-2.980132450331141E-2</v>
      </c>
    </row>
    <row r="606" spans="1:15">
      <c r="A606" s="83">
        <v>546.94441319580346</v>
      </c>
      <c r="B606" s="83">
        <v>548.06018684571427</v>
      </c>
      <c r="C606" s="83">
        <v>546.22013907217706</v>
      </c>
      <c r="D606" s="83">
        <v>546.60185111030444</v>
      </c>
      <c r="E606" s="84">
        <v>5246371.6099294769</v>
      </c>
      <c r="F606" s="85" t="s">
        <v>702</v>
      </c>
      <c r="G606" s="25">
        <f t="shared" si="18"/>
        <v>6.2671226744503983E-4</v>
      </c>
      <c r="I606" s="83">
        <v>187.98891769617987</v>
      </c>
      <c r="J606" s="83">
        <v>188.91076851069502</v>
      </c>
      <c r="K606" s="83">
        <v>182.78144128652514</v>
      </c>
      <c r="L606" s="83">
        <v>183.3894705471628</v>
      </c>
      <c r="M606" s="84">
        <v>10710171.173621871</v>
      </c>
      <c r="N606" s="85" t="s">
        <v>702</v>
      </c>
      <c r="O606" s="25">
        <f t="shared" si="19"/>
        <v>2.5080213903743154E-2</v>
      </c>
    </row>
    <row r="607" spans="1:15">
      <c r="A607" s="83">
        <v>545.85800201036386</v>
      </c>
      <c r="B607" s="83">
        <v>547.52187499707304</v>
      </c>
      <c r="C607" s="83">
        <v>545.61331480643605</v>
      </c>
      <c r="D607" s="83">
        <v>546.75845092081818</v>
      </c>
      <c r="E607" s="84">
        <v>3087166.9538665209</v>
      </c>
      <c r="F607" s="85" t="s">
        <v>703</v>
      </c>
      <c r="G607" s="25">
        <f t="shared" si="18"/>
        <v>-1.6468861321444761E-3</v>
      </c>
      <c r="I607" s="83">
        <v>182.64414435670375</v>
      </c>
      <c r="J607" s="83">
        <v>185.37046910601453</v>
      </c>
      <c r="K607" s="83">
        <v>182.26167433791554</v>
      </c>
      <c r="L607" s="83">
        <v>185.37046910601453</v>
      </c>
      <c r="M607" s="84">
        <v>6524036.7804666748</v>
      </c>
      <c r="N607" s="85" t="s">
        <v>703</v>
      </c>
      <c r="O607" s="25">
        <f t="shared" si="19"/>
        <v>-1.4707438366310499E-2</v>
      </c>
    </row>
    <row r="608" spans="1:15">
      <c r="A608" s="83">
        <v>546.76823840897532</v>
      </c>
      <c r="B608" s="83">
        <v>547.0031381247461</v>
      </c>
      <c r="C608" s="83">
        <v>544.35170758298409</v>
      </c>
      <c r="D608" s="83">
        <v>544.9967030525379</v>
      </c>
      <c r="E608" s="84">
        <v>5609530.159185729</v>
      </c>
      <c r="F608" s="85" t="s">
        <v>704</v>
      </c>
      <c r="G608" s="25">
        <f t="shared" si="18"/>
        <v>3.2505432537757173E-3</v>
      </c>
      <c r="I608" s="83">
        <v>184.55649445064475</v>
      </c>
      <c r="J608" s="83">
        <v>186.12560222003222</v>
      </c>
      <c r="K608" s="83">
        <v>182.31070895570889</v>
      </c>
      <c r="L608" s="83">
        <v>184.37016290302998</v>
      </c>
      <c r="M608" s="84">
        <v>9081627.8384515271</v>
      </c>
      <c r="N608" s="85" t="s">
        <v>704</v>
      </c>
      <c r="O608" s="25">
        <f t="shared" si="19"/>
        <v>1.0106382978722905E-3</v>
      </c>
    </row>
    <row r="609" spans="1:15">
      <c r="A609" s="83">
        <v>543.34261755398563</v>
      </c>
      <c r="B609" s="83">
        <v>543.62655258542361</v>
      </c>
      <c r="C609" s="83">
        <v>542.02130665277537</v>
      </c>
      <c r="D609" s="83">
        <v>543.00984295664375</v>
      </c>
      <c r="E609" s="84">
        <v>4294162.0286359675</v>
      </c>
      <c r="F609" s="85" t="s">
        <v>705</v>
      </c>
      <c r="G609" s="25">
        <f t="shared" si="18"/>
        <v>6.1283345349671947E-4</v>
      </c>
      <c r="I609" s="83">
        <v>179.35882496454866</v>
      </c>
      <c r="J609" s="83">
        <v>179.50592881792875</v>
      </c>
      <c r="K609" s="83">
        <v>175.65180785937076</v>
      </c>
      <c r="L609" s="83">
        <v>177.68184103601581</v>
      </c>
      <c r="M609" s="84">
        <v>9092619.0529088564</v>
      </c>
      <c r="N609" s="85" t="s">
        <v>705</v>
      </c>
      <c r="O609" s="25">
        <f t="shared" si="19"/>
        <v>9.4381278286785886E-3</v>
      </c>
    </row>
    <row r="610" spans="1:15">
      <c r="A610" s="83">
        <v>543.21538020794321</v>
      </c>
      <c r="B610" s="83">
        <v>543.76347954474159</v>
      </c>
      <c r="C610" s="83">
        <v>542.11918153434658</v>
      </c>
      <c r="D610" s="83">
        <v>542.57919347773088</v>
      </c>
      <c r="E610" s="84">
        <v>5559149.5107410485</v>
      </c>
      <c r="F610" s="85" t="s">
        <v>706</v>
      </c>
      <c r="G610" s="25">
        <f t="shared" si="18"/>
        <v>1.1725232700772192E-3</v>
      </c>
      <c r="I610" s="83">
        <v>177.90740027786526</v>
      </c>
      <c r="J610" s="83">
        <v>181.7124866186299</v>
      </c>
      <c r="K610" s="83">
        <v>177.50531641195971</v>
      </c>
      <c r="L610" s="83">
        <v>181.7124866186299</v>
      </c>
      <c r="M610" s="84">
        <v>9034123.6443775296</v>
      </c>
      <c r="N610" s="85" t="s">
        <v>706</v>
      </c>
      <c r="O610" s="25">
        <f t="shared" si="19"/>
        <v>-2.0940147876301829E-2</v>
      </c>
    </row>
    <row r="611" spans="1:15">
      <c r="A611" s="83">
        <v>541.6885320554336</v>
      </c>
      <c r="B611" s="83">
        <v>542.91196807507276</v>
      </c>
      <c r="C611" s="83">
        <v>539.35910987404066</v>
      </c>
      <c r="D611" s="83">
        <v>539.57443461349703</v>
      </c>
      <c r="E611" s="84">
        <v>4075332.645078205</v>
      </c>
      <c r="F611" s="85" t="s">
        <v>707</v>
      </c>
      <c r="G611" s="25">
        <f t="shared" si="18"/>
        <v>3.9180830415934675E-3</v>
      </c>
      <c r="I611" s="83">
        <v>181.27117505848969</v>
      </c>
      <c r="J611" s="83">
        <v>182.34012972638493</v>
      </c>
      <c r="K611" s="83">
        <v>180.44739347956124</v>
      </c>
      <c r="L611" s="83">
        <v>180.45720040311991</v>
      </c>
      <c r="M611" s="84">
        <v>4719159.8591666752</v>
      </c>
      <c r="N611" s="85" t="s">
        <v>707</v>
      </c>
      <c r="O611" s="25">
        <f t="shared" si="19"/>
        <v>4.5106244225858738E-3</v>
      </c>
    </row>
    <row r="612" spans="1:15">
      <c r="A612" s="83">
        <v>538.85016048987063</v>
      </c>
      <c r="B612" s="83">
        <v>540.64127082262246</v>
      </c>
      <c r="C612" s="83">
        <v>537.44076219524641</v>
      </c>
      <c r="D612" s="83">
        <v>540.30849622528058</v>
      </c>
      <c r="E612" s="84">
        <v>3384135.8955747751</v>
      </c>
      <c r="F612" s="85" t="s">
        <v>708</v>
      </c>
      <c r="G612" s="25">
        <f t="shared" si="18"/>
        <v>-2.6990797768279284E-3</v>
      </c>
      <c r="I612" s="83">
        <v>179.17249341693392</v>
      </c>
      <c r="J612" s="83">
        <v>185.30672410288315</v>
      </c>
      <c r="K612" s="83">
        <v>178.70176108611767</v>
      </c>
      <c r="L612" s="83">
        <v>185.30672410288315</v>
      </c>
      <c r="M612" s="84">
        <v>8533559.9384782203</v>
      </c>
      <c r="N612" s="85" t="s">
        <v>708</v>
      </c>
      <c r="O612" s="25">
        <f t="shared" si="19"/>
        <v>-3.310311979042635E-2</v>
      </c>
    </row>
    <row r="613" spans="1:15">
      <c r="A613" s="83">
        <v>540.57275840552256</v>
      </c>
      <c r="B613" s="83">
        <v>541.07182242665385</v>
      </c>
      <c r="C613" s="83">
        <v>538.16503631887281</v>
      </c>
      <c r="D613" s="83">
        <v>538.80122304908514</v>
      </c>
      <c r="E613" s="84">
        <v>4534946.9943155665</v>
      </c>
      <c r="F613" s="85" t="s">
        <v>709</v>
      </c>
      <c r="G613" s="25">
        <f t="shared" si="18"/>
        <v>3.2879200726609881E-3</v>
      </c>
      <c r="I613" s="83">
        <v>186.6944037864352</v>
      </c>
      <c r="J613" s="83">
        <v>188.68520926884557</v>
      </c>
      <c r="K613" s="83">
        <v>184.68398445690747</v>
      </c>
      <c r="L613" s="83">
        <v>184.68398445690747</v>
      </c>
      <c r="M613" s="84">
        <v>6553747.4229792655</v>
      </c>
      <c r="N613" s="85" t="s">
        <v>709</v>
      </c>
      <c r="O613" s="25">
        <f t="shared" si="19"/>
        <v>1.0885726423109698E-2</v>
      </c>
    </row>
    <row r="614" spans="1:15">
      <c r="A614" s="83">
        <v>537.5582120531318</v>
      </c>
      <c r="B614" s="83">
        <v>540.64127082262246</v>
      </c>
      <c r="C614" s="83">
        <v>535.57125408235618</v>
      </c>
      <c r="D614" s="83">
        <v>539.48634722008308</v>
      </c>
      <c r="E614" s="84">
        <v>4398473.7768201027</v>
      </c>
      <c r="F614" s="85" t="s">
        <v>710</v>
      </c>
      <c r="G614" s="25">
        <f t="shared" si="18"/>
        <v>-3.5740203193033171E-3</v>
      </c>
      <c r="I614" s="83">
        <v>184.36035597947131</v>
      </c>
      <c r="J614" s="83">
        <v>190.98983630513345</v>
      </c>
      <c r="K614" s="83">
        <v>184.36035597947131</v>
      </c>
      <c r="L614" s="83">
        <v>190.74466321616666</v>
      </c>
      <c r="M614" s="84">
        <v>15436516.772493603</v>
      </c>
      <c r="N614" s="85" t="s">
        <v>710</v>
      </c>
      <c r="O614" s="25">
        <f t="shared" si="19"/>
        <v>-3.3470437017994903E-2</v>
      </c>
    </row>
    <row r="615" spans="1:15">
      <c r="A615" s="83">
        <v>535.83561413747987</v>
      </c>
      <c r="B615" s="83">
        <v>536.40289695106617</v>
      </c>
      <c r="C615" s="83">
        <v>533.78024162448605</v>
      </c>
      <c r="D615" s="83">
        <v>534.22067859155618</v>
      </c>
      <c r="E615" s="84">
        <v>5695626.8150869235</v>
      </c>
      <c r="F615" s="85" t="s">
        <v>711</v>
      </c>
      <c r="G615" s="25">
        <f t="shared" si="18"/>
        <v>3.0229746070133956E-3</v>
      </c>
      <c r="I615" s="83">
        <v>188.57733310970016</v>
      </c>
      <c r="J615" s="83">
        <v>190.45045550940648</v>
      </c>
      <c r="K615" s="83">
        <v>187.37108151198356</v>
      </c>
      <c r="L615" s="83">
        <v>189.27362468236589</v>
      </c>
      <c r="M615" s="84">
        <v>7014887.9603704307</v>
      </c>
      <c r="N615" s="85" t="s">
        <v>711</v>
      </c>
      <c r="O615" s="25">
        <f t="shared" si="19"/>
        <v>-3.6787564766841419E-3</v>
      </c>
    </row>
    <row r="616" spans="1:15">
      <c r="A616" s="83">
        <v>534.04450380472804</v>
      </c>
      <c r="B616" s="83">
        <v>535.44411461119535</v>
      </c>
      <c r="C616" s="83">
        <v>528.56351043674465</v>
      </c>
      <c r="D616" s="83">
        <v>533.98577887578551</v>
      </c>
      <c r="E616" s="84">
        <v>4628990.5308414372</v>
      </c>
      <c r="F616" s="85" t="s">
        <v>712</v>
      </c>
      <c r="G616" s="25">
        <f t="shared" si="18"/>
        <v>1.0997470581730617E-4</v>
      </c>
      <c r="I616" s="83">
        <v>188.71463003952161</v>
      </c>
      <c r="J616" s="83">
        <v>192.25492944420211</v>
      </c>
      <c r="K616" s="83">
        <v>187.93998114762209</v>
      </c>
      <c r="L616" s="83">
        <v>188.23409078514666</v>
      </c>
      <c r="M616" s="84">
        <v>11618590.612878369</v>
      </c>
      <c r="N616" s="85" t="s">
        <v>712</v>
      </c>
      <c r="O616" s="25">
        <f t="shared" si="19"/>
        <v>2.5528811086799053E-3</v>
      </c>
    </row>
    <row r="617" spans="1:15">
      <c r="A617" s="83">
        <v>531.36273204967904</v>
      </c>
      <c r="B617" s="83">
        <v>531.52911934835004</v>
      </c>
      <c r="C617" s="83">
        <v>526.01876351589533</v>
      </c>
      <c r="D617" s="83">
        <v>531.24528219179365</v>
      </c>
      <c r="E617" s="84">
        <v>4034804.3712624442</v>
      </c>
      <c r="F617" s="85" t="s">
        <v>713</v>
      </c>
      <c r="G617" s="25">
        <f t="shared" si="18"/>
        <v>2.2108404878595778E-4</v>
      </c>
      <c r="I617" s="83">
        <v>187.06706688166472</v>
      </c>
      <c r="J617" s="83">
        <v>187.2828191999555</v>
      </c>
      <c r="K617" s="83">
        <v>184.19363827897388</v>
      </c>
      <c r="L617" s="83">
        <v>187.2141707350448</v>
      </c>
      <c r="M617" s="84">
        <v>4955908.9258958595</v>
      </c>
      <c r="N617" s="85" t="s">
        <v>713</v>
      </c>
      <c r="O617" s="25">
        <f t="shared" si="19"/>
        <v>-7.857517024620897E-4</v>
      </c>
    </row>
    <row r="618" spans="1:15">
      <c r="A618" s="83">
        <v>531.16698228653684</v>
      </c>
      <c r="B618" s="83">
        <v>531.82274399306334</v>
      </c>
      <c r="C618" s="83">
        <v>525.49023915541113</v>
      </c>
      <c r="D618" s="83">
        <v>526.07748844483785</v>
      </c>
      <c r="E618" s="84">
        <v>7129891.6412259666</v>
      </c>
      <c r="F618" s="85" t="s">
        <v>714</v>
      </c>
      <c r="G618" s="25">
        <f t="shared" si="18"/>
        <v>9.674418604651347E-3</v>
      </c>
      <c r="I618" s="83">
        <v>185.25278602331045</v>
      </c>
      <c r="J618" s="83">
        <v>185.66467681277464</v>
      </c>
      <c r="K618" s="83">
        <v>180.76121503343876</v>
      </c>
      <c r="L618" s="83">
        <v>181.32020967628304</v>
      </c>
      <c r="M618" s="84">
        <v>8276762.7905313391</v>
      </c>
      <c r="N618" s="85" t="s">
        <v>714</v>
      </c>
      <c r="O618" s="25">
        <f t="shared" si="19"/>
        <v>2.1688571583103444E-2</v>
      </c>
    </row>
    <row r="619" spans="1:15">
      <c r="A619" s="83">
        <v>529.23884711958556</v>
      </c>
      <c r="B619" s="83">
        <v>530.413345698439</v>
      </c>
      <c r="C619" s="83">
        <v>526.70878143097173</v>
      </c>
      <c r="D619" s="83">
        <v>527.4673117631479</v>
      </c>
      <c r="E619" s="84">
        <v>4602044.9043674646</v>
      </c>
      <c r="F619" s="85" t="s">
        <v>715</v>
      </c>
      <c r="G619" s="25">
        <f t="shared" si="18"/>
        <v>3.3585689898318893E-3</v>
      </c>
      <c r="I619" s="83">
        <v>182.14399125521146</v>
      </c>
      <c r="J619" s="83">
        <v>182.58530281535172</v>
      </c>
      <c r="K619" s="83">
        <v>179.34901804099002</v>
      </c>
      <c r="L619" s="83">
        <v>180.74160118632142</v>
      </c>
      <c r="M619" s="84">
        <v>6415269.7452574736</v>
      </c>
      <c r="N619" s="85" t="s">
        <v>715</v>
      </c>
      <c r="O619" s="25">
        <f t="shared" si="19"/>
        <v>7.7590884427563012E-3</v>
      </c>
    </row>
    <row r="620" spans="1:15">
      <c r="A620" s="83">
        <v>527.05623726054921</v>
      </c>
      <c r="B620" s="83">
        <v>531.03974494049442</v>
      </c>
      <c r="C620" s="83">
        <v>525.34342683305442</v>
      </c>
      <c r="D620" s="83">
        <v>530.60909546158132</v>
      </c>
      <c r="E620" s="84">
        <v>7519921.2319361856</v>
      </c>
      <c r="F620" s="85" t="s">
        <v>716</v>
      </c>
      <c r="G620" s="25">
        <f t="shared" si="18"/>
        <v>-6.6958109678489919E-3</v>
      </c>
      <c r="I620" s="83">
        <v>180.19241346703581</v>
      </c>
      <c r="J620" s="83">
        <v>182.21263972012218</v>
      </c>
      <c r="K620" s="83">
        <v>178.80963724526308</v>
      </c>
      <c r="L620" s="83">
        <v>180.9573535046122</v>
      </c>
      <c r="M620" s="84">
        <v>9163195.7221221048</v>
      </c>
      <c r="N620" s="85" t="s">
        <v>716</v>
      </c>
      <c r="O620" s="25">
        <f t="shared" si="19"/>
        <v>-4.2271840450899267E-3</v>
      </c>
    </row>
    <row r="621" spans="1:15">
      <c r="A621" s="83">
        <v>533.94662892315694</v>
      </c>
      <c r="B621" s="83">
        <v>537.89098665047368</v>
      </c>
      <c r="C621" s="83">
        <v>533.30065470478746</v>
      </c>
      <c r="D621" s="83">
        <v>537.43097470708926</v>
      </c>
      <c r="E621" s="84">
        <v>4025835.7780349567</v>
      </c>
      <c r="F621" s="85" t="s">
        <v>717</v>
      </c>
      <c r="G621" s="25">
        <f t="shared" si="18"/>
        <v>-6.4833363686032097E-3</v>
      </c>
      <c r="I621" s="83">
        <v>183.43850516495615</v>
      </c>
      <c r="J621" s="83">
        <v>185.92946374885881</v>
      </c>
      <c r="K621" s="83">
        <v>183.10506976396132</v>
      </c>
      <c r="L621" s="83">
        <v>185.01741985790233</v>
      </c>
      <c r="M621" s="84">
        <v>7957967.6065681204</v>
      </c>
      <c r="N621" s="85" t="s">
        <v>717</v>
      </c>
      <c r="O621" s="25">
        <f t="shared" si="19"/>
        <v>-8.5338704547864852E-3</v>
      </c>
    </row>
    <row r="622" spans="1:15">
      <c r="A622" s="83">
        <v>537.36246228998948</v>
      </c>
      <c r="B622" s="83">
        <v>539.17314759905548</v>
      </c>
      <c r="C622" s="83">
        <v>535.34623972962413</v>
      </c>
      <c r="D622" s="83">
        <v>537.4896996360319</v>
      </c>
      <c r="E622" s="84">
        <v>3781940.7191923968</v>
      </c>
      <c r="F622" s="85" t="s">
        <v>718</v>
      </c>
      <c r="G622" s="25">
        <f t="shared" si="18"/>
        <v>-2.3672518027528788E-4</v>
      </c>
      <c r="I622" s="83">
        <v>185.96869144309349</v>
      </c>
      <c r="J622" s="83">
        <v>188.06737308464926</v>
      </c>
      <c r="K622" s="83">
        <v>185.14441951798713</v>
      </c>
      <c r="L622" s="83">
        <v>185.35085525889716</v>
      </c>
      <c r="M622" s="84">
        <v>5807556.2289499026</v>
      </c>
      <c r="N622" s="85" t="s">
        <v>718</v>
      </c>
      <c r="O622" s="25">
        <f t="shared" si="19"/>
        <v>3.3333333333334103E-3</v>
      </c>
    </row>
    <row r="623" spans="1:15">
      <c r="A623" s="83">
        <v>537.08841262159035</v>
      </c>
      <c r="B623" s="83">
        <v>539.23187252799823</v>
      </c>
      <c r="C623" s="83">
        <v>534.81771536914005</v>
      </c>
      <c r="D623" s="83">
        <v>538.69356067935689</v>
      </c>
      <c r="E623" s="84">
        <v>4923237.6301757991</v>
      </c>
      <c r="F623" s="85" t="s">
        <v>719</v>
      </c>
      <c r="G623" s="25">
        <f t="shared" si="18"/>
        <v>-2.9797052998782325E-3</v>
      </c>
      <c r="I623" s="83">
        <v>185.91965682530014</v>
      </c>
      <c r="J623" s="83">
        <v>186.92976995184333</v>
      </c>
      <c r="K623" s="83">
        <v>183.58560901833621</v>
      </c>
      <c r="L623" s="83">
        <v>184.89973677519825</v>
      </c>
      <c r="M623" s="84">
        <v>6760418.7595991762</v>
      </c>
      <c r="N623" s="85" t="s">
        <v>719</v>
      </c>
      <c r="O623" s="25">
        <f t="shared" si="19"/>
        <v>5.5160708602950415E-3</v>
      </c>
    </row>
    <row r="624" spans="1:15">
      <c r="A624" s="83">
        <v>538.70334816751404</v>
      </c>
      <c r="B624" s="83">
        <v>540.00508409241013</v>
      </c>
      <c r="C624" s="83">
        <v>537.18628750316145</v>
      </c>
      <c r="D624" s="83">
        <v>539.7114594476966</v>
      </c>
      <c r="E624" s="84">
        <v>4999371.5664869696</v>
      </c>
      <c r="F624" s="85" t="s">
        <v>720</v>
      </c>
      <c r="G624" s="25">
        <f t="shared" si="18"/>
        <v>-1.8678708086246054E-3</v>
      </c>
      <c r="I624" s="83">
        <v>185.47834526515987</v>
      </c>
      <c r="J624" s="83">
        <v>187.8025861485651</v>
      </c>
      <c r="K624" s="83">
        <v>184.21325212609122</v>
      </c>
      <c r="L624" s="83">
        <v>187.36127458842489</v>
      </c>
      <c r="M624" s="84">
        <v>6091245.6024170695</v>
      </c>
      <c r="N624" s="85" t="s">
        <v>720</v>
      </c>
      <c r="O624" s="25">
        <f t="shared" si="19"/>
        <v>-1.0049725202826654E-2</v>
      </c>
    </row>
    <row r="625" spans="1:15">
      <c r="A625" s="83">
        <v>538.26291120044391</v>
      </c>
      <c r="B625" s="83">
        <v>539.52549717271154</v>
      </c>
      <c r="C625" s="83">
        <v>536.41307593874944</v>
      </c>
      <c r="D625" s="83">
        <v>536.4228634269067</v>
      </c>
      <c r="E625" s="84">
        <v>6945577.7528164135</v>
      </c>
      <c r="F625" s="85" t="s">
        <v>721</v>
      </c>
      <c r="G625" s="25">
        <f t="shared" si="18"/>
        <v>3.4302187676755747E-3</v>
      </c>
      <c r="I625" s="83">
        <v>185.59602834786395</v>
      </c>
      <c r="J625" s="83">
        <v>186.48845839170309</v>
      </c>
      <c r="K625" s="83">
        <v>182.66375820382106</v>
      </c>
      <c r="L625" s="83">
        <v>182.66375820382106</v>
      </c>
      <c r="M625" s="84">
        <v>8688167.0373231247</v>
      </c>
      <c r="N625" s="85" t="s">
        <v>721</v>
      </c>
      <c r="O625" s="25">
        <f t="shared" si="19"/>
        <v>1.6052829378288447E-2</v>
      </c>
    </row>
    <row r="626" spans="1:15">
      <c r="A626" s="83">
        <v>535.8943390664225</v>
      </c>
      <c r="B626" s="83">
        <v>536.81925669726968</v>
      </c>
      <c r="C626" s="83">
        <v>533.56491688502956</v>
      </c>
      <c r="D626" s="83">
        <v>533.63342930212934</v>
      </c>
      <c r="E626" s="84">
        <v>6182664.9522963744</v>
      </c>
      <c r="F626" s="85" t="s">
        <v>722</v>
      </c>
      <c r="G626" s="25">
        <f t="shared" si="18"/>
        <v>4.23682183338836E-3</v>
      </c>
      <c r="I626" s="83">
        <v>182.77163436296647</v>
      </c>
      <c r="J626" s="83">
        <v>183.06584206972661</v>
      </c>
      <c r="K626" s="83">
        <v>177.05419792826081</v>
      </c>
      <c r="L626" s="83">
        <v>177.5837718004291</v>
      </c>
      <c r="M626" s="84">
        <v>7912164.2516920846</v>
      </c>
      <c r="N626" s="85" t="s">
        <v>722</v>
      </c>
      <c r="O626" s="25">
        <f t="shared" si="19"/>
        <v>2.9213607245416329E-2</v>
      </c>
    </row>
    <row r="627" spans="1:15">
      <c r="A627" s="83">
        <v>531.75423157596356</v>
      </c>
      <c r="B627" s="83">
        <v>532.57638058116106</v>
      </c>
      <c r="C627" s="83">
        <v>526.73325015136447</v>
      </c>
      <c r="D627" s="83">
        <v>530.13929603003987</v>
      </c>
      <c r="E627" s="84">
        <v>7645819.7239925414</v>
      </c>
      <c r="F627" s="85" t="s">
        <v>723</v>
      </c>
      <c r="G627" s="25">
        <f t="shared" si="18"/>
        <v>3.0462475768484598E-3</v>
      </c>
      <c r="I627" s="83">
        <v>177.74068257736783</v>
      </c>
      <c r="J627" s="83">
        <v>178.58407800341359</v>
      </c>
      <c r="K627" s="83">
        <v>173.98982852388264</v>
      </c>
      <c r="L627" s="83">
        <v>175.07319936940911</v>
      </c>
      <c r="M627" s="84">
        <v>11303225.658568595</v>
      </c>
      <c r="N627" s="85" t="s">
        <v>723</v>
      </c>
      <c r="O627" s="25">
        <f t="shared" si="19"/>
        <v>1.5236388079767016E-2</v>
      </c>
    </row>
    <row r="628" spans="1:15">
      <c r="A628" s="83">
        <v>518.83474720857407</v>
      </c>
      <c r="B628" s="83">
        <v>518.90325962567385</v>
      </c>
      <c r="C628" s="83">
        <v>513.3341788642764</v>
      </c>
      <c r="D628" s="83">
        <v>513.56907858004718</v>
      </c>
      <c r="E628" s="84">
        <v>3371936.647097195</v>
      </c>
      <c r="F628" s="85" t="s">
        <v>724</v>
      </c>
      <c r="G628" s="25">
        <f t="shared" si="18"/>
        <v>1.0253087360878155E-2</v>
      </c>
      <c r="I628" s="83">
        <v>168.46333289086431</v>
      </c>
      <c r="J628" s="83">
        <v>168.57120905000968</v>
      </c>
      <c r="K628" s="83">
        <v>167.03152205129823</v>
      </c>
      <c r="L628" s="83">
        <v>167.17862590467828</v>
      </c>
      <c r="M628" s="84">
        <v>5564185.3098516772</v>
      </c>
      <c r="N628" s="85" t="s">
        <v>724</v>
      </c>
      <c r="O628" s="25">
        <f t="shared" si="19"/>
        <v>7.6846365929490457E-3</v>
      </c>
    </row>
    <row r="629" spans="1:15">
      <c r="A629" s="83">
        <v>512.66862966959263</v>
      </c>
      <c r="B629" s="83">
        <v>515.09592673255679</v>
      </c>
      <c r="C629" s="83">
        <v>510.9363421406652</v>
      </c>
      <c r="D629" s="83">
        <v>513.90185317738894</v>
      </c>
      <c r="E629" s="84">
        <v>3761395.1004624418</v>
      </c>
      <c r="F629" s="85" t="s">
        <v>725</v>
      </c>
      <c r="G629" s="25">
        <f t="shared" si="18"/>
        <v>-2.3997257456291887E-3</v>
      </c>
      <c r="I629" s="83">
        <v>166.31561663151518</v>
      </c>
      <c r="J629" s="83">
        <v>167.18843282823696</v>
      </c>
      <c r="K629" s="83">
        <v>165.4722212054694</v>
      </c>
      <c r="L629" s="83">
        <v>167.02171512773955</v>
      </c>
      <c r="M629" s="84">
        <v>4898993.013718036</v>
      </c>
      <c r="N629" s="85" t="s">
        <v>725</v>
      </c>
      <c r="O629" s="25">
        <f t="shared" si="19"/>
        <v>-4.2275849920733188E-3</v>
      </c>
    </row>
    <row r="630" spans="1:15">
      <c r="A630" s="83">
        <v>513.78440331950367</v>
      </c>
      <c r="B630" s="83">
        <v>517.83642341654854</v>
      </c>
      <c r="C630" s="83">
        <v>513.39300166810074</v>
      </c>
      <c r="D630" s="83">
        <v>513.99972805896016</v>
      </c>
      <c r="E630" s="84">
        <v>6239539.6060445309</v>
      </c>
      <c r="F630" s="85" t="s">
        <v>726</v>
      </c>
      <c r="G630" s="25">
        <f t="shared" si="18"/>
        <v>-4.1891994820630885E-4</v>
      </c>
      <c r="I630" s="83">
        <v>166.73731434453808</v>
      </c>
      <c r="J630" s="83">
        <v>168.94387214523923</v>
      </c>
      <c r="K630" s="83">
        <v>165.83507737714027</v>
      </c>
      <c r="L630" s="83">
        <v>166.8648043508008</v>
      </c>
      <c r="M630" s="84">
        <v>5792433.2396543594</v>
      </c>
      <c r="N630" s="85" t="s">
        <v>726</v>
      </c>
      <c r="O630" s="25">
        <f t="shared" si="19"/>
        <v>-7.6403173670280822E-4</v>
      </c>
    </row>
    <row r="631" spans="1:15">
      <c r="A631" s="83">
        <v>511.56264350783891</v>
      </c>
      <c r="B631" s="83">
        <v>517.98323573890525</v>
      </c>
      <c r="C631" s="83">
        <v>511.40604369732512</v>
      </c>
      <c r="D631" s="83">
        <v>517.84621090470569</v>
      </c>
      <c r="E631" s="84">
        <v>8145883.6751752477</v>
      </c>
      <c r="F631" s="85" t="s">
        <v>727</v>
      </c>
      <c r="G631" s="25">
        <f t="shared" si="18"/>
        <v>-1.213404146742536E-2</v>
      </c>
      <c r="I631" s="83">
        <v>164.59940500874762</v>
      </c>
      <c r="J631" s="83">
        <v>167.58070977058384</v>
      </c>
      <c r="K631" s="83">
        <v>164.16544864127638</v>
      </c>
      <c r="L631" s="83">
        <v>167.22766052247167</v>
      </c>
      <c r="M631" s="84">
        <v>9664066.354039751</v>
      </c>
      <c r="N631" s="85" t="s">
        <v>727</v>
      </c>
      <c r="O631" s="25">
        <f t="shared" si="19"/>
        <v>-1.5716631480178211E-2</v>
      </c>
    </row>
    <row r="632" spans="1:15">
      <c r="A632" s="83">
        <v>521.82971858465066</v>
      </c>
      <c r="B632" s="83">
        <v>524.80511498441319</v>
      </c>
      <c r="C632" s="83">
        <v>521.27183175969537</v>
      </c>
      <c r="D632" s="83">
        <v>522.99442967534719</v>
      </c>
      <c r="E632" s="84">
        <v>3133607.8785147569</v>
      </c>
      <c r="F632" s="85" t="s">
        <v>728</v>
      </c>
      <c r="G632" s="25">
        <f t="shared" si="18"/>
        <v>-2.2270047721532071E-3</v>
      </c>
      <c r="I632" s="83">
        <v>171.18965764017508</v>
      </c>
      <c r="J632" s="83">
        <v>172.75876540956256</v>
      </c>
      <c r="K632" s="83">
        <v>169.45383217029016</v>
      </c>
      <c r="L632" s="83">
        <v>170.6208560737721</v>
      </c>
      <c r="M632" s="84">
        <v>5937082.0677514886</v>
      </c>
      <c r="N632" s="85" t="s">
        <v>728</v>
      </c>
      <c r="O632" s="25">
        <f t="shared" si="19"/>
        <v>3.3337165191402729E-3</v>
      </c>
    </row>
    <row r="633" spans="1:15">
      <c r="A633" s="83">
        <v>523.405504177946</v>
      </c>
      <c r="B633" s="83">
        <v>524.43319043444296</v>
      </c>
      <c r="C633" s="83">
        <v>520.44968275449776</v>
      </c>
      <c r="D633" s="83">
        <v>521.79056863202231</v>
      </c>
      <c r="E633" s="84">
        <v>3093348.3151135361</v>
      </c>
      <c r="F633" s="85" t="s">
        <v>729</v>
      </c>
      <c r="G633" s="25">
        <f t="shared" si="18"/>
        <v>3.0949879951980286E-3</v>
      </c>
      <c r="I633" s="83">
        <v>170.08147527804516</v>
      </c>
      <c r="J633" s="83">
        <v>170.66312391430998</v>
      </c>
      <c r="K633" s="83">
        <v>168.96348599235657</v>
      </c>
      <c r="L633" s="83">
        <v>168.96348599235657</v>
      </c>
      <c r="M633" s="84">
        <v>4204083.9569451921</v>
      </c>
      <c r="N633" s="85" t="s">
        <v>729</v>
      </c>
      <c r="O633" s="25">
        <f t="shared" si="19"/>
        <v>6.616750827094009E-3</v>
      </c>
    </row>
    <row r="634" spans="1:15">
      <c r="A634" s="83">
        <v>522.57356768459135</v>
      </c>
      <c r="B634" s="83">
        <v>524.18850323051504</v>
      </c>
      <c r="C634" s="83">
        <v>522.32966347971603</v>
      </c>
      <c r="D634" s="83">
        <v>524.14935327788658</v>
      </c>
      <c r="E634" s="84">
        <v>3481966.9207192706</v>
      </c>
      <c r="F634" s="85" t="s">
        <v>730</v>
      </c>
      <c r="G634" s="25">
        <f t="shared" si="18"/>
        <v>-3.0063675237614884E-3</v>
      </c>
      <c r="I634" s="83">
        <v>169.09097599861929</v>
      </c>
      <c r="J634" s="83">
        <v>170.80718762138684</v>
      </c>
      <c r="K634" s="83">
        <v>168.81147867719716</v>
      </c>
      <c r="L634" s="83">
        <v>170.68460107690345</v>
      </c>
      <c r="M634" s="84">
        <v>4415218.4669280993</v>
      </c>
      <c r="N634" s="85" t="s">
        <v>730</v>
      </c>
      <c r="O634" s="25">
        <f t="shared" si="19"/>
        <v>-9.3366658048205098E-3</v>
      </c>
    </row>
    <row r="635" spans="1:15">
      <c r="A635" s="83">
        <v>520.94884465051052</v>
      </c>
      <c r="B635" s="83">
        <v>525.84268660394866</v>
      </c>
      <c r="C635" s="83">
        <v>520.12082315241878</v>
      </c>
      <c r="D635" s="83">
        <v>523.28805432006061</v>
      </c>
      <c r="E635" s="84">
        <v>4421144.5577639071</v>
      </c>
      <c r="F635" s="85" t="s">
        <v>731</v>
      </c>
      <c r="G635" s="25">
        <f t="shared" si="18"/>
        <v>-4.4702141587955602E-3</v>
      </c>
      <c r="I635" s="83">
        <v>170.1697375900732</v>
      </c>
      <c r="J635" s="83">
        <v>172.88625541582527</v>
      </c>
      <c r="K635" s="83">
        <v>169.75784680060897</v>
      </c>
      <c r="L635" s="83">
        <v>171.40540995846584</v>
      </c>
      <c r="M635" s="84">
        <v>3747063.9778267858</v>
      </c>
      <c r="N635" s="85" t="s">
        <v>731</v>
      </c>
      <c r="O635" s="25">
        <f t="shared" si="19"/>
        <v>-7.2090628218330899E-3</v>
      </c>
    </row>
    <row r="636" spans="1:15">
      <c r="A636" s="83">
        <v>521.15438190180998</v>
      </c>
      <c r="B636" s="83">
        <v>521.84929356096495</v>
      </c>
      <c r="C636" s="83">
        <v>518.77602227963132</v>
      </c>
      <c r="D636" s="83">
        <v>521.83950607280781</v>
      </c>
      <c r="E636" s="84">
        <v>4574985.8677945798</v>
      </c>
      <c r="F636" s="85" t="s">
        <v>732</v>
      </c>
      <c r="G636" s="25">
        <f t="shared" ref="G636:G699" si="20">A636/D636-1</f>
        <v>-1.3129020762606691E-3</v>
      </c>
      <c r="I636" s="83">
        <v>171.01313301611899</v>
      </c>
      <c r="J636" s="83">
        <v>171.57624656685789</v>
      </c>
      <c r="K636" s="83">
        <v>169.5715152529942</v>
      </c>
      <c r="L636" s="83">
        <v>169.96869565712043</v>
      </c>
      <c r="M636" s="84">
        <v>3556707.645503866</v>
      </c>
      <c r="N636" s="85" t="s">
        <v>732</v>
      </c>
      <c r="O636" s="25">
        <f t="shared" ref="O636:O699" si="21">I636/L636-1</f>
        <v>6.1448807085364709E-3</v>
      </c>
    </row>
    <row r="637" spans="1:15">
      <c r="A637" s="83">
        <v>519.97988332295631</v>
      </c>
      <c r="B637" s="83">
        <v>523.35656673716039</v>
      </c>
      <c r="C637" s="83">
        <v>516.79894967189455</v>
      </c>
      <c r="D637" s="83">
        <v>522.92591725824741</v>
      </c>
      <c r="E637" s="84">
        <v>5341262.1462030783</v>
      </c>
      <c r="F637" s="85" t="s">
        <v>733</v>
      </c>
      <c r="G637" s="25">
        <f t="shared" si="20"/>
        <v>-5.6337500935839113E-3</v>
      </c>
      <c r="I637" s="83">
        <v>169.75784680060897</v>
      </c>
      <c r="J637" s="83">
        <v>172.67050309753449</v>
      </c>
      <c r="K637" s="83">
        <v>169.66958448858094</v>
      </c>
      <c r="L637" s="83">
        <v>171.13081609882303</v>
      </c>
      <c r="M637" s="84">
        <v>4925514.0728905639</v>
      </c>
      <c r="N637" s="85" t="s">
        <v>733</v>
      </c>
      <c r="O637" s="25">
        <f t="shared" si="21"/>
        <v>-8.022922636103158E-3</v>
      </c>
    </row>
    <row r="638" spans="1:15">
      <c r="A638" s="83">
        <v>524.76596503178473</v>
      </c>
      <c r="B638" s="83">
        <v>525.86216370538136</v>
      </c>
      <c r="C638" s="83">
        <v>522.13313071752123</v>
      </c>
      <c r="D638" s="83">
        <v>522.75952995957653</v>
      </c>
      <c r="E638" s="84">
        <v>3439692.5400653039</v>
      </c>
      <c r="F638" s="85" t="s">
        <v>734</v>
      </c>
      <c r="G638" s="25">
        <f t="shared" si="20"/>
        <v>3.8381606785118372E-3</v>
      </c>
      <c r="I638" s="83">
        <v>171.92517690707547</v>
      </c>
      <c r="J638" s="83">
        <v>172.45475077924374</v>
      </c>
      <c r="K638" s="83">
        <v>170.91506378053225</v>
      </c>
      <c r="L638" s="83">
        <v>172.06247383689686</v>
      </c>
      <c r="M638" s="84">
        <v>5618595.8491821447</v>
      </c>
      <c r="N638" s="85" t="s">
        <v>734</v>
      </c>
      <c r="O638" s="25">
        <f t="shared" si="21"/>
        <v>-7.9794813337119574E-4</v>
      </c>
    </row>
    <row r="639" spans="1:15">
      <c r="A639" s="83">
        <v>525.12810209359793</v>
      </c>
      <c r="B639" s="83">
        <v>526.18515081456621</v>
      </c>
      <c r="C639" s="83">
        <v>522.36803043329201</v>
      </c>
      <c r="D639" s="83">
        <v>525.3140643685831</v>
      </c>
      <c r="E639" s="84">
        <v>3751147.3230562331</v>
      </c>
      <c r="F639" s="85" t="s">
        <v>735</v>
      </c>
      <c r="G639" s="25">
        <f t="shared" si="20"/>
        <v>-3.5400208674918332E-4</v>
      </c>
      <c r="I639" s="83">
        <v>170.40510375548132</v>
      </c>
      <c r="J639" s="83">
        <v>171.76826613013671</v>
      </c>
      <c r="K639" s="83">
        <v>169.81668834196103</v>
      </c>
      <c r="L639" s="83">
        <v>171.08178148102968</v>
      </c>
      <c r="M639" s="84">
        <v>4281018.3793954253</v>
      </c>
      <c r="N639" s="85" t="s">
        <v>735</v>
      </c>
      <c r="O639" s="25">
        <f t="shared" si="21"/>
        <v>-3.955288048151373E-3</v>
      </c>
    </row>
    <row r="640" spans="1:15">
      <c r="A640" s="83">
        <v>525.94046361063829</v>
      </c>
      <c r="B640" s="83">
        <v>526.66473773426469</v>
      </c>
      <c r="C640" s="83">
        <v>524.17871574235789</v>
      </c>
      <c r="D640" s="83">
        <v>525.49023915541113</v>
      </c>
      <c r="E640" s="84">
        <v>5180503.8418513658</v>
      </c>
      <c r="F640" s="85" t="s">
        <v>736</v>
      </c>
      <c r="G640" s="25">
        <f t="shared" si="20"/>
        <v>8.5677034829556575E-4</v>
      </c>
      <c r="I640" s="83">
        <v>171.3171476464378</v>
      </c>
      <c r="J640" s="83">
        <v>173.55312621781496</v>
      </c>
      <c r="K640" s="83">
        <v>171.20927148729243</v>
      </c>
      <c r="L640" s="83">
        <v>173.38640851731756</v>
      </c>
      <c r="M640" s="84">
        <v>5099720.5903349994</v>
      </c>
      <c r="N640" s="85" t="s">
        <v>736</v>
      </c>
      <c r="O640" s="25">
        <f t="shared" si="21"/>
        <v>-1.1934389140271562E-2</v>
      </c>
    </row>
    <row r="641" spans="1:15">
      <c r="A641" s="83">
        <v>523.92424105027294</v>
      </c>
      <c r="B641" s="83">
        <v>527.31071195263416</v>
      </c>
      <c r="C641" s="83">
        <v>523.77742872791623</v>
      </c>
      <c r="D641" s="83">
        <v>527.1736871184346</v>
      </c>
      <c r="E641" s="84">
        <v>3295326.5927131134</v>
      </c>
      <c r="F641" s="85" t="s">
        <v>737</v>
      </c>
      <c r="G641" s="25">
        <f t="shared" si="20"/>
        <v>-6.1639003379007073E-3</v>
      </c>
      <c r="I641" s="83">
        <v>172.28803307874631</v>
      </c>
      <c r="J641" s="83">
        <v>174.31806625539139</v>
      </c>
      <c r="K641" s="83">
        <v>171.75845920657801</v>
      </c>
      <c r="L641" s="83">
        <v>174.07289316642459</v>
      </c>
      <c r="M641" s="84">
        <v>5581720.880407637</v>
      </c>
      <c r="N641" s="85" t="s">
        <v>737</v>
      </c>
      <c r="O641" s="25">
        <f t="shared" si="21"/>
        <v>-1.025352112676059E-2</v>
      </c>
    </row>
    <row r="642" spans="1:15">
      <c r="A642" s="83">
        <v>523.84594114501613</v>
      </c>
      <c r="B642" s="83">
        <v>524.34510304102889</v>
      </c>
      <c r="C642" s="83">
        <v>520.9048009538036</v>
      </c>
      <c r="D642" s="83">
        <v>521.60460635703714</v>
      </c>
      <c r="E642" s="84">
        <v>3307504.3852260346</v>
      </c>
      <c r="F642" s="85" t="s">
        <v>738</v>
      </c>
      <c r="G642" s="25">
        <f t="shared" si="20"/>
        <v>4.2969996059520899E-3</v>
      </c>
      <c r="I642" s="83">
        <v>171.3956030349072</v>
      </c>
      <c r="J642" s="83">
        <v>171.53486134944032</v>
      </c>
      <c r="K642" s="83">
        <v>168.32603596104289</v>
      </c>
      <c r="L642" s="83">
        <v>170.15012374295586</v>
      </c>
      <c r="M642" s="84">
        <v>6508701.6961152712</v>
      </c>
      <c r="N642" s="85" t="s">
        <v>738</v>
      </c>
      <c r="O642" s="25">
        <f t="shared" si="21"/>
        <v>7.3198847262248012E-3</v>
      </c>
    </row>
    <row r="643" spans="1:15">
      <c r="A643" s="83">
        <v>521.65354379782275</v>
      </c>
      <c r="B643" s="83">
        <v>526.18515081456621</v>
      </c>
      <c r="C643" s="83">
        <v>520.51819517159765</v>
      </c>
      <c r="D643" s="83">
        <v>525.96003858695258</v>
      </c>
      <c r="E643" s="84">
        <v>4915796.497289516</v>
      </c>
      <c r="F643" s="85" t="s">
        <v>739</v>
      </c>
      <c r="G643" s="25">
        <f t="shared" si="20"/>
        <v>-8.1878745022144761E-3</v>
      </c>
      <c r="I643" s="83">
        <v>170.72873223291751</v>
      </c>
      <c r="J643" s="83">
        <v>174.77889359341336</v>
      </c>
      <c r="K643" s="83">
        <v>170.39529683192265</v>
      </c>
      <c r="L643" s="83">
        <v>173.52370544713895</v>
      </c>
      <c r="M643" s="84">
        <v>5963776.4738446726</v>
      </c>
      <c r="N643" s="85" t="s">
        <v>739</v>
      </c>
      <c r="O643" s="25">
        <f t="shared" si="21"/>
        <v>-1.6107154967785586E-2</v>
      </c>
    </row>
    <row r="644" spans="1:15">
      <c r="A644" s="83">
        <v>525.65662645408213</v>
      </c>
      <c r="B644" s="83">
        <v>526.5472878763793</v>
      </c>
      <c r="C644" s="83">
        <v>522.62250512537696</v>
      </c>
      <c r="D644" s="83">
        <v>522.89655479377609</v>
      </c>
      <c r="E644" s="84">
        <v>2696227.0172271961</v>
      </c>
      <c r="F644" s="85" t="s">
        <v>740</v>
      </c>
      <c r="G644" s="25">
        <f t="shared" si="20"/>
        <v>5.2784277023867343E-3</v>
      </c>
      <c r="I644" s="83">
        <v>172.71953771532787</v>
      </c>
      <c r="J644" s="83">
        <v>173.79829930678176</v>
      </c>
      <c r="K644" s="83">
        <v>172.11150845469021</v>
      </c>
      <c r="L644" s="83">
        <v>173.14123542835077</v>
      </c>
      <c r="M644" s="84">
        <v>4780971.2923213663</v>
      </c>
      <c r="N644" s="85" t="s">
        <v>740</v>
      </c>
      <c r="O644" s="25">
        <f t="shared" si="21"/>
        <v>-2.435570659869768E-3</v>
      </c>
    </row>
    <row r="645" spans="1:15">
      <c r="A645" s="83">
        <v>521.38928161758065</v>
      </c>
      <c r="B645" s="83">
        <v>522.09398076489276</v>
      </c>
      <c r="C645" s="83">
        <v>518.13983554941899</v>
      </c>
      <c r="D645" s="83">
        <v>518.24749791914724</v>
      </c>
      <c r="E645" s="84">
        <v>5547049.3683859408</v>
      </c>
      <c r="F645" s="85" t="s">
        <v>741</v>
      </c>
      <c r="G645" s="25">
        <f t="shared" si="20"/>
        <v>6.0623229461758132E-3</v>
      </c>
      <c r="I645" s="83">
        <v>172.37629539077437</v>
      </c>
      <c r="J645" s="83">
        <v>173.582546988491</v>
      </c>
      <c r="K645" s="83">
        <v>171.03274686323633</v>
      </c>
      <c r="L645" s="83">
        <v>172.10660499291089</v>
      </c>
      <c r="M645" s="84">
        <v>5984968.6447386965</v>
      </c>
      <c r="N645" s="85" t="s">
        <v>741</v>
      </c>
      <c r="O645" s="25">
        <f t="shared" si="21"/>
        <v>1.5669962107183188E-3</v>
      </c>
    </row>
    <row r="646" spans="1:15">
      <c r="A646" s="83">
        <v>518.30622284808987</v>
      </c>
      <c r="B646" s="83">
        <v>519.61774626114311</v>
      </c>
      <c r="C646" s="83">
        <v>516.86746208899433</v>
      </c>
      <c r="D646" s="83">
        <v>518.02238569153371</v>
      </c>
      <c r="E646" s="84">
        <v>3716615.4805063787</v>
      </c>
      <c r="F646" s="85" t="s">
        <v>742</v>
      </c>
      <c r="G646" s="25">
        <f t="shared" si="20"/>
        <v>5.4792449978258162E-4</v>
      </c>
      <c r="I646" s="83">
        <v>172.02324614266217</v>
      </c>
      <c r="J646" s="83">
        <v>174.85744705111833</v>
      </c>
      <c r="K646" s="83">
        <v>170.81709261418115</v>
      </c>
      <c r="L646" s="83">
        <v>174.21999701980465</v>
      </c>
      <c r="M646" s="84">
        <v>7255982.9363692263</v>
      </c>
      <c r="N646" s="85" t="s">
        <v>742</v>
      </c>
      <c r="O646" s="25">
        <f t="shared" si="21"/>
        <v>-1.2609062763861534E-2</v>
      </c>
    </row>
    <row r="647" spans="1:15">
      <c r="A647" s="83">
        <v>519.1773092940731</v>
      </c>
      <c r="B647" s="83">
        <v>519.74498360718565</v>
      </c>
      <c r="C647" s="83">
        <v>515.12528919702811</v>
      </c>
      <c r="D647" s="83">
        <v>515.67338853382648</v>
      </c>
      <c r="E647" s="84">
        <v>3005658.8092645565</v>
      </c>
      <c r="F647" s="85" t="s">
        <v>743</v>
      </c>
      <c r="G647" s="25">
        <f t="shared" si="20"/>
        <v>6.7948450281853923E-3</v>
      </c>
      <c r="I647" s="83">
        <v>174.45536318738795</v>
      </c>
      <c r="J647" s="83">
        <v>174.76848067137453</v>
      </c>
      <c r="K647" s="83">
        <v>170.07171841157609</v>
      </c>
      <c r="L647" s="83">
        <v>170.80558751466958</v>
      </c>
      <c r="M647" s="84">
        <v>8299396.2742480617</v>
      </c>
      <c r="N647" s="85" t="s">
        <v>743</v>
      </c>
      <c r="O647" s="25">
        <f t="shared" si="21"/>
        <v>2.1368010999083475E-2</v>
      </c>
    </row>
    <row r="648" spans="1:15">
      <c r="A648" s="83">
        <v>515.65381355751231</v>
      </c>
      <c r="B648" s="83">
        <v>516.17255042983925</v>
      </c>
      <c r="C648" s="83">
        <v>512.37500502487933</v>
      </c>
      <c r="D648" s="83">
        <v>513.17757905376266</v>
      </c>
      <c r="E648" s="84">
        <v>2683698.7772915103</v>
      </c>
      <c r="F648" s="85" t="s">
        <v>744</v>
      </c>
      <c r="G648" s="25">
        <f t="shared" si="20"/>
        <v>4.8252975282270238E-3</v>
      </c>
      <c r="I648" s="83">
        <v>170.61967400855258</v>
      </c>
      <c r="J648" s="83">
        <v>170.88386688566621</v>
      </c>
      <c r="K648" s="83">
        <v>166.77615689261754</v>
      </c>
      <c r="L648" s="83">
        <v>166.93075865033589</v>
      </c>
      <c r="M648" s="84">
        <v>8017823.2401348222</v>
      </c>
      <c r="N648" s="85" t="s">
        <v>744</v>
      </c>
      <c r="O648" s="25">
        <f t="shared" si="21"/>
        <v>2.2098475967174736E-2</v>
      </c>
    </row>
    <row r="649" spans="1:15">
      <c r="A649" s="83">
        <v>510.81879440789828</v>
      </c>
      <c r="B649" s="83">
        <v>514.54792527064001</v>
      </c>
      <c r="C649" s="83">
        <v>509.74217071061582</v>
      </c>
      <c r="D649" s="83">
        <v>513.98015308264587</v>
      </c>
      <c r="E649" s="84">
        <v>4056714.9980297568</v>
      </c>
      <c r="F649" s="85" t="s">
        <v>745</v>
      </c>
      <c r="G649" s="25">
        <f t="shared" si="20"/>
        <v>-6.15074075484634E-3</v>
      </c>
      <c r="I649" s="83">
        <v>166.31430860373735</v>
      </c>
      <c r="J649" s="83">
        <v>168.62355004813824</v>
      </c>
      <c r="K649" s="83">
        <v>165.90334190600498</v>
      </c>
      <c r="L649" s="83">
        <v>166.75463006559343</v>
      </c>
      <c r="M649" s="84">
        <v>6940225.4142194837</v>
      </c>
      <c r="N649" s="85" t="s">
        <v>745</v>
      </c>
      <c r="O649" s="25">
        <f t="shared" si="21"/>
        <v>-2.6405351484566353E-3</v>
      </c>
    </row>
    <row r="650" spans="1:15">
      <c r="A650" s="83">
        <v>515.45806379436999</v>
      </c>
      <c r="B650" s="83">
        <v>515.82020085618319</v>
      </c>
      <c r="C650" s="83">
        <v>511.20050644602571</v>
      </c>
      <c r="D650" s="83">
        <v>514.9784768746714</v>
      </c>
      <c r="E650" s="84">
        <v>5474514.9255744778</v>
      </c>
      <c r="F650" s="85" t="s">
        <v>746</v>
      </c>
      <c r="G650" s="25">
        <f t="shared" si="20"/>
        <v>9.312756575947656E-4</v>
      </c>
      <c r="I650" s="83">
        <v>167.18516660607497</v>
      </c>
      <c r="J650" s="83">
        <v>167.2243062915733</v>
      </c>
      <c r="K650" s="83">
        <v>164.54813029562564</v>
      </c>
      <c r="L650" s="83">
        <v>165.08140851054026</v>
      </c>
      <c r="M650" s="84">
        <v>6529949.250894432</v>
      </c>
      <c r="N650" s="85" t="s">
        <v>746</v>
      </c>
      <c r="O650" s="25">
        <f t="shared" si="21"/>
        <v>1.2743761484203642E-2</v>
      </c>
    </row>
    <row r="651" spans="1:15">
      <c r="A651" s="83">
        <v>510.75028199079856</v>
      </c>
      <c r="B651" s="83">
        <v>512.62458597288571</v>
      </c>
      <c r="C651" s="83">
        <v>508.77320938306173</v>
      </c>
      <c r="D651" s="83">
        <v>510.47623232239931</v>
      </c>
      <c r="E651" s="84">
        <v>4094975.0698672738</v>
      </c>
      <c r="F651" s="85" t="s">
        <v>747</v>
      </c>
      <c r="G651" s="25">
        <f t="shared" si="20"/>
        <v>5.3685098550526611E-4</v>
      </c>
      <c r="I651" s="83">
        <v>163.27119805624295</v>
      </c>
      <c r="J651" s="83">
        <v>164.24969019370096</v>
      </c>
      <c r="K651" s="83">
        <v>162.66453293101898</v>
      </c>
      <c r="L651" s="83">
        <v>163.30055282036668</v>
      </c>
      <c r="M651" s="84">
        <v>4839801.7916656388</v>
      </c>
      <c r="N651" s="85" t="s">
        <v>747</v>
      </c>
      <c r="O651" s="25">
        <f t="shared" si="21"/>
        <v>-1.79759122775347E-4</v>
      </c>
    </row>
    <row r="652" spans="1:15">
      <c r="A652" s="83">
        <v>511.71924331835277</v>
      </c>
      <c r="B652" s="83">
        <v>512.71756711037835</v>
      </c>
      <c r="C652" s="83">
        <v>508.53840754217254</v>
      </c>
      <c r="D652" s="83">
        <v>510.76006947895564</v>
      </c>
      <c r="E652" s="84">
        <v>3341595.869644077</v>
      </c>
      <c r="F652" s="85" t="s">
        <v>748</v>
      </c>
      <c r="G652" s="25">
        <f t="shared" si="20"/>
        <v>1.877934272300541E-3</v>
      </c>
      <c r="I652" s="83">
        <v>164.10291637308225</v>
      </c>
      <c r="J652" s="83">
        <v>165.54129981514552</v>
      </c>
      <c r="K652" s="83">
        <v>163.67237983260074</v>
      </c>
      <c r="L652" s="83">
        <v>163.99528223796185</v>
      </c>
      <c r="M652" s="84">
        <v>7228494.4653462283</v>
      </c>
      <c r="N652" s="85" t="s">
        <v>748</v>
      </c>
      <c r="O652" s="25">
        <f t="shared" si="21"/>
        <v>6.5632458233899627E-4</v>
      </c>
    </row>
    <row r="653" spans="1:15">
      <c r="A653" s="83">
        <v>511.63115592493875</v>
      </c>
      <c r="B653" s="83">
        <v>515.89850076144012</v>
      </c>
      <c r="C653" s="83">
        <v>509.17449639750333</v>
      </c>
      <c r="D653" s="83">
        <v>515.83977583249737</v>
      </c>
      <c r="E653" s="84">
        <v>9398383.7858487554</v>
      </c>
      <c r="F653" s="85" t="s">
        <v>749</v>
      </c>
      <c r="G653" s="25">
        <f t="shared" si="20"/>
        <v>-8.15877352762584E-3</v>
      </c>
      <c r="I653" s="83">
        <v>163.56474569748033</v>
      </c>
      <c r="J653" s="83">
        <v>166.84269435796466</v>
      </c>
      <c r="K653" s="83">
        <v>162.40034005390532</v>
      </c>
      <c r="L653" s="83">
        <v>166.55893163810183</v>
      </c>
      <c r="M653" s="84">
        <v>7761996.9637476569</v>
      </c>
      <c r="N653" s="85" t="s">
        <v>749</v>
      </c>
      <c r="O653" s="25">
        <f t="shared" si="21"/>
        <v>-1.7976735988720405E-2</v>
      </c>
    </row>
    <row r="654" spans="1:15">
      <c r="A654" s="83">
        <v>516.45638758639552</v>
      </c>
      <c r="B654" s="83">
        <v>516.73533099887334</v>
      </c>
      <c r="C654" s="83">
        <v>511.09284407629752</v>
      </c>
      <c r="D654" s="83">
        <v>513.17757905376266</v>
      </c>
      <c r="E654" s="84">
        <v>8191426.5144456113</v>
      </c>
      <c r="F654" s="85" t="s">
        <v>750</v>
      </c>
      <c r="G654" s="25">
        <f t="shared" si="20"/>
        <v>6.3892279523953821E-3</v>
      </c>
      <c r="I654" s="83">
        <v>166.73506022284428</v>
      </c>
      <c r="J654" s="83">
        <v>166.85247927933926</v>
      </c>
      <c r="K654" s="83">
        <v>162.87001627988514</v>
      </c>
      <c r="L654" s="83">
        <v>165.85441729913208</v>
      </c>
      <c r="M654" s="84">
        <v>10443592.348680027</v>
      </c>
      <c r="N654" s="85" t="s">
        <v>750</v>
      </c>
      <c r="O654" s="25">
        <f t="shared" si="21"/>
        <v>5.3097345132742113E-3</v>
      </c>
    </row>
    <row r="655" spans="1:15">
      <c r="A655" s="83">
        <v>514.21505279841665</v>
      </c>
      <c r="B655" s="83">
        <v>516.55426246796662</v>
      </c>
      <c r="C655" s="83">
        <v>513.17757905376266</v>
      </c>
      <c r="D655" s="83">
        <v>515.88871327328297</v>
      </c>
      <c r="E655" s="84">
        <v>5720154.0478300387</v>
      </c>
      <c r="F655" s="85" t="s">
        <v>751</v>
      </c>
      <c r="G655" s="25">
        <f t="shared" si="20"/>
        <v>-3.2442277409928666E-3</v>
      </c>
      <c r="I655" s="83">
        <v>165.11076327466401</v>
      </c>
      <c r="J655" s="83">
        <v>165.47260966709598</v>
      </c>
      <c r="K655" s="83">
        <v>162.92872580813264</v>
      </c>
      <c r="L655" s="83">
        <v>164.47474338531629</v>
      </c>
      <c r="M655" s="84">
        <v>9171639.3586097173</v>
      </c>
      <c r="N655" s="85" t="s">
        <v>751</v>
      </c>
      <c r="O655" s="25">
        <f t="shared" si="21"/>
        <v>3.866976024748725E-3</v>
      </c>
    </row>
    <row r="656" spans="1:15">
      <c r="A656" s="83">
        <v>514.88197223832992</v>
      </c>
      <c r="B656" s="83">
        <v>517.04804761898004</v>
      </c>
      <c r="C656" s="83">
        <v>512.72565395398897</v>
      </c>
      <c r="D656" s="83">
        <v>516.80412021124914</v>
      </c>
      <c r="E656" s="84">
        <v>5405209.5345295509</v>
      </c>
      <c r="F656" s="85" t="s">
        <v>752</v>
      </c>
      <c r="G656" s="25">
        <f t="shared" si="20"/>
        <v>-3.7192969207240356E-3</v>
      </c>
      <c r="I656" s="83">
        <v>164.48452830669086</v>
      </c>
      <c r="J656" s="83">
        <v>164.73893626242997</v>
      </c>
      <c r="K656" s="83">
        <v>162.89937104400889</v>
      </c>
      <c r="L656" s="83">
        <v>164.04420684483478</v>
      </c>
      <c r="M656" s="84">
        <v>7252834.977741017</v>
      </c>
      <c r="N656" s="85" t="s">
        <v>752</v>
      </c>
      <c r="O656" s="25">
        <f t="shared" si="21"/>
        <v>2.6841634357290811E-3</v>
      </c>
    </row>
    <row r="657" spans="1:15">
      <c r="A657" s="83">
        <v>512.84273910969978</v>
      </c>
      <c r="B657" s="83">
        <v>514.4916883859604</v>
      </c>
      <c r="C657" s="83">
        <v>511.90605786401318</v>
      </c>
      <c r="D657" s="83">
        <v>513.81844874062324</v>
      </c>
      <c r="E657" s="84">
        <v>36299784.154510416</v>
      </c>
      <c r="F657" s="85" t="s">
        <v>753</v>
      </c>
      <c r="G657" s="25">
        <f t="shared" si="20"/>
        <v>-1.8989384933820741E-3</v>
      </c>
      <c r="I657" s="83">
        <v>162.70367261651731</v>
      </c>
      <c r="J657" s="83">
        <v>165.12054819603858</v>
      </c>
      <c r="K657" s="83">
        <v>162.09700749129334</v>
      </c>
      <c r="L657" s="83">
        <v>164.08334653033307</v>
      </c>
      <c r="M657" s="84">
        <v>7299432.1840491332</v>
      </c>
      <c r="N657" s="85" t="s">
        <v>753</v>
      </c>
      <c r="O657" s="25">
        <f t="shared" si="21"/>
        <v>-8.4083725922832198E-3</v>
      </c>
    </row>
    <row r="658" spans="1:15">
      <c r="A658" s="83">
        <v>513.8867484147878</v>
      </c>
      <c r="B658" s="83">
        <v>514.0428619557357</v>
      </c>
      <c r="C658" s="83">
        <v>510.66690663274034</v>
      </c>
      <c r="D658" s="83">
        <v>513.23302296206919</v>
      </c>
      <c r="E658" s="84">
        <v>4766385.2570546558</v>
      </c>
      <c r="F658" s="85" t="s">
        <v>754</v>
      </c>
      <c r="G658" s="25">
        <f t="shared" si="20"/>
        <v>1.2737400429647661E-3</v>
      </c>
      <c r="I658" s="83">
        <v>162.23399639053747</v>
      </c>
      <c r="J658" s="83">
        <v>162.52754403177485</v>
      </c>
      <c r="K658" s="83">
        <v>160.39443117211638</v>
      </c>
      <c r="L658" s="83">
        <v>162.17528686228997</v>
      </c>
      <c r="M658" s="84">
        <v>6290368.3784215953</v>
      </c>
      <c r="N658" s="85" t="s">
        <v>754</v>
      </c>
      <c r="O658" s="25">
        <f t="shared" si="21"/>
        <v>3.6201279111880424E-4</v>
      </c>
    </row>
    <row r="659" spans="1:15">
      <c r="A659" s="83">
        <v>512.4134268720934</v>
      </c>
      <c r="B659" s="83">
        <v>513.05739522850297</v>
      </c>
      <c r="C659" s="83">
        <v>511.10597596665599</v>
      </c>
      <c r="D659" s="83">
        <v>512.24755623483645</v>
      </c>
      <c r="E659" s="84">
        <v>30018310.849589702</v>
      </c>
      <c r="F659" s="85" t="s">
        <v>755</v>
      </c>
      <c r="G659" s="25">
        <f t="shared" si="20"/>
        <v>3.2380952380939299E-4</v>
      </c>
      <c r="I659" s="83">
        <v>162.38077021115615</v>
      </c>
      <c r="J659" s="83">
        <v>163.73108936084822</v>
      </c>
      <c r="K659" s="83">
        <v>160.72711849885212</v>
      </c>
      <c r="L659" s="83">
        <v>163.62834768641511</v>
      </c>
      <c r="M659" s="84">
        <v>8090081.3577970443</v>
      </c>
      <c r="N659" s="85" t="s">
        <v>755</v>
      </c>
      <c r="O659" s="25">
        <f t="shared" si="21"/>
        <v>-7.6244580654807326E-3</v>
      </c>
    </row>
    <row r="660" spans="1:15">
      <c r="A660" s="83">
        <v>511.15476144820212</v>
      </c>
      <c r="B660" s="83">
        <v>512.1694994643625</v>
      </c>
      <c r="C660" s="83">
        <v>508.46180286685325</v>
      </c>
      <c r="D660" s="83">
        <v>510.79374888476042</v>
      </c>
      <c r="E660" s="84">
        <v>5752406.0664315317</v>
      </c>
      <c r="F660" s="85" t="s">
        <v>756</v>
      </c>
      <c r="G660" s="25">
        <f t="shared" si="20"/>
        <v>7.0676777903000421E-4</v>
      </c>
      <c r="I660" s="83">
        <v>164.38667909294506</v>
      </c>
      <c r="J660" s="83">
        <v>165.19882756703521</v>
      </c>
      <c r="K660" s="83">
        <v>163.01679010050384</v>
      </c>
      <c r="L660" s="83">
        <v>163.53539093335658</v>
      </c>
      <c r="M660" s="84">
        <v>12455629.977428468</v>
      </c>
      <c r="N660" s="85" t="s">
        <v>756</v>
      </c>
      <c r="O660" s="25">
        <f t="shared" si="21"/>
        <v>5.2055286304075743E-3</v>
      </c>
    </row>
    <row r="661" spans="1:15">
      <c r="A661" s="83">
        <v>512.15974236805323</v>
      </c>
      <c r="B661" s="83">
        <v>513.80869164431408</v>
      </c>
      <c r="C661" s="83">
        <v>509.50581217194144</v>
      </c>
      <c r="D661" s="83">
        <v>512.13047107912564</v>
      </c>
      <c r="E661" s="84">
        <v>5696747.0893354472</v>
      </c>
      <c r="F661" s="85" t="s">
        <v>757</v>
      </c>
      <c r="G661" s="25">
        <f t="shared" si="20"/>
        <v>5.7155921353135852E-5</v>
      </c>
      <c r="I661" s="83">
        <v>163.9854973165873</v>
      </c>
      <c r="J661" s="83">
        <v>164.54323783493834</v>
      </c>
      <c r="K661" s="83">
        <v>160.9717415332166</v>
      </c>
      <c r="L661" s="83">
        <v>163.65280998985156</v>
      </c>
      <c r="M661" s="84">
        <v>10297358.163935604</v>
      </c>
      <c r="N661" s="85" t="s">
        <v>757</v>
      </c>
      <c r="O661" s="25">
        <f t="shared" si="21"/>
        <v>2.0328849028401486E-3</v>
      </c>
    </row>
    <row r="662" spans="1:15">
      <c r="A662" s="83">
        <v>503.3783556897418</v>
      </c>
      <c r="B662" s="83">
        <v>510.03269537264009</v>
      </c>
      <c r="C662" s="83">
        <v>502.94904345213553</v>
      </c>
      <c r="D662" s="83">
        <v>505.5932165519381</v>
      </c>
      <c r="E662" s="84">
        <v>7093583.7677948205</v>
      </c>
      <c r="F662" s="85" t="s">
        <v>758</v>
      </c>
      <c r="G662" s="25">
        <f t="shared" si="20"/>
        <v>-4.3807171253231747E-3</v>
      </c>
      <c r="I662" s="83">
        <v>160.99131137596578</v>
      </c>
      <c r="J662" s="83">
        <v>164.01485208071102</v>
      </c>
      <c r="K662" s="83">
        <v>160.20851766599938</v>
      </c>
      <c r="L662" s="83">
        <v>164.01485208071102</v>
      </c>
      <c r="M662" s="84">
        <v>12544213.213493275</v>
      </c>
      <c r="N662" s="85" t="s">
        <v>758</v>
      </c>
      <c r="O662" s="25">
        <f t="shared" si="21"/>
        <v>-1.8434554349123E-2</v>
      </c>
    </row>
    <row r="663" spans="1:15">
      <c r="A663" s="83">
        <v>505.01754786969332</v>
      </c>
      <c r="B663" s="83">
        <v>508.08615465894769</v>
      </c>
      <c r="C663" s="83">
        <v>502.97831474106317</v>
      </c>
      <c r="D663" s="83">
        <v>506.82261068690184</v>
      </c>
      <c r="E663" s="84">
        <v>8352850.8294892609</v>
      </c>
      <c r="F663" s="85" t="s">
        <v>759</v>
      </c>
      <c r="G663" s="25">
        <f t="shared" si="20"/>
        <v>-3.5615277991684069E-3</v>
      </c>
      <c r="I663" s="83">
        <v>163.86807826009232</v>
      </c>
      <c r="J663" s="83">
        <v>166.96989833583419</v>
      </c>
      <c r="K663" s="83">
        <v>163.18313376387172</v>
      </c>
      <c r="L663" s="83">
        <v>166.61764116634933</v>
      </c>
      <c r="M663" s="84">
        <v>12856632.688619737</v>
      </c>
      <c r="N663" s="85" t="s">
        <v>759</v>
      </c>
      <c r="O663" s="25">
        <f t="shared" si="21"/>
        <v>-1.6502231618510721E-2</v>
      </c>
    </row>
    <row r="664" spans="1:15">
      <c r="A664" s="83">
        <v>504.7833775582717</v>
      </c>
      <c r="B664" s="83">
        <v>505.01754786969332</v>
      </c>
      <c r="C664" s="83">
        <v>502.14896155477817</v>
      </c>
      <c r="D664" s="83">
        <v>503.79791083103896</v>
      </c>
      <c r="E664" s="84">
        <v>4362212.7578791091</v>
      </c>
      <c r="F664" s="85" t="s">
        <v>760</v>
      </c>
      <c r="G664" s="25">
        <f t="shared" si="20"/>
        <v>1.9560754541581016E-3</v>
      </c>
      <c r="I664" s="83">
        <v>166.66656577322223</v>
      </c>
      <c r="J664" s="83">
        <v>170.24784699631854</v>
      </c>
      <c r="K664" s="83">
        <v>160.9717415332166</v>
      </c>
      <c r="L664" s="83">
        <v>161.44141775919647</v>
      </c>
      <c r="M664" s="84">
        <v>27986299.482324913</v>
      </c>
      <c r="N664" s="85" t="s">
        <v>760</v>
      </c>
      <c r="O664" s="25">
        <f t="shared" si="21"/>
        <v>3.2365597915025246E-2</v>
      </c>
    </row>
    <row r="665" spans="1:15">
      <c r="A665" s="83">
        <v>504.02232404615137</v>
      </c>
      <c r="B665" s="83">
        <v>504.95900529183785</v>
      </c>
      <c r="C665" s="83">
        <v>501.73916350979039</v>
      </c>
      <c r="D665" s="83">
        <v>501.93430543597498</v>
      </c>
      <c r="E665" s="84">
        <v>4526593.6299303519</v>
      </c>
      <c r="F665" s="85" t="s">
        <v>761</v>
      </c>
      <c r="G665" s="25">
        <f t="shared" si="20"/>
        <v>4.1599440157069623E-3</v>
      </c>
      <c r="I665" s="83">
        <v>158.54508103232078</v>
      </c>
      <c r="J665" s="83">
        <v>170.19402992875834</v>
      </c>
      <c r="K665" s="83">
        <v>157.53723413073902</v>
      </c>
      <c r="L665" s="83">
        <v>169.96408427645568</v>
      </c>
      <c r="M665" s="84">
        <v>26293318.070840556</v>
      </c>
      <c r="N665" s="85" t="s">
        <v>761</v>
      </c>
      <c r="O665" s="25">
        <f t="shared" si="21"/>
        <v>-6.7184801381692361E-2</v>
      </c>
    </row>
    <row r="666" spans="1:15">
      <c r="A666" s="83">
        <v>501.3586367537302</v>
      </c>
      <c r="B666" s="83">
        <v>501.65115450108107</v>
      </c>
      <c r="C666" s="83">
        <v>495.71903508699239</v>
      </c>
      <c r="D666" s="83">
        <v>497.69972563776702</v>
      </c>
      <c r="E666" s="84">
        <v>4201596.325455796</v>
      </c>
      <c r="F666" s="85" t="s">
        <v>762</v>
      </c>
      <c r="G666" s="25">
        <f t="shared" si="20"/>
        <v>7.3516438275600393E-3</v>
      </c>
      <c r="I666" s="83">
        <v>157.90906114297306</v>
      </c>
      <c r="J666" s="83">
        <v>158.84841359493277</v>
      </c>
      <c r="K666" s="83">
        <v>154.5039085046192</v>
      </c>
      <c r="L666" s="83">
        <v>155.61938954132131</v>
      </c>
      <c r="M666" s="84">
        <v>16711476.131510332</v>
      </c>
      <c r="N666" s="85" t="s">
        <v>762</v>
      </c>
      <c r="O666" s="25">
        <f t="shared" si="21"/>
        <v>1.4713279678068458E-2</v>
      </c>
    </row>
    <row r="667" spans="1:15">
      <c r="A667" s="83">
        <v>497.08502857028526</v>
      </c>
      <c r="B667" s="83">
        <v>498.04122400859029</v>
      </c>
      <c r="C667" s="83">
        <v>484.19590434578583</v>
      </c>
      <c r="D667" s="83">
        <v>492.06012397102927</v>
      </c>
      <c r="E667" s="84">
        <v>5068958.88207932</v>
      </c>
      <c r="F667" s="85" t="s">
        <v>763</v>
      </c>
      <c r="G667" s="25">
        <f t="shared" si="20"/>
        <v>1.0211972794511359E-2</v>
      </c>
      <c r="I667" s="83">
        <v>153.79939416564943</v>
      </c>
      <c r="J667" s="83">
        <v>156.01078639630452</v>
      </c>
      <c r="K667" s="83">
        <v>151.50982041321146</v>
      </c>
      <c r="L667" s="83">
        <v>153.40799731066625</v>
      </c>
      <c r="M667" s="84">
        <v>12907739.895398028</v>
      </c>
      <c r="N667" s="85" t="s">
        <v>763</v>
      </c>
      <c r="O667" s="25">
        <f t="shared" si="21"/>
        <v>2.5513458349277762E-3</v>
      </c>
    </row>
    <row r="668" spans="1:15">
      <c r="A668" s="83">
        <v>492.05036687472</v>
      </c>
      <c r="B668" s="83">
        <v>492.44552927524398</v>
      </c>
      <c r="C668" s="83">
        <v>487.36666793339793</v>
      </c>
      <c r="D668" s="83">
        <v>491.70886850389678</v>
      </c>
      <c r="E668" s="84">
        <v>3049457.446867499</v>
      </c>
      <c r="F668" s="85" t="s">
        <v>764</v>
      </c>
      <c r="G668" s="25">
        <f t="shared" si="20"/>
        <v>6.9451334457792946E-4</v>
      </c>
      <c r="I668" s="83">
        <v>152.53713930832859</v>
      </c>
      <c r="J668" s="83">
        <v>157.06755790475918</v>
      </c>
      <c r="K668" s="83">
        <v>149.82671608756993</v>
      </c>
      <c r="L668" s="83">
        <v>150.91284236014832</v>
      </c>
      <c r="M668" s="84">
        <v>38195718.257985473</v>
      </c>
      <c r="N668" s="85" t="s">
        <v>764</v>
      </c>
      <c r="O668" s="25">
        <f t="shared" si="21"/>
        <v>1.0763145950852593E-2</v>
      </c>
    </row>
    <row r="669" spans="1:15">
      <c r="A669" s="83">
        <v>490.0306479387084</v>
      </c>
      <c r="B669" s="83">
        <v>491.14295691796116</v>
      </c>
      <c r="C669" s="83">
        <v>486.6351784230946</v>
      </c>
      <c r="D669" s="83">
        <v>488.44024124030307</v>
      </c>
      <c r="E669" s="84">
        <v>3747833.2529513761</v>
      </c>
      <c r="F669" s="85" t="s">
        <v>765</v>
      </c>
      <c r="G669" s="25">
        <f t="shared" si="20"/>
        <v>3.2560926887734709E-3</v>
      </c>
      <c r="I669" s="83">
        <v>136.88126510900048</v>
      </c>
      <c r="J669" s="83">
        <v>140.21792329773231</v>
      </c>
      <c r="K669" s="83">
        <v>136.50943809676644</v>
      </c>
      <c r="L669" s="83">
        <v>139.42534466639134</v>
      </c>
      <c r="M669" s="84">
        <v>20678171.265191544</v>
      </c>
      <c r="N669" s="85" t="s">
        <v>765</v>
      </c>
      <c r="O669" s="25">
        <f t="shared" si="21"/>
        <v>-1.8246894518913925E-2</v>
      </c>
    </row>
    <row r="670" spans="1:15">
      <c r="A670" s="83">
        <v>484.57643110184603</v>
      </c>
      <c r="B670" s="83">
        <v>494.62624030035806</v>
      </c>
      <c r="C670" s="83">
        <v>483.75683501187029</v>
      </c>
      <c r="D670" s="83">
        <v>493.06510489088043</v>
      </c>
      <c r="E670" s="84">
        <v>7595947.3649810739</v>
      </c>
      <c r="F670" s="85" t="s">
        <v>766</v>
      </c>
      <c r="G670" s="25">
        <f t="shared" si="20"/>
        <v>-1.7216131713301941E-2</v>
      </c>
      <c r="I670" s="83">
        <v>138.75997001291989</v>
      </c>
      <c r="J670" s="83">
        <v>140.84415826570543</v>
      </c>
      <c r="K670" s="83">
        <v>136.4018039616461</v>
      </c>
      <c r="L670" s="83">
        <v>140.69738444508673</v>
      </c>
      <c r="M670" s="84">
        <v>11399985.317182712</v>
      </c>
      <c r="N670" s="85" t="s">
        <v>766</v>
      </c>
      <c r="O670" s="25">
        <f t="shared" si="21"/>
        <v>-1.3770081368662535E-2</v>
      </c>
    </row>
    <row r="671" spans="1:15">
      <c r="A671" s="83">
        <v>492.78214909791262</v>
      </c>
      <c r="B671" s="83">
        <v>496.57765956220504</v>
      </c>
      <c r="C671" s="83">
        <v>490.62583081357167</v>
      </c>
      <c r="D671" s="83">
        <v>494.06032871442244</v>
      </c>
      <c r="E671" s="84">
        <v>3510848.8134505125</v>
      </c>
      <c r="F671" s="85" t="s">
        <v>767</v>
      </c>
      <c r="G671" s="25">
        <f t="shared" si="20"/>
        <v>-2.5870921873766273E-3</v>
      </c>
      <c r="I671" s="83">
        <v>139.54276372288629</v>
      </c>
      <c r="J671" s="83">
        <v>140.19835345498316</v>
      </c>
      <c r="K671" s="83">
        <v>137.2873393460456</v>
      </c>
      <c r="L671" s="83">
        <v>138.35878823656211</v>
      </c>
      <c r="M671" s="84">
        <v>8925208.1500499565</v>
      </c>
      <c r="N671" s="85" t="s">
        <v>767</v>
      </c>
      <c r="O671" s="25">
        <f t="shared" si="21"/>
        <v>8.5572842998584697E-3</v>
      </c>
    </row>
    <row r="672" spans="1:15">
      <c r="A672" s="83">
        <v>494.00178613656703</v>
      </c>
      <c r="B672" s="83">
        <v>497.15332824444988</v>
      </c>
      <c r="C672" s="83">
        <v>492.75287780898492</v>
      </c>
      <c r="D672" s="83">
        <v>493.39684616539444</v>
      </c>
      <c r="E672" s="84">
        <v>3691029.4680512091</v>
      </c>
      <c r="F672" s="85" t="s">
        <v>768</v>
      </c>
      <c r="G672" s="25">
        <f t="shared" si="20"/>
        <v>1.2260718240786339E-3</v>
      </c>
      <c r="I672" s="83">
        <v>137.72276834721438</v>
      </c>
      <c r="J672" s="83">
        <v>138.0661212382484</v>
      </c>
      <c r="K672" s="83">
        <v>134.98299036233198</v>
      </c>
      <c r="L672" s="83">
        <v>135.46245150968639</v>
      </c>
      <c r="M672" s="84">
        <v>6380557.1460383274</v>
      </c>
      <c r="N672" s="85" t="s">
        <v>768</v>
      </c>
      <c r="O672" s="25">
        <f t="shared" si="21"/>
        <v>1.6685928922276716E-2</v>
      </c>
    </row>
    <row r="673" spans="1:15">
      <c r="A673" s="83">
        <v>495.2311802715306</v>
      </c>
      <c r="B673" s="83">
        <v>502.9100150668985</v>
      </c>
      <c r="C673" s="83">
        <v>492.83093457945881</v>
      </c>
      <c r="D673" s="83">
        <v>502.60754508131225</v>
      </c>
      <c r="E673" s="84">
        <v>6012486.5165546034</v>
      </c>
      <c r="F673" s="85" t="s">
        <v>769</v>
      </c>
      <c r="G673" s="25">
        <f t="shared" si="20"/>
        <v>-1.4676191955272588E-2</v>
      </c>
      <c r="I673" s="83">
        <v>136.49965317539187</v>
      </c>
      <c r="J673" s="83">
        <v>139.1415819465285</v>
      </c>
      <c r="K673" s="83">
        <v>135.84406344329503</v>
      </c>
      <c r="L673" s="83">
        <v>137.42922070597697</v>
      </c>
      <c r="M673" s="84">
        <v>6981327.4307410279</v>
      </c>
      <c r="N673" s="85" t="s">
        <v>769</v>
      </c>
      <c r="O673" s="25">
        <f t="shared" si="21"/>
        <v>-6.763972944108243E-3</v>
      </c>
    </row>
    <row r="674" spans="1:15">
      <c r="A674" s="83">
        <v>505.45661720360886</v>
      </c>
      <c r="B674" s="83">
        <v>505.98350040430762</v>
      </c>
      <c r="C674" s="83">
        <v>499.68041618854176</v>
      </c>
      <c r="D674" s="83">
        <v>502.90025797058928</v>
      </c>
      <c r="E674" s="84">
        <v>5778076.6134940758</v>
      </c>
      <c r="F674" s="85" t="s">
        <v>770</v>
      </c>
      <c r="G674" s="25">
        <f t="shared" si="20"/>
        <v>5.0832330914594159E-3</v>
      </c>
      <c r="I674" s="83">
        <v>138.2511541014417</v>
      </c>
      <c r="J674" s="83">
        <v>138.67190572054866</v>
      </c>
      <c r="K674" s="83">
        <v>137.08185599717939</v>
      </c>
      <c r="L674" s="83">
        <v>137.31180164948205</v>
      </c>
      <c r="M674" s="84">
        <v>8156099.2618016871</v>
      </c>
      <c r="N674" s="85" t="s">
        <v>770</v>
      </c>
      <c r="O674" s="25">
        <f t="shared" si="21"/>
        <v>6.8410176013680157E-3</v>
      </c>
    </row>
    <row r="675" spans="1:15">
      <c r="A675" s="83">
        <v>500.74393968624844</v>
      </c>
      <c r="B675" s="83">
        <v>505.5054026851551</v>
      </c>
      <c r="C675" s="83">
        <v>499.69017328485097</v>
      </c>
      <c r="D675" s="83">
        <v>502.48070282929223</v>
      </c>
      <c r="E675" s="84">
        <v>3573957.7528813132</v>
      </c>
      <c r="F675" s="85" t="s">
        <v>771</v>
      </c>
      <c r="G675" s="25">
        <f t="shared" si="20"/>
        <v>-3.4563777937435258E-3</v>
      </c>
      <c r="I675" s="83">
        <v>136.42137380439524</v>
      </c>
      <c r="J675" s="83">
        <v>138.12395012357217</v>
      </c>
      <c r="K675" s="83">
        <v>135.86363328604418</v>
      </c>
      <c r="L675" s="83">
        <v>136.14739600590698</v>
      </c>
      <c r="M675" s="84">
        <v>4689216.0134469317</v>
      </c>
      <c r="N675" s="85" t="s">
        <v>771</v>
      </c>
      <c r="O675" s="25">
        <f t="shared" si="21"/>
        <v>2.0123616501366293E-3</v>
      </c>
    </row>
    <row r="676" spans="1:15">
      <c r="A676" s="83">
        <v>500.66588291577449</v>
      </c>
      <c r="B676" s="83">
        <v>503.69058277163737</v>
      </c>
      <c r="C676" s="83">
        <v>497.76802531193175</v>
      </c>
      <c r="D676" s="83">
        <v>503.2710276303402</v>
      </c>
      <c r="E676" s="84">
        <v>4038525.2693164772</v>
      </c>
      <c r="F676" s="85" t="s">
        <v>772</v>
      </c>
      <c r="G676" s="25">
        <f t="shared" si="20"/>
        <v>-5.1764249709188581E-3</v>
      </c>
      <c r="I676" s="83">
        <v>134.9144959127099</v>
      </c>
      <c r="J676" s="83">
        <v>135.96148249978998</v>
      </c>
      <c r="K676" s="83">
        <v>133.96535853937564</v>
      </c>
      <c r="L676" s="83">
        <v>135.84406344329503</v>
      </c>
      <c r="M676" s="84">
        <v>3089078.4752266053</v>
      </c>
      <c r="N676" s="85" t="s">
        <v>772</v>
      </c>
      <c r="O676" s="25">
        <f t="shared" si="21"/>
        <v>-6.8429013901896152E-3</v>
      </c>
    </row>
    <row r="677" spans="1:15">
      <c r="A677" s="83">
        <v>503.54422632699885</v>
      </c>
      <c r="B677" s="83">
        <v>504.04183823876986</v>
      </c>
      <c r="C677" s="83">
        <v>500.69515420470219</v>
      </c>
      <c r="D677" s="83">
        <v>501.76843479871803</v>
      </c>
      <c r="E677" s="84">
        <v>3107254.3550999463</v>
      </c>
      <c r="F677" s="85" t="s">
        <v>773</v>
      </c>
      <c r="G677" s="25">
        <f t="shared" si="20"/>
        <v>3.5390658421809995E-3</v>
      </c>
      <c r="I677" s="83">
        <v>135.50159119518472</v>
      </c>
      <c r="J677" s="83">
        <v>136.49965317539187</v>
      </c>
      <c r="K677" s="83">
        <v>134.77750701346579</v>
      </c>
      <c r="L677" s="83">
        <v>134.88514114858617</v>
      </c>
      <c r="M677" s="84">
        <v>3957458.4728496997</v>
      </c>
      <c r="N677" s="85" t="s">
        <v>773</v>
      </c>
      <c r="O677" s="25">
        <f t="shared" si="21"/>
        <v>4.5701849836778941E-3</v>
      </c>
    </row>
    <row r="678" spans="1:15">
      <c r="A678" s="83">
        <v>502.87098668166158</v>
      </c>
      <c r="B678" s="83">
        <v>505.70054461133969</v>
      </c>
      <c r="C678" s="83">
        <v>501.39278659081248</v>
      </c>
      <c r="D678" s="83">
        <v>505.06633335123945</v>
      </c>
      <c r="E678" s="84">
        <v>3483249.4138478744</v>
      </c>
      <c r="F678" s="85" t="s">
        <v>774</v>
      </c>
      <c r="G678" s="25">
        <f t="shared" si="20"/>
        <v>-4.3466501815934144E-3</v>
      </c>
      <c r="I678" s="83">
        <v>135.91255789291708</v>
      </c>
      <c r="J678" s="83">
        <v>136.4018039616461</v>
      </c>
      <c r="K678" s="83">
        <v>135.21782847532188</v>
      </c>
      <c r="L678" s="83">
        <v>136.39201904027149</v>
      </c>
      <c r="M678" s="84">
        <v>2789603.4066161779</v>
      </c>
      <c r="N678" s="85" t="s">
        <v>774</v>
      </c>
      <c r="O678" s="25">
        <f t="shared" si="21"/>
        <v>-3.5153167372120597E-3</v>
      </c>
    </row>
    <row r="679" spans="1:15">
      <c r="A679" s="83">
        <v>504.11013791293442</v>
      </c>
      <c r="B679" s="83">
        <v>504.97851948445634</v>
      </c>
      <c r="C679" s="83">
        <v>499.80930743078682</v>
      </c>
      <c r="D679" s="83">
        <v>501.83673447288271</v>
      </c>
      <c r="E679" s="84">
        <v>5229825.3889020924</v>
      </c>
      <c r="F679" s="85" t="s">
        <v>775</v>
      </c>
      <c r="G679" s="25">
        <f t="shared" si="20"/>
        <v>4.5301654579743555E-3</v>
      </c>
      <c r="I679" s="83">
        <v>136.19632061277991</v>
      </c>
      <c r="J679" s="83">
        <v>136.78341589525471</v>
      </c>
      <c r="K679" s="83">
        <v>134.30783078748595</v>
      </c>
      <c r="L679" s="83">
        <v>135.7462142295492</v>
      </c>
      <c r="M679" s="84">
        <v>4644463.4821555102</v>
      </c>
      <c r="N679" s="85" t="s">
        <v>775</v>
      </c>
      <c r="O679" s="25">
        <f t="shared" si="21"/>
        <v>3.3157932674983126E-3</v>
      </c>
    </row>
    <row r="680" spans="1:15">
      <c r="A680" s="83">
        <v>498.71446365392751</v>
      </c>
      <c r="B680" s="83">
        <v>505.05657625493023</v>
      </c>
      <c r="C680" s="83">
        <v>497.70948273407635</v>
      </c>
      <c r="D680" s="83">
        <v>504.49066466899455</v>
      </c>
      <c r="E680" s="84">
        <v>3768628.3741195416</v>
      </c>
      <c r="F680" s="85" t="s">
        <v>776</v>
      </c>
      <c r="G680" s="25">
        <f t="shared" si="20"/>
        <v>-1.1449569674112592E-2</v>
      </c>
      <c r="I680" s="83">
        <v>135.11019434020153</v>
      </c>
      <c r="J680" s="83">
        <v>138.04567075257555</v>
      </c>
      <c r="K680" s="83">
        <v>134.68944272109457</v>
      </c>
      <c r="L680" s="83">
        <v>137.67384374034148</v>
      </c>
      <c r="M680" s="84">
        <v>5275657.1078953044</v>
      </c>
      <c r="N680" s="85" t="s">
        <v>776</v>
      </c>
      <c r="O680" s="25">
        <f t="shared" si="21"/>
        <v>-1.8621179815209499E-2</v>
      </c>
    </row>
    <row r="681" spans="1:15">
      <c r="A681" s="83">
        <v>502.78317281487847</v>
      </c>
      <c r="B681" s="83">
        <v>504.11004034197134</v>
      </c>
      <c r="C681" s="83">
        <v>500.39268421911595</v>
      </c>
      <c r="D681" s="83">
        <v>501.97333382121201</v>
      </c>
      <c r="E681" s="84">
        <v>3427300.3914442202</v>
      </c>
      <c r="F681" s="85" t="s">
        <v>777</v>
      </c>
      <c r="G681" s="25">
        <f t="shared" si="20"/>
        <v>1.6133107858571361E-3</v>
      </c>
      <c r="I681" s="83">
        <v>137.18459767161247</v>
      </c>
      <c r="J681" s="83">
        <v>137.2824468853583</v>
      </c>
      <c r="K681" s="83">
        <v>135.5700856448068</v>
      </c>
      <c r="L681" s="83">
        <v>135.8147086791713</v>
      </c>
      <c r="M681" s="84">
        <v>3859783.697201232</v>
      </c>
      <c r="N681" s="85" t="s">
        <v>777</v>
      </c>
      <c r="O681" s="25">
        <f t="shared" si="21"/>
        <v>1.0086455331411726E-2</v>
      </c>
    </row>
    <row r="682" spans="1:15">
      <c r="A682" s="83">
        <v>501.02689547921619</v>
      </c>
      <c r="B682" s="83">
        <v>502.95870297748166</v>
      </c>
      <c r="C682" s="83">
        <v>499.80725844056184</v>
      </c>
      <c r="D682" s="83">
        <v>501.43669352420403</v>
      </c>
      <c r="E682" s="84">
        <v>3234549.3986903667</v>
      </c>
      <c r="F682" s="85" t="s">
        <v>778</v>
      </c>
      <c r="G682" s="25">
        <f t="shared" si="20"/>
        <v>-8.1724782067238433E-4</v>
      </c>
      <c r="I682" s="83">
        <v>136.17675077003074</v>
      </c>
      <c r="J682" s="83">
        <v>136.78341589525471</v>
      </c>
      <c r="K682" s="83">
        <v>134.85578638446242</v>
      </c>
      <c r="L682" s="83">
        <v>134.85578638446242</v>
      </c>
      <c r="M682" s="84">
        <v>3820430.2895182269</v>
      </c>
      <c r="N682" s="85" t="s">
        <v>778</v>
      </c>
      <c r="O682" s="25">
        <f t="shared" si="21"/>
        <v>9.7953852851546674E-3</v>
      </c>
    </row>
    <row r="683" spans="1:15">
      <c r="A683" s="83">
        <v>501.8562486655012</v>
      </c>
      <c r="B683" s="83">
        <v>501.8562486655012</v>
      </c>
      <c r="C683" s="83">
        <v>496.69474471791585</v>
      </c>
      <c r="D683" s="83">
        <v>497.47531242265467</v>
      </c>
      <c r="E683" s="84">
        <v>3899021.6755360523</v>
      </c>
      <c r="F683" s="85" t="s">
        <v>779</v>
      </c>
      <c r="G683" s="25">
        <f t="shared" si="20"/>
        <v>8.8063389950183701E-3</v>
      </c>
      <c r="I683" s="83">
        <v>134.95363559820822</v>
      </c>
      <c r="J683" s="83">
        <v>134.98299036233198</v>
      </c>
      <c r="K683" s="83">
        <v>133.52014461683225</v>
      </c>
      <c r="L683" s="83">
        <v>134.57202366459961</v>
      </c>
      <c r="M683" s="84">
        <v>3721629.2912279889</v>
      </c>
      <c r="N683" s="85" t="s">
        <v>779</v>
      </c>
      <c r="O683" s="25">
        <f t="shared" si="21"/>
        <v>2.8357449283791247E-3</v>
      </c>
    </row>
    <row r="684" spans="1:15">
      <c r="A684" s="83">
        <v>497.07527147397599</v>
      </c>
      <c r="B684" s="83">
        <v>497.71923983038556</v>
      </c>
      <c r="C684" s="83">
        <v>494.34328450739019</v>
      </c>
      <c r="D684" s="83">
        <v>494.52866933726568</v>
      </c>
      <c r="E684" s="84">
        <v>3535156.2500569872</v>
      </c>
      <c r="F684" s="85" t="s">
        <v>780</v>
      </c>
      <c r="G684" s="25">
        <f t="shared" si="20"/>
        <v>5.149554099913134E-3</v>
      </c>
      <c r="I684" s="83">
        <v>134.51331413635214</v>
      </c>
      <c r="J684" s="83">
        <v>134.85578638446242</v>
      </c>
      <c r="K684" s="83">
        <v>133.45654262789748</v>
      </c>
      <c r="L684" s="83">
        <v>133.84793948288069</v>
      </c>
      <c r="M684" s="84">
        <v>5001355.465883879</v>
      </c>
      <c r="N684" s="85" t="s">
        <v>780</v>
      </c>
      <c r="O684" s="25">
        <f t="shared" si="21"/>
        <v>4.9711236201477327E-3</v>
      </c>
    </row>
    <row r="685" spans="1:15">
      <c r="A685" s="83">
        <v>496.03126216888791</v>
      </c>
      <c r="B685" s="83">
        <v>496.23616119138177</v>
      </c>
      <c r="C685" s="83">
        <v>492.23155615318251</v>
      </c>
      <c r="D685" s="83">
        <v>492.82117748314954</v>
      </c>
      <c r="E685" s="84">
        <v>4385477.8761894768</v>
      </c>
      <c r="F685" s="85" t="s">
        <v>781</v>
      </c>
      <c r="G685" s="25">
        <f t="shared" si="20"/>
        <v>6.5136906293929986E-3</v>
      </c>
      <c r="I685" s="83">
        <v>133.98492838212482</v>
      </c>
      <c r="J685" s="83">
        <v>134.29804586611138</v>
      </c>
      <c r="K685" s="83">
        <v>132.80095289580061</v>
      </c>
      <c r="L685" s="83">
        <v>133.98492838212482</v>
      </c>
      <c r="M685" s="84">
        <v>4801395.7600161387</v>
      </c>
      <c r="N685" s="85" t="s">
        <v>781</v>
      </c>
      <c r="O685" s="25">
        <f t="shared" si="21"/>
        <v>0</v>
      </c>
    </row>
    <row r="686" spans="1:15">
      <c r="A686" s="83">
        <v>487.65967353556431</v>
      </c>
      <c r="B686" s="83">
        <v>488.68416864803396</v>
      </c>
      <c r="C686" s="83">
        <v>484.4183661416364</v>
      </c>
      <c r="D686" s="83">
        <v>486.8010490603516</v>
      </c>
      <c r="E686" s="84">
        <v>3792627.3173070112</v>
      </c>
      <c r="F686" s="85" t="s">
        <v>782</v>
      </c>
      <c r="G686" s="25">
        <f t="shared" si="20"/>
        <v>1.7638098292311888E-3</v>
      </c>
      <c r="I686" s="83">
        <v>132.68353383930565</v>
      </c>
      <c r="J686" s="83">
        <v>133.04557593016511</v>
      </c>
      <c r="K686" s="83">
        <v>131.12773134074743</v>
      </c>
      <c r="L686" s="83">
        <v>131.15708610487115</v>
      </c>
      <c r="M686" s="84">
        <v>4133533.469678577</v>
      </c>
      <c r="N686" s="85" t="s">
        <v>782</v>
      </c>
      <c r="O686" s="25">
        <f t="shared" si="21"/>
        <v>1.1638316920322467E-2</v>
      </c>
    </row>
    <row r="687" spans="1:15">
      <c r="A687" s="83">
        <v>486.1082952223959</v>
      </c>
      <c r="B687" s="83">
        <v>486.2741658596529</v>
      </c>
      <c r="C687" s="83">
        <v>480.94679127481061</v>
      </c>
      <c r="D687" s="83">
        <v>481.16144739361374</v>
      </c>
      <c r="E687" s="84">
        <v>3328743.4058900415</v>
      </c>
      <c r="F687" s="85" t="s">
        <v>783</v>
      </c>
      <c r="G687" s="25">
        <f t="shared" si="20"/>
        <v>1.0281056089548546E-2</v>
      </c>
      <c r="I687" s="83">
        <v>131.37235437511191</v>
      </c>
      <c r="J687" s="83">
        <v>131.64633217360017</v>
      </c>
      <c r="K687" s="83">
        <v>129.95354077579782</v>
      </c>
      <c r="L687" s="83">
        <v>130.1100995177911</v>
      </c>
      <c r="M687" s="84">
        <v>4419083.0303790495</v>
      </c>
      <c r="N687" s="85" t="s">
        <v>783</v>
      </c>
      <c r="O687" s="25">
        <f t="shared" si="21"/>
        <v>9.7014364142287146E-3</v>
      </c>
    </row>
    <row r="688" spans="1:15">
      <c r="A688" s="83">
        <v>478.16601882667862</v>
      </c>
      <c r="B688" s="83">
        <v>480.39063678518426</v>
      </c>
      <c r="C688" s="83">
        <v>476.12678569804854</v>
      </c>
      <c r="D688" s="83">
        <v>479.01488620558206</v>
      </c>
      <c r="E688" s="84">
        <v>3667211.9312928552</v>
      </c>
      <c r="F688" s="85" t="s">
        <v>784</v>
      </c>
      <c r="G688" s="25">
        <f t="shared" si="20"/>
        <v>-1.7721106448853607E-3</v>
      </c>
      <c r="I688" s="83">
        <v>129.72848758418249</v>
      </c>
      <c r="J688" s="83">
        <v>129.85569156205202</v>
      </c>
      <c r="K688" s="83">
        <v>128.38795335586502</v>
      </c>
      <c r="L688" s="83">
        <v>129.40558517882133</v>
      </c>
      <c r="M688" s="84">
        <v>5723935.620525483</v>
      </c>
      <c r="N688" s="85" t="s">
        <v>784</v>
      </c>
      <c r="O688" s="25">
        <f t="shared" si="21"/>
        <v>2.4952741020796143E-3</v>
      </c>
    </row>
    <row r="689" spans="1:15">
      <c r="A689" s="83">
        <v>477.92209141894773</v>
      </c>
      <c r="B689" s="83">
        <v>479.27832780593138</v>
      </c>
      <c r="C689" s="83">
        <v>474.01925289525377</v>
      </c>
      <c r="D689" s="83">
        <v>475.10229058557888</v>
      </c>
      <c r="E689" s="84">
        <v>7852060.4462504266</v>
      </c>
      <c r="F689" s="85" t="s">
        <v>785</v>
      </c>
      <c r="G689" s="25">
        <f t="shared" si="20"/>
        <v>5.9351446819870812E-3</v>
      </c>
      <c r="I689" s="83">
        <v>129.21967167270432</v>
      </c>
      <c r="J689" s="83">
        <v>129.52300423531631</v>
      </c>
      <c r="K689" s="83">
        <v>125.57968092136053</v>
      </c>
      <c r="L689" s="83">
        <v>125.63839044960802</v>
      </c>
      <c r="M689" s="84">
        <v>5720309.6332904529</v>
      </c>
      <c r="N689" s="85" t="s">
        <v>785</v>
      </c>
      <c r="O689" s="25">
        <f t="shared" si="21"/>
        <v>2.850467289719627E-2</v>
      </c>
    </row>
    <row r="690" spans="1:15">
      <c r="A690" s="83">
        <v>475.88285829031764</v>
      </c>
      <c r="B690" s="83">
        <v>476.40974149101635</v>
      </c>
      <c r="C690" s="83">
        <v>467.98936737614656</v>
      </c>
      <c r="D690" s="83">
        <v>469.79443019335503</v>
      </c>
      <c r="E690" s="84">
        <v>4281226.573572197</v>
      </c>
      <c r="F690" s="85" t="s">
        <v>786</v>
      </c>
      <c r="G690" s="25">
        <f t="shared" si="20"/>
        <v>1.295977071174903E-2</v>
      </c>
      <c r="I690" s="83">
        <v>126.1863460465845</v>
      </c>
      <c r="J690" s="83">
        <v>127.02784928479838</v>
      </c>
      <c r="K690" s="83">
        <v>124.90452134651451</v>
      </c>
      <c r="L690" s="83">
        <v>125.24699359462481</v>
      </c>
      <c r="M690" s="84">
        <v>6380448.8160927491</v>
      </c>
      <c r="N690" s="85" t="s">
        <v>786</v>
      </c>
      <c r="O690" s="25">
        <f t="shared" si="21"/>
        <v>7.5000000000000622E-3</v>
      </c>
    </row>
    <row r="691" spans="1:15">
      <c r="A691" s="83">
        <v>465.03296719444836</v>
      </c>
      <c r="B691" s="83">
        <v>476.68294018767494</v>
      </c>
      <c r="C691" s="83">
        <v>464.54511237898663</v>
      </c>
      <c r="D691" s="83">
        <v>473.90216773954296</v>
      </c>
      <c r="E691" s="84">
        <v>6125132.7347701313</v>
      </c>
      <c r="F691" s="85" t="s">
        <v>787</v>
      </c>
      <c r="G691" s="25">
        <f t="shared" si="20"/>
        <v>-1.8715256331068519E-2</v>
      </c>
      <c r="I691" s="83">
        <v>123.192160105963</v>
      </c>
      <c r="J691" s="83">
        <v>127.49752551077823</v>
      </c>
      <c r="K691" s="83">
        <v>123.04538628534429</v>
      </c>
      <c r="L691" s="83">
        <v>126.14720636108616</v>
      </c>
      <c r="M691" s="84">
        <v>8807073.3224157784</v>
      </c>
      <c r="N691" s="85" t="s">
        <v>787</v>
      </c>
      <c r="O691" s="25">
        <f t="shared" si="21"/>
        <v>-2.3425380080670077E-2</v>
      </c>
    </row>
    <row r="692" spans="1:15">
      <c r="A692" s="83">
        <v>468.28208026542359</v>
      </c>
      <c r="B692" s="83">
        <v>475.03399091141421</v>
      </c>
      <c r="C692" s="83">
        <v>464.37924174172963</v>
      </c>
      <c r="D692" s="83">
        <v>465.79402070656869</v>
      </c>
      <c r="E692" s="84">
        <v>8460549.8791548256</v>
      </c>
      <c r="F692" s="85" t="s">
        <v>788</v>
      </c>
      <c r="G692" s="25">
        <f t="shared" si="20"/>
        <v>5.3415446490290286E-3</v>
      </c>
      <c r="I692" s="83">
        <v>125.45247694349101</v>
      </c>
      <c r="J692" s="83">
        <v>128.21916346215349</v>
      </c>
      <c r="K692" s="83">
        <v>125.32527296562147</v>
      </c>
      <c r="L692" s="83">
        <v>127.73236362376814</v>
      </c>
      <c r="M692" s="84">
        <v>8557954.3048289232</v>
      </c>
      <c r="N692" s="85" t="s">
        <v>788</v>
      </c>
      <c r="O692" s="25">
        <f t="shared" si="21"/>
        <v>-1.7848935192278037E-2</v>
      </c>
    </row>
    <row r="693" spans="1:15">
      <c r="A693" s="83">
        <v>463.65721661484622</v>
      </c>
      <c r="B693" s="83">
        <v>469.49196020776873</v>
      </c>
      <c r="C693" s="83">
        <v>457.50048884371893</v>
      </c>
      <c r="D693" s="83">
        <v>458.74939717130104</v>
      </c>
      <c r="E693" s="84">
        <v>15623783.466779424</v>
      </c>
      <c r="F693" s="85" t="s">
        <v>789</v>
      </c>
      <c r="G693" s="25">
        <f t="shared" si="20"/>
        <v>1.0698258076865752E-2</v>
      </c>
      <c r="I693" s="83">
        <v>125.1100046953807</v>
      </c>
      <c r="J693" s="83">
        <v>127.17462310541708</v>
      </c>
      <c r="K693" s="83">
        <v>123.93963024976716</v>
      </c>
      <c r="L693" s="83">
        <v>125.13935945950443</v>
      </c>
      <c r="M693" s="84">
        <v>10582596.020547383</v>
      </c>
      <c r="N693" s="85" t="s">
        <v>789</v>
      </c>
      <c r="O693" s="25">
        <f t="shared" si="21"/>
        <v>-2.3457658925640779E-4</v>
      </c>
    </row>
    <row r="694" spans="1:15">
      <c r="A694" s="83">
        <v>478.00990528573089</v>
      </c>
      <c r="B694" s="83">
        <v>481.53221705336466</v>
      </c>
      <c r="C694" s="83">
        <v>473.99973870263528</v>
      </c>
      <c r="D694" s="83">
        <v>480.44917936303966</v>
      </c>
      <c r="E694" s="84">
        <v>8774296.9103389438</v>
      </c>
      <c r="F694" s="85" t="s">
        <v>790</v>
      </c>
      <c r="G694" s="25">
        <f t="shared" si="20"/>
        <v>-5.0770699214069959E-3</v>
      </c>
      <c r="I694" s="83">
        <v>130.41343208040308</v>
      </c>
      <c r="J694" s="83">
        <v>131.41149406061027</v>
      </c>
      <c r="K694" s="83">
        <v>128.96526371696524</v>
      </c>
      <c r="L694" s="83">
        <v>129.91440109029952</v>
      </c>
      <c r="M694" s="84">
        <v>8432959.943282254</v>
      </c>
      <c r="N694" s="85" t="s">
        <v>790</v>
      </c>
      <c r="O694" s="25">
        <f t="shared" si="21"/>
        <v>3.8412291933416221E-3</v>
      </c>
    </row>
    <row r="695" spans="1:15">
      <c r="A695" s="83">
        <v>486.90837711975314</v>
      </c>
      <c r="B695" s="83">
        <v>497.51434080789159</v>
      </c>
      <c r="C695" s="83">
        <v>483.7080495303241</v>
      </c>
      <c r="D695" s="83">
        <v>495.50437896818914</v>
      </c>
      <c r="E695" s="84">
        <v>7111969.360630489</v>
      </c>
      <c r="F695" s="85" t="s">
        <v>791</v>
      </c>
      <c r="G695" s="25">
        <f t="shared" si="20"/>
        <v>-1.7347983616887164E-2</v>
      </c>
      <c r="I695" s="83">
        <v>134.55245382185043</v>
      </c>
      <c r="J695" s="83">
        <v>137.3705111777295</v>
      </c>
      <c r="K695" s="83">
        <v>132.84987750267354</v>
      </c>
      <c r="L695" s="83">
        <v>136.29416982652569</v>
      </c>
      <c r="M695" s="84">
        <v>6036643.2941864086</v>
      </c>
      <c r="N695" s="85" t="s">
        <v>791</v>
      </c>
      <c r="O695" s="25">
        <f t="shared" si="21"/>
        <v>-1.2779093976595601E-2</v>
      </c>
    </row>
    <row r="696" spans="1:15">
      <c r="A696" s="83">
        <v>493.64077357312533</v>
      </c>
      <c r="B696" s="83">
        <v>496.29782604005624</v>
      </c>
      <c r="C696" s="83">
        <v>491.07953579195112</v>
      </c>
      <c r="D696" s="83">
        <v>492.22599460828627</v>
      </c>
      <c r="E696" s="84">
        <v>5501213.5064400677</v>
      </c>
      <c r="F696" s="85" t="s">
        <v>792</v>
      </c>
      <c r="G696" s="25">
        <f t="shared" si="20"/>
        <v>2.8742467491278401E-3</v>
      </c>
      <c r="I696" s="83">
        <v>136.45072856851897</v>
      </c>
      <c r="J696" s="83">
        <v>138.50556205718081</v>
      </c>
      <c r="K696" s="83">
        <v>135.67771977992714</v>
      </c>
      <c r="L696" s="83">
        <v>136.6855666815089</v>
      </c>
      <c r="M696" s="84">
        <v>7346040.6321440544</v>
      </c>
      <c r="N696" s="85" t="s">
        <v>792</v>
      </c>
      <c r="O696" s="25">
        <f t="shared" si="21"/>
        <v>-1.7180900565538781E-3</v>
      </c>
    </row>
    <row r="697" spans="1:15">
      <c r="A697" s="83">
        <v>485.98145297037581</v>
      </c>
      <c r="B697" s="83">
        <v>490.79170145082867</v>
      </c>
      <c r="C697" s="83">
        <v>482.89333198850301</v>
      </c>
      <c r="D697" s="83">
        <v>489.85502020514213</v>
      </c>
      <c r="E697" s="84">
        <v>3912844.4354766654</v>
      </c>
      <c r="F697" s="85" t="s">
        <v>793</v>
      </c>
      <c r="G697" s="25">
        <f t="shared" si="20"/>
        <v>-7.9075789264018148E-3</v>
      </c>
      <c r="I697" s="83">
        <v>132.7520282889277</v>
      </c>
      <c r="J697" s="83">
        <v>136.56325516432665</v>
      </c>
      <c r="K697" s="83">
        <v>132.05729887133253</v>
      </c>
      <c r="L697" s="83">
        <v>136.07890155628493</v>
      </c>
      <c r="M697" s="84">
        <v>6648700.3328416664</v>
      </c>
      <c r="N697" s="85" t="s">
        <v>793</v>
      </c>
      <c r="O697" s="25">
        <f t="shared" si="21"/>
        <v>-2.444811965197391E-2</v>
      </c>
    </row>
    <row r="698" spans="1:15">
      <c r="A698" s="83">
        <v>488.53781220339539</v>
      </c>
      <c r="B698" s="83">
        <v>490.55265259125241</v>
      </c>
      <c r="C698" s="83">
        <v>486.65918088001536</v>
      </c>
      <c r="D698" s="83">
        <v>489.63060699002972</v>
      </c>
      <c r="E698" s="84">
        <v>3173257.5982359662</v>
      </c>
      <c r="F698" s="85" t="s">
        <v>794</v>
      </c>
      <c r="G698" s="25">
        <f t="shared" si="20"/>
        <v>-2.2318759714639036E-3</v>
      </c>
      <c r="I698" s="83">
        <v>135.33524753181686</v>
      </c>
      <c r="J698" s="83">
        <v>136.77363097388013</v>
      </c>
      <c r="K698" s="83">
        <v>134.86067884514972</v>
      </c>
      <c r="L698" s="83">
        <v>136.27459998377654</v>
      </c>
      <c r="M698" s="84">
        <v>4143770.6495357631</v>
      </c>
      <c r="N698" s="85" t="s">
        <v>794</v>
      </c>
      <c r="O698" s="25">
        <f t="shared" si="21"/>
        <v>-6.8930853737344533E-3</v>
      </c>
    </row>
    <row r="699" spans="1:15">
      <c r="A699" s="83">
        <v>488.17679963995369</v>
      </c>
      <c r="B699" s="83">
        <v>490.66973774696328</v>
      </c>
      <c r="C699" s="83">
        <v>485.58141202169725</v>
      </c>
      <c r="D699" s="83">
        <v>486.25465166703447</v>
      </c>
      <c r="E699" s="84">
        <v>3726502.1116565005</v>
      </c>
      <c r="F699" s="85" t="s">
        <v>795</v>
      </c>
      <c r="G699" s="25">
        <f t="shared" si="20"/>
        <v>3.9529657275862995E-3</v>
      </c>
      <c r="I699" s="83">
        <v>136.02019202803746</v>
      </c>
      <c r="J699" s="83">
        <v>136.94975955862259</v>
      </c>
      <c r="K699" s="83">
        <v>135.40374198143891</v>
      </c>
      <c r="L699" s="83">
        <v>135.88320312879335</v>
      </c>
      <c r="M699" s="84">
        <v>5252343.6860222751</v>
      </c>
      <c r="N699" s="85" t="s">
        <v>795</v>
      </c>
      <c r="O699" s="25">
        <f t="shared" si="21"/>
        <v>1.0081371066463785E-3</v>
      </c>
    </row>
    <row r="700" spans="1:15">
      <c r="A700" s="83">
        <v>482.76161118832829</v>
      </c>
      <c r="B700" s="83">
        <v>490.91854370284875</v>
      </c>
      <c r="C700" s="83">
        <v>481.92250090573413</v>
      </c>
      <c r="D700" s="83">
        <v>485.46432686598644</v>
      </c>
      <c r="E700" s="84">
        <v>5787173.5822219541</v>
      </c>
      <c r="F700" s="85" t="s">
        <v>796</v>
      </c>
      <c r="G700" s="25">
        <f t="shared" ref="G700:G763" si="22">A700/D700-1</f>
        <v>-5.5672796703850613E-3</v>
      </c>
      <c r="I700" s="83">
        <v>134.85578638446242</v>
      </c>
      <c r="J700" s="83">
        <v>138.03588583120094</v>
      </c>
      <c r="K700" s="83">
        <v>134.73836732796747</v>
      </c>
      <c r="L700" s="83">
        <v>137.13567306473959</v>
      </c>
      <c r="M700" s="84">
        <v>7822878.3931628792</v>
      </c>
      <c r="N700" s="85" t="s">
        <v>796</v>
      </c>
      <c r="O700" s="25">
        <f t="shared" ref="O700:O763" si="23">I700/L700-1</f>
        <v>-1.6625044595076854E-2</v>
      </c>
    </row>
    <row r="701" spans="1:15">
      <c r="A701" s="83">
        <v>485.21064236194633</v>
      </c>
      <c r="B701" s="83">
        <v>492.44065072708941</v>
      </c>
      <c r="C701" s="83">
        <v>484.48373868690828</v>
      </c>
      <c r="D701" s="83">
        <v>492.17720912674008</v>
      </c>
      <c r="E701" s="84">
        <v>6310691.0138542857</v>
      </c>
      <c r="F701" s="85" t="s">
        <v>797</v>
      </c>
      <c r="G701" s="25">
        <f t="shared" si="22"/>
        <v>-1.4154590329679029E-2</v>
      </c>
      <c r="I701" s="83">
        <v>135.78535391504755</v>
      </c>
      <c r="J701" s="83">
        <v>139.59168832975919</v>
      </c>
      <c r="K701" s="83">
        <v>135.42331182418809</v>
      </c>
      <c r="L701" s="83">
        <v>138.65233587779949</v>
      </c>
      <c r="M701" s="84">
        <v>8195065.3388302168</v>
      </c>
      <c r="N701" s="85" t="s">
        <v>797</v>
      </c>
      <c r="O701" s="25">
        <f t="shared" si="23"/>
        <v>-2.0677487649964577E-2</v>
      </c>
    </row>
    <row r="702" spans="1:15">
      <c r="A702" s="83">
        <v>496.57765956220504</v>
      </c>
      <c r="B702" s="83">
        <v>499.22183266200767</v>
      </c>
      <c r="C702" s="83">
        <v>496.1385902282895</v>
      </c>
      <c r="D702" s="83">
        <v>497.28017049646996</v>
      </c>
      <c r="E702" s="84">
        <v>3193619.1887853965</v>
      </c>
      <c r="F702" s="85" t="s">
        <v>798</v>
      </c>
      <c r="G702" s="25">
        <f t="shared" si="22"/>
        <v>-1.4127065102225167E-3</v>
      </c>
      <c r="I702" s="83">
        <v>140.03200979161531</v>
      </c>
      <c r="J702" s="83">
        <v>140.13964392673566</v>
      </c>
      <c r="K702" s="83">
        <v>138.17287473044507</v>
      </c>
      <c r="L702" s="83">
        <v>138.2609390228163</v>
      </c>
      <c r="M702" s="84">
        <v>6844623.2152656727</v>
      </c>
      <c r="N702" s="85" t="s">
        <v>798</v>
      </c>
      <c r="O702" s="25">
        <f t="shared" si="23"/>
        <v>1.2809624911535922E-2</v>
      </c>
    </row>
    <row r="703" spans="1:15">
      <c r="A703" s="83">
        <v>497.40701274849005</v>
      </c>
      <c r="B703" s="83">
        <v>497.92413885287948</v>
      </c>
      <c r="C703" s="83">
        <v>494.13838548489628</v>
      </c>
      <c r="D703" s="83">
        <v>495.92393410948625</v>
      </c>
      <c r="E703" s="84">
        <v>4451046.5638116822</v>
      </c>
      <c r="F703" s="85" t="s">
        <v>799</v>
      </c>
      <c r="G703" s="25">
        <f t="shared" si="22"/>
        <v>2.9905365258624528E-3</v>
      </c>
      <c r="I703" s="83">
        <v>137.15524290748874</v>
      </c>
      <c r="J703" s="83">
        <v>137.65427389759233</v>
      </c>
      <c r="K703" s="83">
        <v>136.12782616315783</v>
      </c>
      <c r="L703" s="83">
        <v>136.7344912883818</v>
      </c>
      <c r="M703" s="84">
        <v>5505589.4613473071</v>
      </c>
      <c r="N703" s="85" t="s">
        <v>799</v>
      </c>
      <c r="O703" s="25">
        <f t="shared" si="23"/>
        <v>3.0771432660654519E-3</v>
      </c>
    </row>
    <row r="704" spans="1:15">
      <c r="A704" s="83">
        <v>492.29429428245089</v>
      </c>
      <c r="B704" s="83">
        <v>496.83134406624515</v>
      </c>
      <c r="C704" s="83">
        <v>491.32834174783665</v>
      </c>
      <c r="D704" s="83">
        <v>495.3092370420045</v>
      </c>
      <c r="E704" s="84">
        <v>4139999.1062676292</v>
      </c>
      <c r="F704" s="85" t="s">
        <v>800</v>
      </c>
      <c r="G704" s="25">
        <f t="shared" si="22"/>
        <v>-6.0869907808682733E-3</v>
      </c>
      <c r="I704" s="83">
        <v>135.57987056618137</v>
      </c>
      <c r="J704" s="83">
        <v>137.4194357846024</v>
      </c>
      <c r="K704" s="83">
        <v>135.11019434020153</v>
      </c>
      <c r="L704" s="83">
        <v>135.37438721731516</v>
      </c>
      <c r="M704" s="84">
        <v>6246285.2444353998</v>
      </c>
      <c r="N704" s="85" t="s">
        <v>800</v>
      </c>
      <c r="O704" s="25">
        <f t="shared" si="23"/>
        <v>1.5178894109144636E-3</v>
      </c>
    </row>
    <row r="705" spans="1:15">
      <c r="A705" s="83">
        <v>495.60194993128152</v>
      </c>
      <c r="B705" s="83">
        <v>501.70013512455347</v>
      </c>
      <c r="C705" s="83">
        <v>493.58320670490082</v>
      </c>
      <c r="D705" s="83">
        <v>500.7829680714853</v>
      </c>
      <c r="E705" s="84">
        <v>5181715.7889634604</v>
      </c>
      <c r="F705" s="85" t="s">
        <v>801</v>
      </c>
      <c r="G705" s="25">
        <f t="shared" si="22"/>
        <v>-1.0345835362883582E-2</v>
      </c>
      <c r="I705" s="83">
        <v>135.06126973332863</v>
      </c>
      <c r="J705" s="83">
        <v>137.04760877236836</v>
      </c>
      <c r="K705" s="83">
        <v>134.25107824351338</v>
      </c>
      <c r="L705" s="83">
        <v>136.36266427614777</v>
      </c>
      <c r="M705" s="84">
        <v>6130581.7086930303</v>
      </c>
      <c r="N705" s="85" t="s">
        <v>801</v>
      </c>
      <c r="O705" s="25">
        <f t="shared" si="23"/>
        <v>-9.5436280137771723E-3</v>
      </c>
    </row>
    <row r="706" spans="1:15">
      <c r="A706" s="83">
        <v>499.35843201033703</v>
      </c>
      <c r="B706" s="83">
        <v>502.59778798500304</v>
      </c>
      <c r="C706" s="83">
        <v>499.13401879522462</v>
      </c>
      <c r="D706" s="83">
        <v>501.08543805707154</v>
      </c>
      <c r="E706" s="84">
        <v>5108390.6953776935</v>
      </c>
      <c r="F706" s="85" t="s">
        <v>802</v>
      </c>
      <c r="G706" s="25">
        <f t="shared" si="22"/>
        <v>-3.4465301035904172E-3</v>
      </c>
      <c r="I706" s="83">
        <v>136.26481506240196</v>
      </c>
      <c r="J706" s="83">
        <v>138.74040017017072</v>
      </c>
      <c r="K706" s="83">
        <v>135.69738747189007</v>
      </c>
      <c r="L706" s="83">
        <v>137.45857547010073</v>
      </c>
      <c r="M706" s="84">
        <v>9358279.5910743717</v>
      </c>
      <c r="N706" s="85" t="s">
        <v>802</v>
      </c>
      <c r="O706" s="25">
        <f t="shared" si="23"/>
        <v>-8.6845102505693772E-3</v>
      </c>
    </row>
    <row r="707" spans="1:15">
      <c r="A707" s="83">
        <v>506.43232683453232</v>
      </c>
      <c r="B707" s="83">
        <v>506.78358230166481</v>
      </c>
      <c r="C707" s="83">
        <v>504.05159533507907</v>
      </c>
      <c r="D707" s="83">
        <v>504.76386336565321</v>
      </c>
      <c r="E707" s="84">
        <v>4267970.580610686</v>
      </c>
      <c r="F707" s="85" t="s">
        <v>803</v>
      </c>
      <c r="G707" s="25">
        <f t="shared" si="22"/>
        <v>3.3054336690312436E-3</v>
      </c>
      <c r="I707" s="83">
        <v>139.54276372288629</v>
      </c>
      <c r="J707" s="83">
        <v>140.41362172522392</v>
      </c>
      <c r="K707" s="83">
        <v>138.9948081259098</v>
      </c>
      <c r="L707" s="83">
        <v>139.99287010611695</v>
      </c>
      <c r="M707" s="84">
        <v>7339323.1535375575</v>
      </c>
      <c r="N707" s="85" t="s">
        <v>803</v>
      </c>
      <c r="O707" s="25">
        <f t="shared" si="23"/>
        <v>-3.2152093380860558E-3</v>
      </c>
    </row>
    <row r="708" spans="1:15">
      <c r="A708" s="83">
        <v>503.57349761592656</v>
      </c>
      <c r="B708" s="83">
        <v>506.51038360500627</v>
      </c>
      <c r="C708" s="83">
        <v>501.84649156919198</v>
      </c>
      <c r="D708" s="83">
        <v>504.03208114246058</v>
      </c>
      <c r="E708" s="84">
        <v>7964996.7097735237</v>
      </c>
      <c r="F708" s="85" t="s">
        <v>804</v>
      </c>
      <c r="G708" s="25">
        <f t="shared" si="22"/>
        <v>-9.0983003600597634E-4</v>
      </c>
      <c r="I708" s="83">
        <v>139.99287010611695</v>
      </c>
      <c r="J708" s="83">
        <v>143.43716242996916</v>
      </c>
      <c r="K708" s="83">
        <v>138.86760414804024</v>
      </c>
      <c r="L708" s="83">
        <v>142.59565919175526</v>
      </c>
      <c r="M708" s="84">
        <v>8878801.0321369115</v>
      </c>
      <c r="N708" s="85" t="s">
        <v>804</v>
      </c>
      <c r="O708" s="25">
        <f t="shared" si="23"/>
        <v>-1.8252933507170832E-2</v>
      </c>
    </row>
    <row r="709" spans="1:15">
      <c r="A709" s="83">
        <v>502.05139059168584</v>
      </c>
      <c r="B709" s="83">
        <v>505.44686010729959</v>
      </c>
      <c r="C709" s="83">
        <v>499.72920167008789</v>
      </c>
      <c r="D709" s="83">
        <v>500.04142875198346</v>
      </c>
      <c r="E709" s="84">
        <v>5368574.6599038206</v>
      </c>
      <c r="F709" s="85" t="s">
        <v>805</v>
      </c>
      <c r="G709" s="25">
        <f t="shared" si="22"/>
        <v>4.0195906261584202E-3</v>
      </c>
      <c r="I709" s="83">
        <v>141.65630673979558</v>
      </c>
      <c r="J709" s="83">
        <v>142.00856390928047</v>
      </c>
      <c r="K709" s="83">
        <v>138.22179933731798</v>
      </c>
      <c r="L709" s="83">
        <v>139.6406129366321</v>
      </c>
      <c r="M709" s="84">
        <v>7523586.2590831937</v>
      </c>
      <c r="N709" s="85" t="s">
        <v>805</v>
      </c>
      <c r="O709" s="25">
        <f t="shared" si="23"/>
        <v>1.4434867913951432E-2</v>
      </c>
    </row>
    <row r="710" spans="1:15">
      <c r="A710" s="83">
        <v>498.96814815796762</v>
      </c>
      <c r="B710" s="83">
        <v>504.23698016495445</v>
      </c>
      <c r="C710" s="83">
        <v>498.41687221649585</v>
      </c>
      <c r="D710" s="83">
        <v>503.46616955652496</v>
      </c>
      <c r="E710" s="84">
        <v>5684383.7799883997</v>
      </c>
      <c r="F710" s="85" t="s">
        <v>806</v>
      </c>
      <c r="G710" s="25">
        <f t="shared" si="22"/>
        <v>-8.9341085271318343E-3</v>
      </c>
      <c r="I710" s="83">
        <v>139.68953754350497</v>
      </c>
      <c r="J710" s="83">
        <v>140.39405188247474</v>
      </c>
      <c r="K710" s="83">
        <v>138.63120044763042</v>
      </c>
      <c r="L710" s="83">
        <v>139.29814068852178</v>
      </c>
      <c r="M710" s="84">
        <v>5361721.1617350969</v>
      </c>
      <c r="N710" s="85" t="s">
        <v>806</v>
      </c>
      <c r="O710" s="25">
        <f t="shared" si="23"/>
        <v>2.809778027535792E-3</v>
      </c>
    </row>
    <row r="711" spans="1:15">
      <c r="A711" s="83">
        <v>503.28078472664942</v>
      </c>
      <c r="B711" s="83">
        <v>503.64667583824576</v>
      </c>
      <c r="C711" s="83">
        <v>499.26086104724465</v>
      </c>
      <c r="D711" s="83">
        <v>499.54381684021251</v>
      </c>
      <c r="E711" s="84">
        <v>3532734.4229835337</v>
      </c>
      <c r="F711" s="85" t="s">
        <v>807</v>
      </c>
      <c r="G711" s="25">
        <f t="shared" si="22"/>
        <v>7.480760967225164E-3</v>
      </c>
      <c r="I711" s="83">
        <v>138.62298111079409</v>
      </c>
      <c r="J711" s="83">
        <v>138.92545963648104</v>
      </c>
      <c r="K711" s="83">
        <v>136.34463479634556</v>
      </c>
      <c r="L711" s="83">
        <v>137.69603079014053</v>
      </c>
      <c r="M711" s="84">
        <v>6508164.4243311565</v>
      </c>
      <c r="N711" s="85" t="s">
        <v>807</v>
      </c>
      <c r="O711" s="25">
        <f t="shared" si="23"/>
        <v>6.7318594104306406E-3</v>
      </c>
    </row>
    <row r="712" spans="1:15">
      <c r="A712" s="83">
        <v>498.48029334250583</v>
      </c>
      <c r="B712" s="83">
        <v>499.57308812914016</v>
      </c>
      <c r="C712" s="83">
        <v>498.13879497168267</v>
      </c>
      <c r="D712" s="83">
        <v>498.79252042440135</v>
      </c>
      <c r="E712" s="84">
        <v>3224138.5144702476</v>
      </c>
      <c r="F712" s="85" t="s">
        <v>808</v>
      </c>
      <c r="G712" s="25">
        <f t="shared" si="22"/>
        <v>-6.2596584573848535E-4</v>
      </c>
      <c r="I712" s="83">
        <v>137.26670643110097</v>
      </c>
      <c r="J712" s="83">
        <v>142.16480949915245</v>
      </c>
      <c r="K712" s="83">
        <v>134.65173078967823</v>
      </c>
      <c r="L712" s="83">
        <v>141.60873688047826</v>
      </c>
      <c r="M712" s="84">
        <v>14696621.487108989</v>
      </c>
      <c r="N712" s="85" t="s">
        <v>808</v>
      </c>
      <c r="O712" s="25">
        <f t="shared" si="23"/>
        <v>-3.0662164955556959E-2</v>
      </c>
    </row>
    <row r="713" spans="1:15">
      <c r="A713" s="83">
        <v>497.9338959491887</v>
      </c>
      <c r="B713" s="83">
        <v>498.78764187624677</v>
      </c>
      <c r="C713" s="83">
        <v>496.94842922195596</v>
      </c>
      <c r="D713" s="83">
        <v>498.0997665864457</v>
      </c>
      <c r="E713" s="84">
        <v>3221633.6708953339</v>
      </c>
      <c r="F713" s="85" t="s">
        <v>809</v>
      </c>
      <c r="G713" s="25">
        <f t="shared" si="22"/>
        <v>-3.330068560235544E-4</v>
      </c>
      <c r="I713" s="83">
        <v>141.51116316251472</v>
      </c>
      <c r="J713" s="83">
        <v>141.7063105984418</v>
      </c>
      <c r="K713" s="83">
        <v>139.94998367509817</v>
      </c>
      <c r="L713" s="83">
        <v>141.24771412401319</v>
      </c>
      <c r="M713" s="84">
        <v>8837044.6263228729</v>
      </c>
      <c r="N713" s="85" t="s">
        <v>809</v>
      </c>
      <c r="O713" s="25">
        <f t="shared" si="23"/>
        <v>1.8651561204752198E-3</v>
      </c>
    </row>
    <row r="714" spans="1:15">
      <c r="A714" s="83">
        <v>497.45579823003618</v>
      </c>
      <c r="B714" s="83">
        <v>497.70948273407635</v>
      </c>
      <c r="C714" s="83">
        <v>494.18717096644247</v>
      </c>
      <c r="D714" s="83">
        <v>494.81162513023349</v>
      </c>
      <c r="E714" s="84">
        <v>3235513.8249604134</v>
      </c>
      <c r="F714" s="85" t="s">
        <v>810</v>
      </c>
      <c r="G714" s="25">
        <f t="shared" si="22"/>
        <v>5.3437974483860895E-3</v>
      </c>
      <c r="I714" s="83">
        <v>141.31601572658766</v>
      </c>
      <c r="J714" s="83">
        <v>142.2478447331394</v>
      </c>
      <c r="K714" s="83">
        <v>140.52566861108303</v>
      </c>
      <c r="L714" s="83">
        <v>141.43310418814389</v>
      </c>
      <c r="M714" s="84">
        <v>5498946.9623420462</v>
      </c>
      <c r="N714" s="85" t="s">
        <v>810</v>
      </c>
      <c r="O714" s="25">
        <f t="shared" si="23"/>
        <v>-8.278716798895136E-4</v>
      </c>
    </row>
    <row r="715" spans="1:15">
      <c r="A715" s="83">
        <v>494.49939804833798</v>
      </c>
      <c r="B715" s="83">
        <v>494.82138222654271</v>
      </c>
      <c r="C715" s="83">
        <v>491.97231010424616</v>
      </c>
      <c r="D715" s="83">
        <v>491.97231010424616</v>
      </c>
      <c r="E715" s="84">
        <v>2184139.5559280803</v>
      </c>
      <c r="F715" s="85" t="s">
        <v>811</v>
      </c>
      <c r="G715" s="25">
        <f t="shared" si="22"/>
        <v>5.1366467018363338E-3</v>
      </c>
      <c r="I715" s="83">
        <v>140.87693399575176</v>
      </c>
      <c r="J715" s="83">
        <v>141.14038303425329</v>
      </c>
      <c r="K715" s="83">
        <v>140.01828527767265</v>
      </c>
      <c r="L715" s="83">
        <v>140.26221957258147</v>
      </c>
      <c r="M715" s="84">
        <v>3649320.8153969566</v>
      </c>
      <c r="N715" s="85" t="s">
        <v>811</v>
      </c>
      <c r="O715" s="25">
        <f t="shared" si="23"/>
        <v>4.3826086956522126E-3</v>
      </c>
    </row>
    <row r="716" spans="1:15">
      <c r="A716" s="83">
        <v>492.2747800898324</v>
      </c>
      <c r="B716" s="83">
        <v>492.3528368603063</v>
      </c>
      <c r="C716" s="83">
        <v>487.47428870568882</v>
      </c>
      <c r="D716" s="83">
        <v>487.55234547616266</v>
      </c>
      <c r="E716" s="84">
        <v>4314893.3520469656</v>
      </c>
      <c r="F716" s="85" t="s">
        <v>812</v>
      </c>
      <c r="G716" s="25">
        <f t="shared" si="22"/>
        <v>9.6860053233005505E-3</v>
      </c>
      <c r="I716" s="83">
        <v>139.80362309815288</v>
      </c>
      <c r="J716" s="83">
        <v>140.72081604701009</v>
      </c>
      <c r="K716" s="83">
        <v>139.09133495701909</v>
      </c>
      <c r="L716" s="83">
        <v>139.16939393138989</v>
      </c>
      <c r="M716" s="84">
        <v>6067749.721510672</v>
      </c>
      <c r="N716" s="85" t="s">
        <v>812</v>
      </c>
      <c r="O716" s="25">
        <f t="shared" si="23"/>
        <v>4.5572460211737997E-3</v>
      </c>
    </row>
    <row r="717" spans="1:15">
      <c r="A717" s="83">
        <v>489.10372378933101</v>
      </c>
      <c r="B717" s="83">
        <v>489.49391007073734</v>
      </c>
      <c r="C717" s="83">
        <v>486.48882197845609</v>
      </c>
      <c r="D717" s="83">
        <v>489.30862281182499</v>
      </c>
      <c r="E717" s="84">
        <v>4477280.8031680901</v>
      </c>
      <c r="F717" s="85" t="s">
        <v>813</v>
      </c>
      <c r="G717" s="25">
        <f t="shared" si="22"/>
        <v>-4.1875211868636075E-4</v>
      </c>
      <c r="I717" s="83">
        <v>139.61823303402215</v>
      </c>
      <c r="J717" s="83">
        <v>140.55981941237027</v>
      </c>
      <c r="K717" s="83">
        <v>137.64724393115873</v>
      </c>
      <c r="L717" s="83">
        <v>138.25220098253266</v>
      </c>
      <c r="M717" s="84">
        <v>6715284.7475267183</v>
      </c>
      <c r="N717" s="85" t="s">
        <v>813</v>
      </c>
      <c r="O717" s="25">
        <f t="shared" si="23"/>
        <v>9.8807255275601413E-3</v>
      </c>
    </row>
    <row r="718" spans="1:15">
      <c r="A718" s="83">
        <v>487.98165771376904</v>
      </c>
      <c r="B718" s="83">
        <v>493.44563164694063</v>
      </c>
      <c r="C718" s="83">
        <v>486.88886292713471</v>
      </c>
      <c r="D718" s="83">
        <v>490.75267306559181</v>
      </c>
      <c r="E718" s="84">
        <v>5737947.8715414722</v>
      </c>
      <c r="F718" s="85" t="s">
        <v>814</v>
      </c>
      <c r="G718" s="25">
        <f t="shared" si="22"/>
        <v>-5.6464600274370724E-3</v>
      </c>
      <c r="I718" s="83">
        <v>137.77408976451133</v>
      </c>
      <c r="J718" s="83">
        <v>139.35478399552059</v>
      </c>
      <c r="K718" s="83">
        <v>135.89091700781512</v>
      </c>
      <c r="L718" s="83">
        <v>136.05191364245496</v>
      </c>
      <c r="M718" s="84">
        <v>26456736.033823639</v>
      </c>
      <c r="N718" s="85" t="s">
        <v>814</v>
      </c>
      <c r="O718" s="25">
        <f t="shared" si="23"/>
        <v>1.2658227848101111E-2</v>
      </c>
    </row>
    <row r="719" spans="1:15">
      <c r="A719" s="83">
        <v>489.87111940000216</v>
      </c>
      <c r="B719" s="83">
        <v>490.48364059722752</v>
      </c>
      <c r="C719" s="83">
        <v>488.38356792102621</v>
      </c>
      <c r="D719" s="83">
        <v>489.04470191168218</v>
      </c>
      <c r="E719" s="84">
        <v>3722944.871671061</v>
      </c>
      <c r="F719" s="85" t="s">
        <v>815</v>
      </c>
      <c r="G719" s="25">
        <f t="shared" si="22"/>
        <v>1.6898608349902311E-3</v>
      </c>
      <c r="I719" s="83">
        <v>136.77883784128329</v>
      </c>
      <c r="J719" s="83">
        <v>137.98875194403109</v>
      </c>
      <c r="K719" s="83">
        <v>135.44207790518286</v>
      </c>
      <c r="L719" s="83">
        <v>135.87140226422241</v>
      </c>
      <c r="M719" s="84">
        <v>7705147.6124028461</v>
      </c>
      <c r="N719" s="85" t="s">
        <v>815</v>
      </c>
      <c r="O719" s="25">
        <f t="shared" si="23"/>
        <v>6.678635547576306E-3</v>
      </c>
    </row>
    <row r="720" spans="1:15">
      <c r="A720" s="83">
        <v>489.11275982248503</v>
      </c>
      <c r="B720" s="83">
        <v>489.79333893051319</v>
      </c>
      <c r="C720" s="83">
        <v>486.99324202891148</v>
      </c>
      <c r="D720" s="83">
        <v>487.55715043270635</v>
      </c>
      <c r="E720" s="84">
        <v>3294091.713298894</v>
      </c>
      <c r="F720" s="85" t="s">
        <v>816</v>
      </c>
      <c r="G720" s="25">
        <f t="shared" si="22"/>
        <v>3.1906195784392466E-3</v>
      </c>
      <c r="I720" s="83">
        <v>134.87615034099434</v>
      </c>
      <c r="J720" s="83">
        <v>137.33012934777727</v>
      </c>
      <c r="K720" s="83">
        <v>134.72978976404906</v>
      </c>
      <c r="L720" s="83">
        <v>136.10557918733491</v>
      </c>
      <c r="M720" s="84">
        <v>8236141.0098191742</v>
      </c>
      <c r="N720" s="85" t="s">
        <v>816</v>
      </c>
      <c r="O720" s="25">
        <f t="shared" si="23"/>
        <v>-9.03290558462988E-3</v>
      </c>
    </row>
    <row r="721" spans="1:15">
      <c r="A721" s="83">
        <v>488.56829653606246</v>
      </c>
      <c r="B721" s="83">
        <v>488.87941841401818</v>
      </c>
      <c r="C721" s="83">
        <v>486.43905618380285</v>
      </c>
      <c r="D721" s="83">
        <v>487.79049184117309</v>
      </c>
      <c r="E721" s="84">
        <v>6517547.6997103132</v>
      </c>
      <c r="F721" s="85" t="s">
        <v>817</v>
      </c>
      <c r="G721" s="25">
        <f t="shared" si="22"/>
        <v>1.5945466504554417E-3</v>
      </c>
      <c r="I721" s="83">
        <v>135.79334328985158</v>
      </c>
      <c r="J721" s="83">
        <v>136.16412341811304</v>
      </c>
      <c r="K721" s="83">
        <v>134.22240643063867</v>
      </c>
      <c r="L721" s="83">
        <v>135.62746796931359</v>
      </c>
      <c r="M721" s="84">
        <v>8680248.3053533509</v>
      </c>
      <c r="N721" s="85" t="s">
        <v>817</v>
      </c>
      <c r="O721" s="25">
        <f t="shared" si="23"/>
        <v>1.2230215827337965E-3</v>
      </c>
    </row>
    <row r="722" spans="1:15">
      <c r="A722" s="83">
        <v>486.54600432935013</v>
      </c>
      <c r="B722" s="83">
        <v>490.44426423454871</v>
      </c>
      <c r="C722" s="83">
        <v>486.54600432935013</v>
      </c>
      <c r="D722" s="83">
        <v>488.10161371912881</v>
      </c>
      <c r="E722" s="84">
        <v>7223246.7056517489</v>
      </c>
      <c r="F722" s="85" t="s">
        <v>818</v>
      </c>
      <c r="G722" s="25">
        <f t="shared" si="22"/>
        <v>-3.1870605342310121E-3</v>
      </c>
      <c r="I722" s="83">
        <v>136.49587405918902</v>
      </c>
      <c r="J722" s="83">
        <v>138.09608303379102</v>
      </c>
      <c r="K722" s="83">
        <v>135.74455643086981</v>
      </c>
      <c r="L722" s="83">
        <v>136.60320514894892</v>
      </c>
      <c r="M722" s="84">
        <v>7987082.1391806491</v>
      </c>
      <c r="N722" s="85" t="s">
        <v>818</v>
      </c>
      <c r="O722" s="25">
        <f t="shared" si="23"/>
        <v>-7.857142857143895E-4</v>
      </c>
    </row>
    <row r="723" spans="1:15">
      <c r="A723" s="83">
        <v>487.85854975197589</v>
      </c>
      <c r="B723" s="83">
        <v>489.25441750254174</v>
      </c>
      <c r="C723" s="83">
        <v>486.95435179416705</v>
      </c>
      <c r="D723" s="83">
        <v>488.16967162993171</v>
      </c>
      <c r="E723" s="84">
        <v>4471907.1803684505</v>
      </c>
      <c r="F723" s="85" t="s">
        <v>819</v>
      </c>
      <c r="G723" s="25">
        <f t="shared" si="22"/>
        <v>-6.3732324238219284E-4</v>
      </c>
      <c r="I723" s="83">
        <v>138.06681091840196</v>
      </c>
      <c r="J723" s="83">
        <v>140.23294745719241</v>
      </c>
      <c r="K723" s="83">
        <v>137.03252950798847</v>
      </c>
      <c r="L723" s="83">
        <v>140.23294745719241</v>
      </c>
      <c r="M723" s="84">
        <v>15302148.27478434</v>
      </c>
      <c r="N723" s="85" t="s">
        <v>819</v>
      </c>
      <c r="O723" s="25">
        <f t="shared" si="23"/>
        <v>-1.5446701920400652E-2</v>
      </c>
    </row>
    <row r="724" spans="1:15">
      <c r="A724" s="83">
        <v>488.92803120744878</v>
      </c>
      <c r="B724" s="83">
        <v>491.70868299167824</v>
      </c>
      <c r="C724" s="83">
        <v>487.28491878949501</v>
      </c>
      <c r="D724" s="83">
        <v>491.12532947051119</v>
      </c>
      <c r="E724" s="84">
        <v>4948149.0987239238</v>
      </c>
      <c r="F724" s="85" t="s">
        <v>820</v>
      </c>
      <c r="G724" s="25">
        <f t="shared" si="22"/>
        <v>-4.4740072059230585E-3</v>
      </c>
      <c r="I724" s="83">
        <v>139.44260034168778</v>
      </c>
      <c r="J724" s="83">
        <v>141.79412694460896</v>
      </c>
      <c r="K724" s="83">
        <v>138.50589264923784</v>
      </c>
      <c r="L724" s="83">
        <v>141.79412694460896</v>
      </c>
      <c r="M724" s="84">
        <v>9162308.4438998625</v>
      </c>
      <c r="N724" s="85" t="s">
        <v>820</v>
      </c>
      <c r="O724" s="25">
        <f t="shared" si="23"/>
        <v>-1.6584090283512154E-2</v>
      </c>
    </row>
    <row r="725" spans="1:15">
      <c r="A725" s="83">
        <v>490.28918942350515</v>
      </c>
      <c r="B725" s="83">
        <v>490.3623030648248</v>
      </c>
      <c r="C725" s="83">
        <v>488.68496724029586</v>
      </c>
      <c r="D725" s="83">
        <v>489.09331470511279</v>
      </c>
      <c r="E725" s="84">
        <v>3529590.4203696409</v>
      </c>
      <c r="F725" s="85" t="s">
        <v>821</v>
      </c>
      <c r="G725" s="25">
        <f t="shared" si="22"/>
        <v>2.4450849816122222E-3</v>
      </c>
      <c r="I725" s="83">
        <v>141.13062566245694</v>
      </c>
      <c r="J725" s="83">
        <v>141.54043527790378</v>
      </c>
      <c r="K725" s="83">
        <v>137.79360450810404</v>
      </c>
      <c r="L725" s="83">
        <v>137.79360450810404</v>
      </c>
      <c r="M725" s="84">
        <v>11918573.200568328</v>
      </c>
      <c r="N725" s="85" t="s">
        <v>821</v>
      </c>
      <c r="O725" s="25">
        <f t="shared" si="23"/>
        <v>2.4217532927347518E-2</v>
      </c>
    </row>
    <row r="726" spans="1:15">
      <c r="A726" s="83">
        <v>488.98636655956551</v>
      </c>
      <c r="B726" s="83">
        <v>490.19196383664399</v>
      </c>
      <c r="C726" s="83">
        <v>484.09591954044868</v>
      </c>
      <c r="D726" s="83">
        <v>484.65010538555737</v>
      </c>
      <c r="E726" s="84">
        <v>4741076.0364779932</v>
      </c>
      <c r="F726" s="85" t="s">
        <v>822</v>
      </c>
      <c r="G726" s="25">
        <f t="shared" si="22"/>
        <v>8.9471994864387394E-3</v>
      </c>
      <c r="I726" s="83">
        <v>137.88142085427123</v>
      </c>
      <c r="J726" s="83">
        <v>138.00826668762383</v>
      </c>
      <c r="K726" s="83">
        <v>134.89566508458705</v>
      </c>
      <c r="L726" s="83">
        <v>135.4323205333865</v>
      </c>
      <c r="M726" s="84">
        <v>11512069.268691679</v>
      </c>
      <c r="N726" s="85" t="s">
        <v>822</v>
      </c>
      <c r="O726" s="25">
        <f t="shared" si="23"/>
        <v>1.8083573487031712E-2</v>
      </c>
    </row>
    <row r="727" spans="1:15">
      <c r="A727" s="83">
        <v>485.13623331986321</v>
      </c>
      <c r="B727" s="83">
        <v>485.19456867197988</v>
      </c>
      <c r="C727" s="83">
        <v>482.52086503329775</v>
      </c>
      <c r="D727" s="83">
        <v>483.46395322585107</v>
      </c>
      <c r="E727" s="84">
        <v>5977897.5757679399</v>
      </c>
      <c r="F727" s="85" t="s">
        <v>823</v>
      </c>
      <c r="G727" s="25">
        <f t="shared" si="22"/>
        <v>3.4589550738044483E-3</v>
      </c>
      <c r="I727" s="83">
        <v>134.7785766230308</v>
      </c>
      <c r="J727" s="83">
        <v>136.57393303355985</v>
      </c>
      <c r="K727" s="83">
        <v>134.0467737383043</v>
      </c>
      <c r="L727" s="83">
        <v>135.88115963601877</v>
      </c>
      <c r="M727" s="84">
        <v>11612542.021033287</v>
      </c>
      <c r="N727" s="85" t="s">
        <v>823</v>
      </c>
      <c r="O727" s="25">
        <f t="shared" si="23"/>
        <v>-8.114318540858978E-3</v>
      </c>
    </row>
    <row r="728" spans="1:15">
      <c r="A728" s="83">
        <v>484.74733097241847</v>
      </c>
      <c r="B728" s="83">
        <v>485.59319357811069</v>
      </c>
      <c r="C728" s="83">
        <v>482.29724618351702</v>
      </c>
      <c r="D728" s="83">
        <v>485.44735519781892</v>
      </c>
      <c r="E728" s="84">
        <v>9060247.7026735712</v>
      </c>
      <c r="F728" s="85" t="s">
        <v>824</v>
      </c>
      <c r="G728" s="25">
        <f t="shared" si="22"/>
        <v>-1.4420188263569722E-3</v>
      </c>
      <c r="I728" s="83">
        <v>136.4568445720036</v>
      </c>
      <c r="J728" s="83">
        <v>138.94497438007377</v>
      </c>
      <c r="K728" s="83">
        <v>135.40304841799744</v>
      </c>
      <c r="L728" s="83">
        <v>137.02277213619212</v>
      </c>
      <c r="M728" s="84">
        <v>14074739.885521593</v>
      </c>
      <c r="N728" s="85" t="s">
        <v>824</v>
      </c>
      <c r="O728" s="25">
        <f t="shared" si="23"/>
        <v>-4.1301716157516877E-3</v>
      </c>
    </row>
    <row r="729" spans="1:15">
      <c r="A729" s="83">
        <v>483.83341045592351</v>
      </c>
      <c r="B729" s="83">
        <v>486.27377268613884</v>
      </c>
      <c r="C729" s="83">
        <v>482.92921249811462</v>
      </c>
      <c r="D729" s="83">
        <v>484.11536465782092</v>
      </c>
      <c r="E729" s="84">
        <v>3804334.9692314845</v>
      </c>
      <c r="F729" s="85" t="s">
        <v>825</v>
      </c>
      <c r="G729" s="25">
        <f t="shared" si="22"/>
        <v>-5.8241118229473976E-4</v>
      </c>
      <c r="I729" s="83">
        <v>136.97398527721035</v>
      </c>
      <c r="J729" s="83">
        <v>137.53503415550068</v>
      </c>
      <c r="K729" s="83">
        <v>130.70975258395143</v>
      </c>
      <c r="L729" s="83">
        <v>131.42204072508522</v>
      </c>
      <c r="M729" s="84">
        <v>41887629.018373929</v>
      </c>
      <c r="N729" s="85" t="s">
        <v>825</v>
      </c>
      <c r="O729" s="25">
        <f t="shared" si="23"/>
        <v>4.2245155542356416E-2</v>
      </c>
    </row>
    <row r="730" spans="1:15">
      <c r="A730" s="83">
        <v>479.83743883592945</v>
      </c>
      <c r="B730" s="83">
        <v>479.96383209884897</v>
      </c>
      <c r="C730" s="83">
        <v>475.53909564079714</v>
      </c>
      <c r="D730" s="83">
        <v>477.36790892965575</v>
      </c>
      <c r="E730" s="84">
        <v>4143377.4071760294</v>
      </c>
      <c r="F730" s="85" t="s">
        <v>826</v>
      </c>
      <c r="G730" s="25">
        <f t="shared" si="22"/>
        <v>5.1732214505386676E-3</v>
      </c>
      <c r="I730" s="83">
        <v>120.87432181322708</v>
      </c>
      <c r="J730" s="83">
        <v>121.80127213388067</v>
      </c>
      <c r="K730" s="83">
        <v>119.32289969760689</v>
      </c>
      <c r="L730" s="83">
        <v>121.04019713376509</v>
      </c>
      <c r="M730" s="84">
        <v>18830823.897544492</v>
      </c>
      <c r="N730" s="85" t="s">
        <v>826</v>
      </c>
      <c r="O730" s="25">
        <f t="shared" si="23"/>
        <v>-1.3704151551793275E-3</v>
      </c>
    </row>
    <row r="731" spans="1:15">
      <c r="A731" s="83">
        <v>478.74851226308436</v>
      </c>
      <c r="B731" s="83">
        <v>479.02074390629565</v>
      </c>
      <c r="C731" s="83">
        <v>475.97758303754102</v>
      </c>
      <c r="D731" s="83">
        <v>476.57065911739414</v>
      </c>
      <c r="E731" s="84">
        <v>3564104.9973275736</v>
      </c>
      <c r="F731" s="85" t="s">
        <v>827</v>
      </c>
      <c r="G731" s="25">
        <f t="shared" si="22"/>
        <v>4.5698431156537822E-3</v>
      </c>
      <c r="I731" s="83">
        <v>121.479278864601</v>
      </c>
      <c r="J731" s="83">
        <v>123.86983495470761</v>
      </c>
      <c r="K731" s="83">
        <v>121.04019713376509</v>
      </c>
      <c r="L731" s="83">
        <v>122.67943559555249</v>
      </c>
      <c r="M731" s="84">
        <v>10443844.113645801</v>
      </c>
      <c r="N731" s="85" t="s">
        <v>827</v>
      </c>
      <c r="O731" s="25">
        <f t="shared" si="23"/>
        <v>-9.7828680505847032E-3</v>
      </c>
    </row>
    <row r="732" spans="1:15">
      <c r="A732" s="83">
        <v>477.18318031461951</v>
      </c>
      <c r="B732" s="83">
        <v>479.83743883592945</v>
      </c>
      <c r="C732" s="83">
        <v>475.95813792016878</v>
      </c>
      <c r="D732" s="83">
        <v>476.94011634746659</v>
      </c>
      <c r="E732" s="84">
        <v>3151009.0079215094</v>
      </c>
      <c r="F732" s="85" t="s">
        <v>828</v>
      </c>
      <c r="G732" s="25">
        <f t="shared" si="22"/>
        <v>5.0963204566301101E-4</v>
      </c>
      <c r="I732" s="83">
        <v>122.86482565968321</v>
      </c>
      <c r="J732" s="83">
        <v>123.1575468135738</v>
      </c>
      <c r="K732" s="83">
        <v>120.27912213364952</v>
      </c>
      <c r="L732" s="83">
        <v>121.19631508250674</v>
      </c>
      <c r="M732" s="84">
        <v>11832035.55317484</v>
      </c>
      <c r="N732" s="85" t="s">
        <v>828</v>
      </c>
      <c r="O732" s="25">
        <f t="shared" si="23"/>
        <v>1.376700748731996E-2</v>
      </c>
    </row>
    <row r="733" spans="1:15">
      <c r="A733" s="83">
        <v>477.80542407053099</v>
      </c>
      <c r="B733" s="83">
        <v>478.52489341330369</v>
      </c>
      <c r="C733" s="83">
        <v>476.05546073261684</v>
      </c>
      <c r="D733" s="83">
        <v>478.19432641797567</v>
      </c>
      <c r="E733" s="84">
        <v>21953031.798591785</v>
      </c>
      <c r="F733" s="85" t="s">
        <v>829</v>
      </c>
      <c r="G733" s="25">
        <f t="shared" si="22"/>
        <v>-8.1327260897856579E-4</v>
      </c>
      <c r="I733" s="83">
        <v>120.50354168496565</v>
      </c>
      <c r="J733" s="83">
        <v>121.25485931328487</v>
      </c>
      <c r="K733" s="83">
        <v>119.28387021042147</v>
      </c>
      <c r="L733" s="83">
        <v>119.89858463359174</v>
      </c>
      <c r="M733" s="84">
        <v>7529946.7452350222</v>
      </c>
      <c r="N733" s="85" t="s">
        <v>829</v>
      </c>
      <c r="O733" s="25">
        <f t="shared" si="23"/>
        <v>5.0455729166667407E-3</v>
      </c>
    </row>
    <row r="734" spans="1:15">
      <c r="A734" s="83">
        <v>477.91237221607832</v>
      </c>
      <c r="B734" s="83">
        <v>477.91237221607832</v>
      </c>
      <c r="C734" s="83">
        <v>472.57468749740008</v>
      </c>
      <c r="D734" s="83">
        <v>474.33447061958725</v>
      </c>
      <c r="E734" s="84">
        <v>3112499.5977870529</v>
      </c>
      <c r="F734" s="85" t="s">
        <v>830</v>
      </c>
      <c r="G734" s="25">
        <f t="shared" si="22"/>
        <v>7.5429930104331522E-3</v>
      </c>
      <c r="I734" s="83">
        <v>119.6546503386829</v>
      </c>
      <c r="J734" s="83">
        <v>119.81076828742457</v>
      </c>
      <c r="K734" s="83">
        <v>117.5838433223428</v>
      </c>
      <c r="L734" s="83">
        <v>118.69842790264026</v>
      </c>
      <c r="M734" s="84">
        <v>6122249.0284038186</v>
      </c>
      <c r="N734" s="85" t="s">
        <v>830</v>
      </c>
      <c r="O734" s="25">
        <f t="shared" si="23"/>
        <v>8.0558980682283732E-3</v>
      </c>
    </row>
    <row r="735" spans="1:15">
      <c r="A735" s="83">
        <v>472.26356561944436</v>
      </c>
      <c r="B735" s="83">
        <v>472.91497705141421</v>
      </c>
      <c r="C735" s="83">
        <v>469.17179195725919</v>
      </c>
      <c r="D735" s="83">
        <v>470.57184040805998</v>
      </c>
      <c r="E735" s="84">
        <v>2633328.4093783512</v>
      </c>
      <c r="F735" s="85" t="s">
        <v>831</v>
      </c>
      <c r="G735" s="25">
        <f t="shared" si="22"/>
        <v>3.5950413223140298E-3</v>
      </c>
      <c r="I735" s="83">
        <v>117.1567631588164</v>
      </c>
      <c r="J735" s="83">
        <v>117.44948431270701</v>
      </c>
      <c r="K735" s="83">
        <v>115.83951796630869</v>
      </c>
      <c r="L735" s="83">
        <v>116.13223912019929</v>
      </c>
      <c r="M735" s="84">
        <v>7551188.1209175047</v>
      </c>
      <c r="N735" s="85" t="s">
        <v>831</v>
      </c>
      <c r="O735" s="25">
        <f t="shared" si="23"/>
        <v>8.8220467148378834E-3</v>
      </c>
    </row>
    <row r="736" spans="1:15">
      <c r="A736" s="83">
        <v>471.68993465696343</v>
      </c>
      <c r="B736" s="83">
        <v>472.91497705141421</v>
      </c>
      <c r="C736" s="83">
        <v>467.07171928105788</v>
      </c>
      <c r="D736" s="83">
        <v>472.80802890586693</v>
      </c>
      <c r="E736" s="84">
        <v>4331427.6991851395</v>
      </c>
      <c r="F736" s="85" t="s">
        <v>832</v>
      </c>
      <c r="G736" s="25">
        <f t="shared" si="22"/>
        <v>-2.3647953937899757E-3</v>
      </c>
      <c r="I736" s="83">
        <v>116.38593078690448</v>
      </c>
      <c r="J736" s="83">
        <v>116.43471764588625</v>
      </c>
      <c r="K736" s="83">
        <v>114.4930006584119</v>
      </c>
      <c r="L736" s="83">
        <v>114.67839072254262</v>
      </c>
      <c r="M736" s="84">
        <v>7436744.3933127699</v>
      </c>
      <c r="N736" s="85" t="s">
        <v>832</v>
      </c>
      <c r="O736" s="25">
        <f t="shared" si="23"/>
        <v>1.4889815366289527E-2</v>
      </c>
    </row>
    <row r="737" spans="1:15">
      <c r="A737" s="83">
        <v>471.17463904659928</v>
      </c>
      <c r="B737" s="83">
        <v>471.45659324849669</v>
      </c>
      <c r="C737" s="83">
        <v>463.255614996757</v>
      </c>
      <c r="D737" s="83">
        <v>467.88841421069174</v>
      </c>
      <c r="E737" s="84">
        <v>5486180.3072646875</v>
      </c>
      <c r="F737" s="85" t="s">
        <v>833</v>
      </c>
      <c r="G737" s="25">
        <f t="shared" si="22"/>
        <v>7.0235225667028001E-3</v>
      </c>
      <c r="I737" s="83">
        <v>114.3466400814666</v>
      </c>
      <c r="J737" s="83">
        <v>114.56862028983365</v>
      </c>
      <c r="K737" s="83">
        <v>111.77069392722927</v>
      </c>
      <c r="L737" s="83">
        <v>113.7611977736854</v>
      </c>
      <c r="M737" s="84">
        <v>13072822.545069987</v>
      </c>
      <c r="N737" s="85" t="s">
        <v>833</v>
      </c>
      <c r="O737" s="25">
        <f t="shared" si="23"/>
        <v>5.1462389570289258E-3</v>
      </c>
    </row>
    <row r="738" spans="1:15">
      <c r="A738" s="83">
        <v>467.11060951580237</v>
      </c>
      <c r="B738" s="83">
        <v>469.35690947464286</v>
      </c>
      <c r="C738" s="83">
        <v>465.90501223872388</v>
      </c>
      <c r="D738" s="83">
        <v>468.74399937507002</v>
      </c>
      <c r="E738" s="84">
        <v>3490427.8899810407</v>
      </c>
      <c r="F738" s="85" t="s">
        <v>834</v>
      </c>
      <c r="G738" s="25">
        <f t="shared" si="22"/>
        <v>-3.4846096407533667E-3</v>
      </c>
      <c r="I738" s="83">
        <v>114.24906636350308</v>
      </c>
      <c r="J738" s="83">
        <v>118.49352309491684</v>
      </c>
      <c r="K738" s="83">
        <v>114.19052213272495</v>
      </c>
      <c r="L738" s="83">
        <v>117.25433687677994</v>
      </c>
      <c r="M738" s="84">
        <v>11121388.245198794</v>
      </c>
      <c r="N738" s="85" t="s">
        <v>834</v>
      </c>
      <c r="O738" s="25">
        <f t="shared" si="23"/>
        <v>-2.5630356994258086E-2</v>
      </c>
    </row>
    <row r="739" spans="1:15">
      <c r="A739" s="83">
        <v>470.27044108879039</v>
      </c>
      <c r="B739" s="83">
        <v>471.23297439871595</v>
      </c>
      <c r="C739" s="83">
        <v>469.56069430470382</v>
      </c>
      <c r="D739" s="83">
        <v>469.78431315448455</v>
      </c>
      <c r="E739" s="84">
        <v>5764903.2327297218</v>
      </c>
      <c r="F739" s="85" t="s">
        <v>835</v>
      </c>
      <c r="G739" s="25">
        <f t="shared" si="22"/>
        <v>1.0347896272686619E-3</v>
      </c>
      <c r="I739" s="83">
        <v>120.73771860807814</v>
      </c>
      <c r="J739" s="83">
        <v>120.9133513004125</v>
      </c>
      <c r="K739" s="83">
        <v>119.79125354383184</v>
      </c>
      <c r="L739" s="83">
        <v>120.00591572335162</v>
      </c>
      <c r="M739" s="84">
        <v>4852834.4505326618</v>
      </c>
      <c r="N739" s="85" t="s">
        <v>835</v>
      </c>
      <c r="O739" s="25">
        <f t="shared" si="23"/>
        <v>6.098056752581682E-3</v>
      </c>
    </row>
    <row r="740" spans="1:15">
      <c r="A740" s="83">
        <v>473.60527871812849</v>
      </c>
      <c r="B740" s="83">
        <v>474.11571304914963</v>
      </c>
      <c r="C740" s="83">
        <v>471.08227473908113</v>
      </c>
      <c r="D740" s="83">
        <v>473.87751036133972</v>
      </c>
      <c r="E740" s="84">
        <v>4149849.9831749648</v>
      </c>
      <c r="F740" s="85" t="s">
        <v>836</v>
      </c>
      <c r="G740" s="25">
        <f t="shared" si="22"/>
        <v>-5.7447681575695242E-4</v>
      </c>
      <c r="I740" s="83">
        <v>121.46952149280465</v>
      </c>
      <c r="J740" s="83">
        <v>121.79151476208432</v>
      </c>
      <c r="K740" s="83">
        <v>120.02640620412397</v>
      </c>
      <c r="L740" s="83">
        <v>120.24985001826046</v>
      </c>
      <c r="M740" s="84">
        <v>7083253.712421733</v>
      </c>
      <c r="N740" s="85" t="s">
        <v>836</v>
      </c>
      <c r="O740" s="25">
        <f t="shared" si="23"/>
        <v>1.0142810775722211E-2</v>
      </c>
    </row>
    <row r="741" spans="1:15">
      <c r="A741" s="83">
        <v>473.22609892936993</v>
      </c>
      <c r="B741" s="83">
        <v>473.87751036133972</v>
      </c>
      <c r="C741" s="83">
        <v>470.89268484470182</v>
      </c>
      <c r="D741" s="83">
        <v>471.71910233302179</v>
      </c>
      <c r="E741" s="84">
        <v>2628156.931208536</v>
      </c>
      <c r="F741" s="85" t="s">
        <v>837</v>
      </c>
      <c r="G741" s="25">
        <f t="shared" si="22"/>
        <v>3.1946906302815492E-3</v>
      </c>
      <c r="I741" s="83">
        <v>119.9278567489808</v>
      </c>
      <c r="J741" s="83">
        <v>120.51329905676202</v>
      </c>
      <c r="K741" s="83">
        <v>118.47400835132413</v>
      </c>
      <c r="L741" s="83">
        <v>120.42548271059484</v>
      </c>
      <c r="M741" s="84">
        <v>7351810.6614332786</v>
      </c>
      <c r="N741" s="85" t="s">
        <v>837</v>
      </c>
      <c r="O741" s="25">
        <f t="shared" si="23"/>
        <v>-4.1322314049587749E-3</v>
      </c>
    </row>
    <row r="742" spans="1:15">
      <c r="A742" s="83">
        <v>470.02737712163747</v>
      </c>
      <c r="B742" s="83">
        <v>476.39565306104407</v>
      </c>
      <c r="C742" s="83">
        <v>468.90928287273402</v>
      </c>
      <c r="D742" s="83">
        <v>476.31787259155516</v>
      </c>
      <c r="E742" s="84">
        <v>3920065.8211940136</v>
      </c>
      <c r="F742" s="85" t="s">
        <v>838</v>
      </c>
      <c r="G742" s="25">
        <f t="shared" si="22"/>
        <v>-1.320650731767059E-2</v>
      </c>
      <c r="I742" s="83">
        <v>121.07922662095052</v>
      </c>
      <c r="J742" s="83">
        <v>123.62590065979877</v>
      </c>
      <c r="K742" s="83">
        <v>120.17179104388964</v>
      </c>
      <c r="L742" s="83">
        <v>123.47954008285348</v>
      </c>
      <c r="M742" s="84">
        <v>6260480.9240567097</v>
      </c>
      <c r="N742" s="85" t="s">
        <v>838</v>
      </c>
      <c r="O742" s="25">
        <f t="shared" si="23"/>
        <v>-1.9438956934018092E-2</v>
      </c>
    </row>
    <row r="743" spans="1:15">
      <c r="A743" s="83">
        <v>473.54694336601176</v>
      </c>
      <c r="B743" s="83">
        <v>474.87893390600982</v>
      </c>
      <c r="C743" s="83">
        <v>471.485760924555</v>
      </c>
      <c r="D743" s="83">
        <v>474.25669015009834</v>
      </c>
      <c r="E743" s="84">
        <v>3343339.0375329666</v>
      </c>
      <c r="F743" s="85" t="s">
        <v>839</v>
      </c>
      <c r="G743" s="25">
        <f t="shared" si="22"/>
        <v>-1.4965456446422998E-3</v>
      </c>
      <c r="I743" s="83">
        <v>121.57685258256454</v>
      </c>
      <c r="J743" s="83">
        <v>122.12326540316033</v>
      </c>
      <c r="K743" s="83">
        <v>120.30351556314041</v>
      </c>
      <c r="L743" s="83">
        <v>121.6061246979536</v>
      </c>
      <c r="M743" s="84">
        <v>5846904.3909263322</v>
      </c>
      <c r="N743" s="85" t="s">
        <v>839</v>
      </c>
      <c r="O743" s="25">
        <f t="shared" si="23"/>
        <v>-2.4071250902668595E-4</v>
      </c>
    </row>
    <row r="744" spans="1:15">
      <c r="A744" s="83">
        <v>474.92754669944043</v>
      </c>
      <c r="B744" s="83">
        <v>475.02477228630153</v>
      </c>
      <c r="C744" s="83">
        <v>472.85664169929748</v>
      </c>
      <c r="D744" s="83">
        <v>473.03164775564755</v>
      </c>
      <c r="E744" s="84">
        <v>2523590.8357164413</v>
      </c>
      <c r="F744" s="85" t="s">
        <v>840</v>
      </c>
      <c r="G744" s="25">
        <f t="shared" si="22"/>
        <v>4.0079748422503503E-3</v>
      </c>
      <c r="I744" s="83">
        <v>121.6061246979536</v>
      </c>
      <c r="J744" s="83">
        <v>122.3184128390874</v>
      </c>
      <c r="K744" s="83">
        <v>120.9133513004125</v>
      </c>
      <c r="L744" s="83">
        <v>121.44024937741558</v>
      </c>
      <c r="M744" s="84">
        <v>5687449.5671815351</v>
      </c>
      <c r="N744" s="85" t="s">
        <v>840</v>
      </c>
      <c r="O744" s="25">
        <f t="shared" si="23"/>
        <v>1.365900690985189E-3</v>
      </c>
    </row>
    <row r="745" spans="1:15">
      <c r="A745" s="83">
        <v>473.6538915115591</v>
      </c>
      <c r="B745" s="83">
        <v>475.05384273677305</v>
      </c>
      <c r="C745" s="83">
        <v>472.95386728615864</v>
      </c>
      <c r="D745" s="83">
        <v>473.27471172280048</v>
      </c>
      <c r="E745" s="84">
        <v>2673766.324200239</v>
      </c>
      <c r="F745" s="85" t="s">
        <v>841</v>
      </c>
      <c r="G745" s="25">
        <f t="shared" si="22"/>
        <v>8.0118328608413947E-4</v>
      </c>
      <c r="I745" s="83">
        <v>121.49879360819371</v>
      </c>
      <c r="J745" s="83">
        <v>121.65491155693537</v>
      </c>
      <c r="K745" s="83">
        <v>120.24985001826046</v>
      </c>
      <c r="L745" s="83">
        <v>120.79626283885626</v>
      </c>
      <c r="M745" s="84">
        <v>6137945.8782519745</v>
      </c>
      <c r="N745" s="85" t="s">
        <v>841</v>
      </c>
      <c r="O745" s="25">
        <f t="shared" si="23"/>
        <v>5.8158319870758035E-3</v>
      </c>
    </row>
    <row r="746" spans="1:15">
      <c r="A746" s="83">
        <v>473.18720869462544</v>
      </c>
      <c r="B746" s="83">
        <v>473.22609892936993</v>
      </c>
      <c r="C746" s="83">
        <v>471.2524195160882</v>
      </c>
      <c r="D746" s="83">
        <v>472.60385517345844</v>
      </c>
      <c r="E746" s="84">
        <v>3367462.3169671041</v>
      </c>
      <c r="F746" s="85" t="s">
        <v>842</v>
      </c>
      <c r="G746" s="25">
        <f t="shared" si="22"/>
        <v>1.2343393198790409E-3</v>
      </c>
      <c r="I746" s="83">
        <v>120.50354168496565</v>
      </c>
      <c r="J746" s="83">
        <v>120.58160065933649</v>
      </c>
      <c r="K746" s="83">
        <v>119.11799488988346</v>
      </c>
      <c r="L746" s="83">
        <v>120.19130578748235</v>
      </c>
      <c r="M746" s="84">
        <v>6333024.0242657773</v>
      </c>
      <c r="N746" s="85" t="s">
        <v>842</v>
      </c>
      <c r="O746" s="25">
        <f t="shared" si="23"/>
        <v>2.5978243221300712E-3</v>
      </c>
    </row>
    <row r="747" spans="1:15">
      <c r="A747" s="83">
        <v>472.48718446922504</v>
      </c>
      <c r="B747" s="83">
        <v>475.01504972761546</v>
      </c>
      <c r="C747" s="83">
        <v>472.3510686476194</v>
      </c>
      <c r="D747" s="83">
        <v>473.5372208073257</v>
      </c>
      <c r="E747" s="84">
        <v>3442901.3061960735</v>
      </c>
      <c r="F747" s="85" t="s">
        <v>843</v>
      </c>
      <c r="G747" s="25">
        <f t="shared" si="22"/>
        <v>-2.2174314752079205E-3</v>
      </c>
      <c r="I747" s="83">
        <v>119.19605386425428</v>
      </c>
      <c r="J747" s="83">
        <v>119.47901764634854</v>
      </c>
      <c r="K747" s="83">
        <v>118.26910354360071</v>
      </c>
      <c r="L747" s="83">
        <v>118.9813916847345</v>
      </c>
      <c r="M747" s="84">
        <v>5287546.7981327791</v>
      </c>
      <c r="N747" s="85" t="s">
        <v>843</v>
      </c>
      <c r="O747" s="25">
        <f t="shared" si="23"/>
        <v>1.8041659832703782E-3</v>
      </c>
    </row>
    <row r="748" spans="1:15">
      <c r="A748" s="83">
        <v>473.39138242703388</v>
      </c>
      <c r="B748" s="83">
        <v>473.71222686367577</v>
      </c>
      <c r="C748" s="83">
        <v>469.3419367342662</v>
      </c>
      <c r="D748" s="83">
        <v>469.93015153477626</v>
      </c>
      <c r="E748" s="84">
        <v>4525027.9705507178</v>
      </c>
      <c r="F748" s="85" t="s">
        <v>844</v>
      </c>
      <c r="G748" s="25">
        <f t="shared" si="22"/>
        <v>7.3654156494393774E-3</v>
      </c>
      <c r="I748" s="83">
        <v>118.67891315904755</v>
      </c>
      <c r="J748" s="83">
        <v>119.12775226167982</v>
      </c>
      <c r="K748" s="83">
        <v>116.76646828696227</v>
      </c>
      <c r="L748" s="83">
        <v>117.25433687677994</v>
      </c>
      <c r="M748" s="84">
        <v>6768863.7246233355</v>
      </c>
      <c r="N748" s="85" t="s">
        <v>844</v>
      </c>
      <c r="O748" s="25">
        <f t="shared" si="23"/>
        <v>1.2149454938836568E-2</v>
      </c>
    </row>
    <row r="749" spans="1:15">
      <c r="A749" s="83">
        <v>467.69396303696942</v>
      </c>
      <c r="B749" s="83">
        <v>468.11203306047247</v>
      </c>
      <c r="C749" s="83">
        <v>465.20498801332349</v>
      </c>
      <c r="D749" s="83">
        <v>465.69111594762933</v>
      </c>
      <c r="E749" s="84">
        <v>3350685.8689902038</v>
      </c>
      <c r="F749" s="85" t="s">
        <v>845</v>
      </c>
      <c r="G749" s="25">
        <f t="shared" si="22"/>
        <v>4.3008058791598192E-3</v>
      </c>
      <c r="I749" s="83">
        <v>117.93735290252469</v>
      </c>
      <c r="J749" s="83">
        <v>119.57659136431207</v>
      </c>
      <c r="K749" s="83">
        <v>113.31235867105313</v>
      </c>
      <c r="L749" s="83">
        <v>113.67338142751821</v>
      </c>
      <c r="M749" s="84">
        <v>18254117.370680057</v>
      </c>
      <c r="N749" s="85" t="s">
        <v>845</v>
      </c>
      <c r="O749" s="25">
        <f t="shared" si="23"/>
        <v>3.7510729613734028E-2</v>
      </c>
    </row>
    <row r="750" spans="1:15">
      <c r="A750" s="83">
        <v>465.48694221522084</v>
      </c>
      <c r="B750" s="83">
        <v>467.09116439843012</v>
      </c>
      <c r="C750" s="83">
        <v>464.47579611186472</v>
      </c>
      <c r="D750" s="83">
        <v>467.02310648762733</v>
      </c>
      <c r="E750" s="84">
        <v>3197143.9827240268</v>
      </c>
      <c r="F750" s="85" t="s">
        <v>846</v>
      </c>
      <c r="G750" s="25">
        <f t="shared" si="22"/>
        <v>-3.2892682419070063E-3</v>
      </c>
      <c r="I750" s="83">
        <v>113.54653559416562</v>
      </c>
      <c r="J750" s="83">
        <v>114.3466400814666</v>
      </c>
      <c r="K750" s="83">
        <v>113.37578158772942</v>
      </c>
      <c r="L750" s="83">
        <v>114.28809585068848</v>
      </c>
      <c r="M750" s="84">
        <v>4242897.6638434287</v>
      </c>
      <c r="N750" s="85" t="s">
        <v>846</v>
      </c>
      <c r="O750" s="25">
        <f t="shared" si="23"/>
        <v>-6.4885170323571995E-3</v>
      </c>
    </row>
    <row r="751" spans="1:15">
      <c r="A751" s="83">
        <v>465.45777453916247</v>
      </c>
      <c r="B751" s="83">
        <v>467.06199672237176</v>
      </c>
      <c r="C751" s="83">
        <v>464.33968029025903</v>
      </c>
      <c r="D751" s="83">
        <v>466.3814176143436</v>
      </c>
      <c r="E751" s="84">
        <v>3442672.9712410816</v>
      </c>
      <c r="F751" s="85" t="s">
        <v>847</v>
      </c>
      <c r="G751" s="25">
        <f t="shared" si="22"/>
        <v>-1.9804457045174972E-3</v>
      </c>
      <c r="I751" s="83">
        <v>113.83925674805621</v>
      </c>
      <c r="J751" s="83">
        <v>114.77596444050616</v>
      </c>
      <c r="K751" s="83">
        <v>113.09769649153336</v>
      </c>
      <c r="L751" s="83">
        <v>114.3076105942812</v>
      </c>
      <c r="M751" s="84">
        <v>4225042.4458978428</v>
      </c>
      <c r="N751" s="85" t="s">
        <v>847</v>
      </c>
      <c r="O751" s="25">
        <f t="shared" si="23"/>
        <v>-4.0973111395647965E-3</v>
      </c>
    </row>
    <row r="752" spans="1:15">
      <c r="A752" s="83">
        <v>464.88414357668159</v>
      </c>
      <c r="B752" s="83">
        <v>464.88414357668159</v>
      </c>
      <c r="C752" s="83">
        <v>461.76320223843805</v>
      </c>
      <c r="D752" s="83">
        <v>462.3951685530356</v>
      </c>
      <c r="E752" s="84">
        <v>3585526.3131276411</v>
      </c>
      <c r="F752" s="85" t="s">
        <v>848</v>
      </c>
      <c r="G752" s="25">
        <f t="shared" si="22"/>
        <v>5.382787695283886E-3</v>
      </c>
      <c r="I752" s="83">
        <v>113.80998463266717</v>
      </c>
      <c r="J752" s="83">
        <v>114.86924491487929</v>
      </c>
      <c r="K752" s="83">
        <v>113.67338142751821</v>
      </c>
      <c r="L752" s="83">
        <v>114.54178751739367</v>
      </c>
      <c r="M752" s="84">
        <v>3316790.6968651842</v>
      </c>
      <c r="N752" s="85" t="s">
        <v>848</v>
      </c>
      <c r="O752" s="25">
        <f t="shared" si="23"/>
        <v>-6.3889598773319012E-3</v>
      </c>
    </row>
    <row r="753" spans="1:15">
      <c r="A753" s="83">
        <v>462.22988505537165</v>
      </c>
      <c r="B753" s="83">
        <v>462.65767763756082</v>
      </c>
      <c r="C753" s="83">
        <v>460.3631537876372</v>
      </c>
      <c r="D753" s="83">
        <v>460.45065681581224</v>
      </c>
      <c r="E753" s="84">
        <v>3306617.2226767791</v>
      </c>
      <c r="F753" s="85" t="s">
        <v>849</v>
      </c>
      <c r="G753" s="25">
        <f t="shared" si="22"/>
        <v>3.8641018602589838E-3</v>
      </c>
      <c r="I753" s="83">
        <v>114.54178751739367</v>
      </c>
      <c r="J753" s="83">
        <v>115.11747245337853</v>
      </c>
      <c r="K753" s="83">
        <v>114.26858110709577</v>
      </c>
      <c r="L753" s="83">
        <v>114.85402341487698</v>
      </c>
      <c r="M753" s="84">
        <v>4751238.4448981863</v>
      </c>
      <c r="N753" s="85" t="s">
        <v>849</v>
      </c>
      <c r="O753" s="25">
        <f t="shared" si="23"/>
        <v>-2.7185455781156831E-3</v>
      </c>
    </row>
    <row r="754" spans="1:15">
      <c r="A754" s="83">
        <v>462.21043993799941</v>
      </c>
      <c r="B754" s="83">
        <v>463.41603721507789</v>
      </c>
      <c r="C754" s="83">
        <v>461.53958338865732</v>
      </c>
      <c r="D754" s="83">
        <v>462.50211669858294</v>
      </c>
      <c r="E754" s="84">
        <v>3549787.7785280854</v>
      </c>
      <c r="F754" s="85" t="s">
        <v>850</v>
      </c>
      <c r="G754" s="25">
        <f t="shared" si="22"/>
        <v>-6.3064956905611869E-4</v>
      </c>
      <c r="I754" s="83">
        <v>115.06868559439677</v>
      </c>
      <c r="J754" s="83">
        <v>116.23859447277955</v>
      </c>
      <c r="K754" s="83">
        <v>114.44421379943014</v>
      </c>
      <c r="L754" s="83">
        <v>115.13698719697123</v>
      </c>
      <c r="M754" s="84">
        <v>6597824.8388627563</v>
      </c>
      <c r="N754" s="85" t="s">
        <v>850</v>
      </c>
      <c r="O754" s="25">
        <f t="shared" si="23"/>
        <v>-5.9322033898301374E-4</v>
      </c>
    </row>
    <row r="755" spans="1:15">
      <c r="A755" s="83">
        <v>461.5493059473435</v>
      </c>
      <c r="B755" s="83">
        <v>461.63680897551853</v>
      </c>
      <c r="C755" s="83">
        <v>458.72976392836955</v>
      </c>
      <c r="D755" s="83">
        <v>459.11866627581429</v>
      </c>
      <c r="E755" s="84">
        <v>4919015.8212457979</v>
      </c>
      <c r="F755" s="85" t="s">
        <v>851</v>
      </c>
      <c r="G755" s="25">
        <f t="shared" si="22"/>
        <v>5.2941425606707337E-3</v>
      </c>
      <c r="I755" s="83">
        <v>115.46873783804726</v>
      </c>
      <c r="J755" s="83">
        <v>115.48825258163995</v>
      </c>
      <c r="K755" s="83">
        <v>113.3611455300349</v>
      </c>
      <c r="L755" s="83">
        <v>113.5075061069802</v>
      </c>
      <c r="M755" s="84">
        <v>6202896.7700727461</v>
      </c>
      <c r="N755" s="85" t="s">
        <v>851</v>
      </c>
      <c r="O755" s="25">
        <f t="shared" si="23"/>
        <v>1.7278432046763603E-2</v>
      </c>
    </row>
    <row r="756" spans="1:15">
      <c r="A756" s="83">
        <v>456.94081313012407</v>
      </c>
      <c r="B756" s="83">
        <v>457.932514116108</v>
      </c>
      <c r="C756" s="83">
        <v>454.47138044943716</v>
      </c>
      <c r="D756" s="83">
        <v>456.72691683902946</v>
      </c>
      <c r="E756" s="84">
        <v>4717748.8437788272</v>
      </c>
      <c r="F756" s="85" t="s">
        <v>852</v>
      </c>
      <c r="G756" s="25">
        <f t="shared" si="22"/>
        <v>4.6832425068132899E-4</v>
      </c>
      <c r="I756" s="83">
        <v>112.99036540177346</v>
      </c>
      <c r="J756" s="83">
        <v>113.39041764542395</v>
      </c>
      <c r="K756" s="83">
        <v>112.27807726063965</v>
      </c>
      <c r="L756" s="83">
        <v>113.16599809410783</v>
      </c>
      <c r="M756" s="84">
        <v>4596500.0551440669</v>
      </c>
      <c r="N756" s="85" t="s">
        <v>852</v>
      </c>
      <c r="O756" s="25">
        <f t="shared" si="23"/>
        <v>-1.5519917227109215E-3</v>
      </c>
    </row>
    <row r="757" spans="1:15">
      <c r="A757" s="83">
        <v>451.34061932692072</v>
      </c>
      <c r="B757" s="83">
        <v>452.05036611100724</v>
      </c>
      <c r="C757" s="83">
        <v>446.42100463174552</v>
      </c>
      <c r="D757" s="83">
        <v>450.50447927991462</v>
      </c>
      <c r="E757" s="84">
        <v>4085780.4290472553</v>
      </c>
      <c r="F757" s="85" t="s">
        <v>853</v>
      </c>
      <c r="G757" s="25">
        <f t="shared" si="22"/>
        <v>1.8560082872929318E-3</v>
      </c>
      <c r="I757" s="83">
        <v>112.17074617087977</v>
      </c>
      <c r="J757" s="83">
        <v>113.00012277356983</v>
      </c>
      <c r="K757" s="83">
        <v>111.48773014513503</v>
      </c>
      <c r="L757" s="83">
        <v>112.43419520938131</v>
      </c>
      <c r="M757" s="84">
        <v>5125401.7007622691</v>
      </c>
      <c r="N757" s="85" t="s">
        <v>853</v>
      </c>
      <c r="O757" s="25">
        <f t="shared" si="23"/>
        <v>-2.3431398073419096E-3</v>
      </c>
    </row>
    <row r="758" spans="1:15">
      <c r="A758" s="83">
        <v>447.16964165057652</v>
      </c>
      <c r="B758" s="83">
        <v>454.111548552464</v>
      </c>
      <c r="C758" s="83">
        <v>446.6932362749568</v>
      </c>
      <c r="D758" s="83">
        <v>447.98633658021032</v>
      </c>
      <c r="E758" s="84">
        <v>6289884.3786176192</v>
      </c>
      <c r="F758" s="85" t="s">
        <v>854</v>
      </c>
      <c r="G758" s="25">
        <f t="shared" si="22"/>
        <v>-1.8230353538640776E-3</v>
      </c>
      <c r="I758" s="83">
        <v>111.84875290160011</v>
      </c>
      <c r="J758" s="83">
        <v>113.9270730942234</v>
      </c>
      <c r="K758" s="83">
        <v>110.89253046555747</v>
      </c>
      <c r="L758" s="83">
        <v>111.14622213226265</v>
      </c>
      <c r="M758" s="84">
        <v>5722481.5416859547</v>
      </c>
      <c r="N758" s="85" t="s">
        <v>854</v>
      </c>
      <c r="O758" s="25">
        <f t="shared" si="23"/>
        <v>6.3207795628128505E-3</v>
      </c>
    </row>
    <row r="759" spans="1:15">
      <c r="A759" s="83">
        <v>448.62802545349405</v>
      </c>
      <c r="B759" s="83">
        <v>455.34631350560085</v>
      </c>
      <c r="C759" s="83">
        <v>448.55996754269125</v>
      </c>
      <c r="D759" s="83">
        <v>454.45183810647814</v>
      </c>
      <c r="E759" s="84">
        <v>4489390.2324628253</v>
      </c>
      <c r="F759" s="85" t="s">
        <v>855</v>
      </c>
      <c r="G759" s="25">
        <f t="shared" si="22"/>
        <v>-1.2815027170424931E-2</v>
      </c>
      <c r="I759" s="83">
        <v>110.990104183521</v>
      </c>
      <c r="J759" s="83">
        <v>112.71715899147557</v>
      </c>
      <c r="K759" s="83">
        <v>110.93155995274287</v>
      </c>
      <c r="L759" s="83">
        <v>112.29759200423237</v>
      </c>
      <c r="M759" s="84">
        <v>6389743.1912249401</v>
      </c>
      <c r="N759" s="85" t="s">
        <v>855</v>
      </c>
      <c r="O759" s="25">
        <f t="shared" si="23"/>
        <v>-1.1643061951516209E-2</v>
      </c>
    </row>
    <row r="760" spans="1:15">
      <c r="A760" s="83">
        <v>455.83244143990669</v>
      </c>
      <c r="B760" s="83">
        <v>456.3963498437015</v>
      </c>
      <c r="C760" s="83">
        <v>453.27540850545796</v>
      </c>
      <c r="D760" s="83">
        <v>455.83244143990669</v>
      </c>
      <c r="E760" s="84">
        <v>3346037.9155595368</v>
      </c>
      <c r="F760" s="85" t="s">
        <v>856</v>
      </c>
      <c r="G760" s="25">
        <f t="shared" si="22"/>
        <v>0</v>
      </c>
      <c r="I760" s="83">
        <v>113.66362405572185</v>
      </c>
      <c r="J760" s="83">
        <v>114.46372854302285</v>
      </c>
      <c r="K760" s="83">
        <v>112.49273944015944</v>
      </c>
      <c r="L760" s="83">
        <v>114.15149264553953</v>
      </c>
      <c r="M760" s="84">
        <v>5319634.3322079899</v>
      </c>
      <c r="N760" s="85" t="s">
        <v>856</v>
      </c>
      <c r="O760" s="25">
        <f t="shared" si="23"/>
        <v>-4.2738695615009981E-3</v>
      </c>
    </row>
    <row r="761" spans="1:15">
      <c r="A761" s="83">
        <v>454.24766437406964</v>
      </c>
      <c r="B761" s="83">
        <v>455.62826770749825</v>
      </c>
      <c r="C761" s="83">
        <v>451.91425028940159</v>
      </c>
      <c r="D761" s="83">
        <v>452.41982334107968</v>
      </c>
      <c r="E761" s="84">
        <v>5047141.558535384</v>
      </c>
      <c r="F761" s="85" t="s">
        <v>857</v>
      </c>
      <c r="G761" s="25">
        <f t="shared" si="22"/>
        <v>4.0401435540369235E-3</v>
      </c>
      <c r="I761" s="83">
        <v>114.3661548250593</v>
      </c>
      <c r="J761" s="83">
        <v>116.31762918433</v>
      </c>
      <c r="K761" s="83">
        <v>113.33187341464584</v>
      </c>
      <c r="L761" s="83">
        <v>114.2002795045213</v>
      </c>
      <c r="M761" s="84">
        <v>8562870.3859808389</v>
      </c>
      <c r="N761" s="85" t="s">
        <v>857</v>
      </c>
      <c r="O761" s="25">
        <f t="shared" si="23"/>
        <v>1.4524948735472609E-3</v>
      </c>
    </row>
    <row r="762" spans="1:15">
      <c r="A762" s="83">
        <v>449.74611970239749</v>
      </c>
      <c r="B762" s="83">
        <v>450.60170486677578</v>
      </c>
      <c r="C762" s="83">
        <v>444.57371848138331</v>
      </c>
      <c r="D762" s="83">
        <v>446.04182484298695</v>
      </c>
      <c r="E762" s="84">
        <v>5015375.2293240195</v>
      </c>
      <c r="F762" s="85" t="s">
        <v>858</v>
      </c>
      <c r="G762" s="25">
        <f t="shared" si="22"/>
        <v>8.3048150489350991E-3</v>
      </c>
      <c r="I762" s="83">
        <v>112.1024445683053</v>
      </c>
      <c r="J762" s="83">
        <v>112.20001828626883</v>
      </c>
      <c r="K762" s="83">
        <v>110.04363911927472</v>
      </c>
      <c r="L762" s="83">
        <v>110.87301572196475</v>
      </c>
      <c r="M762" s="84">
        <v>6965632.8997732997</v>
      </c>
      <c r="N762" s="85" t="s">
        <v>858</v>
      </c>
      <c r="O762" s="25">
        <f t="shared" si="23"/>
        <v>1.1088620962774076E-2</v>
      </c>
    </row>
    <row r="763" spans="1:15">
      <c r="A763" s="83">
        <v>451.61285097013194</v>
      </c>
      <c r="B763" s="83">
        <v>453.37263409231912</v>
      </c>
      <c r="C763" s="83">
        <v>449.61000388079185</v>
      </c>
      <c r="D763" s="83">
        <v>452.65316474954648</v>
      </c>
      <c r="E763" s="84">
        <v>7907215.8350431286</v>
      </c>
      <c r="F763" s="85" t="s">
        <v>859</v>
      </c>
      <c r="G763" s="25">
        <f t="shared" si="22"/>
        <v>-2.2982580492729721E-3</v>
      </c>
      <c r="I763" s="83">
        <v>112.54152629914121</v>
      </c>
      <c r="J763" s="83">
        <v>112.92206379919899</v>
      </c>
      <c r="K763" s="83">
        <v>111.11695001687359</v>
      </c>
      <c r="L763" s="83">
        <v>112.58055578632661</v>
      </c>
      <c r="M763" s="84">
        <v>5935779.7579922955</v>
      </c>
      <c r="N763" s="85" t="s">
        <v>859</v>
      </c>
      <c r="O763" s="25">
        <f t="shared" si="23"/>
        <v>-3.4668053388786646E-4</v>
      </c>
    </row>
    <row r="764" spans="1:15">
      <c r="A764" s="83">
        <v>451.9434179654599</v>
      </c>
      <c r="B764" s="83">
        <v>452.22537216735731</v>
      </c>
      <c r="C764" s="83">
        <v>447.88911099334916</v>
      </c>
      <c r="D764" s="83">
        <v>448.38496148634113</v>
      </c>
      <c r="E764" s="84">
        <v>4378888.4566767756</v>
      </c>
      <c r="F764" s="85" t="s">
        <v>860</v>
      </c>
      <c r="G764" s="25">
        <f t="shared" ref="G764:G827" si="24">A764/D764-1</f>
        <v>7.9361637538488683E-3</v>
      </c>
      <c r="I764" s="83">
        <v>112.29759200423237</v>
      </c>
      <c r="J764" s="83">
        <v>113.04890963255158</v>
      </c>
      <c r="K764" s="83">
        <v>111.96584136315634</v>
      </c>
      <c r="L764" s="83">
        <v>112.3756509786032</v>
      </c>
      <c r="M764" s="84">
        <v>5631458.0551839937</v>
      </c>
      <c r="N764" s="85" t="s">
        <v>860</v>
      </c>
      <c r="O764" s="25">
        <f t="shared" ref="O764:O827" si="25">I764/L764-1</f>
        <v>-6.9462533645914259E-4</v>
      </c>
    </row>
    <row r="765" spans="1:15">
      <c r="A765" s="83">
        <v>446.31405648619824</v>
      </c>
      <c r="B765" s="83">
        <v>448.91960498849068</v>
      </c>
      <c r="C765" s="83">
        <v>442.71670977233498</v>
      </c>
      <c r="D765" s="83">
        <v>444.85567268328072</v>
      </c>
      <c r="E765" s="84">
        <v>5984111.9892727183</v>
      </c>
      <c r="F765" s="85" t="s">
        <v>861</v>
      </c>
      <c r="G765" s="25">
        <f t="shared" si="24"/>
        <v>3.2783302371324208E-3</v>
      </c>
      <c r="I765" s="83">
        <v>111.75117918363658</v>
      </c>
      <c r="J765" s="83">
        <v>113.51238479287838</v>
      </c>
      <c r="K765" s="83">
        <v>111.56578911950587</v>
      </c>
      <c r="L765" s="83">
        <v>113.21478495308959</v>
      </c>
      <c r="M765" s="84">
        <v>7302673.4542009803</v>
      </c>
      <c r="N765" s="85" t="s">
        <v>861</v>
      </c>
      <c r="O765" s="25">
        <f t="shared" si="25"/>
        <v>-1.2927691114366868E-2</v>
      </c>
    </row>
    <row r="766" spans="1:15">
      <c r="A766" s="83">
        <v>442.47364580518206</v>
      </c>
      <c r="B766" s="83">
        <v>447.17936420926264</v>
      </c>
      <c r="C766" s="83">
        <v>441.30693876284801</v>
      </c>
      <c r="D766" s="83">
        <v>446.25572113408151</v>
      </c>
      <c r="E766" s="84">
        <v>10066747.155741753</v>
      </c>
      <c r="F766" s="85" t="s">
        <v>862</v>
      </c>
      <c r="G766" s="25">
        <f t="shared" si="24"/>
        <v>-8.4751301771279763E-3</v>
      </c>
      <c r="I766" s="83">
        <v>112.09268719650893</v>
      </c>
      <c r="J766" s="83">
        <v>113.93683046601976</v>
      </c>
      <c r="K766" s="83">
        <v>111.68287758106209</v>
      </c>
      <c r="L766" s="83">
        <v>113.30260129925678</v>
      </c>
      <c r="M766" s="84">
        <v>8456677.8556944318</v>
      </c>
      <c r="N766" s="85" t="s">
        <v>862</v>
      </c>
      <c r="O766" s="25">
        <f t="shared" si="25"/>
        <v>-1.0678608336204043E-2</v>
      </c>
    </row>
    <row r="767" spans="1:15">
      <c r="A767" s="83">
        <v>446.20710834065096</v>
      </c>
      <c r="B767" s="83">
        <v>450.44614392779795</v>
      </c>
      <c r="C767" s="83">
        <v>445.49736155656439</v>
      </c>
      <c r="D767" s="83">
        <v>448.55996754269125</v>
      </c>
      <c r="E767" s="84">
        <v>5798150.6535410332</v>
      </c>
      <c r="F767" s="85" t="s">
        <v>863</v>
      </c>
      <c r="G767" s="25">
        <f t="shared" si="24"/>
        <v>-5.245361539795379E-3</v>
      </c>
      <c r="I767" s="83">
        <v>113.18551283770054</v>
      </c>
      <c r="J767" s="83">
        <v>115.87854745349411</v>
      </c>
      <c r="K767" s="83">
        <v>112.89279168380993</v>
      </c>
      <c r="L767" s="83">
        <v>115.87854745349411</v>
      </c>
      <c r="M767" s="84">
        <v>6828074.3411764437</v>
      </c>
      <c r="N767" s="85" t="s">
        <v>863</v>
      </c>
      <c r="O767" s="25">
        <f t="shared" si="25"/>
        <v>-2.3240148198046429E-2</v>
      </c>
    </row>
    <row r="768" spans="1:15">
      <c r="A768" s="83">
        <v>447.22797700269325</v>
      </c>
      <c r="B768" s="83">
        <v>452.33232031290464</v>
      </c>
      <c r="C768" s="83">
        <v>446.00293460824253</v>
      </c>
      <c r="D768" s="83">
        <v>452.20592704998512</v>
      </c>
      <c r="E768" s="84">
        <v>7360437.957776011</v>
      </c>
      <c r="F768" s="85" t="s">
        <v>864</v>
      </c>
      <c r="G768" s="25">
        <f t="shared" si="24"/>
        <v>-1.1008148610006208E-2</v>
      </c>
      <c r="I768" s="83">
        <v>115.79073110732692</v>
      </c>
      <c r="J768" s="83">
        <v>118.1032282230627</v>
      </c>
      <c r="K768" s="83">
        <v>115.73218687654879</v>
      </c>
      <c r="L768" s="83">
        <v>118.04468399228458</v>
      </c>
      <c r="M768" s="84">
        <v>5500033.3204537621</v>
      </c>
      <c r="N768" s="85" t="s">
        <v>864</v>
      </c>
      <c r="O768" s="25">
        <f t="shared" si="25"/>
        <v>-1.9094065134732996E-2</v>
      </c>
    </row>
    <row r="769" spans="1:15">
      <c r="A769" s="83">
        <v>449.94057087611981</v>
      </c>
      <c r="B769" s="83">
        <v>452.59482939742975</v>
      </c>
      <c r="C769" s="83">
        <v>448.78358639247193</v>
      </c>
      <c r="D769" s="83">
        <v>451.17533582925671</v>
      </c>
      <c r="E769" s="84">
        <v>6954361.7254321957</v>
      </c>
      <c r="F769" s="85" t="s">
        <v>865</v>
      </c>
      <c r="G769" s="25">
        <f t="shared" si="24"/>
        <v>-2.736774054520108E-3</v>
      </c>
      <c r="I769" s="83">
        <v>117.69341860761585</v>
      </c>
      <c r="J769" s="83">
        <v>118.49606001158389</v>
      </c>
      <c r="K769" s="83">
        <v>116.8445272613331</v>
      </c>
      <c r="L769" s="83">
        <v>117.17627790240911</v>
      </c>
      <c r="M769" s="84">
        <v>7174020.9823879115</v>
      </c>
      <c r="N769" s="85" t="s">
        <v>865</v>
      </c>
      <c r="O769" s="25">
        <f t="shared" si="25"/>
        <v>4.4133566491797449E-3</v>
      </c>
    </row>
    <row r="770" spans="1:15">
      <c r="A770" s="83">
        <v>450.7475432470676</v>
      </c>
      <c r="B770" s="83">
        <v>460.45065681581224</v>
      </c>
      <c r="C770" s="83">
        <v>450.00862878692271</v>
      </c>
      <c r="D770" s="83">
        <v>460.33398611157889</v>
      </c>
      <c r="E770" s="84">
        <v>9801991.7468928844</v>
      </c>
      <c r="F770" s="85" t="s">
        <v>866</v>
      </c>
      <c r="G770" s="25">
        <f t="shared" si="24"/>
        <v>-2.0824973071155495E-2</v>
      </c>
      <c r="I770" s="83">
        <v>116.97137309468569</v>
      </c>
      <c r="J770" s="83">
        <v>119.49853238994125</v>
      </c>
      <c r="K770" s="83">
        <v>116.54204873564613</v>
      </c>
      <c r="L770" s="83">
        <v>119.215568607847</v>
      </c>
      <c r="M770" s="84">
        <v>5228308.5101938061</v>
      </c>
      <c r="N770" s="85" t="s">
        <v>866</v>
      </c>
      <c r="O770" s="25">
        <f t="shared" si="25"/>
        <v>-1.8824684891144305E-2</v>
      </c>
    </row>
    <row r="771" spans="1:15">
      <c r="A771" s="83">
        <v>456.54218822399326</v>
      </c>
      <c r="B771" s="83">
        <v>460.89789451537365</v>
      </c>
      <c r="C771" s="83">
        <v>454.92824348209786</v>
      </c>
      <c r="D771" s="83">
        <v>459.65340700355068</v>
      </c>
      <c r="E771" s="84">
        <v>7158324.4953182368</v>
      </c>
      <c r="F771" s="85" t="s">
        <v>867</v>
      </c>
      <c r="G771" s="25">
        <f t="shared" si="24"/>
        <v>-6.7686189902066429E-3</v>
      </c>
      <c r="I771" s="83">
        <v>118.17152982563717</v>
      </c>
      <c r="J771" s="83">
        <v>118.88381796677098</v>
      </c>
      <c r="K771" s="83">
        <v>117.49339248579061</v>
      </c>
      <c r="L771" s="83">
        <v>118.78624424880744</v>
      </c>
      <c r="M771" s="84">
        <v>6350969.4304319574</v>
      </c>
      <c r="N771" s="85" t="s">
        <v>867</v>
      </c>
      <c r="O771" s="25">
        <f t="shared" si="25"/>
        <v>-5.1749630359783083E-3</v>
      </c>
    </row>
    <row r="772" spans="1:15">
      <c r="A772" s="83">
        <v>462.85212881128314</v>
      </c>
      <c r="B772" s="83">
        <v>464.1841193512812</v>
      </c>
      <c r="C772" s="83">
        <v>457.61166967946616</v>
      </c>
      <c r="D772" s="83">
        <v>460.82983660457086</v>
      </c>
      <c r="E772" s="84">
        <v>5255716.2830979265</v>
      </c>
      <c r="F772" s="85" t="s">
        <v>868</v>
      </c>
      <c r="G772" s="25">
        <f t="shared" si="24"/>
        <v>4.3883708173340086E-3</v>
      </c>
      <c r="I772" s="83">
        <v>120.24985001826046</v>
      </c>
      <c r="J772" s="83">
        <v>120.81577758244896</v>
      </c>
      <c r="K772" s="83">
        <v>118.41546412054601</v>
      </c>
      <c r="L772" s="83">
        <v>118.76672950521474</v>
      </c>
      <c r="M772" s="84">
        <v>7497142.8297257638</v>
      </c>
      <c r="N772" s="85" t="s">
        <v>868</v>
      </c>
      <c r="O772" s="25">
        <f t="shared" si="25"/>
        <v>1.248767663489958E-2</v>
      </c>
    </row>
    <row r="773" spans="1:15">
      <c r="A773" s="83">
        <v>459.53673629931723</v>
      </c>
      <c r="B773" s="83">
        <v>461.22846151070161</v>
      </c>
      <c r="C773" s="83">
        <v>457.61166967946616</v>
      </c>
      <c r="D773" s="83">
        <v>458.81726695654464</v>
      </c>
      <c r="E773" s="84">
        <v>7131238.0041483715</v>
      </c>
      <c r="F773" s="85" t="s">
        <v>869</v>
      </c>
      <c r="G773" s="25">
        <f t="shared" si="24"/>
        <v>1.5680956114512146E-3</v>
      </c>
      <c r="I773" s="83">
        <v>118.79600162060379</v>
      </c>
      <c r="J773" s="83">
        <v>120.09373206951881</v>
      </c>
      <c r="K773" s="83">
        <v>118.37643463336059</v>
      </c>
      <c r="L773" s="83">
        <v>118.40570674874965</v>
      </c>
      <c r="M773" s="84">
        <v>4622012.0480449656</v>
      </c>
      <c r="N773" s="85" t="s">
        <v>869</v>
      </c>
      <c r="O773" s="25">
        <f t="shared" si="25"/>
        <v>3.296250515039123E-3</v>
      </c>
    </row>
    <row r="774" spans="1:15">
      <c r="A774" s="83">
        <v>464.02855841230325</v>
      </c>
      <c r="B774" s="83">
        <v>465.32165871755689</v>
      </c>
      <c r="C774" s="83">
        <v>459.62423932749232</v>
      </c>
      <c r="D774" s="83">
        <v>465.10776242646227</v>
      </c>
      <c r="E774" s="84">
        <v>5404123.7184842881</v>
      </c>
      <c r="F774" s="85" t="s">
        <v>870</v>
      </c>
      <c r="G774" s="25">
        <f t="shared" si="24"/>
        <v>-2.3203311175217234E-3</v>
      </c>
      <c r="I774" s="83">
        <v>120.24009264646412</v>
      </c>
      <c r="J774" s="83">
        <v>121.72321315950984</v>
      </c>
      <c r="K774" s="83">
        <v>118.29837565898976</v>
      </c>
      <c r="L774" s="83">
        <v>121.3329182876557</v>
      </c>
      <c r="M774" s="84">
        <v>5703282.7242267281</v>
      </c>
      <c r="N774" s="85" t="s">
        <v>870</v>
      </c>
      <c r="O774" s="25">
        <f t="shared" si="25"/>
        <v>-9.0068355448330584E-3</v>
      </c>
    </row>
    <row r="775" spans="1:15">
      <c r="A775" s="83">
        <v>463.45492744982243</v>
      </c>
      <c r="B775" s="83">
        <v>464.80636310719262</v>
      </c>
      <c r="C775" s="83">
        <v>462.7646257831081</v>
      </c>
      <c r="D775" s="83">
        <v>463.91188770806986</v>
      </c>
      <c r="E775" s="84">
        <v>4871945.9073708141</v>
      </c>
      <c r="F775" s="85" t="s">
        <v>871</v>
      </c>
      <c r="G775" s="25">
        <f t="shared" si="24"/>
        <v>-9.850151943830987E-4</v>
      </c>
      <c r="I775" s="83">
        <v>120.942623413411</v>
      </c>
      <c r="J775" s="83">
        <v>121.68666126553211</v>
      </c>
      <c r="K775" s="83">
        <v>120.36879029870323</v>
      </c>
      <c r="L775" s="83">
        <v>121.57481243808907</v>
      </c>
      <c r="M775" s="84">
        <v>6291624.9645831892</v>
      </c>
      <c r="N775" s="85" t="s">
        <v>871</v>
      </c>
      <c r="O775" s="25">
        <f t="shared" si="25"/>
        <v>-5.2000000000000934E-3</v>
      </c>
    </row>
    <row r="776" spans="1:15">
      <c r="A776" s="83">
        <v>463.27019883478619</v>
      </c>
      <c r="B776" s="83">
        <v>465.05914963303167</v>
      </c>
      <c r="C776" s="83">
        <v>459.31311744953661</v>
      </c>
      <c r="D776" s="83">
        <v>459.73118747303965</v>
      </c>
      <c r="E776" s="84">
        <v>5747622.8021945069</v>
      </c>
      <c r="F776" s="85" t="s">
        <v>872</v>
      </c>
      <c r="G776" s="25">
        <f t="shared" si="24"/>
        <v>7.6980014803849084E-3</v>
      </c>
      <c r="I776" s="83">
        <v>121.47755258813861</v>
      </c>
      <c r="J776" s="83">
        <v>122.54254794509626</v>
      </c>
      <c r="K776" s="83">
        <v>120.73837772851502</v>
      </c>
      <c r="L776" s="83">
        <v>121.01070530837634</v>
      </c>
      <c r="M776" s="84">
        <v>5037535.0182989463</v>
      </c>
      <c r="N776" s="85" t="s">
        <v>872</v>
      </c>
      <c r="O776" s="25">
        <f t="shared" si="25"/>
        <v>3.8579006590580001E-3</v>
      </c>
    </row>
    <row r="777" spans="1:15">
      <c r="A777" s="83">
        <v>458.39919693304159</v>
      </c>
      <c r="B777" s="83">
        <v>468.12175561915853</v>
      </c>
      <c r="C777" s="83">
        <v>458.1950232006331</v>
      </c>
      <c r="D777" s="83">
        <v>467.84952397594725</v>
      </c>
      <c r="E777" s="84">
        <v>7067265.1323889922</v>
      </c>
      <c r="F777" s="85" t="s">
        <v>873</v>
      </c>
      <c r="G777" s="25">
        <f t="shared" si="24"/>
        <v>-2.0199501246882745E-2</v>
      </c>
      <c r="I777" s="83">
        <v>120.78700765349025</v>
      </c>
      <c r="J777" s="83">
        <v>124.48288195160815</v>
      </c>
      <c r="K777" s="83">
        <v>120.6313918935695</v>
      </c>
      <c r="L777" s="83">
        <v>124.10356853680132</v>
      </c>
      <c r="M777" s="84">
        <v>7802086.8877180824</v>
      </c>
      <c r="N777" s="85" t="s">
        <v>873</v>
      </c>
      <c r="O777" s="25">
        <f t="shared" si="25"/>
        <v>-2.6724137931034453E-2</v>
      </c>
    </row>
    <row r="778" spans="1:15">
      <c r="A778" s="83">
        <v>464.11606144047835</v>
      </c>
      <c r="B778" s="83">
        <v>465.51805440301644</v>
      </c>
      <c r="C778" s="83">
        <v>462.58961972675803</v>
      </c>
      <c r="D778" s="83">
        <v>462.63823252018858</v>
      </c>
      <c r="E778" s="84">
        <v>6402442.197534428</v>
      </c>
      <c r="F778" s="85" t="s">
        <v>874</v>
      </c>
      <c r="G778" s="25">
        <f t="shared" si="24"/>
        <v>3.194351042367094E-3</v>
      </c>
      <c r="I778" s="83">
        <v>122.78083457747491</v>
      </c>
      <c r="J778" s="83">
        <v>122.94131332989319</v>
      </c>
      <c r="K778" s="83">
        <v>120.66056984855464</v>
      </c>
      <c r="L778" s="83">
        <v>120.85508954845558</v>
      </c>
      <c r="M778" s="84">
        <v>7639305.4315667273</v>
      </c>
      <c r="N778" s="85" t="s">
        <v>874</v>
      </c>
      <c r="O778" s="25">
        <f t="shared" si="25"/>
        <v>1.5934331240946342E-2</v>
      </c>
    </row>
    <row r="779" spans="1:15">
      <c r="A779" s="83">
        <v>463.69799141697536</v>
      </c>
      <c r="B779" s="83">
        <v>463.75632676909203</v>
      </c>
      <c r="C779" s="83">
        <v>461.53958338865732</v>
      </c>
      <c r="D779" s="83">
        <v>463.1146378958083</v>
      </c>
      <c r="E779" s="84">
        <v>4955302.5654445011</v>
      </c>
      <c r="F779" s="85" t="s">
        <v>875</v>
      </c>
      <c r="G779" s="25">
        <f t="shared" si="24"/>
        <v>1.259630928138078E-3</v>
      </c>
      <c r="I779" s="83">
        <v>120.93289742841596</v>
      </c>
      <c r="J779" s="83">
        <v>121.50673054312375</v>
      </c>
      <c r="K779" s="83">
        <v>120.04783279386668</v>
      </c>
      <c r="L779" s="83">
        <v>121.09823917333176</v>
      </c>
      <c r="M779" s="84">
        <v>4999406.2323519345</v>
      </c>
      <c r="N779" s="85" t="s">
        <v>875</v>
      </c>
      <c r="O779" s="25">
        <f t="shared" si="25"/>
        <v>-1.3653521805477853E-3</v>
      </c>
    </row>
    <row r="780" spans="1:15">
      <c r="A780" s="83">
        <v>466.75087484441605</v>
      </c>
      <c r="B780" s="83">
        <v>468.58843843609213</v>
      </c>
      <c r="C780" s="83">
        <v>465.54527756733751</v>
      </c>
      <c r="D780" s="83">
        <v>468.08286538441405</v>
      </c>
      <c r="E780" s="84">
        <v>5897583.3266891455</v>
      </c>
      <c r="F780" s="85" t="s">
        <v>876</v>
      </c>
      <c r="G780" s="25">
        <f t="shared" si="24"/>
        <v>-2.8456297773346018E-3</v>
      </c>
      <c r="I780" s="83">
        <v>122.04165971785133</v>
      </c>
      <c r="J780" s="83">
        <v>122.81195772945907</v>
      </c>
      <c r="K780" s="83">
        <v>121.14686909830699</v>
      </c>
      <c r="L780" s="83">
        <v>122.10001562782162</v>
      </c>
      <c r="M780" s="84">
        <v>4250028.1484137448</v>
      </c>
      <c r="N780" s="85" t="s">
        <v>876</v>
      </c>
      <c r="O780" s="25">
        <f t="shared" si="25"/>
        <v>-4.779353194201974E-4</v>
      </c>
    </row>
    <row r="781" spans="1:15">
      <c r="A781" s="83">
        <v>467.36339604164141</v>
      </c>
      <c r="B781" s="83">
        <v>468.78269515864076</v>
      </c>
      <c r="C781" s="83">
        <v>467.17225053787234</v>
      </c>
      <c r="D781" s="83">
        <v>467.52867953930541</v>
      </c>
      <c r="E781" s="84">
        <v>4181016.6759955171</v>
      </c>
      <c r="F781" s="85" t="s">
        <v>877</v>
      </c>
      <c r="G781" s="25">
        <f t="shared" si="24"/>
        <v>-3.5352590097115222E-4</v>
      </c>
      <c r="I781" s="83">
        <v>122.16809752278694</v>
      </c>
      <c r="J781" s="83">
        <v>122.71275268250959</v>
      </c>
      <c r="K781" s="83">
        <v>121.76933213799002</v>
      </c>
      <c r="L781" s="83">
        <v>121.95412585289591</v>
      </c>
      <c r="M781" s="84">
        <v>6773021.9647208927</v>
      </c>
      <c r="N781" s="85" t="s">
        <v>877</v>
      </c>
      <c r="O781" s="25">
        <f t="shared" si="25"/>
        <v>1.7545258792566187E-3</v>
      </c>
    </row>
    <row r="782" spans="1:15">
      <c r="A782" s="83">
        <v>467.42173139375808</v>
      </c>
      <c r="B782" s="83">
        <v>467.52867953930541</v>
      </c>
      <c r="C782" s="83">
        <v>464.20356446865338</v>
      </c>
      <c r="D782" s="83">
        <v>466.20641155799348</v>
      </c>
      <c r="E782" s="84">
        <v>5092722.1525237542</v>
      </c>
      <c r="F782" s="85" t="s">
        <v>878</v>
      </c>
      <c r="G782" s="25">
        <f t="shared" si="24"/>
        <v>2.6068278033826164E-3</v>
      </c>
      <c r="I782" s="83">
        <v>121.83741403295534</v>
      </c>
      <c r="J782" s="83">
        <v>124.31754020669236</v>
      </c>
      <c r="K782" s="83">
        <v>121.05933523335158</v>
      </c>
      <c r="L782" s="83">
        <v>123.84096694193505</v>
      </c>
      <c r="M782" s="84">
        <v>8344536.8300824482</v>
      </c>
      <c r="N782" s="85" t="s">
        <v>878</v>
      </c>
      <c r="O782" s="25">
        <f t="shared" si="25"/>
        <v>-1.6178433990418628E-2</v>
      </c>
    </row>
    <row r="783" spans="1:15">
      <c r="A783" s="83">
        <v>463.37714698033346</v>
      </c>
      <c r="B783" s="83">
        <v>466.07029573638783</v>
      </c>
      <c r="C783" s="83">
        <v>463.21186348266946</v>
      </c>
      <c r="D783" s="83">
        <v>465.76889641711824</v>
      </c>
      <c r="E783" s="84">
        <v>8303886.1071914462</v>
      </c>
      <c r="F783" s="85" t="s">
        <v>879</v>
      </c>
      <c r="G783" s="25">
        <f t="shared" si="24"/>
        <v>-5.1350561516303461E-3</v>
      </c>
      <c r="I783" s="83">
        <v>123.004532232361</v>
      </c>
      <c r="J783" s="83">
        <v>123.45679053463068</v>
      </c>
      <c r="K783" s="83">
        <v>122.39179517767303</v>
      </c>
      <c r="L783" s="83">
        <v>123.27685981222231</v>
      </c>
      <c r="M783" s="84">
        <v>7262945.6076656971</v>
      </c>
      <c r="N783" s="85" t="s">
        <v>879</v>
      </c>
      <c r="O783" s="25">
        <f t="shared" si="25"/>
        <v>-2.2090729783036389E-3</v>
      </c>
    </row>
    <row r="784" spans="1:15">
      <c r="A784" s="83">
        <v>464.67996984427316</v>
      </c>
      <c r="B784" s="83">
        <v>465.50638733259308</v>
      </c>
      <c r="C784" s="83">
        <v>464.3007900555146</v>
      </c>
      <c r="D784" s="83">
        <v>464.47579611186472</v>
      </c>
      <c r="E784" s="84">
        <v>6254811.3067022068</v>
      </c>
      <c r="F784" s="85" t="s">
        <v>880</v>
      </c>
      <c r="G784" s="25">
        <f t="shared" si="24"/>
        <v>4.3957884160494842E-4</v>
      </c>
      <c r="I784" s="83">
        <v>122.62521881755416</v>
      </c>
      <c r="J784" s="83">
        <v>124.17165043176665</v>
      </c>
      <c r="K784" s="83">
        <v>122.59604086256901</v>
      </c>
      <c r="L784" s="83">
        <v>124.17165043176665</v>
      </c>
      <c r="M784" s="84">
        <v>7655849.7713001268</v>
      </c>
      <c r="N784" s="85" t="s">
        <v>880</v>
      </c>
      <c r="O784" s="25">
        <f t="shared" si="25"/>
        <v>-1.245398292472788E-2</v>
      </c>
    </row>
    <row r="785" spans="1:15">
      <c r="A785" s="83">
        <v>465.88556712135164</v>
      </c>
      <c r="B785" s="83">
        <v>466.99393881156897</v>
      </c>
      <c r="C785" s="83">
        <v>465.53555500865144</v>
      </c>
      <c r="D785" s="83">
        <v>466.55642367069373</v>
      </c>
      <c r="E785" s="84">
        <v>6049336.5891412199</v>
      </c>
      <c r="F785" s="85" t="s">
        <v>881</v>
      </c>
      <c r="G785" s="25">
        <f t="shared" si="24"/>
        <v>-1.4378894283868515E-3</v>
      </c>
      <c r="I785" s="83">
        <v>124.28836225170723</v>
      </c>
      <c r="J785" s="83">
        <v>125.66458912850639</v>
      </c>
      <c r="K785" s="83">
        <v>124.05493861182609</v>
      </c>
      <c r="L785" s="83">
        <v>125.47493242110296</v>
      </c>
      <c r="M785" s="84">
        <v>6847584.0785190621</v>
      </c>
      <c r="N785" s="85" t="s">
        <v>881</v>
      </c>
      <c r="O785" s="25">
        <f t="shared" si="25"/>
        <v>-9.4566312688937337E-3</v>
      </c>
    </row>
    <row r="786" spans="1:15">
      <c r="A786" s="83">
        <v>466.49526878835638</v>
      </c>
      <c r="B786" s="83">
        <v>468.32209663018881</v>
      </c>
      <c r="C786" s="83">
        <v>466.35958926694701</v>
      </c>
      <c r="D786" s="83">
        <v>467.72607587542649</v>
      </c>
      <c r="E786" s="84">
        <v>5205319.0685234424</v>
      </c>
      <c r="F786" s="85" t="s">
        <v>882</v>
      </c>
      <c r="G786" s="25">
        <f t="shared" si="24"/>
        <v>-2.6314698934979397E-3</v>
      </c>
      <c r="I786" s="83">
        <v>125.47493242110296</v>
      </c>
      <c r="J786" s="83">
        <v>129.13550139368886</v>
      </c>
      <c r="K786" s="83">
        <v>125.41657651113267</v>
      </c>
      <c r="L786" s="83">
        <v>126.9435561553551</v>
      </c>
      <c r="M786" s="84">
        <v>18345038.583841193</v>
      </c>
      <c r="N786" s="85" t="s">
        <v>882</v>
      </c>
      <c r="O786" s="25">
        <f t="shared" si="25"/>
        <v>-1.1569108182654109E-2</v>
      </c>
    </row>
    <row r="787" spans="1:15">
      <c r="A787" s="83">
        <v>464.94464568653569</v>
      </c>
      <c r="B787" s="83">
        <v>465.20631333496794</v>
      </c>
      <c r="C787" s="83">
        <v>460.27339359230103</v>
      </c>
      <c r="D787" s="83">
        <v>460.86456864987014</v>
      </c>
      <c r="E787" s="84">
        <v>6376126.8540313253</v>
      </c>
      <c r="F787" s="85" t="s">
        <v>883</v>
      </c>
      <c r="G787" s="25">
        <f t="shared" si="24"/>
        <v>8.8530933254824529E-3</v>
      </c>
      <c r="I787" s="83">
        <v>125.69863007598906</v>
      </c>
      <c r="J787" s="83">
        <v>127.10889790027088</v>
      </c>
      <c r="K787" s="83">
        <v>124.75520953146949</v>
      </c>
      <c r="L787" s="83">
        <v>126.41835296562253</v>
      </c>
      <c r="M787" s="84">
        <v>8609235.9840818662</v>
      </c>
      <c r="N787" s="85" t="s">
        <v>883</v>
      </c>
      <c r="O787" s="25">
        <f t="shared" si="25"/>
        <v>-5.6931835667024533E-3</v>
      </c>
    </row>
    <row r="788" spans="1:15">
      <c r="A788" s="83">
        <v>460.92271701618841</v>
      </c>
      <c r="B788" s="83">
        <v>461.05839653759773</v>
      </c>
      <c r="C788" s="83">
        <v>456.74572603565906</v>
      </c>
      <c r="D788" s="83">
        <v>457.6276429248195</v>
      </c>
      <c r="E788" s="84">
        <v>4695142.740651668</v>
      </c>
      <c r="F788" s="85" t="s">
        <v>884</v>
      </c>
      <c r="G788" s="25">
        <f t="shared" si="24"/>
        <v>7.2003388394747958E-3</v>
      </c>
      <c r="I788" s="83">
        <v>125.65000015101381</v>
      </c>
      <c r="J788" s="83">
        <v>125.66945212100391</v>
      </c>
      <c r="K788" s="83">
        <v>123.02398420235109</v>
      </c>
      <c r="L788" s="83">
        <v>124.2445953192295</v>
      </c>
      <c r="M788" s="84">
        <v>10508909.899824986</v>
      </c>
      <c r="N788" s="85" t="s">
        <v>884</v>
      </c>
      <c r="O788" s="25">
        <f t="shared" si="25"/>
        <v>1.1311597322791522E-2</v>
      </c>
    </row>
    <row r="789" spans="1:15">
      <c r="A789" s="83">
        <v>458.35449750379792</v>
      </c>
      <c r="B789" s="83">
        <v>460.6116232563856</v>
      </c>
      <c r="C789" s="83">
        <v>457.91838475641089</v>
      </c>
      <c r="D789" s="83">
        <v>459.32363694243583</v>
      </c>
      <c r="E789" s="84">
        <v>4064538.9537921203</v>
      </c>
      <c r="F789" s="85" t="s">
        <v>885</v>
      </c>
      <c r="G789" s="25">
        <f t="shared" si="24"/>
        <v>-2.1099272075113529E-3</v>
      </c>
      <c r="I789" s="83">
        <v>124.29808823670226</v>
      </c>
      <c r="J789" s="83">
        <v>125.41657651113267</v>
      </c>
      <c r="K789" s="83">
        <v>123.40329761715792</v>
      </c>
      <c r="L789" s="83">
        <v>123.71452913699945</v>
      </c>
      <c r="M789" s="84">
        <v>12576024.954005942</v>
      </c>
      <c r="N789" s="85" t="s">
        <v>885</v>
      </c>
      <c r="O789" s="25">
        <f t="shared" si="25"/>
        <v>4.7169811320753041E-3</v>
      </c>
    </row>
    <row r="790" spans="1:15">
      <c r="A790" s="83">
        <v>455.50522755420246</v>
      </c>
      <c r="B790" s="83">
        <v>457.22196115580573</v>
      </c>
      <c r="C790" s="83">
        <v>454.25513459230348</v>
      </c>
      <c r="D790" s="83">
        <v>455.89288332965771</v>
      </c>
      <c r="E790" s="84">
        <v>7023846.8569261152</v>
      </c>
      <c r="F790" s="85" t="s">
        <v>886</v>
      </c>
      <c r="G790" s="25">
        <f t="shared" si="24"/>
        <v>-8.50322059480213E-4</v>
      </c>
      <c r="I790" s="83">
        <v>122.10001562782162</v>
      </c>
      <c r="J790" s="83">
        <v>122.55713692258884</v>
      </c>
      <c r="K790" s="83">
        <v>120.17290896090297</v>
      </c>
      <c r="L790" s="83">
        <v>120.64111787856456</v>
      </c>
      <c r="M790" s="84">
        <v>18347636.778267037</v>
      </c>
      <c r="N790" s="85" t="s">
        <v>886</v>
      </c>
      <c r="O790" s="25">
        <f t="shared" si="25"/>
        <v>1.2092873266688065E-2</v>
      </c>
    </row>
    <row r="791" spans="1:15">
      <c r="A791" s="83">
        <v>458.66462212416207</v>
      </c>
      <c r="B791" s="83">
        <v>460.65620367056295</v>
      </c>
      <c r="C791" s="83">
        <v>455.93164890720317</v>
      </c>
      <c r="D791" s="83">
        <v>460.49629566318777</v>
      </c>
      <c r="E791" s="84">
        <v>5317067.6938319039</v>
      </c>
      <c r="F791" s="85" t="s">
        <v>887</v>
      </c>
      <c r="G791" s="25">
        <f t="shared" si="24"/>
        <v>-3.9776075427225832E-3</v>
      </c>
      <c r="I791" s="83">
        <v>122.09028964282656</v>
      </c>
      <c r="J791" s="83">
        <v>124.29808823670226</v>
      </c>
      <c r="K791" s="83">
        <v>121.51645652811878</v>
      </c>
      <c r="L791" s="83">
        <v>123.74370709198458</v>
      </c>
      <c r="M791" s="84">
        <v>11274849.802446015</v>
      </c>
      <c r="N791" s="85" t="s">
        <v>887</v>
      </c>
      <c r="O791" s="25">
        <f t="shared" si="25"/>
        <v>-1.3361628546726401E-2</v>
      </c>
    </row>
    <row r="792" spans="1:15">
      <c r="A792" s="83">
        <v>459.67252714034549</v>
      </c>
      <c r="B792" s="83">
        <v>460.79672888916548</v>
      </c>
      <c r="C792" s="83">
        <v>458.30604053186602</v>
      </c>
      <c r="D792" s="83">
        <v>460.6416665789834</v>
      </c>
      <c r="E792" s="84">
        <v>3657395.2711920524</v>
      </c>
      <c r="F792" s="85" t="s">
        <v>888</v>
      </c>
      <c r="G792" s="25">
        <f t="shared" si="24"/>
        <v>-2.1038900927815574E-3</v>
      </c>
      <c r="I792" s="83">
        <v>122.08056365783152</v>
      </c>
      <c r="J792" s="83">
        <v>125.27068673620698</v>
      </c>
      <c r="K792" s="83">
        <v>121.40947069317326</v>
      </c>
      <c r="L792" s="83">
        <v>124.49260793660321</v>
      </c>
      <c r="M792" s="84">
        <v>16317469.13868553</v>
      </c>
      <c r="N792" s="85" t="s">
        <v>888</v>
      </c>
      <c r="O792" s="25">
        <f t="shared" si="25"/>
        <v>-1.9375000000000031E-2</v>
      </c>
    </row>
    <row r="793" spans="1:15">
      <c r="A793" s="83">
        <v>460.37030753616477</v>
      </c>
      <c r="B793" s="83">
        <v>460.87426004425652</v>
      </c>
      <c r="C793" s="83">
        <v>455.07880620120181</v>
      </c>
      <c r="D793" s="83">
        <v>457.35628388200092</v>
      </c>
      <c r="E793" s="84">
        <v>4964235.0813436629</v>
      </c>
      <c r="F793" s="85" t="s">
        <v>889</v>
      </c>
      <c r="G793" s="25">
        <f t="shared" si="24"/>
        <v>6.5901000169519275E-3</v>
      </c>
      <c r="I793" s="83">
        <v>124.04521262683105</v>
      </c>
      <c r="J793" s="83">
        <v>125.82506788092466</v>
      </c>
      <c r="K793" s="83">
        <v>121.18577303828718</v>
      </c>
      <c r="L793" s="83">
        <v>122.80028654746501</v>
      </c>
      <c r="M793" s="84">
        <v>49903507.999155439</v>
      </c>
      <c r="N793" s="85" t="s">
        <v>889</v>
      </c>
      <c r="O793" s="25">
        <f t="shared" si="25"/>
        <v>1.0137810866466035E-2</v>
      </c>
    </row>
    <row r="794" spans="1:15">
      <c r="A794" s="83">
        <v>455.49553615981614</v>
      </c>
      <c r="B794" s="83">
        <v>455.93649460439633</v>
      </c>
      <c r="C794" s="83">
        <v>452.96608222497116</v>
      </c>
      <c r="D794" s="83">
        <v>454.72022460890577</v>
      </c>
      <c r="E794" s="84">
        <v>5493395.2615554649</v>
      </c>
      <c r="F794" s="85" t="s">
        <v>890</v>
      </c>
      <c r="G794" s="25">
        <f t="shared" si="24"/>
        <v>1.7050298380223428E-3</v>
      </c>
      <c r="I794" s="83">
        <v>111.00266674847283</v>
      </c>
      <c r="J794" s="83">
        <v>111.60567781816576</v>
      </c>
      <c r="K794" s="83">
        <v>108.13350117493395</v>
      </c>
      <c r="L794" s="83">
        <v>108.55171852972097</v>
      </c>
      <c r="M794" s="84">
        <v>21014154.361134678</v>
      </c>
      <c r="N794" s="85" t="s">
        <v>890</v>
      </c>
      <c r="O794" s="25">
        <f t="shared" si="25"/>
        <v>2.2578621987277003E-2</v>
      </c>
    </row>
    <row r="795" spans="1:15">
      <c r="A795" s="83">
        <v>455.87350054088489</v>
      </c>
      <c r="B795" s="83">
        <v>461.60053313957172</v>
      </c>
      <c r="C795" s="83">
        <v>455.32109106086131</v>
      </c>
      <c r="D795" s="83">
        <v>459.14919184348099</v>
      </c>
      <c r="E795" s="84">
        <v>6485779.8056740295</v>
      </c>
      <c r="F795" s="85" t="s">
        <v>891</v>
      </c>
      <c r="G795" s="25">
        <f t="shared" si="24"/>
        <v>-7.1342634611730738E-3</v>
      </c>
      <c r="I795" s="83">
        <v>109.33952331431979</v>
      </c>
      <c r="J795" s="83">
        <v>111.19718644837378</v>
      </c>
      <c r="K795" s="83">
        <v>108.48363663475564</v>
      </c>
      <c r="L795" s="83">
        <v>110.94431083850256</v>
      </c>
      <c r="M795" s="84">
        <v>8547147.6711441521</v>
      </c>
      <c r="N795" s="85" t="s">
        <v>891</v>
      </c>
      <c r="O795" s="25">
        <f t="shared" si="25"/>
        <v>-1.4464802314368308E-2</v>
      </c>
    </row>
    <row r="796" spans="1:15">
      <c r="A796" s="83">
        <v>458.65493072977569</v>
      </c>
      <c r="B796" s="83">
        <v>459.55623040770894</v>
      </c>
      <c r="C796" s="83">
        <v>456.25146492195364</v>
      </c>
      <c r="D796" s="83">
        <v>457.07523344479591</v>
      </c>
      <c r="E796" s="84">
        <v>7377475.0205695992</v>
      </c>
      <c r="F796" s="85" t="s">
        <v>892</v>
      </c>
      <c r="G796" s="25">
        <f t="shared" si="24"/>
        <v>3.4560990607044317E-3</v>
      </c>
      <c r="I796" s="83">
        <v>111.40143213326978</v>
      </c>
      <c r="J796" s="83">
        <v>111.654307743141</v>
      </c>
      <c r="K796" s="83">
        <v>109.21308550938419</v>
      </c>
      <c r="L796" s="83">
        <v>110.81787303356694</v>
      </c>
      <c r="M796" s="84">
        <v>7886229.522157345</v>
      </c>
      <c r="N796" s="85" t="s">
        <v>892</v>
      </c>
      <c r="O796" s="25">
        <f t="shared" si="25"/>
        <v>5.26592943654558E-3</v>
      </c>
    </row>
    <row r="797" spans="1:15">
      <c r="A797" s="83">
        <v>454.1581237344958</v>
      </c>
      <c r="B797" s="83">
        <v>456.13516818931714</v>
      </c>
      <c r="C797" s="83">
        <v>452.89814555032268</v>
      </c>
      <c r="D797" s="83">
        <v>454.76868158083767</v>
      </c>
      <c r="E797" s="84">
        <v>5494616.9639780438</v>
      </c>
      <c r="F797" s="85" t="s">
        <v>893</v>
      </c>
      <c r="G797" s="25">
        <f t="shared" si="24"/>
        <v>-1.3425679275439473E-3</v>
      </c>
      <c r="I797" s="83">
        <v>109.19363353939407</v>
      </c>
      <c r="J797" s="83">
        <v>109.95226036900775</v>
      </c>
      <c r="K797" s="83">
        <v>107.63747594018653</v>
      </c>
      <c r="L797" s="83">
        <v>108.44473269477545</v>
      </c>
      <c r="M797" s="84">
        <v>6895313.9485770976</v>
      </c>
      <c r="N797" s="85" t="s">
        <v>893</v>
      </c>
      <c r="O797" s="25">
        <f t="shared" si="25"/>
        <v>6.9058295964123939E-3</v>
      </c>
    </row>
    <row r="798" spans="1:15">
      <c r="A798" s="83">
        <v>451.76434932106014</v>
      </c>
      <c r="B798" s="83">
        <v>454.8946697078606</v>
      </c>
      <c r="C798" s="83">
        <v>449.73884789430696</v>
      </c>
      <c r="D798" s="83">
        <v>454.47793974924633</v>
      </c>
      <c r="E798" s="84">
        <v>4763507.5159961935</v>
      </c>
      <c r="F798" s="85" t="s">
        <v>894</v>
      </c>
      <c r="G798" s="25">
        <f t="shared" si="24"/>
        <v>-5.9707857980596524E-3</v>
      </c>
      <c r="I798" s="83">
        <v>107.9000775350528</v>
      </c>
      <c r="J798" s="83">
        <v>110.09815014393347</v>
      </c>
      <c r="K798" s="83">
        <v>107.3408333978376</v>
      </c>
      <c r="L798" s="83">
        <v>109.72856271412167</v>
      </c>
      <c r="M798" s="84">
        <v>8474183.3389596604</v>
      </c>
      <c r="N798" s="85" t="s">
        <v>894</v>
      </c>
      <c r="O798" s="25">
        <f t="shared" si="25"/>
        <v>-1.6663712107782391E-2</v>
      </c>
    </row>
    <row r="799" spans="1:15">
      <c r="A799" s="83">
        <v>456.33868747143111</v>
      </c>
      <c r="B799" s="83">
        <v>458.01529870027468</v>
      </c>
      <c r="C799" s="83">
        <v>456.07701982299886</v>
      </c>
      <c r="D799" s="83">
        <v>456.08671121738524</v>
      </c>
      <c r="E799" s="84">
        <v>4096667.4574507498</v>
      </c>
      <c r="F799" s="85" t="s">
        <v>895</v>
      </c>
      <c r="G799" s="25">
        <f t="shared" si="24"/>
        <v>5.5247444805672785E-4</v>
      </c>
      <c r="I799" s="83">
        <v>110.93458485350752</v>
      </c>
      <c r="J799" s="83">
        <v>111.45978804324005</v>
      </c>
      <c r="K799" s="83">
        <v>110.28294385883936</v>
      </c>
      <c r="L799" s="83">
        <v>110.46773757374525</v>
      </c>
      <c r="M799" s="84">
        <v>6773670.7421972314</v>
      </c>
      <c r="N799" s="85" t="s">
        <v>895</v>
      </c>
      <c r="O799" s="25">
        <f t="shared" si="25"/>
        <v>4.2260961436872968E-3</v>
      </c>
    </row>
    <row r="800" spans="1:15">
      <c r="A800" s="83">
        <v>456.88140555706832</v>
      </c>
      <c r="B800" s="83">
        <v>457.21091296620517</v>
      </c>
      <c r="C800" s="83">
        <v>453.00484780251668</v>
      </c>
      <c r="D800" s="83">
        <v>453.39250357797187</v>
      </c>
      <c r="E800" s="84">
        <v>4993523.9523444073</v>
      </c>
      <c r="F800" s="85" t="s">
        <v>896</v>
      </c>
      <c r="G800" s="25">
        <f t="shared" si="24"/>
        <v>7.6951029220015954E-3</v>
      </c>
      <c r="I800" s="83">
        <v>110.66225727364619</v>
      </c>
      <c r="J800" s="83">
        <v>110.81787303356694</v>
      </c>
      <c r="K800" s="83">
        <v>108.46418466476554</v>
      </c>
      <c r="L800" s="83">
        <v>108.6198004246863</v>
      </c>
      <c r="M800" s="84">
        <v>7819408.5266148932</v>
      </c>
      <c r="N800" s="85" t="s">
        <v>896</v>
      </c>
      <c r="O800" s="25">
        <f t="shared" si="25"/>
        <v>1.8803724928366572E-2</v>
      </c>
    </row>
    <row r="801" spans="1:15">
      <c r="A801" s="83">
        <v>452.52027808319775</v>
      </c>
      <c r="B801" s="83">
        <v>454.03213560747287</v>
      </c>
      <c r="C801" s="83">
        <v>450.13619506414852</v>
      </c>
      <c r="D801" s="83">
        <v>452.55904366074327</v>
      </c>
      <c r="E801" s="84">
        <v>7566425.1269210316</v>
      </c>
      <c r="F801" s="85" t="s">
        <v>897</v>
      </c>
      <c r="G801" s="25">
        <f t="shared" si="24"/>
        <v>-8.5658607619332194E-5</v>
      </c>
      <c r="I801" s="83">
        <v>108.6198004246863</v>
      </c>
      <c r="J801" s="83">
        <v>109.36121226085875</v>
      </c>
      <c r="K801" s="83">
        <v>107.60343499270388</v>
      </c>
      <c r="L801" s="83">
        <v>108.6198004246863</v>
      </c>
      <c r="M801" s="84">
        <v>12537403.672954069</v>
      </c>
      <c r="N801" s="85" t="s">
        <v>897</v>
      </c>
      <c r="O801" s="25">
        <f t="shared" si="25"/>
        <v>0</v>
      </c>
    </row>
    <row r="802" spans="1:15">
      <c r="A802" s="83">
        <v>450.85335824874051</v>
      </c>
      <c r="B802" s="83">
        <v>451.45422470069605</v>
      </c>
      <c r="C802" s="83">
        <v>449.78730486623886</v>
      </c>
      <c r="D802" s="83">
        <v>450.15557785292128</v>
      </c>
      <c r="E802" s="84">
        <v>2889782.3041193672</v>
      </c>
      <c r="F802" s="85" t="s">
        <v>898</v>
      </c>
      <c r="G802" s="25">
        <f t="shared" si="24"/>
        <v>1.550087192404348E-3</v>
      </c>
      <c r="I802" s="83">
        <v>108.6198004246863</v>
      </c>
      <c r="J802" s="83">
        <v>108.9504839145179</v>
      </c>
      <c r="K802" s="83">
        <v>108.05569329497357</v>
      </c>
      <c r="L802" s="83">
        <v>108.21130905489433</v>
      </c>
      <c r="M802" s="84">
        <v>5426883.7579822168</v>
      </c>
      <c r="N802" s="85" t="s">
        <v>898</v>
      </c>
      <c r="O802" s="25">
        <f t="shared" si="25"/>
        <v>3.7749415782850626E-3</v>
      </c>
    </row>
    <row r="803" spans="1:15">
      <c r="A803" s="83">
        <v>451.55113864455984</v>
      </c>
      <c r="B803" s="83">
        <v>451.73527513790106</v>
      </c>
      <c r="C803" s="83">
        <v>449.59347697851132</v>
      </c>
      <c r="D803" s="83">
        <v>451.33792796805949</v>
      </c>
      <c r="E803" s="84">
        <v>3701162.9668495688</v>
      </c>
      <c r="F803" s="85" t="s">
        <v>899</v>
      </c>
      <c r="G803" s="25">
        <f t="shared" si="24"/>
        <v>4.7239698524825791E-4</v>
      </c>
      <c r="I803" s="83">
        <v>108.32802087483488</v>
      </c>
      <c r="J803" s="83">
        <v>108.4544586797705</v>
      </c>
      <c r="K803" s="83">
        <v>106.7815892606224</v>
      </c>
      <c r="L803" s="83">
        <v>107.5888460152113</v>
      </c>
      <c r="M803" s="84">
        <v>6778895.9199068286</v>
      </c>
      <c r="N803" s="85" t="s">
        <v>899</v>
      </c>
      <c r="O803" s="25">
        <f t="shared" si="25"/>
        <v>6.8703670222383106E-3</v>
      </c>
    </row>
    <row r="804" spans="1:15">
      <c r="A804" s="83">
        <v>450.71767872733125</v>
      </c>
      <c r="B804" s="83">
        <v>453.15991011269875</v>
      </c>
      <c r="C804" s="83">
        <v>450.59169060030831</v>
      </c>
      <c r="D804" s="83">
        <v>452.77225433724362</v>
      </c>
      <c r="E804" s="84">
        <v>3560688.8569615851</v>
      </c>
      <c r="F804" s="85" t="s">
        <v>900</v>
      </c>
      <c r="G804" s="25">
        <f t="shared" si="24"/>
        <v>-4.5377683597680463E-3</v>
      </c>
      <c r="I804" s="83">
        <v>107.92925549003795</v>
      </c>
      <c r="J804" s="83">
        <v>109.45623513426035</v>
      </c>
      <c r="K804" s="83">
        <v>107.89035155005777</v>
      </c>
      <c r="L804" s="83">
        <v>108.9310319445278</v>
      </c>
      <c r="M804" s="84">
        <v>6521645.8828901025</v>
      </c>
      <c r="N804" s="85" t="s">
        <v>900</v>
      </c>
      <c r="O804" s="25">
        <f t="shared" si="25"/>
        <v>-9.1964285714285499E-3</v>
      </c>
    </row>
    <row r="805" spans="1:15">
      <c r="A805" s="83">
        <v>452.37490716740206</v>
      </c>
      <c r="B805" s="83">
        <v>454.40040859415529</v>
      </c>
      <c r="C805" s="83">
        <v>451.70687935234895</v>
      </c>
      <c r="D805" s="83">
        <v>453.64447983201768</v>
      </c>
      <c r="E805" s="84">
        <v>4179605.9870321793</v>
      </c>
      <c r="F805" s="85" t="s">
        <v>901</v>
      </c>
      <c r="G805" s="25">
        <f t="shared" si="24"/>
        <v>-2.7986071054710848E-3</v>
      </c>
      <c r="I805" s="83">
        <v>108.88240201955257</v>
      </c>
      <c r="J805" s="83">
        <v>110.26349188884927</v>
      </c>
      <c r="K805" s="83">
        <v>108.64897837967143</v>
      </c>
      <c r="L805" s="83">
        <v>108.9310319445278</v>
      </c>
      <c r="M805" s="84">
        <v>7715934.1740930155</v>
      </c>
      <c r="N805" s="85" t="s">
        <v>901</v>
      </c>
      <c r="O805" s="25">
        <f t="shared" si="25"/>
        <v>-4.4642857142851433E-4</v>
      </c>
    </row>
    <row r="806" spans="1:15">
      <c r="A806" s="83">
        <v>452.17138788528808</v>
      </c>
      <c r="B806" s="83">
        <v>452.90793385865288</v>
      </c>
      <c r="C806" s="83">
        <v>448.04769957388379</v>
      </c>
      <c r="D806" s="83">
        <v>448.92477076585112</v>
      </c>
      <c r="E806" s="84">
        <v>4466370.7072778028</v>
      </c>
      <c r="F806" s="85" t="s">
        <v>902</v>
      </c>
      <c r="G806" s="25">
        <f t="shared" si="24"/>
        <v>7.2319848020379052E-3</v>
      </c>
      <c r="I806" s="83">
        <v>107.96815943001815</v>
      </c>
      <c r="J806" s="83">
        <v>108.81918311708476</v>
      </c>
      <c r="K806" s="83">
        <v>106.65515145568678</v>
      </c>
      <c r="L806" s="83">
        <v>108.4350067097804</v>
      </c>
      <c r="M806" s="84">
        <v>9210161.2377169784</v>
      </c>
      <c r="N806" s="85" t="s">
        <v>902</v>
      </c>
      <c r="O806" s="25">
        <f t="shared" si="25"/>
        <v>-4.3053188626781536E-3</v>
      </c>
    </row>
    <row r="807" spans="1:15">
      <c r="A807" s="83">
        <v>442.86764927436423</v>
      </c>
      <c r="B807" s="83">
        <v>443.01302019015986</v>
      </c>
      <c r="C807" s="83">
        <v>439.60164936615445</v>
      </c>
      <c r="D807" s="83">
        <v>441.26856920061164</v>
      </c>
      <c r="E807" s="84">
        <v>4357554.5805208338</v>
      </c>
      <c r="F807" s="85" t="s">
        <v>903</v>
      </c>
      <c r="G807" s="25">
        <f t="shared" si="24"/>
        <v>3.6238250021962681E-3</v>
      </c>
      <c r="I807" s="83">
        <v>105.1962537064297</v>
      </c>
      <c r="J807" s="83">
        <v>105.40536238382322</v>
      </c>
      <c r="K807" s="83">
        <v>103.59146618224693</v>
      </c>
      <c r="L807" s="83">
        <v>103.83461580712311</v>
      </c>
      <c r="M807" s="84">
        <v>8089268.0833936231</v>
      </c>
      <c r="N807" s="85" t="s">
        <v>903</v>
      </c>
      <c r="O807" s="25">
        <f t="shared" si="25"/>
        <v>1.311352566504298E-2</v>
      </c>
    </row>
    <row r="808" spans="1:15">
      <c r="A808" s="83">
        <v>442.42184513259076</v>
      </c>
      <c r="B808" s="83">
        <v>443.9240112624795</v>
      </c>
      <c r="C808" s="83">
        <v>440.4060351002239</v>
      </c>
      <c r="D808" s="83">
        <v>443.32314481052401</v>
      </c>
      <c r="E808" s="84">
        <v>5475769.3149486408</v>
      </c>
      <c r="F808" s="85" t="s">
        <v>904</v>
      </c>
      <c r="G808" s="25">
        <f t="shared" si="24"/>
        <v>-2.0330535152150997E-3</v>
      </c>
      <c r="I808" s="83">
        <v>105.47830727128608</v>
      </c>
      <c r="J808" s="83">
        <v>107.72987279763949</v>
      </c>
      <c r="K808" s="83">
        <v>104.72940642666745</v>
      </c>
      <c r="L808" s="83">
        <v>107.51103813525093</v>
      </c>
      <c r="M808" s="84">
        <v>11284860.099608677</v>
      </c>
      <c r="N808" s="85" t="s">
        <v>904</v>
      </c>
      <c r="O808" s="25">
        <f t="shared" si="25"/>
        <v>-1.8907182920209875E-2</v>
      </c>
    </row>
    <row r="809" spans="1:15">
      <c r="A809" s="83">
        <v>444.86407651795827</v>
      </c>
      <c r="B809" s="83">
        <v>447.88779156650855</v>
      </c>
      <c r="C809" s="83">
        <v>444.2535186716164</v>
      </c>
      <c r="D809" s="83">
        <v>446.85081236716599</v>
      </c>
      <c r="E809" s="84">
        <v>5703919.1468353309</v>
      </c>
      <c r="F809" s="85" t="s">
        <v>905</v>
      </c>
      <c r="G809" s="25">
        <f t="shared" si="24"/>
        <v>-4.4460831092218989E-3</v>
      </c>
      <c r="I809" s="83">
        <v>108.25993897986956</v>
      </c>
      <c r="J809" s="83">
        <v>110.01061627897803</v>
      </c>
      <c r="K809" s="83">
        <v>108.19672007740175</v>
      </c>
      <c r="L809" s="83">
        <v>109.92308241402262</v>
      </c>
      <c r="M809" s="84">
        <v>9187774.8161760364</v>
      </c>
      <c r="N809" s="85" t="s">
        <v>905</v>
      </c>
      <c r="O809" s="25">
        <f t="shared" si="25"/>
        <v>-1.5130065475137178E-2</v>
      </c>
    </row>
    <row r="810" spans="1:15">
      <c r="A810" s="83">
        <v>447.15124559314376</v>
      </c>
      <c r="B810" s="83">
        <v>447.29661650893945</v>
      </c>
      <c r="C810" s="83">
        <v>444.28259285477554</v>
      </c>
      <c r="D810" s="83">
        <v>444.73808839093533</v>
      </c>
      <c r="E810" s="84">
        <v>5877081.0194301177</v>
      </c>
      <c r="F810" s="85" t="s">
        <v>906</v>
      </c>
      <c r="G810" s="25">
        <f t="shared" si="24"/>
        <v>5.4260187404664428E-3</v>
      </c>
      <c r="I810" s="83">
        <v>109.68965877414148</v>
      </c>
      <c r="J810" s="83">
        <v>111.1777344783837</v>
      </c>
      <c r="K810" s="83">
        <v>109.48541308924548</v>
      </c>
      <c r="L810" s="83">
        <v>111.11937856841341</v>
      </c>
      <c r="M810" s="84">
        <v>8693847.465635566</v>
      </c>
      <c r="N810" s="85" t="s">
        <v>906</v>
      </c>
      <c r="O810" s="25">
        <f t="shared" si="25"/>
        <v>-1.2866520787746194E-2</v>
      </c>
    </row>
    <row r="811" spans="1:15">
      <c r="A811" s="83">
        <v>444.14691333336623</v>
      </c>
      <c r="B811" s="83">
        <v>444.51518632004866</v>
      </c>
      <c r="C811" s="83">
        <v>440.37696091706476</v>
      </c>
      <c r="D811" s="83">
        <v>442.4848391961022</v>
      </c>
      <c r="E811" s="84">
        <v>5803095.793835775</v>
      </c>
      <c r="F811" s="85" t="s">
        <v>907</v>
      </c>
      <c r="G811" s="25">
        <f t="shared" si="24"/>
        <v>3.7562284400154411E-3</v>
      </c>
      <c r="I811" s="83">
        <v>111.12910455340847</v>
      </c>
      <c r="J811" s="83">
        <v>111.57649986318063</v>
      </c>
      <c r="K811" s="83">
        <v>110.41910764877002</v>
      </c>
      <c r="L811" s="83">
        <v>111.18746046337873</v>
      </c>
      <c r="M811" s="84">
        <v>6113638.8787644729</v>
      </c>
      <c r="N811" s="85" t="s">
        <v>907</v>
      </c>
      <c r="O811" s="25">
        <f t="shared" si="25"/>
        <v>-5.2484254723561552E-4</v>
      </c>
    </row>
    <row r="812" spans="1:15">
      <c r="A812" s="83">
        <v>439.9602309584505</v>
      </c>
      <c r="B812" s="83">
        <v>441.63684218729406</v>
      </c>
      <c r="C812" s="83">
        <v>437.07704112850269</v>
      </c>
      <c r="D812" s="83">
        <v>440.4544920721558</v>
      </c>
      <c r="E812" s="84">
        <v>8411835.9804423042</v>
      </c>
      <c r="F812" s="85" t="s">
        <v>908</v>
      </c>
      <c r="G812" s="25">
        <f t="shared" si="24"/>
        <v>-1.1221615912690996E-3</v>
      </c>
      <c r="I812" s="83">
        <v>110.56499742369573</v>
      </c>
      <c r="J812" s="83">
        <v>111.08047462843321</v>
      </c>
      <c r="K812" s="83">
        <v>109.90363044403252</v>
      </c>
      <c r="L812" s="83">
        <v>110.67198325864125</v>
      </c>
      <c r="M812" s="84">
        <v>8401947.9817842394</v>
      </c>
      <c r="N812" s="85" t="s">
        <v>908</v>
      </c>
      <c r="O812" s="25">
        <f t="shared" si="25"/>
        <v>-9.6669303102203674E-4</v>
      </c>
    </row>
    <row r="813" spans="1:15">
      <c r="A813" s="83">
        <v>446.24994591521045</v>
      </c>
      <c r="B813" s="83">
        <v>448.4595838353049</v>
      </c>
      <c r="C813" s="83">
        <v>445.5618569137776</v>
      </c>
      <c r="D813" s="83">
        <v>446.3953168310062</v>
      </c>
      <c r="E813" s="84">
        <v>4709573.068675111</v>
      </c>
      <c r="F813" s="85" t="s">
        <v>909</v>
      </c>
      <c r="G813" s="25">
        <f t="shared" si="24"/>
        <v>-3.2565510952886623E-4</v>
      </c>
      <c r="I813" s="83">
        <v>112.6658101826259</v>
      </c>
      <c r="J813" s="83">
        <v>113.89128429200183</v>
      </c>
      <c r="K813" s="83">
        <v>112.21841487285373</v>
      </c>
      <c r="L813" s="83">
        <v>113.07430155241789</v>
      </c>
      <c r="M813" s="84">
        <v>5592882.3690043576</v>
      </c>
      <c r="N813" s="85" t="s">
        <v>909</v>
      </c>
      <c r="O813" s="25">
        <f t="shared" si="25"/>
        <v>-3.6125924651643215E-3</v>
      </c>
    </row>
    <row r="814" spans="1:15">
      <c r="A814" s="83">
        <v>446.45346519732448</v>
      </c>
      <c r="B814" s="83">
        <v>446.80235539523409</v>
      </c>
      <c r="C814" s="83">
        <v>444.03061660072967</v>
      </c>
      <c r="D814" s="83">
        <v>444.38919819302572</v>
      </c>
      <c r="E814" s="84">
        <v>4130049.6506730891</v>
      </c>
      <c r="F814" s="85" t="s">
        <v>910</v>
      </c>
      <c r="G814" s="25">
        <f t="shared" si="24"/>
        <v>4.6451781742051779E-3</v>
      </c>
      <c r="I814" s="83">
        <v>113.44388898222967</v>
      </c>
      <c r="J814" s="83">
        <v>114.12470793188298</v>
      </c>
      <c r="K814" s="83">
        <v>112.55882434768039</v>
      </c>
      <c r="L814" s="83">
        <v>113.85238035202165</v>
      </c>
      <c r="M814" s="84">
        <v>5950186.0253198547</v>
      </c>
      <c r="N814" s="85" t="s">
        <v>910</v>
      </c>
      <c r="O814" s="25">
        <f t="shared" si="25"/>
        <v>-3.5879036391595065E-3</v>
      </c>
    </row>
    <row r="815" spans="1:15">
      <c r="A815" s="83">
        <v>443.93370265686588</v>
      </c>
      <c r="B815" s="83">
        <v>444.18567891091175</v>
      </c>
      <c r="C815" s="83">
        <v>442.92579764068245</v>
      </c>
      <c r="D815" s="83">
        <v>443.68172640282006</v>
      </c>
      <c r="E815" s="84">
        <v>4317843.0607274687</v>
      </c>
      <c r="F815" s="85" t="s">
        <v>911</v>
      </c>
      <c r="G815" s="25">
        <f t="shared" si="24"/>
        <v>5.6792119001314312E-4</v>
      </c>
      <c r="I815" s="83">
        <v>113.48279292220987</v>
      </c>
      <c r="J815" s="83">
        <v>114.55965398086148</v>
      </c>
      <c r="K815" s="83">
        <v>112.79224798756151</v>
      </c>
      <c r="L815" s="83">
        <v>113.8815583070068</v>
      </c>
      <c r="M815" s="84">
        <v>4598783.5702787116</v>
      </c>
      <c r="N815" s="85" t="s">
        <v>911</v>
      </c>
      <c r="O815" s="25">
        <f t="shared" si="25"/>
        <v>-3.5015799812110338E-3</v>
      </c>
    </row>
    <row r="816" spans="1:15">
      <c r="A816" s="83">
        <v>443.63326943088811</v>
      </c>
      <c r="B816" s="83">
        <v>444.04030799511605</v>
      </c>
      <c r="C816" s="83">
        <v>441.22011222867974</v>
      </c>
      <c r="D816" s="83">
        <v>442.07295493468109</v>
      </c>
      <c r="E816" s="84">
        <v>6978784.1979743959</v>
      </c>
      <c r="F816" s="85" t="s">
        <v>912</v>
      </c>
      <c r="G816" s="25">
        <f t="shared" si="24"/>
        <v>3.5295407212538876E-3</v>
      </c>
      <c r="I816" s="83">
        <v>114.05662603691763</v>
      </c>
      <c r="J816" s="83">
        <v>114.36785755675915</v>
      </c>
      <c r="K816" s="83">
        <v>112.14060699289335</v>
      </c>
      <c r="L816" s="83">
        <v>112.62690624264572</v>
      </c>
      <c r="M816" s="84">
        <v>7889053.9147524387</v>
      </c>
      <c r="N816" s="85" t="s">
        <v>912</v>
      </c>
      <c r="O816" s="25">
        <f t="shared" si="25"/>
        <v>1.2694300518134582E-2</v>
      </c>
    </row>
    <row r="817" spans="1:15">
      <c r="A817" s="83">
        <v>440.01837932476872</v>
      </c>
      <c r="B817" s="83">
        <v>440.27035557881464</v>
      </c>
      <c r="C817" s="83">
        <v>438.25454554644773</v>
      </c>
      <c r="D817" s="83">
        <v>439.58226657738169</v>
      </c>
      <c r="E817" s="84">
        <v>4523189.1565170493</v>
      </c>
      <c r="F817" s="85" t="s">
        <v>913</v>
      </c>
      <c r="G817" s="25">
        <f t="shared" si="24"/>
        <v>9.9210723576881321E-4</v>
      </c>
      <c r="I817" s="83">
        <v>112.14060699289335</v>
      </c>
      <c r="J817" s="83">
        <v>113.74539451707614</v>
      </c>
      <c r="K817" s="83">
        <v>111.82937547305185</v>
      </c>
      <c r="L817" s="83">
        <v>113.54114883218014</v>
      </c>
      <c r="M817" s="84">
        <v>4769972.4011115665</v>
      </c>
      <c r="N817" s="85" t="s">
        <v>913</v>
      </c>
      <c r="O817" s="25">
        <f t="shared" si="25"/>
        <v>-1.2335103649134815E-2</v>
      </c>
    </row>
    <row r="818" spans="1:15">
      <c r="A818" s="83">
        <v>438.6518927162893</v>
      </c>
      <c r="B818" s="83">
        <v>440.13467605740527</v>
      </c>
      <c r="C818" s="83">
        <v>436.6360826839225</v>
      </c>
      <c r="D818" s="83">
        <v>439.72763749317738</v>
      </c>
      <c r="E818" s="84">
        <v>7328003.2953580189</v>
      </c>
      <c r="F818" s="85" t="s">
        <v>914</v>
      </c>
      <c r="G818" s="25">
        <f t="shared" si="24"/>
        <v>-2.4463888215459084E-3</v>
      </c>
      <c r="I818" s="83">
        <v>113.2007393573535</v>
      </c>
      <c r="J818" s="83">
        <v>113.51683386969253</v>
      </c>
      <c r="K818" s="83">
        <v>111.62512978815586</v>
      </c>
      <c r="L818" s="83">
        <v>112.36430464777945</v>
      </c>
      <c r="M818" s="84">
        <v>8312276.8584538903</v>
      </c>
      <c r="N818" s="85" t="s">
        <v>914</v>
      </c>
      <c r="O818" s="25">
        <f t="shared" si="25"/>
        <v>7.4439539513546649E-3</v>
      </c>
    </row>
    <row r="819" spans="1:15">
      <c r="A819" s="83">
        <v>440.26066418442821</v>
      </c>
      <c r="B819" s="83">
        <v>441.8112872862489</v>
      </c>
      <c r="C819" s="83">
        <v>435.81231416108022</v>
      </c>
      <c r="D819" s="83">
        <v>436.12243878144437</v>
      </c>
      <c r="E819" s="84">
        <v>6452613.2676935131</v>
      </c>
      <c r="F819" s="85" t="s">
        <v>915</v>
      </c>
      <c r="G819" s="25">
        <f t="shared" si="24"/>
        <v>9.488678029377029E-3</v>
      </c>
      <c r="I819" s="83">
        <v>112.61718025765067</v>
      </c>
      <c r="J819" s="83">
        <v>113.29799920730396</v>
      </c>
      <c r="K819" s="83">
        <v>112.00201170671393</v>
      </c>
      <c r="L819" s="83">
        <v>112.6463582126358</v>
      </c>
      <c r="M819" s="84">
        <v>6682710.2893021759</v>
      </c>
      <c r="N819" s="85" t="s">
        <v>915</v>
      </c>
      <c r="O819" s="25">
        <f t="shared" si="25"/>
        <v>-2.5902262130883535E-4</v>
      </c>
    </row>
    <row r="820" spans="1:15">
      <c r="A820" s="83">
        <v>435.78323997792114</v>
      </c>
      <c r="B820" s="83">
        <v>435.78323997792114</v>
      </c>
      <c r="C820" s="83">
        <v>430.92804521823291</v>
      </c>
      <c r="D820" s="83">
        <v>431.60624899739173</v>
      </c>
      <c r="E820" s="84">
        <v>6333825.4076495552</v>
      </c>
      <c r="F820" s="85" t="s">
        <v>916</v>
      </c>
      <c r="G820" s="25">
        <f t="shared" si="24"/>
        <v>9.6777815201527506E-3</v>
      </c>
      <c r="I820" s="83">
        <v>112.36430464777945</v>
      </c>
      <c r="J820" s="83">
        <v>112.60745427265562</v>
      </c>
      <c r="K820" s="83">
        <v>109.4659611192554</v>
      </c>
      <c r="L820" s="83">
        <v>109.8160965790771</v>
      </c>
      <c r="M820" s="84">
        <v>8104236.2331567714</v>
      </c>
      <c r="N820" s="85" t="s">
        <v>916</v>
      </c>
      <c r="O820" s="25">
        <f t="shared" si="25"/>
        <v>2.3204322026392665E-2</v>
      </c>
    </row>
    <row r="821" spans="1:15">
      <c r="A821" s="83">
        <v>430.1234656562757</v>
      </c>
      <c r="B821" s="83">
        <v>435.59425778738671</v>
      </c>
      <c r="C821" s="83">
        <v>430.0556258955711</v>
      </c>
      <c r="D821" s="83">
        <v>435.1823735259656</v>
      </c>
      <c r="E821" s="84">
        <v>7334386.2777786851</v>
      </c>
      <c r="F821" s="85" t="s">
        <v>917</v>
      </c>
      <c r="G821" s="25">
        <f t="shared" si="24"/>
        <v>-1.1624799572421241E-2</v>
      </c>
      <c r="I821" s="83">
        <v>108.63925239467639</v>
      </c>
      <c r="J821" s="83">
        <v>111.1388305384035</v>
      </c>
      <c r="K821" s="83">
        <v>108.61007443969125</v>
      </c>
      <c r="L821" s="83">
        <v>110.69143522863133</v>
      </c>
      <c r="M821" s="84">
        <v>7594814.3080229061</v>
      </c>
      <c r="N821" s="85" t="s">
        <v>917</v>
      </c>
      <c r="O821" s="25">
        <f t="shared" si="25"/>
        <v>-1.8539671382128087E-2</v>
      </c>
    </row>
    <row r="822" spans="1:15">
      <c r="A822" s="83">
        <v>437.24664053026436</v>
      </c>
      <c r="B822" s="83">
        <v>437.8668897709926</v>
      </c>
      <c r="C822" s="83">
        <v>436.53916874005864</v>
      </c>
      <c r="D822" s="83">
        <v>436.92682451551383</v>
      </c>
      <c r="E822" s="84">
        <v>3518537.0278528505</v>
      </c>
      <c r="F822" s="85" t="s">
        <v>918</v>
      </c>
      <c r="G822" s="25">
        <f t="shared" si="24"/>
        <v>7.3196699494282313E-4</v>
      </c>
      <c r="I822" s="83">
        <v>111.03184470345798</v>
      </c>
      <c r="J822" s="83">
        <v>111.26526834333912</v>
      </c>
      <c r="K822" s="83">
        <v>109.54376899921577</v>
      </c>
      <c r="L822" s="83">
        <v>110.25376590385422</v>
      </c>
      <c r="M822" s="84">
        <v>8463802.8993382324</v>
      </c>
      <c r="N822" s="85" t="s">
        <v>918</v>
      </c>
      <c r="O822" s="25">
        <f t="shared" si="25"/>
        <v>7.0571630204656621E-3</v>
      </c>
    </row>
    <row r="823" spans="1:15">
      <c r="A823" s="83">
        <v>437.55676515062845</v>
      </c>
      <c r="B823" s="83">
        <v>437.67286805537731</v>
      </c>
      <c r="C823" s="83">
        <v>433.89458103990358</v>
      </c>
      <c r="D823" s="83">
        <v>434.39737058066891</v>
      </c>
      <c r="E823" s="84">
        <v>4687923.9651885284</v>
      </c>
      <c r="F823" s="85" t="s">
        <v>919</v>
      </c>
      <c r="G823" s="25">
        <f t="shared" si="24"/>
        <v>7.2730517814514339E-3</v>
      </c>
      <c r="I823" s="83">
        <v>110.63307931866105</v>
      </c>
      <c r="J823" s="83">
        <v>111.45006205824501</v>
      </c>
      <c r="K823" s="83">
        <v>109.91335642902757</v>
      </c>
      <c r="L823" s="83">
        <v>111.06102265844312</v>
      </c>
      <c r="M823" s="84">
        <v>7212044.8505442226</v>
      </c>
      <c r="N823" s="85" t="s">
        <v>919</v>
      </c>
      <c r="O823" s="25">
        <f t="shared" si="25"/>
        <v>-3.8532270776775457E-3</v>
      </c>
    </row>
    <row r="824" spans="1:15">
      <c r="A824" s="83">
        <v>434.39737058066891</v>
      </c>
      <c r="B824" s="83">
        <v>435.63786906212539</v>
      </c>
      <c r="C824" s="83">
        <v>433.36039138132634</v>
      </c>
      <c r="D824" s="83">
        <v>434.27138245364597</v>
      </c>
      <c r="E824" s="84">
        <v>6607947.9842453236</v>
      </c>
      <c r="F824" s="85" t="s">
        <v>920</v>
      </c>
      <c r="G824" s="25">
        <f t="shared" si="24"/>
        <v>2.9011381388088786E-4</v>
      </c>
      <c r="I824" s="83">
        <v>111.49869198322025</v>
      </c>
      <c r="J824" s="83">
        <v>112.3156747228042</v>
      </c>
      <c r="K824" s="83">
        <v>111.14330449150123</v>
      </c>
      <c r="L824" s="83">
        <v>111.49869198322025</v>
      </c>
      <c r="M824" s="84">
        <v>5698034.700672647</v>
      </c>
      <c r="N824" s="85" t="s">
        <v>920</v>
      </c>
      <c r="O824" s="25">
        <f t="shared" si="25"/>
        <v>0</v>
      </c>
    </row>
    <row r="825" spans="1:15">
      <c r="A825" s="83">
        <v>434.6590382291011</v>
      </c>
      <c r="B825" s="83">
        <v>434.91101448314697</v>
      </c>
      <c r="C825" s="83">
        <v>432.34279497075653</v>
      </c>
      <c r="D825" s="83">
        <v>434.31014803119149</v>
      </c>
      <c r="E825" s="84">
        <v>4299747.625436292</v>
      </c>
      <c r="F825" s="85" t="s">
        <v>921</v>
      </c>
      <c r="G825" s="25">
        <f t="shared" si="24"/>
        <v>8.033203909492137E-4</v>
      </c>
      <c r="I825" s="83">
        <v>111.84882744304194</v>
      </c>
      <c r="J825" s="83">
        <v>112.99649367245752</v>
      </c>
      <c r="K825" s="83">
        <v>111.21663841836387</v>
      </c>
      <c r="L825" s="83">
        <v>111.74184160809642</v>
      </c>
      <c r="M825" s="84">
        <v>9127306.9046689253</v>
      </c>
      <c r="N825" s="85" t="s">
        <v>921</v>
      </c>
      <c r="O825" s="25">
        <f t="shared" si="25"/>
        <v>9.5743754895982747E-4</v>
      </c>
    </row>
    <row r="826" spans="1:15">
      <c r="A826" s="83">
        <v>432.22649823811997</v>
      </c>
      <c r="B826" s="83">
        <v>435.32735678598578</v>
      </c>
      <c r="C826" s="83">
        <v>431.99390477284686</v>
      </c>
      <c r="D826" s="83">
        <v>434.48459313014632</v>
      </c>
      <c r="E826" s="84">
        <v>4713670.518269754</v>
      </c>
      <c r="F826" s="85" t="s">
        <v>922</v>
      </c>
      <c r="G826" s="25">
        <f t="shared" si="24"/>
        <v>-5.1971805852962794E-3</v>
      </c>
      <c r="I826" s="83">
        <v>111.1777344783837</v>
      </c>
      <c r="J826" s="83">
        <v>112.25731881283393</v>
      </c>
      <c r="K826" s="83">
        <v>110.22458794886907</v>
      </c>
      <c r="L826" s="83">
        <v>110.3121218138245</v>
      </c>
      <c r="M826" s="84">
        <v>12032403.922028976</v>
      </c>
      <c r="N826" s="85" t="s">
        <v>922</v>
      </c>
      <c r="O826" s="25">
        <f t="shared" si="25"/>
        <v>7.8469405748544663E-3</v>
      </c>
    </row>
    <row r="827" spans="1:15">
      <c r="A827" s="83">
        <v>431.86791664582398</v>
      </c>
      <c r="B827" s="83">
        <v>432.06174453355152</v>
      </c>
      <c r="C827" s="83">
        <v>430.08470007873018</v>
      </c>
      <c r="D827" s="83">
        <v>431.10229648929999</v>
      </c>
      <c r="E827" s="84">
        <v>3355127.1059301812</v>
      </c>
      <c r="F827" s="85" t="s">
        <v>923</v>
      </c>
      <c r="G827" s="25">
        <f t="shared" si="24"/>
        <v>1.7759593552593156E-3</v>
      </c>
      <c r="I827" s="83">
        <v>108.76569019961201</v>
      </c>
      <c r="J827" s="83">
        <v>109.59239892419102</v>
      </c>
      <c r="K827" s="83">
        <v>106.55789160573632</v>
      </c>
      <c r="L827" s="83">
        <v>107.26788851037476</v>
      </c>
      <c r="M827" s="84">
        <v>9444720.5138377771</v>
      </c>
      <c r="N827" s="85" t="s">
        <v>923</v>
      </c>
      <c r="O827" s="25">
        <f t="shared" si="25"/>
        <v>1.3963187959016965E-2</v>
      </c>
    </row>
    <row r="828" spans="1:15">
      <c r="A828" s="83">
        <v>430.58865258682192</v>
      </c>
      <c r="B828" s="83">
        <v>432.15865847741532</v>
      </c>
      <c r="C828" s="83">
        <v>429.98778613486644</v>
      </c>
      <c r="D828" s="83">
        <v>431.04414812298171</v>
      </c>
      <c r="E828" s="84">
        <v>6057345.0691994019</v>
      </c>
      <c r="F828" s="85" t="s">
        <v>924</v>
      </c>
      <c r="G828" s="25">
        <f t="shared" ref="G828:G891" si="26">A828/D828-1</f>
        <v>-1.0567259482427982E-3</v>
      </c>
      <c r="I828" s="83">
        <v>107.08309479546885</v>
      </c>
      <c r="J828" s="83">
        <v>107.65692791017663</v>
      </c>
      <c r="K828" s="83">
        <v>106.27583804087993</v>
      </c>
      <c r="L828" s="83">
        <v>107.04419085548867</v>
      </c>
      <c r="M828" s="84">
        <v>7696194.2711322587</v>
      </c>
      <c r="N828" s="85" t="s">
        <v>924</v>
      </c>
      <c r="O828" s="25">
        <f t="shared" ref="O828:O891" si="27">I828/L828-1</f>
        <v>3.6343812465933212E-4</v>
      </c>
    </row>
    <row r="829" spans="1:15">
      <c r="A829" s="83">
        <v>429.60982175379763</v>
      </c>
      <c r="B829" s="83">
        <v>429.91994637416178</v>
      </c>
      <c r="C829" s="83">
        <v>424.78350734938084</v>
      </c>
      <c r="D829" s="83">
        <v>425.45221356204104</v>
      </c>
      <c r="E829" s="84">
        <v>4990821.5548404111</v>
      </c>
      <c r="F829" s="85" t="s">
        <v>925</v>
      </c>
      <c r="G829" s="25">
        <f t="shared" si="26"/>
        <v>9.7722095671981535E-3</v>
      </c>
      <c r="I829" s="83">
        <v>106.66487744068182</v>
      </c>
      <c r="J829" s="83">
        <v>107.19980661540941</v>
      </c>
      <c r="K829" s="83">
        <v>106.03268841600377</v>
      </c>
      <c r="L829" s="83">
        <v>106.32446796585516</v>
      </c>
      <c r="M829" s="84">
        <v>11478294.492213441</v>
      </c>
      <c r="N829" s="85" t="s">
        <v>925</v>
      </c>
      <c r="O829" s="25">
        <f t="shared" si="27"/>
        <v>3.2016099524332375E-3</v>
      </c>
    </row>
    <row r="830" spans="1:15">
      <c r="A830" s="83">
        <v>424.41523436269847</v>
      </c>
      <c r="B830" s="83">
        <v>424.86103850447188</v>
      </c>
      <c r="C830" s="83">
        <v>420.76157867903356</v>
      </c>
      <c r="D830" s="83">
        <v>422.13775668189936</v>
      </c>
      <c r="E830" s="84">
        <v>4469207.2444059001</v>
      </c>
      <c r="F830" s="85" t="s">
        <v>926</v>
      </c>
      <c r="G830" s="25">
        <f t="shared" si="26"/>
        <v>5.395105376739151E-3</v>
      </c>
      <c r="I830" s="83">
        <v>105.72145689616225</v>
      </c>
      <c r="J830" s="83">
        <v>105.8965246260731</v>
      </c>
      <c r="K830" s="83">
        <v>103.69845201719245</v>
      </c>
      <c r="L830" s="83">
        <v>104.0583134620092</v>
      </c>
      <c r="M830" s="84">
        <v>10654220.631922526</v>
      </c>
      <c r="N830" s="85" t="s">
        <v>926</v>
      </c>
      <c r="O830" s="25">
        <f t="shared" si="27"/>
        <v>1.5982802131040197E-2</v>
      </c>
    </row>
    <row r="831" spans="1:15">
      <c r="A831" s="83">
        <v>420.67435612955614</v>
      </c>
      <c r="B831" s="83">
        <v>421.07170329939771</v>
      </c>
      <c r="C831" s="83">
        <v>418.48410099823445</v>
      </c>
      <c r="D831" s="83">
        <v>420.21886059339636</v>
      </c>
      <c r="E831" s="84">
        <v>6237091.1336510051</v>
      </c>
      <c r="F831" s="85" t="s">
        <v>927</v>
      </c>
      <c r="G831" s="25">
        <f t="shared" si="26"/>
        <v>1.0839483394833316E-3</v>
      </c>
      <c r="I831" s="83">
        <v>103.51365830228656</v>
      </c>
      <c r="J831" s="83">
        <v>104.5543386967566</v>
      </c>
      <c r="K831" s="83">
        <v>102.78420942765803</v>
      </c>
      <c r="L831" s="83">
        <v>103.54283625727169</v>
      </c>
      <c r="M831" s="84">
        <v>7990409.2016978739</v>
      </c>
      <c r="N831" s="85" t="s">
        <v>927</v>
      </c>
      <c r="O831" s="25">
        <f t="shared" si="27"/>
        <v>-2.8179597971056403E-4</v>
      </c>
    </row>
    <row r="832" spans="1:15">
      <c r="A832" s="83">
        <v>423.02936496544623</v>
      </c>
      <c r="B832" s="83">
        <v>424.46369133463037</v>
      </c>
      <c r="C832" s="83">
        <v>421.32367955344353</v>
      </c>
      <c r="D832" s="83">
        <v>423.31041540265124</v>
      </c>
      <c r="E832" s="84">
        <v>5913327.6095486367</v>
      </c>
      <c r="F832" s="85" t="s">
        <v>928</v>
      </c>
      <c r="G832" s="25">
        <f t="shared" si="26"/>
        <v>-6.6393461388769559E-4</v>
      </c>
      <c r="I832" s="83">
        <v>103.64982209221721</v>
      </c>
      <c r="J832" s="83">
        <v>103.73735595717264</v>
      </c>
      <c r="K832" s="83">
        <v>102.5313338177868</v>
      </c>
      <c r="L832" s="83">
        <v>103.49420633229646</v>
      </c>
      <c r="M832" s="84">
        <v>7759873.1684691757</v>
      </c>
      <c r="N832" s="85" t="s">
        <v>928</v>
      </c>
      <c r="O832" s="25">
        <f t="shared" si="27"/>
        <v>1.5036180810072963E-3</v>
      </c>
    </row>
    <row r="833" spans="1:15">
      <c r="A833" s="83">
        <v>424.47338272901675</v>
      </c>
      <c r="B833" s="83">
        <v>426.22752511295135</v>
      </c>
      <c r="C833" s="83">
        <v>423.25226703633297</v>
      </c>
      <c r="D833" s="83">
        <v>425.55881890029121</v>
      </c>
      <c r="E833" s="84">
        <v>5347702.0884467047</v>
      </c>
      <c r="F833" s="85" t="s">
        <v>929</v>
      </c>
      <c r="G833" s="25">
        <f t="shared" si="26"/>
        <v>-2.5506137414315067E-3</v>
      </c>
      <c r="I833" s="83">
        <v>103.67900004720235</v>
      </c>
      <c r="J833" s="83">
        <v>103.77625989715283</v>
      </c>
      <c r="K833" s="83">
        <v>102.08880150051216</v>
      </c>
      <c r="L833" s="83">
        <v>102.22010229794529</v>
      </c>
      <c r="M833" s="84">
        <v>9977239.3283987194</v>
      </c>
      <c r="N833" s="85" t="s">
        <v>929</v>
      </c>
      <c r="O833" s="25">
        <f t="shared" si="27"/>
        <v>1.4272121788772463E-2</v>
      </c>
    </row>
    <row r="834" spans="1:15">
      <c r="A834" s="83">
        <v>424.27955484128915</v>
      </c>
      <c r="B834" s="83">
        <v>425.79625806275749</v>
      </c>
      <c r="C834" s="83">
        <v>420.60651636885149</v>
      </c>
      <c r="D834" s="83">
        <v>425.39406519572276</v>
      </c>
      <c r="E834" s="84">
        <v>4949325.9780465066</v>
      </c>
      <c r="F834" s="85" t="s">
        <v>930</v>
      </c>
      <c r="G834" s="25">
        <f t="shared" si="26"/>
        <v>-2.6199480566820865E-3</v>
      </c>
      <c r="I834" s="83">
        <v>101.89914479310873</v>
      </c>
      <c r="J834" s="83">
        <v>101.96722668807406</v>
      </c>
      <c r="K834" s="83">
        <v>100.70284863871794</v>
      </c>
      <c r="L834" s="83">
        <v>101.49065342331674</v>
      </c>
      <c r="M834" s="84">
        <v>6291391.5691994661</v>
      </c>
      <c r="N834" s="85" t="s">
        <v>930</v>
      </c>
      <c r="O834" s="25">
        <f t="shared" si="27"/>
        <v>4.0249161475802708E-3</v>
      </c>
    </row>
    <row r="835" spans="1:15">
      <c r="A835" s="83">
        <v>424.42492575708485</v>
      </c>
      <c r="B835" s="83">
        <v>425.19539161080201</v>
      </c>
      <c r="C835" s="83">
        <v>422.04084273803562</v>
      </c>
      <c r="D835" s="83">
        <v>422.32189317524058</v>
      </c>
      <c r="E835" s="84">
        <v>4415093.2563571753</v>
      </c>
      <c r="F835" s="85" t="s">
        <v>931</v>
      </c>
      <c r="G835" s="25">
        <f t="shared" si="26"/>
        <v>4.9796911214632367E-3</v>
      </c>
      <c r="I835" s="83">
        <v>101.07243606852973</v>
      </c>
      <c r="J835" s="83">
        <v>101.21832584345543</v>
      </c>
      <c r="K835" s="83">
        <v>99.905317869124076</v>
      </c>
      <c r="L835" s="83">
        <v>100.26517931394082</v>
      </c>
      <c r="M835" s="84">
        <v>7475381.6746606771</v>
      </c>
      <c r="N835" s="85" t="s">
        <v>931</v>
      </c>
      <c r="O835" s="25">
        <f t="shared" si="27"/>
        <v>8.0512173828692912E-3</v>
      </c>
    </row>
    <row r="836" spans="1:15">
      <c r="A836" s="83">
        <v>421.64349556819406</v>
      </c>
      <c r="B836" s="83">
        <v>422.96152520474158</v>
      </c>
      <c r="C836" s="83">
        <v>419.79563740054311</v>
      </c>
      <c r="D836" s="83">
        <v>420.23824338216906</v>
      </c>
      <c r="E836" s="84">
        <v>8192388.7146299593</v>
      </c>
      <c r="F836" s="85" t="s">
        <v>932</v>
      </c>
      <c r="G836" s="25">
        <f t="shared" si="26"/>
        <v>3.3439417001062122E-3</v>
      </c>
      <c r="I836" s="83">
        <v>100.40134310723374</v>
      </c>
      <c r="J836" s="83">
        <v>101.22486083029801</v>
      </c>
      <c r="K836" s="83">
        <v>100.07193601800806</v>
      </c>
      <c r="L836" s="83">
        <v>100.61448887085038</v>
      </c>
      <c r="M836" s="84">
        <v>6941465.6660084771</v>
      </c>
      <c r="N836" s="85" t="s">
        <v>932</v>
      </c>
      <c r="O836" s="25">
        <f t="shared" si="27"/>
        <v>-2.1184400577757279E-3</v>
      </c>
    </row>
    <row r="837" spans="1:15">
      <c r="A837" s="83">
        <v>422.67078337315024</v>
      </c>
      <c r="B837" s="83">
        <v>422.8064628945595</v>
      </c>
      <c r="C837" s="83">
        <v>417.08854020659589</v>
      </c>
      <c r="D837" s="83">
        <v>417.16607136168687</v>
      </c>
      <c r="E837" s="84">
        <v>7452345.5676830057</v>
      </c>
      <c r="F837" s="85" t="s">
        <v>933</v>
      </c>
      <c r="G837" s="25">
        <f t="shared" si="26"/>
        <v>1.3195493088628218E-2</v>
      </c>
      <c r="I837" s="83">
        <v>101.39925281871162</v>
      </c>
      <c r="J837" s="83">
        <v>101.50582570051992</v>
      </c>
      <c r="K837" s="83">
        <v>98.948076537120357</v>
      </c>
      <c r="L837" s="83">
        <v>99.732840484981594</v>
      </c>
      <c r="M837" s="84">
        <v>7265003.6938345181</v>
      </c>
      <c r="N837" s="85" t="s">
        <v>933</v>
      </c>
      <c r="O837" s="25">
        <f t="shared" si="27"/>
        <v>1.6708762385855946E-2</v>
      </c>
    </row>
    <row r="838" spans="1:15">
      <c r="A838" s="83">
        <v>416.71057582552709</v>
      </c>
      <c r="B838" s="83">
        <v>418.95897932316706</v>
      </c>
      <c r="C838" s="83">
        <v>415.41192897775227</v>
      </c>
      <c r="D838" s="83">
        <v>416.33261144445828</v>
      </c>
      <c r="E838" s="84">
        <v>5906898.1941811666</v>
      </c>
      <c r="F838" s="85" t="s">
        <v>934</v>
      </c>
      <c r="G838" s="25">
        <f t="shared" si="26"/>
        <v>9.0784236132135376E-4</v>
      </c>
      <c r="I838" s="83">
        <v>99.529383165165726</v>
      </c>
      <c r="J838" s="83">
        <v>100.48853910144055</v>
      </c>
      <c r="K838" s="83">
        <v>99.103091637932465</v>
      </c>
      <c r="L838" s="83">
        <v>99.335614289150598</v>
      </c>
      <c r="M838" s="84">
        <v>6331016.7516494412</v>
      </c>
      <c r="N838" s="85" t="s">
        <v>934</v>
      </c>
      <c r="O838" s="25">
        <f t="shared" si="27"/>
        <v>1.9506485906564119E-3</v>
      </c>
    </row>
    <row r="839" spans="1:15">
      <c r="A839" s="83">
        <v>416.17754913427626</v>
      </c>
      <c r="B839" s="83">
        <v>419.42416625371322</v>
      </c>
      <c r="C839" s="83">
        <v>415.96433845777591</v>
      </c>
      <c r="D839" s="83">
        <v>417.04977462905038</v>
      </c>
      <c r="E839" s="84">
        <v>4070888.9172283928</v>
      </c>
      <c r="F839" s="85" t="s">
        <v>935</v>
      </c>
      <c r="G839" s="25">
        <f t="shared" si="26"/>
        <v>-2.0914182139288862E-3</v>
      </c>
      <c r="I839" s="83">
        <v>99.393744951955142</v>
      </c>
      <c r="J839" s="83">
        <v>100.13975512461334</v>
      </c>
      <c r="K839" s="83">
        <v>99.209664519740784</v>
      </c>
      <c r="L839" s="83">
        <v>99.568136940368731</v>
      </c>
      <c r="M839" s="84">
        <v>7041687.1277796896</v>
      </c>
      <c r="N839" s="85" t="s">
        <v>935</v>
      </c>
      <c r="O839" s="25">
        <f t="shared" si="27"/>
        <v>-1.7514838960784873E-3</v>
      </c>
    </row>
    <row r="840" spans="1:15">
      <c r="A840" s="83">
        <v>417.49557877082384</v>
      </c>
      <c r="B840" s="83">
        <v>419.63737693021358</v>
      </c>
      <c r="C840" s="83">
        <v>416.97224347395934</v>
      </c>
      <c r="D840" s="83">
        <v>418.97836211193982</v>
      </c>
      <c r="E840" s="84">
        <v>4958057.435732197</v>
      </c>
      <c r="F840" s="85" t="s">
        <v>936</v>
      </c>
      <c r="G840" s="25">
        <f t="shared" si="26"/>
        <v>-3.5390451517394172E-3</v>
      </c>
      <c r="I840" s="83">
        <v>99.267795182545299</v>
      </c>
      <c r="J840" s="83">
        <v>100.15913201221485</v>
      </c>
      <c r="K840" s="83">
        <v>98.570227228890872</v>
      </c>
      <c r="L840" s="83">
        <v>100.0816244618088</v>
      </c>
      <c r="M840" s="84">
        <v>9759636.5262109842</v>
      </c>
      <c r="N840" s="85" t="s">
        <v>936</v>
      </c>
      <c r="O840" s="25">
        <f t="shared" si="27"/>
        <v>-8.1316553727008856E-3</v>
      </c>
    </row>
    <row r="841" spans="1:15">
      <c r="A841" s="83">
        <v>420.61620776323787</v>
      </c>
      <c r="B841" s="83">
        <v>421.83732345592159</v>
      </c>
      <c r="C841" s="83">
        <v>419.01712768948533</v>
      </c>
      <c r="D841" s="83">
        <v>420.51929381937407</v>
      </c>
      <c r="E841" s="84">
        <v>9365051.7543234807</v>
      </c>
      <c r="F841" s="85" t="s">
        <v>937</v>
      </c>
      <c r="G841" s="25">
        <f t="shared" si="26"/>
        <v>2.3046253831449093E-4</v>
      </c>
      <c r="I841" s="83">
        <v>100.81794619066626</v>
      </c>
      <c r="J841" s="83">
        <v>101.41862970631313</v>
      </c>
      <c r="K841" s="83">
        <v>99.248418294943789</v>
      </c>
      <c r="L841" s="83">
        <v>101.26361460550103</v>
      </c>
      <c r="M841" s="84">
        <v>9906131.673335569</v>
      </c>
      <c r="N841" s="85" t="s">
        <v>937</v>
      </c>
      <c r="O841" s="25">
        <f t="shared" si="27"/>
        <v>-4.4010715652506027E-3</v>
      </c>
    </row>
    <row r="842" spans="1:15">
      <c r="A842" s="83">
        <v>423.32010679703762</v>
      </c>
      <c r="B842" s="83">
        <v>424.81258153253998</v>
      </c>
      <c r="C842" s="83">
        <v>421.51750744117112</v>
      </c>
      <c r="D842" s="83">
        <v>424.35708599638019</v>
      </c>
      <c r="E842" s="84">
        <v>4516259.297167358</v>
      </c>
      <c r="F842" s="85" t="s">
        <v>938</v>
      </c>
      <c r="G842" s="25">
        <f t="shared" si="26"/>
        <v>-2.4436476579806632E-3</v>
      </c>
      <c r="I842" s="83">
        <v>102.14526299136983</v>
      </c>
      <c r="J842" s="83">
        <v>103.58690342892231</v>
      </c>
      <c r="K842" s="83">
        <v>101.51551414432069</v>
      </c>
      <c r="L842" s="83">
        <v>103.27881091605826</v>
      </c>
      <c r="M842" s="84">
        <v>7121571.9901906801</v>
      </c>
      <c r="N842" s="85" t="s">
        <v>938</v>
      </c>
      <c r="O842" s="25">
        <f t="shared" si="27"/>
        <v>-1.097560975609746E-2</v>
      </c>
    </row>
    <row r="843" spans="1:15">
      <c r="A843" s="83">
        <v>424.45399994024399</v>
      </c>
      <c r="B843" s="83">
        <v>425.29715125185891</v>
      </c>
      <c r="C843" s="83">
        <v>424.15356671426622</v>
      </c>
      <c r="D843" s="83">
        <v>424.72535898306256</v>
      </c>
      <c r="E843" s="84">
        <v>4853434.7199932663</v>
      </c>
      <c r="F843" s="85" t="s">
        <v>939</v>
      </c>
      <c r="G843" s="25">
        <f t="shared" si="26"/>
        <v>-6.3890473474037535E-4</v>
      </c>
      <c r="I843" s="83">
        <v>102.93971538303181</v>
      </c>
      <c r="J843" s="83">
        <v>103.28365513795865</v>
      </c>
      <c r="K843" s="83">
        <v>102.29058964838116</v>
      </c>
      <c r="L843" s="83">
        <v>102.70719273181366</v>
      </c>
      <c r="M843" s="84">
        <v>5872002.8902434409</v>
      </c>
      <c r="N843" s="85" t="s">
        <v>939</v>
      </c>
      <c r="O843" s="25">
        <f t="shared" si="27"/>
        <v>2.2639373643995597E-3</v>
      </c>
    </row>
    <row r="844" spans="1:15">
      <c r="A844" s="83">
        <v>424.38616017953927</v>
      </c>
      <c r="B844" s="83">
        <v>424.50245691217583</v>
      </c>
      <c r="C844" s="83">
        <v>422.95183381035525</v>
      </c>
      <c r="D844" s="83">
        <v>423.4121750437082</v>
      </c>
      <c r="E844" s="84">
        <v>4407011.8599267425</v>
      </c>
      <c r="F844" s="85" t="s">
        <v>940</v>
      </c>
      <c r="G844" s="25">
        <f t="shared" si="26"/>
        <v>2.3003238764462974E-3</v>
      </c>
      <c r="I844" s="83">
        <v>102.63937362520836</v>
      </c>
      <c r="J844" s="83">
        <v>103.01722293343785</v>
      </c>
      <c r="K844" s="83">
        <v>102.27121276077965</v>
      </c>
      <c r="L844" s="83">
        <v>103.0075344896371</v>
      </c>
      <c r="M844" s="84">
        <v>5808325.9971647132</v>
      </c>
      <c r="N844" s="85" t="s">
        <v>940</v>
      </c>
      <c r="O844" s="25">
        <f t="shared" si="27"/>
        <v>-3.5741158765989489E-3</v>
      </c>
    </row>
    <row r="845" spans="1:15">
      <c r="A845" s="83">
        <v>423.61084862862901</v>
      </c>
      <c r="B845" s="83">
        <v>424.40554296831209</v>
      </c>
      <c r="C845" s="83">
        <v>422.13775668189936</v>
      </c>
      <c r="D845" s="83">
        <v>422.22071501784677</v>
      </c>
      <c r="E845" s="84">
        <v>3957982.5637796163</v>
      </c>
      <c r="F845" s="85" t="s">
        <v>941</v>
      </c>
      <c r="G845" s="25">
        <f t="shared" si="26"/>
        <v>3.2924334627293383E-3</v>
      </c>
      <c r="I845" s="83">
        <v>102.88158472022727</v>
      </c>
      <c r="J845" s="83">
        <v>103.32725313506205</v>
      </c>
      <c r="K845" s="83">
        <v>102.05806699716302</v>
      </c>
      <c r="L845" s="83">
        <v>103.20130336565221</v>
      </c>
      <c r="M845" s="84">
        <v>5952880.688176156</v>
      </c>
      <c r="N845" s="85" t="s">
        <v>941</v>
      </c>
      <c r="O845" s="25">
        <f t="shared" si="27"/>
        <v>-3.0980097634246695E-3</v>
      </c>
    </row>
    <row r="846" spans="1:15">
      <c r="A846" s="83">
        <v>421.85670624469441</v>
      </c>
      <c r="B846" s="83">
        <v>423.35693409570587</v>
      </c>
      <c r="C846" s="83">
        <v>420.1025638607598</v>
      </c>
      <c r="D846" s="83">
        <v>422.02145994926281</v>
      </c>
      <c r="E846" s="84">
        <v>4166406.6480206759</v>
      </c>
      <c r="F846" s="85" t="s">
        <v>942</v>
      </c>
      <c r="G846" s="25">
        <f t="shared" si="26"/>
        <v>-3.9039176962285538E-4</v>
      </c>
      <c r="I846" s="83">
        <v>102.89127316402804</v>
      </c>
      <c r="J846" s="83">
        <v>103.17223803424994</v>
      </c>
      <c r="K846" s="83">
        <v>102.17432832277208</v>
      </c>
      <c r="L846" s="83">
        <v>102.40685097399023</v>
      </c>
      <c r="M846" s="84">
        <v>5862686.6365853501</v>
      </c>
      <c r="N846" s="85" t="s">
        <v>942</v>
      </c>
      <c r="O846" s="25">
        <f t="shared" si="27"/>
        <v>4.7303689687796524E-3</v>
      </c>
    </row>
    <row r="847" spans="1:15">
      <c r="A847" s="83">
        <v>420.87787541167006</v>
      </c>
      <c r="B847" s="83">
        <v>421.22676560957973</v>
      </c>
      <c r="C847" s="83">
        <v>417.55876666222304</v>
      </c>
      <c r="D847" s="83">
        <v>419.76336505723651</v>
      </c>
      <c r="E847" s="84">
        <v>4768773.012163775</v>
      </c>
      <c r="F847" s="85" t="s">
        <v>943</v>
      </c>
      <c r="G847" s="25">
        <f t="shared" si="26"/>
        <v>2.6550920047097026E-3</v>
      </c>
      <c r="I847" s="83">
        <v>102.56186607480232</v>
      </c>
      <c r="J847" s="83">
        <v>102.62484095950724</v>
      </c>
      <c r="K847" s="83">
        <v>101.26361460550103</v>
      </c>
      <c r="L847" s="83">
        <v>101.43800659391464</v>
      </c>
      <c r="M847" s="84">
        <v>8430672.8386685755</v>
      </c>
      <c r="N847" s="85" t="s">
        <v>943</v>
      </c>
      <c r="O847" s="25">
        <f t="shared" si="27"/>
        <v>1.1079274116523319E-2</v>
      </c>
    </row>
    <row r="848" spans="1:15">
      <c r="A848" s="83">
        <v>416.81718116377726</v>
      </c>
      <c r="B848" s="83">
        <v>423.80952221354977</v>
      </c>
      <c r="C848" s="83">
        <v>416.63304467043605</v>
      </c>
      <c r="D848" s="83">
        <v>422.0699169211947</v>
      </c>
      <c r="E848" s="84">
        <v>5967391.0372775085</v>
      </c>
      <c r="F848" s="85" t="s">
        <v>944</v>
      </c>
      <c r="G848" s="25">
        <f t="shared" si="26"/>
        <v>-1.2445179215172963E-2</v>
      </c>
      <c r="I848" s="83">
        <v>100.90514218487307</v>
      </c>
      <c r="J848" s="83">
        <v>102.78470028221972</v>
      </c>
      <c r="K848" s="83">
        <v>100.80825774686549</v>
      </c>
      <c r="L848" s="83">
        <v>102.64906206900913</v>
      </c>
      <c r="M848" s="84">
        <v>9539154.2646703515</v>
      </c>
      <c r="N848" s="85" t="s">
        <v>944</v>
      </c>
      <c r="O848" s="25">
        <f t="shared" si="27"/>
        <v>-1.6989145823501639E-2</v>
      </c>
    </row>
    <row r="849" spans="1:15">
      <c r="A849" s="83">
        <v>422.92169359173687</v>
      </c>
      <c r="B849" s="83">
        <v>422.9506482707751</v>
      </c>
      <c r="C849" s="83">
        <v>420.75974422355068</v>
      </c>
      <c r="D849" s="83">
        <v>420.84660826066533</v>
      </c>
      <c r="E849" s="84">
        <v>4208136.4410642581</v>
      </c>
      <c r="F849" s="85" t="s">
        <v>945</v>
      </c>
      <c r="G849" s="25">
        <f t="shared" si="26"/>
        <v>4.9307402990550475E-3</v>
      </c>
      <c r="I849" s="83">
        <v>102.93971538303181</v>
      </c>
      <c r="J849" s="83">
        <v>103.02691137723862</v>
      </c>
      <c r="K849" s="83">
        <v>101.5348910319222</v>
      </c>
      <c r="L849" s="83">
        <v>101.7092830203358</v>
      </c>
      <c r="M849" s="84">
        <v>10433571.384509956</v>
      </c>
      <c r="N849" s="85" t="s">
        <v>945</v>
      </c>
      <c r="O849" s="25">
        <f t="shared" si="27"/>
        <v>1.2097542389026605E-2</v>
      </c>
    </row>
    <row r="850" spans="1:15">
      <c r="A850" s="83">
        <v>420.36403027669525</v>
      </c>
      <c r="B850" s="83">
        <v>421.19406440912377</v>
      </c>
      <c r="C850" s="83">
        <v>419.3120102716403</v>
      </c>
      <c r="D850" s="83">
        <v>419.49538990554896</v>
      </c>
      <c r="E850" s="84">
        <v>4435008.581188201</v>
      </c>
      <c r="F850" s="85" t="s">
        <v>946</v>
      </c>
      <c r="G850" s="25">
        <f t="shared" si="26"/>
        <v>2.0706791827720394E-3</v>
      </c>
      <c r="I850" s="83">
        <v>101.72865990793731</v>
      </c>
      <c r="J850" s="83">
        <v>102.84864401130471</v>
      </c>
      <c r="K850" s="83">
        <v>99.703775153579315</v>
      </c>
      <c r="L850" s="83">
        <v>100.18819734361712</v>
      </c>
      <c r="M850" s="84">
        <v>13906386.079205794</v>
      </c>
      <c r="N850" s="85" t="s">
        <v>946</v>
      </c>
      <c r="O850" s="25">
        <f t="shared" si="27"/>
        <v>1.5375689004931914E-2</v>
      </c>
    </row>
    <row r="851" spans="1:15">
      <c r="A851" s="83">
        <v>417.99939815524158</v>
      </c>
      <c r="B851" s="83">
        <v>419.11897907805229</v>
      </c>
      <c r="C851" s="83">
        <v>417.17901558249241</v>
      </c>
      <c r="D851" s="83">
        <v>418.09591375203564</v>
      </c>
      <c r="E851" s="84">
        <v>5518321.5738347238</v>
      </c>
      <c r="F851" s="85" t="s">
        <v>947</v>
      </c>
      <c r="G851" s="25">
        <f t="shared" si="26"/>
        <v>-2.3084558738672989E-4</v>
      </c>
      <c r="I851" s="83">
        <v>100.10100134941031</v>
      </c>
      <c r="J851" s="83">
        <v>100.75012708406096</v>
      </c>
      <c r="K851" s="83">
        <v>96.264377604310965</v>
      </c>
      <c r="L851" s="83">
        <v>96.584096249735907</v>
      </c>
      <c r="M851" s="84">
        <v>31183868.762951076</v>
      </c>
      <c r="N851" s="85" t="s">
        <v>947</v>
      </c>
      <c r="O851" s="25">
        <f t="shared" si="27"/>
        <v>3.6412879927776087E-2</v>
      </c>
    </row>
    <row r="852" spans="1:15">
      <c r="A852" s="83">
        <v>418.63640109408215</v>
      </c>
      <c r="B852" s="83">
        <v>420.19435585753126</v>
      </c>
      <c r="C852" s="83">
        <v>416.21385961455212</v>
      </c>
      <c r="D852" s="83">
        <v>419.09002439901411</v>
      </c>
      <c r="E852" s="84">
        <v>8650563.5123595856</v>
      </c>
      <c r="F852" s="85" t="s">
        <v>948</v>
      </c>
      <c r="G852" s="25">
        <f t="shared" si="26"/>
        <v>-1.08240062641074E-3</v>
      </c>
      <c r="I852" s="83">
        <v>97.184779765382785</v>
      </c>
      <c r="J852" s="83">
        <v>99.063756556101382</v>
      </c>
      <c r="K852" s="83">
        <v>96.758488238149525</v>
      </c>
      <c r="L852" s="83">
        <v>98.696176998300714</v>
      </c>
      <c r="M852" s="84">
        <v>23600450.671155218</v>
      </c>
      <c r="N852" s="85" t="s">
        <v>948</v>
      </c>
      <c r="O852" s="25">
        <f t="shared" si="27"/>
        <v>-1.5313635025031913E-2</v>
      </c>
    </row>
    <row r="853" spans="1:15">
      <c r="A853" s="83">
        <v>417.41065301479807</v>
      </c>
      <c r="B853" s="83">
        <v>417.53612329063031</v>
      </c>
      <c r="C853" s="83">
        <v>411.64867188619473</v>
      </c>
      <c r="D853" s="83">
        <v>412.00577959433264</v>
      </c>
      <c r="E853" s="84">
        <v>8971727.1483898517</v>
      </c>
      <c r="F853" s="85" t="s">
        <v>949</v>
      </c>
      <c r="G853" s="25">
        <f t="shared" si="26"/>
        <v>1.311844077961033E-2</v>
      </c>
      <c r="I853" s="83">
        <v>99.781282703985369</v>
      </c>
      <c r="J853" s="83">
        <v>99.887855585793687</v>
      </c>
      <c r="K853" s="83">
        <v>96.167493166303416</v>
      </c>
      <c r="L853" s="83">
        <v>97.930789938040988</v>
      </c>
      <c r="M853" s="84">
        <v>30337388.134208605</v>
      </c>
      <c r="N853" s="85" t="s">
        <v>949</v>
      </c>
      <c r="O853" s="25">
        <f t="shared" si="27"/>
        <v>1.8895924020577715E-2</v>
      </c>
    </row>
    <row r="854" spans="1:15">
      <c r="A854" s="83">
        <v>411.80309684106521</v>
      </c>
      <c r="B854" s="83">
        <v>411.80309684106521</v>
      </c>
      <c r="C854" s="83">
        <v>408.52533065834336</v>
      </c>
      <c r="D854" s="83">
        <v>409.4384647196116</v>
      </c>
      <c r="E854" s="84">
        <v>6198539.0949480003</v>
      </c>
      <c r="F854" s="85" t="s">
        <v>950</v>
      </c>
      <c r="G854" s="25">
        <f t="shared" si="26"/>
        <v>5.7753052661355664E-3</v>
      </c>
      <c r="I854" s="83">
        <v>97.669201955420576</v>
      </c>
      <c r="J854" s="83">
        <v>101.68021768893354</v>
      </c>
      <c r="K854" s="83">
        <v>97.552940629811502</v>
      </c>
      <c r="L854" s="83">
        <v>99.500317833763447</v>
      </c>
      <c r="M854" s="84">
        <v>59520883.008580394</v>
      </c>
      <c r="N854" s="85" t="s">
        <v>950</v>
      </c>
      <c r="O854" s="25">
        <f t="shared" si="27"/>
        <v>-1.8403115871470255E-2</v>
      </c>
    </row>
    <row r="855" spans="1:15">
      <c r="A855" s="83">
        <v>409.76661774871127</v>
      </c>
      <c r="B855" s="83">
        <v>409.91139114390228</v>
      </c>
      <c r="C855" s="83">
        <v>407.50815278373113</v>
      </c>
      <c r="D855" s="83">
        <v>407.69153241763979</v>
      </c>
      <c r="E855" s="84">
        <v>5436516.1427721158</v>
      </c>
      <c r="F855" s="85" t="s">
        <v>951</v>
      </c>
      <c r="G855" s="25">
        <f t="shared" si="26"/>
        <v>5.0898416230675814E-3</v>
      </c>
      <c r="I855" s="83">
        <v>111.54305347810308</v>
      </c>
      <c r="J855" s="83">
        <v>111.7561992417197</v>
      </c>
      <c r="K855" s="83">
        <v>110.07041002038818</v>
      </c>
      <c r="L855" s="83">
        <v>110.22542512120026</v>
      </c>
      <c r="M855" s="84">
        <v>20172733.00225478</v>
      </c>
      <c r="N855" s="85" t="s">
        <v>951</v>
      </c>
      <c r="O855" s="25">
        <f t="shared" si="27"/>
        <v>1.195394216401513E-2</v>
      </c>
    </row>
    <row r="856" spans="1:15">
      <c r="A856" s="83">
        <v>408.18376196128929</v>
      </c>
      <c r="B856" s="83">
        <v>408.61808214686238</v>
      </c>
      <c r="C856" s="83">
        <v>405.51027993009478</v>
      </c>
      <c r="D856" s="83">
        <v>405.72261424304168</v>
      </c>
      <c r="E856" s="84">
        <v>5310310.6339775613</v>
      </c>
      <c r="F856" s="85" t="s">
        <v>952</v>
      </c>
      <c r="G856" s="25">
        <f t="shared" si="26"/>
        <v>6.0660846397220247E-3</v>
      </c>
      <c r="I856" s="83">
        <v>110.07041002038818</v>
      </c>
      <c r="J856" s="83">
        <v>110.09947535179045</v>
      </c>
      <c r="K856" s="83">
        <v>108.11334437263548</v>
      </c>
      <c r="L856" s="83">
        <v>108.52025901226723</v>
      </c>
      <c r="M856" s="84">
        <v>8015734.1671260586</v>
      </c>
      <c r="N856" s="85" t="s">
        <v>952</v>
      </c>
      <c r="O856" s="25">
        <f t="shared" si="27"/>
        <v>1.4284438889384798E-2</v>
      </c>
    </row>
    <row r="857" spans="1:15">
      <c r="A857" s="83">
        <v>406.45613277867625</v>
      </c>
      <c r="B857" s="83">
        <v>406.97731700136399</v>
      </c>
      <c r="C857" s="83">
        <v>404.67059423798673</v>
      </c>
      <c r="D857" s="83">
        <v>405.18212690099512</v>
      </c>
      <c r="E857" s="84">
        <v>3365519.2610290111</v>
      </c>
      <c r="F857" s="85" t="s">
        <v>953</v>
      </c>
      <c r="G857" s="25">
        <f t="shared" si="26"/>
        <v>3.1442795550367109E-3</v>
      </c>
      <c r="I857" s="83">
        <v>109.35346517913224</v>
      </c>
      <c r="J857" s="83">
        <v>109.50848027994434</v>
      </c>
      <c r="K857" s="83">
        <v>108.3264901362521</v>
      </c>
      <c r="L857" s="83">
        <v>108.90779676429746</v>
      </c>
      <c r="M857" s="84">
        <v>6990645.9069015319</v>
      </c>
      <c r="N857" s="85" t="s">
        <v>953</v>
      </c>
      <c r="O857" s="25">
        <f t="shared" si="27"/>
        <v>4.092162618984263E-3</v>
      </c>
    </row>
    <row r="858" spans="1:15">
      <c r="A858" s="83">
        <v>403.30007276351165</v>
      </c>
      <c r="B858" s="83">
        <v>406.97731700136399</v>
      </c>
      <c r="C858" s="83">
        <v>402.91401037633551</v>
      </c>
      <c r="D858" s="83">
        <v>406.91940764328757</v>
      </c>
      <c r="E858" s="84">
        <v>4353494.2947792392</v>
      </c>
      <c r="F858" s="85" t="s">
        <v>954</v>
      </c>
      <c r="G858" s="25">
        <f t="shared" si="26"/>
        <v>-8.8944759374777194E-3</v>
      </c>
      <c r="I858" s="83">
        <v>108.53963589986874</v>
      </c>
      <c r="J858" s="83">
        <v>111.40741526489249</v>
      </c>
      <c r="K858" s="83">
        <v>108.44275146186118</v>
      </c>
      <c r="L858" s="83">
        <v>111.35897304588872</v>
      </c>
      <c r="M858" s="84">
        <v>8067056.1348461173</v>
      </c>
      <c r="N858" s="85" t="s">
        <v>954</v>
      </c>
      <c r="O858" s="25">
        <f t="shared" si="27"/>
        <v>-2.5317556986253709E-2</v>
      </c>
    </row>
    <row r="859" spans="1:15">
      <c r="A859" s="83">
        <v>404.9890957074071</v>
      </c>
      <c r="B859" s="83">
        <v>405.81912983983568</v>
      </c>
      <c r="C859" s="83">
        <v>403.43519459902325</v>
      </c>
      <c r="D859" s="83">
        <v>403.76334762812292</v>
      </c>
      <c r="E859" s="84">
        <v>3542725.8532080986</v>
      </c>
      <c r="F859" s="85" t="s">
        <v>955</v>
      </c>
      <c r="G859" s="25">
        <f t="shared" si="26"/>
        <v>3.0358081942918336E-3</v>
      </c>
      <c r="I859" s="83">
        <v>110.96174685005772</v>
      </c>
      <c r="J859" s="83">
        <v>111.67869169131366</v>
      </c>
      <c r="K859" s="83">
        <v>110.26417889640329</v>
      </c>
      <c r="L859" s="83">
        <v>111.00050062526074</v>
      </c>
      <c r="M859" s="84">
        <v>6103727.4113502083</v>
      </c>
      <c r="N859" s="85" t="s">
        <v>955</v>
      </c>
      <c r="O859" s="25">
        <f t="shared" si="27"/>
        <v>-3.4913153530591323E-4</v>
      </c>
    </row>
    <row r="860" spans="1:15">
      <c r="A860" s="83">
        <v>405.11456598323929</v>
      </c>
      <c r="B860" s="83">
        <v>405.24003625907153</v>
      </c>
      <c r="C860" s="83">
        <v>402.95261661505316</v>
      </c>
      <c r="D860" s="83">
        <v>404.0625459781844</v>
      </c>
      <c r="E860" s="84">
        <v>6015689.891438826</v>
      </c>
      <c r="F860" s="85" t="s">
        <v>956</v>
      </c>
      <c r="G860" s="25">
        <f t="shared" si="26"/>
        <v>2.6036068314820859E-3</v>
      </c>
      <c r="I860" s="83">
        <v>112.17280232515222</v>
      </c>
      <c r="J860" s="83">
        <v>113.04476226722025</v>
      </c>
      <c r="K860" s="83">
        <v>110.98112373765923</v>
      </c>
      <c r="L860" s="83">
        <v>112.64753607138925</v>
      </c>
      <c r="M860" s="84">
        <v>5767219.2922913339</v>
      </c>
      <c r="N860" s="85" t="s">
        <v>956</v>
      </c>
      <c r="O860" s="25">
        <f t="shared" si="27"/>
        <v>-4.2143287176399369E-3</v>
      </c>
    </row>
    <row r="861" spans="1:15">
      <c r="A861" s="83">
        <v>407.16069663527264</v>
      </c>
      <c r="B861" s="83">
        <v>407.65292617892214</v>
      </c>
      <c r="C861" s="83">
        <v>403.67648359100832</v>
      </c>
      <c r="D861" s="83">
        <v>404.23627405241365</v>
      </c>
      <c r="E861" s="84">
        <v>5153182.6618803209</v>
      </c>
      <c r="F861" s="85" t="s">
        <v>957</v>
      </c>
      <c r="G861" s="25">
        <f t="shared" si="26"/>
        <v>7.2344387937828269E-3</v>
      </c>
      <c r="I861" s="83">
        <v>113.50980756965653</v>
      </c>
      <c r="J861" s="83">
        <v>113.69388800187089</v>
      </c>
      <c r="K861" s="83">
        <v>111.6690032475129</v>
      </c>
      <c r="L861" s="83">
        <v>112.45376719537413</v>
      </c>
      <c r="M861" s="84">
        <v>5924411.7198183602</v>
      </c>
      <c r="N861" s="85" t="s">
        <v>957</v>
      </c>
      <c r="O861" s="25">
        <f t="shared" si="27"/>
        <v>9.3908848108901211E-3</v>
      </c>
    </row>
    <row r="862" spans="1:15">
      <c r="A862" s="83">
        <v>404.78641295413956</v>
      </c>
      <c r="B862" s="83">
        <v>405.0759597445217</v>
      </c>
      <c r="C862" s="83">
        <v>402.0550215648687</v>
      </c>
      <c r="D862" s="83">
        <v>403.95637882171104</v>
      </c>
      <c r="E862" s="84">
        <v>4564744.0893954635</v>
      </c>
      <c r="F862" s="85" t="s">
        <v>958</v>
      </c>
      <c r="G862" s="25">
        <f t="shared" si="26"/>
        <v>2.0547617909874027E-3</v>
      </c>
      <c r="I862" s="83">
        <v>112.58940540858471</v>
      </c>
      <c r="J862" s="83">
        <v>113.57762667626183</v>
      </c>
      <c r="K862" s="83">
        <v>111.59149569710686</v>
      </c>
      <c r="L862" s="83">
        <v>113.21915425563385</v>
      </c>
      <c r="M862" s="84">
        <v>11431756.459314791</v>
      </c>
      <c r="N862" s="85" t="s">
        <v>958</v>
      </c>
      <c r="O862" s="25">
        <f t="shared" si="27"/>
        <v>-5.5622111928804729E-3</v>
      </c>
    </row>
    <row r="863" spans="1:15">
      <c r="A863" s="83">
        <v>403.22286028607641</v>
      </c>
      <c r="B863" s="83">
        <v>406.44648121899684</v>
      </c>
      <c r="C863" s="83">
        <v>402.82232055938124</v>
      </c>
      <c r="D863" s="83">
        <v>405.42283679939942</v>
      </c>
      <c r="E863" s="84">
        <v>4240369.5733593339</v>
      </c>
      <c r="F863" s="85" t="s">
        <v>959</v>
      </c>
      <c r="G863" s="25">
        <f t="shared" si="26"/>
        <v>-5.4263754126202546E-3</v>
      </c>
      <c r="I863" s="83">
        <v>112.58940540858471</v>
      </c>
      <c r="J863" s="83">
        <v>113.91672220928828</v>
      </c>
      <c r="K863" s="83">
        <v>112.34719431356581</v>
      </c>
      <c r="L863" s="83">
        <v>113.68419955807015</v>
      </c>
      <c r="M863" s="84">
        <v>6324351.0784692997</v>
      </c>
      <c r="N863" s="85" t="s">
        <v>959</v>
      </c>
      <c r="O863" s="25">
        <f t="shared" si="27"/>
        <v>-9.6301346514403585E-3</v>
      </c>
    </row>
    <row r="864" spans="1:15">
      <c r="A864" s="83">
        <v>403.48345239742031</v>
      </c>
      <c r="B864" s="83">
        <v>404.64163955894855</v>
      </c>
      <c r="C864" s="83">
        <v>402.19014340038035</v>
      </c>
      <c r="D864" s="83">
        <v>402.71132762306809</v>
      </c>
      <c r="E864" s="84">
        <v>3504554.8205214096</v>
      </c>
      <c r="F864" s="85" t="s">
        <v>960</v>
      </c>
      <c r="G864" s="25">
        <f t="shared" si="26"/>
        <v>1.9173157579388533E-3</v>
      </c>
      <c r="I864" s="83">
        <v>112.61847073998698</v>
      </c>
      <c r="J864" s="83">
        <v>113.16102359282931</v>
      </c>
      <c r="K864" s="83">
        <v>112.25999831935903</v>
      </c>
      <c r="L864" s="83">
        <v>112.38594808876884</v>
      </c>
      <c r="M864" s="84">
        <v>5049953.429691419</v>
      </c>
      <c r="N864" s="85" t="s">
        <v>960</v>
      </c>
      <c r="O864" s="25">
        <f t="shared" si="27"/>
        <v>2.068965517241228E-3</v>
      </c>
    </row>
    <row r="865" spans="1:15">
      <c r="A865" s="83">
        <v>403.08773845056476</v>
      </c>
      <c r="B865" s="83">
        <v>403.94412134091817</v>
      </c>
      <c r="C865" s="83">
        <v>402.69202450370932</v>
      </c>
      <c r="D865" s="83">
        <v>403.23251184575582</v>
      </c>
      <c r="E865" s="84">
        <v>3763694.2843054482</v>
      </c>
      <c r="F865" s="85" t="s">
        <v>961</v>
      </c>
      <c r="G865" s="25">
        <f t="shared" si="26"/>
        <v>-3.5903204959442103E-4</v>
      </c>
      <c r="I865" s="83">
        <v>112.84130494740437</v>
      </c>
      <c r="J865" s="83">
        <v>113.13195826142704</v>
      </c>
      <c r="K865" s="83">
        <v>111.85308367972728</v>
      </c>
      <c r="L865" s="83">
        <v>112.39079231066921</v>
      </c>
      <c r="M865" s="84">
        <v>5331412.4602724947</v>
      </c>
      <c r="N865" s="85" t="s">
        <v>961</v>
      </c>
      <c r="O865" s="25">
        <f t="shared" si="27"/>
        <v>4.0084479117279415E-3</v>
      </c>
    </row>
    <row r="866" spans="1:15">
      <c r="A866" s="83">
        <v>403.79230230716115</v>
      </c>
      <c r="B866" s="83">
        <v>403.90812102331398</v>
      </c>
      <c r="C866" s="83">
        <v>403.28076964415283</v>
      </c>
      <c r="D866" s="83">
        <v>403.61857423293191</v>
      </c>
      <c r="E866" s="84">
        <v>1400055.5815696488</v>
      </c>
      <c r="F866" s="85" t="s">
        <v>962</v>
      </c>
      <c r="G866" s="25">
        <f t="shared" si="26"/>
        <v>4.304263612233683E-4</v>
      </c>
      <c r="I866" s="83">
        <v>112.62815918378774</v>
      </c>
      <c r="J866" s="83">
        <v>112.95756627301344</v>
      </c>
      <c r="K866" s="83">
        <v>111.74651079791896</v>
      </c>
      <c r="L866" s="83">
        <v>112.86068183500588</v>
      </c>
      <c r="M866" s="84">
        <v>2237910.4886079109</v>
      </c>
      <c r="N866" s="85" t="s">
        <v>962</v>
      </c>
      <c r="O866" s="25">
        <f t="shared" si="27"/>
        <v>-2.0602626834920201E-3</v>
      </c>
    </row>
    <row r="867" spans="1:15">
      <c r="A867" s="83">
        <v>403.5703164345349</v>
      </c>
      <c r="B867" s="83">
        <v>404.69954891702497</v>
      </c>
      <c r="C867" s="83">
        <v>402.52794798915943</v>
      </c>
      <c r="D867" s="83">
        <v>403.50275551677908</v>
      </c>
      <c r="E867" s="84">
        <v>3827426.9887006492</v>
      </c>
      <c r="F867" s="85" t="s">
        <v>963</v>
      </c>
      <c r="G867" s="25">
        <f t="shared" si="26"/>
        <v>1.6743607529834392E-4</v>
      </c>
      <c r="I867" s="83">
        <v>112.61847073998698</v>
      </c>
      <c r="J867" s="83">
        <v>113.63575733906636</v>
      </c>
      <c r="K867" s="83">
        <v>111.91121434253181</v>
      </c>
      <c r="L867" s="83">
        <v>113.06413915482176</v>
      </c>
      <c r="M867" s="84">
        <v>4484459.1033918206</v>
      </c>
      <c r="N867" s="85" t="s">
        <v>963</v>
      </c>
      <c r="O867" s="25">
        <f t="shared" si="27"/>
        <v>-3.9417309340189499E-3</v>
      </c>
    </row>
    <row r="868" spans="1:15">
      <c r="A868" s="83">
        <v>401.83303569224245</v>
      </c>
      <c r="B868" s="83">
        <v>402.31561367621254</v>
      </c>
      <c r="C868" s="83">
        <v>400.82927348558462</v>
      </c>
      <c r="D868" s="83">
        <v>401.89094505031886</v>
      </c>
      <c r="E868" s="84">
        <v>5437656.8910413822</v>
      </c>
      <c r="F868" s="85" t="s">
        <v>964</v>
      </c>
      <c r="G868" s="25">
        <f t="shared" si="26"/>
        <v>-1.4409221902011993E-4</v>
      </c>
      <c r="I868" s="83">
        <v>112.4634556391749</v>
      </c>
      <c r="J868" s="83">
        <v>114.00391820349509</v>
      </c>
      <c r="K868" s="83">
        <v>112.07591788714466</v>
      </c>
      <c r="L868" s="83">
        <v>113.55824978866031</v>
      </c>
      <c r="M868" s="84">
        <v>6188102.1589166056</v>
      </c>
      <c r="N868" s="85" t="s">
        <v>964</v>
      </c>
      <c r="O868" s="25">
        <f t="shared" si="27"/>
        <v>-9.6408156300655801E-3</v>
      </c>
    </row>
    <row r="869" spans="1:15">
      <c r="A869" s="83">
        <v>402.88505569729733</v>
      </c>
      <c r="B869" s="83">
        <v>403.62822579261132</v>
      </c>
      <c r="C869" s="83">
        <v>399.55517109230669</v>
      </c>
      <c r="D869" s="83">
        <v>399.5649191675829</v>
      </c>
      <c r="E869" s="84">
        <v>3651650.2172405329</v>
      </c>
      <c r="F869" s="85" t="s">
        <v>965</v>
      </c>
      <c r="G869" s="25">
        <f t="shared" si="26"/>
        <v>8.3093794536099885E-3</v>
      </c>
      <c r="I869" s="83">
        <v>113.2772849184384</v>
      </c>
      <c r="J869" s="83">
        <v>113.49915028147571</v>
      </c>
      <c r="K869" s="83">
        <v>111.91121434253181</v>
      </c>
      <c r="L869" s="83">
        <v>112.04685255574239</v>
      </c>
      <c r="M869" s="84">
        <v>5913485.3004493657</v>
      </c>
      <c r="N869" s="85" t="s">
        <v>965</v>
      </c>
      <c r="O869" s="25">
        <f t="shared" si="27"/>
        <v>1.0981409424989153E-2</v>
      </c>
    </row>
    <row r="870" spans="1:15">
      <c r="A870" s="83">
        <v>399.87376907732374</v>
      </c>
      <c r="B870" s="83">
        <v>400.33704394193512</v>
      </c>
      <c r="C870" s="83">
        <v>398.48394448348978</v>
      </c>
      <c r="D870" s="83">
        <v>399.51666136918584</v>
      </c>
      <c r="E870" s="84">
        <v>4869823.2784392694</v>
      </c>
      <c r="F870" s="85" t="s">
        <v>966</v>
      </c>
      <c r="G870" s="25">
        <f t="shared" si="26"/>
        <v>8.9384935014735767E-4</v>
      </c>
      <c r="I870" s="83">
        <v>111.76588768552047</v>
      </c>
      <c r="J870" s="83">
        <v>112.03716411194164</v>
      </c>
      <c r="K870" s="83">
        <v>110.60327442942975</v>
      </c>
      <c r="L870" s="83">
        <v>111.03925440046376</v>
      </c>
      <c r="M870" s="84">
        <v>4947255.822060938</v>
      </c>
      <c r="N870" s="85" t="s">
        <v>966</v>
      </c>
      <c r="O870" s="25">
        <f t="shared" si="27"/>
        <v>6.5439315941018261E-3</v>
      </c>
    </row>
    <row r="871" spans="1:15">
      <c r="A871" s="83">
        <v>399.28502393688018</v>
      </c>
      <c r="B871" s="83">
        <v>399.52631292886525</v>
      </c>
      <c r="C871" s="83">
        <v>397.40296979939671</v>
      </c>
      <c r="D871" s="83">
        <v>398.35847420765759</v>
      </c>
      <c r="E871" s="84">
        <v>3936036.3777341214</v>
      </c>
      <c r="F871" s="85" t="s">
        <v>967</v>
      </c>
      <c r="G871" s="25">
        <f t="shared" si="26"/>
        <v>2.3259194650384618E-3</v>
      </c>
      <c r="I871" s="83">
        <v>111.09738506326831</v>
      </c>
      <c r="J871" s="83">
        <v>112.25999831935903</v>
      </c>
      <c r="K871" s="83">
        <v>109.9347718071776</v>
      </c>
      <c r="L871" s="83">
        <v>110.21573667739952</v>
      </c>
      <c r="M871" s="84">
        <v>7716496.2234870819</v>
      </c>
      <c r="N871" s="85" t="s">
        <v>967</v>
      </c>
      <c r="O871" s="25">
        <f t="shared" si="27"/>
        <v>7.9992967651194569E-3</v>
      </c>
    </row>
    <row r="872" spans="1:15">
      <c r="A872" s="83">
        <v>398.72523347547485</v>
      </c>
      <c r="B872" s="83">
        <v>400.26948302417929</v>
      </c>
      <c r="C872" s="83">
        <v>398.00136649951969</v>
      </c>
      <c r="D872" s="83">
        <v>399.13059898200976</v>
      </c>
      <c r="E872" s="84">
        <v>4574190.2310584076</v>
      </c>
      <c r="F872" s="85" t="s">
        <v>968</v>
      </c>
      <c r="G872" s="25">
        <f t="shared" si="26"/>
        <v>-1.0156212216472227E-3</v>
      </c>
      <c r="I872" s="83">
        <v>110.5063899914222</v>
      </c>
      <c r="J872" s="83">
        <v>112.68628984659227</v>
      </c>
      <c r="K872" s="83">
        <v>110.37559600011198</v>
      </c>
      <c r="L872" s="83">
        <v>112.53127474578019</v>
      </c>
      <c r="M872" s="84">
        <v>7623763.064429081</v>
      </c>
      <c r="N872" s="85" t="s">
        <v>968</v>
      </c>
      <c r="O872" s="25">
        <f t="shared" si="27"/>
        <v>-1.7993973310374556E-2</v>
      </c>
    </row>
    <row r="873" spans="1:15">
      <c r="A873" s="83">
        <v>397.85659310432868</v>
      </c>
      <c r="B873" s="83">
        <v>399.10164430297152</v>
      </c>
      <c r="C873" s="83">
        <v>395.60353301276893</v>
      </c>
      <c r="D873" s="83">
        <v>395.75255309421891</v>
      </c>
      <c r="E873" s="84">
        <v>7224858.1904139528</v>
      </c>
      <c r="F873" s="85" t="s">
        <v>969</v>
      </c>
      <c r="G873" s="25">
        <f t="shared" si="26"/>
        <v>5.3165544824895772E-3</v>
      </c>
      <c r="I873" s="83">
        <v>112.48283252677639</v>
      </c>
      <c r="J873" s="83">
        <v>112.83161650360361</v>
      </c>
      <c r="K873" s="83">
        <v>110.88423929965168</v>
      </c>
      <c r="L873" s="83">
        <v>111.28146549548266</v>
      </c>
      <c r="M873" s="84">
        <v>6950192.5577300768</v>
      </c>
      <c r="N873" s="85" t="s">
        <v>969</v>
      </c>
      <c r="O873" s="25">
        <f t="shared" si="27"/>
        <v>1.0795751349468752E-2</v>
      </c>
    </row>
    <row r="874" spans="1:15">
      <c r="A874" s="83">
        <v>390.35733123343289</v>
      </c>
      <c r="B874" s="83">
        <v>391.36109344009077</v>
      </c>
      <c r="C874" s="83">
        <v>388.78412700569032</v>
      </c>
      <c r="D874" s="83">
        <v>389.52729710100431</v>
      </c>
      <c r="E874" s="84">
        <v>2976659.8305672645</v>
      </c>
      <c r="F874" s="85" t="s">
        <v>970</v>
      </c>
      <c r="G874" s="25">
        <f t="shared" si="26"/>
        <v>2.1308753933446667E-3</v>
      </c>
      <c r="I874" s="83">
        <v>110.59358598562901</v>
      </c>
      <c r="J874" s="83">
        <v>110.92299307485469</v>
      </c>
      <c r="K874" s="83">
        <v>109.26626918492543</v>
      </c>
      <c r="L874" s="83">
        <v>109.54723405514734</v>
      </c>
      <c r="M874" s="84">
        <v>5925065.0755202854</v>
      </c>
      <c r="N874" s="85" t="s">
        <v>970</v>
      </c>
      <c r="O874" s="25">
        <f t="shared" si="27"/>
        <v>9.5516052003186136E-3</v>
      </c>
    </row>
    <row r="875" spans="1:15">
      <c r="A875" s="83">
        <v>390.75304518028844</v>
      </c>
      <c r="B875" s="83">
        <v>390.99336901630551</v>
      </c>
      <c r="C875" s="83">
        <v>385.23235304367017</v>
      </c>
      <c r="D875" s="83">
        <v>386.63182919718355</v>
      </c>
      <c r="E875" s="84">
        <v>4138646.1180202705</v>
      </c>
      <c r="F875" s="85" t="s">
        <v>971</v>
      </c>
      <c r="G875" s="25">
        <f t="shared" si="26"/>
        <v>1.065927756559093E-2</v>
      </c>
      <c r="I875" s="83">
        <v>109.54723405514734</v>
      </c>
      <c r="J875" s="83">
        <v>109.65380693695568</v>
      </c>
      <c r="K875" s="83">
        <v>107.67736440160147</v>
      </c>
      <c r="L875" s="83">
        <v>108.59776656267327</v>
      </c>
      <c r="M875" s="84">
        <v>5412422.3743661046</v>
      </c>
      <c r="N875" s="85" t="s">
        <v>971</v>
      </c>
      <c r="O875" s="25">
        <f t="shared" si="27"/>
        <v>8.7429743955749206E-3</v>
      </c>
    </row>
    <row r="876" spans="1:15">
      <c r="A876" s="83">
        <v>384.74977505970008</v>
      </c>
      <c r="B876" s="83">
        <v>388.84203636376674</v>
      </c>
      <c r="C876" s="83">
        <v>384.33475799348577</v>
      </c>
      <c r="D876" s="83">
        <v>388.77447544601091</v>
      </c>
      <c r="E876" s="84">
        <v>4295279.8694776921</v>
      </c>
      <c r="F876" s="85" t="s">
        <v>972</v>
      </c>
      <c r="G876" s="25">
        <f t="shared" si="26"/>
        <v>-1.0352275266254596E-2</v>
      </c>
      <c r="I876" s="83">
        <v>108.68496255688008</v>
      </c>
      <c r="J876" s="83">
        <v>109.77888474642343</v>
      </c>
      <c r="K876" s="83">
        <v>108.13272126023699</v>
      </c>
      <c r="L876" s="83">
        <v>108.89810832049672</v>
      </c>
      <c r="M876" s="84">
        <v>7074346.6556158643</v>
      </c>
      <c r="N876" s="85" t="s">
        <v>972</v>
      </c>
      <c r="O876" s="25">
        <f t="shared" si="27"/>
        <v>-1.957295373665513E-3</v>
      </c>
    </row>
    <row r="877" spans="1:15">
      <c r="A877" s="83">
        <v>387.67419764255902</v>
      </c>
      <c r="B877" s="83">
        <v>388.47778650146603</v>
      </c>
      <c r="C877" s="83">
        <v>385.63771855020514</v>
      </c>
      <c r="D877" s="83">
        <v>387.98304755229992</v>
      </c>
      <c r="E877" s="84">
        <v>3866585.4265650045</v>
      </c>
      <c r="F877" s="85" t="s">
        <v>973</v>
      </c>
      <c r="G877" s="25">
        <f t="shared" si="26"/>
        <v>-7.9603970248021128E-4</v>
      </c>
      <c r="I877" s="83">
        <v>108.83028921389142</v>
      </c>
      <c r="J877" s="83">
        <v>109.05312342130881</v>
      </c>
      <c r="K877" s="83">
        <v>105.78811786045405</v>
      </c>
      <c r="L877" s="83">
        <v>105.82687163565708</v>
      </c>
      <c r="M877" s="84">
        <v>11348478.895178325</v>
      </c>
      <c r="N877" s="85" t="s">
        <v>973</v>
      </c>
      <c r="O877" s="25">
        <f t="shared" si="27"/>
        <v>2.8380481552686909E-2</v>
      </c>
    </row>
    <row r="878" spans="1:15">
      <c r="A878" s="83">
        <v>387.35569617313871</v>
      </c>
      <c r="B878" s="83">
        <v>388.03130535069693</v>
      </c>
      <c r="C878" s="83">
        <v>385.31921708078482</v>
      </c>
      <c r="D878" s="83">
        <v>386.31332772776329</v>
      </c>
      <c r="E878" s="84">
        <v>3479829.2831029049</v>
      </c>
      <c r="F878" s="85" t="s">
        <v>974</v>
      </c>
      <c r="G878" s="25">
        <f t="shared" si="26"/>
        <v>2.6982461400089086E-3</v>
      </c>
      <c r="I878" s="83">
        <v>105.59434898443892</v>
      </c>
      <c r="J878" s="83">
        <v>106.94094578830601</v>
      </c>
      <c r="K878" s="83">
        <v>105.19712278860794</v>
      </c>
      <c r="L878" s="83">
        <v>106.56319336451452</v>
      </c>
      <c r="M878" s="84">
        <v>7651009.9582986003</v>
      </c>
      <c r="N878" s="85" t="s">
        <v>974</v>
      </c>
      <c r="O878" s="25">
        <f t="shared" si="27"/>
        <v>-9.0917356123284554E-3</v>
      </c>
    </row>
    <row r="879" spans="1:15">
      <c r="A879" s="83">
        <v>386.26506992936623</v>
      </c>
      <c r="B879" s="83">
        <v>386.76984650059904</v>
      </c>
      <c r="C879" s="83">
        <v>384.57604698547084</v>
      </c>
      <c r="D879" s="83">
        <v>386.17820589225164</v>
      </c>
      <c r="E879" s="84">
        <v>4151769.3855757006</v>
      </c>
      <c r="F879" s="85" t="s">
        <v>975</v>
      </c>
      <c r="G879" s="25">
        <f t="shared" si="26"/>
        <v>2.2493252024391452E-4</v>
      </c>
      <c r="I879" s="83">
        <v>105.71061031004801</v>
      </c>
      <c r="J879" s="83">
        <v>105.80749474805556</v>
      </c>
      <c r="K879" s="83">
        <v>104.09264019532176</v>
      </c>
      <c r="L879" s="83">
        <v>104.69332371096863</v>
      </c>
      <c r="M879" s="84">
        <v>6257763.5012208605</v>
      </c>
      <c r="N879" s="85" t="s">
        <v>975</v>
      </c>
      <c r="O879" s="25">
        <f t="shared" si="27"/>
        <v>9.7168239866740613E-3</v>
      </c>
    </row>
    <row r="880" spans="1:15">
      <c r="A880" s="83">
        <v>385.52189983405231</v>
      </c>
      <c r="B880" s="83">
        <v>386.88276974884803</v>
      </c>
      <c r="C880" s="83">
        <v>383.97765028534786</v>
      </c>
      <c r="D880" s="83">
        <v>384.0548627627831</v>
      </c>
      <c r="E880" s="84">
        <v>6197376.5885373577</v>
      </c>
      <c r="F880" s="85" t="s">
        <v>976</v>
      </c>
      <c r="G880" s="25">
        <f t="shared" si="26"/>
        <v>3.8198632891033313E-3</v>
      </c>
      <c r="I880" s="83">
        <v>104.68363526716787</v>
      </c>
      <c r="J880" s="83">
        <v>105.67185653484498</v>
      </c>
      <c r="K880" s="83">
        <v>103.29818780365979</v>
      </c>
      <c r="L880" s="83">
        <v>103.83105221270135</v>
      </c>
      <c r="M880" s="84">
        <v>7514132.4548241487</v>
      </c>
      <c r="N880" s="85" t="s">
        <v>976</v>
      </c>
      <c r="O880" s="25">
        <f t="shared" si="27"/>
        <v>8.2112531492022356E-3</v>
      </c>
    </row>
    <row r="881" spans="1:15">
      <c r="A881" s="83">
        <v>381.98942899139092</v>
      </c>
      <c r="B881" s="83">
        <v>382.11451320483604</v>
      </c>
      <c r="C881" s="83">
        <v>378.26392695514164</v>
      </c>
      <c r="D881" s="83">
        <v>378.27357851482105</v>
      </c>
      <c r="E881" s="84">
        <v>4923726.4834425263</v>
      </c>
      <c r="F881" s="85" t="s">
        <v>977</v>
      </c>
      <c r="G881" s="25">
        <f t="shared" si="26"/>
        <v>9.8231827111983083E-3</v>
      </c>
      <c r="I881" s="83">
        <v>103.54039889867867</v>
      </c>
      <c r="J881" s="83">
        <v>103.87949443170513</v>
      </c>
      <c r="K881" s="83">
        <v>102.2809012045804</v>
      </c>
      <c r="L881" s="83">
        <v>103.13348425904692</v>
      </c>
      <c r="M881" s="84">
        <v>6108618.8057758342</v>
      </c>
      <c r="N881" s="85" t="s">
        <v>977</v>
      </c>
      <c r="O881" s="25">
        <f t="shared" si="27"/>
        <v>3.945514325974564E-3</v>
      </c>
    </row>
    <row r="882" spans="1:15">
      <c r="A882" s="83">
        <v>374.86657794799191</v>
      </c>
      <c r="B882" s="83">
        <v>375.5228840061913</v>
      </c>
      <c r="C882" s="83">
        <v>371.21828838917781</v>
      </c>
      <c r="D882" s="83">
        <v>371.67191169410972</v>
      </c>
      <c r="E882" s="84">
        <v>5749494.5732372543</v>
      </c>
      <c r="F882" s="85" t="s">
        <v>978</v>
      </c>
      <c r="G882" s="25">
        <f t="shared" si="26"/>
        <v>8.5953932846867254E-3</v>
      </c>
      <c r="I882" s="83">
        <v>102.45529319299401</v>
      </c>
      <c r="J882" s="83">
        <v>102.89127316402804</v>
      </c>
      <c r="K882" s="83">
        <v>100.56604665184661</v>
      </c>
      <c r="L882" s="83">
        <v>100.56604665184661</v>
      </c>
      <c r="M882" s="84">
        <v>8879073.0244301986</v>
      </c>
      <c r="N882" s="85" t="s">
        <v>978</v>
      </c>
      <c r="O882" s="25">
        <f t="shared" si="27"/>
        <v>1.8786127167629951E-2</v>
      </c>
    </row>
    <row r="883" spans="1:15">
      <c r="A883" s="83">
        <v>370.78396820360473</v>
      </c>
      <c r="B883" s="83">
        <v>371.08316655366622</v>
      </c>
      <c r="C883" s="83">
        <v>367.29975515934041</v>
      </c>
      <c r="D883" s="83">
        <v>369.02738434195351</v>
      </c>
      <c r="E883" s="84">
        <v>4686454.9878429901</v>
      </c>
      <c r="F883" s="85" t="s">
        <v>979</v>
      </c>
      <c r="G883" s="25">
        <f t="shared" si="26"/>
        <v>4.7600366156661522E-3</v>
      </c>
      <c r="I883" s="83">
        <v>100.17850889981636</v>
      </c>
      <c r="J883" s="83">
        <v>100.29477022542544</v>
      </c>
      <c r="K883" s="83">
        <v>97.950166825642498</v>
      </c>
      <c r="L883" s="83">
        <v>98.826970989610913</v>
      </c>
      <c r="M883" s="84">
        <v>6459639.0593829872</v>
      </c>
      <c r="N883" s="85" t="s">
        <v>979</v>
      </c>
      <c r="O883" s="25">
        <f t="shared" si="27"/>
        <v>1.3675800205872335E-2</v>
      </c>
    </row>
    <row r="884" spans="1:15">
      <c r="A884" s="83">
        <v>368.55445791766277</v>
      </c>
      <c r="B884" s="83">
        <v>369.46170452752659</v>
      </c>
      <c r="C884" s="83">
        <v>365.51421661865095</v>
      </c>
      <c r="D884" s="83">
        <v>366.67240378017931</v>
      </c>
      <c r="E884" s="84">
        <v>6004999.3913095882</v>
      </c>
      <c r="F884" s="85" t="s">
        <v>980</v>
      </c>
      <c r="G884" s="25">
        <f t="shared" si="26"/>
        <v>5.1327946092494248E-3</v>
      </c>
      <c r="I884" s="83">
        <v>98.483031234684077</v>
      </c>
      <c r="J884" s="83">
        <v>99.21615577708728</v>
      </c>
      <c r="K884" s="83">
        <v>97.678890399221331</v>
      </c>
      <c r="L884" s="83">
        <v>97.988920600845532</v>
      </c>
      <c r="M884" s="84">
        <v>5608453.8567236541</v>
      </c>
      <c r="N884" s="85" t="s">
        <v>980</v>
      </c>
      <c r="O884" s="25">
        <f t="shared" si="27"/>
        <v>5.0425153252915411E-3</v>
      </c>
    </row>
    <row r="885" spans="1:15">
      <c r="A885" s="83">
        <v>364.17264982321399</v>
      </c>
      <c r="B885" s="83">
        <v>367.61825662876066</v>
      </c>
      <c r="C885" s="83">
        <v>362.84556036729617</v>
      </c>
      <c r="D885" s="83">
        <v>367.27080048030217</v>
      </c>
      <c r="E885" s="84">
        <v>5842322.057059586</v>
      </c>
      <c r="F885" s="85" t="s">
        <v>981</v>
      </c>
      <c r="G885" s="25">
        <f t="shared" si="26"/>
        <v>-8.4356029747982841E-3</v>
      </c>
      <c r="I885" s="83">
        <v>97.843593943834179</v>
      </c>
      <c r="J885" s="83">
        <v>98.909322761917338</v>
      </c>
      <c r="K885" s="83">
        <v>97.456056191803953</v>
      </c>
      <c r="L885" s="83">
        <v>97.853282387634948</v>
      </c>
      <c r="M885" s="84">
        <v>5375325.6014073798</v>
      </c>
      <c r="N885" s="85" t="s">
        <v>981</v>
      </c>
      <c r="O885" s="25">
        <f t="shared" si="27"/>
        <v>-9.900990099021012E-5</v>
      </c>
    </row>
    <row r="886" spans="1:15">
      <c r="A886" s="83">
        <v>365.79411184935361</v>
      </c>
      <c r="B886" s="83">
        <v>370.0379991559837</v>
      </c>
      <c r="C886" s="83">
        <v>364.97372927660439</v>
      </c>
      <c r="D886" s="83">
        <v>369.2976280129767</v>
      </c>
      <c r="E886" s="84">
        <v>7210649.0879936805</v>
      </c>
      <c r="F886" s="85" t="s">
        <v>982</v>
      </c>
      <c r="G886" s="25">
        <f t="shared" si="26"/>
        <v>-9.4869717481640414E-3</v>
      </c>
      <c r="I886" s="83">
        <v>97.271975759589594</v>
      </c>
      <c r="J886" s="83">
        <v>99.199976075940015</v>
      </c>
      <c r="K886" s="83">
        <v>96.758488238149525</v>
      </c>
      <c r="L886" s="83">
        <v>98.521785009887097</v>
      </c>
      <c r="M886" s="84">
        <v>7808871.2238901565</v>
      </c>
      <c r="N886" s="85" t="s">
        <v>982</v>
      </c>
      <c r="O886" s="25">
        <f t="shared" si="27"/>
        <v>-1.2685613137968232E-2</v>
      </c>
    </row>
    <row r="887" spans="1:15">
      <c r="A887" s="83">
        <v>370.33999645835218</v>
      </c>
      <c r="B887" s="83">
        <v>374.17166565107499</v>
      </c>
      <c r="C887" s="83">
        <v>369.77055443726744</v>
      </c>
      <c r="D887" s="83">
        <v>374.09445317363981</v>
      </c>
      <c r="E887" s="84">
        <v>5668735.6051646192</v>
      </c>
      <c r="F887" s="85" t="s">
        <v>983</v>
      </c>
      <c r="G887" s="25">
        <f t="shared" si="26"/>
        <v>-1.0036119711042457E-2</v>
      </c>
      <c r="I887" s="83">
        <v>98.269885471067454</v>
      </c>
      <c r="J887" s="83">
        <v>100.44009688243678</v>
      </c>
      <c r="K887" s="83">
        <v>97.862970831435703</v>
      </c>
      <c r="L887" s="83">
        <v>99.500317833763447</v>
      </c>
      <c r="M887" s="84">
        <v>7309414.3348877719</v>
      </c>
      <c r="N887" s="85" t="s">
        <v>983</v>
      </c>
      <c r="O887" s="25">
        <f t="shared" si="27"/>
        <v>-1.2366114897760405E-2</v>
      </c>
    </row>
    <row r="888" spans="1:15">
      <c r="A888" s="83">
        <v>375.63870272234414</v>
      </c>
      <c r="B888" s="83">
        <v>376.66176804836078</v>
      </c>
      <c r="C888" s="83">
        <v>373.08103940730251</v>
      </c>
      <c r="D888" s="83">
        <v>374.75075923183908</v>
      </c>
      <c r="E888" s="84">
        <v>4612221.3899791101</v>
      </c>
      <c r="F888" s="85" t="s">
        <v>984</v>
      </c>
      <c r="G888" s="25">
        <f t="shared" si="26"/>
        <v>2.3694241269187621E-3</v>
      </c>
      <c r="I888" s="83">
        <v>99.984740023801251</v>
      </c>
      <c r="J888" s="83">
        <v>101.20548394269649</v>
      </c>
      <c r="K888" s="83">
        <v>99.306548957748333</v>
      </c>
      <c r="L888" s="83">
        <v>100.71137330885794</v>
      </c>
      <c r="M888" s="84">
        <v>6372532.1908955881</v>
      </c>
      <c r="N888" s="85" t="s">
        <v>984</v>
      </c>
      <c r="O888" s="25">
        <f t="shared" si="27"/>
        <v>-7.2150072150072297E-3</v>
      </c>
    </row>
    <row r="889" spans="1:15">
      <c r="A889" s="83">
        <v>372.84940197499685</v>
      </c>
      <c r="B889" s="83">
        <v>376.35291813861994</v>
      </c>
      <c r="C889" s="83">
        <v>370.47511829386383</v>
      </c>
      <c r="D889" s="83">
        <v>372.04832252160645</v>
      </c>
      <c r="E889" s="84">
        <v>5737032.3387388559</v>
      </c>
      <c r="F889" s="85" t="s">
        <v>985</v>
      </c>
      <c r="G889" s="25">
        <f t="shared" si="26"/>
        <v>2.1531596970010281E-3</v>
      </c>
      <c r="I889" s="83">
        <v>100.43040843863602</v>
      </c>
      <c r="J889" s="83">
        <v>101.42831815011388</v>
      </c>
      <c r="K889" s="83">
        <v>98.831815211511298</v>
      </c>
      <c r="L889" s="83">
        <v>98.860880542913563</v>
      </c>
      <c r="M889" s="84">
        <v>11067395.569929793</v>
      </c>
      <c r="N889" s="85" t="s">
        <v>985</v>
      </c>
      <c r="O889" s="25">
        <f t="shared" si="27"/>
        <v>1.5876127009015972E-2</v>
      </c>
    </row>
    <row r="890" spans="1:15">
      <c r="A890" s="83">
        <v>373.50570803319624</v>
      </c>
      <c r="B890" s="83">
        <v>378.16741135834758</v>
      </c>
      <c r="C890" s="83">
        <v>373.36093463800512</v>
      </c>
      <c r="D890" s="83">
        <v>377.74274273245391</v>
      </c>
      <c r="E890" s="84">
        <v>7822169.9401721954</v>
      </c>
      <c r="F890" s="85" t="s">
        <v>986</v>
      </c>
      <c r="G890" s="25">
        <f t="shared" si="26"/>
        <v>-1.1216720322959728E-2</v>
      </c>
      <c r="I890" s="83">
        <v>98.67680011069919</v>
      </c>
      <c r="J890" s="83">
        <v>103.70025822139114</v>
      </c>
      <c r="K890" s="83">
        <v>97.523875298409237</v>
      </c>
      <c r="L890" s="83">
        <v>103.65666022428775</v>
      </c>
      <c r="M890" s="84">
        <v>22533404.176114045</v>
      </c>
      <c r="N890" s="85" t="s">
        <v>986</v>
      </c>
      <c r="O890" s="25">
        <f t="shared" si="27"/>
        <v>-4.804187307224983E-2</v>
      </c>
    </row>
    <row r="891" spans="1:15">
      <c r="A891" s="83">
        <v>378.21566915674464</v>
      </c>
      <c r="B891" s="83">
        <v>383.74601285304226</v>
      </c>
      <c r="C891" s="83">
        <v>377.50627952030851</v>
      </c>
      <c r="D891" s="83">
        <v>382.17280862529964</v>
      </c>
      <c r="E891" s="84">
        <v>6951107.6166451778</v>
      </c>
      <c r="F891" s="85" t="s">
        <v>987</v>
      </c>
      <c r="G891" s="25">
        <f t="shared" si="26"/>
        <v>-1.0354319771699871E-2</v>
      </c>
      <c r="I891" s="83">
        <v>104.96460013738979</v>
      </c>
      <c r="J891" s="83">
        <v>106.78602757193191</v>
      </c>
      <c r="K891" s="83">
        <v>104.81927348037846</v>
      </c>
      <c r="L891" s="83">
        <v>105.24556500761172</v>
      </c>
      <c r="M891" s="84">
        <v>8246158.1697740192</v>
      </c>
      <c r="N891" s="85" t="s">
        <v>987</v>
      </c>
      <c r="O891" s="25">
        <f t="shared" si="27"/>
        <v>-2.6696124459173465E-3</v>
      </c>
    </row>
    <row r="892" spans="1:15">
      <c r="A892" s="83">
        <v>381.44894164934448</v>
      </c>
      <c r="B892" s="83">
        <v>385.87900754219015</v>
      </c>
      <c r="C892" s="83">
        <v>380.48378568140424</v>
      </c>
      <c r="D892" s="83">
        <v>384.99106405168516</v>
      </c>
      <c r="E892" s="84">
        <v>7593861.7627174594</v>
      </c>
      <c r="F892" s="85" t="s">
        <v>988</v>
      </c>
      <c r="G892" s="25">
        <f t="shared" ref="G892:G938" si="28">A892/D892-1</f>
        <v>-9.2005314748425659E-3</v>
      </c>
      <c r="I892" s="83">
        <v>104.877404143183</v>
      </c>
      <c r="J892" s="83">
        <v>106.31129382569488</v>
      </c>
      <c r="K892" s="83">
        <v>104.49955483495351</v>
      </c>
      <c r="L892" s="83">
        <v>105.02273080019434</v>
      </c>
      <c r="M892" s="84">
        <v>5288719.3293108717</v>
      </c>
      <c r="N892" s="85" t="s">
        <v>988</v>
      </c>
      <c r="O892" s="25">
        <f t="shared" ref="O892:O938" si="29">I892/L892-1</f>
        <v>-1.3837638376383854E-3</v>
      </c>
    </row>
    <row r="893" spans="1:15">
      <c r="A893" s="83">
        <v>386.62217763750414</v>
      </c>
      <c r="B893" s="83">
        <v>388.47527709594942</v>
      </c>
      <c r="C893" s="83">
        <v>383.46370473241973</v>
      </c>
      <c r="D893" s="83">
        <v>383.77496753208044</v>
      </c>
      <c r="E893" s="84">
        <v>4366764.6888144482</v>
      </c>
      <c r="F893" s="85" t="s">
        <v>989</v>
      </c>
      <c r="G893" s="25">
        <f t="shared" si="28"/>
        <v>7.4189573221334904E-3</v>
      </c>
      <c r="I893" s="83">
        <v>105.64279120344271</v>
      </c>
      <c r="J893" s="83">
        <v>106.36942448849942</v>
      </c>
      <c r="K893" s="83">
        <v>103.57140191884109</v>
      </c>
      <c r="L893" s="83">
        <v>104.22827840853235</v>
      </c>
      <c r="M893" s="84">
        <v>5430993.9843893731</v>
      </c>
      <c r="N893" s="85" t="s">
        <v>989</v>
      </c>
      <c r="O893" s="25">
        <f t="shared" si="29"/>
        <v>1.3571295779884807E-2</v>
      </c>
    </row>
    <row r="894" spans="1:15">
      <c r="A894" s="83">
        <v>386.61252607782478</v>
      </c>
      <c r="B894" s="83">
        <v>387.60663672480325</v>
      </c>
      <c r="C894" s="83">
        <v>384.46022826931801</v>
      </c>
      <c r="D894" s="83">
        <v>384.68221414194426</v>
      </c>
      <c r="E894" s="84">
        <v>5336900.1188405808</v>
      </c>
      <c r="F894" s="85" t="s">
        <v>990</v>
      </c>
      <c r="G894" s="25">
        <f t="shared" si="28"/>
        <v>5.0179391323983413E-3</v>
      </c>
      <c r="I894" s="83">
        <v>105.32307255801776</v>
      </c>
      <c r="J894" s="83">
        <v>106.17565561248429</v>
      </c>
      <c r="K894" s="83">
        <v>104.93708495699565</v>
      </c>
      <c r="L894" s="83">
        <v>105.55559520923592</v>
      </c>
      <c r="M894" s="84">
        <v>5664464.9159979681</v>
      </c>
      <c r="N894" s="85" t="s">
        <v>990</v>
      </c>
      <c r="O894" s="25">
        <f t="shared" si="29"/>
        <v>-2.2028453419001837E-3</v>
      </c>
    </row>
    <row r="895" spans="1:15">
      <c r="A895" s="83">
        <v>382.60712881087272</v>
      </c>
      <c r="B895" s="83">
        <v>386.98893690532145</v>
      </c>
      <c r="C895" s="83">
        <v>381.19800109767993</v>
      </c>
      <c r="D895" s="83">
        <v>385.87900754219015</v>
      </c>
      <c r="E895" s="84">
        <v>3908403.5381870409</v>
      </c>
      <c r="F895" s="85" t="s">
        <v>991</v>
      </c>
      <c r="G895" s="25">
        <f t="shared" si="28"/>
        <v>-8.4790275380806079E-3</v>
      </c>
      <c r="I895" s="83">
        <v>104.877404143183</v>
      </c>
      <c r="J895" s="83">
        <v>106.09814806207825</v>
      </c>
      <c r="K895" s="83">
        <v>104.43173572834823</v>
      </c>
      <c r="L895" s="83">
        <v>105.78811786045405</v>
      </c>
      <c r="M895" s="84">
        <v>6071331.0836783163</v>
      </c>
      <c r="N895" s="85" t="s">
        <v>991</v>
      </c>
      <c r="O895" s="25">
        <f t="shared" si="29"/>
        <v>-8.6088469640076548E-3</v>
      </c>
    </row>
    <row r="896" spans="1:15">
      <c r="A896" s="83">
        <v>384.63395634354725</v>
      </c>
      <c r="B896" s="83">
        <v>387.79966791839126</v>
      </c>
      <c r="C896" s="83">
        <v>382.39479449792589</v>
      </c>
      <c r="D896" s="83">
        <v>387.49081800865042</v>
      </c>
      <c r="E896" s="84">
        <v>4012749.3676128555</v>
      </c>
      <c r="F896" s="85" t="s">
        <v>992</v>
      </c>
      <c r="G896" s="25">
        <f t="shared" si="28"/>
        <v>-7.3727209325497034E-3</v>
      </c>
      <c r="I896" s="83">
        <v>105.71061031004801</v>
      </c>
      <c r="J896" s="83">
        <v>107.46421863798483</v>
      </c>
      <c r="K896" s="83">
        <v>105.48777610263062</v>
      </c>
      <c r="L896" s="83">
        <v>106.52443958931151</v>
      </c>
      <c r="M896" s="84">
        <v>6810725.371070588</v>
      </c>
      <c r="N896" s="85" t="s">
        <v>992</v>
      </c>
      <c r="O896" s="25">
        <f t="shared" si="29"/>
        <v>-7.6398362892223792E-3</v>
      </c>
    </row>
    <row r="897" spans="1:15">
      <c r="A897" s="83">
        <v>386.95998222628327</v>
      </c>
      <c r="B897" s="83">
        <v>387.11440718115364</v>
      </c>
      <c r="C897" s="83">
        <v>384.12242368053893</v>
      </c>
      <c r="D897" s="83">
        <v>386.32297928744265</v>
      </c>
      <c r="E897" s="84">
        <v>4332754.6416403605</v>
      </c>
      <c r="F897" s="85" t="s">
        <v>993</v>
      </c>
      <c r="G897" s="25">
        <f t="shared" si="28"/>
        <v>1.6488870012743018E-3</v>
      </c>
      <c r="I897" s="83">
        <v>106.22409783148807</v>
      </c>
      <c r="J897" s="83">
        <v>106.63004362673973</v>
      </c>
      <c r="K897" s="83">
        <v>105.43933388362683</v>
      </c>
      <c r="L897" s="83">
        <v>106.09814806207825</v>
      </c>
      <c r="M897" s="84">
        <v>5823108.5569798229</v>
      </c>
      <c r="N897" s="85" t="s">
        <v>993</v>
      </c>
      <c r="O897" s="25">
        <f t="shared" si="29"/>
        <v>1.187106200346788E-3</v>
      </c>
    </row>
    <row r="898" spans="1:15">
      <c r="A898" s="83">
        <v>385.32886864046424</v>
      </c>
      <c r="B898" s="83">
        <v>387.68384920223843</v>
      </c>
      <c r="C898" s="83">
        <v>383.54091720985491</v>
      </c>
      <c r="D898" s="83">
        <v>383.91008936759204</v>
      </c>
      <c r="E898" s="84">
        <v>3408402.4854764841</v>
      </c>
      <c r="F898" s="85" t="s">
        <v>994</v>
      </c>
      <c r="G898" s="25">
        <f t="shared" si="28"/>
        <v>3.6956029866506146E-3</v>
      </c>
      <c r="I898" s="83">
        <v>105.90437918120145</v>
      </c>
      <c r="J898" s="83">
        <v>107.20755037703249</v>
      </c>
      <c r="K898" s="83">
        <v>105.81750110147939</v>
      </c>
      <c r="L898" s="83">
        <v>106.38703517965739</v>
      </c>
      <c r="M898" s="84">
        <v>7158759.0562503785</v>
      </c>
      <c r="N898" s="85" t="s">
        <v>994</v>
      </c>
      <c r="O898" s="25">
        <f t="shared" si="29"/>
        <v>-4.5367933944288064E-3</v>
      </c>
    </row>
    <row r="899" spans="1:15">
      <c r="A899" s="83">
        <v>383.35029890618671</v>
      </c>
      <c r="B899" s="83">
        <v>383.83287689015685</v>
      </c>
      <c r="C899" s="83">
        <v>378.64033778263831</v>
      </c>
      <c r="D899" s="83">
        <v>379.11326420692905</v>
      </c>
      <c r="E899" s="84">
        <v>3066345.8532157396</v>
      </c>
      <c r="F899" s="85" t="s">
        <v>995</v>
      </c>
      <c r="G899" s="25">
        <f t="shared" si="28"/>
        <v>1.1176171079429587E-2</v>
      </c>
      <c r="I899" s="83">
        <v>106.4932194993177</v>
      </c>
      <c r="J899" s="83">
        <v>107.12067229731042</v>
      </c>
      <c r="K899" s="83">
        <v>105.67270430194262</v>
      </c>
      <c r="L899" s="83">
        <v>106.9083036579898</v>
      </c>
      <c r="M899" s="84">
        <v>6228414.2528365348</v>
      </c>
      <c r="N899" s="85" t="s">
        <v>995</v>
      </c>
      <c r="O899" s="25">
        <f t="shared" si="29"/>
        <v>-3.8826185101580313E-3</v>
      </c>
    </row>
    <row r="900" spans="1:15">
      <c r="A900" s="83">
        <v>380.81193871050385</v>
      </c>
      <c r="B900" s="83">
        <v>382.28380156161273</v>
      </c>
      <c r="C900" s="83">
        <v>372.94630363417804</v>
      </c>
      <c r="D900" s="83">
        <v>374.1813172107544</v>
      </c>
      <c r="E900" s="84">
        <v>5074018.2547399299</v>
      </c>
      <c r="F900" s="85" t="s">
        <v>996</v>
      </c>
      <c r="G900" s="25">
        <f t="shared" si="28"/>
        <v>1.7720343573473629E-2</v>
      </c>
      <c r="I900" s="83">
        <v>106.14570718042943</v>
      </c>
      <c r="J900" s="83">
        <v>106.6959350186692</v>
      </c>
      <c r="K900" s="83">
        <v>103.84826462777917</v>
      </c>
      <c r="L900" s="83">
        <v>104.18612382669833</v>
      </c>
      <c r="M900" s="84">
        <v>8543300.017385887</v>
      </c>
      <c r="N900" s="85" t="s">
        <v>996</v>
      </c>
      <c r="O900" s="25">
        <f t="shared" si="29"/>
        <v>1.8808486982303307E-2</v>
      </c>
    </row>
    <row r="901" spans="1:15">
      <c r="A901" s="83">
        <v>376.32396345958176</v>
      </c>
      <c r="B901" s="83">
        <v>377.17223903980442</v>
      </c>
      <c r="C901" s="83">
        <v>373.46710179447859</v>
      </c>
      <c r="D901" s="83">
        <v>376.30466034022288</v>
      </c>
      <c r="E901" s="84">
        <v>3449277.7443055757</v>
      </c>
      <c r="F901" s="85" t="s">
        <v>997</v>
      </c>
      <c r="G901" s="25">
        <f t="shared" si="28"/>
        <v>5.1296519531396356E-5</v>
      </c>
      <c r="I901" s="83">
        <v>104.59155486540131</v>
      </c>
      <c r="J901" s="83">
        <v>104.67843294512338</v>
      </c>
      <c r="K901" s="83">
        <v>102.50165439208712</v>
      </c>
      <c r="L901" s="83">
        <v>103.25942430966293</v>
      </c>
      <c r="M901" s="84">
        <v>7926431.0652699182</v>
      </c>
      <c r="N901" s="85" t="s">
        <v>997</v>
      </c>
      <c r="O901" s="25">
        <f t="shared" si="29"/>
        <v>1.2900813312143544E-2</v>
      </c>
    </row>
    <row r="902" spans="1:15">
      <c r="A902" s="83">
        <v>376.64246492900202</v>
      </c>
      <c r="B902" s="83">
        <v>377.23121006944558</v>
      </c>
      <c r="C902" s="83">
        <v>372.93626601211145</v>
      </c>
      <c r="D902" s="83">
        <v>374.21992344947199</v>
      </c>
      <c r="E902" s="84">
        <v>4490196.5526345922</v>
      </c>
      <c r="F902" s="85" t="s">
        <v>998</v>
      </c>
      <c r="G902" s="25">
        <f t="shared" si="28"/>
        <v>6.4735769736672388E-3</v>
      </c>
      <c r="I902" s="83">
        <v>103.36560862932323</v>
      </c>
      <c r="J902" s="83">
        <v>103.57797726864385</v>
      </c>
      <c r="K902" s="83">
        <v>100.87510367729061</v>
      </c>
      <c r="L902" s="83">
        <v>101.31914719587006</v>
      </c>
      <c r="M902" s="84">
        <v>9160406.1985021513</v>
      </c>
      <c r="N902" s="85" t="s">
        <v>998</v>
      </c>
      <c r="O902" s="25">
        <f t="shared" si="29"/>
        <v>2.0198170731707377E-2</v>
      </c>
    </row>
    <row r="903" spans="1:15">
      <c r="A903" s="83">
        <v>373.89177042037227</v>
      </c>
      <c r="B903" s="83">
        <v>378.27357851482105</v>
      </c>
      <c r="C903" s="83">
        <v>372.57915830397354</v>
      </c>
      <c r="D903" s="83">
        <v>376.97061795810168</v>
      </c>
      <c r="E903" s="84">
        <v>7135285.1028802367</v>
      </c>
      <c r="F903" s="85" t="s">
        <v>999</v>
      </c>
      <c r="G903" s="25">
        <f t="shared" si="28"/>
        <v>-8.167340877669127E-3</v>
      </c>
      <c r="I903" s="83">
        <v>100.89440991722884</v>
      </c>
      <c r="J903" s="83">
        <v>102.80572767111435</v>
      </c>
      <c r="K903" s="83">
        <v>99.948404160255222</v>
      </c>
      <c r="L903" s="83">
        <v>102.7285027113614</v>
      </c>
      <c r="M903" s="84">
        <v>9098951.4562118035</v>
      </c>
      <c r="N903" s="85" t="s">
        <v>999</v>
      </c>
      <c r="O903" s="25">
        <f t="shared" si="29"/>
        <v>-1.785378688216499E-2</v>
      </c>
    </row>
    <row r="904" spans="1:15">
      <c r="A904" s="83">
        <v>378.9877939310968</v>
      </c>
      <c r="B904" s="83">
        <v>380.03971742055489</v>
      </c>
      <c r="C904" s="83">
        <v>376.38187281765818</v>
      </c>
      <c r="D904" s="83">
        <v>378.24462383578282</v>
      </c>
      <c r="E904" s="84">
        <v>6098654.720606165</v>
      </c>
      <c r="F904" s="85" t="s">
        <v>1000</v>
      </c>
      <c r="G904" s="25">
        <f t="shared" si="28"/>
        <v>1.9647869354426639E-3</v>
      </c>
      <c r="I904" s="83">
        <v>103.00844319046584</v>
      </c>
      <c r="J904" s="83">
        <v>103.03228639678957</v>
      </c>
      <c r="K904" s="83">
        <v>101.63770015485099</v>
      </c>
      <c r="L904" s="83">
        <v>102.13966239324516</v>
      </c>
      <c r="M904" s="84">
        <v>6177750.8402233543</v>
      </c>
      <c r="N904" s="85" t="s">
        <v>1000</v>
      </c>
      <c r="O904" s="25">
        <f t="shared" si="29"/>
        <v>8.5058123050751888E-3</v>
      </c>
    </row>
    <row r="905" spans="1:15">
      <c r="A905" s="83">
        <v>379.01674861013498</v>
      </c>
      <c r="B905" s="83">
        <v>382.91597872061362</v>
      </c>
      <c r="C905" s="83">
        <v>377.66553025501867</v>
      </c>
      <c r="D905" s="83">
        <v>382.80016000446079</v>
      </c>
      <c r="E905" s="84">
        <v>5974770.0802250132</v>
      </c>
      <c r="F905" s="85" t="s">
        <v>1001</v>
      </c>
      <c r="G905" s="25">
        <f t="shared" si="28"/>
        <v>-9.8835157077303837E-3</v>
      </c>
      <c r="I905" s="83">
        <v>102.24584671290548</v>
      </c>
      <c r="J905" s="83">
        <v>103.64072254844312</v>
      </c>
      <c r="K905" s="83">
        <v>101.72457823457306</v>
      </c>
      <c r="L905" s="83">
        <v>103.39456798923059</v>
      </c>
      <c r="M905" s="84">
        <v>7561398.8258206351</v>
      </c>
      <c r="N905" s="85" t="s">
        <v>1001</v>
      </c>
      <c r="O905" s="25">
        <f t="shared" si="29"/>
        <v>-1.1110073755951744E-2</v>
      </c>
    </row>
    <row r="906" spans="1:15">
      <c r="A906" s="83">
        <v>379.92399521999886</v>
      </c>
      <c r="B906" s="83">
        <v>381.49719944774142</v>
      </c>
      <c r="C906" s="83">
        <v>376.72932896611661</v>
      </c>
      <c r="D906" s="83">
        <v>377.25051318880435</v>
      </c>
      <c r="E906" s="84">
        <v>4212557.4881713968</v>
      </c>
      <c r="F906" s="85" t="s">
        <v>1002</v>
      </c>
      <c r="G906" s="25">
        <f t="shared" si="28"/>
        <v>7.0867551871467427E-3</v>
      </c>
      <c r="I906" s="83">
        <v>102.46786847219521</v>
      </c>
      <c r="J906" s="83">
        <v>102.90225887080554</v>
      </c>
      <c r="K906" s="83">
        <v>99.687769921089</v>
      </c>
      <c r="L906" s="83">
        <v>100.42140703874203</v>
      </c>
      <c r="M906" s="84">
        <v>7638588.377217873</v>
      </c>
      <c r="N906" s="85" t="s">
        <v>1002</v>
      </c>
      <c r="O906" s="25">
        <f t="shared" si="29"/>
        <v>2.0378736902816552E-2</v>
      </c>
    </row>
    <row r="907" spans="1:15">
      <c r="A907" s="83">
        <v>377.72102671738435</v>
      </c>
      <c r="B907" s="83">
        <v>379.20172006381364</v>
      </c>
      <c r="C907" s="83">
        <v>374.45196348500781</v>
      </c>
      <c r="D907" s="83">
        <v>378.67290101151741</v>
      </c>
      <c r="E907" s="84">
        <v>5031463.7652459061</v>
      </c>
      <c r="F907" s="85" t="s">
        <v>1003</v>
      </c>
      <c r="G907" s="25">
        <f t="shared" si="28"/>
        <v>-2.5137111517364863E-3</v>
      </c>
      <c r="I907" s="83">
        <v>100.99094111692004</v>
      </c>
      <c r="J907" s="83">
        <v>101.62495803649175</v>
      </c>
      <c r="K907" s="83">
        <v>99.764994880841954</v>
      </c>
      <c r="L907" s="83">
        <v>101.35775967574655</v>
      </c>
      <c r="M907" s="84">
        <v>9236846.7692565378</v>
      </c>
      <c r="N907" s="85" t="s">
        <v>1003</v>
      </c>
      <c r="O907" s="25">
        <f t="shared" si="29"/>
        <v>-3.6190476190476328E-3</v>
      </c>
    </row>
    <row r="908" spans="1:15">
      <c r="A908" s="83">
        <v>377.63449269064489</v>
      </c>
      <c r="B908" s="83">
        <v>381.09585376022005</v>
      </c>
      <c r="C908" s="83">
        <v>376.86530134185045</v>
      </c>
      <c r="D908" s="83">
        <v>380.48050068118448</v>
      </c>
      <c r="E908" s="84">
        <v>5964429.0165123409</v>
      </c>
      <c r="F908" s="85" t="s">
        <v>1004</v>
      </c>
      <c r="G908" s="25">
        <f t="shared" si="28"/>
        <v>-7.4800363893663402E-3</v>
      </c>
      <c r="I908" s="83">
        <v>101.24192223611712</v>
      </c>
      <c r="J908" s="83">
        <v>103.67450846833505</v>
      </c>
      <c r="K908" s="83">
        <v>100.69169439787736</v>
      </c>
      <c r="L908" s="83">
        <v>103.42352734913796</v>
      </c>
      <c r="M908" s="84">
        <v>13683709.559455439</v>
      </c>
      <c r="N908" s="85" t="s">
        <v>1004</v>
      </c>
      <c r="O908" s="25">
        <f t="shared" si="29"/>
        <v>-2.1093895837222432E-2</v>
      </c>
    </row>
    <row r="909" spans="1:15">
      <c r="A909" s="83">
        <v>383.25920442870449</v>
      </c>
      <c r="B909" s="83">
        <v>383.2872799129355</v>
      </c>
      <c r="C909" s="83">
        <v>380.14397946608688</v>
      </c>
      <c r="D909" s="83">
        <v>380.51896024862418</v>
      </c>
      <c r="E909" s="84">
        <v>3357188.0443626824</v>
      </c>
      <c r="F909" s="85" t="s">
        <v>1005</v>
      </c>
      <c r="G909" s="25">
        <f t="shared" si="28"/>
        <v>7.2013341419041588E-3</v>
      </c>
      <c r="I909" s="83">
        <v>104.54328926555571</v>
      </c>
      <c r="J909" s="83">
        <v>104.88114846447489</v>
      </c>
      <c r="K909" s="83">
        <v>103.77103966802622</v>
      </c>
      <c r="L909" s="83">
        <v>104.68808606509251</v>
      </c>
      <c r="M909" s="84">
        <v>8712221.568678787</v>
      </c>
      <c r="N909" s="85" t="s">
        <v>1005</v>
      </c>
      <c r="O909" s="25">
        <f t="shared" si="29"/>
        <v>-1.3831258644537714E-3</v>
      </c>
    </row>
    <row r="910" spans="1:15">
      <c r="A910" s="83">
        <v>381.67274727181587</v>
      </c>
      <c r="B910" s="83">
        <v>384.90911987186865</v>
      </c>
      <c r="C910" s="83">
        <v>381.28334415148868</v>
      </c>
      <c r="D910" s="83">
        <v>383.43707992811323</v>
      </c>
      <c r="E910" s="84">
        <v>7495173.2218981115</v>
      </c>
      <c r="F910" s="85" t="s">
        <v>1006</v>
      </c>
      <c r="G910" s="25">
        <f t="shared" si="28"/>
        <v>-4.6013616018256709E-3</v>
      </c>
      <c r="I910" s="83">
        <v>105.24796702330138</v>
      </c>
      <c r="J910" s="83">
        <v>106.76350685845303</v>
      </c>
      <c r="K910" s="83">
        <v>104.74600478490721</v>
      </c>
      <c r="L910" s="83">
        <v>106.17466654033679</v>
      </c>
      <c r="M910" s="84">
        <v>11552793.330732971</v>
      </c>
      <c r="N910" s="85" t="s">
        <v>1006</v>
      </c>
      <c r="O910" s="25">
        <f t="shared" si="29"/>
        <v>-8.7280661878352817E-3</v>
      </c>
    </row>
    <row r="911" spans="1:15">
      <c r="A911" s="83">
        <v>382.59577689036928</v>
      </c>
      <c r="B911" s="83">
        <v>386.56672722852073</v>
      </c>
      <c r="C911" s="83">
        <v>382.37463437759084</v>
      </c>
      <c r="D911" s="83">
        <v>386.32635493202247</v>
      </c>
      <c r="E911" s="84">
        <v>4818711.5024227751</v>
      </c>
      <c r="F911" s="85" t="s">
        <v>1007</v>
      </c>
      <c r="G911" s="25">
        <f t="shared" si="28"/>
        <v>-9.656545545047357E-3</v>
      </c>
      <c r="I911" s="83">
        <v>105.63409182206614</v>
      </c>
      <c r="J911" s="83">
        <v>108.59759965258559</v>
      </c>
      <c r="K911" s="83">
        <v>105.53852593437186</v>
      </c>
      <c r="L911" s="83">
        <v>107.64194077564284</v>
      </c>
      <c r="M911" s="84">
        <v>13108212.723430187</v>
      </c>
      <c r="N911" s="85" t="s">
        <v>1007</v>
      </c>
      <c r="O911" s="25">
        <f t="shared" si="29"/>
        <v>-1.8653035602188228E-2</v>
      </c>
    </row>
    <row r="912" spans="1:15">
      <c r="A912" s="83">
        <v>388.97045019350344</v>
      </c>
      <c r="B912" s="83">
        <v>394.05672798740682</v>
      </c>
      <c r="C912" s="83">
        <v>388.75892257258494</v>
      </c>
      <c r="D912" s="83">
        <v>393.69136209672945</v>
      </c>
      <c r="E912" s="84">
        <v>4170005.298456707</v>
      </c>
      <c r="F912" s="85" t="s">
        <v>1008</v>
      </c>
      <c r="G912" s="25">
        <f t="shared" si="28"/>
        <v>-1.1991403311678694E-2</v>
      </c>
      <c r="I912" s="83">
        <v>108.95476509144298</v>
      </c>
      <c r="J912" s="83">
        <v>110.71674907940621</v>
      </c>
      <c r="K912" s="83">
        <v>108.55898717270911</v>
      </c>
      <c r="L912" s="83">
        <v>108.89684637162827</v>
      </c>
      <c r="M912" s="84">
        <v>9095458.285080824</v>
      </c>
      <c r="N912" s="85" t="s">
        <v>1008</v>
      </c>
      <c r="O912" s="25">
        <f t="shared" si="29"/>
        <v>5.3186774222147015E-4</v>
      </c>
    </row>
    <row r="913" spans="1:15">
      <c r="A913" s="83">
        <v>392.64333888399705</v>
      </c>
      <c r="B913" s="83">
        <v>393.061586679904</v>
      </c>
      <c r="C913" s="83">
        <v>390.08577764925536</v>
      </c>
      <c r="D913" s="83">
        <v>392.49911550609806</v>
      </c>
      <c r="E913" s="84">
        <v>3775157.3838565219</v>
      </c>
      <c r="F913" s="85" t="s">
        <v>1009</v>
      </c>
      <c r="G913" s="25">
        <f t="shared" si="28"/>
        <v>3.6744892459950051E-4</v>
      </c>
      <c r="I913" s="83">
        <v>108.85823389175178</v>
      </c>
      <c r="J913" s="83">
        <v>109.7945865287563</v>
      </c>
      <c r="K913" s="83">
        <v>107.83500317502519</v>
      </c>
      <c r="L913" s="83">
        <v>108.57346685266278</v>
      </c>
      <c r="M913" s="84">
        <v>9878794.6596613154</v>
      </c>
      <c r="N913" s="85" t="s">
        <v>1009</v>
      </c>
      <c r="O913" s="25">
        <f t="shared" si="29"/>
        <v>2.6228050677927772E-3</v>
      </c>
    </row>
    <row r="914" spans="1:15">
      <c r="A914" s="83">
        <v>393.43176001651136</v>
      </c>
      <c r="B914" s="83">
        <v>394.53747258040335</v>
      </c>
      <c r="C914" s="83">
        <v>392.44142615493848</v>
      </c>
      <c r="D914" s="83">
        <v>392.84525161305555</v>
      </c>
      <c r="E914" s="84">
        <v>3135314.5141059067</v>
      </c>
      <c r="F914" s="85" t="s">
        <v>1010</v>
      </c>
      <c r="G914" s="25">
        <f t="shared" si="28"/>
        <v>1.4929756718391474E-3</v>
      </c>
      <c r="I914" s="83">
        <v>108.31765917348113</v>
      </c>
      <c r="J914" s="83">
        <v>110.49443772651742</v>
      </c>
      <c r="K914" s="83">
        <v>107.70951261542666</v>
      </c>
      <c r="L914" s="83">
        <v>109.48568668974451</v>
      </c>
      <c r="M914" s="84">
        <v>12166073.805744044</v>
      </c>
      <c r="N914" s="85" t="s">
        <v>1010</v>
      </c>
      <c r="O914" s="25">
        <f t="shared" si="29"/>
        <v>-1.0668312466937224E-2</v>
      </c>
    </row>
    <row r="915" spans="1:15">
      <c r="A915" s="83">
        <v>392.99908988281447</v>
      </c>
      <c r="B915" s="83">
        <v>396.7777423837673</v>
      </c>
      <c r="C915" s="83">
        <v>392.74910269445627</v>
      </c>
      <c r="D915" s="83">
        <v>396.46045095238952</v>
      </c>
      <c r="E915" s="84">
        <v>4164404.6114407238</v>
      </c>
      <c r="F915" s="85" t="s">
        <v>1011</v>
      </c>
      <c r="G915" s="25">
        <f t="shared" si="28"/>
        <v>-8.7306591647667853E-3</v>
      </c>
      <c r="I915" s="83">
        <v>109.95868956823132</v>
      </c>
      <c r="J915" s="83">
        <v>111.20394204424764</v>
      </c>
      <c r="K915" s="83">
        <v>108.59759965258559</v>
      </c>
      <c r="L915" s="83">
        <v>110.22897692736665</v>
      </c>
      <c r="M915" s="84">
        <v>24049231.827913783</v>
      </c>
      <c r="N915" s="85" t="s">
        <v>1011</v>
      </c>
      <c r="O915" s="25">
        <f t="shared" si="29"/>
        <v>-2.4520535948857614E-3</v>
      </c>
    </row>
    <row r="916" spans="1:15">
      <c r="A916" s="83">
        <v>397.96037408253875</v>
      </c>
      <c r="B916" s="83">
        <v>398.54688248599456</v>
      </c>
      <c r="C916" s="83">
        <v>395.57588090127592</v>
      </c>
      <c r="D916" s="83">
        <v>396.7777423837673</v>
      </c>
      <c r="E916" s="84">
        <v>3807532.1629528143</v>
      </c>
      <c r="F916" s="85" t="s">
        <v>1012</v>
      </c>
      <c r="G916" s="25">
        <f t="shared" si="28"/>
        <v>2.9805898175296885E-3</v>
      </c>
      <c r="I916" s="83">
        <v>109.71736156900336</v>
      </c>
      <c r="J916" s="83">
        <v>111.14602332443293</v>
      </c>
      <c r="K916" s="83">
        <v>108.06667805428405</v>
      </c>
      <c r="L916" s="83">
        <v>109.56291164949745</v>
      </c>
      <c r="M916" s="84">
        <v>20562941.37387808</v>
      </c>
      <c r="N916" s="85" t="s">
        <v>1012</v>
      </c>
      <c r="O916" s="25">
        <f t="shared" si="29"/>
        <v>1.409691629955967E-3</v>
      </c>
    </row>
    <row r="917" spans="1:15">
      <c r="A917" s="83">
        <v>394.54708747226334</v>
      </c>
      <c r="B917" s="83">
        <v>395.55665111755604</v>
      </c>
      <c r="C917" s="83">
        <v>393.23946217931274</v>
      </c>
      <c r="D917" s="83">
        <v>394.2394109327455</v>
      </c>
      <c r="E917" s="84">
        <v>2631072.7534466395</v>
      </c>
      <c r="F917" s="85" t="s">
        <v>1013</v>
      </c>
      <c r="G917" s="25">
        <f t="shared" si="28"/>
        <v>7.8043070019284677E-4</v>
      </c>
      <c r="I917" s="83">
        <v>107.96049373462375</v>
      </c>
      <c r="J917" s="83">
        <v>109.0223369312268</v>
      </c>
      <c r="K917" s="83">
        <v>104.44675806586454</v>
      </c>
      <c r="L917" s="83">
        <v>104.56259550549396</v>
      </c>
      <c r="M917" s="84">
        <v>28147327.586233832</v>
      </c>
      <c r="N917" s="85" t="s">
        <v>1013</v>
      </c>
      <c r="O917" s="25">
        <f t="shared" si="29"/>
        <v>3.2496307237813937E-2</v>
      </c>
    </row>
    <row r="918" spans="1:15">
      <c r="A918" s="83">
        <v>394.08557266298664</v>
      </c>
      <c r="B918" s="83">
        <v>396.27776800705084</v>
      </c>
      <c r="C918" s="83">
        <v>393.5279089351107</v>
      </c>
      <c r="D918" s="83">
        <v>394.88360868736089</v>
      </c>
      <c r="E918" s="84">
        <v>7899512.6629064428</v>
      </c>
      <c r="F918" s="85" t="s">
        <v>1014</v>
      </c>
      <c r="G918" s="25">
        <f t="shared" si="28"/>
        <v>-2.020939858777715E-3</v>
      </c>
      <c r="I918" s="83">
        <v>105.80784798151028</v>
      </c>
      <c r="J918" s="83">
        <v>109.36984925011508</v>
      </c>
      <c r="K918" s="83">
        <v>103.57797726864385</v>
      </c>
      <c r="L918" s="83">
        <v>108.1921686138826</v>
      </c>
      <c r="M918" s="84">
        <v>71071058.082233027</v>
      </c>
      <c r="N918" s="85" t="s">
        <v>1014</v>
      </c>
      <c r="O918" s="25">
        <f t="shared" si="29"/>
        <v>-2.2037830121341861E-2</v>
      </c>
    </row>
    <row r="919" spans="1:15">
      <c r="A919" s="83">
        <v>396.21046376403137</v>
      </c>
      <c r="B919" s="83">
        <v>396.49891051982928</v>
      </c>
      <c r="C919" s="83">
        <v>394.48939812110376</v>
      </c>
      <c r="D919" s="83">
        <v>396.01816592683275</v>
      </c>
      <c r="E919" s="84">
        <v>3480603.889001057</v>
      </c>
      <c r="F919" s="85" t="s">
        <v>1015</v>
      </c>
      <c r="G919" s="25">
        <f t="shared" si="28"/>
        <v>4.8557832378359755E-4</v>
      </c>
      <c r="I919" s="83">
        <v>122.31468312870328</v>
      </c>
      <c r="J919" s="83">
        <v>122.99522808652615</v>
      </c>
      <c r="K919" s="83">
        <v>120.39371225484865</v>
      </c>
      <c r="L919" s="83">
        <v>122.61392984774596</v>
      </c>
      <c r="M919" s="84">
        <v>22951713.094707027</v>
      </c>
      <c r="N919" s="85" t="s">
        <v>1015</v>
      </c>
      <c r="O919" s="25">
        <f t="shared" si="29"/>
        <v>-2.4405605416469855E-3</v>
      </c>
    </row>
    <row r="920" spans="1:15">
      <c r="A920" s="83">
        <v>393.62405785370993</v>
      </c>
      <c r="B920" s="83">
        <v>395.01821717339993</v>
      </c>
      <c r="C920" s="83">
        <v>392.75871758631621</v>
      </c>
      <c r="D920" s="83">
        <v>393.07600901769388</v>
      </c>
      <c r="E920" s="84">
        <v>4290451.7909259759</v>
      </c>
      <c r="F920" s="85" t="s">
        <v>1016</v>
      </c>
      <c r="G920" s="25">
        <f t="shared" si="28"/>
        <v>1.3942566410645174E-3</v>
      </c>
      <c r="I920" s="83">
        <v>121.93821144990764</v>
      </c>
      <c r="J920" s="83">
        <v>122.29537688876505</v>
      </c>
      <c r="K920" s="83">
        <v>120.03413353599899</v>
      </c>
      <c r="L920" s="83">
        <v>120.47093721460161</v>
      </c>
      <c r="M920" s="84">
        <v>10994342.796890477</v>
      </c>
      <c r="N920" s="85" t="s">
        <v>1016</v>
      </c>
      <c r="O920" s="25">
        <f t="shared" si="29"/>
        <v>1.2179487179487136E-2</v>
      </c>
    </row>
    <row r="921" spans="1:15">
      <c r="A921" s="83">
        <v>393.08562390955382</v>
      </c>
      <c r="B921" s="83">
        <v>393.66251742114969</v>
      </c>
      <c r="C921" s="83">
        <v>391.18668276721752</v>
      </c>
      <c r="D921" s="83">
        <v>391.48955186080531</v>
      </c>
      <c r="E921" s="84">
        <v>2335709.0570711279</v>
      </c>
      <c r="F921" s="85" t="s">
        <v>1017</v>
      </c>
      <c r="G921" s="25">
        <f t="shared" si="28"/>
        <v>4.0769211877103029E-3</v>
      </c>
      <c r="I921" s="83">
        <v>120.75087769370606</v>
      </c>
      <c r="J921" s="83">
        <v>121.59069913101938</v>
      </c>
      <c r="K921" s="83">
        <v>118.34184507421277</v>
      </c>
      <c r="L921" s="83">
        <v>119.53458457759709</v>
      </c>
      <c r="M921" s="84">
        <v>12290742.307104219</v>
      </c>
      <c r="N921" s="85" t="s">
        <v>1017</v>
      </c>
      <c r="O921" s="25">
        <f t="shared" si="29"/>
        <v>1.017524024872829E-2</v>
      </c>
    </row>
    <row r="922" spans="1:15">
      <c r="A922" s="83">
        <v>394.25864071646544</v>
      </c>
      <c r="B922" s="83">
        <v>396.25853822333102</v>
      </c>
      <c r="C922" s="83">
        <v>392.12413472356076</v>
      </c>
      <c r="D922" s="83">
        <v>396.22969354775125</v>
      </c>
      <c r="E922" s="84">
        <v>3894030.2756841602</v>
      </c>
      <c r="F922" s="85" t="s">
        <v>1018</v>
      </c>
      <c r="G922" s="25">
        <f t="shared" si="28"/>
        <v>-4.9745207473913533E-3</v>
      </c>
      <c r="I922" s="83">
        <v>120.01724057605303</v>
      </c>
      <c r="J922" s="83">
        <v>120.25856857528099</v>
      </c>
      <c r="K922" s="83">
        <v>118.47274138099404</v>
      </c>
      <c r="L922" s="83">
        <v>118.79129433997495</v>
      </c>
      <c r="M922" s="84">
        <v>9042136.6645429414</v>
      </c>
      <c r="N922" s="85" t="s">
        <v>1018</v>
      </c>
      <c r="O922" s="25">
        <f t="shared" si="29"/>
        <v>1.0320169023240622E-2</v>
      </c>
    </row>
    <row r="923" spans="1:15">
      <c r="A923" s="83">
        <v>396.99888489654569</v>
      </c>
      <c r="B923" s="83">
        <v>398.50842291855486</v>
      </c>
      <c r="C923" s="83">
        <v>396.87389130236659</v>
      </c>
      <c r="D923" s="83">
        <v>398.24882083833671</v>
      </c>
      <c r="E923" s="84">
        <v>4603990.4187043309</v>
      </c>
      <c r="F923" s="85" t="s">
        <v>1019</v>
      </c>
      <c r="G923" s="25">
        <f t="shared" si="28"/>
        <v>-3.1385803959440572E-3</v>
      </c>
      <c r="I923" s="83">
        <v>119.67938137713388</v>
      </c>
      <c r="J923" s="83">
        <v>119.96897497620743</v>
      </c>
      <c r="K923" s="83">
        <v>116.97650778578064</v>
      </c>
      <c r="L923" s="83">
        <v>118.19280090188958</v>
      </c>
      <c r="M923" s="84">
        <v>11488138.586774891</v>
      </c>
      <c r="N923" s="85" t="s">
        <v>1019</v>
      </c>
      <c r="O923" s="25">
        <f t="shared" si="29"/>
        <v>1.2577589023195168E-2</v>
      </c>
    </row>
    <row r="924" spans="1:15">
      <c r="A924" s="83">
        <v>398.73918032319318</v>
      </c>
      <c r="B924" s="83">
        <v>400.82561185679816</v>
      </c>
      <c r="C924" s="83">
        <v>397.29694654420354</v>
      </c>
      <c r="D924" s="83">
        <v>400.42178639868109</v>
      </c>
      <c r="E924" s="84">
        <v>3731681.0758449822</v>
      </c>
      <c r="F924" s="85" t="s">
        <v>1020</v>
      </c>
      <c r="G924" s="25">
        <f t="shared" si="28"/>
        <v>-4.2020842337799902E-3</v>
      </c>
      <c r="I924" s="83">
        <v>116.73517978655268</v>
      </c>
      <c r="J924" s="83">
        <v>117.46881690420568</v>
      </c>
      <c r="K924" s="83">
        <v>115.92431770914669</v>
      </c>
      <c r="L924" s="83">
        <v>116.81240474630562</v>
      </c>
      <c r="M924" s="84">
        <v>6412481.1665063351</v>
      </c>
      <c r="N924" s="85" t="s">
        <v>1020</v>
      </c>
      <c r="O924" s="25">
        <f t="shared" si="29"/>
        <v>-6.6110238823224865E-4</v>
      </c>
    </row>
    <row r="925" spans="1:15">
      <c r="A925" s="83">
        <v>397.89306983951928</v>
      </c>
      <c r="B925" s="83">
        <v>400.09488007544343</v>
      </c>
      <c r="C925" s="83">
        <v>397.72961667790048</v>
      </c>
      <c r="D925" s="83">
        <v>399.00070538178335</v>
      </c>
      <c r="E925" s="84">
        <v>4941429.4712974122</v>
      </c>
      <c r="F925" s="85" t="s">
        <v>1021</v>
      </c>
      <c r="G925" s="25">
        <f t="shared" si="28"/>
        <v>-2.7760240203190678E-3</v>
      </c>
      <c r="I925" s="83">
        <v>116.21391130822025</v>
      </c>
      <c r="J925" s="83">
        <v>117.74875738331014</v>
      </c>
      <c r="K925" s="83">
        <v>115.95327706905405</v>
      </c>
      <c r="L925" s="83">
        <v>116.8027516263365</v>
      </c>
      <c r="M925" s="84">
        <v>9437162.3155447841</v>
      </c>
      <c r="N925" s="85" t="s">
        <v>1021</v>
      </c>
      <c r="O925" s="25">
        <f t="shared" si="29"/>
        <v>-5.0413223140497454E-3</v>
      </c>
    </row>
    <row r="926" spans="1:15">
      <c r="A926" s="83">
        <v>398.40265910809563</v>
      </c>
      <c r="B926" s="83">
        <v>399.04608767136216</v>
      </c>
      <c r="C926" s="83">
        <v>396.51814030354916</v>
      </c>
      <c r="D926" s="83">
        <v>397.12387849072479</v>
      </c>
      <c r="E926" s="84">
        <v>3124856.77818284</v>
      </c>
      <c r="F926" s="85" t="s">
        <v>1022</v>
      </c>
      <c r="G926" s="25">
        <f t="shared" si="28"/>
        <v>3.2201050771132333E-3</v>
      </c>
      <c r="I926" s="83">
        <v>116.91858906596592</v>
      </c>
      <c r="J926" s="83">
        <v>117.51351084966271</v>
      </c>
      <c r="K926" s="83">
        <v>115.98223642896141</v>
      </c>
      <c r="L926" s="83">
        <v>116.53246426720116</v>
      </c>
      <c r="M926" s="84">
        <v>5803075.0865219114</v>
      </c>
      <c r="N926" s="85" t="s">
        <v>1022</v>
      </c>
      <c r="O926" s="25">
        <f t="shared" si="29"/>
        <v>3.3134526176277213E-3</v>
      </c>
    </row>
    <row r="927" spans="1:15">
      <c r="A927" s="83">
        <v>396.74889770818749</v>
      </c>
      <c r="B927" s="83">
        <v>397.07580403142515</v>
      </c>
      <c r="C927" s="83">
        <v>390.91265834920944</v>
      </c>
      <c r="D927" s="83">
        <v>391.114571078268</v>
      </c>
      <c r="E927" s="84">
        <v>3622156.1830702061</v>
      </c>
      <c r="F927" s="85" t="s">
        <v>1023</v>
      </c>
      <c r="G927" s="25">
        <f t="shared" si="28"/>
        <v>1.4405821328482116E-2</v>
      </c>
      <c r="I927" s="83">
        <v>116.46489242741734</v>
      </c>
      <c r="J927" s="83">
        <v>117.0053706144883</v>
      </c>
      <c r="K927" s="83">
        <v>114.41843099396418</v>
      </c>
      <c r="L927" s="83">
        <v>116.75448602649091</v>
      </c>
      <c r="M927" s="84">
        <v>12348895.526145922</v>
      </c>
      <c r="N927" s="85" t="s">
        <v>1023</v>
      </c>
      <c r="O927" s="25">
        <f t="shared" si="29"/>
        <v>-2.4803637866888106E-3</v>
      </c>
    </row>
    <row r="928" spans="1:15">
      <c r="A928" s="83">
        <v>391.19149021314746</v>
      </c>
      <c r="B928" s="83">
        <v>391.74915394102345</v>
      </c>
      <c r="C928" s="83">
        <v>389.49926924579967</v>
      </c>
      <c r="D928" s="83">
        <v>390.71074562015093</v>
      </c>
      <c r="E928" s="84">
        <v>3366351.9539815928</v>
      </c>
      <c r="F928" s="85" t="s">
        <v>1024</v>
      </c>
      <c r="G928" s="25">
        <f t="shared" si="28"/>
        <v>1.2304360665420511E-3</v>
      </c>
      <c r="I928" s="83">
        <v>112.78705371918311</v>
      </c>
      <c r="J928" s="83">
        <v>113.62687515649642</v>
      </c>
      <c r="K928" s="83">
        <v>111.68659804270358</v>
      </c>
      <c r="L928" s="83">
        <v>112.33335708063453</v>
      </c>
      <c r="M928" s="84">
        <v>4676988.3876333656</v>
      </c>
      <c r="N928" s="85" t="s">
        <v>1024</v>
      </c>
      <c r="O928" s="25">
        <f t="shared" si="29"/>
        <v>4.0388416258485549E-3</v>
      </c>
    </row>
    <row r="929" spans="1:15">
      <c r="A929" s="83">
        <v>388.63392897840583</v>
      </c>
      <c r="B929" s="83">
        <v>390.17231167599482</v>
      </c>
      <c r="C929" s="83">
        <v>384.31684253329684</v>
      </c>
      <c r="D929" s="83">
        <v>387.55706109009355</v>
      </c>
      <c r="E929" s="84">
        <v>4594783.8669001553</v>
      </c>
      <c r="F929" s="85" t="s">
        <v>1025</v>
      </c>
      <c r="G929" s="25">
        <f t="shared" si="28"/>
        <v>2.7786047434752437E-3</v>
      </c>
      <c r="I929" s="83">
        <v>112.03411036159186</v>
      </c>
      <c r="J929" s="83">
        <v>112.11905781732008</v>
      </c>
      <c r="K929" s="83">
        <v>108.82927453184443</v>
      </c>
      <c r="L929" s="83">
        <v>108.99337757131944</v>
      </c>
      <c r="M929" s="84">
        <v>9072860.4099173695</v>
      </c>
      <c r="N929" s="85" t="s">
        <v>1025</v>
      </c>
      <c r="O929" s="25">
        <f t="shared" si="29"/>
        <v>2.789832610043419E-2</v>
      </c>
    </row>
    <row r="930" spans="1:15">
      <c r="A930" s="83">
        <v>386.07636774366426</v>
      </c>
      <c r="B930" s="83">
        <v>393.32503471686613</v>
      </c>
      <c r="C930" s="83">
        <v>385.94175925762516</v>
      </c>
      <c r="D930" s="83">
        <v>392.86448139677543</v>
      </c>
      <c r="E930" s="84">
        <v>3597326.9906593286</v>
      </c>
      <c r="F930" s="85" t="s">
        <v>1026</v>
      </c>
      <c r="G930" s="25">
        <f t="shared" si="28"/>
        <v>-1.7278511992168344E-2</v>
      </c>
      <c r="I930" s="83">
        <v>108.99337757131944</v>
      </c>
      <c r="J930" s="83">
        <v>115.57680539025843</v>
      </c>
      <c r="K930" s="83">
        <v>108.51072157286352</v>
      </c>
      <c r="L930" s="83">
        <v>115.52853979041284</v>
      </c>
      <c r="M930" s="84">
        <v>12426960.442194903</v>
      </c>
      <c r="N930" s="85" t="s">
        <v>1026</v>
      </c>
      <c r="O930" s="25">
        <f t="shared" si="29"/>
        <v>-5.6567513368984135E-2</v>
      </c>
    </row>
    <row r="931" spans="1:15">
      <c r="A931" s="83">
        <v>391.2780242398868</v>
      </c>
      <c r="B931" s="83">
        <v>391.97029645380189</v>
      </c>
      <c r="C931" s="83">
        <v>387.93204187263092</v>
      </c>
      <c r="D931" s="83">
        <v>388.01857589937026</v>
      </c>
      <c r="E931" s="84">
        <v>3380135.7803553771</v>
      </c>
      <c r="F931" s="85" t="s">
        <v>1027</v>
      </c>
      <c r="G931" s="25">
        <f t="shared" si="28"/>
        <v>8.4002378828427204E-3</v>
      </c>
      <c r="I931" s="83">
        <v>113.75236571609499</v>
      </c>
      <c r="J931" s="83">
        <v>116.27183002803497</v>
      </c>
      <c r="K931" s="83">
        <v>108.22093491139059</v>
      </c>
      <c r="L931" s="83">
        <v>113.03803483838018</v>
      </c>
      <c r="M931" s="84">
        <v>17110825.363033321</v>
      </c>
      <c r="N931" s="85" t="s">
        <v>1027</v>
      </c>
      <c r="O931" s="25">
        <f t="shared" si="29"/>
        <v>6.3193851409053536E-3</v>
      </c>
    </row>
    <row r="932" spans="1:15">
      <c r="A932" s="83">
        <v>387.10516117267684</v>
      </c>
      <c r="B932" s="83">
        <v>389.78771600159752</v>
      </c>
      <c r="C932" s="83">
        <v>386.57634212038062</v>
      </c>
      <c r="D932" s="83">
        <v>389.73964154229793</v>
      </c>
      <c r="E932" s="84">
        <v>2754114.1788973161</v>
      </c>
      <c r="F932" s="85" t="s">
        <v>1028</v>
      </c>
      <c r="G932" s="25">
        <f t="shared" si="28"/>
        <v>-6.7595904773652959E-3</v>
      </c>
      <c r="I932" s="83">
        <v>112.49746012010955</v>
      </c>
      <c r="J932" s="83">
        <v>113.59791579658909</v>
      </c>
      <c r="K932" s="83">
        <v>111.71555740261094</v>
      </c>
      <c r="L932" s="83">
        <v>113.43381275711407</v>
      </c>
      <c r="M932" s="84">
        <v>5139335.2779939808</v>
      </c>
      <c r="N932" s="85" t="s">
        <v>1028</v>
      </c>
      <c r="O932" s="25">
        <f t="shared" si="29"/>
        <v>-8.2546166283721245E-3</v>
      </c>
    </row>
    <row r="933" spans="1:15">
      <c r="A933" s="83">
        <v>388.19164395284901</v>
      </c>
      <c r="B933" s="83">
        <v>388.81661192374452</v>
      </c>
      <c r="C933" s="83">
        <v>384.58605950537498</v>
      </c>
      <c r="D933" s="83">
        <v>386.65326125526008</v>
      </c>
      <c r="E933" s="84">
        <v>3424306.8439707565</v>
      </c>
      <c r="F933" s="85" t="s">
        <v>1029</v>
      </c>
      <c r="G933" s="25">
        <f t="shared" si="28"/>
        <v>3.9787138807381162E-3</v>
      </c>
      <c r="I933" s="83">
        <v>112.54572571995514</v>
      </c>
      <c r="J933" s="83">
        <v>113.27936283760816</v>
      </c>
      <c r="K933" s="83">
        <v>111.19428892427852</v>
      </c>
      <c r="L933" s="83">
        <v>112.84497243899783</v>
      </c>
      <c r="M933" s="84">
        <v>6019981.1238133088</v>
      </c>
      <c r="N933" s="85" t="s">
        <v>1029</v>
      </c>
      <c r="O933" s="25">
        <f t="shared" si="29"/>
        <v>-2.6518391787853091E-3</v>
      </c>
    </row>
    <row r="934" spans="1:15">
      <c r="A934" s="83">
        <v>385.64369760996732</v>
      </c>
      <c r="B934" s="83">
        <v>386.53788255294091</v>
      </c>
      <c r="C934" s="83">
        <v>382.52847264734976</v>
      </c>
      <c r="D934" s="83">
        <v>382.83614918686754</v>
      </c>
      <c r="E934" s="84">
        <v>4324195.2801639643</v>
      </c>
      <c r="F934" s="85" t="s">
        <v>1030</v>
      </c>
      <c r="G934" s="25">
        <f t="shared" si="28"/>
        <v>7.3335509958056821E-3</v>
      </c>
      <c r="I934" s="83">
        <v>112.4202351603566</v>
      </c>
      <c r="J934" s="83">
        <v>112.93185051871988</v>
      </c>
      <c r="K934" s="83">
        <v>109.9973020481078</v>
      </c>
      <c r="L934" s="83">
        <v>110.52822364640933</v>
      </c>
      <c r="M934" s="84">
        <v>9751018.3548038285</v>
      </c>
      <c r="N934" s="85" t="s">
        <v>1030</v>
      </c>
      <c r="O934" s="25">
        <f t="shared" si="29"/>
        <v>1.7117903930131018E-2</v>
      </c>
    </row>
    <row r="935" spans="1:15">
      <c r="A935" s="83">
        <v>385.28794661114995</v>
      </c>
      <c r="B935" s="83">
        <v>389.96078405507626</v>
      </c>
      <c r="C935" s="83">
        <v>384.95142539605234</v>
      </c>
      <c r="D935" s="83">
        <v>389.720411758578</v>
      </c>
      <c r="E935" s="84">
        <v>7386982.7175061591</v>
      </c>
      <c r="F935" s="85" t="s">
        <v>1031</v>
      </c>
      <c r="G935" s="25">
        <f t="shared" si="28"/>
        <v>-1.1373448794808949E-2</v>
      </c>
      <c r="I935" s="83">
        <v>110.89504220523584</v>
      </c>
      <c r="J935" s="83">
        <v>112.7291349993684</v>
      </c>
      <c r="K935" s="83">
        <v>110.39307996684167</v>
      </c>
      <c r="L935" s="83">
        <v>111.72521052258004</v>
      </c>
      <c r="M935" s="84">
        <v>6406112.2412058441</v>
      </c>
      <c r="N935" s="85" t="s">
        <v>1031</v>
      </c>
      <c r="O935" s="25">
        <f t="shared" si="29"/>
        <v>-7.4304475548643278E-3</v>
      </c>
    </row>
    <row r="936" spans="1:15">
      <c r="A936" s="83">
        <v>388.43201624934733</v>
      </c>
      <c r="B936" s="83">
        <v>392.39335169563884</v>
      </c>
      <c r="C936" s="83">
        <v>388.31663754702811</v>
      </c>
      <c r="D936" s="83">
        <v>390.93188813292932</v>
      </c>
      <c r="E936" s="84">
        <v>3487977.8668921106</v>
      </c>
      <c r="F936" s="85" t="s">
        <v>1032</v>
      </c>
      <c r="G936" s="25">
        <f t="shared" si="28"/>
        <v>-6.3946481713764713E-3</v>
      </c>
      <c r="I936" s="83">
        <v>111.3390857238153</v>
      </c>
      <c r="J936" s="83">
        <v>113.72340635618762</v>
      </c>
      <c r="K936" s="83">
        <v>111.27151388403146</v>
      </c>
      <c r="L936" s="83">
        <v>113.09595355819491</v>
      </c>
      <c r="M936" s="84">
        <v>5927566.4430827387</v>
      </c>
      <c r="N936" s="85" t="s">
        <v>1032</v>
      </c>
      <c r="O936" s="25">
        <f t="shared" si="29"/>
        <v>-1.5534312051894816E-2</v>
      </c>
    </row>
    <row r="937" spans="1:15">
      <c r="A937" s="83">
        <v>391.3260986991865</v>
      </c>
      <c r="B937" s="83">
        <v>395.85711648817886</v>
      </c>
      <c r="C937" s="83">
        <v>390.75882007945057</v>
      </c>
      <c r="D937" s="83">
        <v>394.29710028390508</v>
      </c>
      <c r="E937" s="84">
        <v>4873813.5262123393</v>
      </c>
      <c r="F937" s="85" t="s">
        <v>1033</v>
      </c>
      <c r="G937" s="25">
        <f t="shared" si="28"/>
        <v>-7.5349313565313825E-3</v>
      </c>
      <c r="I937" s="83">
        <v>113.22144411779345</v>
      </c>
      <c r="J937" s="83">
        <v>113.96376904341868</v>
      </c>
      <c r="K937" s="83">
        <v>110.85642972535936</v>
      </c>
      <c r="L937" s="83">
        <v>111.4452700434756</v>
      </c>
      <c r="M937" s="84">
        <v>10786315.754190899</v>
      </c>
      <c r="N937" s="85" t="s">
        <v>1033</v>
      </c>
      <c r="O937" s="25">
        <f t="shared" si="29"/>
        <v>1.5937635339974054E-2</v>
      </c>
    </row>
    <row r="938" spans="1:15">
      <c r="A938" s="83">
        <v>395.86432765707389</v>
      </c>
      <c r="B938" s="83">
        <v>395.88355744079371</v>
      </c>
      <c r="C938" s="83">
        <v>392.58564953283741</v>
      </c>
      <c r="D938" s="83">
        <v>392.82602182933573</v>
      </c>
      <c r="E938" s="84">
        <v>2883976.2738838922</v>
      </c>
      <c r="F938" s="85" t="s">
        <v>1034</v>
      </c>
      <c r="G938" s="25">
        <f t="shared" si="28"/>
        <v>7.7344820834148731E-3</v>
      </c>
      <c r="I938" s="83">
        <v>111.56110748310502</v>
      </c>
      <c r="J938" s="83">
        <v>111.78911417677561</v>
      </c>
      <c r="K938" s="83">
        <v>109.2250524505783</v>
      </c>
      <c r="L938" s="83">
        <v>109.25401181048566</v>
      </c>
      <c r="M938" s="84">
        <v>6727582.3990333034</v>
      </c>
      <c r="N938" s="85" t="s">
        <v>1034</v>
      </c>
      <c r="O938" s="25">
        <f t="shared" si="29"/>
        <v>2.11168050892383E-2</v>
      </c>
    </row>
    <row r="939" spans="1:15">
      <c r="G939" s="25"/>
      <c r="O939" s="25"/>
    </row>
    <row r="940" spans="1:15">
      <c r="G940" s="25"/>
      <c r="O940" s="25"/>
    </row>
    <row r="941" spans="1:15">
      <c r="G941" s="25"/>
      <c r="O941" s="25"/>
    </row>
    <row r="942" spans="1:15">
      <c r="G942" s="25"/>
      <c r="O942" s="25"/>
    </row>
    <row r="943" spans="1:15">
      <c r="G943" s="25"/>
      <c r="O943" s="25"/>
    </row>
    <row r="944" spans="1:15">
      <c r="G944" s="25"/>
      <c r="O944" s="25"/>
    </row>
    <row r="945" spans="7:15">
      <c r="G945" s="25"/>
      <c r="O945" s="25"/>
    </row>
    <row r="946" spans="7:15">
      <c r="G946" s="25"/>
      <c r="O946" s="25"/>
    </row>
    <row r="947" spans="7:15">
      <c r="G947" s="25"/>
      <c r="O947" s="25"/>
    </row>
    <row r="948" spans="7:15">
      <c r="G948" s="25"/>
      <c r="O948" s="25"/>
    </row>
    <row r="949" spans="7:15">
      <c r="G949" s="25"/>
      <c r="O949" s="25"/>
    </row>
    <row r="950" spans="7:15">
      <c r="G950" s="25"/>
      <c r="O950" s="25"/>
    </row>
    <row r="951" spans="7:15">
      <c r="G951" s="25"/>
      <c r="O951" s="25"/>
    </row>
    <row r="952" spans="7:15">
      <c r="G952" s="25"/>
      <c r="O952" s="25"/>
    </row>
    <row r="953" spans="7:15">
      <c r="G953" s="25"/>
      <c r="O953" s="25"/>
    </row>
    <row r="954" spans="7:15">
      <c r="G954" s="25"/>
      <c r="O954" s="25"/>
    </row>
    <row r="955" spans="7:15">
      <c r="G955" s="25"/>
      <c r="O955" s="25"/>
    </row>
    <row r="956" spans="7:15">
      <c r="G956" s="25"/>
      <c r="O956" s="25"/>
    </row>
    <row r="957" spans="7:15">
      <c r="G957" s="25"/>
      <c r="O957" s="25"/>
    </row>
    <row r="958" spans="7:15">
      <c r="G958" s="25"/>
      <c r="O958" s="25"/>
    </row>
    <row r="959" spans="7:15">
      <c r="G959" s="25"/>
      <c r="O959" s="25"/>
    </row>
    <row r="960" spans="7:15">
      <c r="G960" s="25"/>
      <c r="O960" s="25"/>
    </row>
    <row r="961" spans="7:15">
      <c r="G961" s="25"/>
      <c r="O961" s="25"/>
    </row>
    <row r="962" spans="7:15">
      <c r="G962" s="25"/>
      <c r="O962" s="25"/>
    </row>
    <row r="963" spans="7:15">
      <c r="G963" s="25"/>
      <c r="O963" s="25"/>
    </row>
    <row r="964" spans="7:15">
      <c r="G964" s="25"/>
      <c r="O964" s="25"/>
    </row>
    <row r="965" spans="7:15">
      <c r="G965" s="25"/>
      <c r="O965" s="25"/>
    </row>
    <row r="966" spans="7:15">
      <c r="G966" s="25"/>
      <c r="O966" s="25"/>
    </row>
    <row r="967" spans="7:15">
      <c r="G967" s="25"/>
      <c r="O967" s="25"/>
    </row>
    <row r="968" spans="7:15">
      <c r="G968" s="25"/>
      <c r="O968" s="25"/>
    </row>
    <row r="969" spans="7:15">
      <c r="G969" s="25"/>
      <c r="O969" s="25"/>
    </row>
    <row r="970" spans="7:15">
      <c r="G970" s="25"/>
      <c r="O970" s="25"/>
    </row>
    <row r="971" spans="7:15">
      <c r="G971" s="25"/>
      <c r="O971" s="25"/>
    </row>
    <row r="972" spans="7:15">
      <c r="G972" s="25"/>
      <c r="O972" s="25"/>
    </row>
    <row r="973" spans="7:15">
      <c r="G973" s="25"/>
      <c r="O973" s="25"/>
    </row>
    <row r="974" spans="7:15">
      <c r="G974" s="25"/>
      <c r="O974" s="25"/>
    </row>
    <row r="975" spans="7:15">
      <c r="G975" s="25"/>
      <c r="O975" s="25"/>
    </row>
    <row r="976" spans="7:15">
      <c r="G976" s="25"/>
      <c r="O976" s="25"/>
    </row>
    <row r="977" spans="7:15">
      <c r="G977" s="25"/>
      <c r="O977" s="25"/>
    </row>
    <row r="978" spans="7:15">
      <c r="G978" s="25"/>
      <c r="O978" s="25"/>
    </row>
    <row r="979" spans="7:15">
      <c r="G979" s="25"/>
      <c r="O979" s="25"/>
    </row>
    <row r="980" spans="7:15">
      <c r="G980" s="25"/>
      <c r="O980" s="25"/>
    </row>
    <row r="981" spans="7:15">
      <c r="G981" s="25"/>
      <c r="O981" s="25"/>
    </row>
    <row r="982" spans="7:15">
      <c r="G982" s="25"/>
      <c r="O982" s="25"/>
    </row>
    <row r="983" spans="7:15">
      <c r="G983" s="25"/>
      <c r="O983" s="25"/>
    </row>
    <row r="984" spans="7:15">
      <c r="G984" s="25"/>
      <c r="O984" s="25"/>
    </row>
    <row r="985" spans="7:15">
      <c r="G985" s="25"/>
      <c r="O985" s="25"/>
    </row>
    <row r="986" spans="7:15">
      <c r="G986" s="25"/>
      <c r="O986" s="25"/>
    </row>
    <row r="987" spans="7:15">
      <c r="G987" s="25"/>
      <c r="O987" s="25"/>
    </row>
    <row r="988" spans="7:15">
      <c r="G988" s="25"/>
      <c r="O988" s="25"/>
    </row>
    <row r="989" spans="7:15">
      <c r="G989" s="25"/>
      <c r="O989" s="25"/>
    </row>
    <row r="990" spans="7:15">
      <c r="G990" s="25"/>
      <c r="O990" s="25"/>
    </row>
    <row r="991" spans="7:15">
      <c r="G991" s="25"/>
      <c r="O991" s="25"/>
    </row>
    <row r="992" spans="7:15">
      <c r="G992" s="25"/>
      <c r="O992" s="25"/>
    </row>
    <row r="993" spans="7:15">
      <c r="G993" s="25"/>
      <c r="O993" s="25"/>
    </row>
    <row r="994" spans="7:15">
      <c r="G994" s="25"/>
      <c r="O994" s="25"/>
    </row>
    <row r="995" spans="7:15">
      <c r="G995" s="25"/>
      <c r="O995" s="25"/>
    </row>
    <row r="996" spans="7:15">
      <c r="G996" s="25"/>
      <c r="O996" s="25"/>
    </row>
    <row r="997" spans="7:15">
      <c r="G997" s="25"/>
      <c r="O997" s="25"/>
    </row>
    <row r="998" spans="7:15">
      <c r="G998" s="25"/>
      <c r="O998" s="25"/>
    </row>
    <row r="999" spans="7:15">
      <c r="G999" s="25"/>
      <c r="O999" s="25"/>
    </row>
    <row r="1000" spans="7:15">
      <c r="G1000" s="25"/>
      <c r="O1000" s="25"/>
    </row>
    <row r="1001" spans="7:15">
      <c r="G1001" s="25"/>
      <c r="O1001" s="25"/>
    </row>
    <row r="1002" spans="7:15">
      <c r="G1002" s="25"/>
      <c r="O1002" s="25"/>
    </row>
    <row r="1003" spans="7:15">
      <c r="G1003" s="25"/>
      <c r="O1003" s="25"/>
    </row>
    <row r="1004" spans="7:15">
      <c r="G1004" s="25"/>
      <c r="O1004" s="25"/>
    </row>
    <row r="1005" spans="7:15">
      <c r="G1005" s="25"/>
      <c r="O1005" s="25"/>
    </row>
    <row r="1006" spans="7:15">
      <c r="G1006" s="25"/>
      <c r="O1006" s="25"/>
    </row>
    <row r="1007" spans="7:15">
      <c r="G1007" s="25"/>
      <c r="O1007" s="25"/>
    </row>
    <row r="1008" spans="7:15">
      <c r="G1008" s="25"/>
      <c r="O1008" s="25"/>
    </row>
    <row r="1009" spans="7:15">
      <c r="G1009" s="25"/>
      <c r="O1009" s="25"/>
    </row>
    <row r="1010" spans="7:15">
      <c r="G1010" s="25"/>
      <c r="O1010" s="25"/>
    </row>
    <row r="1011" spans="7:15">
      <c r="G1011" s="25"/>
      <c r="O1011" s="25"/>
    </row>
    <row r="1012" spans="7:15">
      <c r="G1012" s="25"/>
      <c r="O1012" s="25"/>
    </row>
    <row r="1013" spans="7:15">
      <c r="G1013" s="25"/>
      <c r="O1013" s="25"/>
    </row>
    <row r="1014" spans="7:15">
      <c r="G1014" s="25"/>
      <c r="O1014" s="25"/>
    </row>
    <row r="1015" spans="7:15">
      <c r="G1015" s="25"/>
      <c r="O1015" s="25"/>
    </row>
    <row r="1016" spans="7:15">
      <c r="G1016" s="25"/>
      <c r="O1016" s="25"/>
    </row>
    <row r="1017" spans="7:15">
      <c r="G1017" s="25"/>
      <c r="O1017" s="25"/>
    </row>
    <row r="1018" spans="7:15">
      <c r="G1018" s="25"/>
      <c r="O1018" s="25"/>
    </row>
    <row r="1019" spans="7:15">
      <c r="G1019" s="25"/>
      <c r="O1019" s="25"/>
    </row>
    <row r="1020" spans="7:15">
      <c r="G1020" s="25"/>
      <c r="O1020" s="25"/>
    </row>
    <row r="1021" spans="7:15">
      <c r="G1021" s="25"/>
      <c r="O1021" s="25"/>
    </row>
    <row r="1022" spans="7:15">
      <c r="G1022" s="25"/>
      <c r="O1022" s="25"/>
    </row>
    <row r="1023" spans="7:15">
      <c r="G1023" s="25"/>
      <c r="O1023" s="25"/>
    </row>
    <row r="1024" spans="7:15">
      <c r="G1024" s="25"/>
      <c r="O1024" s="25"/>
    </row>
    <row r="1025" spans="7:15">
      <c r="G1025" s="25"/>
      <c r="O1025" s="25"/>
    </row>
    <row r="1026" spans="7:15">
      <c r="G1026" s="25"/>
      <c r="O1026" s="25"/>
    </row>
    <row r="1027" spans="7:15">
      <c r="G1027" s="25"/>
      <c r="O1027" s="25"/>
    </row>
    <row r="1028" spans="7:15">
      <c r="G1028" s="25"/>
      <c r="O1028" s="25"/>
    </row>
    <row r="1029" spans="7:15">
      <c r="G1029" s="25"/>
      <c r="O1029" s="25"/>
    </row>
    <row r="1030" spans="7:15">
      <c r="G1030" s="25"/>
      <c r="O1030" s="25"/>
    </row>
    <row r="1031" spans="7:15">
      <c r="G1031" s="25"/>
      <c r="O1031" s="25"/>
    </row>
    <row r="1032" spans="7:15">
      <c r="G1032" s="25"/>
      <c r="O1032" s="25"/>
    </row>
    <row r="1033" spans="7:15">
      <c r="G1033" s="25"/>
      <c r="O1033" s="25"/>
    </row>
    <row r="1034" spans="7:15">
      <c r="G1034" s="25"/>
      <c r="O1034" s="25"/>
    </row>
    <row r="1035" spans="7:15">
      <c r="G1035" s="25"/>
      <c r="O1035" s="25"/>
    </row>
    <row r="1036" spans="7:15">
      <c r="G1036" s="25"/>
      <c r="O1036" s="25"/>
    </row>
    <row r="1037" spans="7:15">
      <c r="G1037" s="25"/>
      <c r="O1037" s="25"/>
    </row>
    <row r="1038" spans="7:15">
      <c r="G1038" s="25"/>
      <c r="O1038" s="25"/>
    </row>
    <row r="1039" spans="7:15">
      <c r="G1039" s="25"/>
      <c r="O1039" s="25"/>
    </row>
    <row r="1040" spans="7:15">
      <c r="G1040" s="25"/>
      <c r="O1040" s="25"/>
    </row>
    <row r="1041" spans="7:15">
      <c r="G1041" s="25"/>
      <c r="O1041" s="25"/>
    </row>
    <row r="1042" spans="7:15">
      <c r="G1042" s="25"/>
      <c r="O1042" s="25"/>
    </row>
    <row r="1043" spans="7:15">
      <c r="G1043" s="25"/>
      <c r="O1043" s="25"/>
    </row>
    <row r="1044" spans="7:15">
      <c r="G1044" s="25"/>
      <c r="O1044" s="25"/>
    </row>
    <row r="1045" spans="7:15">
      <c r="G1045" s="25"/>
      <c r="O1045" s="25"/>
    </row>
    <row r="1046" spans="7:15">
      <c r="G1046" s="25"/>
      <c r="O1046" s="25"/>
    </row>
    <row r="1047" spans="7:15">
      <c r="G1047" s="25"/>
      <c r="O1047" s="25"/>
    </row>
    <row r="1048" spans="7:15">
      <c r="G1048" s="25"/>
      <c r="O1048" s="25"/>
    </row>
    <row r="1049" spans="7:15">
      <c r="G1049" s="25"/>
      <c r="O1049" s="25"/>
    </row>
    <row r="1050" spans="7:15">
      <c r="G1050" s="25"/>
      <c r="O1050" s="25"/>
    </row>
    <row r="1051" spans="7:15">
      <c r="G1051" s="25"/>
      <c r="O1051" s="25"/>
    </row>
    <row r="1052" spans="7:15">
      <c r="G1052" s="25"/>
      <c r="O1052" s="25"/>
    </row>
    <row r="1053" spans="7:15">
      <c r="G1053" s="25"/>
      <c r="O1053" s="25"/>
    </row>
    <row r="1054" spans="7:15">
      <c r="G1054" s="25"/>
      <c r="O1054" s="25"/>
    </row>
    <row r="1055" spans="7:15">
      <c r="G1055" s="25"/>
      <c r="O1055" s="25"/>
    </row>
    <row r="1056" spans="7:15">
      <c r="G1056" s="25"/>
      <c r="O1056" s="25"/>
    </row>
    <row r="1057" spans="7:15">
      <c r="G1057" s="25"/>
      <c r="O1057" s="25"/>
    </row>
    <row r="1058" spans="7:15">
      <c r="G1058" s="25"/>
      <c r="O1058" s="25"/>
    </row>
    <row r="1059" spans="7:15">
      <c r="G1059" s="25"/>
      <c r="O1059" s="25"/>
    </row>
    <row r="1060" spans="7:15">
      <c r="G1060" s="25"/>
      <c r="O1060" s="25"/>
    </row>
    <row r="1061" spans="7:15">
      <c r="G1061" s="25"/>
      <c r="O1061" s="25"/>
    </row>
    <row r="1062" spans="7:15">
      <c r="G1062" s="25"/>
      <c r="O1062" s="25"/>
    </row>
    <row r="1063" spans="7:15">
      <c r="G1063" s="25"/>
      <c r="O1063" s="25"/>
    </row>
    <row r="1064" spans="7:15">
      <c r="G1064" s="25"/>
      <c r="O1064" s="25"/>
    </row>
    <row r="1065" spans="7:15">
      <c r="G1065" s="25"/>
      <c r="O1065" s="25"/>
    </row>
    <row r="1066" spans="7:15">
      <c r="G1066" s="25"/>
      <c r="O1066" s="25"/>
    </row>
    <row r="1067" spans="7:15">
      <c r="G1067" s="25"/>
      <c r="O1067" s="25"/>
    </row>
    <row r="1068" spans="7:15">
      <c r="G1068" s="25"/>
      <c r="O1068" s="25"/>
    </row>
    <row r="1069" spans="7:15">
      <c r="G1069" s="25"/>
      <c r="O1069" s="25"/>
    </row>
    <row r="1070" spans="7:15">
      <c r="G1070" s="25"/>
      <c r="O1070" s="25"/>
    </row>
    <row r="1071" spans="7:15">
      <c r="G1071" s="25"/>
      <c r="O1071" s="25"/>
    </row>
    <row r="1072" spans="7:15">
      <c r="G1072" s="25"/>
      <c r="O1072" s="25"/>
    </row>
    <row r="1073" spans="7:15">
      <c r="G1073" s="25"/>
      <c r="O1073" s="25"/>
    </row>
    <row r="1074" spans="7:15">
      <c r="G1074" s="25"/>
      <c r="O1074" s="25"/>
    </row>
    <row r="1075" spans="7:15">
      <c r="G1075" s="25"/>
      <c r="O1075" s="25"/>
    </row>
    <row r="1076" spans="7:15">
      <c r="G1076" s="25"/>
      <c r="O1076" s="25"/>
    </row>
    <row r="1077" spans="7:15">
      <c r="G1077" s="25"/>
      <c r="O1077" s="25"/>
    </row>
    <row r="1078" spans="7:15">
      <c r="G1078" s="25"/>
      <c r="O1078" s="25"/>
    </row>
    <row r="1079" spans="7:15">
      <c r="G1079" s="25"/>
      <c r="O1079" s="25"/>
    </row>
    <row r="1080" spans="7:15">
      <c r="G1080" s="25"/>
      <c r="O1080" s="25"/>
    </row>
    <row r="1081" spans="7:15">
      <c r="G1081" s="25"/>
      <c r="O1081" s="25"/>
    </row>
    <row r="1082" spans="7:15">
      <c r="G1082" s="25"/>
      <c r="O1082" s="25"/>
    </row>
    <row r="1083" spans="7:15">
      <c r="G1083" s="25"/>
      <c r="O1083" s="25"/>
    </row>
    <row r="1084" spans="7:15">
      <c r="G1084" s="25"/>
      <c r="O1084" s="25"/>
    </row>
    <row r="1085" spans="7:15">
      <c r="G1085" s="25"/>
      <c r="O1085" s="25"/>
    </row>
    <row r="1086" spans="7:15">
      <c r="G1086" s="25"/>
      <c r="O1086" s="25"/>
    </row>
    <row r="1087" spans="7:15">
      <c r="G1087" s="25"/>
      <c r="O1087" s="25"/>
    </row>
    <row r="1088" spans="7:15">
      <c r="G1088" s="25"/>
      <c r="O1088" s="25"/>
    </row>
    <row r="1089" spans="7:15">
      <c r="G1089" s="25"/>
      <c r="O1089" s="25"/>
    </row>
    <row r="1090" spans="7:15">
      <c r="G1090" s="25"/>
      <c r="O1090" s="25"/>
    </row>
    <row r="1091" spans="7:15">
      <c r="G1091" s="25"/>
      <c r="O1091" s="25"/>
    </row>
    <row r="1092" spans="7:15">
      <c r="G1092" s="25"/>
      <c r="O1092" s="25"/>
    </row>
    <row r="1093" spans="7:15">
      <c r="G1093" s="25"/>
      <c r="O1093" s="25"/>
    </row>
    <row r="1094" spans="7:15">
      <c r="G1094" s="25"/>
      <c r="O1094" s="25"/>
    </row>
    <row r="1095" spans="7:15">
      <c r="G1095" s="25"/>
      <c r="O1095" s="25"/>
    </row>
    <row r="1096" spans="7:15">
      <c r="G1096" s="25"/>
      <c r="O1096" s="25"/>
    </row>
    <row r="1097" spans="7:15">
      <c r="G1097" s="25"/>
      <c r="O1097" s="25"/>
    </row>
    <row r="1098" spans="7:15">
      <c r="G1098" s="25"/>
      <c r="O1098" s="25"/>
    </row>
    <row r="1099" spans="7:15">
      <c r="G1099" s="25"/>
      <c r="O1099" s="25"/>
    </row>
    <row r="1100" spans="7:15">
      <c r="G1100" s="25"/>
      <c r="O1100" s="25"/>
    </row>
    <row r="1101" spans="7:15">
      <c r="G1101" s="25"/>
      <c r="O1101" s="25"/>
    </row>
    <row r="1102" spans="7:15">
      <c r="G1102" s="25"/>
      <c r="O1102" s="25"/>
    </row>
    <row r="1103" spans="7:15">
      <c r="G1103" s="25"/>
      <c r="O1103" s="25"/>
    </row>
    <row r="1104" spans="7:15">
      <c r="G1104" s="25"/>
      <c r="O1104" s="25"/>
    </row>
    <row r="1105" spans="7:15">
      <c r="G1105" s="25"/>
      <c r="O1105" s="25"/>
    </row>
    <row r="1106" spans="7:15">
      <c r="G1106" s="25"/>
      <c r="O1106" s="25"/>
    </row>
    <row r="1107" spans="7:15">
      <c r="G1107" s="25"/>
      <c r="O1107" s="25"/>
    </row>
    <row r="1108" spans="7:15">
      <c r="G1108" s="25"/>
      <c r="O1108" s="25"/>
    </row>
    <row r="1109" spans="7:15">
      <c r="G1109" s="25"/>
      <c r="O1109" s="25"/>
    </row>
    <row r="1110" spans="7:15">
      <c r="G1110" s="25"/>
      <c r="O1110" s="25"/>
    </row>
    <row r="1111" spans="7:15">
      <c r="G1111" s="25"/>
      <c r="O1111" s="25"/>
    </row>
    <row r="1112" spans="7:15">
      <c r="G1112" s="25"/>
      <c r="O1112" s="25"/>
    </row>
    <row r="1113" spans="7:15">
      <c r="G1113" s="25"/>
      <c r="O1113" s="25"/>
    </row>
    <row r="1114" spans="7:15">
      <c r="G1114" s="25"/>
      <c r="O1114" s="25"/>
    </row>
    <row r="1115" spans="7:15">
      <c r="G1115" s="25"/>
      <c r="O1115" s="25"/>
    </row>
    <row r="1116" spans="7:15">
      <c r="G1116" s="25"/>
      <c r="O1116" s="25"/>
    </row>
    <row r="1117" spans="7:15">
      <c r="G1117" s="25"/>
      <c r="O1117" s="25"/>
    </row>
    <row r="1118" spans="7:15">
      <c r="G1118" s="25"/>
      <c r="O1118" s="25"/>
    </row>
    <row r="1119" spans="7:15">
      <c r="G1119" s="25"/>
      <c r="O1119" s="25"/>
    </row>
    <row r="1120" spans="7:15">
      <c r="G1120" s="25"/>
      <c r="O1120" s="25"/>
    </row>
    <row r="1121" spans="7:15">
      <c r="G1121" s="25"/>
      <c r="O1121" s="25"/>
    </row>
    <row r="1122" spans="7:15">
      <c r="G1122" s="25"/>
      <c r="O1122" s="25"/>
    </row>
    <row r="1123" spans="7:15">
      <c r="G1123" s="25"/>
      <c r="O1123" s="25"/>
    </row>
    <row r="1124" spans="7:15">
      <c r="G1124" s="25"/>
      <c r="O1124" s="25"/>
    </row>
    <row r="1125" spans="7:15">
      <c r="G1125" s="25"/>
      <c r="O1125" s="25"/>
    </row>
    <row r="1126" spans="7:15">
      <c r="G1126" s="25"/>
      <c r="O1126" s="25"/>
    </row>
    <row r="1127" spans="7:15">
      <c r="G1127" s="25"/>
      <c r="O1127" s="25"/>
    </row>
    <row r="1128" spans="7:15">
      <c r="G1128" s="25"/>
      <c r="O1128" s="25"/>
    </row>
    <row r="1129" spans="7:15">
      <c r="G1129" s="25"/>
      <c r="O1129" s="25"/>
    </row>
    <row r="1130" spans="7:15">
      <c r="G1130" s="25"/>
      <c r="O1130" s="25"/>
    </row>
    <row r="1131" spans="7:15">
      <c r="G1131" s="25"/>
      <c r="O1131" s="25"/>
    </row>
    <row r="1132" spans="7:15">
      <c r="G1132" s="25"/>
      <c r="O1132" s="25"/>
    </row>
    <row r="1133" spans="7:15">
      <c r="G1133" s="25"/>
      <c r="O1133" s="25"/>
    </row>
    <row r="1134" spans="7:15">
      <c r="G1134" s="25"/>
      <c r="O1134" s="25"/>
    </row>
    <row r="1135" spans="7:15">
      <c r="G1135" s="25"/>
      <c r="O1135" s="25"/>
    </row>
    <row r="1136" spans="7:15">
      <c r="G1136" s="25"/>
      <c r="O1136" s="25"/>
    </row>
    <row r="1137" spans="7:15">
      <c r="G1137" s="25"/>
      <c r="O1137" s="25"/>
    </row>
    <row r="1138" spans="7:15">
      <c r="G1138" s="25"/>
      <c r="O1138" s="25"/>
    </row>
    <row r="1139" spans="7:15">
      <c r="G1139" s="25"/>
      <c r="O1139" s="25"/>
    </row>
    <row r="1140" spans="7:15">
      <c r="G1140" s="25"/>
      <c r="O1140" s="25"/>
    </row>
    <row r="1141" spans="7:15">
      <c r="G1141" s="25"/>
      <c r="O1141" s="25"/>
    </row>
    <row r="1142" spans="7:15">
      <c r="G1142" s="25"/>
      <c r="O1142" s="25"/>
    </row>
    <row r="1143" spans="7:15">
      <c r="G1143" s="25"/>
      <c r="O1143" s="25"/>
    </row>
    <row r="1144" spans="7:15">
      <c r="G1144" s="25"/>
      <c r="O1144" s="25"/>
    </row>
    <row r="1145" spans="7:15">
      <c r="G1145" s="25"/>
      <c r="O1145" s="25"/>
    </row>
    <row r="1146" spans="7:15">
      <c r="G1146" s="25"/>
      <c r="O1146" s="25"/>
    </row>
    <row r="1147" spans="7:15">
      <c r="G1147" s="25"/>
      <c r="O1147" s="25"/>
    </row>
    <row r="1148" spans="7:15">
      <c r="G1148" s="25"/>
      <c r="O1148" s="25"/>
    </row>
    <row r="1149" spans="7:15">
      <c r="G1149" s="25"/>
      <c r="O1149" s="25"/>
    </row>
    <row r="1150" spans="7:15">
      <c r="G1150" s="25"/>
      <c r="O1150" s="25"/>
    </row>
    <row r="1151" spans="7:15">
      <c r="G1151" s="25"/>
      <c r="O1151" s="25"/>
    </row>
    <row r="1152" spans="7:15">
      <c r="G1152" s="25"/>
      <c r="O1152" s="25"/>
    </row>
    <row r="1153" spans="7:15">
      <c r="G1153" s="25"/>
      <c r="O1153" s="25"/>
    </row>
    <row r="1154" spans="7:15">
      <c r="G1154" s="25"/>
      <c r="O1154" s="25"/>
    </row>
    <row r="1155" spans="7:15">
      <c r="G1155" s="25"/>
      <c r="O1155" s="25"/>
    </row>
    <row r="1156" spans="7:15">
      <c r="G1156" s="25"/>
      <c r="O1156" s="25"/>
    </row>
    <row r="1157" spans="7:15">
      <c r="G1157" s="25"/>
      <c r="O1157" s="25"/>
    </row>
    <row r="1158" spans="7:15">
      <c r="G1158" s="25"/>
      <c r="O1158" s="25"/>
    </row>
    <row r="1159" spans="7:15">
      <c r="G1159" s="25"/>
      <c r="O1159" s="25"/>
    </row>
    <row r="1160" spans="7:15">
      <c r="G1160" s="25"/>
      <c r="O1160" s="25"/>
    </row>
    <row r="1161" spans="7:15">
      <c r="G1161" s="25"/>
      <c r="O1161" s="25"/>
    </row>
    <row r="1162" spans="7:15">
      <c r="G1162" s="25"/>
      <c r="O1162" s="25"/>
    </row>
    <row r="1163" spans="7:15">
      <c r="G1163" s="25"/>
      <c r="O1163" s="25"/>
    </row>
    <row r="1164" spans="7:15">
      <c r="G1164" s="25"/>
      <c r="O1164" s="25"/>
    </row>
    <row r="1165" spans="7:15">
      <c r="G1165" s="25"/>
      <c r="O1165" s="25"/>
    </row>
    <row r="1166" spans="7:15">
      <c r="G1166" s="25"/>
      <c r="O1166" s="25"/>
    </row>
    <row r="1167" spans="7:15">
      <c r="G1167" s="25"/>
      <c r="O1167" s="25"/>
    </row>
    <row r="1168" spans="7:15">
      <c r="G1168" s="25"/>
      <c r="O1168" s="25"/>
    </row>
    <row r="1169" spans="7:15">
      <c r="G1169" s="25"/>
      <c r="O1169" s="25"/>
    </row>
    <row r="1170" spans="7:15">
      <c r="G1170" s="25"/>
      <c r="O1170" s="25"/>
    </row>
    <row r="1171" spans="7:15">
      <c r="G1171" s="25"/>
      <c r="O1171" s="25"/>
    </row>
    <row r="1172" spans="7:15">
      <c r="G1172" s="25"/>
      <c r="O1172" s="25"/>
    </row>
    <row r="1173" spans="7:15">
      <c r="G1173" s="25"/>
      <c r="O1173" s="25"/>
    </row>
    <row r="1174" spans="7:15">
      <c r="G1174" s="25"/>
      <c r="O1174" s="25"/>
    </row>
    <row r="1175" spans="7:15">
      <c r="G1175" s="25"/>
      <c r="O1175" s="25"/>
    </row>
    <row r="1176" spans="7:15">
      <c r="G1176" s="25"/>
      <c r="O1176" s="25"/>
    </row>
    <row r="1177" spans="7:15">
      <c r="G1177" s="25"/>
      <c r="O1177" s="25"/>
    </row>
    <row r="1178" spans="7:15">
      <c r="G1178" s="25"/>
      <c r="O1178" s="25"/>
    </row>
    <row r="1179" spans="7:15">
      <c r="G1179" s="25"/>
      <c r="O1179" s="25"/>
    </row>
    <row r="1180" spans="7:15">
      <c r="G1180" s="25"/>
      <c r="O1180" s="25"/>
    </row>
    <row r="1181" spans="7:15">
      <c r="G1181" s="25"/>
      <c r="O1181" s="25"/>
    </row>
    <row r="1182" spans="7:15">
      <c r="G1182" s="25"/>
      <c r="O1182" s="25"/>
    </row>
    <row r="1183" spans="7:15">
      <c r="G1183" s="25"/>
      <c r="O1183" s="25"/>
    </row>
    <row r="1184" spans="7:15">
      <c r="G1184" s="25"/>
      <c r="O1184" s="25"/>
    </row>
    <row r="1185" spans="7:15">
      <c r="G1185" s="25"/>
      <c r="O1185" s="25"/>
    </row>
    <row r="1186" spans="7:15">
      <c r="G1186" s="25"/>
      <c r="O1186" s="25"/>
    </row>
    <row r="1187" spans="7:15">
      <c r="G1187" s="25"/>
      <c r="O1187" s="25"/>
    </row>
    <row r="1188" spans="7:15">
      <c r="G1188" s="25"/>
      <c r="O1188" s="25"/>
    </row>
    <row r="1189" spans="7:15">
      <c r="G1189" s="25"/>
      <c r="O1189" s="25"/>
    </row>
    <row r="1190" spans="7:15">
      <c r="G1190" s="25"/>
      <c r="O1190" s="25"/>
    </row>
    <row r="1191" spans="7:15">
      <c r="G1191" s="25"/>
      <c r="O1191" s="25"/>
    </row>
    <row r="1192" spans="7:15">
      <c r="G1192" s="25"/>
      <c r="O1192" s="25"/>
    </row>
    <row r="1193" spans="7:15">
      <c r="G1193" s="25"/>
      <c r="O1193" s="25"/>
    </row>
    <row r="1194" spans="7:15">
      <c r="G1194" s="25"/>
      <c r="O1194" s="25"/>
    </row>
    <row r="1195" spans="7:15">
      <c r="G1195" s="25"/>
      <c r="O1195" s="25"/>
    </row>
    <row r="1196" spans="7:15">
      <c r="G1196" s="25"/>
      <c r="O1196" s="25"/>
    </row>
    <row r="1197" spans="7:15">
      <c r="G1197" s="25"/>
      <c r="O1197" s="25"/>
    </row>
    <row r="1198" spans="7:15">
      <c r="G1198" s="25"/>
      <c r="O1198" s="25"/>
    </row>
    <row r="1199" spans="7:15">
      <c r="G1199" s="25"/>
      <c r="O1199" s="25"/>
    </row>
    <row r="1200" spans="7:15">
      <c r="G1200" s="25"/>
      <c r="O1200" s="25"/>
    </row>
    <row r="1201" spans="7:15">
      <c r="G1201" s="25"/>
      <c r="O1201" s="25"/>
    </row>
    <row r="1202" spans="7:15">
      <c r="G1202" s="25"/>
      <c r="O1202" s="25"/>
    </row>
    <row r="1203" spans="7:15">
      <c r="G1203" s="25"/>
      <c r="O1203" s="25"/>
    </row>
    <row r="1204" spans="7:15">
      <c r="G1204" s="25"/>
      <c r="O1204" s="25"/>
    </row>
    <row r="1205" spans="7:15">
      <c r="G1205" s="25"/>
      <c r="O1205" s="25"/>
    </row>
    <row r="1206" spans="7:15">
      <c r="G1206" s="25"/>
      <c r="O1206" s="25"/>
    </row>
    <row r="1207" spans="7:15">
      <c r="G1207" s="25"/>
      <c r="O1207" s="25"/>
    </row>
    <row r="1208" spans="7:15">
      <c r="G1208" s="25"/>
      <c r="O1208" s="25"/>
    </row>
    <row r="1209" spans="7:15">
      <c r="G1209" s="25"/>
      <c r="O1209" s="25"/>
    </row>
    <row r="1210" spans="7:15">
      <c r="G1210" s="25"/>
      <c r="O1210" s="25"/>
    </row>
    <row r="1211" spans="7:15">
      <c r="G1211" s="25"/>
      <c r="O1211" s="25"/>
    </row>
    <row r="1212" spans="7:15">
      <c r="G1212" s="25"/>
      <c r="O1212" s="25"/>
    </row>
    <row r="1213" spans="7:15">
      <c r="G1213" s="25"/>
      <c r="O1213" s="25"/>
    </row>
    <row r="1214" spans="7:15">
      <c r="G1214" s="25"/>
      <c r="O1214" s="25"/>
    </row>
    <row r="1215" spans="7:15">
      <c r="G1215" s="25"/>
      <c r="O1215" s="25"/>
    </row>
    <row r="1216" spans="7:15">
      <c r="G1216" s="25"/>
      <c r="O1216" s="25"/>
    </row>
    <row r="1217" spans="7:15">
      <c r="G1217" s="25"/>
      <c r="O1217" s="25"/>
    </row>
    <row r="1218" spans="7:15">
      <c r="G1218" s="25"/>
      <c r="O1218" s="25"/>
    </row>
    <row r="1219" spans="7:15">
      <c r="G1219" s="25"/>
      <c r="O1219" s="25"/>
    </row>
    <row r="1220" spans="7:15">
      <c r="G1220" s="25"/>
      <c r="O1220" s="25"/>
    </row>
    <row r="1221" spans="7:15">
      <c r="G1221" s="25"/>
      <c r="O1221" s="25"/>
    </row>
    <row r="1222" spans="7:15">
      <c r="G1222" s="25"/>
      <c r="O1222" s="25"/>
    </row>
    <row r="1223" spans="7:15">
      <c r="G1223" s="25"/>
      <c r="O1223" s="25"/>
    </row>
    <row r="1224" spans="7:15">
      <c r="G1224" s="25"/>
      <c r="O1224" s="25"/>
    </row>
    <row r="1225" spans="7:15">
      <c r="G1225" s="25"/>
      <c r="O1225" s="25"/>
    </row>
    <row r="1226" spans="7:15">
      <c r="G1226" s="25"/>
      <c r="O1226" s="25"/>
    </row>
    <row r="1227" spans="7:15">
      <c r="G1227" s="25"/>
      <c r="O1227" s="25"/>
    </row>
    <row r="1228" spans="7:15">
      <c r="G1228" s="25"/>
      <c r="O1228" s="25"/>
    </row>
    <row r="1229" spans="7:15">
      <c r="G1229" s="25"/>
      <c r="O1229" s="25"/>
    </row>
    <row r="1230" spans="7:15">
      <c r="G1230" s="25"/>
      <c r="O1230" s="25"/>
    </row>
    <row r="1231" spans="7:15">
      <c r="G1231" s="25"/>
      <c r="O1231" s="25"/>
    </row>
    <row r="1232" spans="7:15">
      <c r="G1232" s="25"/>
      <c r="O1232" s="25"/>
    </row>
    <row r="1233" spans="7:15">
      <c r="G1233" s="25"/>
      <c r="O1233" s="25"/>
    </row>
    <row r="1234" spans="7:15">
      <c r="G1234" s="25"/>
      <c r="O1234" s="25"/>
    </row>
    <row r="1235" spans="7:15">
      <c r="G1235" s="25"/>
      <c r="O1235" s="25"/>
    </row>
    <row r="1236" spans="7:15">
      <c r="G1236" s="25"/>
      <c r="O1236" s="25"/>
    </row>
    <row r="1237" spans="7:15">
      <c r="G1237" s="25"/>
      <c r="O1237" s="25"/>
    </row>
    <row r="1238" spans="7:15">
      <c r="G1238" s="25"/>
      <c r="O1238" s="25"/>
    </row>
    <row r="1239" spans="7:15">
      <c r="G1239" s="25"/>
      <c r="O1239" s="25"/>
    </row>
    <row r="1240" spans="7:15">
      <c r="G1240" s="25"/>
      <c r="O1240" s="25"/>
    </row>
    <row r="1241" spans="7:15">
      <c r="G1241" s="25"/>
      <c r="O1241" s="25"/>
    </row>
    <row r="1242" spans="7:15">
      <c r="G1242" s="25"/>
      <c r="O1242" s="25"/>
    </row>
    <row r="1243" spans="7:15">
      <c r="G1243" s="25"/>
      <c r="O1243" s="25"/>
    </row>
    <row r="1244" spans="7:15">
      <c r="G1244" s="25"/>
      <c r="O1244" s="25"/>
    </row>
    <row r="1245" spans="7:15">
      <c r="G1245" s="25"/>
      <c r="O1245" s="25"/>
    </row>
    <row r="1246" spans="7:15">
      <c r="G1246" s="25"/>
      <c r="O1246" s="25"/>
    </row>
    <row r="1247" spans="7:15">
      <c r="G1247" s="25"/>
      <c r="O1247" s="25"/>
    </row>
    <row r="1248" spans="7:15">
      <c r="G1248" s="25"/>
      <c r="O1248" s="25"/>
    </row>
    <row r="1249" spans="7:15">
      <c r="G1249" s="25"/>
      <c r="O1249" s="25"/>
    </row>
    <row r="1250" spans="7:15">
      <c r="G1250" s="25"/>
      <c r="O1250" s="25"/>
    </row>
    <row r="1251" spans="7:15">
      <c r="G1251" s="25"/>
      <c r="O1251" s="25"/>
    </row>
    <row r="1252" spans="7:15">
      <c r="G1252" s="25"/>
      <c r="O1252" s="25"/>
    </row>
    <row r="1253" spans="7:15">
      <c r="G1253" s="25"/>
      <c r="O1253" s="25"/>
    </row>
    <row r="1254" spans="7:15">
      <c r="G1254" s="25"/>
      <c r="O1254" s="25"/>
    </row>
    <row r="1255" spans="7:15">
      <c r="G1255" s="25"/>
      <c r="O1255" s="25"/>
    </row>
    <row r="1256" spans="7:15">
      <c r="G1256" s="25"/>
      <c r="O1256" s="25"/>
    </row>
    <row r="1257" spans="7:15">
      <c r="G1257" s="25"/>
      <c r="O1257" s="25"/>
    </row>
    <row r="1258" spans="7:15">
      <c r="G1258" s="25"/>
      <c r="O1258" s="25"/>
    </row>
    <row r="1259" spans="7:15">
      <c r="G1259" s="25"/>
      <c r="O1259" s="25"/>
    </row>
    <row r="1260" spans="7:15">
      <c r="G1260" s="25"/>
      <c r="O1260" s="25"/>
    </row>
    <row r="1261" spans="7:15">
      <c r="G1261" s="25"/>
      <c r="O1261" s="25"/>
    </row>
    <row r="1262" spans="7:15">
      <c r="G1262" s="25"/>
      <c r="O1262" s="25"/>
    </row>
    <row r="1263" spans="7:15">
      <c r="G1263" s="25"/>
      <c r="O1263" s="25"/>
    </row>
    <row r="1264" spans="7:15">
      <c r="G1264" s="25"/>
      <c r="O1264" s="25"/>
    </row>
    <row r="1265" spans="7:15">
      <c r="G1265" s="25"/>
      <c r="O1265" s="25"/>
    </row>
    <row r="1266" spans="7:15">
      <c r="G1266" s="25"/>
      <c r="O1266" s="25"/>
    </row>
    <row r="1267" spans="7:15">
      <c r="G1267" s="25"/>
      <c r="O1267" s="25"/>
    </row>
    <row r="1268" spans="7:15">
      <c r="G1268" s="25"/>
      <c r="O1268" s="25"/>
    </row>
    <row r="1269" spans="7:15">
      <c r="G1269" s="25"/>
      <c r="O1269" s="25"/>
    </row>
    <row r="1270" spans="7:15">
      <c r="G1270" s="25"/>
      <c r="O1270" s="25"/>
    </row>
    <row r="1271" spans="7:15">
      <c r="G1271" s="25"/>
      <c r="O1271" s="25"/>
    </row>
    <row r="1272" spans="7:15">
      <c r="G1272" s="25"/>
      <c r="O1272" s="25"/>
    </row>
    <row r="1273" spans="7:15">
      <c r="G1273" s="25"/>
      <c r="O1273" s="25"/>
    </row>
    <row r="1274" spans="7:15">
      <c r="G1274" s="25"/>
      <c r="O1274" s="25"/>
    </row>
    <row r="1275" spans="7:15">
      <c r="G1275" s="25"/>
      <c r="O1275" s="25"/>
    </row>
    <row r="1276" spans="7:15">
      <c r="G1276" s="25"/>
      <c r="O1276" s="25"/>
    </row>
    <row r="1277" spans="7:15">
      <c r="G1277" s="25"/>
      <c r="O1277" s="25"/>
    </row>
    <row r="1278" spans="7:15">
      <c r="G1278" s="25"/>
      <c r="O1278" s="25"/>
    </row>
    <row r="1279" spans="7:15">
      <c r="G1279" s="25"/>
      <c r="O1279" s="25"/>
    </row>
    <row r="1280" spans="7:15">
      <c r="G1280" s="25"/>
      <c r="O1280" s="25"/>
    </row>
    <row r="1281" spans="7:15">
      <c r="G1281" s="25"/>
      <c r="O1281" s="25"/>
    </row>
    <row r="1282" spans="7:15">
      <c r="G1282" s="25"/>
      <c r="O1282" s="25"/>
    </row>
    <row r="1283" spans="7:15">
      <c r="G1283" s="25"/>
      <c r="O1283" s="25"/>
    </row>
    <row r="1284" spans="7:15">
      <c r="G1284" s="25"/>
      <c r="O1284" s="25"/>
    </row>
    <row r="1285" spans="7:15">
      <c r="G1285" s="25"/>
      <c r="O1285" s="25"/>
    </row>
    <row r="1286" spans="7:15">
      <c r="G1286" s="25"/>
      <c r="O1286" s="25"/>
    </row>
    <row r="1287" spans="7:15">
      <c r="G1287" s="25"/>
      <c r="O1287" s="25"/>
    </row>
    <row r="1288" spans="7:15">
      <c r="G1288" s="25"/>
      <c r="O1288" s="25"/>
    </row>
    <row r="1289" spans="7:15">
      <c r="G1289" s="25"/>
      <c r="O1289" s="25"/>
    </row>
    <row r="1290" spans="7:15">
      <c r="G1290" s="25"/>
      <c r="O1290" s="25"/>
    </row>
    <row r="1291" spans="7:15">
      <c r="G1291" s="25"/>
      <c r="O1291" s="25"/>
    </row>
    <row r="1292" spans="7:15">
      <c r="G1292" s="25"/>
      <c r="O1292" s="25"/>
    </row>
    <row r="1293" spans="7:15">
      <c r="G1293" s="25"/>
      <c r="O1293" s="25"/>
    </row>
    <row r="1294" spans="7:15">
      <c r="G1294" s="25"/>
      <c r="O1294" s="25"/>
    </row>
    <row r="1295" spans="7:15">
      <c r="G1295" s="25"/>
      <c r="O1295" s="25"/>
    </row>
    <row r="1296" spans="7:15">
      <c r="G1296" s="25"/>
      <c r="O1296" s="25"/>
    </row>
    <row r="1297" spans="7:15">
      <c r="G1297" s="25"/>
      <c r="O1297" s="25"/>
    </row>
    <row r="1298" spans="7:15">
      <c r="G1298" s="25"/>
      <c r="O1298" s="25"/>
    </row>
    <row r="1299" spans="7:15">
      <c r="G1299" s="25"/>
      <c r="O1299" s="25"/>
    </row>
    <row r="1300" spans="7:15">
      <c r="G1300" s="25"/>
      <c r="O1300" s="25"/>
    </row>
    <row r="1301" spans="7:15">
      <c r="G1301" s="25"/>
      <c r="O1301" s="25"/>
    </row>
    <row r="1302" spans="7:15">
      <c r="G1302" s="25"/>
      <c r="O1302" s="25"/>
    </row>
    <row r="1303" spans="7:15">
      <c r="G1303" s="25"/>
      <c r="O1303" s="25"/>
    </row>
    <row r="1304" spans="7:15">
      <c r="G1304" s="25"/>
      <c r="O1304" s="25"/>
    </row>
    <row r="1305" spans="7:15">
      <c r="G1305" s="25"/>
      <c r="O1305" s="25"/>
    </row>
    <row r="1306" spans="7:15">
      <c r="G1306" s="25"/>
      <c r="O1306" s="25"/>
    </row>
    <row r="1307" spans="7:15">
      <c r="G1307" s="25"/>
      <c r="O1307" s="25"/>
    </row>
    <row r="1308" spans="7:15">
      <c r="G1308" s="25"/>
      <c r="O1308" s="25"/>
    </row>
    <row r="1309" spans="7:15">
      <c r="G1309" s="25"/>
      <c r="O1309" s="25"/>
    </row>
    <row r="1310" spans="7:15">
      <c r="G1310" s="25"/>
      <c r="O1310" s="25"/>
    </row>
    <row r="1311" spans="7:15">
      <c r="G1311" s="25"/>
      <c r="O1311" s="25"/>
    </row>
    <row r="1312" spans="7:15">
      <c r="G1312" s="25"/>
      <c r="O1312" s="25"/>
    </row>
    <row r="1313" spans="7:15">
      <c r="G1313" s="25"/>
      <c r="O1313" s="25"/>
    </row>
    <row r="1314" spans="7:15">
      <c r="G1314" s="25"/>
      <c r="O1314" s="25"/>
    </row>
    <row r="1315" spans="7:15">
      <c r="G1315" s="25"/>
      <c r="O1315" s="25"/>
    </row>
    <row r="1316" spans="7:15">
      <c r="G1316" s="25"/>
      <c r="O1316" s="25"/>
    </row>
    <row r="1317" spans="7:15">
      <c r="G1317" s="25"/>
      <c r="O1317" s="25"/>
    </row>
    <row r="1318" spans="7:15">
      <c r="G1318" s="25"/>
      <c r="O1318" s="25"/>
    </row>
    <row r="1319" spans="7:15">
      <c r="G1319" s="25"/>
      <c r="O1319" s="25"/>
    </row>
    <row r="1320" spans="7:15">
      <c r="G1320" s="25"/>
      <c r="O1320" s="25"/>
    </row>
    <row r="1321" spans="7:15">
      <c r="G1321" s="25"/>
      <c r="O1321" s="25"/>
    </row>
    <row r="1322" spans="7:15">
      <c r="G1322" s="25"/>
      <c r="O1322" s="25"/>
    </row>
    <row r="1323" spans="7:15">
      <c r="G1323" s="25"/>
      <c r="O1323" s="25"/>
    </row>
    <row r="1324" spans="7:15">
      <c r="G1324" s="25"/>
      <c r="O1324" s="25"/>
    </row>
    <row r="1325" spans="7:15">
      <c r="G1325" s="25"/>
      <c r="O1325" s="25"/>
    </row>
    <row r="1326" spans="7:15">
      <c r="G1326" s="25"/>
      <c r="O1326" s="25"/>
    </row>
    <row r="1327" spans="7:15">
      <c r="G1327" s="25"/>
      <c r="O1327" s="25"/>
    </row>
    <row r="1328" spans="7:15">
      <c r="G1328" s="25"/>
      <c r="O1328" s="25"/>
    </row>
    <row r="1329" spans="7:15">
      <c r="G1329" s="25"/>
      <c r="O1329" s="25"/>
    </row>
    <row r="1330" spans="7:15">
      <c r="G1330" s="25"/>
      <c r="O1330" s="25"/>
    </row>
    <row r="1331" spans="7:15">
      <c r="G1331" s="25"/>
      <c r="O1331" s="25"/>
    </row>
    <row r="1332" spans="7:15">
      <c r="G1332" s="25"/>
      <c r="O1332" s="25"/>
    </row>
    <row r="1333" spans="7:15">
      <c r="G1333" s="25"/>
      <c r="O1333" s="25"/>
    </row>
    <row r="1334" spans="7:15">
      <c r="G1334" s="25"/>
      <c r="O1334" s="25"/>
    </row>
    <row r="1335" spans="7:15">
      <c r="G1335" s="25"/>
      <c r="O1335" s="25"/>
    </row>
    <row r="1336" spans="7:15">
      <c r="G1336" s="25"/>
      <c r="O1336" s="25"/>
    </row>
    <row r="1337" spans="7:15">
      <c r="G1337" s="25"/>
      <c r="O1337" s="25"/>
    </row>
    <row r="1338" spans="7:15">
      <c r="G1338" s="25"/>
      <c r="O1338" s="25"/>
    </row>
    <row r="1339" spans="7:15">
      <c r="G1339" s="25"/>
      <c r="O1339" s="25"/>
    </row>
    <row r="1340" spans="7:15">
      <c r="G1340" s="25"/>
      <c r="O1340" s="25"/>
    </row>
    <row r="1341" spans="7:15">
      <c r="G1341" s="25"/>
      <c r="O1341" s="25"/>
    </row>
    <row r="1342" spans="7:15">
      <c r="G1342" s="25"/>
      <c r="O1342" s="25"/>
    </row>
    <row r="1343" spans="7:15">
      <c r="G1343" s="25"/>
      <c r="O1343" s="25"/>
    </row>
    <row r="1344" spans="7:15">
      <c r="G1344" s="25"/>
      <c r="O1344" s="25"/>
    </row>
    <row r="1345" spans="7:15">
      <c r="G1345" s="25"/>
      <c r="O1345" s="25"/>
    </row>
    <row r="1346" spans="7:15">
      <c r="G1346" s="25"/>
      <c r="O1346" s="25"/>
    </row>
    <row r="1347" spans="7:15">
      <c r="G1347" s="25"/>
      <c r="O1347" s="25"/>
    </row>
    <row r="1348" spans="7:15">
      <c r="G1348" s="25"/>
      <c r="O1348" s="25"/>
    </row>
    <row r="1349" spans="7:15">
      <c r="G1349" s="25"/>
      <c r="O1349" s="25"/>
    </row>
    <row r="1350" spans="7:15">
      <c r="G1350" s="25"/>
      <c r="O1350" s="25"/>
    </row>
    <row r="1351" spans="7:15">
      <c r="G1351" s="25"/>
      <c r="O1351" s="25"/>
    </row>
    <row r="1352" spans="7:15">
      <c r="G1352" s="25"/>
      <c r="O1352" s="25"/>
    </row>
    <row r="1353" spans="7:15">
      <c r="G1353" s="25"/>
      <c r="O1353" s="25"/>
    </row>
    <row r="1354" spans="7:15">
      <c r="G1354" s="25"/>
      <c r="O1354" s="25"/>
    </row>
    <row r="1355" spans="7:15">
      <c r="G1355" s="25"/>
      <c r="O1355" s="25"/>
    </row>
    <row r="1356" spans="7:15">
      <c r="G1356" s="25"/>
      <c r="O1356" s="25"/>
    </row>
    <row r="1357" spans="7:15">
      <c r="G1357" s="25"/>
      <c r="O1357" s="25"/>
    </row>
    <row r="1358" spans="7:15">
      <c r="G1358" s="25"/>
      <c r="O1358" s="25"/>
    </row>
    <row r="1359" spans="7:15">
      <c r="G1359" s="25"/>
      <c r="O1359" s="25"/>
    </row>
    <row r="1360" spans="7:15">
      <c r="G1360" s="25"/>
      <c r="O1360" s="25"/>
    </row>
    <row r="1361" spans="7:15">
      <c r="G1361" s="25"/>
      <c r="O1361" s="25"/>
    </row>
    <row r="1362" spans="7:15">
      <c r="G1362" s="25"/>
      <c r="O1362" s="25"/>
    </row>
    <row r="1363" spans="7:15">
      <c r="G1363" s="25"/>
      <c r="O1363" s="25"/>
    </row>
    <row r="1364" spans="7:15">
      <c r="G1364" s="25"/>
      <c r="O1364" s="25"/>
    </row>
    <row r="1365" spans="7:15">
      <c r="G1365" s="25"/>
      <c r="O1365" s="25"/>
    </row>
    <row r="1366" spans="7:15">
      <c r="G1366" s="25"/>
      <c r="O1366" s="25"/>
    </row>
    <row r="1367" spans="7:15">
      <c r="G1367" s="25"/>
      <c r="O1367" s="25"/>
    </row>
    <row r="1368" spans="7:15">
      <c r="G1368" s="25"/>
      <c r="O1368" s="25"/>
    </row>
    <row r="1369" spans="7:15">
      <c r="G1369" s="25"/>
      <c r="O1369" s="25"/>
    </row>
    <row r="1370" spans="7:15">
      <c r="G1370" s="25"/>
      <c r="O1370" s="25"/>
    </row>
    <row r="1371" spans="7:15">
      <c r="G1371" s="25"/>
      <c r="O1371" s="25"/>
    </row>
    <row r="1372" spans="7:15">
      <c r="G1372" s="25"/>
      <c r="O1372" s="25"/>
    </row>
    <row r="1373" spans="7:15">
      <c r="G1373" s="25"/>
      <c r="O1373" s="25"/>
    </row>
    <row r="1374" spans="7:15">
      <c r="G1374" s="25"/>
      <c r="O1374" s="25"/>
    </row>
    <row r="1375" spans="7:15">
      <c r="G1375" s="25"/>
      <c r="O1375" s="25"/>
    </row>
    <row r="1376" spans="7:15">
      <c r="G1376" s="25"/>
      <c r="O1376" s="25"/>
    </row>
    <row r="1377" spans="7:15">
      <c r="G1377" s="25"/>
      <c r="O1377" s="25"/>
    </row>
    <row r="1378" spans="7:15">
      <c r="G1378" s="25"/>
      <c r="O1378" s="25"/>
    </row>
    <row r="1379" spans="7:15">
      <c r="G1379" s="25"/>
      <c r="O1379" s="25"/>
    </row>
    <row r="1380" spans="7:15">
      <c r="G1380" s="25"/>
      <c r="O1380" s="25"/>
    </row>
    <row r="1381" spans="7:15">
      <c r="G1381" s="25"/>
      <c r="O1381" s="25"/>
    </row>
    <row r="1382" spans="7:15">
      <c r="G1382" s="25"/>
      <c r="O1382" s="25"/>
    </row>
    <row r="1383" spans="7:15">
      <c r="G1383" s="25"/>
      <c r="O1383" s="25"/>
    </row>
    <row r="1384" spans="7:15">
      <c r="G1384" s="25"/>
      <c r="O1384" s="25"/>
    </row>
    <row r="1385" spans="7:15">
      <c r="G1385" s="25"/>
      <c r="O1385" s="25"/>
    </row>
    <row r="1386" spans="7:15">
      <c r="G1386" s="25"/>
      <c r="O1386" s="25"/>
    </row>
    <row r="1387" spans="7:15">
      <c r="G1387" s="25"/>
      <c r="O1387" s="25"/>
    </row>
    <row r="1388" spans="7:15">
      <c r="G1388" s="25"/>
      <c r="O1388" s="25"/>
    </row>
    <row r="1389" spans="7:15">
      <c r="G1389" s="25"/>
      <c r="O1389" s="25"/>
    </row>
    <row r="1390" spans="7:15">
      <c r="G1390" s="25"/>
      <c r="O1390" s="25"/>
    </row>
    <row r="1391" spans="7:15">
      <c r="G1391" s="25"/>
      <c r="O1391" s="25"/>
    </row>
    <row r="1392" spans="7:15">
      <c r="G1392" s="25"/>
      <c r="O1392" s="25"/>
    </row>
    <row r="1393" spans="7:15">
      <c r="G1393" s="25"/>
      <c r="O1393" s="25"/>
    </row>
    <row r="1394" spans="7:15">
      <c r="G1394" s="25"/>
      <c r="O1394" s="25"/>
    </row>
    <row r="1395" spans="7:15">
      <c r="G1395" s="25"/>
      <c r="O1395" s="25"/>
    </row>
    <row r="1396" spans="7:15">
      <c r="G1396" s="25"/>
      <c r="O1396" s="25"/>
    </row>
    <row r="1397" spans="7:15">
      <c r="G1397" s="25"/>
      <c r="O1397" s="25"/>
    </row>
    <row r="1398" spans="7:15">
      <c r="G1398" s="25"/>
      <c r="O1398" s="25"/>
    </row>
    <row r="1399" spans="7:15">
      <c r="G1399" s="25"/>
      <c r="O1399" s="25"/>
    </row>
    <row r="1400" spans="7:15">
      <c r="G1400" s="25"/>
      <c r="O1400" s="25"/>
    </row>
    <row r="1401" spans="7:15">
      <c r="G1401" s="25"/>
      <c r="O1401" s="25"/>
    </row>
    <row r="1402" spans="7:15">
      <c r="G1402" s="25"/>
      <c r="O1402" s="25"/>
    </row>
    <row r="1403" spans="7:15">
      <c r="G1403" s="25"/>
      <c r="O1403" s="25"/>
    </row>
    <row r="1404" spans="7:15">
      <c r="G1404" s="25"/>
      <c r="O1404" s="25"/>
    </row>
    <row r="1405" spans="7:15">
      <c r="G1405" s="25"/>
      <c r="O1405" s="25"/>
    </row>
    <row r="1406" spans="7:15">
      <c r="G1406" s="25"/>
      <c r="O1406" s="25"/>
    </row>
    <row r="1407" spans="7:15">
      <c r="G1407" s="25"/>
      <c r="O1407" s="25"/>
    </row>
    <row r="1408" spans="7:15">
      <c r="G1408" s="25"/>
      <c r="O1408" s="25"/>
    </row>
    <row r="1409" spans="7:15">
      <c r="G1409" s="25"/>
      <c r="O1409" s="25"/>
    </row>
    <row r="1410" spans="7:15">
      <c r="G1410" s="25"/>
      <c r="O1410" s="25"/>
    </row>
    <row r="1411" spans="7:15">
      <c r="G1411" s="25"/>
      <c r="O1411" s="25"/>
    </row>
    <row r="1412" spans="7:15">
      <c r="G1412" s="25"/>
      <c r="O1412" s="25"/>
    </row>
    <row r="1413" spans="7:15">
      <c r="G1413" s="25"/>
      <c r="O1413" s="25"/>
    </row>
    <row r="1414" spans="7:15">
      <c r="G1414" s="25"/>
      <c r="O1414" s="25"/>
    </row>
    <row r="1415" spans="7:15">
      <c r="G1415" s="25"/>
      <c r="O1415" s="25"/>
    </row>
    <row r="1416" spans="7:15">
      <c r="G1416" s="25"/>
      <c r="O1416" s="25"/>
    </row>
    <row r="1417" spans="7:15">
      <c r="G1417" s="25"/>
      <c r="O1417" s="25"/>
    </row>
    <row r="1418" spans="7:15">
      <c r="G1418" s="25"/>
      <c r="O1418" s="25"/>
    </row>
    <row r="1419" spans="7:15">
      <c r="G1419" s="25"/>
      <c r="O1419" s="25"/>
    </row>
    <row r="1420" spans="7:15">
      <c r="G1420" s="25"/>
      <c r="O1420" s="25"/>
    </row>
    <row r="1421" spans="7:15">
      <c r="G1421" s="25"/>
      <c r="O1421" s="25"/>
    </row>
    <row r="1422" spans="7:15">
      <c r="G1422" s="25"/>
      <c r="O1422" s="25"/>
    </row>
    <row r="1423" spans="7:15">
      <c r="G1423" s="25"/>
      <c r="O1423" s="25"/>
    </row>
    <row r="1424" spans="7:15">
      <c r="G1424" s="25"/>
      <c r="O1424" s="25"/>
    </row>
    <row r="1425" spans="7:15">
      <c r="G1425" s="25"/>
      <c r="O1425" s="25"/>
    </row>
    <row r="1426" spans="7:15">
      <c r="G1426" s="25"/>
      <c r="O1426" s="25"/>
    </row>
    <row r="1427" spans="7:15">
      <c r="G1427" s="25"/>
      <c r="O1427" s="25"/>
    </row>
    <row r="1428" spans="7:15">
      <c r="G1428" s="25"/>
      <c r="O1428" s="25"/>
    </row>
    <row r="1429" spans="7:15">
      <c r="G1429" s="25"/>
      <c r="O1429" s="25"/>
    </row>
    <row r="1430" spans="7:15">
      <c r="G1430" s="25"/>
      <c r="O1430" s="25"/>
    </row>
    <row r="1431" spans="7:15">
      <c r="G1431" s="25"/>
      <c r="O1431" s="25"/>
    </row>
    <row r="1432" spans="7:15">
      <c r="G1432" s="25"/>
      <c r="O1432" s="25"/>
    </row>
    <row r="1433" spans="7:15">
      <c r="G1433" s="25"/>
      <c r="O1433" s="25"/>
    </row>
    <row r="1434" spans="7:15">
      <c r="G1434" s="25"/>
      <c r="O1434" s="25"/>
    </row>
    <row r="1435" spans="7:15">
      <c r="G1435" s="25"/>
      <c r="O1435" s="25"/>
    </row>
    <row r="1436" spans="7:15">
      <c r="G1436" s="25"/>
      <c r="O1436" s="25"/>
    </row>
    <row r="1437" spans="7:15">
      <c r="G1437" s="25"/>
      <c r="O1437" s="25"/>
    </row>
    <row r="1438" spans="7:15">
      <c r="G1438" s="25"/>
      <c r="O1438" s="25"/>
    </row>
    <row r="1439" spans="7:15">
      <c r="G1439" s="25"/>
      <c r="O1439" s="25"/>
    </row>
    <row r="1440" spans="7:15">
      <c r="G1440" s="25"/>
      <c r="O1440" s="25"/>
    </row>
    <row r="1441" spans="7:15">
      <c r="G1441" s="25"/>
      <c r="O1441" s="25"/>
    </row>
    <row r="1442" spans="7:15">
      <c r="G1442" s="25"/>
      <c r="O1442" s="25"/>
    </row>
    <row r="1443" spans="7:15">
      <c r="G1443" s="25"/>
      <c r="O1443" s="25"/>
    </row>
    <row r="1444" spans="7:15">
      <c r="G1444" s="25"/>
      <c r="O1444" s="25"/>
    </row>
    <row r="1445" spans="7:15">
      <c r="G1445" s="25"/>
      <c r="O1445" s="25"/>
    </row>
    <row r="1446" spans="7:15">
      <c r="G1446" s="25"/>
      <c r="O1446" s="25"/>
    </row>
    <row r="1447" spans="7:15">
      <c r="G1447" s="25"/>
      <c r="O1447" s="25"/>
    </row>
    <row r="1448" spans="7:15">
      <c r="G1448" s="25"/>
      <c r="O1448" s="25"/>
    </row>
    <row r="1449" spans="7:15">
      <c r="G1449" s="25"/>
      <c r="O1449" s="25"/>
    </row>
    <row r="1450" spans="7:15">
      <c r="G1450" s="25"/>
      <c r="O1450" s="25"/>
    </row>
    <row r="1451" spans="7:15">
      <c r="G1451" s="25"/>
      <c r="O1451" s="25"/>
    </row>
    <row r="1452" spans="7:15">
      <c r="G1452" s="25"/>
      <c r="O1452" s="25"/>
    </row>
    <row r="1453" spans="7:15">
      <c r="G1453" s="25"/>
      <c r="O1453" s="25"/>
    </row>
    <row r="1454" spans="7:15">
      <c r="G1454" s="25"/>
      <c r="O1454" s="25"/>
    </row>
    <row r="1455" spans="7:15">
      <c r="G1455" s="25"/>
      <c r="O1455" s="25"/>
    </row>
    <row r="1456" spans="7:15">
      <c r="G1456" s="25"/>
      <c r="O1456" s="25"/>
    </row>
    <row r="1457" spans="7:15">
      <c r="G1457" s="25"/>
      <c r="O1457" s="25"/>
    </row>
    <row r="1458" spans="7:15">
      <c r="G1458" s="25"/>
      <c r="O1458" s="25"/>
    </row>
    <row r="1459" spans="7:15">
      <c r="G1459" s="25"/>
      <c r="O1459" s="25"/>
    </row>
    <row r="1460" spans="7:15">
      <c r="G1460" s="25"/>
      <c r="O1460" s="25"/>
    </row>
    <row r="1461" spans="7:15">
      <c r="G1461" s="25"/>
      <c r="O1461" s="25"/>
    </row>
    <row r="1462" spans="7:15">
      <c r="G1462" s="25"/>
      <c r="O1462" s="25"/>
    </row>
    <row r="1463" spans="7:15">
      <c r="G1463" s="25"/>
      <c r="O1463" s="25"/>
    </row>
    <row r="1464" spans="7:15">
      <c r="G1464" s="25"/>
      <c r="O1464" s="25"/>
    </row>
    <row r="1465" spans="7:15">
      <c r="G1465" s="25"/>
      <c r="O1465" s="25"/>
    </row>
    <row r="1466" spans="7:15">
      <c r="G1466" s="25"/>
      <c r="O1466" s="25"/>
    </row>
    <row r="1467" spans="7:15">
      <c r="G1467" s="25"/>
      <c r="O1467" s="25"/>
    </row>
    <row r="1468" spans="7:15">
      <c r="G1468" s="25"/>
      <c r="O1468" s="25"/>
    </row>
    <row r="1469" spans="7:15">
      <c r="G1469" s="25"/>
      <c r="O1469" s="25"/>
    </row>
    <row r="1470" spans="7:15">
      <c r="G1470" s="25"/>
      <c r="O1470" s="25"/>
    </row>
    <row r="1471" spans="7:15">
      <c r="G1471" s="25"/>
      <c r="O1471" s="25"/>
    </row>
    <row r="1472" spans="7:15">
      <c r="G1472" s="25"/>
      <c r="O1472" s="25"/>
    </row>
    <row r="1473" spans="7:15">
      <c r="G1473" s="25"/>
      <c r="O1473" s="25"/>
    </row>
    <row r="1474" spans="7:15">
      <c r="G1474" s="25"/>
      <c r="O1474" s="25"/>
    </row>
    <row r="1475" spans="7:15">
      <c r="G1475" s="25"/>
      <c r="O1475" s="25"/>
    </row>
    <row r="1476" spans="7:15">
      <c r="G1476" s="25"/>
      <c r="O1476" s="25"/>
    </row>
    <row r="1477" spans="7:15">
      <c r="G1477" s="25"/>
      <c r="O1477" s="25"/>
    </row>
    <row r="1478" spans="7:15">
      <c r="G1478" s="25"/>
      <c r="O1478" s="25"/>
    </row>
    <row r="1479" spans="7:15">
      <c r="G1479" s="25"/>
      <c r="O1479" s="25"/>
    </row>
    <row r="1480" spans="7:15">
      <c r="G1480" s="25"/>
      <c r="O1480" s="25"/>
    </row>
    <row r="1481" spans="7:15">
      <c r="G1481" s="25"/>
      <c r="O1481" s="25"/>
    </row>
    <row r="1482" spans="7:15">
      <c r="G1482" s="25"/>
      <c r="O1482" s="25"/>
    </row>
    <row r="1483" spans="7:15">
      <c r="G1483" s="25"/>
      <c r="O1483" s="25"/>
    </row>
    <row r="1484" spans="7:15">
      <c r="G1484" s="25"/>
      <c r="O1484" s="25"/>
    </row>
    <row r="1485" spans="7:15">
      <c r="G1485" s="25"/>
      <c r="O1485" s="25"/>
    </row>
    <row r="1486" spans="7:15">
      <c r="G1486" s="25"/>
      <c r="O1486" s="25"/>
    </row>
    <row r="1487" spans="7:15">
      <c r="G1487" s="25"/>
      <c r="O1487" s="25"/>
    </row>
    <row r="1488" spans="7:15">
      <c r="G1488" s="25"/>
      <c r="O1488" s="25"/>
    </row>
    <row r="1489" spans="7:15">
      <c r="G1489" s="25"/>
      <c r="O1489" s="25"/>
    </row>
    <row r="1490" spans="7:15">
      <c r="G1490" s="25"/>
      <c r="O1490" s="25"/>
    </row>
    <row r="1491" spans="7:15">
      <c r="G1491" s="25"/>
      <c r="O1491" s="25"/>
    </row>
    <row r="1492" spans="7:15">
      <c r="G1492" s="25"/>
      <c r="O1492" s="25"/>
    </row>
    <row r="1493" spans="7:15">
      <c r="G1493" s="25"/>
      <c r="O1493" s="25"/>
    </row>
    <row r="1494" spans="7:15">
      <c r="G1494" s="25"/>
      <c r="O1494" s="25"/>
    </row>
    <row r="1495" spans="7:15">
      <c r="G1495" s="25"/>
      <c r="O1495" s="25"/>
    </row>
    <row r="1496" spans="7:15">
      <c r="G1496" s="25"/>
      <c r="O1496" s="25"/>
    </row>
    <row r="1497" spans="7:15">
      <c r="G1497" s="25"/>
      <c r="O1497" s="25"/>
    </row>
    <row r="1498" spans="7:15">
      <c r="G1498" s="25"/>
      <c r="O1498" s="25"/>
    </row>
    <row r="1499" spans="7:15">
      <c r="G1499" s="25"/>
      <c r="O1499" s="25"/>
    </row>
    <row r="1500" spans="7:15">
      <c r="G1500" s="25"/>
      <c r="O1500" s="25"/>
    </row>
    <row r="1501" spans="7:15">
      <c r="G1501" s="25"/>
      <c r="O1501" s="25"/>
    </row>
    <row r="1502" spans="7:15">
      <c r="G1502" s="25"/>
      <c r="O1502" s="25"/>
    </row>
    <row r="1503" spans="7:15">
      <c r="G1503" s="25"/>
      <c r="O1503" s="25"/>
    </row>
    <row r="1504" spans="7:15">
      <c r="G1504" s="25"/>
      <c r="O1504" s="25"/>
    </row>
    <row r="1505" spans="7:15">
      <c r="G1505" s="25"/>
      <c r="O1505" s="25"/>
    </row>
    <row r="1506" spans="7:15">
      <c r="G1506" s="25"/>
      <c r="O1506" s="25"/>
    </row>
    <row r="1507" spans="7:15">
      <c r="G1507" s="25"/>
      <c r="O1507" s="25"/>
    </row>
    <row r="1508" spans="7:15">
      <c r="G1508" s="25"/>
      <c r="O1508" s="25"/>
    </row>
    <row r="1509" spans="7:15">
      <c r="G1509" s="25"/>
      <c r="O1509" s="25"/>
    </row>
    <row r="1510" spans="7:15">
      <c r="G1510" s="25"/>
      <c r="O1510" s="25"/>
    </row>
    <row r="1511" spans="7:15">
      <c r="G1511" s="25"/>
      <c r="O1511" s="25"/>
    </row>
    <row r="1512" spans="7:15">
      <c r="G1512" s="25"/>
      <c r="O1512" s="25"/>
    </row>
    <row r="1513" spans="7:15">
      <c r="G1513" s="25"/>
      <c r="O1513" s="25"/>
    </row>
    <row r="1514" spans="7:15">
      <c r="G1514" s="25"/>
      <c r="O1514" s="25"/>
    </row>
    <row r="1515" spans="7:15">
      <c r="G1515" s="25"/>
      <c r="O1515" s="25"/>
    </row>
    <row r="1516" spans="7:15">
      <c r="G1516" s="25"/>
      <c r="O1516" s="25"/>
    </row>
    <row r="1517" spans="7:15">
      <c r="G1517" s="25"/>
      <c r="O1517" s="25"/>
    </row>
    <row r="1518" spans="7:15">
      <c r="G1518" s="25"/>
      <c r="O1518" s="25"/>
    </row>
    <row r="1519" spans="7:15">
      <c r="G1519" s="25"/>
      <c r="O1519" s="25"/>
    </row>
    <row r="1520" spans="7:15">
      <c r="G1520" s="25"/>
      <c r="O1520" s="25"/>
    </row>
    <row r="1521" spans="7:15">
      <c r="G1521" s="25"/>
      <c r="O1521" s="25"/>
    </row>
    <row r="1522" spans="7:15">
      <c r="G1522" s="25"/>
      <c r="O1522" s="25"/>
    </row>
    <row r="1523" spans="7:15">
      <c r="G1523" s="25"/>
      <c r="O1523" s="25"/>
    </row>
    <row r="1524" spans="7:15">
      <c r="G1524" s="25"/>
      <c r="O1524" s="25"/>
    </row>
    <row r="1525" spans="7:15">
      <c r="G1525" s="25"/>
      <c r="O1525" s="25"/>
    </row>
    <row r="1526" spans="7:15">
      <c r="G1526" s="25"/>
      <c r="O1526" s="25"/>
    </row>
    <row r="1527" spans="7:15">
      <c r="G1527" s="25"/>
      <c r="O1527" s="25"/>
    </row>
    <row r="1528" spans="7:15">
      <c r="G1528" s="25"/>
      <c r="O1528" s="25"/>
    </row>
    <row r="1529" spans="7:15">
      <c r="G1529" s="25"/>
      <c r="O1529" s="25"/>
    </row>
    <row r="1530" spans="7:15">
      <c r="G1530" s="25"/>
      <c r="O1530" s="25"/>
    </row>
    <row r="1531" spans="7:15">
      <c r="G1531" s="25"/>
      <c r="O1531" s="25"/>
    </row>
    <row r="1532" spans="7:15">
      <c r="G1532" s="25"/>
      <c r="O1532" s="25"/>
    </row>
    <row r="1533" spans="7:15">
      <c r="G1533" s="25"/>
      <c r="O1533" s="25"/>
    </row>
    <row r="1534" spans="7:15">
      <c r="G1534" s="25"/>
      <c r="O1534" s="25"/>
    </row>
    <row r="1535" spans="7:15">
      <c r="G1535" s="25"/>
      <c r="O1535" s="25"/>
    </row>
    <row r="1536" spans="7:15">
      <c r="G1536" s="25"/>
      <c r="O1536" s="25"/>
    </row>
    <row r="1537" spans="7:15">
      <c r="G1537" s="25"/>
      <c r="O1537" s="25"/>
    </row>
    <row r="1538" spans="7:15">
      <c r="G1538" s="25"/>
      <c r="O1538" s="25"/>
    </row>
    <row r="1539" spans="7:15">
      <c r="G1539" s="25"/>
      <c r="O1539" s="25"/>
    </row>
    <row r="1540" spans="7:15">
      <c r="G1540" s="25"/>
      <c r="O1540" s="25"/>
    </row>
    <row r="1541" spans="7:15">
      <c r="G1541" s="25"/>
      <c r="O1541" s="25"/>
    </row>
    <row r="1542" spans="7:15">
      <c r="G1542" s="25"/>
      <c r="O1542" s="25"/>
    </row>
    <row r="1543" spans="7:15">
      <c r="G1543" s="25"/>
      <c r="O1543" s="25"/>
    </row>
    <row r="1544" spans="7:15">
      <c r="G1544" s="25"/>
      <c r="O1544" s="25"/>
    </row>
    <row r="1545" spans="7:15">
      <c r="G1545" s="25"/>
      <c r="O1545" s="25"/>
    </row>
    <row r="1546" spans="7:15">
      <c r="G1546" s="25"/>
      <c r="O1546" s="25"/>
    </row>
    <row r="1547" spans="7:15">
      <c r="G1547" s="25"/>
      <c r="O1547" s="25"/>
    </row>
    <row r="1548" spans="7:15">
      <c r="G1548" s="25"/>
      <c r="O1548" s="25"/>
    </row>
    <row r="1549" spans="7:15">
      <c r="G1549" s="25"/>
      <c r="O1549" s="25"/>
    </row>
    <row r="1550" spans="7:15">
      <c r="G1550" s="25"/>
      <c r="O1550" s="25"/>
    </row>
    <row r="1551" spans="7:15">
      <c r="G1551" s="25"/>
      <c r="O1551" s="25"/>
    </row>
    <row r="1552" spans="7:15">
      <c r="G1552" s="25"/>
      <c r="O1552" s="25"/>
    </row>
    <row r="1553" spans="7:15">
      <c r="G1553" s="25"/>
      <c r="O1553" s="25"/>
    </row>
    <row r="1554" spans="7:15">
      <c r="G1554" s="25"/>
      <c r="O1554" s="25"/>
    </row>
    <row r="1555" spans="7:15">
      <c r="G1555" s="25"/>
      <c r="O1555" s="25"/>
    </row>
    <row r="1556" spans="7:15">
      <c r="G1556" s="25"/>
      <c r="O1556" s="25"/>
    </row>
    <row r="1557" spans="7:15">
      <c r="G1557" s="25"/>
      <c r="O1557" s="2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2026-10-22T00:23:47Z</dcterms:modified>
</cp:coreProperties>
</file>