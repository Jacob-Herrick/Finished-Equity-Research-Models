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Financials\"/>
    </mc:Choice>
  </mc:AlternateContent>
  <xr:revisionPtr revIDLastSave="0" documentId="13_ncr:1_{6A75B26A-DD46-4B57-B54C-2B65747F9A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M&amp;A" sheetId="7" r:id="rId4"/>
    <sheet name="Product Lines" sheetId="5" r:id="rId5"/>
    <sheet name="Management" sheetId="6" r:id="rId6"/>
    <sheet name="Table Formatting" sheetId="4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33" i="2" l="1"/>
  <c r="CR33" i="2" s="1"/>
  <c r="CS33" i="2" s="1"/>
  <c r="CT33" i="2" s="1"/>
  <c r="CU33" i="2" s="1"/>
  <c r="CV33" i="2" s="1"/>
  <c r="CW33" i="2" s="1"/>
  <c r="CX33" i="2" s="1"/>
  <c r="CY33" i="2" s="1"/>
  <c r="CZ33" i="2" s="1"/>
  <c r="CT55" i="2"/>
  <c r="CU55" i="2"/>
  <c r="CQ35" i="2"/>
  <c r="CZ61" i="2"/>
  <c r="C5" i="1" l="1"/>
  <c r="BQ89" i="2"/>
  <c r="BQ80" i="2"/>
  <c r="BQ79" i="2"/>
  <c r="BQ75" i="2"/>
  <c r="BQ77" i="2" s="1"/>
  <c r="BQ63" i="2"/>
  <c r="BQ31" i="2"/>
  <c r="BQ20" i="2"/>
  <c r="BQ19" i="2"/>
  <c r="BQ17" i="2"/>
  <c r="BQ26" i="2" s="1"/>
  <c r="BQ9" i="2"/>
  <c r="BQ8" i="2"/>
  <c r="BQ6" i="2"/>
  <c r="BQ23" i="2" l="1"/>
  <c r="BQ45" i="2"/>
  <c r="BQ44" i="2"/>
  <c r="BQ24" i="2"/>
  <c r="BQ12" i="2"/>
  <c r="BQ13" i="2"/>
  <c r="BQ46" i="2"/>
  <c r="BQ32" i="2"/>
  <c r="BQ81" i="2"/>
  <c r="BQ43" i="2"/>
  <c r="BQ37" i="2" l="1"/>
  <c r="BQ47" i="2"/>
  <c r="BQ48" i="2" l="1"/>
  <c r="BQ39" i="2"/>
  <c r="BQ82" i="2" l="1"/>
  <c r="BQ85" i="2"/>
  <c r="BQ41" i="2"/>
  <c r="BQ83" i="2"/>
  <c r="BQ49" i="2"/>
  <c r="C6" i="1" l="1"/>
  <c r="CZ56" i="2"/>
  <c r="CZ57" i="2"/>
  <c r="CZ63" i="2"/>
  <c r="CZ58" i="2" l="1"/>
  <c r="BP86" i="2"/>
  <c r="BP89" i="2"/>
  <c r="BP80" i="2"/>
  <c r="BP79" i="2"/>
  <c r="BP75" i="2"/>
  <c r="BP77" i="2" s="1"/>
  <c r="BP63" i="2"/>
  <c r="BP31" i="2"/>
  <c r="BP20" i="2"/>
  <c r="BP19" i="2"/>
  <c r="BP17" i="2"/>
  <c r="BP26" i="2" s="1"/>
  <c r="BP9" i="2"/>
  <c r="BP8" i="2"/>
  <c r="BP6" i="2"/>
  <c r="BP12" i="2" s="1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BO80" i="2"/>
  <c r="BO79" i="2"/>
  <c r="BP88" i="2" l="1"/>
  <c r="BQ86" i="2"/>
  <c r="BQ88" i="2" s="1"/>
  <c r="BQ90" i="2" s="1"/>
  <c r="BP90" i="2"/>
  <c r="BP23" i="2"/>
  <c r="BP13" i="2"/>
  <c r="BP45" i="2"/>
  <c r="BP44" i="2"/>
  <c r="BP46" i="2"/>
  <c r="BP81" i="2"/>
  <c r="BP32" i="2"/>
  <c r="BP43" i="2"/>
  <c r="BP24" i="2"/>
  <c r="CP76" i="2"/>
  <c r="CP74" i="2"/>
  <c r="CO74" i="2"/>
  <c r="CN74" i="2"/>
  <c r="CM74" i="2"/>
  <c r="CP73" i="2"/>
  <c r="CO73" i="2"/>
  <c r="CN73" i="2"/>
  <c r="CM73" i="2"/>
  <c r="CP72" i="2"/>
  <c r="CO72" i="2"/>
  <c r="CN72" i="2"/>
  <c r="CM72" i="2"/>
  <c r="CP71" i="2"/>
  <c r="CO71" i="2"/>
  <c r="CN71" i="2"/>
  <c r="CM71" i="2"/>
  <c r="CP70" i="2"/>
  <c r="CO70" i="2"/>
  <c r="CN70" i="2"/>
  <c r="CM70" i="2"/>
  <c r="CP69" i="2"/>
  <c r="CO69" i="2"/>
  <c r="CN69" i="2"/>
  <c r="CM69" i="2"/>
  <c r="CP68" i="2"/>
  <c r="CO68" i="2"/>
  <c r="CN68" i="2"/>
  <c r="CM68" i="2"/>
  <c r="CP67" i="2"/>
  <c r="CO67" i="2"/>
  <c r="CN67" i="2"/>
  <c r="CM67" i="2"/>
  <c r="CP66" i="2"/>
  <c r="CO66" i="2"/>
  <c r="CN66" i="2"/>
  <c r="CM66" i="2"/>
  <c r="CP65" i="2"/>
  <c r="CO65" i="2"/>
  <c r="CN65" i="2"/>
  <c r="CM65" i="2"/>
  <c r="CP62" i="2"/>
  <c r="CO62" i="2"/>
  <c r="CN62" i="2"/>
  <c r="CM62" i="2"/>
  <c r="CP61" i="2"/>
  <c r="CO61" i="2"/>
  <c r="CN61" i="2"/>
  <c r="CM61" i="2"/>
  <c r="CP60" i="2"/>
  <c r="CO60" i="2"/>
  <c r="CN60" i="2"/>
  <c r="CM60" i="2"/>
  <c r="CP59" i="2"/>
  <c r="CO59" i="2"/>
  <c r="CN59" i="2"/>
  <c r="CM59" i="2"/>
  <c r="CP58" i="2"/>
  <c r="CO58" i="2"/>
  <c r="CN58" i="2"/>
  <c r="CM58" i="2"/>
  <c r="CP57" i="2"/>
  <c r="CO57" i="2"/>
  <c r="CN57" i="2"/>
  <c r="CM57" i="2"/>
  <c r="CP56" i="2"/>
  <c r="CO56" i="2"/>
  <c r="CN56" i="2"/>
  <c r="CM56" i="2"/>
  <c r="CP55" i="2"/>
  <c r="CO55" i="2"/>
  <c r="CN55" i="2"/>
  <c r="CM55" i="2"/>
  <c r="CP54" i="2"/>
  <c r="CO54" i="2"/>
  <c r="CN54" i="2"/>
  <c r="CM54" i="2"/>
  <c r="CP53" i="2"/>
  <c r="CO53" i="2"/>
  <c r="CN53" i="2"/>
  <c r="CM53" i="2"/>
  <c r="CP52" i="2"/>
  <c r="CO52" i="2"/>
  <c r="CN52" i="2"/>
  <c r="CM52" i="2"/>
  <c r="CM51" i="2"/>
  <c r="CN51" i="2"/>
  <c r="CO51" i="2"/>
  <c r="CP51" i="2"/>
  <c r="AY76" i="2"/>
  <c r="AZ76" i="2"/>
  <c r="BA76" i="2"/>
  <c r="BC76" i="2"/>
  <c r="BD76" i="2"/>
  <c r="BE76" i="2"/>
  <c r="BB76" i="2"/>
  <c r="CM76" i="2" s="1"/>
  <c r="BG76" i="2"/>
  <c r="BH76" i="2"/>
  <c r="BI76" i="2"/>
  <c r="BI63" i="2"/>
  <c r="BF76" i="2"/>
  <c r="CN76" i="2" s="1"/>
  <c r="BK76" i="2"/>
  <c r="BL76" i="2"/>
  <c r="BM76" i="2"/>
  <c r="BJ76" i="2"/>
  <c r="CO76" i="2" s="1"/>
  <c r="BN75" i="2"/>
  <c r="BN77" i="2" s="1"/>
  <c r="CP77" i="2" s="1"/>
  <c r="BM75" i="2"/>
  <c r="BL75" i="2"/>
  <c r="BK75" i="2"/>
  <c r="BJ75" i="2"/>
  <c r="CO75" i="2" s="1"/>
  <c r="BI75" i="2"/>
  <c r="BH75" i="2"/>
  <c r="BG75" i="2"/>
  <c r="BG77" i="2" s="1"/>
  <c r="BF75" i="2"/>
  <c r="CN75" i="2" s="1"/>
  <c r="BE75" i="2"/>
  <c r="BD75" i="2"/>
  <c r="BD77" i="2" s="1"/>
  <c r="BC75" i="2"/>
  <c r="BC77" i="2" s="1"/>
  <c r="BB75" i="2"/>
  <c r="BA75" i="2"/>
  <c r="AZ75" i="2"/>
  <c r="AY75" i="2"/>
  <c r="BO75" i="2"/>
  <c r="BO77" i="2" s="1"/>
  <c r="BN63" i="2"/>
  <c r="CP63" i="2" s="1"/>
  <c r="BM63" i="2"/>
  <c r="BL63" i="2"/>
  <c r="BK63" i="2"/>
  <c r="BJ63" i="2"/>
  <c r="CO63" i="2" s="1"/>
  <c r="BH63" i="2"/>
  <c r="BG63" i="2"/>
  <c r="BF63" i="2"/>
  <c r="CN63" i="2" s="1"/>
  <c r="BE63" i="2"/>
  <c r="BD63" i="2"/>
  <c r="BC63" i="2"/>
  <c r="BB63" i="2"/>
  <c r="CM63" i="2" s="1"/>
  <c r="BA63" i="2"/>
  <c r="AZ63" i="2"/>
  <c r="AY63" i="2"/>
  <c r="BO63" i="2"/>
  <c r="BA77" i="2" l="1"/>
  <c r="CP79" i="2"/>
  <c r="CP80" i="2"/>
  <c r="CO79" i="2"/>
  <c r="CO80" i="2"/>
  <c r="AY77" i="2"/>
  <c r="CN80" i="2"/>
  <c r="CN79" i="2"/>
  <c r="CS35" i="2"/>
  <c r="CZ35" i="2"/>
  <c r="CR35" i="2"/>
  <c r="CY35" i="2"/>
  <c r="CX35" i="2"/>
  <c r="CW35" i="2"/>
  <c r="CV35" i="2"/>
  <c r="CU35" i="2"/>
  <c r="CT35" i="2"/>
  <c r="AZ77" i="2"/>
  <c r="BB77" i="2"/>
  <c r="CM77" i="2" s="1"/>
  <c r="CM80" i="2"/>
  <c r="CM79" i="2"/>
  <c r="CP75" i="2"/>
  <c r="CW55" i="2"/>
  <c r="BP47" i="2"/>
  <c r="BP37" i="2"/>
  <c r="CM75" i="2"/>
  <c r="BH77" i="2"/>
  <c r="BK77" i="2"/>
  <c r="BE77" i="2"/>
  <c r="BI77" i="2"/>
  <c r="BJ77" i="2"/>
  <c r="CO77" i="2" s="1"/>
  <c r="BL77" i="2"/>
  <c r="BM77" i="2"/>
  <c r="BF77" i="2"/>
  <c r="CN77" i="2" s="1"/>
  <c r="BP48" i="2" l="1"/>
  <c r="BP39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P85" i="2" l="1"/>
  <c r="BP41" i="2"/>
  <c r="BP83" i="2"/>
  <c r="BP49" i="2"/>
  <c r="BP82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O88" i="2"/>
  <c r="BN90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H90" i="2" s="1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O89" i="2"/>
  <c r="BE90" i="2" l="1"/>
  <c r="BL90" i="2"/>
  <c r="D90" i="2"/>
  <c r="L90" i="2"/>
  <c r="T90" i="2"/>
  <c r="AB90" i="2"/>
  <c r="AJ90" i="2"/>
  <c r="AR90" i="2"/>
  <c r="AZ90" i="2"/>
  <c r="BH90" i="2"/>
  <c r="BK90" i="2"/>
  <c r="M90" i="2"/>
  <c r="U90" i="2"/>
  <c r="AK90" i="2"/>
  <c r="BI90" i="2"/>
  <c r="N90" i="2"/>
  <c r="V90" i="2"/>
  <c r="AD90" i="2"/>
  <c r="AL90" i="2"/>
  <c r="AT90" i="2"/>
  <c r="BJ90" i="2"/>
  <c r="E90" i="2"/>
  <c r="AC90" i="2"/>
  <c r="AS90" i="2"/>
  <c r="BA90" i="2"/>
  <c r="F90" i="2"/>
  <c r="BB90" i="2"/>
  <c r="H90" i="2"/>
  <c r="P90" i="2"/>
  <c r="X90" i="2"/>
  <c r="AF90" i="2"/>
  <c r="AN90" i="2"/>
  <c r="AV90" i="2"/>
  <c r="BD90" i="2"/>
  <c r="I90" i="2"/>
  <c r="Q90" i="2"/>
  <c r="Y90" i="2"/>
  <c r="AG90" i="2"/>
  <c r="AO90" i="2"/>
  <c r="AW90" i="2"/>
  <c r="BM90" i="2"/>
  <c r="BO90" i="2"/>
  <c r="J90" i="2"/>
  <c r="R90" i="2"/>
  <c r="Z90" i="2"/>
  <c r="AP90" i="2"/>
  <c r="AX90" i="2"/>
  <c r="BF90" i="2"/>
  <c r="CN88" i="2"/>
  <c r="CP88" i="2"/>
  <c r="BC90" i="2"/>
  <c r="W90" i="2"/>
  <c r="CF88" i="2"/>
  <c r="AE90" i="2"/>
  <c r="CH88" i="2"/>
  <c r="AM90" i="2"/>
  <c r="CJ88" i="2"/>
  <c r="AU90" i="2"/>
  <c r="CL88" i="2"/>
  <c r="G90" i="2"/>
  <c r="CB88" i="2"/>
  <c r="O90" i="2"/>
  <c r="CD88" i="2"/>
  <c r="C90" i="2"/>
  <c r="CA88" i="2"/>
  <c r="K90" i="2"/>
  <c r="CC88" i="2"/>
  <c r="S90" i="2"/>
  <c r="CE88" i="2"/>
  <c r="AA90" i="2"/>
  <c r="CG88" i="2"/>
  <c r="AI90" i="2"/>
  <c r="CI88" i="2"/>
  <c r="AQ90" i="2"/>
  <c r="CK88" i="2"/>
  <c r="AY90" i="2"/>
  <c r="CM88" i="2"/>
  <c r="BG90" i="2"/>
  <c r="CO88" i="2"/>
  <c r="BM20" i="2"/>
  <c r="BL20" i="2"/>
  <c r="BK20" i="2"/>
  <c r="BI20" i="2"/>
  <c r="BH20" i="2"/>
  <c r="BG20" i="2"/>
  <c r="BM19" i="2"/>
  <c r="BL19" i="2"/>
  <c r="BK19" i="2"/>
  <c r="BI19" i="2"/>
  <c r="BH19" i="2"/>
  <c r="BG19" i="2"/>
  <c r="BE19" i="2"/>
  <c r="BD19" i="2"/>
  <c r="BC19" i="2"/>
  <c r="BA19" i="2"/>
  <c r="AZ19" i="2"/>
  <c r="AY19" i="2"/>
  <c r="BO20" i="2"/>
  <c r="BO19" i="2"/>
  <c r="BM9" i="2"/>
  <c r="BL9" i="2"/>
  <c r="BK9" i="2"/>
  <c r="BI9" i="2"/>
  <c r="BH9" i="2"/>
  <c r="BG9" i="2"/>
  <c r="BE9" i="2"/>
  <c r="BC9" i="2"/>
  <c r="BA9" i="2"/>
  <c r="AY9" i="2"/>
  <c r="BM8" i="2"/>
  <c r="BL8" i="2"/>
  <c r="BK8" i="2"/>
  <c r="BI8" i="2"/>
  <c r="BH8" i="2"/>
  <c r="BG8" i="2"/>
  <c r="BO9" i="2"/>
  <c r="BO8" i="2"/>
  <c r="CP40" i="2"/>
  <c r="CP89" i="2" s="1"/>
  <c r="CO40" i="2"/>
  <c r="CO89" i="2" s="1"/>
  <c r="CN40" i="2"/>
  <c r="CN89" i="2" s="1"/>
  <c r="CM40" i="2"/>
  <c r="CM89" i="2" s="1"/>
  <c r="CL40" i="2"/>
  <c r="CL89" i="2" s="1"/>
  <c r="CK40" i="2"/>
  <c r="CK89" i="2" s="1"/>
  <c r="CJ40" i="2"/>
  <c r="CJ89" i="2" s="1"/>
  <c r="CI40" i="2"/>
  <c r="CI89" i="2" s="1"/>
  <c r="CH40" i="2"/>
  <c r="CH89" i="2" s="1"/>
  <c r="CG40" i="2"/>
  <c r="CG89" i="2" s="1"/>
  <c r="CF40" i="2"/>
  <c r="CF89" i="2" s="1"/>
  <c r="CE40" i="2"/>
  <c r="CE89" i="2" s="1"/>
  <c r="CD40" i="2"/>
  <c r="CD89" i="2" s="1"/>
  <c r="CC40" i="2"/>
  <c r="CC89" i="2" s="1"/>
  <c r="CB40" i="2"/>
  <c r="CB89" i="2" s="1"/>
  <c r="CA40" i="2"/>
  <c r="CA89" i="2" s="1"/>
  <c r="CK38" i="2"/>
  <c r="CJ38" i="2"/>
  <c r="CI38" i="2"/>
  <c r="CH38" i="2"/>
  <c r="CG38" i="2"/>
  <c r="CF38" i="2"/>
  <c r="CE38" i="2"/>
  <c r="CD38" i="2"/>
  <c r="CC38" i="2"/>
  <c r="CB38" i="2"/>
  <c r="CA38" i="2"/>
  <c r="CK36" i="2"/>
  <c r="CJ36" i="2"/>
  <c r="CI36" i="2"/>
  <c r="CH36" i="2"/>
  <c r="CG36" i="2"/>
  <c r="CF36" i="2"/>
  <c r="CE36" i="2"/>
  <c r="CD36" i="2"/>
  <c r="CC36" i="2"/>
  <c r="CB36" i="2"/>
  <c r="CA36" i="2"/>
  <c r="CK35" i="2"/>
  <c r="CJ35" i="2"/>
  <c r="CI35" i="2"/>
  <c r="CH35" i="2"/>
  <c r="CG35" i="2"/>
  <c r="CF35" i="2"/>
  <c r="CE35" i="2"/>
  <c r="CD35" i="2"/>
  <c r="CC35" i="2"/>
  <c r="CB35" i="2"/>
  <c r="CA35" i="2"/>
  <c r="CK34" i="2"/>
  <c r="CJ34" i="2"/>
  <c r="CI34" i="2"/>
  <c r="CH34" i="2"/>
  <c r="CG34" i="2"/>
  <c r="CF34" i="2"/>
  <c r="CE34" i="2"/>
  <c r="CD34" i="2"/>
  <c r="CC34" i="2"/>
  <c r="CB34" i="2"/>
  <c r="CA34" i="2"/>
  <c r="CK33" i="2"/>
  <c r="CJ33" i="2"/>
  <c r="CI33" i="2"/>
  <c r="CH33" i="2"/>
  <c r="CG33" i="2"/>
  <c r="CF33" i="2"/>
  <c r="CE33" i="2"/>
  <c r="CD33" i="2"/>
  <c r="CC33" i="2"/>
  <c r="CB33" i="2"/>
  <c r="CA33" i="2"/>
  <c r="CK30" i="2"/>
  <c r="CJ30" i="2"/>
  <c r="CI30" i="2"/>
  <c r="CH30" i="2"/>
  <c r="CG30" i="2"/>
  <c r="CF30" i="2"/>
  <c r="CE30" i="2"/>
  <c r="CD30" i="2"/>
  <c r="CC30" i="2"/>
  <c r="CB30" i="2"/>
  <c r="CA30" i="2"/>
  <c r="CK29" i="2"/>
  <c r="CJ29" i="2"/>
  <c r="CI29" i="2"/>
  <c r="CH29" i="2"/>
  <c r="CG29" i="2"/>
  <c r="CF29" i="2"/>
  <c r="CE29" i="2"/>
  <c r="CD29" i="2"/>
  <c r="CC29" i="2"/>
  <c r="CB29" i="2"/>
  <c r="CA29" i="2"/>
  <c r="CK27" i="2"/>
  <c r="CJ27" i="2"/>
  <c r="CI27" i="2"/>
  <c r="CH27" i="2"/>
  <c r="CG27" i="2"/>
  <c r="CF27" i="2"/>
  <c r="CE27" i="2"/>
  <c r="CD27" i="2"/>
  <c r="CC27" i="2"/>
  <c r="CB27" i="2"/>
  <c r="CA27" i="2"/>
  <c r="CK26" i="2"/>
  <c r="CJ26" i="2"/>
  <c r="CI26" i="2"/>
  <c r="CH26" i="2"/>
  <c r="CG26" i="2"/>
  <c r="CF26" i="2"/>
  <c r="CE26" i="2"/>
  <c r="CD26" i="2"/>
  <c r="CC26" i="2"/>
  <c r="CB26" i="2"/>
  <c r="CA26" i="2"/>
  <c r="AX38" i="2"/>
  <c r="CL38" i="2" s="1"/>
  <c r="AX36" i="2"/>
  <c r="CL36" i="2" s="1"/>
  <c r="AX35" i="2"/>
  <c r="CL35" i="2" s="1"/>
  <c r="AX34" i="2"/>
  <c r="CL34" i="2" s="1"/>
  <c r="AX33" i="2"/>
  <c r="CL33" i="2" s="1"/>
  <c r="AX30" i="2"/>
  <c r="CL30" i="2" s="1"/>
  <c r="AX29" i="2"/>
  <c r="CL29" i="2" s="1"/>
  <c r="AX28" i="2"/>
  <c r="CL28" i="2" s="1"/>
  <c r="AX27" i="2"/>
  <c r="CL27" i="2" s="1"/>
  <c r="BB38" i="2"/>
  <c r="CM38" i="2" s="1"/>
  <c r="BB36" i="2"/>
  <c r="CM36" i="2" s="1"/>
  <c r="BB35" i="2"/>
  <c r="CM35" i="2" s="1"/>
  <c r="BB34" i="2"/>
  <c r="CM34" i="2" s="1"/>
  <c r="BB33" i="2"/>
  <c r="CM33" i="2" s="1"/>
  <c r="BB30" i="2"/>
  <c r="CM30" i="2" s="1"/>
  <c r="BB29" i="2"/>
  <c r="CM29" i="2" s="1"/>
  <c r="BB28" i="2"/>
  <c r="CM28" i="2" s="1"/>
  <c r="BB27" i="2"/>
  <c r="CM27" i="2" s="1"/>
  <c r="C28" i="2"/>
  <c r="C31" i="2" s="1"/>
  <c r="C32" i="2" s="1"/>
  <c r="D28" i="2"/>
  <c r="D31" i="2" s="1"/>
  <c r="D32" i="2" s="1"/>
  <c r="D37" i="2" s="1"/>
  <c r="D39" i="2" s="1"/>
  <c r="E28" i="2"/>
  <c r="E31" i="2" s="1"/>
  <c r="E32" i="2" s="1"/>
  <c r="E37" i="2" s="1"/>
  <c r="E39" i="2" s="1"/>
  <c r="E41" i="2" s="1"/>
  <c r="F28" i="2"/>
  <c r="F31" i="2" s="1"/>
  <c r="F32" i="2" s="1"/>
  <c r="F37" i="2" s="1"/>
  <c r="F39" i="2" s="1"/>
  <c r="F41" i="2" s="1"/>
  <c r="G28" i="2"/>
  <c r="H28" i="2"/>
  <c r="H31" i="2" s="1"/>
  <c r="H32" i="2" s="1"/>
  <c r="H37" i="2" s="1"/>
  <c r="H39" i="2" s="1"/>
  <c r="H41" i="2" s="1"/>
  <c r="I28" i="2"/>
  <c r="I31" i="2" s="1"/>
  <c r="I32" i="2" s="1"/>
  <c r="I37" i="2" s="1"/>
  <c r="I39" i="2" s="1"/>
  <c r="I41" i="2" s="1"/>
  <c r="J28" i="2"/>
  <c r="J31" i="2" s="1"/>
  <c r="J32" i="2" s="1"/>
  <c r="J37" i="2" s="1"/>
  <c r="J39" i="2" s="1"/>
  <c r="K28" i="2"/>
  <c r="K31" i="2" s="1"/>
  <c r="K32" i="2" s="1"/>
  <c r="L28" i="2"/>
  <c r="L31" i="2" s="1"/>
  <c r="L32" i="2" s="1"/>
  <c r="L37" i="2" s="1"/>
  <c r="L39" i="2" s="1"/>
  <c r="M28" i="2"/>
  <c r="M31" i="2" s="1"/>
  <c r="M32" i="2" s="1"/>
  <c r="M37" i="2" s="1"/>
  <c r="M39" i="2" s="1"/>
  <c r="M41" i="2" s="1"/>
  <c r="N28" i="2"/>
  <c r="N31" i="2" s="1"/>
  <c r="N32" i="2" s="1"/>
  <c r="N37" i="2" s="1"/>
  <c r="N39" i="2" s="1"/>
  <c r="O28" i="2"/>
  <c r="O31" i="2" s="1"/>
  <c r="O32" i="2" s="1"/>
  <c r="O37" i="2" s="1"/>
  <c r="O39" i="2" s="1"/>
  <c r="P28" i="2"/>
  <c r="P31" i="2" s="1"/>
  <c r="P32" i="2" s="1"/>
  <c r="P37" i="2" s="1"/>
  <c r="P39" i="2" s="1"/>
  <c r="P41" i="2" s="1"/>
  <c r="Q28" i="2"/>
  <c r="Q31" i="2" s="1"/>
  <c r="Q32" i="2" s="1"/>
  <c r="Q37" i="2" s="1"/>
  <c r="Q39" i="2" s="1"/>
  <c r="Q41" i="2" s="1"/>
  <c r="R28" i="2"/>
  <c r="R31" i="2" s="1"/>
  <c r="R32" i="2" s="1"/>
  <c r="R37" i="2" s="1"/>
  <c r="R39" i="2" s="1"/>
  <c r="S28" i="2"/>
  <c r="S31" i="2" s="1"/>
  <c r="S32" i="2" s="1"/>
  <c r="T28" i="2"/>
  <c r="T31" i="2" s="1"/>
  <c r="T32" i="2" s="1"/>
  <c r="T37" i="2" s="1"/>
  <c r="T39" i="2" s="1"/>
  <c r="U28" i="2"/>
  <c r="U31" i="2" s="1"/>
  <c r="U32" i="2" s="1"/>
  <c r="U37" i="2" s="1"/>
  <c r="U39" i="2" s="1"/>
  <c r="V28" i="2"/>
  <c r="V31" i="2" s="1"/>
  <c r="V32" i="2" s="1"/>
  <c r="V37" i="2" s="1"/>
  <c r="V39" i="2" s="1"/>
  <c r="W28" i="2"/>
  <c r="W31" i="2" s="1"/>
  <c r="W32" i="2" s="1"/>
  <c r="W37" i="2" s="1"/>
  <c r="W39" i="2" s="1"/>
  <c r="X28" i="2"/>
  <c r="X31" i="2" s="1"/>
  <c r="X32" i="2" s="1"/>
  <c r="X37" i="2" s="1"/>
  <c r="X39" i="2" s="1"/>
  <c r="X41" i="2" s="1"/>
  <c r="Y28" i="2"/>
  <c r="Y31" i="2" s="1"/>
  <c r="Y32" i="2" s="1"/>
  <c r="Y37" i="2" s="1"/>
  <c r="Y39" i="2" s="1"/>
  <c r="Y41" i="2" s="1"/>
  <c r="Z28" i="2"/>
  <c r="Z31" i="2" s="1"/>
  <c r="Z32" i="2" s="1"/>
  <c r="Z37" i="2" s="1"/>
  <c r="Z39" i="2" s="1"/>
  <c r="AA28" i="2"/>
  <c r="AA31" i="2" s="1"/>
  <c r="AA32" i="2" s="1"/>
  <c r="AA37" i="2" s="1"/>
  <c r="AA39" i="2" s="1"/>
  <c r="AB28" i="2"/>
  <c r="AC28" i="2"/>
  <c r="AC31" i="2" s="1"/>
  <c r="AC32" i="2" s="1"/>
  <c r="AD28" i="2"/>
  <c r="AD31" i="2" s="1"/>
  <c r="AD32" i="2" s="1"/>
  <c r="AD37" i="2" s="1"/>
  <c r="AD39" i="2" s="1"/>
  <c r="AD41" i="2" s="1"/>
  <c r="AE28" i="2"/>
  <c r="AF28" i="2"/>
  <c r="AF31" i="2" s="1"/>
  <c r="AF32" i="2" s="1"/>
  <c r="AF37" i="2" s="1"/>
  <c r="AF39" i="2" s="1"/>
  <c r="AF41" i="2" s="1"/>
  <c r="AG28" i="2"/>
  <c r="AG31" i="2" s="1"/>
  <c r="AG32" i="2" s="1"/>
  <c r="AH28" i="2"/>
  <c r="AH31" i="2" s="1"/>
  <c r="AH32" i="2" s="1"/>
  <c r="AH37" i="2" s="1"/>
  <c r="AH39" i="2" s="1"/>
  <c r="AI28" i="2"/>
  <c r="AI31" i="2" s="1"/>
  <c r="AI32" i="2" s="1"/>
  <c r="AI37" i="2" s="1"/>
  <c r="AI39" i="2" s="1"/>
  <c r="AJ28" i="2"/>
  <c r="AJ31" i="2" s="1"/>
  <c r="AJ32" i="2" s="1"/>
  <c r="AJ37" i="2" s="1"/>
  <c r="AJ39" i="2" s="1"/>
  <c r="AK28" i="2"/>
  <c r="AK31" i="2" s="1"/>
  <c r="AK32" i="2" s="1"/>
  <c r="AK37" i="2" s="1"/>
  <c r="AL28" i="2"/>
  <c r="AL31" i="2" s="1"/>
  <c r="AL32" i="2" s="1"/>
  <c r="AL37" i="2" s="1"/>
  <c r="AL39" i="2" s="1"/>
  <c r="AL41" i="2" s="1"/>
  <c r="AM28" i="2"/>
  <c r="AN28" i="2"/>
  <c r="AN31" i="2" s="1"/>
  <c r="AN32" i="2" s="1"/>
  <c r="AN37" i="2" s="1"/>
  <c r="AN39" i="2" s="1"/>
  <c r="AN41" i="2" s="1"/>
  <c r="AO28" i="2"/>
  <c r="AO31" i="2" s="1"/>
  <c r="AO32" i="2" s="1"/>
  <c r="AO37" i="2" s="1"/>
  <c r="AO39" i="2" s="1"/>
  <c r="AO41" i="2" s="1"/>
  <c r="AP28" i="2"/>
  <c r="AP31" i="2" s="1"/>
  <c r="AP32" i="2" s="1"/>
  <c r="AP37" i="2" s="1"/>
  <c r="AP39" i="2" s="1"/>
  <c r="AQ28" i="2"/>
  <c r="AQ31" i="2" s="1"/>
  <c r="AQ32" i="2" s="1"/>
  <c r="AR28" i="2"/>
  <c r="AR31" i="2" s="1"/>
  <c r="AR32" i="2" s="1"/>
  <c r="AS28" i="2"/>
  <c r="AS31" i="2" s="1"/>
  <c r="AS32" i="2" s="1"/>
  <c r="AT28" i="2"/>
  <c r="AT31" i="2" s="1"/>
  <c r="AT32" i="2" s="1"/>
  <c r="AT37" i="2" s="1"/>
  <c r="AT39" i="2" s="1"/>
  <c r="AW31" i="2"/>
  <c r="AV31" i="2"/>
  <c r="AU31" i="2"/>
  <c r="AU16" i="2"/>
  <c r="AU17" i="2" s="1"/>
  <c r="AU26" i="2" s="1"/>
  <c r="AU4" i="2"/>
  <c r="AU6" i="2" s="1"/>
  <c r="AU13" i="2" s="1"/>
  <c r="AV16" i="2"/>
  <c r="AV17" i="2" s="1"/>
  <c r="AV4" i="2"/>
  <c r="AV6" i="2" s="1"/>
  <c r="AV13" i="2" s="1"/>
  <c r="AW16" i="2"/>
  <c r="AW17" i="2" s="1"/>
  <c r="AW23" i="2" s="1"/>
  <c r="AW4" i="2"/>
  <c r="AW6" i="2" s="1"/>
  <c r="AW13" i="2" s="1"/>
  <c r="AY16" i="2"/>
  <c r="AY17" i="2" s="1"/>
  <c r="AY26" i="2" s="1"/>
  <c r="AY4" i="2"/>
  <c r="AZ16" i="2"/>
  <c r="AZ17" i="2" s="1"/>
  <c r="AZ5" i="2"/>
  <c r="AZ4" i="2"/>
  <c r="BA16" i="2"/>
  <c r="BA4" i="2"/>
  <c r="AX15" i="2"/>
  <c r="AX5" i="2"/>
  <c r="CL5" i="2" s="1"/>
  <c r="BB15" i="2"/>
  <c r="BF16" i="2"/>
  <c r="CN16" i="2" s="1"/>
  <c r="BF15" i="2"/>
  <c r="CN15" i="2" s="1"/>
  <c r="BF5" i="2"/>
  <c r="BF4" i="2"/>
  <c r="BJ16" i="2"/>
  <c r="BJ15" i="2"/>
  <c r="BJ5" i="2"/>
  <c r="CO5" i="2" s="1"/>
  <c r="BJ4" i="2"/>
  <c r="CO4" i="2" s="1"/>
  <c r="BF38" i="2"/>
  <c r="CN38" i="2" s="1"/>
  <c r="BF36" i="2"/>
  <c r="CN36" i="2" s="1"/>
  <c r="BF35" i="2"/>
  <c r="CN35" i="2" s="1"/>
  <c r="BF34" i="2"/>
  <c r="CN34" i="2" s="1"/>
  <c r="BF33" i="2"/>
  <c r="CN33" i="2" s="1"/>
  <c r="BF30" i="2"/>
  <c r="CN30" i="2" s="1"/>
  <c r="BF29" i="2"/>
  <c r="CN29" i="2" s="1"/>
  <c r="BF28" i="2"/>
  <c r="CN28" i="2" s="1"/>
  <c r="BF27" i="2"/>
  <c r="CN27" i="2" s="1"/>
  <c r="BJ38" i="2"/>
  <c r="CO38" i="2" s="1"/>
  <c r="BJ36" i="2"/>
  <c r="CO36" i="2" s="1"/>
  <c r="BJ35" i="2"/>
  <c r="CO35" i="2" s="1"/>
  <c r="BJ34" i="2"/>
  <c r="CO34" i="2" s="1"/>
  <c r="BJ33" i="2"/>
  <c r="CO33" i="2" s="1"/>
  <c r="BJ30" i="2"/>
  <c r="CO30" i="2" s="1"/>
  <c r="BJ29" i="2"/>
  <c r="CO29" i="2" s="1"/>
  <c r="BJ28" i="2"/>
  <c r="CO28" i="2" s="1"/>
  <c r="BJ27" i="2"/>
  <c r="CO27" i="2" s="1"/>
  <c r="BN38" i="2"/>
  <c r="CP38" i="2" s="1"/>
  <c r="BN36" i="2"/>
  <c r="CP36" i="2" s="1"/>
  <c r="BN35" i="2"/>
  <c r="CP35" i="2" s="1"/>
  <c r="BN34" i="2"/>
  <c r="CP34" i="2" s="1"/>
  <c r="BN33" i="2"/>
  <c r="CP33" i="2" s="1"/>
  <c r="BN30" i="2"/>
  <c r="CP30" i="2" s="1"/>
  <c r="BN29" i="2"/>
  <c r="CP29" i="2" s="1"/>
  <c r="BN28" i="2"/>
  <c r="CP28" i="2" s="1"/>
  <c r="BN27" i="2"/>
  <c r="CP27" i="2" s="1"/>
  <c r="BM31" i="2"/>
  <c r="BL31" i="2"/>
  <c r="BK31" i="2"/>
  <c r="BI31" i="2"/>
  <c r="BH31" i="2"/>
  <c r="BG31" i="2"/>
  <c r="BE31" i="2"/>
  <c r="BD31" i="2"/>
  <c r="BC31" i="2"/>
  <c r="BA31" i="2"/>
  <c r="AZ31" i="2"/>
  <c r="AY31" i="2"/>
  <c r="BO31" i="2"/>
  <c r="BN16" i="2"/>
  <c r="CP16" i="2" s="1"/>
  <c r="BN15" i="2"/>
  <c r="BN4" i="2"/>
  <c r="BN5" i="2"/>
  <c r="CP5" i="2" s="1"/>
  <c r="CQ5" i="2" s="1"/>
  <c r="CR5" i="2" s="1"/>
  <c r="CS5" i="2" s="1"/>
  <c r="CT5" i="2" s="1"/>
  <c r="CU5" i="2" s="1"/>
  <c r="CV5" i="2" s="1"/>
  <c r="CW5" i="2" s="1"/>
  <c r="CX5" i="2" s="1"/>
  <c r="CY5" i="2" s="1"/>
  <c r="CZ5" i="2" s="1"/>
  <c r="BM6" i="2"/>
  <c r="BQ10" i="2" s="1"/>
  <c r="BL6" i="2"/>
  <c r="BK6" i="2"/>
  <c r="BK12" i="2" s="1"/>
  <c r="BI6" i="2"/>
  <c r="BI12" i="2" s="1"/>
  <c r="BH6" i="2"/>
  <c r="BG6" i="2"/>
  <c r="BE6" i="2"/>
  <c r="BE12" i="2" s="1"/>
  <c r="BD6" i="2"/>
  <c r="BD12" i="2" s="1"/>
  <c r="BC6" i="2"/>
  <c r="BM17" i="2"/>
  <c r="BL17" i="2"/>
  <c r="BK17" i="2"/>
  <c r="BK26" i="2" s="1"/>
  <c r="BI17" i="2"/>
  <c r="BI23" i="2" s="1"/>
  <c r="BH17" i="2"/>
  <c r="BH23" i="2" s="1"/>
  <c r="BG17" i="2"/>
  <c r="BE17" i="2"/>
  <c r="BE24" i="2" s="1"/>
  <c r="BD17" i="2"/>
  <c r="BD26" i="2" s="1"/>
  <c r="BC17" i="2"/>
  <c r="BC26" i="2" s="1"/>
  <c r="BO17" i="2"/>
  <c r="BO26" i="2" s="1"/>
  <c r="BO6" i="2"/>
  <c r="BD46" i="2" l="1"/>
  <c r="BD81" i="2"/>
  <c r="BK44" i="2"/>
  <c r="BK81" i="2"/>
  <c r="AY45" i="2"/>
  <c r="AY81" i="2"/>
  <c r="BO46" i="2"/>
  <c r="BO81" i="2"/>
  <c r="BL26" i="2"/>
  <c r="BP21" i="2"/>
  <c r="BC44" i="2"/>
  <c r="BC81" i="2"/>
  <c r="BM26" i="2"/>
  <c r="BQ21" i="2"/>
  <c r="BL13" i="2"/>
  <c r="BP10" i="2"/>
  <c r="BO10" i="2"/>
  <c r="BL46" i="2"/>
  <c r="AY20" i="2"/>
  <c r="BL24" i="2"/>
  <c r="CP90" i="2"/>
  <c r="BK24" i="2"/>
  <c r="BC20" i="2"/>
  <c r="H48" i="2"/>
  <c r="CN90" i="2"/>
  <c r="BM24" i="2"/>
  <c r="AZ8" i="2"/>
  <c r="CF43" i="2"/>
  <c r="BL12" i="2"/>
  <c r="CH90" i="2"/>
  <c r="BC21" i="2"/>
  <c r="BD21" i="2"/>
  <c r="AZ23" i="2"/>
  <c r="BB19" i="2"/>
  <c r="X48" i="2"/>
  <c r="BO21" i="2"/>
  <c r="BC23" i="2"/>
  <c r="CG43" i="2"/>
  <c r="BL10" i="2"/>
  <c r="BO23" i="2"/>
  <c r="CK90" i="2"/>
  <c r="CC90" i="2"/>
  <c r="CL90" i="2"/>
  <c r="BD20" i="2"/>
  <c r="CI90" i="2"/>
  <c r="AF48" i="2"/>
  <c r="BH13" i="2"/>
  <c r="BJ19" i="2"/>
  <c r="AN48" i="2"/>
  <c r="BA8" i="2"/>
  <c r="BO43" i="2"/>
  <c r="BK13" i="2"/>
  <c r="BM21" i="2"/>
  <c r="AY24" i="2"/>
  <c r="AY21" i="2"/>
  <c r="AY8" i="2"/>
  <c r="CJ90" i="2"/>
  <c r="BO24" i="2"/>
  <c r="BI13" i="2"/>
  <c r="BL21" i="2"/>
  <c r="BC43" i="2"/>
  <c r="BC8" i="2"/>
  <c r="AU23" i="2"/>
  <c r="BC24" i="2"/>
  <c r="CA90" i="2"/>
  <c r="CF39" i="2"/>
  <c r="CF49" i="2" s="1"/>
  <c r="AU24" i="2"/>
  <c r="BI10" i="2"/>
  <c r="BL44" i="2"/>
  <c r="CO15" i="2"/>
  <c r="CO19" i="2" s="1"/>
  <c r="CE43" i="2"/>
  <c r="AY23" i="2"/>
  <c r="BD24" i="2"/>
  <c r="O49" i="2"/>
  <c r="O85" i="2"/>
  <c r="CF32" i="2"/>
  <c r="CF47" i="2" s="1"/>
  <c r="BC12" i="2"/>
  <c r="BC13" i="2"/>
  <c r="BJ20" i="2"/>
  <c r="CO16" i="2"/>
  <c r="BN20" i="2"/>
  <c r="AT49" i="2"/>
  <c r="AT85" i="2"/>
  <c r="V49" i="2"/>
  <c r="V85" i="2"/>
  <c r="BN9" i="2"/>
  <c r="M49" i="2"/>
  <c r="M85" i="2"/>
  <c r="CD28" i="2"/>
  <c r="CD44" i="2" s="1"/>
  <c r="AM31" i="2"/>
  <c r="CJ28" i="2"/>
  <c r="CJ44" i="2" s="1"/>
  <c r="AE31" i="2"/>
  <c r="CH28" i="2"/>
  <c r="CH44" i="2" s="1"/>
  <c r="G31" i="2"/>
  <c r="CB28" i="2"/>
  <c r="CB44" i="2" s="1"/>
  <c r="CD31" i="2"/>
  <c r="BM13" i="2"/>
  <c r="BM10" i="2"/>
  <c r="BE8" i="2"/>
  <c r="AL49" i="2"/>
  <c r="AL85" i="2"/>
  <c r="N85" i="2"/>
  <c r="N49" i="2"/>
  <c r="CF37" i="2"/>
  <c r="CF48" i="2" s="1"/>
  <c r="BD13" i="2"/>
  <c r="BA17" i="2"/>
  <c r="BA24" i="2" s="1"/>
  <c r="BA20" i="2"/>
  <c r="U85" i="2"/>
  <c r="U49" i="2"/>
  <c r="BG26" i="2"/>
  <c r="BG21" i="2"/>
  <c r="BG24" i="2"/>
  <c r="CP4" i="2"/>
  <c r="CQ4" i="2" s="1"/>
  <c r="BN8" i="2"/>
  <c r="CN5" i="2"/>
  <c r="CO9" i="2" s="1"/>
  <c r="BD8" i="2"/>
  <c r="AR37" i="2"/>
  <c r="AR39" i="2" s="1"/>
  <c r="AR47" i="2"/>
  <c r="T49" i="2"/>
  <c r="T85" i="2"/>
  <c r="T41" i="2"/>
  <c r="D49" i="2"/>
  <c r="D85" i="2"/>
  <c r="D41" i="2"/>
  <c r="CD46" i="2"/>
  <c r="CD39" i="2"/>
  <c r="CD49" i="2" s="1"/>
  <c r="O41" i="2"/>
  <c r="BH10" i="2"/>
  <c r="AV24" i="2"/>
  <c r="BG13" i="2"/>
  <c r="BG10" i="2"/>
  <c r="BG12" i="2"/>
  <c r="BK10" i="2"/>
  <c r="BB5" i="2"/>
  <c r="BF9" i="2" s="1"/>
  <c r="BD9" i="2"/>
  <c r="CC32" i="2"/>
  <c r="CC47" i="2" s="1"/>
  <c r="CD45" i="2"/>
  <c r="AZ9" i="2"/>
  <c r="BJ9" i="2"/>
  <c r="BE20" i="2"/>
  <c r="AW24" i="2"/>
  <c r="BI26" i="2"/>
  <c r="BI24" i="2"/>
  <c r="BI21" i="2"/>
  <c r="AZ21" i="2"/>
  <c r="CN4" i="2"/>
  <c r="CO8" i="2" s="1"/>
  <c r="CE45" i="2"/>
  <c r="CF46" i="2"/>
  <c r="AT41" i="2"/>
  <c r="BM12" i="2"/>
  <c r="CF45" i="2"/>
  <c r="CD32" i="2"/>
  <c r="CD47" i="2" s="1"/>
  <c r="U41" i="2"/>
  <c r="AV12" i="2"/>
  <c r="W49" i="2"/>
  <c r="W85" i="2"/>
  <c r="W41" i="2"/>
  <c r="AD49" i="2"/>
  <c r="AD85" i="2"/>
  <c r="F49" i="2"/>
  <c r="F85" i="2"/>
  <c r="CP9" i="2"/>
  <c r="CE31" i="2"/>
  <c r="BE26" i="2"/>
  <c r="BE23" i="2"/>
  <c r="E49" i="2"/>
  <c r="E85" i="2"/>
  <c r="CF31" i="2"/>
  <c r="N41" i="2"/>
  <c r="BE13" i="2"/>
  <c r="AV26" i="2"/>
  <c r="AV32" i="2" s="1"/>
  <c r="AV23" i="2"/>
  <c r="AJ85" i="2"/>
  <c r="AJ41" i="2"/>
  <c r="AJ49" i="2"/>
  <c r="AB31" i="2"/>
  <c r="CG28" i="2"/>
  <c r="CG44" i="2" s="1"/>
  <c r="L85" i="2"/>
  <c r="L41" i="2"/>
  <c r="L49" i="2"/>
  <c r="CE28" i="2"/>
  <c r="CE44" i="2" s="1"/>
  <c r="BH26" i="2"/>
  <c r="BH24" i="2"/>
  <c r="BH21" i="2"/>
  <c r="BN19" i="2"/>
  <c r="BF19" i="2"/>
  <c r="CK32" i="2"/>
  <c r="CK47" i="2" s="1"/>
  <c r="CA32" i="2"/>
  <c r="CA47" i="2" s="1"/>
  <c r="CF28" i="2"/>
  <c r="CF44" i="2" s="1"/>
  <c r="CE46" i="2"/>
  <c r="CP15" i="2"/>
  <c r="CD43" i="2"/>
  <c r="CE32" i="2"/>
  <c r="CE47" i="2" s="1"/>
  <c r="CD37" i="2"/>
  <c r="CD48" i="2" s="1"/>
  <c r="V41" i="2"/>
  <c r="BJ8" i="2"/>
  <c r="AW12" i="2"/>
  <c r="BK21" i="2"/>
  <c r="BG23" i="2"/>
  <c r="AI49" i="2"/>
  <c r="AI85" i="2"/>
  <c r="CH43" i="2"/>
  <c r="CH45" i="2"/>
  <c r="BK23" i="2"/>
  <c r="CG90" i="2"/>
  <c r="AP49" i="2"/>
  <c r="AP85" i="2"/>
  <c r="AH49" i="2"/>
  <c r="AH85" i="2"/>
  <c r="Z49" i="2"/>
  <c r="Z85" i="2"/>
  <c r="R49" i="2"/>
  <c r="R85" i="2"/>
  <c r="J49" i="2"/>
  <c r="J85" i="2"/>
  <c r="BM43" i="2"/>
  <c r="CA43" i="2"/>
  <c r="CI43" i="2"/>
  <c r="CA28" i="2"/>
  <c r="CA44" i="2" s="1"/>
  <c r="CI28" i="2"/>
  <c r="CI44" i="2" s="1"/>
  <c r="CA45" i="2"/>
  <c r="CI45" i="2"/>
  <c r="CA46" i="2"/>
  <c r="CI46" i="2"/>
  <c r="CA31" i="2"/>
  <c r="CI31" i="2"/>
  <c r="CI32" i="2"/>
  <c r="CI47" i="2" s="1"/>
  <c r="CI37" i="2"/>
  <c r="CI48" i="2" s="1"/>
  <c r="J41" i="2"/>
  <c r="R41" i="2"/>
  <c r="Z41" i="2"/>
  <c r="AH41" i="2"/>
  <c r="AP41" i="2"/>
  <c r="BO12" i="2"/>
  <c r="AZ20" i="2"/>
  <c r="BD23" i="2"/>
  <c r="BL23" i="2"/>
  <c r="AZ24" i="2"/>
  <c r="CG46" i="2"/>
  <c r="AA49" i="2"/>
  <c r="AA85" i="2"/>
  <c r="BH12" i="2"/>
  <c r="CO90" i="2"/>
  <c r="CD90" i="2"/>
  <c r="AO49" i="2"/>
  <c r="AO85" i="2"/>
  <c r="Y49" i="2"/>
  <c r="Y85" i="2"/>
  <c r="Q49" i="2"/>
  <c r="Q85" i="2"/>
  <c r="I49" i="2"/>
  <c r="I85" i="2"/>
  <c r="CL15" i="2"/>
  <c r="CB43" i="2"/>
  <c r="CJ43" i="2"/>
  <c r="CB45" i="2"/>
  <c r="CJ45" i="2"/>
  <c r="CB46" i="2"/>
  <c r="CJ46" i="2"/>
  <c r="AA41" i="2"/>
  <c r="AI41" i="2"/>
  <c r="BO13" i="2"/>
  <c r="BM23" i="2"/>
  <c r="CM90" i="2"/>
  <c r="CE90" i="2"/>
  <c r="CB90" i="2"/>
  <c r="CF90" i="2"/>
  <c r="CG45" i="2"/>
  <c r="BK43" i="2"/>
  <c r="CH46" i="2"/>
  <c r="AY6" i="2"/>
  <c r="BC10" i="2" s="1"/>
  <c r="AN49" i="2"/>
  <c r="AN85" i="2"/>
  <c r="AF49" i="2"/>
  <c r="AF85" i="2"/>
  <c r="X49" i="2"/>
  <c r="X85" i="2"/>
  <c r="P49" i="2"/>
  <c r="P85" i="2"/>
  <c r="H49" i="2"/>
  <c r="H85" i="2"/>
  <c r="CM15" i="2"/>
  <c r="CC43" i="2"/>
  <c r="CK43" i="2"/>
  <c r="CC28" i="2"/>
  <c r="CC44" i="2" s="1"/>
  <c r="CK28" i="2"/>
  <c r="CK44" i="2" s="1"/>
  <c r="CC45" i="2"/>
  <c r="CK45" i="2"/>
  <c r="CC46" i="2"/>
  <c r="CK46" i="2"/>
  <c r="CC31" i="2"/>
  <c r="CK31" i="2"/>
  <c r="AU12" i="2"/>
  <c r="AU44" i="2"/>
  <c r="AU46" i="2"/>
  <c r="AU43" i="2"/>
  <c r="AU45" i="2"/>
  <c r="BD44" i="2"/>
  <c r="D47" i="2"/>
  <c r="O48" i="2"/>
  <c r="BO44" i="2"/>
  <c r="BM44" i="2"/>
  <c r="AY46" i="2"/>
  <c r="L47" i="2"/>
  <c r="P48" i="2"/>
  <c r="BO45" i="2"/>
  <c r="BC45" i="2"/>
  <c r="BK45" i="2"/>
  <c r="AY43" i="2"/>
  <c r="T47" i="2"/>
  <c r="W48" i="2"/>
  <c r="AY44" i="2"/>
  <c r="BD45" i="2"/>
  <c r="BL45" i="2"/>
  <c r="AJ47" i="2"/>
  <c r="BD43" i="2"/>
  <c r="BC46" i="2"/>
  <c r="BK46" i="2"/>
  <c r="AS37" i="2"/>
  <c r="AS47" i="2"/>
  <c r="K37" i="2"/>
  <c r="CC37" i="2" s="1"/>
  <c r="CC48" i="2" s="1"/>
  <c r="K47" i="2"/>
  <c r="C37" i="2"/>
  <c r="CA37" i="2" s="1"/>
  <c r="CA48" i="2" s="1"/>
  <c r="C47" i="2"/>
  <c r="AK39" i="2"/>
  <c r="CI39" i="2" s="1"/>
  <c r="CI49" i="2" s="1"/>
  <c r="AK48" i="2"/>
  <c r="AQ37" i="2"/>
  <c r="AQ47" i="2"/>
  <c r="AC37" i="2"/>
  <c r="AC47" i="2"/>
  <c r="S37" i="2"/>
  <c r="CE37" i="2" s="1"/>
  <c r="CE48" i="2" s="1"/>
  <c r="S47" i="2"/>
  <c r="AG37" i="2"/>
  <c r="AG47" i="2"/>
  <c r="AH47" i="2"/>
  <c r="AI47" i="2"/>
  <c r="Q48" i="2"/>
  <c r="I48" i="2"/>
  <c r="AO48" i="2"/>
  <c r="AZ6" i="2"/>
  <c r="E47" i="2"/>
  <c r="M47" i="2"/>
  <c r="U47" i="2"/>
  <c r="AK47" i="2"/>
  <c r="J48" i="2"/>
  <c r="R48" i="2"/>
  <c r="Z48" i="2"/>
  <c r="AH48" i="2"/>
  <c r="AP48" i="2"/>
  <c r="J47" i="2"/>
  <c r="AP47" i="2"/>
  <c r="BN31" i="2"/>
  <c r="CP31" i="2" s="1"/>
  <c r="F47" i="2"/>
  <c r="N47" i="2"/>
  <c r="V47" i="2"/>
  <c r="AD47" i="2"/>
  <c r="AL47" i="2"/>
  <c r="AT47" i="2"/>
  <c r="AA48" i="2"/>
  <c r="AI48" i="2"/>
  <c r="AA47" i="2"/>
  <c r="O47" i="2"/>
  <c r="W47" i="2"/>
  <c r="D48" i="2"/>
  <c r="L48" i="2"/>
  <c r="T48" i="2"/>
  <c r="AJ48" i="2"/>
  <c r="R47" i="2"/>
  <c r="H47" i="2"/>
  <c r="P47" i="2"/>
  <c r="X47" i="2"/>
  <c r="AF47" i="2"/>
  <c r="AN47" i="2"/>
  <c r="E48" i="2"/>
  <c r="M48" i="2"/>
  <c r="U48" i="2"/>
  <c r="Z47" i="2"/>
  <c r="Y48" i="2"/>
  <c r="AX16" i="2"/>
  <c r="I47" i="2"/>
  <c r="Q47" i="2"/>
  <c r="Y47" i="2"/>
  <c r="AO47" i="2"/>
  <c r="F48" i="2"/>
  <c r="N48" i="2"/>
  <c r="V48" i="2"/>
  <c r="AD48" i="2"/>
  <c r="AL48" i="2"/>
  <c r="AT48" i="2"/>
  <c r="BO32" i="2"/>
  <c r="BJ31" i="2"/>
  <c r="CO31" i="2" s="1"/>
  <c r="BF31" i="2"/>
  <c r="CN31" i="2" s="1"/>
  <c r="AX31" i="2"/>
  <c r="CL31" i="2" s="1"/>
  <c r="BB31" i="2"/>
  <c r="CM31" i="2" s="1"/>
  <c r="AZ26" i="2"/>
  <c r="AZ81" i="2" s="1"/>
  <c r="AW26" i="2"/>
  <c r="BI32" i="2"/>
  <c r="BL32" i="2"/>
  <c r="BK32" i="2"/>
  <c r="BC32" i="2"/>
  <c r="BD32" i="2"/>
  <c r="AU32" i="2"/>
  <c r="AY32" i="2"/>
  <c r="AX4" i="2"/>
  <c r="CL4" i="2" s="1"/>
  <c r="BB16" i="2"/>
  <c r="CM16" i="2" s="1"/>
  <c r="CN20" i="2" s="1"/>
  <c r="BB4" i="2"/>
  <c r="BA6" i="2"/>
  <c r="BA12" i="2" s="1"/>
  <c r="BF6" i="2"/>
  <c r="BF13" i="2" s="1"/>
  <c r="BJ17" i="2"/>
  <c r="BJ6" i="2"/>
  <c r="BJ12" i="2" s="1"/>
  <c r="BM32" i="2"/>
  <c r="BF17" i="2"/>
  <c r="BF23" i="2" s="1"/>
  <c r="BN17" i="2"/>
  <c r="CP17" i="2" s="1"/>
  <c r="CP24" i="2" s="1"/>
  <c r="BN6" i="2"/>
  <c r="BN13" i="2" s="1"/>
  <c r="BE44" i="2" l="1"/>
  <c r="BE81" i="2"/>
  <c r="CR4" i="2"/>
  <c r="CQ6" i="2"/>
  <c r="BM46" i="2"/>
  <c r="BM81" i="2"/>
  <c r="BM45" i="2"/>
  <c r="BH43" i="2"/>
  <c r="BH81" i="2"/>
  <c r="BI44" i="2"/>
  <c r="BI81" i="2"/>
  <c r="BG32" i="2"/>
  <c r="BG81" i="2"/>
  <c r="BL43" i="2"/>
  <c r="BL81" i="2"/>
  <c r="CM5" i="2"/>
  <c r="CM9" i="2" s="1"/>
  <c r="AV45" i="2"/>
  <c r="BH32" i="2"/>
  <c r="BI45" i="2"/>
  <c r="BE32" i="2"/>
  <c r="BE47" i="2" s="1"/>
  <c r="BI46" i="2"/>
  <c r="BE21" i="2"/>
  <c r="BI43" i="2"/>
  <c r="CK37" i="2"/>
  <c r="CK48" i="2" s="1"/>
  <c r="BN23" i="2"/>
  <c r="AR48" i="2"/>
  <c r="BA26" i="2"/>
  <c r="BA32" i="2" s="1"/>
  <c r="BA37" i="2" s="1"/>
  <c r="BG44" i="2"/>
  <c r="CF85" i="2"/>
  <c r="CD41" i="2"/>
  <c r="BN10" i="2"/>
  <c r="AZ10" i="2"/>
  <c r="AZ13" i="2"/>
  <c r="BG45" i="2"/>
  <c r="BB9" i="2"/>
  <c r="BB6" i="2"/>
  <c r="BF10" i="2" s="1"/>
  <c r="BB8" i="2"/>
  <c r="AB32" i="2"/>
  <c r="CG31" i="2"/>
  <c r="BE46" i="2"/>
  <c r="BE45" i="2"/>
  <c r="BE43" i="2"/>
  <c r="BN12" i="2"/>
  <c r="AY13" i="2"/>
  <c r="AY10" i="2"/>
  <c r="AY12" i="2"/>
  <c r="CM4" i="2"/>
  <c r="CN8" i="2" s="1"/>
  <c r="G32" i="2"/>
  <c r="CB31" i="2"/>
  <c r="AZ12" i="2"/>
  <c r="CD85" i="2"/>
  <c r="BJ26" i="2"/>
  <c r="BJ21" i="2"/>
  <c r="BJ23" i="2"/>
  <c r="AV43" i="2"/>
  <c r="AV44" i="2"/>
  <c r="AV46" i="2"/>
  <c r="AM32" i="2"/>
  <c r="CJ31" i="2"/>
  <c r="CM19" i="2"/>
  <c r="BJ24" i="2"/>
  <c r="BA10" i="2"/>
  <c r="BA13" i="2"/>
  <c r="CL16" i="2"/>
  <c r="CM20" i="2" s="1"/>
  <c r="BH45" i="2"/>
  <c r="BH44" i="2"/>
  <c r="BE10" i="2"/>
  <c r="BF24" i="2"/>
  <c r="BH46" i="2"/>
  <c r="BG46" i="2"/>
  <c r="CO17" i="2"/>
  <c r="CP21" i="2" s="1"/>
  <c r="CF41" i="2"/>
  <c r="AR85" i="2"/>
  <c r="AR41" i="2"/>
  <c r="AR49" i="2"/>
  <c r="CP8" i="2"/>
  <c r="BA21" i="2"/>
  <c r="BA23" i="2"/>
  <c r="BF8" i="2"/>
  <c r="CO20" i="2"/>
  <c r="CP20" i="2"/>
  <c r="BN21" i="2"/>
  <c r="BN24" i="2"/>
  <c r="BF12" i="2"/>
  <c r="BB17" i="2"/>
  <c r="BB24" i="2" s="1"/>
  <c r="BB20" i="2"/>
  <c r="BF20" i="2"/>
  <c r="AX6" i="2"/>
  <c r="AX12" i="2" s="1"/>
  <c r="BJ13" i="2"/>
  <c r="BJ10" i="2"/>
  <c r="AX17" i="2"/>
  <c r="AX26" i="2" s="1"/>
  <c r="CL26" i="2" s="1"/>
  <c r="AK49" i="2"/>
  <c r="AK85" i="2"/>
  <c r="CI85" i="2" s="1"/>
  <c r="AK41" i="2"/>
  <c r="CI41" i="2" s="1"/>
  <c r="BG43" i="2"/>
  <c r="CP6" i="2"/>
  <c r="CP19" i="2"/>
  <c r="CP23" i="2"/>
  <c r="CN17" i="2"/>
  <c r="CN6" i="2"/>
  <c r="CO6" i="2"/>
  <c r="BD10" i="2"/>
  <c r="AE32" i="2"/>
  <c r="CH31" i="2"/>
  <c r="CN19" i="2"/>
  <c r="AW32" i="2"/>
  <c r="AW47" i="2" s="1"/>
  <c r="AW46" i="2"/>
  <c r="AW43" i="2"/>
  <c r="AW45" i="2"/>
  <c r="AW44" i="2"/>
  <c r="BA44" i="2"/>
  <c r="BA46" i="2"/>
  <c r="AZ32" i="2"/>
  <c r="AZ37" i="2" s="1"/>
  <c r="AZ45" i="2"/>
  <c r="AZ44" i="2"/>
  <c r="AZ46" i="2"/>
  <c r="AZ43" i="2"/>
  <c r="AV37" i="2"/>
  <c r="AV47" i="2"/>
  <c r="C39" i="2"/>
  <c r="C48" i="2"/>
  <c r="BI37" i="2"/>
  <c r="BI47" i="2"/>
  <c r="BH37" i="2"/>
  <c r="BH47" i="2"/>
  <c r="BG37" i="2"/>
  <c r="BG47" i="2"/>
  <c r="AC39" i="2"/>
  <c r="AC48" i="2"/>
  <c r="BD37" i="2"/>
  <c r="BD47" i="2"/>
  <c r="AU37" i="2"/>
  <c r="AU47" i="2"/>
  <c r="AQ39" i="2"/>
  <c r="AQ48" i="2"/>
  <c r="K39" i="2"/>
  <c r="K48" i="2"/>
  <c r="AY37" i="2"/>
  <c r="AY47" i="2"/>
  <c r="BC37" i="2"/>
  <c r="BC47" i="2"/>
  <c r="BK37" i="2"/>
  <c r="BK47" i="2"/>
  <c r="AG39" i="2"/>
  <c r="AG48" i="2"/>
  <c r="S39" i="2"/>
  <c r="S48" i="2"/>
  <c r="BO37" i="2"/>
  <c r="BO47" i="2"/>
  <c r="BM37" i="2"/>
  <c r="BM47" i="2"/>
  <c r="BL37" i="2"/>
  <c r="BL47" i="2"/>
  <c r="AS39" i="2"/>
  <c r="AS48" i="2"/>
  <c r="BN26" i="2"/>
  <c r="BF26" i="2"/>
  <c r="CN9" i="2" l="1"/>
  <c r="BE37" i="2"/>
  <c r="BE39" i="2" s="1"/>
  <c r="BA43" i="2"/>
  <c r="BJ46" i="2"/>
  <c r="BJ81" i="2"/>
  <c r="CN26" i="2"/>
  <c r="CN81" i="2" s="1"/>
  <c r="BF81" i="2"/>
  <c r="CQ10" i="2"/>
  <c r="CQ26" i="2"/>
  <c r="CP26" i="2"/>
  <c r="CP81" i="2" s="1"/>
  <c r="BN81" i="2"/>
  <c r="BA45" i="2"/>
  <c r="BA81" i="2"/>
  <c r="CR6" i="2"/>
  <c r="CS4" i="2"/>
  <c r="BB12" i="2"/>
  <c r="BJ32" i="2"/>
  <c r="CO32" i="2" s="1"/>
  <c r="CO26" i="2"/>
  <c r="BJ45" i="2"/>
  <c r="BF21" i="2"/>
  <c r="BB10" i="2"/>
  <c r="CN44" i="2"/>
  <c r="CN43" i="2"/>
  <c r="CN46" i="2"/>
  <c r="CL45" i="2"/>
  <c r="CL44" i="2"/>
  <c r="CL46" i="2"/>
  <c r="CL43" i="2"/>
  <c r="AC49" i="2"/>
  <c r="AC85" i="2"/>
  <c r="AC41" i="2"/>
  <c r="CO10" i="2"/>
  <c r="CO12" i="2"/>
  <c r="CO13" i="2"/>
  <c r="AQ49" i="2"/>
  <c r="AQ85" i="2"/>
  <c r="CK39" i="2"/>
  <c r="CK49" i="2" s="1"/>
  <c r="AQ41" i="2"/>
  <c r="AB37" i="2"/>
  <c r="CG32" i="2"/>
  <c r="CG47" i="2" s="1"/>
  <c r="AB47" i="2"/>
  <c r="CO43" i="2"/>
  <c r="CO44" i="2"/>
  <c r="CO45" i="2"/>
  <c r="AS49" i="2"/>
  <c r="AS85" i="2"/>
  <c r="AS41" i="2"/>
  <c r="CN24" i="2"/>
  <c r="CN23" i="2"/>
  <c r="AX23" i="2"/>
  <c r="CL17" i="2"/>
  <c r="CL23" i="2" s="1"/>
  <c r="BB21" i="2"/>
  <c r="BB23" i="2"/>
  <c r="CN13" i="2"/>
  <c r="CM17" i="2"/>
  <c r="S49" i="2"/>
  <c r="S85" i="2"/>
  <c r="CE85" i="2" s="1"/>
  <c r="S41" i="2"/>
  <c r="CE41" i="2" s="1"/>
  <c r="CE39" i="2"/>
  <c r="CE49" i="2" s="1"/>
  <c r="CN12" i="2"/>
  <c r="G37" i="2"/>
  <c r="CB32" i="2"/>
  <c r="CB47" i="2" s="1"/>
  <c r="G47" i="2"/>
  <c r="CM8" i="2"/>
  <c r="BB26" i="2"/>
  <c r="AG49" i="2"/>
  <c r="AG85" i="2"/>
  <c r="AG41" i="2"/>
  <c r="CP10" i="2"/>
  <c r="CP13" i="2"/>
  <c r="CO21" i="2"/>
  <c r="CO23" i="2"/>
  <c r="AE37" i="2"/>
  <c r="CH32" i="2"/>
  <c r="CH47" i="2" s="1"/>
  <c r="AE47" i="2"/>
  <c r="CL6" i="2"/>
  <c r="AX13" i="2"/>
  <c r="CO24" i="2"/>
  <c r="CP12" i="2"/>
  <c r="BJ44" i="2"/>
  <c r="BJ43" i="2"/>
  <c r="CM6" i="2"/>
  <c r="CM12" i="2" s="1"/>
  <c r="BB13" i="2"/>
  <c r="CP44" i="2"/>
  <c r="CP46" i="2"/>
  <c r="CP45" i="2"/>
  <c r="AZ47" i="2"/>
  <c r="K49" i="2"/>
  <c r="K85" i="2"/>
  <c r="CC85" i="2" s="1"/>
  <c r="CC39" i="2"/>
  <c r="CC49" i="2" s="1"/>
  <c r="K41" i="2"/>
  <c r="CC41" i="2" s="1"/>
  <c r="AX24" i="2"/>
  <c r="AM37" i="2"/>
  <c r="CJ32" i="2"/>
  <c r="CJ47" i="2" s="1"/>
  <c r="AM47" i="2"/>
  <c r="C49" i="2"/>
  <c r="C85" i="2"/>
  <c r="CA85" i="2" s="1"/>
  <c r="C41" i="2"/>
  <c r="CA41" i="2" s="1"/>
  <c r="CA39" i="2"/>
  <c r="CA49" i="2" s="1"/>
  <c r="AW37" i="2"/>
  <c r="AW39" i="2" s="1"/>
  <c r="AW85" i="2" s="1"/>
  <c r="BA47" i="2"/>
  <c r="BF32" i="2"/>
  <c r="BF46" i="2"/>
  <c r="BF45" i="2"/>
  <c r="BF44" i="2"/>
  <c r="BF43" i="2"/>
  <c r="BN32" i="2"/>
  <c r="CP32" i="2" s="1"/>
  <c r="CP47" i="2" s="1"/>
  <c r="BN45" i="2"/>
  <c r="BN43" i="2"/>
  <c r="BN44" i="2"/>
  <c r="BN46" i="2"/>
  <c r="AX32" i="2"/>
  <c r="AX37" i="2" s="1"/>
  <c r="AX46" i="2"/>
  <c r="AX44" i="2"/>
  <c r="AX43" i="2"/>
  <c r="AX45" i="2"/>
  <c r="AY39" i="2"/>
  <c r="AY48" i="2"/>
  <c r="BH39" i="2"/>
  <c r="BH48" i="2"/>
  <c r="BD39" i="2"/>
  <c r="BD48" i="2"/>
  <c r="BI39" i="2"/>
  <c r="BI48" i="2"/>
  <c r="AZ39" i="2"/>
  <c r="AZ48" i="2"/>
  <c r="BK39" i="2"/>
  <c r="BK48" i="2"/>
  <c r="BO39" i="2"/>
  <c r="BO48" i="2"/>
  <c r="BL39" i="2"/>
  <c r="BL48" i="2"/>
  <c r="BC39" i="2"/>
  <c r="BC48" i="2"/>
  <c r="BM39" i="2"/>
  <c r="BM48" i="2"/>
  <c r="BA39" i="2"/>
  <c r="BA48" i="2"/>
  <c r="AU39" i="2"/>
  <c r="AU48" i="2"/>
  <c r="BJ37" i="2"/>
  <c r="CO37" i="2" s="1"/>
  <c r="CO48" i="2" s="1"/>
  <c r="BJ47" i="2"/>
  <c r="BG39" i="2"/>
  <c r="BG48" i="2"/>
  <c r="AV39" i="2"/>
  <c r="AV85" i="2" s="1"/>
  <c r="AV48" i="2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G188" i="3"/>
  <c r="C8" i="1"/>
  <c r="BE85" i="2" l="1"/>
  <c r="BE83" i="2"/>
  <c r="BE82" i="2"/>
  <c r="BL85" i="2"/>
  <c r="BL83" i="2"/>
  <c r="BL82" i="2"/>
  <c r="BI85" i="2"/>
  <c r="BI83" i="2"/>
  <c r="BI82" i="2"/>
  <c r="AY83" i="2"/>
  <c r="AY82" i="2"/>
  <c r="CP43" i="2"/>
  <c r="CQ28" i="2"/>
  <c r="CQ27" i="2"/>
  <c r="CQ29" i="2"/>
  <c r="CQ30" i="2"/>
  <c r="BA85" i="2"/>
  <c r="BA83" i="2"/>
  <c r="BA82" i="2"/>
  <c r="BD85" i="2"/>
  <c r="BD82" i="2"/>
  <c r="BD83" i="2"/>
  <c r="CR26" i="2"/>
  <c r="CR10" i="2"/>
  <c r="CS6" i="2"/>
  <c r="CT4" i="2"/>
  <c r="BG83" i="2"/>
  <c r="BG82" i="2"/>
  <c r="BM85" i="2"/>
  <c r="BM83" i="2"/>
  <c r="BM82" i="2"/>
  <c r="BK83" i="2"/>
  <c r="BK82" i="2"/>
  <c r="BH85" i="2"/>
  <c r="BH83" i="2"/>
  <c r="BH82" i="2"/>
  <c r="BE48" i="2"/>
  <c r="CM26" i="2"/>
  <c r="CM81" i="2" s="1"/>
  <c r="BB81" i="2"/>
  <c r="CO47" i="2"/>
  <c r="CO81" i="2"/>
  <c r="BO85" i="2"/>
  <c r="BO82" i="2"/>
  <c r="BO83" i="2"/>
  <c r="BC83" i="2"/>
  <c r="BC82" i="2"/>
  <c r="AZ85" i="2"/>
  <c r="AZ82" i="2"/>
  <c r="AZ83" i="2"/>
  <c r="CN45" i="2"/>
  <c r="K199" i="3"/>
  <c r="K202" i="3"/>
  <c r="K203" i="3" s="1"/>
  <c r="K198" i="3"/>
  <c r="K200" i="3"/>
  <c r="K201" i="3"/>
  <c r="CN10" i="2"/>
  <c r="CL37" i="2"/>
  <c r="CL48" i="2" s="1"/>
  <c r="BN37" i="2"/>
  <c r="CP37" i="2" s="1"/>
  <c r="CP48" i="2" s="1"/>
  <c r="BN47" i="2"/>
  <c r="BB46" i="2"/>
  <c r="CO46" i="2"/>
  <c r="BB32" i="2"/>
  <c r="BB37" i="2" s="1"/>
  <c r="CM37" i="2" s="1"/>
  <c r="CM48" i="2" s="1"/>
  <c r="CL24" i="2"/>
  <c r="G39" i="2"/>
  <c r="CB37" i="2"/>
  <c r="CB48" i="2" s="1"/>
  <c r="G48" i="2"/>
  <c r="CM21" i="2"/>
  <c r="CM24" i="2"/>
  <c r="CM23" i="2"/>
  <c r="AE39" i="2"/>
  <c r="CH37" i="2"/>
  <c r="CH48" i="2" s="1"/>
  <c r="AE48" i="2"/>
  <c r="CL32" i="2"/>
  <c r="CL47" i="2" s="1"/>
  <c r="BC85" i="2"/>
  <c r="AM39" i="2"/>
  <c r="CJ37" i="2"/>
  <c r="CJ48" i="2" s="1"/>
  <c r="AM48" i="2"/>
  <c r="AU85" i="2"/>
  <c r="AY85" i="2"/>
  <c r="BB45" i="2"/>
  <c r="CK41" i="2"/>
  <c r="CN21" i="2"/>
  <c r="BF37" i="2"/>
  <c r="CN37" i="2" s="1"/>
  <c r="CN48" i="2" s="1"/>
  <c r="CN32" i="2"/>
  <c r="CN47" i="2" s="1"/>
  <c r="BG85" i="2"/>
  <c r="BB43" i="2"/>
  <c r="CL13" i="2"/>
  <c r="CL12" i="2"/>
  <c r="BK85" i="2"/>
  <c r="AB39" i="2"/>
  <c r="CG37" i="2"/>
  <c r="CG48" i="2" s="1"/>
  <c r="AB48" i="2"/>
  <c r="BB44" i="2"/>
  <c r="CM10" i="2"/>
  <c r="CM13" i="2"/>
  <c r="CK85" i="2"/>
  <c r="AW48" i="2"/>
  <c r="AX47" i="2"/>
  <c r="BF47" i="2"/>
  <c r="BG41" i="2"/>
  <c r="BG49" i="2"/>
  <c r="BJ39" i="2"/>
  <c r="BJ48" i="2"/>
  <c r="BA41" i="2"/>
  <c r="BA49" i="2"/>
  <c r="BL41" i="2"/>
  <c r="BL49" i="2"/>
  <c r="BK41" i="2"/>
  <c r="BK49" i="2"/>
  <c r="BH41" i="2"/>
  <c r="BH49" i="2"/>
  <c r="AU41" i="2"/>
  <c r="AU49" i="2"/>
  <c r="BC41" i="2"/>
  <c r="BC49" i="2"/>
  <c r="BN48" i="2"/>
  <c r="BM41" i="2"/>
  <c r="BM49" i="2"/>
  <c r="BO41" i="2"/>
  <c r="BO49" i="2"/>
  <c r="AZ41" i="2"/>
  <c r="AZ49" i="2"/>
  <c r="BE41" i="2"/>
  <c r="BE49" i="2"/>
  <c r="AX39" i="2"/>
  <c r="AX85" i="2" s="1"/>
  <c r="AX48" i="2"/>
  <c r="BD41" i="2"/>
  <c r="BD49" i="2"/>
  <c r="AV41" i="2"/>
  <c r="AV49" i="2"/>
  <c r="AW41" i="2"/>
  <c r="AW49" i="2"/>
  <c r="BI41" i="2"/>
  <c r="BI49" i="2"/>
  <c r="AY41" i="2"/>
  <c r="AY49" i="2"/>
  <c r="CR30" i="2" l="1"/>
  <c r="CR29" i="2"/>
  <c r="CR28" i="2"/>
  <c r="CR27" i="2"/>
  <c r="CM45" i="2"/>
  <c r="CM44" i="2"/>
  <c r="BJ85" i="2"/>
  <c r="CO85" i="2" s="1"/>
  <c r="BJ83" i="2"/>
  <c r="BJ82" i="2"/>
  <c r="CM46" i="2"/>
  <c r="CU4" i="2"/>
  <c r="CT6" i="2"/>
  <c r="CQ31" i="2"/>
  <c r="CQ32" i="2" s="1"/>
  <c r="CM43" i="2"/>
  <c r="CS10" i="2"/>
  <c r="CS26" i="2"/>
  <c r="P221" i="3"/>
  <c r="M244" i="3"/>
  <c r="M236" i="3"/>
  <c r="M228" i="3"/>
  <c r="M220" i="3"/>
  <c r="M212" i="3"/>
  <c r="M216" i="3"/>
  <c r="M239" i="3"/>
  <c r="M246" i="3"/>
  <c r="M222" i="3"/>
  <c r="M229" i="3"/>
  <c r="M243" i="3"/>
  <c r="M235" i="3"/>
  <c r="M227" i="3"/>
  <c r="M219" i="3"/>
  <c r="M211" i="3"/>
  <c r="M223" i="3"/>
  <c r="M230" i="3"/>
  <c r="M237" i="3"/>
  <c r="M213" i="3"/>
  <c r="M242" i="3"/>
  <c r="M234" i="3"/>
  <c r="M226" i="3"/>
  <c r="M218" i="3"/>
  <c r="M210" i="3"/>
  <c r="M225" i="3"/>
  <c r="M217" i="3"/>
  <c r="M240" i="3"/>
  <c r="M232" i="3"/>
  <c r="M224" i="3"/>
  <c r="M231" i="3"/>
  <c r="M215" i="3"/>
  <c r="M238" i="3"/>
  <c r="M214" i="3"/>
  <c r="M245" i="3"/>
  <c r="M221" i="3"/>
  <c r="M241" i="3"/>
  <c r="M233" i="3"/>
  <c r="BB48" i="2"/>
  <c r="BB39" i="2"/>
  <c r="BB41" i="2" s="1"/>
  <c r="CM41" i="2" s="1"/>
  <c r="BN39" i="2"/>
  <c r="BB47" i="2"/>
  <c r="CM32" i="2"/>
  <c r="CM47" i="2" s="1"/>
  <c r="CO39" i="2"/>
  <c r="CL39" i="2"/>
  <c r="CL49" i="2" s="1"/>
  <c r="CL85" i="2"/>
  <c r="CM39" i="2"/>
  <c r="AE49" i="2"/>
  <c r="AE85" i="2"/>
  <c r="CH85" i="2" s="1"/>
  <c r="CH39" i="2"/>
  <c r="CH49" i="2" s="1"/>
  <c r="AE41" i="2"/>
  <c r="CH41" i="2" s="1"/>
  <c r="AB49" i="2"/>
  <c r="AB85" i="2"/>
  <c r="CG85" i="2" s="1"/>
  <c r="AB41" i="2"/>
  <c r="CG41" i="2" s="1"/>
  <c r="CG39" i="2"/>
  <c r="CG49" i="2" s="1"/>
  <c r="CP39" i="2"/>
  <c r="AM49" i="2"/>
  <c r="AM85" i="2"/>
  <c r="CJ85" i="2" s="1"/>
  <c r="CJ39" i="2"/>
  <c r="CJ49" i="2" s="1"/>
  <c r="AM41" i="2"/>
  <c r="CJ41" i="2" s="1"/>
  <c r="CL41" i="2"/>
  <c r="BF48" i="2"/>
  <c r="BF39" i="2"/>
  <c r="G49" i="2"/>
  <c r="G85" i="2"/>
  <c r="CB85" i="2" s="1"/>
  <c r="CB39" i="2"/>
  <c r="CB49" i="2" s="1"/>
  <c r="G41" i="2"/>
  <c r="CB41" i="2" s="1"/>
  <c r="AX41" i="2"/>
  <c r="AX49" i="2"/>
  <c r="BJ41" i="2"/>
  <c r="CO41" i="2" s="1"/>
  <c r="BJ49" i="2"/>
  <c r="BN41" i="2"/>
  <c r="CP41" i="2" s="1"/>
  <c r="BN49" i="2"/>
  <c r="P211" i="3"/>
  <c r="P210" i="3"/>
  <c r="P213" i="3"/>
  <c r="P220" i="3"/>
  <c r="P212" i="3"/>
  <c r="P223" i="3"/>
  <c r="P219" i="3"/>
  <c r="P215" i="3"/>
  <c r="P218" i="3"/>
  <c r="P222" i="3"/>
  <c r="P217" i="3"/>
  <c r="P214" i="3"/>
  <c r="P216" i="3"/>
  <c r="CR31" i="2" l="1"/>
  <c r="CR32" i="2" s="1"/>
  <c r="CR47" i="2" s="1"/>
  <c r="BB49" i="2"/>
  <c r="CS28" i="2"/>
  <c r="CS30" i="2"/>
  <c r="CS27" i="2"/>
  <c r="CS29" i="2"/>
  <c r="CQ37" i="2"/>
  <c r="CQ38" i="2" s="1"/>
  <c r="CQ39" i="2" s="1"/>
  <c r="CR55" i="2"/>
  <c r="CR56" i="2" s="1"/>
  <c r="CQ47" i="2"/>
  <c r="CT10" i="2"/>
  <c r="CT26" i="2"/>
  <c r="BF83" i="2"/>
  <c r="BF82" i="2"/>
  <c r="BN85" i="2"/>
  <c r="CP85" i="2" s="1"/>
  <c r="BN83" i="2"/>
  <c r="BN82" i="2"/>
  <c r="CV4" i="2"/>
  <c r="CU6" i="2"/>
  <c r="CP49" i="2"/>
  <c r="CP83" i="2"/>
  <c r="CP82" i="2"/>
  <c r="CM49" i="2"/>
  <c r="CM82" i="2"/>
  <c r="CM83" i="2"/>
  <c r="BB85" i="2"/>
  <c r="CM85" i="2" s="1"/>
  <c r="BB83" i="2"/>
  <c r="BB82" i="2"/>
  <c r="CO49" i="2"/>
  <c r="CO83" i="2"/>
  <c r="CO82" i="2"/>
  <c r="BF85" i="2"/>
  <c r="CN85" i="2" s="1"/>
  <c r="CN39" i="2"/>
  <c r="BF49" i="2"/>
  <c r="BF41" i="2"/>
  <c r="CN41" i="2" s="1"/>
  <c r="CW4" i="2" l="1"/>
  <c r="CV6" i="2"/>
  <c r="CQ49" i="2"/>
  <c r="CQ51" i="2"/>
  <c r="CS31" i="2"/>
  <c r="CS32" i="2" s="1"/>
  <c r="CS47" i="2" s="1"/>
  <c r="CN49" i="2"/>
  <c r="CN83" i="2"/>
  <c r="CN82" i="2"/>
  <c r="CU10" i="2"/>
  <c r="CU26" i="2"/>
  <c r="CT29" i="2"/>
  <c r="CT30" i="2"/>
  <c r="CT28" i="2"/>
  <c r="CT27" i="2"/>
  <c r="CR37" i="2" l="1"/>
  <c r="CR38" i="2" s="1"/>
  <c r="CR39" i="2" s="1"/>
  <c r="CT31" i="2"/>
  <c r="CT32" i="2" s="1"/>
  <c r="CT47" i="2" s="1"/>
  <c r="CU30" i="2"/>
  <c r="CU28" i="2"/>
  <c r="CU27" i="2"/>
  <c r="CU29" i="2"/>
  <c r="CV10" i="2"/>
  <c r="CV26" i="2"/>
  <c r="CX4" i="2"/>
  <c r="CW6" i="2"/>
  <c r="CR51" i="2" l="1"/>
  <c r="CR49" i="2"/>
  <c r="CS37" i="2"/>
  <c r="CS38" i="2" s="1"/>
  <c r="CS39" i="2" s="1"/>
  <c r="CV27" i="2"/>
  <c r="CV30" i="2"/>
  <c r="CV29" i="2"/>
  <c r="CV28" i="2"/>
  <c r="CW10" i="2"/>
  <c r="CW26" i="2"/>
  <c r="CU31" i="2"/>
  <c r="CU32" i="2" s="1"/>
  <c r="CU47" i="2" s="1"/>
  <c r="CX6" i="2"/>
  <c r="CY4" i="2"/>
  <c r="CS51" i="2" l="1"/>
  <c r="CS49" i="2"/>
  <c r="CX26" i="2"/>
  <c r="CX10" i="2"/>
  <c r="CW30" i="2"/>
  <c r="CW29" i="2"/>
  <c r="CW28" i="2"/>
  <c r="CW27" i="2"/>
  <c r="CW31" i="2" s="1"/>
  <c r="CW32" i="2" s="1"/>
  <c r="CW47" i="2" s="1"/>
  <c r="CY6" i="2"/>
  <c r="CZ4" i="2"/>
  <c r="CZ6" i="2" s="1"/>
  <c r="CV31" i="2"/>
  <c r="CV32" i="2" s="1"/>
  <c r="CV47" i="2" s="1"/>
  <c r="CT37" i="2" l="1"/>
  <c r="CT38" i="2" s="1"/>
  <c r="CT39" i="2" s="1"/>
  <c r="CZ26" i="2"/>
  <c r="CZ10" i="2"/>
  <c r="CY10" i="2"/>
  <c r="CY26" i="2"/>
  <c r="CX29" i="2"/>
  <c r="CX28" i="2"/>
  <c r="CX27" i="2"/>
  <c r="CX30" i="2"/>
  <c r="CT49" i="2" l="1"/>
  <c r="CT51" i="2"/>
  <c r="CY29" i="2"/>
  <c r="CY28" i="2"/>
  <c r="CY30" i="2"/>
  <c r="CY27" i="2"/>
  <c r="CY31" i="2" s="1"/>
  <c r="CY32" i="2" s="1"/>
  <c r="CY47" i="2" s="1"/>
  <c r="CX31" i="2"/>
  <c r="CX32" i="2" s="1"/>
  <c r="CX47" i="2" s="1"/>
  <c r="CZ29" i="2"/>
  <c r="CZ30" i="2"/>
  <c r="CZ28" i="2"/>
  <c r="CZ27" i="2"/>
  <c r="CU37" i="2" l="1"/>
  <c r="CU38" i="2" s="1"/>
  <c r="CU39" i="2" s="1"/>
  <c r="CZ31" i="2"/>
  <c r="CZ32" i="2" s="1"/>
  <c r="CZ47" i="2" s="1"/>
  <c r="CU49" i="2" l="1"/>
  <c r="CU51" i="2"/>
  <c r="CV37" i="2" l="1"/>
  <c r="CV38" i="2" s="1"/>
  <c r="CV39" i="2" s="1"/>
  <c r="CV49" i="2" l="1"/>
  <c r="CV51" i="2"/>
  <c r="CW37" i="2" l="1"/>
  <c r="CW38" i="2" s="1"/>
  <c r="CW39" i="2" s="1"/>
  <c r="CW49" i="2" l="1"/>
  <c r="CW51" i="2"/>
  <c r="CX37" i="2" l="1"/>
  <c r="CX38" i="2" s="1"/>
  <c r="CX39" i="2" s="1"/>
  <c r="CX49" i="2" l="1"/>
  <c r="CX51" i="2"/>
  <c r="CY37" i="2" l="1"/>
  <c r="CY38" i="2" s="1"/>
  <c r="CY39" i="2" s="1"/>
  <c r="CY49" i="2" l="1"/>
  <c r="CY51" i="2"/>
  <c r="CZ37" i="2" l="1"/>
  <c r="CZ38" i="2" s="1"/>
  <c r="CZ39" i="2" s="1"/>
  <c r="DA39" i="2" l="1"/>
  <c r="DB39" i="2" s="1"/>
  <c r="DC39" i="2" s="1"/>
  <c r="DD39" i="2" s="1"/>
  <c r="DE39" i="2" s="1"/>
  <c r="DF39" i="2" s="1"/>
  <c r="DG39" i="2" s="1"/>
  <c r="DH39" i="2" s="1"/>
  <c r="DI39" i="2" s="1"/>
  <c r="DJ39" i="2" s="1"/>
  <c r="DK39" i="2" s="1"/>
  <c r="DL39" i="2" s="1"/>
  <c r="DM39" i="2" s="1"/>
  <c r="DN39" i="2" s="1"/>
  <c r="DO39" i="2" s="1"/>
  <c r="DP39" i="2" s="1"/>
  <c r="CZ51" i="2"/>
  <c r="CZ49" i="2"/>
  <c r="DQ39" i="2" l="1"/>
  <c r="DR39" i="2" s="1"/>
  <c r="DS39" i="2" s="1"/>
  <c r="DT39" i="2" s="1"/>
  <c r="DU39" i="2" s="1"/>
  <c r="DV39" i="2" s="1"/>
  <c r="DW39" i="2" s="1"/>
  <c r="DX39" i="2" s="1"/>
  <c r="DY39" i="2" s="1"/>
  <c r="DZ39" i="2" s="1"/>
  <c r="EA39" i="2" s="1"/>
  <c r="EB39" i="2" l="1"/>
  <c r="EC39" i="2" s="1"/>
  <c r="ED39" i="2" s="1"/>
  <c r="EE39" i="2" s="1"/>
  <c r="EF39" i="2" s="1"/>
  <c r="EG39" i="2" s="1"/>
  <c r="EH39" i="2" s="1"/>
  <c r="EI39" i="2" s="1"/>
  <c r="EJ39" i="2" s="1"/>
  <c r="EK39" i="2" s="1"/>
  <c r="EL39" i="2" s="1"/>
  <c r="EM39" i="2" s="1"/>
  <c r="EN39" i="2" s="1"/>
  <c r="EO39" i="2" s="1"/>
  <c r="EP39" i="2" s="1"/>
  <c r="EQ39" i="2" s="1"/>
  <c r="ER39" i="2" s="1"/>
  <c r="ES39" i="2" s="1"/>
  <c r="ET39" i="2" s="1"/>
  <c r="EU39" i="2" s="1"/>
  <c r="EV39" i="2" s="1"/>
  <c r="EW39" i="2" s="1"/>
  <c r="EX39" i="2" s="1"/>
  <c r="CZ60" i="2"/>
  <c r="CZ62" i="2" s="1"/>
  <c r="CZ64" i="2" s="1"/>
  <c r="CY65" i="2" l="1" a="1"/>
  <c r="CY65" i="2" s="1"/>
  <c r="DA6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<sst xmlns="http://schemas.openxmlformats.org/spreadsheetml/2006/main" count="1589" uniqueCount="1547">
  <si>
    <t>Master</t>
  </si>
  <si>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</si>
  <si>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</si>
  <si>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</si>
  <si>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</si>
  <si>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</si>
  <si>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</si>
  <si>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</si>
  <si>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</si>
  <si>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</si>
  <si>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</si>
  <si>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</si>
  <si>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</si>
  <si>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</si>
  <si>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</si>
  <si>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</si>
  <si>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</si>
  <si>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</si>
  <si>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</si>
  <si>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</si>
  <si>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</si>
  <si>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</si>
  <si>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</si>
  <si>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</si>
  <si>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</si>
  <si>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</si>
  <si>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</si>
  <si>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</si>
  <si>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</si>
  <si>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</si>
  <si>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</si>
  <si>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</si>
  <si>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</si>
  <si>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</si>
  <si>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</si>
  <si>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</si>
  <si>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</si>
  <si>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</si>
  <si>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</si>
  <si>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</si>
  <si>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</si>
  <si>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</si>
  <si>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</si>
  <si>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</si>
  <si>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</si>
  <si>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</si>
  <si>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</si>
  <si>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</si>
  <si>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</si>
  <si>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</si>
  <si>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</si>
  <si>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</si>
  <si>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</si>
  <si>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</si>
  <si>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</si>
  <si>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</si>
  <si>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</si>
  <si>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</si>
  <si>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</si>
  <si>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</si>
  <si>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</si>
  <si>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</si>
  <si>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</si>
  <si>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</si>
  <si>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</si>
  <si>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</si>
  <si>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</si>
  <si>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</si>
  <si>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</si>
  <si>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</si>
  <si>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</si>
  <si>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</si>
  <si>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</si>
  <si>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</si>
  <si>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</si>
  <si>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</si>
  <si>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</si>
  <si>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</si>
  <si>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</si>
  <si>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</si>
  <si>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</si>
  <si>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</si>
  <si>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</si>
  <si>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</si>
  <si>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</si>
  <si>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</si>
  <si>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</si>
  <si>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</si>
  <si>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</si>
  <si>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</si>
  <si>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</si>
  <si>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</si>
  <si>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</si>
  <si>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</si>
  <si>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</si>
  <si>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</si>
  <si>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</si>
  <si>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</si>
  <si>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</si>
  <si>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</si>
  <si>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</si>
  <si>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</si>
  <si>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</si>
  <si>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</si>
  <si>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</si>
  <si>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</si>
  <si>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</si>
  <si>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</si>
  <si>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</si>
  <si>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</si>
  <si>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</si>
  <si>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</si>
  <si>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</si>
  <si>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</si>
  <si>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</si>
  <si>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</si>
  <si>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</si>
  <si>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</si>
  <si>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</si>
  <si>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</si>
  <si>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U.S. % of Revenues</t>
  </si>
  <si>
    <t>U.S. Revenue Growth Y/y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</si>
  <si>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</si>
  <si>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</si>
  <si>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</si>
  <si>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</si>
  <si>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</si>
  <si>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</si>
  <si>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Cash Ratio</t>
  </si>
  <si>
    <t>Ttl Asset Turnover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</si>
  <si>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</si>
  <si>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</si>
  <si>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</si>
  <si>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</si>
  <si>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</si>
  <si>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</si>
  <si>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</si>
  <si>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</si>
  <si>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</si>
  <si>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</si>
  <si>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</si>
  <si>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</si>
  <si>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</si>
  <si>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[Godel Snapshot of projected earnings/EPS]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</si>
  <si>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</si>
  <si>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</si>
  <si>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</si>
  <si>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</si>
  <si>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</si>
  <si>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</si>
  <si>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</si>
  <si>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</si>
  <si>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</si>
  <si>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</si>
  <si>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</si>
  <si>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</si>
  <si>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</si>
  <si>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</si>
  <si>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</si>
  <si>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</si>
  <si>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</si>
  <si>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</si>
  <si>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</si>
  <si>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</si>
  <si>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MA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</si>
  <si>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</si>
  <si>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</si>
  <si>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</si>
  <si>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</si>
  <si>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</si>
  <si>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</si>
  <si>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</si>
  <si>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</si>
  <si>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</si>
  <si>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</si>
  <si>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</si>
  <si>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</si>
  <si>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</si>
  <si>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</si>
  <si>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</si>
  <si>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</si>
  <si>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</si>
  <si>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</si>
  <si>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</si>
  <si>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</si>
  <si>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</si>
  <si>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</si>
  <si>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</si>
  <si>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</si>
  <si>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</si>
  <si>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</si>
  <si>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</si>
  <si>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</si>
  <si>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</si>
  <si>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</si>
  <si>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</si>
  <si>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</si>
  <si>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</si>
  <si>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</si>
  <si>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</si>
  <si>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</si>
  <si>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</si>
  <si>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</si>
  <si>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</si>
  <si>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</si>
  <si>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</si>
  <si>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</si>
  <si>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</si>
  <si>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</si>
  <si>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</si>
  <si>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</si>
  <si>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</si>
  <si>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</si>
  <si>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</si>
  <si>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</si>
  <si>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</si>
  <si>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</si>
  <si>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</si>
  <si>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</si>
  <si>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</si>
  <si>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</si>
  <si>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</si>
  <si>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</si>
  <si>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</si>
  <si>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</si>
  <si>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</si>
  <si>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</si>
  <si>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</si>
  <si>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</si>
  <si>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</si>
  <si>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</si>
  <si>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</si>
  <si>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</si>
  <si>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</si>
  <si>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</si>
  <si>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</si>
  <si>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</si>
  <si>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</si>
  <si>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</si>
  <si>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</si>
  <si>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</si>
  <si>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</si>
  <si>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</si>
  <si>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</si>
  <si>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</si>
  <si>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</si>
  <si>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</si>
  <si>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</si>
  <si>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</si>
  <si>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</si>
  <si>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</si>
  <si>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</si>
  <si>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</si>
  <si>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</si>
  <si>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</si>
  <si>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</si>
  <si>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</si>
  <si>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</si>
  <si>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</si>
  <si>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</si>
  <si>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</si>
  <si>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</si>
  <si>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</si>
  <si>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</si>
  <si>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</si>
  <si>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</si>
  <si>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</si>
  <si>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</si>
  <si>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</si>
  <si>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</si>
  <si>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</si>
  <si>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</si>
  <si>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</si>
  <si>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</si>
  <si>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</si>
  <si>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</si>
  <si>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</si>
  <si>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</si>
  <si>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</si>
  <si>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</si>
  <si>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</si>
  <si>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</si>
  <si>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</si>
  <si>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</si>
  <si>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</si>
  <si>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</si>
  <si>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</si>
  <si>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</si>
  <si>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</si>
  <si>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</si>
  <si>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</si>
  <si>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</si>
  <si>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</si>
  <si>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</si>
  <si>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</si>
  <si>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</si>
  <si>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</si>
  <si>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</si>
  <si>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</si>
  <si>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</si>
  <si>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</si>
  <si>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</si>
  <si>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</si>
  <si>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</si>
  <si>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</si>
  <si>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</si>
  <si>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</si>
  <si>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</si>
  <si>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</si>
  <si>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</si>
  <si>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</si>
  <si>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</si>
  <si>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</si>
  <si>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</si>
  <si>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</si>
  <si>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</si>
  <si>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</si>
  <si>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</si>
  <si>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</si>
  <si>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</si>
  <si>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</si>
  <si>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</si>
  <si>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</si>
  <si>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</si>
  <si>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</si>
  <si>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</si>
  <si>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</si>
  <si>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</si>
  <si>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</si>
  <si>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</si>
  <si>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</si>
  <si>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</si>
  <si>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</si>
  <si>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</si>
  <si>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</si>
  <si>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</si>
  <si>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</si>
  <si>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</si>
  <si>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</si>
  <si>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</si>
  <si>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</si>
  <si>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</si>
  <si>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</si>
  <si>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</si>
  <si>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</si>
  <si>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</si>
  <si>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</si>
  <si>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</si>
  <si>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</si>
  <si>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</si>
  <si>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</si>
  <si>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</si>
  <si>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</si>
  <si>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</si>
  <si>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</si>
  <si>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</si>
  <si>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</si>
  <si>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</si>
  <si>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</si>
  <si>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</si>
  <si>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</si>
  <si>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</si>
  <si>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</si>
  <si>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</si>
  <si>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</si>
  <si>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</si>
  <si>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</si>
  <si>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</si>
  <si>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</si>
  <si>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</si>
  <si>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</si>
  <si>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</si>
  <si>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</si>
  <si>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</si>
  <si>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</si>
  <si>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</si>
  <si>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</si>
  <si>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</si>
  <si>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</si>
  <si>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</si>
  <si>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</si>
  <si>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</si>
  <si>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</si>
  <si>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</si>
  <si>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</si>
  <si>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</si>
  <si>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</si>
  <si>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</si>
  <si>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</si>
  <si>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</si>
  <si>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</si>
  <si>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</si>
  <si>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</si>
  <si>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</si>
  <si>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</si>
  <si>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</si>
  <si>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</si>
  <si>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</si>
  <si>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</si>
  <si>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</si>
  <si>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</si>
  <si>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</si>
  <si>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</si>
  <si>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</si>
  <si>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</si>
  <si>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</si>
  <si>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</si>
  <si>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</si>
  <si>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</si>
  <si>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</si>
  <si>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</si>
  <si>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</si>
  <si>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</si>
  <si>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</si>
  <si>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</si>
  <si>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</si>
  <si>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</si>
  <si>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</si>
  <si>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</si>
  <si>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</si>
  <si>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</si>
  <si>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</si>
  <si>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</si>
  <si>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</si>
  <si>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</si>
  <si>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</si>
  <si>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</si>
  <si>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</si>
  <si>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</si>
  <si>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</si>
  <si>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</si>
  <si>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</si>
  <si>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</si>
  <si>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</si>
  <si>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</si>
  <si>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</si>
  <si>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</si>
  <si>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</si>
  <si>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</si>
  <si>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</si>
  <si>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</si>
  <si>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</si>
  <si>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</si>
  <si>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</si>
  <si>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</si>
  <si>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</si>
  <si>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</si>
  <si>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</si>
  <si>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</si>
  <si>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</si>
  <si>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</si>
  <si>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</si>
  <si>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</si>
  <si>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</si>
  <si>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</si>
  <si>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</si>
  <si>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</si>
  <si>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</si>
  <si>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</si>
  <si>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</si>
  <si>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</si>
  <si>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</si>
  <si>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</si>
  <si>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</si>
  <si>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</si>
  <si>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</si>
  <si>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</si>
  <si>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</si>
  <si>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</si>
  <si>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</si>
  <si>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</si>
  <si>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</si>
  <si>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</si>
  <si>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</si>
  <si>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</si>
  <si>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</si>
  <si>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</si>
  <si>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</si>
  <si>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</si>
  <si>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</si>
  <si>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</si>
  <si>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</si>
  <si>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</si>
  <si>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</si>
  <si>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</si>
  <si>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</si>
  <si>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</si>
  <si>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</si>
  <si>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</si>
  <si>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</si>
  <si>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</si>
  <si>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</si>
  <si>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</si>
  <si>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</si>
  <si>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</si>
  <si>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</si>
  <si>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</si>
  <si>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</si>
  <si>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</si>
  <si>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</si>
  <si>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</si>
  <si>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</si>
  <si>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</si>
  <si>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</si>
  <si>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</si>
  <si>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</si>
  <si>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</si>
  <si>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</si>
  <si>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</si>
  <si>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</si>
  <si>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</si>
  <si>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</si>
  <si>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</si>
  <si>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</si>
  <si>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</si>
  <si>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</si>
  <si>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</si>
  <si>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</si>
  <si>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</si>
  <si>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</si>
  <si>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</si>
  <si>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</si>
  <si>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</si>
  <si>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</si>
  <si>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</si>
  <si>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</si>
  <si>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</si>
  <si>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</si>
  <si>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</si>
  <si>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</si>
  <si>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</si>
  <si>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</si>
  <si>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</si>
  <si>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</si>
  <si>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</si>
  <si>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</si>
  <si>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</si>
  <si>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</si>
  <si>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</si>
  <si>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</si>
  <si>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</si>
  <si>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</si>
  <si>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</si>
  <si>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</si>
  <si>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</si>
  <si>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</si>
  <si>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</si>
  <si>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</si>
  <si>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</si>
  <si>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</si>
  <si>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</si>
  <si>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</si>
  <si>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</si>
  <si>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</si>
  <si>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</si>
  <si>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</si>
  <si>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</si>
  <si>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</si>
  <si>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</si>
  <si>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</si>
  <si>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</si>
  <si>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</si>
  <si>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</si>
  <si>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</si>
  <si>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</si>
  <si>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</si>
  <si>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</si>
  <si>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</si>
  <si>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</si>
  <si>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</si>
  <si>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</si>
  <si>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</si>
  <si>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</si>
  <si>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</si>
  <si>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</si>
  <si>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</si>
  <si>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</si>
  <si>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</si>
  <si>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</si>
  <si>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</si>
  <si>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</si>
  <si>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</si>
  <si>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</si>
  <si>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</si>
  <si>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</si>
  <si>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</si>
  <si>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</si>
  <si>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</si>
  <si>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</si>
  <si>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</si>
  <si>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</si>
  <si>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</si>
  <si>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</si>
  <si>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</si>
  <si>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</si>
  <si>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</si>
  <si>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</si>
  <si>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</si>
  <si>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</si>
  <si>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</si>
  <si>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</si>
  <si>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</si>
  <si>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</si>
  <si>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</si>
  <si>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</si>
  <si>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</si>
  <si>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</si>
  <si>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</si>
  <si>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</si>
  <si>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</si>
  <si>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</si>
  <si>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</si>
  <si>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</si>
  <si>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</si>
  <si>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</si>
  <si>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</si>
  <si>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</si>
  <si>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</si>
  <si>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</si>
  <si>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</si>
  <si>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</si>
  <si>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</si>
  <si>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</si>
  <si>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</si>
  <si>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</si>
  <si>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</si>
  <si>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</si>
  <si>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</si>
  <si>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</si>
  <si>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</si>
  <si>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</si>
  <si>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</si>
  <si>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</si>
  <si>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</si>
  <si>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</si>
  <si>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</si>
  <si>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</si>
  <si>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</si>
  <si>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</si>
  <si>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</si>
  <si>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</si>
  <si>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</si>
  <si>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</si>
  <si>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</si>
  <si>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</si>
  <si>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</si>
  <si>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</si>
  <si>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</si>
  <si>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</si>
  <si>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</si>
  <si>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</si>
  <si>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</si>
  <si>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</si>
  <si>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</si>
  <si>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</si>
  <si>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</si>
  <si>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</si>
  <si>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</si>
  <si>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</si>
  <si>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</si>
  <si>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</si>
  <si>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</si>
  <si>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</si>
  <si>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</si>
  <si>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</si>
  <si>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</si>
  <si>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</si>
  <si>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</si>
  <si>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</si>
  <si>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</si>
  <si>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</si>
  <si>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</si>
  <si>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</si>
  <si>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</si>
  <si>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</si>
  <si>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</si>
  <si>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</si>
  <si>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</si>
  <si>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</si>
  <si>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</si>
  <si>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</si>
  <si>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</si>
  <si>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</si>
  <si>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</si>
  <si>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</si>
  <si>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</si>
  <si>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</si>
  <si>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</si>
  <si>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</si>
  <si>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</si>
  <si>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</si>
  <si>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</si>
  <si>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</si>
  <si>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</si>
  <si>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</si>
  <si>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</si>
  <si>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</si>
  <si>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</si>
  <si>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</si>
  <si>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</si>
  <si>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</si>
  <si>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</si>
  <si>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</si>
  <si>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</si>
  <si>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</si>
  <si>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</si>
  <si>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</si>
  <si>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</si>
  <si>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</si>
  <si>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</si>
  <si>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</si>
  <si>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</si>
  <si>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</si>
  <si>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</si>
  <si>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</si>
  <si>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</si>
  <si>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</si>
  <si>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</si>
  <si>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</si>
  <si>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</si>
  <si>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</si>
  <si>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</si>
  <si>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</si>
  <si>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</si>
  <si>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</si>
  <si>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</si>
  <si>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</si>
  <si>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</si>
  <si>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</si>
  <si>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</si>
  <si>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</si>
  <si>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</si>
  <si>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</si>
  <si>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</si>
  <si>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</si>
  <si>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</si>
  <si>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</si>
  <si>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</si>
  <si>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</si>
  <si>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</si>
  <si>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</si>
  <si>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</si>
  <si>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</si>
  <si>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</si>
  <si>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</si>
  <si>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</si>
  <si>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</si>
  <si>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</si>
  <si>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</si>
  <si>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</si>
  <si>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</si>
  <si>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</si>
  <si>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</si>
  <si>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</si>
  <si>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</si>
  <si>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</si>
  <si>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</si>
  <si>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</si>
  <si>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</si>
  <si>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</si>
  <si>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</si>
  <si>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</si>
  <si>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</si>
  <si>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</si>
  <si>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</si>
  <si>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</si>
  <si>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</si>
  <si>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</si>
  <si>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</si>
  <si>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</si>
  <si>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</si>
  <si>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</si>
  <si>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</si>
  <si>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</si>
  <si>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</si>
  <si>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</si>
  <si>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</si>
  <si>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</si>
  <si>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</si>
  <si>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</si>
  <si>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</si>
  <si>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</si>
  <si>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</si>
  <si>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</si>
  <si>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</si>
  <si>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</si>
  <si>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</si>
  <si>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</si>
  <si>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</si>
  <si>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</si>
  <si>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</si>
  <si>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</si>
  <si>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</si>
  <si>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</si>
  <si>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</si>
  <si>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</si>
  <si>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</si>
  <si>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</si>
  <si>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</si>
  <si>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</si>
  <si>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</si>
  <si>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</si>
  <si>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Mon, 05 Dec 2022 00:00:00 GMT</t>
  </si>
  <si>
    <t>Fri, 02 Dec 2022 00:00:00 GMT</t>
  </si>
  <si>
    <t>Thu, 01 Dec 2022 00:00:00 GMT</t>
  </si>
  <si>
    <t>Wed, 30 Nov 2022 00:00:00 GMT</t>
  </si>
  <si>
    <t>Tue, 29 Nov 2022 00:00:00 GMT</t>
  </si>
  <si>
    <t>Mon, 28 Nov 2022 00:00:00 GMT</t>
  </si>
  <si>
    <t>Fri, 25 Nov 2022 00:00:00 GMT</t>
  </si>
  <si>
    <t>Wed, 23 Nov 2022 00:00:00 GMT</t>
  </si>
  <si>
    <t>Tue, 22 Nov 2022 00:00:00 GMT</t>
  </si>
  <si>
    <t>Mon, 21 Nov 2022 00:00:00 GMT</t>
  </si>
  <si>
    <t>Fri, 18 Nov 2022 00:00:00 GMT</t>
  </si>
  <si>
    <t>Thu, 17 Nov 2022 00:00:00 GMT</t>
  </si>
  <si>
    <t>Wed, 16 Nov 2022 00:00:00 GMT</t>
  </si>
  <si>
    <t>Tue, 15 Nov 2022 00:00:00 GMT</t>
  </si>
  <si>
    <t>Mon, 14 Nov 2022 00:00:00 GMT</t>
  </si>
  <si>
    <t>Fri, 11 Nov 2022 00:00:00 GMT</t>
  </si>
  <si>
    <t>Thu, 10 Nov 2022 00:00:00 GMT</t>
  </si>
  <si>
    <t>Wed, 09 Nov 2022 00:00:00 GMT</t>
  </si>
  <si>
    <t>Tue, 08 Nov 2022 00:00:00 GMT</t>
  </si>
  <si>
    <t>Mon, 07 Nov 2022 00:00:00 GMT</t>
  </si>
  <si>
    <t>Fri, 04 Nov 2022 00:00:00 GMT</t>
  </si>
  <si>
    <t>Thu, 03 Nov 2022 00:00:00 GMT</t>
  </si>
  <si>
    <t>Wed, 02 Nov 2022 00:00:00 GMT</t>
  </si>
  <si>
    <t>Tue, 01 Nov 2022 00:00:00 GMT</t>
  </si>
  <si>
    <t>Mon, 31 Oct 2022 00:00:00 GMT</t>
  </si>
  <si>
    <t>Fri, 28 Oct 2022 00:00:00 GMT</t>
  </si>
  <si>
    <t>Thu, 27 Oct 2022 00:00:00 GMT</t>
  </si>
  <si>
    <t>Wed, 26 Oct 2022 00:00:00 GMT</t>
  </si>
  <si>
    <t>Tue, 25 Oct 2022 00:00:00 GMT</t>
  </si>
  <si>
    <t>Mon, 24 Oct 2022 00:00:00 GMT</t>
  </si>
  <si>
    <t>Fri, 21 Oct 2022 00:00:00 GMT</t>
  </si>
  <si>
    <t>Thu, 20 Oct 2022 00:00:00 GMT</t>
  </si>
  <si>
    <t>Wed, 19 Oct 2022 00:00:00 GMT</t>
  </si>
  <si>
    <t>Tue, 18 Oct 2022 00:00:00 GMT</t>
  </si>
  <si>
    <t>Mon, 17 Oct 2022 00:00:00 GMT</t>
  </si>
  <si>
    <t>Fri, 14 Oct 2022 00:00:00 GMT</t>
  </si>
  <si>
    <t>Thu, 13 Oct 2022 00:00:00 GMT</t>
  </si>
  <si>
    <t>Wed, 12 Oct 2022 00:00:00 GMT</t>
  </si>
  <si>
    <t>Tue, 11 Oct 2022 00:00:00 GMT</t>
  </si>
  <si>
    <t>Mon, 10 Oct 2022 00:00:00 GMT</t>
  </si>
  <si>
    <t>Fri, 07 Oct 2022 00:00:00 GMT</t>
  </si>
  <si>
    <t>Thu, 06 Oct 2022 00:00:00 GMT</t>
  </si>
  <si>
    <t>Wed, 05 Oct 2022 00:00:00 GMT</t>
  </si>
  <si>
    <t>Tue, 04 Oct 2022 00:00:00 GMT</t>
  </si>
  <si>
    <t>Mon, 03 Oct 2022 00:00:00 GMT</t>
  </si>
  <si>
    <t>Fri, 30 Sep 2022 00:00:00 GMT</t>
  </si>
  <si>
    <t>Thu, 29 Sep 2022 00:00:00 GMT</t>
  </si>
  <si>
    <t>Wed, 28 Sep 2022 00:00:00 GMT</t>
  </si>
  <si>
    <t>Tue, 27 Sep 2022 00:00:00 GMT</t>
  </si>
  <si>
    <t>Mon, 26 Sep 2022 00:00:00 GMT</t>
  </si>
  <si>
    <t>Fri, 23 Sep 2022 00:00:00 GMT</t>
  </si>
  <si>
    <t>Thu, 22 Sep 2022 00:00:00 GMT</t>
  </si>
  <si>
    <t>Wed, 21 Sep 2022 00:00:00 GMT</t>
  </si>
  <si>
    <t>Tue, 20 Sep 2022 00:00:00 GMT</t>
  </si>
  <si>
    <t>Mon, 19 Sep 2022 00:00:00 GMT</t>
  </si>
  <si>
    <t>Fri, 16 Sep 2022 00:00:00 GMT</t>
  </si>
  <si>
    <t>Thu, 15 Sep 2022 00:00:00 GMT</t>
  </si>
  <si>
    <t>Wed, 14 Sep 2022 00:00:00 GMT</t>
  </si>
  <si>
    <t>Tue, 13 Sep 2022 00:00:00 GMT</t>
  </si>
  <si>
    <t>Mon, 12 Sep 2022 00:00:00 GMT</t>
  </si>
  <si>
    <t>Fri, 09 Sep 2022 00:00:00 GMT</t>
  </si>
  <si>
    <t>Thu, 08 Sep 2022 00:00:00 GMT</t>
  </si>
  <si>
    <t>Wed, 07 Sep 2022 00:00:00 GMT</t>
  </si>
  <si>
    <t>Tue, 06 Sep 2022 00:00:00 GMT</t>
  </si>
  <si>
    <t>Fri, 02 Sep 2022 00:00:00 GMT</t>
  </si>
  <si>
    <t>Thu, 01 Sep 2022 00:00:00 GMT</t>
  </si>
  <si>
    <t>Wed, 31 Aug 2022 00:00:00 GMT</t>
  </si>
  <si>
    <t>Tue, 30 Aug 2022 00:00:00 GMT</t>
  </si>
  <si>
    <t>Mon, 29 Aug 2022 00:00:00 GMT</t>
  </si>
  <si>
    <t>Fri, 26 Aug 2022 00:00:00 GMT</t>
  </si>
  <si>
    <t>Thu, 25 Aug 2022 00:00:00 GMT</t>
  </si>
  <si>
    <t>Wed, 24 Aug 2022 00:00:00 GMT</t>
  </si>
  <si>
    <t>Tue, 23 Aug 2022 00:00:00 GMT</t>
  </si>
  <si>
    <t>Mon, 22 Aug 2022 00:00:00 GMT</t>
  </si>
  <si>
    <t>Fri, 19 Aug 2022 00:00:00 GMT</t>
  </si>
  <si>
    <t>Thu, 18 Aug 2022 00:00:00 GMT</t>
  </si>
  <si>
    <t>Wed, 17 Aug 2022 00:00:00 GMT</t>
  </si>
  <si>
    <t>Tue, 16 Aug 2022 00:00:00 GMT</t>
  </si>
  <si>
    <t>Mon, 15 Aug 2022 00:00:00 GMT</t>
  </si>
  <si>
    <t>Fri, 12 Aug 2022 00:00:00 GMT</t>
  </si>
  <si>
    <t>Thu, 11 Aug 2022 00:00:00 GMT</t>
  </si>
  <si>
    <t>Wed, 10 Aug 2022 00:00:00 GMT</t>
  </si>
  <si>
    <t>Tue, 09 Aug 2022 00:00:00 GMT</t>
  </si>
  <si>
    <t>Mon, 08 Aug 2022 00:00:00 GMT</t>
  </si>
  <si>
    <t>Fri, 05 Aug 2022 00:00:00 GMT</t>
  </si>
  <si>
    <t>Thu, 04 Aug 2022 00:00:00 GMT</t>
  </si>
  <si>
    <t>Wed, 03 Aug 2022 00:00:00 GMT</t>
  </si>
  <si>
    <t>Tue, 02 Aug 2022 00:00:00 GMT</t>
  </si>
  <si>
    <t>Mon, 01 Aug 2022 00:00:00 GMT</t>
  </si>
  <si>
    <t>Fri, 29 Jul 2022 00:00:00 GMT</t>
  </si>
  <si>
    <t>Thu, 28 Jul 2022 00:00:00 GMT</t>
  </si>
  <si>
    <t>Wed, 27 Jul 2022 00:00:00 GMT</t>
  </si>
  <si>
    <t>Tue, 26 Jul 2022 00:00:00 GMT</t>
  </si>
  <si>
    <t>Mon, 25 Jul 2022 00:00:00 GMT</t>
  </si>
  <si>
    <t>Fri, 22 Jul 2022 00:00:00 GMT</t>
  </si>
  <si>
    <t>Thu, 21 Jul 2022 00:00:00 GMT</t>
  </si>
  <si>
    <t>Wed, 20 Jul 2022 00:00:00 GMT</t>
  </si>
  <si>
    <t>Tue, 19 Jul 2022 00:00:00 GMT</t>
  </si>
  <si>
    <t>Mon, 18 Jul 2022 00:00:00 GMT</t>
  </si>
  <si>
    <t>Fri, 15 Jul 2022 00:00:00 GMT</t>
  </si>
  <si>
    <t>Thu, 14 Jul 2022 00:00:00 GMT</t>
  </si>
  <si>
    <t>Wed, 13 Jul 2022 00:00:00 GMT</t>
  </si>
  <si>
    <t>Tue, 12 Jul 2022 00:00:00 GMT</t>
  </si>
  <si>
    <t>Mon, 11 Jul 2022 00:00:00 GMT</t>
  </si>
  <si>
    <t>Fri, 08 Jul 2022 00:00:00 GMT</t>
  </si>
  <si>
    <t>Thu, 07 Jul 2022 00:00:00 GMT</t>
  </si>
  <si>
    <t>Wed, 06 Jul 2022 00:00:00 GMT</t>
  </si>
  <si>
    <t>Tue, 05 Jul 2022 00:00:00 GMT</t>
  </si>
  <si>
    <t>Fri, 01 Jul 2022 00:00:00 GMT</t>
  </si>
  <si>
    <t>Thu, 30 Jun 2022 00:00:00 GMT</t>
  </si>
  <si>
    <t>Wed, 29 Jun 2022 00:00:00 GMT</t>
  </si>
  <si>
    <t>Tue, 28 Jun 2022 00:00:00 GMT</t>
  </si>
  <si>
    <t>Mon, 27 Jun 2022 00:00:00 GMT</t>
  </si>
  <si>
    <t>Fri, 24 Jun 2022 00:00:00 GMT</t>
  </si>
  <si>
    <t>Thu, 23 Jun 2022 00:00:00 GMT</t>
  </si>
  <si>
    <t>Wed, 22 Jun 2022 00:00:00 GMT</t>
  </si>
  <si>
    <t>Tue, 21 Jun 2022 00:00:00 GMT</t>
  </si>
  <si>
    <t>Fri, 17 Jun 2022 00:00:00 GMT</t>
  </si>
  <si>
    <t>Thu, 16 Jun 2022 00:00:00 GMT</t>
  </si>
  <si>
    <t>Wed, 15 Jun 2022 00:00:00 GMT</t>
  </si>
  <si>
    <t>Tue, 14 Jun 2022 00:00:00 GMT</t>
  </si>
  <si>
    <t>Mon, 13 Jun 2022 00:00:00 GMT</t>
  </si>
  <si>
    <t>Fri, 10 Jun 2022 00:00:00 GMT</t>
  </si>
  <si>
    <t>Thu, 09 Jun 2022 00:00:00 GMT</t>
  </si>
  <si>
    <t>Wed, 08 Jun 2022 00:00:00 GMT</t>
  </si>
  <si>
    <t>Tue, 07 Jun 2022 00:00:00 GMT</t>
  </si>
  <si>
    <t>Mon, 06 Jun 2022 00:00:00 GMT</t>
  </si>
  <si>
    <t>Fri, 03 Jun 2022 00:00:00 GMT</t>
  </si>
  <si>
    <t>Thu, 02 Jun 2022 00:00:00 GMT</t>
  </si>
  <si>
    <t>Wed, 01 Jun 2022 00:00:00 GMT</t>
  </si>
  <si>
    <t>Tue, 31 May 2022 00:00:00 GMT</t>
  </si>
  <si>
    <t>Fri, 27 May 2022 00:00:00 GMT</t>
  </si>
  <si>
    <t>Thu, 26 May 2022 00:00:00 GMT</t>
  </si>
  <si>
    <t>Wed, 25 May 2022 00:00:00 GMT</t>
  </si>
  <si>
    <t>Tue, 24 May 2022 00:00:00 GMT</t>
  </si>
  <si>
    <t>Mon, 23 May 2022 00:00:00 GMT</t>
  </si>
  <si>
    <t>Fri, 20 May 2022 00:00:00 GMT</t>
  </si>
  <si>
    <t>Thu, 19 May 2022 00:00:00 GMT</t>
  </si>
  <si>
    <t>Wed, 18 May 2022 00:00:00 GMT</t>
  </si>
  <si>
    <t>Tue, 17 May 2022 00:00:00 GMT</t>
  </si>
  <si>
    <t>Mon, 16 May 2022 00:00:00 GMT</t>
  </si>
  <si>
    <t>Fri, 13 May 2022 00:00:00 GMT</t>
  </si>
  <si>
    <t>Thu, 12 May 2022 00:00:00 GMT</t>
  </si>
  <si>
    <t>Wed, 11 May 2022 00:00:00 GMT</t>
  </si>
  <si>
    <t>Tue, 10 May 2022 00:00:00 GMT</t>
  </si>
  <si>
    <t>Mon, 09 May 2022 00:00:00 GMT</t>
  </si>
  <si>
    <t>Fri, 06 May 2022 00:00:00 GMT</t>
  </si>
  <si>
    <t>Thu, 05 May 2022 00:00:00 GMT</t>
  </si>
  <si>
    <t>Wed, 04 May 2022 00:00:00 GMT</t>
  </si>
  <si>
    <t>Tue, 03 May 2022 00:00:00 GMT</t>
  </si>
  <si>
    <t>Mon, 02 May 2022 00:00:00 GMT</t>
  </si>
  <si>
    <t>Fri, 29 Apr 2022 00:00:00 GMT</t>
  </si>
  <si>
    <t>Thu, 28 Apr 2022 00:00:00 GMT</t>
  </si>
  <si>
    <t>Wed, 27 Apr 2022 00:00:00 GMT</t>
  </si>
  <si>
    <t>Tue, 26 Apr 2022 00:00:00 GMT</t>
  </si>
  <si>
    <t>Mon, 25 Apr 2022 00:00:00 GMT</t>
  </si>
  <si>
    <t>Fri, 22 Apr 2022 00:00:00 GMT</t>
  </si>
  <si>
    <t>Thu, 21 Apr 2022 00:00:00 GMT</t>
  </si>
  <si>
    <t>Wed, 20 Apr 2022 00:00:00 GMT</t>
  </si>
  <si>
    <t>Tue, 19 Apr 2022 00:00:00 GMT</t>
  </si>
  <si>
    <t>Mon, 18 Apr 2022 00:00:00 GMT</t>
  </si>
  <si>
    <t>Thu, 14 Apr 2022 00:00:00 GMT</t>
  </si>
  <si>
    <t>Wed, 13 Apr 2022 00:00:00 GMT</t>
  </si>
  <si>
    <t>Tue, 12 Apr 2022 00:00:00 GMT</t>
  </si>
  <si>
    <t>Mon, 11 Apr 2022 00:00:00 GMT</t>
  </si>
  <si>
    <t>Fri, 08 Apr 2022 00:00:00 GMT</t>
  </si>
  <si>
    <t>Thu, 07 Apr 2022 00:00:00 GMT</t>
  </si>
  <si>
    <t>Wed, 06 Apr 2022 00:00:00 GMT</t>
  </si>
  <si>
    <t>Tue, 05 Apr 2022 00:00:00 GMT</t>
  </si>
  <si>
    <t>Mon, 04 Apr 2022 00:00:00 GMT</t>
  </si>
  <si>
    <t>Fri, 01 Apr 2022 00:00:00 GMT</t>
  </si>
  <si>
    <t>Thu, 31 Mar 2022 00:00:00 GMT</t>
  </si>
  <si>
    <t>Wed, 30 Mar 2022 00:00:00 GMT</t>
  </si>
  <si>
    <t>Tue, 29 Mar 2022 00:00:00 GMT</t>
  </si>
  <si>
    <t>Mon, 28 Mar 2022 00:00:00 GMT</t>
  </si>
  <si>
    <t>Fri, 25 Mar 2022 00:00:00 GMT</t>
  </si>
  <si>
    <t>Thu, 24 Mar 2022 00:00:00 GMT</t>
  </si>
  <si>
    <t>Wed, 23 Mar 2022 00:00:00 GMT</t>
  </si>
  <si>
    <t>Tue, 22 Mar 2022 00:00:00 GMT</t>
  </si>
  <si>
    <t>Mon, 21 Mar 2022 00:00:00 GMT</t>
  </si>
  <si>
    <t>Fri, 18 Mar 2022 00:00:00 GMT</t>
  </si>
  <si>
    <t>Thu, 17 Mar 2022 00:00:00 GMT</t>
  </si>
  <si>
    <t>Wed, 16 Mar 2022 00:00:00 GMT</t>
  </si>
  <si>
    <t>Tue, 15 Mar 2022 00:00:00 GMT</t>
  </si>
  <si>
    <t>Mon, 14 Mar 2022 00:00:00 GMT</t>
  </si>
  <si>
    <t>Fri, 11 Mar 2022 00:00:00 GMT</t>
  </si>
  <si>
    <t>Thu, 10 Mar 2022 00:00:00 GMT</t>
  </si>
  <si>
    <t>Wed, 09 Mar 2022 00:00:00 GMT</t>
  </si>
  <si>
    <t>Tue, 08 Mar 2022 00:00:00 GMT</t>
  </si>
  <si>
    <t>Mon, 07 Mar 2022 00:00:00 GMT</t>
  </si>
  <si>
    <t>Fri, 04 Mar 2022 00:00:00 GMT</t>
  </si>
  <si>
    <t>Thu, 03 Mar 2022 00:00:00 GMT</t>
  </si>
  <si>
    <t>Wed, 02 Mar 2022 00:00:00 GMT</t>
  </si>
  <si>
    <t>Tue, 01 Mar 2022 00:00:00 GMT</t>
  </si>
  <si>
    <t>Mon, 28 Feb 2022 00:00:00 GMT</t>
  </si>
  <si>
    <t>Fri, 25 Feb 2022 00:00:00 GMT</t>
  </si>
  <si>
    <t>Thu, 24 Feb 2022 00:00:00 GMT</t>
  </si>
  <si>
    <t>Wed, 23 Feb 2022 00:00:00 GMT</t>
  </si>
  <si>
    <t>Tue, 22 Feb 2022 00:00:00 GMT</t>
  </si>
  <si>
    <t>Fri, 18 Feb 2022 00:00:00 GMT</t>
  </si>
  <si>
    <t>Thu, 17 Feb 2022 00:00:00 GMT</t>
  </si>
  <si>
    <t>Wed, 16 Feb 2022 00:00:00 GMT</t>
  </si>
  <si>
    <t>Tue, 15 Feb 2022 00:00:00 GMT</t>
  </si>
  <si>
    <t>Mon, 14 Feb 2022 00:00:00 GMT</t>
  </si>
  <si>
    <t>Fri, 11 Feb 2022 00:00:00 GMT</t>
  </si>
  <si>
    <t>Thu, 10 Feb 2022 00:00:00 GMT</t>
  </si>
  <si>
    <t>Wed, 09 Feb 2022 00:00:00 GMT</t>
  </si>
  <si>
    <t>Tue, 08 Feb 2022 00:00:00 GMT</t>
  </si>
  <si>
    <t>Mon, 07 Feb 2022 00:00:00 GMT</t>
  </si>
  <si>
    <t>Fri, 04 Feb 2022 00:00:00 GMT</t>
  </si>
  <si>
    <t>Thu, 03 Feb 2022 00:00:00 GMT</t>
  </si>
  <si>
    <t>Wed, 02 Feb 2022 00:00:00 GMT</t>
  </si>
  <si>
    <t>Tue, 01 Feb 2022 00:00:00 GMT</t>
  </si>
  <si>
    <t>Mon, 31 Jan 2022 00:00:00 GMT</t>
  </si>
  <si>
    <t>Fri, 28 Jan 2022 00:00:00 GMT</t>
  </si>
  <si>
    <t>Thu, 27 Jan 2022 00:00:00 GMT</t>
  </si>
  <si>
    <t>Wed, 26 Jan 2022 00:00:00 GMT</t>
  </si>
  <si>
    <t>Tue, 25 Jan 2022 00:00:00 GMT</t>
  </si>
  <si>
    <t>Mon, 24 Jan 2022 00:00:00 GMT</t>
  </si>
  <si>
    <t>Fri, 21 Jan 2022 00:00:00 GMT</t>
  </si>
  <si>
    <t>Thu, 20 Jan 2022 00:00:00 GMT</t>
  </si>
  <si>
    <t>Wed, 19 Jan 2022 00:00:00 GMT</t>
  </si>
  <si>
    <t>Tue, 18 Jan 2022 00:00:00 GMT</t>
  </si>
  <si>
    <t>Fri, 14 Jan 2022 00:00:00 GMT</t>
  </si>
  <si>
    <t>Thu, 13 Jan 2022 00:00:00 GMT</t>
  </si>
  <si>
    <t>Wed, 12 Jan 2022 00:00:00 GMT</t>
  </si>
  <si>
    <t>Tue, 11 Jan 2022 00:00:00 GMT</t>
  </si>
  <si>
    <t>Mon, 10 Jan 2022 00:00:00 GMT</t>
  </si>
  <si>
    <t>Fri, 07 Jan 2022 00:00:00 GMT</t>
  </si>
  <si>
    <t>Thu, 06 Jan 2022 00:00:00 GMT</t>
  </si>
  <si>
    <t>Wed, 05 Jan 2022 00:00:00 GMT</t>
  </si>
  <si>
    <t>Tue, 04 Jan 2022 00:00:00 GMT</t>
  </si>
  <si>
    <t>Mon, 03 Jan 2022 00:00:00 GMT</t>
  </si>
  <si>
    <t>Fri, 31 Dec 2021 00:00:00 GMT</t>
  </si>
  <si>
    <t>Thu, 30 Dec 2021 00:00:00 GMT</t>
  </si>
  <si>
    <t>Wed, 29 Dec 2021 00:00:00 GMT</t>
  </si>
  <si>
    <t>Tue, 28 Dec 2021 00:00:00 GMT</t>
  </si>
  <si>
    <t>Mon, 27 Dec 2021 00:00:00 GMT</t>
  </si>
  <si>
    <t>Thu, 23 Dec 2021 00:00:00 GMT</t>
  </si>
  <si>
    <t>Wed, 22 Dec 2021 00:00:00 GMT</t>
  </si>
  <si>
    <t>Tue, 21 Dec 2021 00:00:00 GMT</t>
  </si>
  <si>
    <t>Mon, 20 Dec 2021 00:00:00 GMT</t>
  </si>
  <si>
    <t>Fri, 17 Dec 2021 00:00:00 GMT</t>
  </si>
  <si>
    <t>Thu, 16 Dec 2021 00:00:00 GMT</t>
  </si>
  <si>
    <t>Wed, 15 Dec 2021 00:00:00 GMT</t>
  </si>
  <si>
    <t>Tue, 14 Dec 2021 00:00:00 GMT</t>
  </si>
  <si>
    <t>Mon, 13 Dec 2021 00:00:00 GMT</t>
  </si>
  <si>
    <t>Fri, 10 Dec 2021 00:00:00 GMT</t>
  </si>
  <si>
    <t>Thu, 09 Dec 2021 00:00:00 GMT</t>
  </si>
  <si>
    <t>Wed, 08 Dec 2021 00:00:00 GMT</t>
  </si>
  <si>
    <t>Tue, 07 Dec 2021 00:00:00 GMT</t>
  </si>
  <si>
    <t>Mon, 06 Dec 2021 00:00:00 GMT</t>
  </si>
  <si>
    <t>Fri, 03 Dec 2021 00:00:00 GMT</t>
  </si>
  <si>
    <t>Thu, 02 Dec 2021 00:00:00 GMT</t>
  </si>
  <si>
    <t>Wed, 01 Dec 2021 00:00:00 GMT</t>
  </si>
  <si>
    <t>Tue, 30 Nov 2021 00:00:00 GMT</t>
  </si>
  <si>
    <t>Mon, 29 Nov 2021 00:00:00 GMT</t>
  </si>
  <si>
    <t>Fri, 26 Nov 2021 00:00:00 GMT</t>
  </si>
  <si>
    <t>Wed, 24 Nov 2021 00:00:00 GMT</t>
  </si>
  <si>
    <t>Tue, 23 Nov 2021 00:00:00 GMT</t>
  </si>
  <si>
    <t>Mon, 22 Nov 2021 00:00:00 GMT</t>
  </si>
  <si>
    <t>Fri, 19 Nov 2021 00:00:00 GMT</t>
  </si>
  <si>
    <t>Thu, 18 Nov 2021 00:00:00 GMT</t>
  </si>
  <si>
    <t>Wed, 17 Nov 2021 00:00:00 GMT</t>
  </si>
  <si>
    <t>Tue, 16 Nov 2021 00:00:00 GMT</t>
  </si>
  <si>
    <t>Mon, 15 Nov 2021 00:00:00 GMT</t>
  </si>
  <si>
    <t>Fri, 12 Nov 2021 00:00:00 GMT</t>
  </si>
  <si>
    <t>Thu, 11 Nov 2021 00:00:00 GMT</t>
  </si>
  <si>
    <t>Wed, 10 Nov 2021 00:00:00 GMT</t>
  </si>
  <si>
    <t>Tue, 09 Nov 2021 00:00:00 GMT</t>
  </si>
  <si>
    <t>Mon, 08 Nov 2021 00:00:00 GMT</t>
  </si>
  <si>
    <t>Fri, 05 Nov 2021 00:00:00 GMT</t>
  </si>
  <si>
    <t>Thu, 04 Nov 2021 00:00:00 GMT</t>
  </si>
  <si>
    <t>Wed, 03 Nov 2021 00:00:00 GMT</t>
  </si>
  <si>
    <t>Tue, 02 Nov 2021 00:00:00 GMT</t>
  </si>
  <si>
    <t>Mon, 01 Nov 2021 00:00:00 GMT</t>
  </si>
  <si>
    <t>Fri, 29 Oct 2021 00:00:00 GMT</t>
  </si>
  <si>
    <t>Thu, 28 Oct 2021 00:00:00 GMT</t>
  </si>
  <si>
    <t>Wed, 27 Oct 2021 00:00:00 GMT</t>
  </si>
  <si>
    <t>Tue, 26 Oct 2021 00:00:00 GMT</t>
  </si>
  <si>
    <t>Mon, 25 Oct 2021 00:00:00 GMT</t>
  </si>
  <si>
    <t>Fri, 22 Oct 2021 00:00:00 GMT</t>
  </si>
  <si>
    <t>Thu, 21 Oct 2021 00:00:00 GMT</t>
  </si>
  <si>
    <t>Wed, 20 Oct 2021 00:00:00 GMT</t>
  </si>
  <si>
    <t>Tue, 19 Oct 2021 00:00:00 GMT</t>
  </si>
  <si>
    <t>Mon, 18 Oct 2021 00:00:00 GMT</t>
  </si>
  <si>
    <t>Fri, 15 Oct 2021 00:00:00 GMT</t>
  </si>
  <si>
    <t>Thu, 14 Oct 2021 00:00:00 GMT</t>
  </si>
  <si>
    <t>Wed, 13 Oct 2021 00:00:00 GMT</t>
  </si>
  <si>
    <t>Tue, 12 Oct 2021 00:00:00 GMT</t>
  </si>
  <si>
    <t>Mon, 11 Oct 2021 00:00:00 GMT</t>
  </si>
  <si>
    <t>Fri, 08 Oct 2021 00:00:00 GMT</t>
  </si>
  <si>
    <t>Thu, 07 Oct 2021 00:00:00 GMT</t>
  </si>
  <si>
    <t>Wed, 06 Oct 2021 00:00:00 GMT</t>
  </si>
  <si>
    <t>Tue, 05 Oct 2021 00:00:00 GMT</t>
  </si>
  <si>
    <t>Mon, 04 Oct 2021 00:00:00 GMT</t>
  </si>
  <si>
    <t>Fri, 01 Oct 2021 00:00:00 GMT</t>
  </si>
  <si>
    <t>Thu, 30 Sep 2021 00:00:00 GMT</t>
  </si>
  <si>
    <t>Wed, 29 Sep 2021 00:00:00 GMT</t>
  </si>
  <si>
    <t>Tue, 28 Sep 2021 00:00:00 GMT</t>
  </si>
  <si>
    <t>Mon, 27 Sep 2021 00:00:00 GMT</t>
  </si>
  <si>
    <t>Fri, 24 Sep 2021 00:00:00 GMT</t>
  </si>
  <si>
    <t>Thu, 23 Sep 2021 00:00:00 GMT</t>
  </si>
  <si>
    <t>Wed, 22 Sep 2021 00:00:00 GMT</t>
  </si>
  <si>
    <t>Tue, 21 Sep 2021 00:00:00 GMT</t>
  </si>
  <si>
    <t>Mon, 20 Sep 2021 00:00:00 GMT</t>
  </si>
  <si>
    <t>Fri, 17 Sep 2021 00:00:00 GMT</t>
  </si>
  <si>
    <t>Thu, 16 Sep 2021 00:00:00 GMT</t>
  </si>
  <si>
    <t>Wed, 15 Sep 2021 00:00:00 GMT</t>
  </si>
  <si>
    <t>Tue, 14 Sep 2021 00:00:00 GMT</t>
  </si>
  <si>
    <t>Mon, 13 Sep 2021 00:00:00 GMT</t>
  </si>
  <si>
    <t>Fri, 10 Sep 2021 00:00:00 GMT</t>
  </si>
  <si>
    <t>Thu, 09 Sep 2021 00:00:00 GMT</t>
  </si>
  <si>
    <t>Wed, 08 Sep 2021 00:00:00 GMT</t>
  </si>
  <si>
    <t>Tue, 07 Sep 2021 00:00:00 GMT</t>
  </si>
  <si>
    <t>Fri, 03 Sep 2021 00:00:00 GMT</t>
  </si>
  <si>
    <t>Thu, 02 Sep 2021 00:00:00 GMT</t>
  </si>
  <si>
    <t>Wed, 01 Sep 2021 00:00:00 GMT</t>
  </si>
  <si>
    <t>Tue, 31 Aug 2021 00:00:00 GMT</t>
  </si>
  <si>
    <t>Mon, 30 Aug 2021 00:00:00 GMT</t>
  </si>
  <si>
    <t>Fri, 27 Aug 2021 00:00:00 GMT</t>
  </si>
  <si>
    <t>Thu, 26 Aug 2021 00:00:00 GMT</t>
  </si>
  <si>
    <t>Wed, 25 Aug 2021 00:00:00 GMT</t>
  </si>
  <si>
    <t>Tue, 24 Aug 2021 00:00:00 GMT</t>
  </si>
  <si>
    <t>Mon, 23 Aug 2021 00:00:00 GMT</t>
  </si>
  <si>
    <t>Fri, 20 Aug 2021 00:00:00 GMT</t>
  </si>
  <si>
    <t>Thu, 19 Aug 2021 00:00:00 GMT</t>
  </si>
  <si>
    <t>Wed, 18 Aug 2021 00:00:00 GMT</t>
  </si>
  <si>
    <t>Tue, 17 Aug 2021 00:00:00 GMT</t>
  </si>
  <si>
    <t>Mon, 16 Aug 2021 00:00:00 GMT</t>
  </si>
  <si>
    <t>Fri, 13 Aug 2021 00:00:00 GMT</t>
  </si>
  <si>
    <t>Thu, 12 Aug 2021 00:00:00 GMT</t>
  </si>
  <si>
    <t>Wed, 11 Aug 2021 00:00:00 GMT</t>
  </si>
  <si>
    <t>Tue, 10 Aug 2021 00:00:00 GMT</t>
  </si>
  <si>
    <t>Mon, 09 Aug 2021 00:00:00 GMT</t>
  </si>
  <si>
    <t>Fri, 06 Aug 2021 00:00:00 GMT</t>
  </si>
  <si>
    <t>Thu, 05 Aug 2021 00:00:00 GMT</t>
  </si>
  <si>
    <t>Wed, 04 Aug 2021 00:00:00 GMT</t>
  </si>
  <si>
    <t>Tue, 03 Aug 2021 00:00:00 GMT</t>
  </si>
  <si>
    <t>Mon, 02 Aug 2021 00:00:00 GMT</t>
  </si>
  <si>
    <t>Fri, 30 Jul 2021 00:00:00 GMT</t>
  </si>
  <si>
    <t>Thu, 29 Jul 2021 00:00:00 GMT</t>
  </si>
  <si>
    <t>Wed, 28 Jul 2021 00:00:00 GMT</t>
  </si>
  <si>
    <t>Tue, 27 Jul 2021 00:00:00 GMT</t>
  </si>
  <si>
    <t>Mon, 26 Jul 2021 00:00:00 GMT</t>
  </si>
  <si>
    <t>Fri, 23 Jul 2021 00:00:00 GMT</t>
  </si>
  <si>
    <t>Thu, 22 Jul 2021 00:00:00 GMT</t>
  </si>
  <si>
    <t>Wed, 21 Jul 2021 00:00:00 GMT</t>
  </si>
  <si>
    <t>Tue, 20 Jul 2021 00:00:00 GMT</t>
  </si>
  <si>
    <t>Mon, 19 Jul 2021 00:00:00 GMT</t>
  </si>
  <si>
    <t>Fri, 16 Jul 2021 00:00:00 GMT</t>
  </si>
  <si>
    <t>Thu, 15 Jul 2021 00:00:00 GMT</t>
  </si>
  <si>
    <t>Wed, 14 Jul 2021 00:00:00 GMT</t>
  </si>
  <si>
    <t>Tue, 13 Jul 2021 00:00:00 GMT</t>
  </si>
  <si>
    <t>Mon, 12 Jul 2021 00:00:00 GMT</t>
  </si>
  <si>
    <t>Fri, 09 Jul 2021 00:00:00 GMT</t>
  </si>
  <si>
    <t>Thu, 08 Jul 2021 00:00:00 GMT</t>
  </si>
  <si>
    <t>Wed, 07 Jul 2021 00:00:00 GMT</t>
  </si>
  <si>
    <t>Tue, 06 Jul 2021 00:00:00 GMT</t>
  </si>
  <si>
    <t>Fri, 02 Jul 2021 00:00:00 GMT</t>
  </si>
  <si>
    <t>Thu, 01 Jul 2021 00:00:00 GMT</t>
  </si>
  <si>
    <t>Wed, 30 Jun 2021 00:00:00 GMT</t>
  </si>
  <si>
    <t>Tue, 29 Jun 2021 00:00:00 GMT</t>
  </si>
  <si>
    <t>Mon, 28 Jun 2021 00:00:00 GMT</t>
  </si>
  <si>
    <t>Fri, 25 Jun 2021 00:00:00 GMT</t>
  </si>
  <si>
    <t>Thu, 24 Jun 2021 00:00:00 GMT</t>
  </si>
  <si>
    <t>Wed, 23 Jun 2021 00:00:00 GMT</t>
  </si>
  <si>
    <t>Tue, 22 Jun 2021 00:00:00 GMT</t>
  </si>
  <si>
    <t>Mon, 21 Jun 2021 00:00:00 GMT</t>
  </si>
  <si>
    <t>Fri, 18 Jun 2021 00:00:00 GMT</t>
  </si>
  <si>
    <t>Thu, 17 Jun 2021 00:00:00 GMT</t>
  </si>
  <si>
    <t>Wed, 16 Jun 2021 00:00:00 GMT</t>
  </si>
  <si>
    <t>Tue, 15 Jun 2021 00:00:00 GMT</t>
  </si>
  <si>
    <t>Mon, 14 Jun 2021 00:00:00 GMT</t>
  </si>
  <si>
    <t>Fri, 11 Jun 2021 00:00:00 GMT</t>
  </si>
  <si>
    <t>Thu, 10 Jun 2021 00:00:00 GMT</t>
  </si>
  <si>
    <t>Wed, 09 Jun 2021 00:00:00 GMT</t>
  </si>
  <si>
    <t>Tue, 08 Jun 2021 00:00:00 GMT</t>
  </si>
  <si>
    <t>Mon, 07 Jun 2021 00:00:00 GMT</t>
  </si>
  <si>
    <t>Fri, 04 Jun 2021 00:00:00 GMT</t>
  </si>
  <si>
    <t>Thu, 03 Jun 2021 00:00:00 GMT</t>
  </si>
  <si>
    <t>Wed, 02 Jun 2021 00:00:00 GMT</t>
  </si>
  <si>
    <t>Tue, 01 Jun 2021 00:00:00 GMT</t>
  </si>
  <si>
    <t>Fri, 28 May 2021 00:00:00 GMT</t>
  </si>
  <si>
    <t>Thu, 27 May 2021 00:00:00 GMT</t>
  </si>
  <si>
    <t>Wed, 26 May 2021 00:00:00 GMT</t>
  </si>
  <si>
    <t>Tue, 25 May 2021 00:00:00 GMT</t>
  </si>
  <si>
    <t>Mon, 24 May 2021 00:00:00 GMT</t>
  </si>
  <si>
    <t>Fri, 21 May 2021 00:00:00 GMT</t>
  </si>
  <si>
    <t>Thu, 20 May 2021 00:00:00 GMT</t>
  </si>
  <si>
    <t>Wed, 19 May 2021 00:00:00 GMT</t>
  </si>
  <si>
    <t>Tue, 18 May 2021 00:00:00 GMT</t>
  </si>
  <si>
    <t>Mon, 17 May 2021 00:00:00 GMT</t>
  </si>
  <si>
    <t>Fri, 14 May 2021 00:00:00 GMT</t>
  </si>
  <si>
    <t>Thu, 13 May 2021 00:00:00 GMT</t>
  </si>
  <si>
    <t>Wed, 12 May 2021 00:00:00 GMT</t>
  </si>
  <si>
    <t>Tue, 11 May 2021 00:00:00 GMT</t>
  </si>
  <si>
    <t>Mon, 10 May 2021 00:00:00 GMT</t>
  </si>
  <si>
    <t>Fri, 07 May 2021 00:00:00 GMT</t>
  </si>
  <si>
    <t>Thu, 06 May 2021 00:00:00 GMT</t>
  </si>
  <si>
    <t>Wed, 05 May 2021 00:00:00 GMT</t>
  </si>
  <si>
    <t>Tue, 04 May 2021 00:00:00 GMT</t>
  </si>
  <si>
    <t>Mon, 03 May 2021 00:00:00 GMT</t>
  </si>
  <si>
    <t>Fri, 30 Apr 2021 00:00:00 GMT</t>
  </si>
  <si>
    <t>Thu, 29 Apr 2021 00:00:00 GMT</t>
  </si>
  <si>
    <t>Wed, 28 Apr 2021 00:00:00 GMT</t>
  </si>
  <si>
    <t>Tue, 27 Apr 2021 00:00:00 GMT</t>
  </si>
  <si>
    <t>Mon, 26 Apr 2021 00:00:00 GMT</t>
  </si>
  <si>
    <t>Fri, 23 Apr 2021 00:00:00 GMT</t>
  </si>
  <si>
    <t>Thu, 22 Apr 2021 00:00:00 GMT</t>
  </si>
  <si>
    <t>Wed, 21 Apr 2021 00:00:00 GMT</t>
  </si>
  <si>
    <t>Tue, 20 Apr 2021 00:00:00 GMT</t>
  </si>
  <si>
    <t>Mon, 19 Apr 2021 00:00:00 GMT</t>
  </si>
  <si>
    <t>Fri, 16 Apr 2021 00:00:00 GMT</t>
  </si>
  <si>
    <t>Thu, 15 Apr 2021 00:00:00 GMT</t>
  </si>
  <si>
    <t>Wed, 14 Apr 2021 00:00:00 GMT</t>
  </si>
  <si>
    <t>Tue, 13 Apr 2021 00:00:00 GMT</t>
  </si>
  <si>
    <t>Mon, 12 Apr 2021 00:00:00 GMT</t>
  </si>
  <si>
    <t>Fri, 09 Apr 2021 00:00:00 GMT</t>
  </si>
  <si>
    <t>Thu, 08 Apr 2021 00:00:00 GMT</t>
  </si>
  <si>
    <t>Wed, 07 Apr 2021 00:00:00 GMT</t>
  </si>
  <si>
    <t>Tue, 06 Apr 2021 00:00:00 GMT</t>
  </si>
  <si>
    <t>Mon, 05 Apr 2021 00:00:00 GMT</t>
  </si>
  <si>
    <t>Thu, 01 Apr 2021 00:00:00 GMT</t>
  </si>
  <si>
    <t>Wed, 31 Mar 2021 00:00:00 GMT</t>
  </si>
  <si>
    <t>Tue, 30 Mar 2021 00:00:00 GMT</t>
  </si>
  <si>
    <t>Mon, 29 Mar 2021 00:00:00 GMT</t>
  </si>
  <si>
    <t>Fri, 26 Mar 2021 00:00:00 GMT</t>
  </si>
  <si>
    <t>Thu, 25 Mar 2021 00:00:00 GMT</t>
  </si>
  <si>
    <t>Wed, 24 Mar 2021 00:00:00 GMT</t>
  </si>
  <si>
    <t>Tue, 23 Mar 2021 00:00:00 GMT</t>
  </si>
  <si>
    <t>Mon, 22 Mar 2021 00:00:00 GMT</t>
  </si>
  <si>
    <t>Fri, 19 Mar 2021 00:00:00 GMT</t>
  </si>
  <si>
    <t>Thu, 18 Mar 2021 00:00:00 GMT</t>
  </si>
  <si>
    <t>Wed, 17 Mar 2021 00:00:00 GMT</t>
  </si>
  <si>
    <t>Tue, 16 Mar 2021 00:00:00 GMT</t>
  </si>
  <si>
    <t>Mon, 15 Mar 2021 00:00:00 GMT</t>
  </si>
  <si>
    <t>Fri, 12 Mar 2021 00:00:00 GMT</t>
  </si>
  <si>
    <t>Thu, 11 Mar 2021 00:00:00 GMT</t>
  </si>
  <si>
    <t>Wed, 10 Mar 2021 00:00:00 GMT</t>
  </si>
  <si>
    <t>Tue, 09 Mar 2021 00:00:00 GMT</t>
  </si>
  <si>
    <t>Mon, 08 Mar 2021 00:00:00 GMT</t>
  </si>
  <si>
    <t>Fri, 05 Mar 2021 00:00:00 GMT</t>
  </si>
  <si>
    <t>Thu, 04 Mar 2021 00:00:00 GMT</t>
  </si>
  <si>
    <t>Wed, 03 Mar 2021 00:00:00 GMT</t>
  </si>
  <si>
    <t>Tue, 02 Mar 2021 00:00:00 GMT</t>
  </si>
  <si>
    <t>Mon, 01 Mar 2021 00:00:00 GMT</t>
  </si>
  <si>
    <t>Fri, 26 Feb 2021 00:00:00 GMT</t>
  </si>
  <si>
    <t>Thu, 25 Feb 2021 00:00:00 GMT</t>
  </si>
  <si>
    <t>Wed, 24 Feb 2021 00:00:00 GMT</t>
  </si>
  <si>
    <t>Tue, 23 Feb 2021 00:00:00 GMT</t>
  </si>
  <si>
    <t>Mon, 22 Feb 2021 00:00:00 GMT</t>
  </si>
  <si>
    <t>Fri, 19 Feb 2021 00:00:00 GMT</t>
  </si>
  <si>
    <t>Thu, 18 Feb 2021 00:00:00 GMT</t>
  </si>
  <si>
    <t>Wed, 17 Feb 2021 00:00:00 GMT</t>
  </si>
  <si>
    <t>Tue, 16 Feb 2021 00:00:00 GMT</t>
  </si>
  <si>
    <t>Fri, 12 Feb 2021 00:00:00 GMT</t>
  </si>
  <si>
    <t>Thu, 11 Feb 2021 00:00:00 GMT</t>
  </si>
  <si>
    <t>Wed, 10 Feb 2021 00:00:00 GMT</t>
  </si>
  <si>
    <t>Tue, 09 Feb 2021 00:00:00 GMT</t>
  </si>
  <si>
    <t>Mon, 08 Feb 2021 00:00:00 GMT</t>
  </si>
  <si>
    <t>Fri, 05 Feb 2021 00:00:00 GMT</t>
  </si>
  <si>
    <t>Thu, 04 Feb 2021 00:00:00 GMT</t>
  </si>
  <si>
    <t>Wed, 03 Feb 2021 00:00:00 GMT</t>
  </si>
  <si>
    <t>Tue, 02 Feb 2021 00:00:00 GMT</t>
  </si>
  <si>
    <t>Mon, 01 Feb 2021 00:00:00 GMT</t>
  </si>
  <si>
    <t>Fri, 29 Jan 2021 00:00:00 GMT</t>
  </si>
  <si>
    <t>Thu, 28 Jan 2021 00:00:00 GMT</t>
  </si>
  <si>
    <t>Wed, 27 Jan 2021 00:00:00 GMT</t>
  </si>
  <si>
    <t>Tue, 26 Jan 2021 00:00:00 GMT</t>
  </si>
  <si>
    <t>Mon, 25 Jan 2021 00:00:00 GMT</t>
  </si>
  <si>
    <t>Fri, 22 Jan 2021 00:00:00 GMT</t>
  </si>
  <si>
    <t>Thu, 21 Jan 2021 00:00:00 GMT</t>
  </si>
  <si>
    <t>Wed, 20 Jan 2021 00:00:00 GMT</t>
  </si>
  <si>
    <t>Tue, 19 Jan 2021 00:00:00 GMT</t>
  </si>
  <si>
    <t>Fri, 15 Jan 2021 00:00:00 GMT</t>
  </si>
  <si>
    <t>Thu, 14 Jan 2021 00:00:00 GMT</t>
  </si>
  <si>
    <t>Wed, 13 Jan 2021 00:00:00 GMT</t>
  </si>
  <si>
    <t>Tue, 12 Jan 2021 00:00:00 GMT</t>
  </si>
  <si>
    <t>Mon, 11 Jan 2021 00:00:00 GMT</t>
  </si>
  <si>
    <t>Fri, 08 Jan 2021 00:00:00 GMT</t>
  </si>
  <si>
    <t>Thu, 07 Jan 2021 00:00:00 GMT</t>
  </si>
  <si>
    <t>Wed, 06 Jan 2021 00:00:00 GMT</t>
  </si>
  <si>
    <t>Tue, 05 Jan 2021 00:00:00 GMT</t>
  </si>
  <si>
    <t>Mon, 04 Jan 2021 00:00:00 GMT</t>
  </si>
  <si>
    <t>Thu, 31 Dec 2020 00:00:00 GMT</t>
  </si>
  <si>
    <t>Wed, 30 Dec 2020 00:00:00 GMT</t>
  </si>
  <si>
    <t>Tue, 29 Dec 2020 00:00:00 GMT</t>
  </si>
  <si>
    <t>Mon, 28 Dec 2020 00:00:00 GMT</t>
  </si>
  <si>
    <t>Thu, 24 Dec 2020 00:00:00 GMT</t>
  </si>
  <si>
    <t>Wed, 23 Dec 2020 00:00:00 GMT</t>
  </si>
  <si>
    <t>Tue, 22 Dec 2020 00:00:00 GMT</t>
  </si>
  <si>
    <t>Mon, 21 Dec 2020 00:00:00 GMT</t>
  </si>
  <si>
    <t>Fri, 18 Dec 2020 00:00:00 GMT</t>
  </si>
  <si>
    <t>Thu, 17 Dec 2020 00:00:00 GMT</t>
  </si>
  <si>
    <t>Wed, 16 Dec 2020 00:00:00 GMT</t>
  </si>
  <si>
    <t>Tue, 15 Dec 2020 00:00:00 GMT</t>
  </si>
  <si>
    <t>Mon, 14 Dec 2020 00:00:00 GMT</t>
  </si>
  <si>
    <t>Fri, 11 Dec 2020 00:00:00 GMT</t>
  </si>
  <si>
    <t>Thu, 10 Dec 2020 00:00:00 GMT</t>
  </si>
  <si>
    <t>Wed, 09 Dec 2020 00:00:00 GMT</t>
  </si>
  <si>
    <t>Tue, 08 Dec 2020 00:00:00 GMT</t>
  </si>
  <si>
    <t>Mon, 07 Dec 2020 00:00:00 GMT</t>
  </si>
  <si>
    <t>Fri, 04 Dec 2020 00:00:00 GMT</t>
  </si>
  <si>
    <t>Thu, 03 Dec 2020 00:00:00 GMT</t>
  </si>
  <si>
    <t>Wed, 02 Dec 2020 00:00:00 GMT</t>
  </si>
  <si>
    <t>Tue, 01 Dec 2020 00:00:00 GMT</t>
  </si>
  <si>
    <t>Mon, 30 Nov 2020 00:00:00 GMT</t>
  </si>
  <si>
    <t>Fri, 27 Nov 2020 00:00:00 GMT</t>
  </si>
  <si>
    <t>Wed, 25 Nov 2020 00:00:00 GMT</t>
  </si>
  <si>
    <t>Tue, 24 Nov 2020 00:00:00 GMT</t>
  </si>
  <si>
    <t>Mon, 23 Nov 2020 00:00:00 GMT</t>
  </si>
  <si>
    <t>Fri, 20 Nov 2020 00:00:00 GMT</t>
  </si>
  <si>
    <t>Thu, 19 Nov 2020 00:00:00 GMT</t>
  </si>
  <si>
    <t>Wed, 18 Nov 2020 00:00:00 GMT</t>
  </si>
  <si>
    <t>Tue, 17 Nov 2020 00:00:00 GMT</t>
  </si>
  <si>
    <t>Mon, 16 Nov 2020 00:00:00 GMT</t>
  </si>
  <si>
    <t>Fri, 13 Nov 2020 00:00:00 GMT</t>
  </si>
  <si>
    <t>Thu, 12 Nov 2020 00:00:00 GMT</t>
  </si>
  <si>
    <t>Wed, 11 Nov 2020 00:00:00 GMT</t>
  </si>
  <si>
    <t>Tue, 10 Nov 2020 00:00:00 GMT</t>
  </si>
  <si>
    <t>Mon, 09 Nov 2020 00:00:00 GMT</t>
  </si>
  <si>
    <t>Fri, 06 Nov 2020 00:00:00 GMT</t>
  </si>
  <si>
    <t>Thu, 05 Nov 2020 00:00:00 GMT</t>
  </si>
  <si>
    <t>Wed, 04 Nov 2020 00:00:00 GMT</t>
  </si>
  <si>
    <t>Tue, 03 Nov 2020 00:00:00 GMT</t>
  </si>
  <si>
    <t>Mon, 02 Nov 2020 00:00:00 GMT</t>
  </si>
  <si>
    <t>Fri, 30 Oct 2020 00:00:00 GMT</t>
  </si>
  <si>
    <t>Thu, 29 Oct 2020 00:00:00 GMT</t>
  </si>
  <si>
    <t>Wed, 28 Oct 2020 00:00:00 GMT</t>
  </si>
  <si>
    <t>Tue, 27 Oct 2020 00:00:00 GMT</t>
  </si>
  <si>
    <t>Mon, 26 Oct 2020 00:00:00 GMT</t>
  </si>
  <si>
    <t>Fri, 23 Oct 2020 00:00:00 GMT</t>
  </si>
  <si>
    <t>Thu, 22 Oct 2020 00:00:00 GMT</t>
  </si>
  <si>
    <t>Wed, 21 Oct 2020 00:00:00 GMT</t>
  </si>
  <si>
    <t>Tue, 20 Oct 2020 00:00:00 GMT</t>
  </si>
  <si>
    <t>Mon, 19 Oct 2020 00:00:00 GMT</t>
  </si>
  <si>
    <t>Fri, 16 Oct 2020 00:00:00 GMT</t>
  </si>
  <si>
    <t>Thu, 15 Oct 2020 00:00:00 GMT</t>
  </si>
  <si>
    <t>Wed, 14 Oct 2020 00:00:00 GMT</t>
  </si>
  <si>
    <t>Tue, 13 Oct 2020 00:00:00 GMT</t>
  </si>
  <si>
    <t>Mon, 12 Oct 2020 00:00:00 GMT</t>
  </si>
  <si>
    <t>Fri, 09 Oct 2020 00:00:00 GMT</t>
  </si>
  <si>
    <t>Thu, 08 Oct 2020 00:00:00 GMT</t>
  </si>
  <si>
    <t>Wed, 07 Oct 2020 00:00:00 GMT</t>
  </si>
  <si>
    <t>Tue, 06 Oct 2020 00:00:00 GMT</t>
  </si>
  <si>
    <t>Mon, 05 Oct 2020 00:00:00 GMT</t>
  </si>
  <si>
    <t>Fri, 02 Oct 2020 00:00:00 GMT</t>
  </si>
  <si>
    <t>Thu, 01 Oct 2020 00:00:00 GMT</t>
  </si>
  <si>
    <t>Wed, 30 Sep 2020 00:00:00 GMT</t>
  </si>
  <si>
    <t>Tue, 29 Sep 2020 00:00:00 GMT</t>
  </si>
  <si>
    <t>Mon, 28 Sep 2020 00:00:00 GMT</t>
  </si>
  <si>
    <t>Fri, 25 Sep 2020 00:00:00 GMT</t>
  </si>
  <si>
    <t>Thu, 24 Sep 2020 00:00:00 GMT</t>
  </si>
  <si>
    <t>Wed, 23 Sep 2020 00:00:00 GMT</t>
  </si>
  <si>
    <t>Tue, 22 Sep 2020 00:00:00 GMT</t>
  </si>
  <si>
    <t>Mon, 21 Sep 2020 00:00:00 GMT</t>
  </si>
  <si>
    <t>Fri, 18 Sep 2020 00:00:00 GMT</t>
  </si>
  <si>
    <t>Thu, 17 Sep 2020 00:00:00 GMT</t>
  </si>
  <si>
    <t>Wed, 16 Sep 2020 00:00:00 GMT</t>
  </si>
  <si>
    <t>Tue, 15 Sep 2020 00:00:00 GMT</t>
  </si>
  <si>
    <t>Mon, 14 Sep 2020 00:00:00 GMT</t>
  </si>
  <si>
    <t>Fri, 11 Sep 2020 00:00:00 GMT</t>
  </si>
  <si>
    <t>Thu, 10 Sep 2020 00:00:00 GMT</t>
  </si>
  <si>
    <t>Wed, 09 Sep 2020 00:00:00 GMT</t>
  </si>
  <si>
    <t>Tue, 08 Sep 2020 00:00:00 GMT</t>
  </si>
  <si>
    <t>Fri, 04 Sep 2020 00:00:00 GMT</t>
  </si>
  <si>
    <t>Thu, 03 Sep 2020 00:00:00 GMT</t>
  </si>
  <si>
    <t>Wed, 02 Sep 2020 00:00:00 GMT</t>
  </si>
  <si>
    <t>Tue, 01 Sep 2020 00:00:00 GMT</t>
  </si>
  <si>
    <t>Mon, 31 Aug 2020 00:00:00 GMT</t>
  </si>
  <si>
    <t>Fri, 28 Aug 2020 00:00:00 GMT</t>
  </si>
  <si>
    <t>Thu, 27 Aug 2020 00:00:00 GMT</t>
  </si>
  <si>
    <t>Wed, 26 Aug 2020 00:00:00 GMT</t>
  </si>
  <si>
    <t>Tue, 25 Aug 2020 00:00:00 GMT</t>
  </si>
  <si>
    <t>Mon, 24 Aug 2020 00:00:00 GMT</t>
  </si>
  <si>
    <t>Fri, 21 Aug 2020 00:00:00 GMT</t>
  </si>
  <si>
    <t>Thu, 20 Aug 2020 00:00:00 GMT</t>
  </si>
  <si>
    <t>Wed, 19 Aug 2020 00:00:00 GMT</t>
  </si>
  <si>
    <t>Tue, 18 Aug 2020 00:00:00 GMT</t>
  </si>
  <si>
    <t>Mon, 17 Aug 2020 00:00:00 GMT</t>
  </si>
  <si>
    <t>Fri, 14 Aug 2020 00:00:00 GMT</t>
  </si>
  <si>
    <t>Thu, 13 Aug 2020 00:00:00 GMT</t>
  </si>
  <si>
    <t>Wed, 12 Aug 2020 00:00:00 GMT</t>
  </si>
  <si>
    <t>Tue, 11 Aug 2020 00:00:00 GMT</t>
  </si>
  <si>
    <t>Mon, 10 Aug 2020 00:00:00 GMT</t>
  </si>
  <si>
    <t>Fri, 07 Aug 2020 00:00:00 GMT</t>
  </si>
  <si>
    <t>Thu, 06 Aug 2020 00:00:00 GMT</t>
  </si>
  <si>
    <t>Wed, 05 Aug 2020 00:00:00 GMT</t>
  </si>
  <si>
    <t>Tue, 04 Aug 2020 00:00:00 GMT</t>
  </si>
  <si>
    <t>Mon, 03 Aug 2020 00:00:00 GMT</t>
  </si>
  <si>
    <t>Fri, 31 Jul 2020 00:00:00 GMT</t>
  </si>
  <si>
    <t>Thu, 30 Jul 2020 00:00:00 GMT</t>
  </si>
  <si>
    <t>Wed, 29 Jul 2020 00:00:00 GMT</t>
  </si>
  <si>
    <t>Tue, 28 Jul 2020 00:00:00 GMT</t>
  </si>
  <si>
    <t>Mon, 27 Jul 2020 00:00:00 GMT</t>
  </si>
  <si>
    <t>Fri, 24 Jul 2020 00:00:00 GMT</t>
  </si>
  <si>
    <t>Thu, 23 Jul 2020 00:00:00 GMT</t>
  </si>
  <si>
    <t>Wed, 22 Jul 2020 00:00:00 GMT</t>
  </si>
  <si>
    <t>Tue, 21 Jul 2020 00:00:00 GMT</t>
  </si>
  <si>
    <t>Mon, 20 Jul 2020 00:00:00 GMT</t>
  </si>
  <si>
    <t>Fri, 17 Jul 2020 00:00:00 GMT</t>
  </si>
  <si>
    <t>Thu, 16 Jul 2020 00:00:00 GMT</t>
  </si>
  <si>
    <t>Wed, 15 Jul 2020 00:00:00 GMT</t>
  </si>
  <si>
    <t>Tue, 14 Jul 2020 00:00:00 GMT</t>
  </si>
  <si>
    <t>Mon, 13 Jul 2020 00:00:00 GMT</t>
  </si>
  <si>
    <t>Fri, 10 Jul 2020 00:00:00 GMT</t>
  </si>
  <si>
    <t>Thu, 09 Jul 2020 00:00:00 GMT</t>
  </si>
  <si>
    <t>Wed, 08 Jul 2020 00:00:00 GMT</t>
  </si>
  <si>
    <t>Tue, 07 Jul 2020 00:00:00 GMT</t>
  </si>
  <si>
    <t>Mon, 06 Jul 2020 00:00:00 GMT</t>
  </si>
  <si>
    <t>Thu, 02 Jul 2020 00:00:00 GMT</t>
  </si>
  <si>
    <t>Wed, 01 Jul 2020 00:00:00 GMT</t>
  </si>
  <si>
    <t>Tue, 30 Jun 2020 00:00:00 GMT</t>
  </si>
  <si>
    <t>Mon, 29 Jun 2020 00:00:00 GMT</t>
  </si>
  <si>
    <t>Fri, 26 Jun 2020 00:00:00 GMT</t>
  </si>
  <si>
    <t>Thu, 25 Jun 2020 00:00:00 GMT</t>
  </si>
  <si>
    <t>Wed, 24 Jun 2020 00:00:00 GMT</t>
  </si>
  <si>
    <t>Tue, 23 Jun 2020 00:00:00 GMT</t>
  </si>
  <si>
    <t>1256 Trading Days? (From: 6/25/2020 - 6/25/2025)</t>
  </si>
  <si>
    <t>More</t>
  </si>
  <si>
    <t>Employee Snapshot (Q4'24)</t>
  </si>
  <si>
    <t>Institutional Ownership Snapshot (6/25/2025)</t>
  </si>
  <si>
    <t xml:space="preserve">[MA] Historical Return Histogram (6/25/25) </t>
  </si>
  <si>
    <t xml:space="preserve">Revenue Breakdown by Segment </t>
  </si>
  <si>
    <t>https://www.sec.gov/edgar/browse/?CIK=1141391&amp;owner=exclude</t>
  </si>
  <si>
    <t>Mastercard Homepage</t>
  </si>
  <si>
    <t>Mastercard IR Page</t>
  </si>
  <si>
    <t>https://www.mastercard.com/us/en.html</t>
  </si>
  <si>
    <t>https://investor.mastercard.com/overview/default.aspx</t>
  </si>
  <si>
    <t>ROIC, WACC</t>
  </si>
  <si>
    <t>https://seekingalpha.com/symbol/MA/earnings/transcripts</t>
  </si>
  <si>
    <t>https://stockanalysis.com/stocks/ma/company/</t>
  </si>
  <si>
    <t>https://www.gurufocus.com/term/wacc/MA</t>
  </si>
  <si>
    <t>Current CEO: Michael Miebach</t>
  </si>
  <si>
    <t>Founder(s): California Bank Syndicate
(Wells Fargo, Crocker National Bank, Bank of California, and First Interstate Bancorp response to BankAmericard from BofA)</t>
  </si>
  <si>
    <t>Founded: November 3, 1966</t>
  </si>
  <si>
    <t>Mastercard Incorporated [MA]</t>
  </si>
  <si>
    <t>Employees: 35,300</t>
  </si>
  <si>
    <t>Sector: Financials</t>
  </si>
  <si>
    <t xml:space="preserve">Industry: Credit Services </t>
  </si>
  <si>
    <t>IPO: May 25, 2006 -- $5.3B valuation</t>
  </si>
  <si>
    <t>Registered Exchange: NYSE</t>
  </si>
  <si>
    <t xml:space="preserve">Headquarters: Purchase, NY </t>
  </si>
  <si>
    <t>Address: 2000 Purchase Street, Purchase, NY 10577, US</t>
  </si>
  <si>
    <t>(914) 249 - 2000</t>
  </si>
  <si>
    <t>Mastercard Incorporated is a global technology leader in the payments industry, operating a sophisticated, multi-rail platform that facilitates secure, real-time, and data-rich transactions across more than 210 countries and territories</t>
  </si>
  <si>
    <t>Mastercard operates one of the world’s largest payment networks, processing billions of transactions annually through its proprietary infrastructure</t>
  </si>
  <si>
    <t>The Company’s core offerings include credit, debit, and prepaid card solutions under the Mastercard, Maestro, and Cirrus brands, enabling account holders to access funds, defer payments, and transact globally</t>
  </si>
  <si>
    <t>The Company’s business model is anchored in its core role as a network orchestrator, connecting consumers, merchants, financial institutions, fintechs, businesses, and governments to enable seamless value exchange and digital commerce</t>
  </si>
  <si>
    <t>Mastercard’s processing capabilities extend to real-time payments, bulk payments, and proxy directory services, supporting a wide range of use cases from everyday consumer purchases to large-scale B2B and government disbursements</t>
  </si>
  <si>
    <t>Core Payment Network and Processing:</t>
  </si>
  <si>
    <t>Value-Added Services and Digital Innovation:</t>
  </si>
  <si>
    <t>Beyond transaction processing, Mastercard delivers a comprehensive suite of value-added services designed to enhance security, efficiency, and customer engagement … These include:</t>
  </si>
  <si>
    <t xml:space="preserve">Fraud and Cybersecurity Solutions: </t>
  </si>
  <si>
    <t>Advanced fraud management, tokenization, and cyber risk tools to protect the integrity of the payment ecosystem</t>
  </si>
  <si>
    <t>Data Analytics and Insights:</t>
  </si>
  <si>
    <t>Loyalty and Personalization:</t>
  </si>
  <si>
    <t>Open Banking and Embedded Finance:</t>
  </si>
  <si>
    <t>Proprietary analytics platforms and consulting services that empower clients to optimize performance, manage risk, and identify growth opportunities</t>
  </si>
  <si>
    <t>Solutions that enable issuers and merchants to drive customer loyalty, deliver targeted offers, and personalize payment experiences</t>
  </si>
  <si>
    <t>Mastercard connects participants across the financial ecosystem, enabling secure account information sharing and payment initiation through open banking APIs</t>
  </si>
  <si>
    <t>Digital and Cross-Border Payments:</t>
  </si>
  <si>
    <t>Mastercard is at the forefront of digital payments innovation, powering solutions such as Mastercard Send™ for near real-time disbursements, and cross-border services that facilitate seamless international money movement for individuals and businesses</t>
  </si>
  <si>
    <t>Mastercard serves commercial banks, businesses, and governments with tailored payment products, including virtual cards, supplier enablement platforms, e-invoicing, and treasury management tools</t>
  </si>
  <si>
    <t>Commercial and Government Solutions:</t>
  </si>
  <si>
    <t>These offerings help organizations streamline B2B payments, optimize working capital, and enhance operational efficiency</t>
  </si>
  <si>
    <t>The Company’s government partnerships extend to social disbursement programs, public sector payment modernization, and cross-border aid distribution</t>
  </si>
  <si>
    <t>The Company’s platforms support digital wallets, contactless payments, and cryptocurrency acceptance, reflecting a commitment to enabling next-generation commerce experiences</t>
  </si>
  <si>
    <t>Ecosystem Partnerships and Platform Expansion:</t>
  </si>
  <si>
    <t>Mastercard’s strategy is underpinned by deep partnerships with fintechs, digital platforms, and central banks, enabling the company to expand its reach and adapt to evolving market needs</t>
  </si>
  <si>
    <t>Initiatives like Mastercard Move and integrated messaging/payment solutions embed Mastercard’s capabilities into third-party apps, facilitating embedded finance and frictionless consumer-to-consumer payments</t>
  </si>
  <si>
    <t>Operates in an Oligopoly with VISA and AXP …</t>
  </si>
  <si>
    <t>Mastercard Incorporated was founded in 1966 and is headquartered in Purchase, New York</t>
  </si>
  <si>
    <t>Payment Network</t>
  </si>
  <si>
    <t>Value-Added Services</t>
  </si>
  <si>
    <t>Payment Network Growth Y/y</t>
  </si>
  <si>
    <t>Value-Added Growth Y/y</t>
  </si>
  <si>
    <t>Ttl Revenue Growth Y/y</t>
  </si>
  <si>
    <t>Payment Network % of Ttl Revenues</t>
  </si>
  <si>
    <t>Value-Added % of Ttl Revenues</t>
  </si>
  <si>
    <t>International Revenues</t>
  </si>
  <si>
    <t>Americas Revenues</t>
  </si>
  <si>
    <t>International Revenue Growth Y/y</t>
  </si>
  <si>
    <t>International % of Revenues</t>
  </si>
  <si>
    <t>G&amp;A</t>
  </si>
  <si>
    <t>Advertising &amp; Marketing</t>
  </si>
  <si>
    <t>Dep. &amp; Am.</t>
  </si>
  <si>
    <t>Provision for Litigation</t>
  </si>
  <si>
    <t xml:space="preserve">Ttl Op. Ex. </t>
  </si>
  <si>
    <t>Operating Income</t>
  </si>
  <si>
    <t>Investment Income</t>
  </si>
  <si>
    <t>Gain (Loss) on Equity Investments</t>
  </si>
  <si>
    <t>Other Income (Expenses)</t>
  </si>
  <si>
    <t>Pretax Income</t>
  </si>
  <si>
    <t>Taxes</t>
  </si>
  <si>
    <t>G&amp;A as % of Revenue</t>
  </si>
  <si>
    <t>Advertising &amp; Marketing % of Revenue</t>
  </si>
  <si>
    <t>Dep. &amp; Am. % of Revenue</t>
  </si>
  <si>
    <t>Provision for Litigation % of Revenue</t>
  </si>
  <si>
    <t>Interest Income (Expenses)</t>
  </si>
  <si>
    <t>EPS</t>
  </si>
  <si>
    <t/>
  </si>
  <si>
    <t>Annual Total Revenues, Net Income, FCF</t>
  </si>
  <si>
    <t>Quarterly Total Revenues, Net Income, FCF</t>
  </si>
  <si>
    <t>Lever up 24x … FAFO … See if the spread widens XD</t>
  </si>
  <si>
    <t>Restricted Cash and CEs</t>
  </si>
  <si>
    <t xml:space="preserve">Restricted Customer Security Deposits </t>
  </si>
  <si>
    <t>A/R</t>
  </si>
  <si>
    <t>Settlement Assets</t>
  </si>
  <si>
    <t>Prepaid Expenses</t>
  </si>
  <si>
    <t>PP&amp;E</t>
  </si>
  <si>
    <t>Deffered LT Tax Assets</t>
  </si>
  <si>
    <t>Goodwill</t>
  </si>
  <si>
    <t>Other LT Intangible Assets, net</t>
  </si>
  <si>
    <t>Other Assets</t>
  </si>
  <si>
    <t>A/P</t>
  </si>
  <si>
    <t>Settlement Obligations</t>
  </si>
  <si>
    <t>Restricted Customer Deposit Obligations</t>
  </si>
  <si>
    <t>Accrued Litigation Liabilities</t>
  </si>
  <si>
    <t>Accrued Expenses</t>
  </si>
  <si>
    <t>ST Debt</t>
  </si>
  <si>
    <t>Other ST Liabilities</t>
  </si>
  <si>
    <t>LT Debt</t>
  </si>
  <si>
    <t>Deffered Income Taxes</t>
  </si>
  <si>
    <t>Other LT Liabilities</t>
  </si>
  <si>
    <t>Ttl Assets</t>
  </si>
  <si>
    <t>Ttl Liabilities</t>
  </si>
  <si>
    <t>SE</t>
  </si>
  <si>
    <t>Ttl L + SE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</si>
  <si>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</si>
  <si>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</si>
  <si>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</si>
  <si>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</si>
  <si>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</si>
  <si>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</si>
  <si>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</si>
  <si>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</si>
  <si>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</si>
  <si>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</t>
  </si>
  <si>
    <t>NPV</t>
  </si>
  <si>
    <t>FV</t>
  </si>
  <si>
    <t>CP</t>
  </si>
  <si>
    <t>Q3'25</t>
  </si>
  <si>
    <t>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</si>
</sst>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0.0%"/>
    <numFmt numFmtId="167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7" fillId="0" borderId="0" xfId="0" applyFont="1"/>
    <xf numFmtId="0" fontId="0" fillId="0" borderId="18" xfId="0" applyBorder="1"/>
    <xf numFmtId="0" fontId="9" fillId="0" borderId="17" xfId="0" applyFont="1" applyBorder="1" applyAlignment="1">
      <alignment horizontal="center"/>
    </xf>
    <xf numFmtId="10" fontId="2" fillId="0" borderId="0" xfId="1" applyNumberFormat="1" applyFont="1"/>
    <xf numFmtId="165" fontId="2" fillId="0" borderId="0" xfId="3" applyNumberFormat="1" applyFont="1" applyAlignment="1">
      <alignment horizontal="right" indent="1"/>
    </xf>
    <xf numFmtId="165" fontId="2" fillId="0" borderId="0" xfId="3" applyNumberFormat="1" applyFont="1" applyAlignment="1">
      <alignment horizontal="right"/>
    </xf>
    <xf numFmtId="43" fontId="2" fillId="0" borderId="0" xfId="3" applyFont="1" applyAlignment="1">
      <alignment horizontal="right" indent="1"/>
    </xf>
    <xf numFmtId="1" fontId="3" fillId="0" borderId="0" xfId="0" applyNumberFormat="1" applyFont="1"/>
    <xf numFmtId="1" fontId="2" fillId="0" borderId="0" xfId="0" applyNumberFormat="1" applyFont="1"/>
    <xf numFmtId="166" fontId="2" fillId="0" borderId="0" xfId="1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10" fontId="13" fillId="0" borderId="0" xfId="0" applyNumberFormat="1" applyFont="1"/>
    <xf numFmtId="1" fontId="13" fillId="0" borderId="0" xfId="0" applyNumberFormat="1" applyFont="1" applyAlignment="1">
      <alignment vertical="top"/>
    </xf>
    <xf numFmtId="167" fontId="13" fillId="0" borderId="0" xfId="0" applyNumberFormat="1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1" fontId="13" fillId="0" borderId="0" xfId="0" applyNumberFormat="1" applyFont="1"/>
    <xf numFmtId="166" fontId="13" fillId="0" borderId="0" xfId="0" applyNumberFormat="1" applyFont="1"/>
    <xf numFmtId="166" fontId="12" fillId="0" borderId="0" xfId="0" applyNumberFormat="1" applyFont="1"/>
    <xf numFmtId="166" fontId="3" fillId="0" borderId="0" xfId="1" applyNumberFormat="1" applyFont="1"/>
    <xf numFmtId="1" fontId="12" fillId="0" borderId="0" xfId="0" applyNumberFormat="1" applyFont="1"/>
    <xf numFmtId="166" fontId="13" fillId="0" borderId="0" xfId="1" applyNumberFormat="1" applyFont="1"/>
    <xf numFmtId="0" fontId="2" fillId="0" borderId="0" xfId="0" applyFont="1" applyAlignment="1">
      <alignment horizontal="left" indent="1"/>
    </xf>
    <xf numFmtId="2" fontId="13" fillId="0" borderId="0" xfId="0" applyNumberFormat="1" applyFont="1"/>
    <xf numFmtId="164" fontId="2" fillId="0" borderId="0" xfId="3" applyNumberFormat="1" applyFont="1" applyAlignment="1">
      <alignment horizontal="left" indent="1"/>
    </xf>
    <xf numFmtId="1" fontId="13" fillId="0" borderId="0" xfId="3" applyNumberFormat="1" applyFont="1"/>
    <xf numFmtId="0" fontId="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colors>
    <mruColors>
      <color rgb="FFFFD03B"/>
      <color rgb="FF00CC5C"/>
      <color rgb="FF5A9AD4"/>
      <color rgb="FF88B6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(MA)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Analysis'!$I$208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413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Analysis'!$I$210:$I$244</c:f>
              <c:numCache>
                <c:formatCode>0.00%</c:formatCode>
                <c:ptCount val="35"/>
                <c:pt idx="0">
                  <c:v>-4.2500000000000003E-2</c:v>
                </c:pt>
                <c:pt idx="1">
                  <c:v>-0.04</c:v>
                </c:pt>
                <c:pt idx="2">
                  <c:v>-3.7499999999999999E-2</c:v>
                </c:pt>
                <c:pt idx="3">
                  <c:v>-3.5000000000000003E-2</c:v>
                </c:pt>
                <c:pt idx="4">
                  <c:v>-3.2500000000000001E-2</c:v>
                </c:pt>
                <c:pt idx="5">
                  <c:v>-0.03</c:v>
                </c:pt>
                <c:pt idx="6">
                  <c:v>-2.75E-2</c:v>
                </c:pt>
                <c:pt idx="7">
                  <c:v>-2.5000000000000001E-2</c:v>
                </c:pt>
                <c:pt idx="8">
                  <c:v>-2.2499999999999999E-2</c:v>
                </c:pt>
                <c:pt idx="9">
                  <c:v>-0.02</c:v>
                </c:pt>
                <c:pt idx="10">
                  <c:v>-1.7500000000000002E-2</c:v>
                </c:pt>
                <c:pt idx="11">
                  <c:v>-1.4999999999999999E-2</c:v>
                </c:pt>
                <c:pt idx="12">
                  <c:v>-1.2500000000000001E-2</c:v>
                </c:pt>
                <c:pt idx="13">
                  <c:v>-0.01</c:v>
                </c:pt>
                <c:pt idx="14">
                  <c:v>-7.4999999999999997E-3</c:v>
                </c:pt>
                <c:pt idx="15">
                  <c:v>-5.0000000000000001E-3</c:v>
                </c:pt>
                <c:pt idx="16">
                  <c:v>-2.5000000000000001E-3</c:v>
                </c:pt>
                <c:pt idx="17">
                  <c:v>0</c:v>
                </c:pt>
                <c:pt idx="18">
                  <c:v>2.5000000000000001E-3</c:v>
                </c:pt>
                <c:pt idx="19">
                  <c:v>5.0000000000000001E-3</c:v>
                </c:pt>
                <c:pt idx="20">
                  <c:v>7.4999999999999997E-3</c:v>
                </c:pt>
                <c:pt idx="21">
                  <c:v>0.01</c:v>
                </c:pt>
                <c:pt idx="22">
                  <c:v>1.2500000000000001E-2</c:v>
                </c:pt>
                <c:pt idx="23">
                  <c:v>1.4999999999999999E-2</c:v>
                </c:pt>
                <c:pt idx="24">
                  <c:v>1.7500000000000002E-2</c:v>
                </c:pt>
                <c:pt idx="25">
                  <c:v>0.02</c:v>
                </c:pt>
                <c:pt idx="26">
                  <c:v>2.2499999999999999E-2</c:v>
                </c:pt>
                <c:pt idx="27">
                  <c:v>2.5000000000000001E-2</c:v>
                </c:pt>
                <c:pt idx="28">
                  <c:v>2.75E-2</c:v>
                </c:pt>
                <c:pt idx="29">
                  <c:v>0.03</c:v>
                </c:pt>
                <c:pt idx="30">
                  <c:v>3.2500000000000001E-2</c:v>
                </c:pt>
                <c:pt idx="31">
                  <c:v>3.5000000000000003E-2</c:v>
                </c:pt>
                <c:pt idx="32">
                  <c:v>3.7499999999999999E-2</c:v>
                </c:pt>
                <c:pt idx="33">
                  <c:v>0.04</c:v>
                </c:pt>
                <c:pt idx="34">
                  <c:v>4.2500000000000003E-2</c:v>
                </c:pt>
              </c:numCache>
            </c:numRef>
          </c:xVal>
          <c:yVal>
            <c:numRef>
              <c:f>'Notes | Quant Analysis'!$J$210:$J$244</c:f>
              <c:numCache>
                <c:formatCode>General</c:formatCode>
                <c:ptCount val="3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9</c:v>
                </c:pt>
                <c:pt idx="8">
                  <c:v>13</c:v>
                </c:pt>
                <c:pt idx="9">
                  <c:v>17</c:v>
                </c:pt>
                <c:pt idx="10">
                  <c:v>20</c:v>
                </c:pt>
                <c:pt idx="11">
                  <c:v>29</c:v>
                </c:pt>
                <c:pt idx="12">
                  <c:v>47</c:v>
                </c:pt>
                <c:pt idx="13">
                  <c:v>58</c:v>
                </c:pt>
                <c:pt idx="14">
                  <c:v>66</c:v>
                </c:pt>
                <c:pt idx="15">
                  <c:v>67</c:v>
                </c:pt>
                <c:pt idx="16">
                  <c:v>92</c:v>
                </c:pt>
                <c:pt idx="17">
                  <c:v>123</c:v>
                </c:pt>
                <c:pt idx="18">
                  <c:v>126</c:v>
                </c:pt>
                <c:pt idx="19">
                  <c:v>124</c:v>
                </c:pt>
                <c:pt idx="20">
                  <c:v>109</c:v>
                </c:pt>
                <c:pt idx="21">
                  <c:v>97</c:v>
                </c:pt>
                <c:pt idx="22">
                  <c:v>51</c:v>
                </c:pt>
                <c:pt idx="23">
                  <c:v>56</c:v>
                </c:pt>
                <c:pt idx="24">
                  <c:v>29</c:v>
                </c:pt>
                <c:pt idx="25">
                  <c:v>28</c:v>
                </c:pt>
                <c:pt idx="26">
                  <c:v>21</c:v>
                </c:pt>
                <c:pt idx="27">
                  <c:v>9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Analysis'!$L$208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Analysis'!$L$210:$L$246</c:f>
              <c:numCache>
                <c:formatCode>0.00%</c:formatCode>
                <c:ptCount val="37"/>
                <c:pt idx="0">
                  <c:v>-4.4999999999999998E-2</c:v>
                </c:pt>
                <c:pt idx="1">
                  <c:v>-4.2500000000000003E-2</c:v>
                </c:pt>
                <c:pt idx="2">
                  <c:v>-0.04</c:v>
                </c:pt>
                <c:pt idx="3">
                  <c:v>-3.7499999999999999E-2</c:v>
                </c:pt>
                <c:pt idx="4">
                  <c:v>-3.5000000000000003E-2</c:v>
                </c:pt>
                <c:pt idx="5">
                  <c:v>-3.2500000000000001E-2</c:v>
                </c:pt>
                <c:pt idx="6">
                  <c:v>-0.03</c:v>
                </c:pt>
                <c:pt idx="7">
                  <c:v>-2.75E-2</c:v>
                </c:pt>
                <c:pt idx="8">
                  <c:v>-2.5000000000000001E-2</c:v>
                </c:pt>
                <c:pt idx="9">
                  <c:v>-2.2499999999999999E-2</c:v>
                </c:pt>
                <c:pt idx="10">
                  <c:v>-0.02</c:v>
                </c:pt>
                <c:pt idx="11">
                  <c:v>-1.7500000000000002E-2</c:v>
                </c:pt>
                <c:pt idx="12">
                  <c:v>-1.4999999999999999E-2</c:v>
                </c:pt>
                <c:pt idx="13">
                  <c:v>-1.2500000000000001E-2</c:v>
                </c:pt>
                <c:pt idx="14">
                  <c:v>-0.01</c:v>
                </c:pt>
                <c:pt idx="15">
                  <c:v>-7.4999999999999997E-3</c:v>
                </c:pt>
                <c:pt idx="16">
                  <c:v>-5.0000000000000001E-3</c:v>
                </c:pt>
                <c:pt idx="17">
                  <c:v>-2.5000000000000001E-3</c:v>
                </c:pt>
                <c:pt idx="18">
                  <c:v>0</c:v>
                </c:pt>
                <c:pt idx="19">
                  <c:v>2.5000000000000001E-3</c:v>
                </c:pt>
                <c:pt idx="20">
                  <c:v>5.0000000000000001E-3</c:v>
                </c:pt>
                <c:pt idx="21">
                  <c:v>7.4999999999999997E-3</c:v>
                </c:pt>
                <c:pt idx="22">
                  <c:v>0.01</c:v>
                </c:pt>
                <c:pt idx="23">
                  <c:v>1.2500000000000001E-2</c:v>
                </c:pt>
                <c:pt idx="24">
                  <c:v>1.4999999999999999E-2</c:v>
                </c:pt>
                <c:pt idx="25">
                  <c:v>1.7500000000000002E-2</c:v>
                </c:pt>
                <c:pt idx="26">
                  <c:v>0.02</c:v>
                </c:pt>
                <c:pt idx="27">
                  <c:v>2.2499999999999999E-2</c:v>
                </c:pt>
                <c:pt idx="28">
                  <c:v>2.5000000000000001E-2</c:v>
                </c:pt>
                <c:pt idx="29">
                  <c:v>2.75E-2</c:v>
                </c:pt>
                <c:pt idx="30">
                  <c:v>0.03</c:v>
                </c:pt>
                <c:pt idx="31">
                  <c:v>3.2500000000000001E-2</c:v>
                </c:pt>
                <c:pt idx="32">
                  <c:v>3.5000000000000003E-2</c:v>
                </c:pt>
                <c:pt idx="33">
                  <c:v>3.7499999999999999E-2</c:v>
                </c:pt>
                <c:pt idx="34">
                  <c:v>0.04</c:v>
                </c:pt>
                <c:pt idx="35">
                  <c:v>4.2500000000000003E-2</c:v>
                </c:pt>
                <c:pt idx="36">
                  <c:v>4.4999999999999998E-2</c:v>
                </c:pt>
              </c:numCache>
            </c:numRef>
          </c:xVal>
          <c:yVal>
            <c:numRef>
              <c:f>'Notes | Quant Analysis'!$M$210:$M$246</c:f>
              <c:numCache>
                <c:formatCode>General</c:formatCode>
                <c:ptCount val="37"/>
                <c:pt idx="0">
                  <c:v>0.13724326827106201</c:v>
                </c:pt>
                <c:pt idx="1">
                  <c:v>0.24302782533435716</c:v>
                </c:pt>
                <c:pt idx="2">
                  <c:v>0.41666591050850954</c:v>
                </c:pt>
                <c:pt idx="3">
                  <c:v>0.69165092141678586</c:v>
                </c:pt>
                <c:pt idx="4">
                  <c:v>1.1116113433657602</c:v>
                </c:pt>
                <c:pt idx="5">
                  <c:v>1.7297605981620188</c:v>
                </c:pt>
                <c:pt idx="6">
                  <c:v>2.6060698438780325</c:v>
                </c:pt>
                <c:pt idx="7">
                  <c:v>3.8014836047551324</c:v>
                </c:pt>
                <c:pt idx="8">
                  <c:v>5.3689234647974802</c:v>
                </c:pt>
                <c:pt idx="9">
                  <c:v>7.3415595290591122</c:v>
                </c:pt>
                <c:pt idx="10">
                  <c:v>9.7197804790342399</c:v>
                </c:pt>
                <c:pt idx="11">
                  <c:v>12.459241637156197</c:v>
                </c:pt>
                <c:pt idx="12">
                  <c:v>15.46300090214841</c:v>
                </c:pt>
                <c:pt idx="13">
                  <c:v>18.580738620422867</c:v>
                </c:pt>
                <c:pt idx="14">
                  <c:v>21.617187385236392</c:v>
                </c:pt>
                <c:pt idx="15">
                  <c:v>24.350193720415469</c:v>
                </c:pt>
                <c:pt idx="16">
                  <c:v>26.556612363645133</c:v>
                </c:pt>
                <c:pt idx="17">
                  <c:v>28.042062212616997</c:v>
                </c:pt>
                <c:pt idx="18">
                  <c:v>28.669112104913356</c:v>
                </c:pt>
                <c:pt idx="19">
                  <c:v>28.378246551761677</c:v>
                </c:pt>
                <c:pt idx="20">
                  <c:v>27.197181064146505</c:v>
                </c:pt>
                <c:pt idx="21">
                  <c:v>25.236507239658639</c:v>
                </c:pt>
                <c:pt idx="22">
                  <c:v>22.67261552888462</c:v>
                </c:pt>
                <c:pt idx="23">
                  <c:v>19.72154884184453</c:v>
                </c:pt>
                <c:pt idx="24">
                  <c:v>16.60915108774304</c:v>
                </c:pt>
                <c:pt idx="25">
                  <c:v>13.543186912987949</c:v>
                </c:pt>
                <c:pt idx="26">
                  <c:v>10.692058572197539</c:v>
                </c:pt>
                <c:pt idx="27">
                  <c:v>8.1727611425930693</c:v>
                </c:pt>
                <c:pt idx="28">
                  <c:v>6.0484389842466895</c:v>
                </c:pt>
                <c:pt idx="29">
                  <c:v>4.3339592317947186</c:v>
                </c:pt>
                <c:pt idx="30">
                  <c:v>3.0067225854031085</c:v>
                </c:pt>
                <c:pt idx="31">
                  <c:v>2.0196165378734587</c:v>
                </c:pt>
                <c:pt idx="32">
                  <c:v>1.3134438068451022</c:v>
                </c:pt>
                <c:pt idx="33">
                  <c:v>0.82702968110359099</c:v>
                </c:pt>
                <c:pt idx="34">
                  <c:v>0.50419404914947619</c:v>
                </c:pt>
                <c:pt idx="35">
                  <c:v>0.2976057755739982</c:v>
                </c:pt>
                <c:pt idx="36">
                  <c:v>0.17007951753901401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Analysis'!$O$210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2101213910761156E-2"/>
                  <c:y val="-2.71031910484873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320406824146981"/>
                      <c:h val="7.74483452726303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Analysis'!$P$210:$P$211</c:f>
              <c:numCache>
                <c:formatCode>0.00%</c:formatCode>
                <c:ptCount val="2"/>
                <c:pt idx="0">
                  <c:v>4.6102192849575065E-4</c:v>
                </c:pt>
                <c:pt idx="1">
                  <c:v>4.6102192849575065E-4</c:v>
                </c:pt>
              </c:numCache>
            </c:numRef>
          </c:xVal>
          <c:yVal>
            <c:numRef>
              <c:f>'Notes | Quant Analysis'!$Q$210:$Q$211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Analysis'!$O$212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Analysis'!$P$212:$P$213</c:f>
              <c:numCache>
                <c:formatCode>0.00%</c:formatCode>
                <c:ptCount val="2"/>
                <c:pt idx="0">
                  <c:v>-4.1262260798025752E-2</c:v>
                </c:pt>
                <c:pt idx="1">
                  <c:v>-4.1262260798025752E-2</c:v>
                </c:pt>
              </c:numCache>
            </c:numRef>
          </c:xVal>
          <c:yVal>
            <c:numRef>
              <c:f>'Notes | Quant Analysis'!$Q$212:$Q$213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Analysis'!$O$214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Analysis'!$P$214:$P$215</c:f>
              <c:numCache>
                <c:formatCode>0.00%</c:formatCode>
                <c:ptCount val="2"/>
                <c:pt idx="0">
                  <c:v>-2.7354499889185251E-2</c:v>
                </c:pt>
                <c:pt idx="1">
                  <c:v>-2.7354499889185251E-2</c:v>
                </c:pt>
              </c:numCache>
            </c:numRef>
          </c:xVal>
          <c:yVal>
            <c:numRef>
              <c:f>'Notes | Quant Analysis'!$Q$214:$Q$215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Analysis'!$O$216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Analysis'!$P$216:$P$217</c:f>
              <c:numCache>
                <c:formatCode>0.00%</c:formatCode>
                <c:ptCount val="2"/>
                <c:pt idx="0">
                  <c:v>-1.344673898034475E-2</c:v>
                </c:pt>
                <c:pt idx="1">
                  <c:v>-1.344673898034475E-2</c:v>
                </c:pt>
              </c:numCache>
            </c:numRef>
          </c:xVal>
          <c:yVal>
            <c:numRef>
              <c:f>'Notes | Quant Analysis'!$Q$216:$Q$217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Analysis'!$O$218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Analysis'!$P$218:$P$219</c:f>
              <c:numCache>
                <c:formatCode>0.00%</c:formatCode>
                <c:ptCount val="2"/>
                <c:pt idx="0">
                  <c:v>1.4368782837336253E-2</c:v>
                </c:pt>
                <c:pt idx="1">
                  <c:v>1.4368782837336253E-2</c:v>
                </c:pt>
              </c:numCache>
            </c:numRef>
          </c:xVal>
          <c:yVal>
            <c:numRef>
              <c:f>'Notes | Quant Analysis'!$Q$218:$Q$219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Analysis'!$O$220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Analysis'!$P$220:$P$221</c:f>
              <c:numCache>
                <c:formatCode>0.00%</c:formatCode>
                <c:ptCount val="2"/>
                <c:pt idx="0">
                  <c:v>2.8276543746176754E-2</c:v>
                </c:pt>
                <c:pt idx="1">
                  <c:v>2.8276543746176754E-2</c:v>
                </c:pt>
              </c:numCache>
            </c:numRef>
          </c:xVal>
          <c:yVal>
            <c:numRef>
              <c:f>'Notes | Quant Analysis'!$Q$220:$Q$221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Analysis'!$O$222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Analysis'!$P$222:$P$223</c:f>
              <c:numCache>
                <c:formatCode>0.00%</c:formatCode>
                <c:ptCount val="2"/>
                <c:pt idx="0">
                  <c:v>4.2184304655017255E-2</c:v>
                </c:pt>
                <c:pt idx="1">
                  <c:v>4.2184304655017255E-2</c:v>
                </c:pt>
              </c:numCache>
            </c:numRef>
          </c:xVal>
          <c:yVal>
            <c:numRef>
              <c:f>'Notes | Quant Analysis'!$Q$222:$Q$223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(MA)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Model!$B$5</c:f>
              <c:strCache>
                <c:ptCount val="1"/>
                <c:pt idx="0">
                  <c:v>Value-Added Services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Model!$AU$1:$BO$1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Model!$AU$5:$BQ$5</c:f>
              <c:numCache>
                <c:formatCode>General</c:formatCode>
                <c:ptCount val="23"/>
                <c:pt idx="0">
                  <c:v>1062</c:v>
                </c:pt>
                <c:pt idx="1">
                  <c:v>1081</c:v>
                </c:pt>
                <c:pt idx="2">
                  <c:v>1143</c:v>
                </c:pt>
                <c:pt idx="3">
                  <c:v>2118</c:v>
                </c:pt>
                <c:pt idx="4">
                  <c:v>1347</c:v>
                </c:pt>
                <c:pt idx="5">
                  <c:v>1475</c:v>
                </c:pt>
                <c:pt idx="6">
                  <c:v>1562</c:v>
                </c:pt>
                <c:pt idx="7">
                  <c:v>2557</c:v>
                </c:pt>
                <c:pt idx="8">
                  <c:v>1768</c:v>
                </c:pt>
                <c:pt idx="9">
                  <c:v>1888</c:v>
                </c:pt>
                <c:pt idx="10">
                  <c:v>1991</c:v>
                </c:pt>
                <c:pt idx="11">
                  <c:v>2232</c:v>
                </c:pt>
                <c:pt idx="12">
                  <c:v>2098</c:v>
                </c:pt>
                <c:pt idx="13">
                  <c:v>2196</c:v>
                </c:pt>
                <c:pt idx="14">
                  <c:v>2323</c:v>
                </c:pt>
                <c:pt idx="15">
                  <c:v>2657</c:v>
                </c:pt>
                <c:pt idx="16">
                  <c:v>2428</c:v>
                </c:pt>
                <c:pt idx="17">
                  <c:v>2586</c:v>
                </c:pt>
                <c:pt idx="18">
                  <c:v>2740</c:v>
                </c:pt>
                <c:pt idx="19">
                  <c:v>3078</c:v>
                </c:pt>
                <c:pt idx="20">
                  <c:v>2818</c:v>
                </c:pt>
                <c:pt idx="21">
                  <c:v>3188</c:v>
                </c:pt>
                <c:pt idx="22">
                  <c:v>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8-4B65-A5D4-B1753A7099FA}"/>
            </c:ext>
          </c:extLst>
        </c:ser>
        <c:ser>
          <c:idx val="6"/>
          <c:order val="1"/>
          <c:tx>
            <c:strRef>
              <c:f>Model!$B$4</c:f>
              <c:strCache>
                <c:ptCount val="1"/>
                <c:pt idx="0">
                  <c:v>Payment Network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Model!$AU$1:$BO$1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Model!$AU$5:$BQ$5</c:f>
              <c:numCache>
                <c:formatCode>General</c:formatCode>
                <c:ptCount val="23"/>
                <c:pt idx="0">
                  <c:v>1062</c:v>
                </c:pt>
                <c:pt idx="1">
                  <c:v>1081</c:v>
                </c:pt>
                <c:pt idx="2">
                  <c:v>1143</c:v>
                </c:pt>
                <c:pt idx="3">
                  <c:v>2118</c:v>
                </c:pt>
                <c:pt idx="4">
                  <c:v>1347</c:v>
                </c:pt>
                <c:pt idx="5">
                  <c:v>1475</c:v>
                </c:pt>
                <c:pt idx="6">
                  <c:v>1562</c:v>
                </c:pt>
                <c:pt idx="7">
                  <c:v>2557</c:v>
                </c:pt>
                <c:pt idx="8">
                  <c:v>1768</c:v>
                </c:pt>
                <c:pt idx="9">
                  <c:v>1888</c:v>
                </c:pt>
                <c:pt idx="10">
                  <c:v>1991</c:v>
                </c:pt>
                <c:pt idx="11">
                  <c:v>2232</c:v>
                </c:pt>
                <c:pt idx="12">
                  <c:v>2098</c:v>
                </c:pt>
                <c:pt idx="13">
                  <c:v>2196</c:v>
                </c:pt>
                <c:pt idx="14">
                  <c:v>2323</c:v>
                </c:pt>
                <c:pt idx="15">
                  <c:v>2657</c:v>
                </c:pt>
                <c:pt idx="16">
                  <c:v>2428</c:v>
                </c:pt>
                <c:pt idx="17">
                  <c:v>2586</c:v>
                </c:pt>
                <c:pt idx="18">
                  <c:v>2740</c:v>
                </c:pt>
                <c:pt idx="19">
                  <c:v>3078</c:v>
                </c:pt>
                <c:pt idx="20">
                  <c:v>2818</c:v>
                </c:pt>
                <c:pt idx="21">
                  <c:v>3188</c:v>
                </c:pt>
                <c:pt idx="22">
                  <c:v>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8-4B65-A5D4-B1753A709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(MA)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Model!$AU$39:$BQ$39</c:f>
              <c:numCache>
                <c:formatCode>General</c:formatCode>
                <c:ptCount val="23"/>
                <c:pt idx="0">
                  <c:v>1693</c:v>
                </c:pt>
                <c:pt idx="1">
                  <c:v>1420</c:v>
                </c:pt>
                <c:pt idx="2">
                  <c:v>1513</c:v>
                </c:pt>
                <c:pt idx="3">
                  <c:v>1785</c:v>
                </c:pt>
                <c:pt idx="4">
                  <c:v>1828</c:v>
                </c:pt>
                <c:pt idx="5">
                  <c:v>2066</c:v>
                </c:pt>
                <c:pt idx="6">
                  <c:v>2414</c:v>
                </c:pt>
                <c:pt idx="7">
                  <c:v>2379</c:v>
                </c:pt>
                <c:pt idx="8">
                  <c:v>2631</c:v>
                </c:pt>
                <c:pt idx="9">
                  <c:v>2275</c:v>
                </c:pt>
                <c:pt idx="10">
                  <c:v>2499</c:v>
                </c:pt>
                <c:pt idx="11">
                  <c:v>2525</c:v>
                </c:pt>
                <c:pt idx="12">
                  <c:v>2361</c:v>
                </c:pt>
                <c:pt idx="13">
                  <c:v>2845</c:v>
                </c:pt>
                <c:pt idx="14">
                  <c:v>3198</c:v>
                </c:pt>
                <c:pt idx="15">
                  <c:v>2791</c:v>
                </c:pt>
                <c:pt idx="16">
                  <c:v>3011</c:v>
                </c:pt>
                <c:pt idx="17">
                  <c:v>3258</c:v>
                </c:pt>
                <c:pt idx="18">
                  <c:v>3263</c:v>
                </c:pt>
                <c:pt idx="19">
                  <c:v>3342</c:v>
                </c:pt>
                <c:pt idx="20">
                  <c:v>3280</c:v>
                </c:pt>
                <c:pt idx="21">
                  <c:v>3701</c:v>
                </c:pt>
                <c:pt idx="22">
                  <c:v>3927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5-490D-9E12-41FB91C5E412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Model!$AU$88:$BQ$88</c:f>
              <c:numCache>
                <c:formatCode>General</c:formatCode>
                <c:ptCount val="23"/>
                <c:pt idx="0">
                  <c:v>1728</c:v>
                </c:pt>
                <c:pt idx="1">
                  <c:v>1388</c:v>
                </c:pt>
                <c:pt idx="2">
                  <c:v>1575</c:v>
                </c:pt>
                <c:pt idx="3">
                  <c:v>2194</c:v>
                </c:pt>
                <c:pt idx="4">
                  <c:v>1398</c:v>
                </c:pt>
                <c:pt idx="5">
                  <c:v>2187</c:v>
                </c:pt>
                <c:pt idx="6">
                  <c:v>2404</c:v>
                </c:pt>
                <c:pt idx="7">
                  <c:v>3067</c:v>
                </c:pt>
                <c:pt idx="8">
                  <c:v>1636</c:v>
                </c:pt>
                <c:pt idx="9">
                  <c:v>2402</c:v>
                </c:pt>
                <c:pt idx="10">
                  <c:v>3745</c:v>
                </c:pt>
                <c:pt idx="11">
                  <c:v>2970</c:v>
                </c:pt>
                <c:pt idx="12">
                  <c:v>1809</c:v>
                </c:pt>
                <c:pt idx="13">
                  <c:v>2618</c:v>
                </c:pt>
                <c:pt idx="14">
                  <c:v>3129</c:v>
                </c:pt>
                <c:pt idx="15">
                  <c:v>4053</c:v>
                </c:pt>
                <c:pt idx="16">
                  <c:v>1515</c:v>
                </c:pt>
                <c:pt idx="17">
                  <c:v>3023</c:v>
                </c:pt>
                <c:pt idx="18">
                  <c:v>5029</c:v>
                </c:pt>
                <c:pt idx="19">
                  <c:v>4739</c:v>
                </c:pt>
                <c:pt idx="20">
                  <c:v>2221</c:v>
                </c:pt>
                <c:pt idx="21">
                  <c:v>4563</c:v>
                </c:pt>
                <c:pt idx="22">
                  <c:v>7865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5-490D-9E12-41FB91C5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Model!$AU$1:$BO$1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Model!$AU$26:$BQ$26</c:f>
              <c:numCache>
                <c:formatCode>General</c:formatCode>
                <c:ptCount val="23"/>
                <c:pt idx="0">
                  <c:v>4009</c:v>
                </c:pt>
                <c:pt idx="1">
                  <c:v>3335</c:v>
                </c:pt>
                <c:pt idx="2">
                  <c:v>3837</c:v>
                </c:pt>
                <c:pt idx="3">
                  <c:v>4120</c:v>
                </c:pt>
                <c:pt idx="4">
                  <c:v>4155</c:v>
                </c:pt>
                <c:pt idx="5">
                  <c:v>4528</c:v>
                </c:pt>
                <c:pt idx="6">
                  <c:v>4985</c:v>
                </c:pt>
                <c:pt idx="7">
                  <c:v>5216</c:v>
                </c:pt>
                <c:pt idx="8">
                  <c:v>5167</c:v>
                </c:pt>
                <c:pt idx="9">
                  <c:v>5497</c:v>
                </c:pt>
                <c:pt idx="10">
                  <c:v>5756</c:v>
                </c:pt>
                <c:pt idx="11">
                  <c:v>5817</c:v>
                </c:pt>
                <c:pt idx="12">
                  <c:v>5748</c:v>
                </c:pt>
                <c:pt idx="13">
                  <c:v>6269</c:v>
                </c:pt>
                <c:pt idx="14">
                  <c:v>6533</c:v>
                </c:pt>
                <c:pt idx="15">
                  <c:v>6548</c:v>
                </c:pt>
                <c:pt idx="16">
                  <c:v>6348</c:v>
                </c:pt>
                <c:pt idx="17">
                  <c:v>6961</c:v>
                </c:pt>
                <c:pt idx="18">
                  <c:v>7369</c:v>
                </c:pt>
                <c:pt idx="19">
                  <c:v>7489</c:v>
                </c:pt>
                <c:pt idx="20">
                  <c:v>7250</c:v>
                </c:pt>
                <c:pt idx="21">
                  <c:v>8133</c:v>
                </c:pt>
                <c:pt idx="22">
                  <c:v>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45-490D-9E12-41FB91C5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(MA) Annualized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Model!$CA$39:$CP$39</c:f>
              <c:numCache>
                <c:formatCode>General</c:formatCode>
                <c:ptCount val="16"/>
                <c:pt idx="0">
                  <c:v>1463</c:v>
                </c:pt>
                <c:pt idx="1">
                  <c:v>1847</c:v>
                </c:pt>
                <c:pt idx="2">
                  <c:v>1906</c:v>
                </c:pt>
                <c:pt idx="3">
                  <c:v>2759</c:v>
                </c:pt>
                <c:pt idx="4">
                  <c:v>3116</c:v>
                </c:pt>
                <c:pt idx="5">
                  <c:v>3617</c:v>
                </c:pt>
                <c:pt idx="6">
                  <c:v>3808</c:v>
                </c:pt>
                <c:pt idx="7">
                  <c:v>4059</c:v>
                </c:pt>
                <c:pt idx="8">
                  <c:v>3915</c:v>
                </c:pt>
                <c:pt idx="9">
                  <c:v>5859</c:v>
                </c:pt>
                <c:pt idx="10">
                  <c:v>8118</c:v>
                </c:pt>
                <c:pt idx="11">
                  <c:v>6411</c:v>
                </c:pt>
                <c:pt idx="12">
                  <c:v>8687</c:v>
                </c:pt>
                <c:pt idx="13">
                  <c:v>9930</c:v>
                </c:pt>
                <c:pt idx="14">
                  <c:v>11195</c:v>
                </c:pt>
                <c:pt idx="15">
                  <c:v>12874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2-426D-8C77-D61725FDDAB9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Model!$CA$88:$CP$88</c:f>
              <c:numCache>
                <c:formatCode>General</c:formatCode>
                <c:ptCount val="16"/>
                <c:pt idx="0">
                  <c:v>1238</c:v>
                </c:pt>
                <c:pt idx="1">
                  <c:v>1546</c:v>
                </c:pt>
                <c:pt idx="2">
                  <c:v>2507</c:v>
                </c:pt>
                <c:pt idx="3">
                  <c:v>2730</c:v>
                </c:pt>
                <c:pt idx="4">
                  <c:v>3836</c:v>
                </c:pt>
                <c:pt idx="5">
                  <c:v>3232</c:v>
                </c:pt>
                <c:pt idx="6">
                  <c:v>3924</c:v>
                </c:pt>
                <c:pt idx="7">
                  <c:v>4422</c:v>
                </c:pt>
                <c:pt idx="8">
                  <c:v>5364</c:v>
                </c:pt>
                <c:pt idx="9">
                  <c:v>5893</c:v>
                </c:pt>
                <c:pt idx="10">
                  <c:v>7761</c:v>
                </c:pt>
                <c:pt idx="11">
                  <c:v>6885</c:v>
                </c:pt>
                <c:pt idx="12">
                  <c:v>9056</c:v>
                </c:pt>
                <c:pt idx="13">
                  <c:v>10753</c:v>
                </c:pt>
                <c:pt idx="14">
                  <c:v>11609</c:v>
                </c:pt>
                <c:pt idx="15">
                  <c:v>14306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2-426D-8C77-D61725FD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2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Model!$CA$3:$CP$3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Model!$CA$26:$CP$26</c:f>
              <c:numCache>
                <c:formatCode>General</c:formatCode>
                <c:ptCount val="16"/>
                <c:pt idx="0">
                  <c:v>5099</c:v>
                </c:pt>
                <c:pt idx="1">
                  <c:v>5539</c:v>
                </c:pt>
                <c:pt idx="2">
                  <c:v>6714</c:v>
                </c:pt>
                <c:pt idx="3">
                  <c:v>7391</c:v>
                </c:pt>
                <c:pt idx="4">
                  <c:v>8312</c:v>
                </c:pt>
                <c:pt idx="5">
                  <c:v>9441</c:v>
                </c:pt>
                <c:pt idx="6">
                  <c:v>9667</c:v>
                </c:pt>
                <c:pt idx="7">
                  <c:v>10776</c:v>
                </c:pt>
                <c:pt idx="8">
                  <c:v>12497</c:v>
                </c:pt>
                <c:pt idx="9">
                  <c:v>14950</c:v>
                </c:pt>
                <c:pt idx="10">
                  <c:v>16883</c:v>
                </c:pt>
                <c:pt idx="11">
                  <c:v>15301</c:v>
                </c:pt>
                <c:pt idx="12">
                  <c:v>18884</c:v>
                </c:pt>
                <c:pt idx="13">
                  <c:v>22237</c:v>
                </c:pt>
                <c:pt idx="14">
                  <c:v>25098</c:v>
                </c:pt>
                <c:pt idx="15">
                  <c:v>28167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72-426D-8C77-D61725FDD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9524</xdr:rowOff>
    </xdr:from>
    <xdr:to>
      <xdr:col>8</xdr:col>
      <xdr:colOff>0</xdr:colOff>
      <xdr:row>8</xdr:row>
      <xdr:rowOff>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336B3-17E1-832E-387A-6BCFA886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380999"/>
          <a:ext cx="1819275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1</xdr:colOff>
      <xdr:row>0</xdr:row>
      <xdr:rowOff>0</xdr:rowOff>
    </xdr:from>
    <xdr:to>
      <xdr:col>69</xdr:col>
      <xdr:colOff>1</xdr:colOff>
      <xdr:row>98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3445207" y="0"/>
          <a:ext cx="0" cy="178464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0</xdr:colOff>
      <xdr:row>0</xdr:row>
      <xdr:rowOff>0</xdr:rowOff>
    </xdr:from>
    <xdr:to>
      <xdr:col>94</xdr:col>
      <xdr:colOff>0</xdr:colOff>
      <xdr:row>97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168</xdr:row>
      <xdr:rowOff>0</xdr:rowOff>
    </xdr:from>
    <xdr:to>
      <xdr:col>23</xdr:col>
      <xdr:colOff>0</xdr:colOff>
      <xdr:row>196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9526</xdr:colOff>
      <xdr:row>2</xdr:row>
      <xdr:rowOff>9525</xdr:rowOff>
    </xdr:from>
    <xdr:to>
      <xdr:col>18</xdr:col>
      <xdr:colOff>2728</xdr:colOff>
      <xdr:row>29</xdr:row>
      <xdr:rowOff>168090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9E5E64-B7EA-693A-D427-97C87B217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438" y="379319"/>
          <a:ext cx="6044378" cy="4999506"/>
        </a:xfrm>
        <a:prstGeom prst="rect">
          <a:avLst/>
        </a:prstGeom>
      </xdr:spPr>
    </xdr:pic>
    <xdr:clientData/>
  </xdr:twoCellAnchor>
  <xdr:twoCellAnchor editAs="oneCell">
    <xdr:from>
      <xdr:col>17</xdr:col>
      <xdr:colOff>569109</xdr:colOff>
      <xdr:row>2</xdr:row>
      <xdr:rowOff>19050</xdr:rowOff>
    </xdr:from>
    <xdr:to>
      <xdr:col>28</xdr:col>
      <xdr:colOff>663</xdr:colOff>
      <xdr:row>29</xdr:row>
      <xdr:rowOff>168089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810E20-5680-88F6-D6F3-ECCABE555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8080" y="388844"/>
          <a:ext cx="6087848" cy="4989980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35</xdr:row>
      <xdr:rowOff>0</xdr:rowOff>
    </xdr:from>
    <xdr:to>
      <xdr:col>16</xdr:col>
      <xdr:colOff>9525</xdr:colOff>
      <xdr:row>60</xdr:row>
      <xdr:rowOff>167235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92D211E-D573-B3B5-A04D-1742642F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4" y="6353175"/>
          <a:ext cx="4876801" cy="4721866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66</xdr:row>
      <xdr:rowOff>0</xdr:rowOff>
    </xdr:from>
    <xdr:to>
      <xdr:col>23</xdr:col>
      <xdr:colOff>0</xdr:colOff>
      <xdr:row>97</xdr:row>
      <xdr:rowOff>1680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E18959-B13A-4C7E-8BE0-F553A3B61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102</xdr:row>
      <xdr:rowOff>0</xdr:rowOff>
    </xdr:from>
    <xdr:to>
      <xdr:col>23</xdr:col>
      <xdr:colOff>11206</xdr:colOff>
      <xdr:row>130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C58543-ED7D-4B74-8C2E-7F2601F2A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135</xdr:row>
      <xdr:rowOff>0</xdr:rowOff>
    </xdr:from>
    <xdr:to>
      <xdr:col>23</xdr:col>
      <xdr:colOff>0</xdr:colOff>
      <xdr:row>163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A47499-54E9-4A6E-8A3C-D09044158D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stercard.com/us/en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_Model.xlsx" TargetMode="External"/><Relationship Id="rId1" Type="http://schemas.openxmlformats.org/officeDocument/2006/relationships/hyperlink" Target="https://app.godelterminal.com/" TargetMode="External"/><Relationship Id="rId6" Type="http://schemas.openxmlformats.org/officeDocument/2006/relationships/hyperlink" Target="https://www.gurufocus.com/term/wacc/MA" TargetMode="External"/><Relationship Id="rId5" Type="http://schemas.openxmlformats.org/officeDocument/2006/relationships/hyperlink" Target="https://seekingalpha.com/symbol/MA/earnings/transcripts" TargetMode="External"/><Relationship Id="rId4" Type="http://schemas.openxmlformats.org/officeDocument/2006/relationships/hyperlink" Target="https://investor.mastercard.com/overview/default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"/>
  <sheetViews>
    <sheetView zoomScale="85" zoomScaleNormal="85" workbookViewId="0">
      <selection activeCell="D4" sqref="D4"/>
    </sheetView>
  </sheetViews>
  <sheetFormatPr defaultRowHeight="14.25"/>
  <cols>
    <col min="1" max="1" width="3.42578125" style="1" customWidth="1"/>
    <col min="2" max="2" width="9.140625" style="1" customWidth="1"/>
    <col min="3" max="3" width="11.140625" style="1" customWidth="1"/>
    <col min="4" max="4" width="9.140625" style="1" customWidth="1"/>
    <col min="5" max="16384" width="9.140625" style="1"/>
  </cols>
  <sheetData>
    <row r="1" spans="1:17">
      <c r="A1" s="43" t="s">
        <v>0</v>
      </c>
    </row>
    <row r="2" spans="1:17" ht="15">
      <c r="B2" s="2" t="s">
        <v>164</v>
      </c>
    </row>
    <row r="3" spans="1:17">
      <c r="B3" s="1" t="s">
        <v>1</v>
      </c>
      <c r="C3" s="50">
        <v>576.75</v>
      </c>
      <c r="D3" s="42" t="s">
        <v>1546</v>
      </c>
    </row>
    <row r="4" spans="1:17">
      <c r="B4" s="1" t="s">
        <v>2</v>
      </c>
      <c r="C4" s="71">
        <v>903</v>
      </c>
      <c r="D4" s="1" t="s">
        <v>1545</v>
      </c>
    </row>
    <row r="5" spans="1:17">
      <c r="B5" s="1" t="s">
        <v>3</v>
      </c>
      <c r="C5" s="49">
        <f>C3*C4</f>
        <v>520805.25</v>
      </c>
    </row>
    <row r="6" spans="1:17">
      <c r="B6" s="1" t="s">
        <v>4</v>
      </c>
      <c r="C6" s="48">
        <f>9031+542+1999+336</f>
        <v>11908</v>
      </c>
      <c r="D6" s="1" t="s">
        <v>1545</v>
      </c>
    </row>
    <row r="7" spans="1:17">
      <c r="B7" s="1" t="s">
        <v>5</v>
      </c>
      <c r="C7" s="48">
        <v>18970</v>
      </c>
      <c r="D7" s="1" t="s">
        <v>1545</v>
      </c>
    </row>
    <row r="8" spans="1:17">
      <c r="B8" s="1" t="s">
        <v>6</v>
      </c>
      <c r="C8" s="49">
        <f>C5-C6+C7</f>
        <v>527867.25</v>
      </c>
    </row>
    <row r="10" spans="1:17" ht="15">
      <c r="B10" s="2" t="s">
        <v>1439</v>
      </c>
    </row>
    <row r="12" spans="1:17" ht="15" customHeight="1">
      <c r="B12" s="73" t="s">
        <v>1437</v>
      </c>
      <c r="C12" s="73"/>
      <c r="D12" s="73"/>
      <c r="E12" s="73"/>
      <c r="F12" s="1" t="s">
        <v>1444</v>
      </c>
      <c r="M12" s="1" t="s">
        <v>8</v>
      </c>
      <c r="P12" s="43" t="s">
        <v>1427</v>
      </c>
    </row>
    <row r="13" spans="1:17">
      <c r="B13" s="1" t="s">
        <v>1438</v>
      </c>
      <c r="F13" s="1" t="s">
        <v>1446</v>
      </c>
      <c r="M13" s="1" t="s">
        <v>1428</v>
      </c>
      <c r="P13" s="43" t="s">
        <v>1430</v>
      </c>
    </row>
    <row r="14" spans="1:17">
      <c r="B14" s="1" t="s">
        <v>1445</v>
      </c>
      <c r="F14" s="1" t="s">
        <v>7</v>
      </c>
      <c r="N14" s="1" t="s">
        <v>1429</v>
      </c>
      <c r="Q14" s="43" t="s">
        <v>1431</v>
      </c>
    </row>
    <row r="15" spans="1:17">
      <c r="B15" s="1" t="s">
        <v>1436</v>
      </c>
      <c r="F15" s="1" t="s">
        <v>161</v>
      </c>
      <c r="M15" s="1" t="s">
        <v>158</v>
      </c>
      <c r="P15" s="43" t="s">
        <v>1433</v>
      </c>
    </row>
    <row r="16" spans="1:17">
      <c r="B16" s="1" t="s">
        <v>1440</v>
      </c>
      <c r="F16" s="1" t="s">
        <v>155</v>
      </c>
      <c r="G16" s="1" t="s">
        <v>1447</v>
      </c>
      <c r="I16" s="1" t="s">
        <v>156</v>
      </c>
      <c r="M16" s="1" t="s">
        <v>159</v>
      </c>
      <c r="P16" s="43" t="s">
        <v>1434</v>
      </c>
    </row>
    <row r="17" spans="1:16">
      <c r="B17" s="1" t="s">
        <v>1441</v>
      </c>
      <c r="M17" s="1" t="s">
        <v>1432</v>
      </c>
      <c r="P17" s="43" t="s">
        <v>1435</v>
      </c>
    </row>
    <row r="18" spans="1:16">
      <c r="B18" s="1" t="s">
        <v>1442</v>
      </c>
      <c r="M18" s="1" t="s">
        <v>9</v>
      </c>
      <c r="P18" s="43" t="s">
        <v>160</v>
      </c>
    </row>
    <row r="19" spans="1:16">
      <c r="B19" s="1" t="s">
        <v>1443</v>
      </c>
    </row>
    <row r="21" spans="1:16" ht="15">
      <c r="A21" s="2" t="s">
        <v>10</v>
      </c>
    </row>
    <row r="22" spans="1:16">
      <c r="B22" s="1" t="s">
        <v>1448</v>
      </c>
    </row>
    <row r="23" spans="1:16">
      <c r="C23" s="1" t="s">
        <v>1451</v>
      </c>
    </row>
    <row r="24" spans="1:16">
      <c r="B24" s="1" t="s">
        <v>1453</v>
      </c>
    </row>
    <row r="25" spans="1:16">
      <c r="B25" s="1" t="s">
        <v>1449</v>
      </c>
    </row>
    <row r="26" spans="1:16">
      <c r="C26" s="1" t="s">
        <v>1450</v>
      </c>
    </row>
    <row r="27" spans="1:16">
      <c r="C27" s="1" t="s">
        <v>1452</v>
      </c>
    </row>
    <row r="28" spans="1:16">
      <c r="B28" s="1" t="s">
        <v>1454</v>
      </c>
    </row>
    <row r="29" spans="1:16">
      <c r="B29" s="1" t="s">
        <v>1455</v>
      </c>
    </row>
    <row r="30" spans="1:16">
      <c r="C30" s="1" t="s">
        <v>1456</v>
      </c>
      <c r="G30" s="1" t="s">
        <v>1457</v>
      </c>
    </row>
    <row r="31" spans="1:16">
      <c r="C31" s="1" t="s">
        <v>1458</v>
      </c>
      <c r="G31" s="1" t="s">
        <v>1461</v>
      </c>
    </row>
    <row r="32" spans="1:16">
      <c r="C32" s="1" t="s">
        <v>1459</v>
      </c>
      <c r="G32" s="1" t="s">
        <v>1462</v>
      </c>
    </row>
    <row r="33" spans="1:7">
      <c r="C33" s="1" t="s">
        <v>1460</v>
      </c>
      <c r="G33" s="1" t="s">
        <v>1463</v>
      </c>
    </row>
    <row r="34" spans="1:7">
      <c r="B34" s="1" t="s">
        <v>1464</v>
      </c>
    </row>
    <row r="35" spans="1:7">
      <c r="C35" s="1" t="s">
        <v>1465</v>
      </c>
    </row>
    <row r="36" spans="1:7">
      <c r="C36" s="1" t="s">
        <v>1470</v>
      </c>
    </row>
    <row r="37" spans="1:7">
      <c r="B37" s="1" t="s">
        <v>1467</v>
      </c>
    </row>
    <row r="38" spans="1:7">
      <c r="C38" s="1" t="s">
        <v>1466</v>
      </c>
    </row>
    <row r="39" spans="1:7">
      <c r="C39" s="1" t="s">
        <v>1468</v>
      </c>
    </row>
    <row r="40" spans="1:7">
      <c r="C40" s="1" t="s">
        <v>1469</v>
      </c>
    </row>
    <row r="41" spans="1:7">
      <c r="B41" s="1" t="s">
        <v>1471</v>
      </c>
    </row>
    <row r="42" spans="1:7">
      <c r="C42" s="1" t="s">
        <v>1472</v>
      </c>
    </row>
    <row r="43" spans="1:7">
      <c r="C43" s="1" t="s">
        <v>1473</v>
      </c>
    </row>
    <row r="44" spans="1:7">
      <c r="B44" s="1" t="s">
        <v>1475</v>
      </c>
    </row>
    <row r="45" spans="1:7">
      <c r="B45" s="1" t="s">
        <v>1474</v>
      </c>
    </row>
    <row r="47" spans="1:7" ht="15">
      <c r="A47" s="2" t="s">
        <v>162</v>
      </c>
    </row>
    <row r="48" spans="1:7">
      <c r="B48" s="1" t="s">
        <v>163</v>
      </c>
    </row>
  </sheetData>
  <mergeCells count="1">
    <mergeCell ref="B12:E12"/>
  </mergeCells>
  <hyperlinks>
    <hyperlink ref="P18" r:id="rId1" xr:uid="{14375537-5C3D-4253-9650-337AB6789785}"/>
    <hyperlink ref="A1" r:id="rId2" xr:uid="{843E815B-2CE0-4C36-BF0D-27901B76A726}"/>
    <hyperlink ref="P13" r:id="rId3" xr:uid="{9D5DFC99-A8E0-4C95-BC47-451E16AB18D8}"/>
    <hyperlink ref="Q14" r:id="rId4" xr:uid="{31CDA6F3-EA39-4BEA-850D-957F3C6FAD5E}"/>
    <hyperlink ref="P15" r:id="rId5" xr:uid="{2289ED46-4255-4EB5-B2C4-F2DC0534514E}"/>
    <hyperlink ref="P17" r:id="rId6" xr:uid="{BFFE0515-D705-45D2-BE38-8564DD95016D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B90"/>
  <sheetViews>
    <sheetView tabSelected="1" zoomScale="85" zoomScaleNormal="85" workbookViewId="0">
      <pane xSplit="2" ySplit="3" topLeftCell="CJ30" activePane="bottomRight" state="frozen"/>
      <selection pane="topRight" activeCell="C1" sqref="C1"/>
      <selection pane="bottomLeft" activeCell="A4" sqref="A4"/>
      <selection pane="bottomRight" activeCell="CR33" sqref="CR33"/>
    </sheetView>
  </sheetViews>
  <sheetFormatPr defaultRowHeight="14.25"/>
  <cols>
    <col min="1" max="1" width="3.140625" style="1" customWidth="1"/>
    <col min="2" max="2" width="40.28515625" style="1" bestFit="1" customWidth="1"/>
    <col min="3" max="69" width="9.140625" style="1"/>
    <col min="70" max="74" width="9.140625" style="35"/>
    <col min="75" max="94" width="9.140625" style="1"/>
    <col min="95" max="103" width="9.28515625" style="35" bestFit="1" customWidth="1"/>
    <col min="104" max="104" width="9.28515625" style="35" customWidth="1"/>
    <col min="105" max="154" width="9.28515625" style="35" bestFit="1" customWidth="1"/>
    <col min="155" max="158" width="9.140625" style="35"/>
    <col min="159" max="16384" width="9.140625" style="1"/>
  </cols>
  <sheetData>
    <row r="1" spans="2:158" ht="15">
      <c r="B1" s="1" t="s">
        <v>116</v>
      </c>
      <c r="AU1" s="33" t="s">
        <v>88</v>
      </c>
      <c r="AY1" s="33" t="s">
        <v>92</v>
      </c>
      <c r="BC1" s="33" t="s">
        <v>96</v>
      </c>
      <c r="BG1" s="33" t="s">
        <v>100</v>
      </c>
      <c r="BK1" s="33" t="s">
        <v>104</v>
      </c>
      <c r="BO1" s="33" t="s">
        <v>108</v>
      </c>
      <c r="BP1" s="33"/>
    </row>
    <row r="2" spans="2:158">
      <c r="B2" s="1" t="s">
        <v>117</v>
      </c>
    </row>
    <row r="3" spans="2:158" ht="15">
      <c r="B3" s="2" t="s">
        <v>118</v>
      </c>
      <c r="C3" s="33" t="s">
        <v>44</v>
      </c>
      <c r="D3" s="33" t="s">
        <v>45</v>
      </c>
      <c r="E3" s="33" t="s">
        <v>46</v>
      </c>
      <c r="F3" s="33" t="s">
        <v>47</v>
      </c>
      <c r="G3" s="33" t="s">
        <v>48</v>
      </c>
      <c r="H3" s="33" t="s">
        <v>49</v>
      </c>
      <c r="I3" s="33" t="s">
        <v>50</v>
      </c>
      <c r="J3" s="33" t="s">
        <v>51</v>
      </c>
      <c r="K3" s="33" t="s">
        <v>52</v>
      </c>
      <c r="L3" s="33" t="s">
        <v>53</v>
      </c>
      <c r="M3" s="33" t="s">
        <v>54</v>
      </c>
      <c r="N3" s="33" t="s">
        <v>55</v>
      </c>
      <c r="O3" s="33" t="s">
        <v>56</v>
      </c>
      <c r="P3" s="33" t="s">
        <v>57</v>
      </c>
      <c r="Q3" s="33" t="s">
        <v>58</v>
      </c>
      <c r="R3" s="33" t="s">
        <v>59</v>
      </c>
      <c r="S3" s="33" t="s">
        <v>60</v>
      </c>
      <c r="T3" s="33" t="s">
        <v>61</v>
      </c>
      <c r="U3" s="33" t="s">
        <v>62</v>
      </c>
      <c r="V3" s="33" t="s">
        <v>63</v>
      </c>
      <c r="W3" s="33" t="s">
        <v>64</v>
      </c>
      <c r="X3" s="33" t="s">
        <v>65</v>
      </c>
      <c r="Y3" s="33" t="s">
        <v>66</v>
      </c>
      <c r="Z3" s="33" t="s">
        <v>67</v>
      </c>
      <c r="AA3" s="33" t="s">
        <v>68</v>
      </c>
      <c r="AB3" s="33" t="s">
        <v>69</v>
      </c>
      <c r="AC3" s="33" t="s">
        <v>70</v>
      </c>
      <c r="AD3" s="33" t="s">
        <v>71</v>
      </c>
      <c r="AE3" s="33" t="s">
        <v>72</v>
      </c>
      <c r="AF3" s="33" t="s">
        <v>73</v>
      </c>
      <c r="AG3" s="33" t="s">
        <v>74</v>
      </c>
      <c r="AH3" s="33" t="s">
        <v>75</v>
      </c>
      <c r="AI3" s="33" t="s">
        <v>76</v>
      </c>
      <c r="AJ3" s="33" t="s">
        <v>77</v>
      </c>
      <c r="AK3" s="33" t="s">
        <v>78</v>
      </c>
      <c r="AL3" s="33" t="s">
        <v>79</v>
      </c>
      <c r="AM3" s="33" t="s">
        <v>80</v>
      </c>
      <c r="AN3" s="33" t="s">
        <v>81</v>
      </c>
      <c r="AO3" s="33" t="s">
        <v>82</v>
      </c>
      <c r="AP3" s="33" t="s">
        <v>83</v>
      </c>
      <c r="AQ3" s="33" t="s">
        <v>84</v>
      </c>
      <c r="AR3" s="33" t="s">
        <v>85</v>
      </c>
      <c r="AS3" s="33" t="s">
        <v>86</v>
      </c>
      <c r="AT3" s="33" t="s">
        <v>87</v>
      </c>
      <c r="AU3" s="33" t="s">
        <v>88</v>
      </c>
      <c r="AV3" s="33" t="s">
        <v>89</v>
      </c>
      <c r="AW3" s="33" t="s">
        <v>90</v>
      </c>
      <c r="AX3" s="33" t="s">
        <v>91</v>
      </c>
      <c r="AY3" s="33" t="s">
        <v>92</v>
      </c>
      <c r="AZ3" s="33" t="s">
        <v>93</v>
      </c>
      <c r="BA3" s="33" t="s">
        <v>94</v>
      </c>
      <c r="BB3" s="33" t="s">
        <v>95</v>
      </c>
      <c r="BC3" s="33" t="s">
        <v>96</v>
      </c>
      <c r="BD3" s="33" t="s">
        <v>97</v>
      </c>
      <c r="BE3" s="33" t="s">
        <v>98</v>
      </c>
      <c r="BF3" s="33" t="s">
        <v>99</v>
      </c>
      <c r="BG3" s="33" t="s">
        <v>100</v>
      </c>
      <c r="BH3" s="33" t="s">
        <v>101</v>
      </c>
      <c r="BI3" s="33" t="s">
        <v>102</v>
      </c>
      <c r="BJ3" s="33" t="s">
        <v>103</v>
      </c>
      <c r="BK3" s="33" t="s">
        <v>104</v>
      </c>
      <c r="BL3" s="33" t="s">
        <v>105</v>
      </c>
      <c r="BM3" s="33" t="s">
        <v>106</v>
      </c>
      <c r="BN3" s="33" t="s">
        <v>107</v>
      </c>
      <c r="BO3" s="33" t="s">
        <v>108</v>
      </c>
      <c r="BP3" s="33" t="s">
        <v>109</v>
      </c>
      <c r="BQ3" s="2" t="s">
        <v>110</v>
      </c>
      <c r="BR3" s="34" t="s">
        <v>111</v>
      </c>
      <c r="BS3" s="34" t="s">
        <v>112</v>
      </c>
      <c r="BT3" s="34" t="s">
        <v>113</v>
      </c>
      <c r="BU3" s="34" t="s">
        <v>114</v>
      </c>
      <c r="BV3" s="34" t="s">
        <v>115</v>
      </c>
      <c r="CA3" s="2">
        <v>2009</v>
      </c>
      <c r="CB3" s="2">
        <f t="shared" ref="CB3:EM3" si="0">CA3+1</f>
        <v>2010</v>
      </c>
      <c r="CC3" s="2">
        <f t="shared" si="0"/>
        <v>2011</v>
      </c>
      <c r="CD3" s="2">
        <f t="shared" si="0"/>
        <v>2012</v>
      </c>
      <c r="CE3" s="2">
        <f t="shared" si="0"/>
        <v>2013</v>
      </c>
      <c r="CF3" s="2">
        <f t="shared" si="0"/>
        <v>2014</v>
      </c>
      <c r="CG3" s="2">
        <f t="shared" si="0"/>
        <v>2015</v>
      </c>
      <c r="CH3" s="2">
        <f t="shared" si="0"/>
        <v>2016</v>
      </c>
      <c r="CI3" s="2">
        <f t="shared" si="0"/>
        <v>2017</v>
      </c>
      <c r="CJ3" s="2">
        <f t="shared" si="0"/>
        <v>2018</v>
      </c>
      <c r="CK3" s="2">
        <f t="shared" si="0"/>
        <v>2019</v>
      </c>
      <c r="CL3" s="2">
        <f t="shared" si="0"/>
        <v>2020</v>
      </c>
      <c r="CM3" s="2">
        <f t="shared" si="0"/>
        <v>2021</v>
      </c>
      <c r="CN3" s="2">
        <f t="shared" si="0"/>
        <v>2022</v>
      </c>
      <c r="CO3" s="2">
        <f t="shared" si="0"/>
        <v>2023</v>
      </c>
      <c r="CP3" s="2">
        <f t="shared" si="0"/>
        <v>2024</v>
      </c>
      <c r="CQ3" s="34">
        <f t="shared" si="0"/>
        <v>2025</v>
      </c>
      <c r="CR3" s="34">
        <f t="shared" si="0"/>
        <v>2026</v>
      </c>
      <c r="CS3" s="34">
        <f t="shared" si="0"/>
        <v>2027</v>
      </c>
      <c r="CT3" s="34">
        <f t="shared" si="0"/>
        <v>2028</v>
      </c>
      <c r="CU3" s="34">
        <f t="shared" si="0"/>
        <v>2029</v>
      </c>
      <c r="CV3" s="34">
        <f t="shared" si="0"/>
        <v>2030</v>
      </c>
      <c r="CW3" s="34">
        <f t="shared" si="0"/>
        <v>2031</v>
      </c>
      <c r="CX3" s="34">
        <f t="shared" si="0"/>
        <v>2032</v>
      </c>
      <c r="CY3" s="34">
        <f t="shared" si="0"/>
        <v>2033</v>
      </c>
      <c r="CZ3" s="34">
        <f t="shared" si="0"/>
        <v>2034</v>
      </c>
      <c r="DA3" s="34">
        <f t="shared" si="0"/>
        <v>2035</v>
      </c>
      <c r="DB3" s="34">
        <f t="shared" si="0"/>
        <v>2036</v>
      </c>
      <c r="DC3" s="34">
        <f t="shared" si="0"/>
        <v>2037</v>
      </c>
      <c r="DD3" s="34">
        <f t="shared" si="0"/>
        <v>2038</v>
      </c>
      <c r="DE3" s="34">
        <f t="shared" si="0"/>
        <v>2039</v>
      </c>
      <c r="DF3" s="34">
        <f t="shared" si="0"/>
        <v>2040</v>
      </c>
      <c r="DG3" s="34">
        <f t="shared" si="0"/>
        <v>2041</v>
      </c>
      <c r="DH3" s="34">
        <f t="shared" si="0"/>
        <v>2042</v>
      </c>
      <c r="DI3" s="34">
        <f t="shared" si="0"/>
        <v>2043</v>
      </c>
      <c r="DJ3" s="34">
        <f t="shared" si="0"/>
        <v>2044</v>
      </c>
      <c r="DK3" s="34">
        <f t="shared" si="0"/>
        <v>2045</v>
      </c>
      <c r="DL3" s="34">
        <f t="shared" si="0"/>
        <v>2046</v>
      </c>
      <c r="DM3" s="34">
        <f t="shared" si="0"/>
        <v>2047</v>
      </c>
      <c r="DN3" s="34">
        <f t="shared" si="0"/>
        <v>2048</v>
      </c>
      <c r="DO3" s="34">
        <f t="shared" si="0"/>
        <v>2049</v>
      </c>
      <c r="DP3" s="34">
        <f t="shared" si="0"/>
        <v>2050</v>
      </c>
      <c r="DQ3" s="34">
        <f t="shared" si="0"/>
        <v>2051</v>
      </c>
      <c r="DR3" s="34">
        <f t="shared" si="0"/>
        <v>2052</v>
      </c>
      <c r="DS3" s="34">
        <f t="shared" si="0"/>
        <v>2053</v>
      </c>
      <c r="DT3" s="34">
        <f t="shared" si="0"/>
        <v>2054</v>
      </c>
      <c r="DU3" s="34">
        <f t="shared" si="0"/>
        <v>2055</v>
      </c>
      <c r="DV3" s="34">
        <f t="shared" si="0"/>
        <v>2056</v>
      </c>
      <c r="DW3" s="34">
        <f t="shared" si="0"/>
        <v>2057</v>
      </c>
      <c r="DX3" s="34">
        <f t="shared" si="0"/>
        <v>2058</v>
      </c>
      <c r="DY3" s="34">
        <f t="shared" si="0"/>
        <v>2059</v>
      </c>
      <c r="DZ3" s="34">
        <f t="shared" si="0"/>
        <v>2060</v>
      </c>
      <c r="EA3" s="34">
        <f t="shared" si="0"/>
        <v>2061</v>
      </c>
      <c r="EB3" s="34">
        <f t="shared" si="0"/>
        <v>2062</v>
      </c>
      <c r="EC3" s="34">
        <f t="shared" si="0"/>
        <v>2063</v>
      </c>
      <c r="ED3" s="34">
        <f t="shared" si="0"/>
        <v>2064</v>
      </c>
      <c r="EE3" s="34">
        <f t="shared" si="0"/>
        <v>2065</v>
      </c>
      <c r="EF3" s="34">
        <f t="shared" si="0"/>
        <v>2066</v>
      </c>
      <c r="EG3" s="34">
        <f t="shared" si="0"/>
        <v>2067</v>
      </c>
      <c r="EH3" s="34">
        <f t="shared" si="0"/>
        <v>2068</v>
      </c>
      <c r="EI3" s="34">
        <f t="shared" si="0"/>
        <v>2069</v>
      </c>
      <c r="EJ3" s="34">
        <f t="shared" si="0"/>
        <v>2070</v>
      </c>
      <c r="EK3" s="34">
        <f t="shared" si="0"/>
        <v>2071</v>
      </c>
      <c r="EL3" s="34">
        <f t="shared" si="0"/>
        <v>2072</v>
      </c>
      <c r="EM3" s="34">
        <f t="shared" si="0"/>
        <v>2073</v>
      </c>
      <c r="EN3" s="34">
        <f t="shared" ref="EN3:EX3" si="1">EM3+1</f>
        <v>2074</v>
      </c>
      <c r="EO3" s="34">
        <f t="shared" si="1"/>
        <v>2075</v>
      </c>
      <c r="EP3" s="34">
        <f t="shared" si="1"/>
        <v>2076</v>
      </c>
      <c r="EQ3" s="34">
        <f t="shared" si="1"/>
        <v>2077</v>
      </c>
      <c r="ER3" s="34">
        <f t="shared" si="1"/>
        <v>2078</v>
      </c>
      <c r="ES3" s="34">
        <f t="shared" si="1"/>
        <v>2079</v>
      </c>
      <c r="ET3" s="34">
        <f t="shared" si="1"/>
        <v>2080</v>
      </c>
      <c r="EU3" s="34">
        <f t="shared" si="1"/>
        <v>2081</v>
      </c>
      <c r="EV3" s="34">
        <f t="shared" si="1"/>
        <v>2082</v>
      </c>
      <c r="EW3" s="34">
        <f t="shared" si="1"/>
        <v>2083</v>
      </c>
      <c r="EX3" s="34">
        <f t="shared" si="1"/>
        <v>2084</v>
      </c>
      <c r="EY3" s="34"/>
      <c r="EZ3" s="34"/>
      <c r="FA3" s="34"/>
    </row>
    <row r="4" spans="2:158">
      <c r="B4" s="36" t="s">
        <v>1476</v>
      </c>
      <c r="AU4" s="1">
        <f>1683+1217+2200-2153</f>
        <v>2947</v>
      </c>
      <c r="AV4" s="1">
        <f>1474+637+1901-1758</f>
        <v>2254</v>
      </c>
      <c r="AW4" s="1">
        <f>1750+791+2251-2098</f>
        <v>2694</v>
      </c>
      <c r="AX4" s="1">
        <f>9897-SUM(AU4:AW4)</f>
        <v>2002</v>
      </c>
      <c r="AY4" s="1">
        <f>1798+932+2351-2273</f>
        <v>2808</v>
      </c>
      <c r="AZ4" s="1">
        <f>2056+1076+2612-2691</f>
        <v>3053</v>
      </c>
      <c r="BA4" s="1">
        <f>2139+1276+2849-2841</f>
        <v>3423</v>
      </c>
      <c r="BB4" s="1">
        <f>11943-SUM(AY4:BA4)</f>
        <v>2659</v>
      </c>
      <c r="BC4" s="1">
        <v>3399</v>
      </c>
      <c r="BD4" s="1">
        <v>3609</v>
      </c>
      <c r="BE4" s="1">
        <v>3765</v>
      </c>
      <c r="BF4" s="1">
        <f>14358-SUM(BC4:BE4)</f>
        <v>3585</v>
      </c>
      <c r="BG4" s="1">
        <v>3650</v>
      </c>
      <c r="BH4" s="1">
        <v>4073</v>
      </c>
      <c r="BI4" s="1">
        <v>4210</v>
      </c>
      <c r="BJ4" s="1">
        <f>15824-SUM(BG4:BI4)</f>
        <v>3891</v>
      </c>
      <c r="BK4" s="1">
        <v>3920</v>
      </c>
      <c r="BL4" s="1">
        <v>4375</v>
      </c>
      <c r="BM4" s="1">
        <v>4629</v>
      </c>
      <c r="BN4" s="1">
        <f>17335-SUM(BK4:BM4)</f>
        <v>4411</v>
      </c>
      <c r="BO4" s="1">
        <v>4432</v>
      </c>
      <c r="BP4" s="1">
        <v>4945</v>
      </c>
      <c r="BQ4" s="1">
        <v>5179</v>
      </c>
      <c r="CL4" s="1">
        <f>SUM(AU4:AX4)</f>
        <v>9897</v>
      </c>
      <c r="CM4" s="1">
        <f>SUM(AY4:BB4)</f>
        <v>11943</v>
      </c>
      <c r="CN4" s="1">
        <f>SUM(BC4:BF4)</f>
        <v>14358</v>
      </c>
      <c r="CO4" s="1">
        <f>SUM(BG4:BJ4)</f>
        <v>15824</v>
      </c>
      <c r="CP4" s="1">
        <f>SUM(BK4:BN4)</f>
        <v>17335</v>
      </c>
      <c r="CQ4" s="63">
        <f>CP4*(1+CQ8)</f>
        <v>19588.55</v>
      </c>
      <c r="CR4" s="63">
        <f t="shared" ref="CR4:CZ4" si="2">CQ4*(1+CR8)</f>
        <v>21645.347749999997</v>
      </c>
      <c r="CS4" s="63">
        <f t="shared" si="2"/>
        <v>23863.995894374999</v>
      </c>
      <c r="CT4" s="63">
        <f t="shared" si="2"/>
        <v>26274.259479706874</v>
      </c>
      <c r="CU4" s="63">
        <f t="shared" si="2"/>
        <v>28901.685427677563</v>
      </c>
      <c r="CV4" s="63">
        <f t="shared" si="2"/>
        <v>31213.820261891771</v>
      </c>
      <c r="CW4" s="63">
        <f t="shared" si="2"/>
        <v>33086.649477605279</v>
      </c>
      <c r="CX4" s="63">
        <f t="shared" si="2"/>
        <v>34740.981951485541</v>
      </c>
      <c r="CY4" s="63">
        <f t="shared" si="2"/>
        <v>36304.326139302386</v>
      </c>
      <c r="CZ4" s="63">
        <f t="shared" si="2"/>
        <v>37756.499184874483</v>
      </c>
    </row>
    <row r="5" spans="2:158">
      <c r="B5" s="36" t="s">
        <v>1477</v>
      </c>
      <c r="AU5" s="1">
        <v>1062</v>
      </c>
      <c r="AV5" s="1">
        <v>1081</v>
      </c>
      <c r="AW5" s="1">
        <v>1143</v>
      </c>
      <c r="AX5" s="1">
        <f>5404-SUM(AU5:AW5)</f>
        <v>2118</v>
      </c>
      <c r="AY5" s="1">
        <v>1347</v>
      </c>
      <c r="AZ5" s="1">
        <f>1475</f>
        <v>1475</v>
      </c>
      <c r="BA5" s="1">
        <v>1562</v>
      </c>
      <c r="BB5" s="1">
        <f>6941-SUM(AY5:BA5)</f>
        <v>2557</v>
      </c>
      <c r="BC5" s="1">
        <v>1768</v>
      </c>
      <c r="BD5" s="1">
        <v>1888</v>
      </c>
      <c r="BE5" s="1">
        <v>1991</v>
      </c>
      <c r="BF5" s="1">
        <f>7879-SUM(BC5:BE5)</f>
        <v>2232</v>
      </c>
      <c r="BG5" s="1">
        <v>2098</v>
      </c>
      <c r="BH5" s="1">
        <v>2196</v>
      </c>
      <c r="BI5" s="1">
        <v>2323</v>
      </c>
      <c r="BJ5" s="1">
        <f>9274-SUM(BG5:BI5)</f>
        <v>2657</v>
      </c>
      <c r="BK5" s="1">
        <v>2428</v>
      </c>
      <c r="BL5" s="1">
        <v>2586</v>
      </c>
      <c r="BM5" s="1">
        <v>2740</v>
      </c>
      <c r="BN5" s="1">
        <f>10832-SUM(BK5:BM5)</f>
        <v>3078</v>
      </c>
      <c r="BO5" s="1">
        <v>2818</v>
      </c>
      <c r="BP5" s="1">
        <v>3188</v>
      </c>
      <c r="BQ5" s="1">
        <v>3423</v>
      </c>
      <c r="CL5" s="1">
        <f>SUM(AU5:AX5)</f>
        <v>5404</v>
      </c>
      <c r="CM5" s="1">
        <f>SUM(AY5:BB5)</f>
        <v>6941</v>
      </c>
      <c r="CN5" s="1">
        <f>SUM(BC5:BF5)</f>
        <v>7879</v>
      </c>
      <c r="CO5" s="1">
        <f>SUM(BG5:BJ5)</f>
        <v>9274</v>
      </c>
      <c r="CP5" s="1">
        <f>SUM(BK5:BN5)</f>
        <v>10832</v>
      </c>
      <c r="CQ5" s="63">
        <f>CP5*(1+CQ9)</f>
        <v>12890.08</v>
      </c>
      <c r="CR5" s="63">
        <f t="shared" ref="CR5:CZ5" si="3">CQ5*(1+CR9)</f>
        <v>15210.294399999999</v>
      </c>
      <c r="CS5" s="63">
        <f t="shared" si="3"/>
        <v>17415.787087999997</v>
      </c>
      <c r="CT5" s="63">
        <f t="shared" si="3"/>
        <v>19766.918344879996</v>
      </c>
      <c r="CU5" s="63">
        <f t="shared" si="3"/>
        <v>22138.948546265598</v>
      </c>
      <c r="CV5" s="63">
        <f t="shared" si="3"/>
        <v>24352.843400892158</v>
      </c>
      <c r="CW5" s="63">
        <f t="shared" si="3"/>
        <v>26301.070872963533</v>
      </c>
      <c r="CX5" s="63">
        <f t="shared" si="3"/>
        <v>28010.640479706162</v>
      </c>
      <c r="CY5" s="63">
        <f t="shared" si="3"/>
        <v>29691.278908488533</v>
      </c>
      <c r="CZ5" s="63">
        <f t="shared" si="3"/>
        <v>31324.299248455402</v>
      </c>
    </row>
    <row r="6" spans="2:158" s="2" customFormat="1" ht="15">
      <c r="B6" s="33" t="s">
        <v>119</v>
      </c>
      <c r="AU6" s="2">
        <f t="shared" ref="AU6" si="4">AU4+AU5</f>
        <v>4009</v>
      </c>
      <c r="AV6" s="2">
        <f t="shared" ref="AV6" si="5">AV4+AV5</f>
        <v>3335</v>
      </c>
      <c r="AW6" s="2">
        <f t="shared" ref="AW6" si="6">AW4+AW5</f>
        <v>3837</v>
      </c>
      <c r="AX6" s="2">
        <f t="shared" ref="AX6:BN6" si="7">AX4+AX5</f>
        <v>4120</v>
      </c>
      <c r="AY6" s="2">
        <f t="shared" si="7"/>
        <v>4155</v>
      </c>
      <c r="AZ6" s="2">
        <f t="shared" si="7"/>
        <v>4528</v>
      </c>
      <c r="BA6" s="2">
        <f t="shared" si="7"/>
        <v>4985</v>
      </c>
      <c r="BB6" s="2">
        <f t="shared" si="7"/>
        <v>5216</v>
      </c>
      <c r="BC6" s="2">
        <f t="shared" si="7"/>
        <v>5167</v>
      </c>
      <c r="BD6" s="2">
        <f t="shared" si="7"/>
        <v>5497</v>
      </c>
      <c r="BE6" s="2">
        <f t="shared" si="7"/>
        <v>5756</v>
      </c>
      <c r="BF6" s="2">
        <f t="shared" si="7"/>
        <v>5817</v>
      </c>
      <c r="BG6" s="2">
        <f t="shared" si="7"/>
        <v>5748</v>
      </c>
      <c r="BH6" s="2">
        <f t="shared" si="7"/>
        <v>6269</v>
      </c>
      <c r="BI6" s="2">
        <f t="shared" si="7"/>
        <v>6533</v>
      </c>
      <c r="BJ6" s="2">
        <f t="shared" si="7"/>
        <v>6548</v>
      </c>
      <c r="BK6" s="2">
        <f t="shared" si="7"/>
        <v>6348</v>
      </c>
      <c r="BL6" s="2">
        <f t="shared" si="7"/>
        <v>6961</v>
      </c>
      <c r="BM6" s="2">
        <f t="shared" si="7"/>
        <v>7369</v>
      </c>
      <c r="BN6" s="2">
        <f t="shared" si="7"/>
        <v>7489</v>
      </c>
      <c r="BO6" s="2">
        <f>BO4+BO5</f>
        <v>7250</v>
      </c>
      <c r="BP6" s="2">
        <f>BP4+BP5</f>
        <v>8133</v>
      </c>
      <c r="BQ6" s="2">
        <f>BQ4+BQ5</f>
        <v>8602</v>
      </c>
      <c r="BR6" s="34"/>
      <c r="BS6" s="34"/>
      <c r="BT6" s="34"/>
      <c r="BU6" s="34"/>
      <c r="BV6" s="34"/>
      <c r="CL6" s="2">
        <f>SUM(AU6:AX6)</f>
        <v>15301</v>
      </c>
      <c r="CM6" s="2">
        <f>SUM(AY6:BB6)</f>
        <v>18884</v>
      </c>
      <c r="CN6" s="2">
        <f>SUM(BC6:BF6)</f>
        <v>22237</v>
      </c>
      <c r="CO6" s="2">
        <f>SUM(BG6:BJ6)</f>
        <v>25098</v>
      </c>
      <c r="CP6" s="2">
        <f>SUM(BK6:BN6)</f>
        <v>28167</v>
      </c>
      <c r="CQ6" s="67">
        <f>SUM(CQ4:CQ5)</f>
        <v>32478.629999999997</v>
      </c>
      <c r="CR6" s="67">
        <f t="shared" ref="CR6:CZ6" si="8">SUM(CR4:CR5)</f>
        <v>36855.64215</v>
      </c>
      <c r="CS6" s="67">
        <f t="shared" si="8"/>
        <v>41279.782982374993</v>
      </c>
      <c r="CT6" s="67">
        <f t="shared" si="8"/>
        <v>46041.17782458687</v>
      </c>
      <c r="CU6" s="67">
        <f t="shared" si="8"/>
        <v>51040.633973943157</v>
      </c>
      <c r="CV6" s="67">
        <f t="shared" si="8"/>
        <v>55566.663662783933</v>
      </c>
      <c r="CW6" s="67">
        <f t="shared" si="8"/>
        <v>59387.720350568808</v>
      </c>
      <c r="CX6" s="67">
        <f t="shared" si="8"/>
        <v>62751.622431191703</v>
      </c>
      <c r="CY6" s="67">
        <f t="shared" si="8"/>
        <v>65995.605047790916</v>
      </c>
      <c r="CZ6" s="67">
        <f t="shared" si="8"/>
        <v>69080.798433329881</v>
      </c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</row>
    <row r="7" spans="2:158">
      <c r="B7" s="36"/>
    </row>
    <row r="8" spans="2:158">
      <c r="B8" s="36" t="s">
        <v>1478</v>
      </c>
      <c r="AU8" s="53"/>
      <c r="AV8" s="53"/>
      <c r="AW8" s="53"/>
      <c r="AX8" s="53"/>
      <c r="AY8" s="53">
        <f t="shared" ref="AY8:BN8" si="9">AY4/AU4-1</f>
        <v>-4.7166610111978313E-2</v>
      </c>
      <c r="AZ8" s="53">
        <f t="shared" si="9"/>
        <v>0.35448092280390409</v>
      </c>
      <c r="BA8" s="53">
        <f t="shared" si="9"/>
        <v>0.2706013363028954</v>
      </c>
      <c r="BB8" s="53">
        <f t="shared" si="9"/>
        <v>0.32817182817182822</v>
      </c>
      <c r="BC8" s="53">
        <f t="shared" si="9"/>
        <v>0.21047008547008539</v>
      </c>
      <c r="BD8" s="53">
        <f t="shared" si="9"/>
        <v>0.18211595152309212</v>
      </c>
      <c r="BE8" s="53">
        <f t="shared" si="9"/>
        <v>9.99123575810692E-2</v>
      </c>
      <c r="BF8" s="53">
        <f t="shared" si="9"/>
        <v>0.34825122226400906</v>
      </c>
      <c r="BG8" s="53">
        <f t="shared" si="9"/>
        <v>7.3845248602530056E-2</v>
      </c>
      <c r="BH8" s="53">
        <f t="shared" si="9"/>
        <v>0.12856747021335546</v>
      </c>
      <c r="BI8" s="53">
        <f t="shared" si="9"/>
        <v>0.11819389110225753</v>
      </c>
      <c r="BJ8" s="53">
        <f t="shared" si="9"/>
        <v>8.5355648535564876E-2</v>
      </c>
      <c r="BK8" s="53">
        <f t="shared" si="9"/>
        <v>7.3972602739726057E-2</v>
      </c>
      <c r="BL8" s="53">
        <f t="shared" si="9"/>
        <v>7.4146820525411217E-2</v>
      </c>
      <c r="BM8" s="53">
        <f t="shared" si="9"/>
        <v>9.9524940617577107E-2</v>
      </c>
      <c r="BN8" s="53">
        <f t="shared" si="9"/>
        <v>0.13364173734258555</v>
      </c>
      <c r="BO8" s="53">
        <f t="shared" ref="BO8:BQ10" si="10">BO4/BK4-1</f>
        <v>0.1306122448979592</v>
      </c>
      <c r="BP8" s="53">
        <f t="shared" si="10"/>
        <v>0.13028571428571434</v>
      </c>
      <c r="BQ8" s="53">
        <f t="shared" si="10"/>
        <v>0.11881615899762377</v>
      </c>
      <c r="CL8" s="53"/>
      <c r="CM8" s="53">
        <f t="shared" ref="CM8:CO8" si="11">CM4/CL4-1</f>
        <v>0.20672931191270072</v>
      </c>
      <c r="CN8" s="53">
        <f t="shared" si="11"/>
        <v>0.20221049987440343</v>
      </c>
      <c r="CO8" s="53">
        <f t="shared" si="11"/>
        <v>0.1021033570135117</v>
      </c>
      <c r="CP8" s="53">
        <f>CP4/CO4-1</f>
        <v>9.5487866531850374E-2</v>
      </c>
      <c r="CQ8" s="64">
        <v>0.13</v>
      </c>
      <c r="CR8" s="64">
        <v>0.105</v>
      </c>
      <c r="CS8" s="64">
        <v>0.10249999999999999</v>
      </c>
      <c r="CT8" s="64">
        <v>0.10100000000000001</v>
      </c>
      <c r="CU8" s="64">
        <v>0.1</v>
      </c>
      <c r="CV8" s="64">
        <v>0.08</v>
      </c>
      <c r="CW8" s="64">
        <v>0.06</v>
      </c>
      <c r="CX8" s="64">
        <v>0.05</v>
      </c>
      <c r="CY8" s="64">
        <v>4.4999999999999998E-2</v>
      </c>
      <c r="CZ8" s="64">
        <v>0.04</v>
      </c>
    </row>
    <row r="9" spans="2:158">
      <c r="B9" s="36" t="s">
        <v>1479</v>
      </c>
      <c r="AU9" s="53"/>
      <c r="AV9" s="53"/>
      <c r="AW9" s="53"/>
      <c r="AX9" s="53"/>
      <c r="AY9" s="53">
        <f t="shared" ref="AY9:BN9" si="12">AY5/AU5-1</f>
        <v>0.26836158192090398</v>
      </c>
      <c r="AZ9" s="53">
        <f t="shared" si="12"/>
        <v>0.36447733580018493</v>
      </c>
      <c r="BA9" s="53">
        <f t="shared" si="12"/>
        <v>0.36657917760279957</v>
      </c>
      <c r="BB9" s="53">
        <f t="shared" si="12"/>
        <v>0.20727101038715778</v>
      </c>
      <c r="BC9" s="53">
        <f t="shared" si="12"/>
        <v>0.31254639940608753</v>
      </c>
      <c r="BD9" s="53">
        <f t="shared" si="12"/>
        <v>0.28000000000000003</v>
      </c>
      <c r="BE9" s="53">
        <f t="shared" si="12"/>
        <v>0.27464788732394374</v>
      </c>
      <c r="BF9" s="53">
        <f t="shared" si="12"/>
        <v>-0.12710207274149399</v>
      </c>
      <c r="BG9" s="53">
        <f t="shared" si="12"/>
        <v>0.18665158371040724</v>
      </c>
      <c r="BH9" s="53">
        <f t="shared" si="12"/>
        <v>0.16313559322033888</v>
      </c>
      <c r="BI9" s="53">
        <f t="shared" si="12"/>
        <v>0.16675037669512816</v>
      </c>
      <c r="BJ9" s="53">
        <f t="shared" si="12"/>
        <v>0.19041218637992841</v>
      </c>
      <c r="BK9" s="53">
        <f t="shared" si="12"/>
        <v>0.15729265967588169</v>
      </c>
      <c r="BL9" s="53">
        <f t="shared" si="12"/>
        <v>0.17759562841530063</v>
      </c>
      <c r="BM9" s="53">
        <f t="shared" si="12"/>
        <v>0.17950925527335349</v>
      </c>
      <c r="BN9" s="53">
        <f t="shared" si="12"/>
        <v>0.15844937899887102</v>
      </c>
      <c r="BO9" s="53">
        <f t="shared" si="10"/>
        <v>0.16062602965403627</v>
      </c>
      <c r="BP9" s="53">
        <f t="shared" si="10"/>
        <v>0.23279195668986863</v>
      </c>
      <c r="BQ9" s="53">
        <f t="shared" si="10"/>
        <v>0.24927007299270065</v>
      </c>
      <c r="CL9" s="53"/>
      <c r="CM9" s="53">
        <f t="shared" ref="CM9:CO9" si="13">CM5/CL5-1</f>
        <v>0.28441894892672104</v>
      </c>
      <c r="CN9" s="53">
        <f t="shared" si="13"/>
        <v>0.13513902895836338</v>
      </c>
      <c r="CO9" s="53">
        <f t="shared" si="13"/>
        <v>0.17705292549815965</v>
      </c>
      <c r="CP9" s="53">
        <f>CP5/CO5-1</f>
        <v>0.16799654949320675</v>
      </c>
      <c r="CQ9" s="64">
        <v>0.19</v>
      </c>
      <c r="CR9" s="64">
        <v>0.18</v>
      </c>
      <c r="CS9" s="64">
        <v>0.14499999999999999</v>
      </c>
      <c r="CT9" s="64">
        <v>0.13500000000000001</v>
      </c>
      <c r="CU9" s="64">
        <v>0.12</v>
      </c>
      <c r="CV9" s="64">
        <v>0.1</v>
      </c>
      <c r="CW9" s="64">
        <v>0.08</v>
      </c>
      <c r="CX9" s="64">
        <v>6.5000000000000002E-2</v>
      </c>
      <c r="CY9" s="64">
        <v>0.06</v>
      </c>
      <c r="CZ9" s="64">
        <v>5.5E-2</v>
      </c>
    </row>
    <row r="10" spans="2:158" s="2" customFormat="1" ht="15">
      <c r="B10" s="33" t="s">
        <v>1480</v>
      </c>
      <c r="AU10" s="66"/>
      <c r="AV10" s="66"/>
      <c r="AW10" s="66"/>
      <c r="AX10" s="66"/>
      <c r="AY10" s="66">
        <f t="shared" ref="AY10:BN10" si="14">AY6/AU6-1</f>
        <v>3.6418059366425615E-2</v>
      </c>
      <c r="AZ10" s="66">
        <f t="shared" si="14"/>
        <v>0.35772113943028483</v>
      </c>
      <c r="BA10" s="66">
        <f t="shared" si="14"/>
        <v>0.29919207714360185</v>
      </c>
      <c r="BB10" s="66">
        <f t="shared" si="14"/>
        <v>0.26601941747572821</v>
      </c>
      <c r="BC10" s="66">
        <f t="shared" si="14"/>
        <v>0.2435619735258725</v>
      </c>
      <c r="BD10" s="66">
        <f t="shared" si="14"/>
        <v>0.21400176678445226</v>
      </c>
      <c r="BE10" s="66">
        <f t="shared" si="14"/>
        <v>0.15466399197592784</v>
      </c>
      <c r="BF10" s="66">
        <f t="shared" si="14"/>
        <v>0.11522239263803691</v>
      </c>
      <c r="BG10" s="66">
        <f t="shared" si="14"/>
        <v>0.11244435842848843</v>
      </c>
      <c r="BH10" s="66">
        <f t="shared" si="14"/>
        <v>0.14044024013098055</v>
      </c>
      <c r="BI10" s="66">
        <f t="shared" si="14"/>
        <v>0.13498957609451012</v>
      </c>
      <c r="BJ10" s="66">
        <f t="shared" si="14"/>
        <v>0.12566615093690903</v>
      </c>
      <c r="BK10" s="66">
        <f t="shared" si="14"/>
        <v>0.10438413361169108</v>
      </c>
      <c r="BL10" s="66">
        <f t="shared" si="14"/>
        <v>0.11038443132876052</v>
      </c>
      <c r="BM10" s="66">
        <f t="shared" si="14"/>
        <v>0.1279657125363538</v>
      </c>
      <c r="BN10" s="66">
        <f t="shared" si="14"/>
        <v>0.14370800244349424</v>
      </c>
      <c r="BO10" s="66">
        <f t="shared" si="10"/>
        <v>0.14209199747952117</v>
      </c>
      <c r="BP10" s="66">
        <f t="shared" si="10"/>
        <v>0.1683666139922424</v>
      </c>
      <c r="BQ10" s="66">
        <f t="shared" si="10"/>
        <v>0.16732256751255248</v>
      </c>
      <c r="BR10" s="34"/>
      <c r="BS10" s="34"/>
      <c r="BT10" s="34"/>
      <c r="BU10" s="34"/>
      <c r="BV10" s="34"/>
      <c r="CL10" s="66"/>
      <c r="CM10" s="66">
        <f t="shared" ref="CM10:CO10" si="15">CM6/CL6-1</f>
        <v>0.23416770145742105</v>
      </c>
      <c r="CN10" s="66">
        <f t="shared" si="15"/>
        <v>0.17755772082185972</v>
      </c>
      <c r="CO10" s="66">
        <f t="shared" si="15"/>
        <v>0.1286594414714215</v>
      </c>
      <c r="CP10" s="66">
        <f>CP6/CO6-1</f>
        <v>0.12228065981353087</v>
      </c>
      <c r="CQ10" s="65">
        <f>CQ6/CP6-1</f>
        <v>0.15307380977739893</v>
      </c>
      <c r="CR10" s="65">
        <f t="shared" ref="CR10:CZ10" si="16">CR6/CQ6-1</f>
        <v>0.13476591069266175</v>
      </c>
      <c r="CS10" s="65">
        <f t="shared" si="16"/>
        <v>0.12003971642575206</v>
      </c>
      <c r="CT10" s="65">
        <f t="shared" si="16"/>
        <v>0.11534447369175416</v>
      </c>
      <c r="CU10" s="65">
        <f t="shared" si="16"/>
        <v>0.10858662583315759</v>
      </c>
      <c r="CV10" s="65">
        <f t="shared" si="16"/>
        <v>8.8675028824120039E-2</v>
      </c>
      <c r="CW10" s="65">
        <f t="shared" si="16"/>
        <v>6.8765271044049614E-2</v>
      </c>
      <c r="CX10" s="65">
        <f t="shared" si="16"/>
        <v>5.6643057870644054E-2</v>
      </c>
      <c r="CY10" s="65">
        <f t="shared" si="16"/>
        <v>5.1695597514730407E-2</v>
      </c>
      <c r="CZ10" s="65">
        <f t="shared" si="16"/>
        <v>4.6748467315434361E-2</v>
      </c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</row>
    <row r="12" spans="2:158">
      <c r="B12" s="36" t="s">
        <v>1481</v>
      </c>
      <c r="AU12" s="53">
        <f t="shared" ref="AU12:BN12" si="17">AU4/AU6</f>
        <v>0.73509603392367173</v>
      </c>
      <c r="AV12" s="53">
        <f t="shared" si="17"/>
        <v>0.67586206896551726</v>
      </c>
      <c r="AW12" s="53">
        <f t="shared" si="17"/>
        <v>0.70211102423768568</v>
      </c>
      <c r="AX12" s="53">
        <f t="shared" si="17"/>
        <v>0.48592233009708735</v>
      </c>
      <c r="AY12" s="53">
        <f t="shared" si="17"/>
        <v>0.67581227436823099</v>
      </c>
      <c r="AZ12" s="53">
        <f t="shared" si="17"/>
        <v>0.67424911660777387</v>
      </c>
      <c r="BA12" s="53">
        <f t="shared" si="17"/>
        <v>0.68665997993981942</v>
      </c>
      <c r="BB12" s="53">
        <f t="shared" si="17"/>
        <v>0.5097776073619632</v>
      </c>
      <c r="BC12" s="53">
        <f t="shared" si="17"/>
        <v>0.65782852719179408</v>
      </c>
      <c r="BD12" s="53">
        <f t="shared" si="17"/>
        <v>0.6565399308713844</v>
      </c>
      <c r="BE12" s="53">
        <f t="shared" si="17"/>
        <v>0.65410006949270327</v>
      </c>
      <c r="BF12" s="53">
        <f t="shared" si="17"/>
        <v>0.61629706034038167</v>
      </c>
      <c r="BG12" s="53">
        <f t="shared" si="17"/>
        <v>0.63500347947112035</v>
      </c>
      <c r="BH12" s="53">
        <f t="shared" si="17"/>
        <v>0.64970489711277712</v>
      </c>
      <c r="BI12" s="53">
        <f t="shared" si="17"/>
        <v>0.64442063370580127</v>
      </c>
      <c r="BJ12" s="53">
        <f t="shared" si="17"/>
        <v>0.59422724496029322</v>
      </c>
      <c r="BK12" s="53">
        <f t="shared" si="17"/>
        <v>0.6175173282923756</v>
      </c>
      <c r="BL12" s="53">
        <f t="shared" si="17"/>
        <v>0.62850165206148545</v>
      </c>
      <c r="BM12" s="53">
        <f t="shared" si="17"/>
        <v>0.62817207219432758</v>
      </c>
      <c r="BN12" s="53">
        <f t="shared" si="17"/>
        <v>0.58899719588730137</v>
      </c>
      <c r="BO12" s="53">
        <f>BO4/BO6</f>
        <v>0.61131034482758617</v>
      </c>
      <c r="BP12" s="53">
        <f>BP4/BP6</f>
        <v>0.60801672199680312</v>
      </c>
      <c r="BQ12" s="53">
        <f>BQ4/BQ6</f>
        <v>0.60206928621250877</v>
      </c>
      <c r="CL12" s="53">
        <f t="shared" ref="CL12:CP12" si="18">CL4/CL6</f>
        <v>0.64682046925037584</v>
      </c>
      <c r="CM12" s="53">
        <f t="shared" si="18"/>
        <v>0.63244016098284261</v>
      </c>
      <c r="CN12" s="53">
        <f t="shared" si="18"/>
        <v>0.64568062238611323</v>
      </c>
      <c r="CO12" s="53">
        <f t="shared" si="18"/>
        <v>0.63048848513825806</v>
      </c>
      <c r="CP12" s="53">
        <f t="shared" si="18"/>
        <v>0.61543650371001524</v>
      </c>
    </row>
    <row r="13" spans="2:158">
      <c r="B13" s="36" t="s">
        <v>1482</v>
      </c>
      <c r="AU13" s="53">
        <f t="shared" ref="AU13:BN13" si="19">AU5/AU6</f>
        <v>0.26490396607632827</v>
      </c>
      <c r="AV13" s="53">
        <f t="shared" si="19"/>
        <v>0.32413793103448274</v>
      </c>
      <c r="AW13" s="53">
        <f t="shared" si="19"/>
        <v>0.29788897576231432</v>
      </c>
      <c r="AX13" s="53">
        <f t="shared" si="19"/>
        <v>0.51407766990291259</v>
      </c>
      <c r="AY13" s="53">
        <f t="shared" si="19"/>
        <v>0.32418772563176895</v>
      </c>
      <c r="AZ13" s="53">
        <f t="shared" si="19"/>
        <v>0.32575088339222613</v>
      </c>
      <c r="BA13" s="53">
        <f t="shared" si="19"/>
        <v>0.31334002006018052</v>
      </c>
      <c r="BB13" s="53">
        <f t="shared" si="19"/>
        <v>0.4902223926380368</v>
      </c>
      <c r="BC13" s="53">
        <f t="shared" si="19"/>
        <v>0.34217147280820592</v>
      </c>
      <c r="BD13" s="53">
        <f t="shared" si="19"/>
        <v>0.3434600691286156</v>
      </c>
      <c r="BE13" s="53">
        <f t="shared" si="19"/>
        <v>0.34589993050729673</v>
      </c>
      <c r="BF13" s="53">
        <f t="shared" si="19"/>
        <v>0.38370293965961838</v>
      </c>
      <c r="BG13" s="53">
        <f t="shared" si="19"/>
        <v>0.3649965205288796</v>
      </c>
      <c r="BH13" s="53">
        <f t="shared" si="19"/>
        <v>0.35029510288722282</v>
      </c>
      <c r="BI13" s="53">
        <f t="shared" si="19"/>
        <v>0.35557936629419867</v>
      </c>
      <c r="BJ13" s="53">
        <f t="shared" si="19"/>
        <v>0.40577275503970678</v>
      </c>
      <c r="BK13" s="53">
        <f t="shared" si="19"/>
        <v>0.38248267170762446</v>
      </c>
      <c r="BL13" s="53">
        <f t="shared" si="19"/>
        <v>0.37149834793851461</v>
      </c>
      <c r="BM13" s="53">
        <f t="shared" si="19"/>
        <v>0.37182792780567242</v>
      </c>
      <c r="BN13" s="53">
        <f t="shared" si="19"/>
        <v>0.41100280411269863</v>
      </c>
      <c r="BO13" s="53">
        <f>BO5/BO6</f>
        <v>0.38868965517241377</v>
      </c>
      <c r="BP13" s="53">
        <f>BP5/BP6</f>
        <v>0.39198327800319688</v>
      </c>
      <c r="BQ13" s="53">
        <f>BQ5/BQ6</f>
        <v>0.39793071378749129</v>
      </c>
      <c r="CL13" s="53">
        <f t="shared" ref="CL13:CP13" si="20">CL5/CL6</f>
        <v>0.35317953074962422</v>
      </c>
      <c r="CM13" s="53">
        <f t="shared" si="20"/>
        <v>0.36755983901715739</v>
      </c>
      <c r="CN13" s="53">
        <f t="shared" si="20"/>
        <v>0.35431937761388677</v>
      </c>
      <c r="CO13" s="53">
        <f t="shared" si="20"/>
        <v>0.369511514861742</v>
      </c>
      <c r="CP13" s="53">
        <f t="shared" si="20"/>
        <v>0.38456349628998471</v>
      </c>
    </row>
    <row r="15" spans="2:158">
      <c r="B15" s="69" t="s">
        <v>1484</v>
      </c>
      <c r="AU15" s="1">
        <v>1334</v>
      </c>
      <c r="AV15" s="1">
        <v>1243</v>
      </c>
      <c r="AW15" s="1">
        <v>1381</v>
      </c>
      <c r="AX15" s="1">
        <f>5473-SUM(AU15:AW15)</f>
        <v>1515</v>
      </c>
      <c r="AY15" s="1">
        <v>1491</v>
      </c>
      <c r="AZ15" s="1">
        <v>1605</v>
      </c>
      <c r="BA15" s="1">
        <v>1707</v>
      </c>
      <c r="BB15" s="1">
        <f>6667-SUM(AY15:BA15)</f>
        <v>1864</v>
      </c>
      <c r="BC15" s="1">
        <v>1730</v>
      </c>
      <c r="BD15" s="1">
        <v>2008</v>
      </c>
      <c r="BE15" s="1">
        <v>2031</v>
      </c>
      <c r="BF15" s="1">
        <f>10156-SUM(BC15:BE15)</f>
        <v>4387</v>
      </c>
      <c r="BG15" s="1">
        <v>2537</v>
      </c>
      <c r="BH15" s="1">
        <v>2814</v>
      </c>
      <c r="BI15" s="1">
        <v>2828</v>
      </c>
      <c r="BJ15" s="1">
        <f>11135-SUM(BG15:BI15)</f>
        <v>2956</v>
      </c>
      <c r="BK15" s="1">
        <v>2773</v>
      </c>
      <c r="BL15" s="1">
        <v>3164</v>
      </c>
      <c r="BM15" s="1">
        <v>3156</v>
      </c>
      <c r="BN15" s="1">
        <f>12375-SUM(BK15:BM15)</f>
        <v>3282</v>
      </c>
      <c r="BO15" s="1">
        <v>3151</v>
      </c>
      <c r="BP15" s="1">
        <v>3406</v>
      </c>
      <c r="BQ15" s="1">
        <v>3651</v>
      </c>
      <c r="CL15" s="1">
        <f>SUM(AU15:AX15)</f>
        <v>5473</v>
      </c>
      <c r="CM15" s="1">
        <f>SUM(AY15:BB15)</f>
        <v>6667</v>
      </c>
      <c r="CN15" s="1">
        <f>SUM(BC15:BF15)</f>
        <v>10156</v>
      </c>
      <c r="CO15" s="1">
        <f>SUM(BG15:BJ15)</f>
        <v>11135</v>
      </c>
      <c r="CP15" s="1">
        <f>SUM(BK15:BN15)</f>
        <v>12375</v>
      </c>
    </row>
    <row r="16" spans="2:158">
      <c r="B16" s="69" t="s">
        <v>1483</v>
      </c>
      <c r="AU16" s="1">
        <f>2633+42</f>
        <v>2675</v>
      </c>
      <c r="AV16" s="1">
        <f>2042+50</f>
        <v>2092</v>
      </c>
      <c r="AW16" s="1">
        <f>2419+37</f>
        <v>2456</v>
      </c>
      <c r="AX16" s="1">
        <f>9828-SUM(AU16:AW16)</f>
        <v>2605</v>
      </c>
      <c r="AY16" s="1">
        <f>2618+46</f>
        <v>2664</v>
      </c>
      <c r="AZ16" s="1">
        <f>2879+44</f>
        <v>2923</v>
      </c>
      <c r="BA16" s="1">
        <f>3218+60</f>
        <v>3278</v>
      </c>
      <c r="BB16" s="1">
        <f>12217-SUM(AY16:BA16)</f>
        <v>3352</v>
      </c>
      <c r="BC16" s="1">
        <v>3437</v>
      </c>
      <c r="BD16" s="1">
        <v>3489</v>
      </c>
      <c r="BE16" s="1">
        <v>3725</v>
      </c>
      <c r="BF16" s="1">
        <f>12081-SUM(BC16:BE16)</f>
        <v>1430</v>
      </c>
      <c r="BG16" s="1">
        <v>3211</v>
      </c>
      <c r="BH16" s="1">
        <v>3455</v>
      </c>
      <c r="BI16" s="1">
        <v>3705</v>
      </c>
      <c r="BJ16" s="1">
        <f>13963-SUM(BG16:BI16)</f>
        <v>3592</v>
      </c>
      <c r="BK16" s="1">
        <v>3575</v>
      </c>
      <c r="BL16" s="1">
        <v>3797</v>
      </c>
      <c r="BM16" s="1">
        <v>4213</v>
      </c>
      <c r="BN16" s="1">
        <f>15792-SUM(BK16:BM16)</f>
        <v>4207</v>
      </c>
      <c r="BO16" s="1">
        <v>4099</v>
      </c>
      <c r="BP16" s="1">
        <v>4727</v>
      </c>
      <c r="BQ16" s="1">
        <v>4951</v>
      </c>
      <c r="CL16" s="1">
        <f>SUM(AU16:AX16)</f>
        <v>9828</v>
      </c>
      <c r="CM16" s="1">
        <f>SUM(AY16:BB16)</f>
        <v>12217</v>
      </c>
      <c r="CN16" s="1">
        <f>SUM(BC16:BF16)</f>
        <v>12081</v>
      </c>
      <c r="CO16" s="1">
        <f>SUM(BG16:BJ16)</f>
        <v>13963</v>
      </c>
      <c r="CP16" s="1">
        <f>SUM(BK16:BN16)</f>
        <v>15792</v>
      </c>
    </row>
    <row r="17" spans="2:158" s="2" customFormat="1" ht="15">
      <c r="B17" s="2" t="s">
        <v>119</v>
      </c>
      <c r="AU17" s="2">
        <f t="shared" ref="AU17" si="21">AU15+AU16</f>
        <v>4009</v>
      </c>
      <c r="AV17" s="2">
        <f t="shared" ref="AV17" si="22">AV15+AV16</f>
        <v>3335</v>
      </c>
      <c r="AW17" s="2">
        <f t="shared" ref="AW17" si="23">AW15+AW16</f>
        <v>3837</v>
      </c>
      <c r="AX17" s="2">
        <f t="shared" ref="AX17:BN17" si="24">AX15+AX16</f>
        <v>4120</v>
      </c>
      <c r="AY17" s="2">
        <f t="shared" si="24"/>
        <v>4155</v>
      </c>
      <c r="AZ17" s="2">
        <f t="shared" si="24"/>
        <v>4528</v>
      </c>
      <c r="BA17" s="2">
        <f t="shared" si="24"/>
        <v>4985</v>
      </c>
      <c r="BB17" s="2">
        <f t="shared" si="24"/>
        <v>5216</v>
      </c>
      <c r="BC17" s="2">
        <f t="shared" si="24"/>
        <v>5167</v>
      </c>
      <c r="BD17" s="2">
        <f t="shared" si="24"/>
        <v>5497</v>
      </c>
      <c r="BE17" s="2">
        <f t="shared" si="24"/>
        <v>5756</v>
      </c>
      <c r="BF17" s="2">
        <f t="shared" si="24"/>
        <v>5817</v>
      </c>
      <c r="BG17" s="2">
        <f t="shared" si="24"/>
        <v>5748</v>
      </c>
      <c r="BH17" s="2">
        <f t="shared" si="24"/>
        <v>6269</v>
      </c>
      <c r="BI17" s="2">
        <f t="shared" si="24"/>
        <v>6533</v>
      </c>
      <c r="BJ17" s="2">
        <f t="shared" si="24"/>
        <v>6548</v>
      </c>
      <c r="BK17" s="2">
        <f t="shared" si="24"/>
        <v>6348</v>
      </c>
      <c r="BL17" s="2">
        <f t="shared" si="24"/>
        <v>6961</v>
      </c>
      <c r="BM17" s="2">
        <f t="shared" si="24"/>
        <v>7369</v>
      </c>
      <c r="BN17" s="2">
        <f t="shared" si="24"/>
        <v>7489</v>
      </c>
      <c r="BO17" s="2">
        <f>BO15+BO16</f>
        <v>7250</v>
      </c>
      <c r="BP17" s="2">
        <f>BP15+BP16</f>
        <v>8133</v>
      </c>
      <c r="BQ17" s="2">
        <f>BQ15+BQ16</f>
        <v>8602</v>
      </c>
      <c r="BR17" s="34"/>
      <c r="BS17" s="34"/>
      <c r="BT17" s="34"/>
      <c r="BU17" s="34"/>
      <c r="BV17" s="34"/>
      <c r="CL17" s="2">
        <f>SUM(AU17:AX17)</f>
        <v>15301</v>
      </c>
      <c r="CM17" s="2">
        <f>SUM(AY17:BB17)</f>
        <v>18884</v>
      </c>
      <c r="CN17" s="2">
        <f>SUM(BC17:BF17)</f>
        <v>22237</v>
      </c>
      <c r="CO17" s="2">
        <f>SUM(BG17:BJ17)</f>
        <v>25098</v>
      </c>
      <c r="CP17" s="2">
        <f>SUM(BK17:BN17)</f>
        <v>28167</v>
      </c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</row>
    <row r="19" spans="2:158">
      <c r="B19" s="69" t="s">
        <v>121</v>
      </c>
      <c r="AU19" s="53"/>
      <c r="AV19" s="53"/>
      <c r="AW19" s="53"/>
      <c r="AX19" s="53"/>
      <c r="AY19" s="53">
        <f t="shared" ref="AY19:BN19" si="25">AY15/AU15-1</f>
        <v>0.11769115442278855</v>
      </c>
      <c r="AZ19" s="53">
        <f t="shared" si="25"/>
        <v>0.29123089300080451</v>
      </c>
      <c r="BA19" s="53">
        <f t="shared" si="25"/>
        <v>0.23606082548877616</v>
      </c>
      <c r="BB19" s="53">
        <f t="shared" si="25"/>
        <v>0.23036303630363042</v>
      </c>
      <c r="BC19" s="53">
        <f t="shared" si="25"/>
        <v>0.16029510395707569</v>
      </c>
      <c r="BD19" s="53">
        <f t="shared" si="25"/>
        <v>0.25109034267912778</v>
      </c>
      <c r="BE19" s="53">
        <f t="shared" si="25"/>
        <v>0.18980667838312826</v>
      </c>
      <c r="BF19" s="53">
        <f t="shared" si="25"/>
        <v>1.3535407725321886</v>
      </c>
      <c r="BG19" s="53">
        <f t="shared" si="25"/>
        <v>0.46647398843930632</v>
      </c>
      <c r="BH19" s="53">
        <f t="shared" si="25"/>
        <v>0.40139442231075706</v>
      </c>
      <c r="BI19" s="53">
        <f t="shared" si="25"/>
        <v>0.39241752831117682</v>
      </c>
      <c r="BJ19" s="53">
        <f t="shared" si="25"/>
        <v>-0.32619101891953495</v>
      </c>
      <c r="BK19" s="53">
        <f t="shared" si="25"/>
        <v>9.3023255813953432E-2</v>
      </c>
      <c r="BL19" s="53">
        <f t="shared" si="25"/>
        <v>0.12437810945273631</v>
      </c>
      <c r="BM19" s="53">
        <f t="shared" si="25"/>
        <v>0.11598302687411599</v>
      </c>
      <c r="BN19" s="53">
        <f t="shared" si="25"/>
        <v>0.11028416779431671</v>
      </c>
      <c r="BO19" s="53">
        <f t="shared" ref="BO19:BQ21" si="26">BO15/BK15-1</f>
        <v>0.13631446087270094</v>
      </c>
      <c r="BP19" s="53">
        <f t="shared" si="26"/>
        <v>7.6485461441213598E-2</v>
      </c>
      <c r="BQ19" s="53">
        <f t="shared" si="26"/>
        <v>0.15684410646387836</v>
      </c>
      <c r="CL19" s="53"/>
      <c r="CM19" s="53">
        <f t="shared" ref="CM19:CO19" si="27">CM15/CL15-1</f>
        <v>0.21816188562031802</v>
      </c>
      <c r="CN19" s="53">
        <f t="shared" si="27"/>
        <v>0.52332383380830949</v>
      </c>
      <c r="CO19" s="53">
        <f t="shared" si="27"/>
        <v>9.6396218983851867E-2</v>
      </c>
      <c r="CP19" s="53">
        <f>CP15/CO15-1</f>
        <v>0.11136057476425676</v>
      </c>
    </row>
    <row r="20" spans="2:158">
      <c r="B20" s="69" t="s">
        <v>1485</v>
      </c>
      <c r="AU20" s="53"/>
      <c r="AV20" s="53"/>
      <c r="AW20" s="53"/>
      <c r="AX20" s="53"/>
      <c r="AY20" s="53">
        <f t="shared" ref="AY20:BN20" si="28">AY16/AU16-1</f>
        <v>-4.1121495327103297E-3</v>
      </c>
      <c r="AZ20" s="53">
        <f t="shared" si="28"/>
        <v>0.39722753346080308</v>
      </c>
      <c r="BA20" s="53">
        <f t="shared" si="28"/>
        <v>0.33469055374592838</v>
      </c>
      <c r="BB20" s="53">
        <f t="shared" si="28"/>
        <v>0.28675623800383887</v>
      </c>
      <c r="BC20" s="53">
        <f t="shared" si="28"/>
        <v>0.29016516516516511</v>
      </c>
      <c r="BD20" s="53">
        <f t="shared" si="28"/>
        <v>0.19363667464933298</v>
      </c>
      <c r="BE20" s="53">
        <f t="shared" si="28"/>
        <v>0.13636363636363646</v>
      </c>
      <c r="BF20" s="53">
        <f t="shared" si="28"/>
        <v>-0.5733890214797136</v>
      </c>
      <c r="BG20" s="53">
        <f t="shared" si="28"/>
        <v>-6.5755018911841767E-2</v>
      </c>
      <c r="BH20" s="53">
        <f t="shared" si="28"/>
        <v>-9.7449125824018434E-3</v>
      </c>
      <c r="BI20" s="53">
        <f t="shared" si="28"/>
        <v>-5.3691275167785379E-3</v>
      </c>
      <c r="BJ20" s="53">
        <f t="shared" si="28"/>
        <v>1.511888111888112</v>
      </c>
      <c r="BK20" s="53">
        <f t="shared" si="28"/>
        <v>0.11336032388663964</v>
      </c>
      <c r="BL20" s="53">
        <f t="shared" si="28"/>
        <v>9.8986975397973964E-2</v>
      </c>
      <c r="BM20" s="53">
        <f t="shared" si="28"/>
        <v>0.13711201079622137</v>
      </c>
      <c r="BN20" s="53">
        <f t="shared" si="28"/>
        <v>0.17121380846325174</v>
      </c>
      <c r="BO20" s="53">
        <f t="shared" si="26"/>
        <v>0.14657342657342665</v>
      </c>
      <c r="BP20" s="53">
        <f t="shared" si="26"/>
        <v>0.2449302080589939</v>
      </c>
      <c r="BQ20" s="53">
        <f t="shared" si="26"/>
        <v>0.17517208639924053</v>
      </c>
      <c r="CL20" s="53"/>
      <c r="CM20" s="53">
        <f t="shared" ref="CM20:CO20" si="29">CM16/CL16-1</f>
        <v>0.24308099308099318</v>
      </c>
      <c r="CN20" s="53">
        <f t="shared" si="29"/>
        <v>-1.1132029139723332E-2</v>
      </c>
      <c r="CO20" s="53">
        <f t="shared" si="29"/>
        <v>0.15578180614187565</v>
      </c>
      <c r="CP20" s="53">
        <f>CP16/CO16-1</f>
        <v>0.13098904246938337</v>
      </c>
    </row>
    <row r="21" spans="2:158">
      <c r="B21" s="37" t="s">
        <v>1480</v>
      </c>
      <c r="AU21" s="53"/>
      <c r="AV21" s="53"/>
      <c r="AW21" s="53"/>
      <c r="AX21" s="53"/>
      <c r="AY21" s="53">
        <f t="shared" ref="AY21:BN21" si="30">AY17/AU17-1</f>
        <v>3.6418059366425615E-2</v>
      </c>
      <c r="AZ21" s="53">
        <f t="shared" si="30"/>
        <v>0.35772113943028483</v>
      </c>
      <c r="BA21" s="53">
        <f t="shared" si="30"/>
        <v>0.29919207714360185</v>
      </c>
      <c r="BB21" s="53">
        <f t="shared" si="30"/>
        <v>0.26601941747572821</v>
      </c>
      <c r="BC21" s="53">
        <f t="shared" si="30"/>
        <v>0.2435619735258725</v>
      </c>
      <c r="BD21" s="53">
        <f t="shared" si="30"/>
        <v>0.21400176678445226</v>
      </c>
      <c r="BE21" s="53">
        <f t="shared" si="30"/>
        <v>0.15466399197592784</v>
      </c>
      <c r="BF21" s="53">
        <f t="shared" si="30"/>
        <v>0.11522239263803691</v>
      </c>
      <c r="BG21" s="53">
        <f t="shared" si="30"/>
        <v>0.11244435842848843</v>
      </c>
      <c r="BH21" s="53">
        <f t="shared" si="30"/>
        <v>0.14044024013098055</v>
      </c>
      <c r="BI21" s="53">
        <f t="shared" si="30"/>
        <v>0.13498957609451012</v>
      </c>
      <c r="BJ21" s="53">
        <f t="shared" si="30"/>
        <v>0.12566615093690903</v>
      </c>
      <c r="BK21" s="53">
        <f t="shared" si="30"/>
        <v>0.10438413361169108</v>
      </c>
      <c r="BL21" s="53">
        <f t="shared" si="30"/>
        <v>0.11038443132876052</v>
      </c>
      <c r="BM21" s="53">
        <f t="shared" si="30"/>
        <v>0.1279657125363538</v>
      </c>
      <c r="BN21" s="53">
        <f t="shared" si="30"/>
        <v>0.14370800244349424</v>
      </c>
      <c r="BO21" s="53">
        <f t="shared" si="26"/>
        <v>0.14209199747952117</v>
      </c>
      <c r="BP21" s="53">
        <f t="shared" si="26"/>
        <v>0.1683666139922424</v>
      </c>
      <c r="BQ21" s="53">
        <f t="shared" si="26"/>
        <v>0.16732256751255248</v>
      </c>
      <c r="CL21" s="53"/>
      <c r="CM21" s="53">
        <f t="shared" ref="CM21:CO21" si="31">CM17/CL17-1</f>
        <v>0.23416770145742105</v>
      </c>
      <c r="CN21" s="53">
        <f t="shared" si="31"/>
        <v>0.17755772082185972</v>
      </c>
      <c r="CO21" s="53">
        <f t="shared" si="31"/>
        <v>0.1286594414714215</v>
      </c>
      <c r="CP21" s="53">
        <f>CP17/CO17-1</f>
        <v>0.12228065981353087</v>
      </c>
    </row>
    <row r="23" spans="2:158">
      <c r="B23" s="36" t="s">
        <v>120</v>
      </c>
      <c r="AU23" s="53">
        <f t="shared" ref="AU23:BN23" si="32">AU15/AU17</f>
        <v>0.33275130955350463</v>
      </c>
      <c r="AV23" s="53">
        <f t="shared" si="32"/>
        <v>0.37271364317841077</v>
      </c>
      <c r="AW23" s="53">
        <f t="shared" si="32"/>
        <v>0.3599166015115976</v>
      </c>
      <c r="AX23" s="53">
        <f t="shared" si="32"/>
        <v>0.36771844660194175</v>
      </c>
      <c r="AY23" s="53">
        <f t="shared" si="32"/>
        <v>0.35884476534296028</v>
      </c>
      <c r="AZ23" s="53">
        <f t="shared" si="32"/>
        <v>0.35446113074204949</v>
      </c>
      <c r="BA23" s="53">
        <f t="shared" si="32"/>
        <v>0.34242728184553661</v>
      </c>
      <c r="BB23" s="53">
        <f t="shared" si="32"/>
        <v>0.35736196319018404</v>
      </c>
      <c r="BC23" s="53">
        <f t="shared" si="32"/>
        <v>0.33481710857364039</v>
      </c>
      <c r="BD23" s="53">
        <f t="shared" si="32"/>
        <v>0.36529015826814626</v>
      </c>
      <c r="BE23" s="53">
        <f t="shared" si="32"/>
        <v>0.35284920083391241</v>
      </c>
      <c r="BF23" s="53">
        <f t="shared" si="32"/>
        <v>0.75416881554065673</v>
      </c>
      <c r="BG23" s="53">
        <f t="shared" si="32"/>
        <v>0.44137091162143355</v>
      </c>
      <c r="BH23" s="53">
        <f t="shared" si="32"/>
        <v>0.44887541872706971</v>
      </c>
      <c r="BI23" s="53">
        <f t="shared" si="32"/>
        <v>0.43287922853206795</v>
      </c>
      <c r="BJ23" s="53">
        <f t="shared" si="32"/>
        <v>0.45143555284056203</v>
      </c>
      <c r="BK23" s="53">
        <f t="shared" si="32"/>
        <v>0.436830497794581</v>
      </c>
      <c r="BL23" s="53">
        <f t="shared" si="32"/>
        <v>0.45453239477086627</v>
      </c>
      <c r="BM23" s="53">
        <f t="shared" si="32"/>
        <v>0.428280635092957</v>
      </c>
      <c r="BN23" s="53">
        <f t="shared" si="32"/>
        <v>0.4382427560421952</v>
      </c>
      <c r="BO23" s="53">
        <f>BO15/BO17</f>
        <v>0.43462068965517242</v>
      </c>
      <c r="BP23" s="53">
        <f>BP15/BP17</f>
        <v>0.4187876552317718</v>
      </c>
      <c r="BQ23" s="53">
        <f>BQ15/BQ17</f>
        <v>0.42443617763310859</v>
      </c>
      <c r="CL23" s="53">
        <f t="shared" ref="CL23:CO23" si="33">CL15/CL17</f>
        <v>0.35768903993203061</v>
      </c>
      <c r="CM23" s="53">
        <f t="shared" si="33"/>
        <v>0.3530502012285533</v>
      </c>
      <c r="CN23" s="53">
        <f t="shared" si="33"/>
        <v>0.45671628367135852</v>
      </c>
      <c r="CO23" s="53">
        <f t="shared" si="33"/>
        <v>0.44366084947007728</v>
      </c>
      <c r="CP23" s="53">
        <f t="shared" ref="CP23" si="34">CP15/CP17</f>
        <v>0.43934391308978593</v>
      </c>
    </row>
    <row r="24" spans="2:158">
      <c r="B24" s="69" t="s">
        <v>1486</v>
      </c>
      <c r="AU24" s="53">
        <f t="shared" ref="AU24:BN24" si="35">AU16/AU17</f>
        <v>0.66724869044649537</v>
      </c>
      <c r="AV24" s="53">
        <f t="shared" si="35"/>
        <v>0.62728635682158917</v>
      </c>
      <c r="AW24" s="53">
        <f t="shared" si="35"/>
        <v>0.64008339848840234</v>
      </c>
      <c r="AX24" s="53">
        <f t="shared" si="35"/>
        <v>0.63228155339805825</v>
      </c>
      <c r="AY24" s="53">
        <f t="shared" si="35"/>
        <v>0.64115523465703972</v>
      </c>
      <c r="AZ24" s="53">
        <f t="shared" si="35"/>
        <v>0.64553886925795056</v>
      </c>
      <c r="BA24" s="53">
        <f t="shared" si="35"/>
        <v>0.65757271815446339</v>
      </c>
      <c r="BB24" s="53">
        <f t="shared" si="35"/>
        <v>0.6426380368098159</v>
      </c>
      <c r="BC24" s="53">
        <f t="shared" si="35"/>
        <v>0.66518289142635956</v>
      </c>
      <c r="BD24" s="53">
        <f t="shared" si="35"/>
        <v>0.63470984173185374</v>
      </c>
      <c r="BE24" s="53">
        <f t="shared" si="35"/>
        <v>0.64715079916608753</v>
      </c>
      <c r="BF24" s="53">
        <f t="shared" si="35"/>
        <v>0.24583118445934329</v>
      </c>
      <c r="BG24" s="53">
        <f t="shared" si="35"/>
        <v>0.55862908837856651</v>
      </c>
      <c r="BH24" s="53">
        <f t="shared" si="35"/>
        <v>0.55112458127293029</v>
      </c>
      <c r="BI24" s="53">
        <f t="shared" si="35"/>
        <v>0.56712077146793205</v>
      </c>
      <c r="BJ24" s="53">
        <f t="shared" si="35"/>
        <v>0.54856444715943797</v>
      </c>
      <c r="BK24" s="53">
        <f t="shared" si="35"/>
        <v>0.56316950220541906</v>
      </c>
      <c r="BL24" s="53">
        <f t="shared" si="35"/>
        <v>0.54546760522913373</v>
      </c>
      <c r="BM24" s="53">
        <f t="shared" si="35"/>
        <v>0.571719364907043</v>
      </c>
      <c r="BN24" s="53">
        <f t="shared" si="35"/>
        <v>0.5617572439578048</v>
      </c>
      <c r="BO24" s="53">
        <f>BO16/BO17</f>
        <v>0.56537931034482758</v>
      </c>
      <c r="BP24" s="53">
        <f>BP16/BP17</f>
        <v>0.58121234476822825</v>
      </c>
      <c r="BQ24" s="53">
        <f>BQ16/BQ17</f>
        <v>0.57556382236689141</v>
      </c>
      <c r="CL24" s="53">
        <f t="shared" ref="CL24:CO24" si="36">CL16/CL17</f>
        <v>0.64231096006796939</v>
      </c>
      <c r="CM24" s="53">
        <f t="shared" si="36"/>
        <v>0.64694979877144676</v>
      </c>
      <c r="CN24" s="53">
        <f t="shared" si="36"/>
        <v>0.54328371632864148</v>
      </c>
      <c r="CO24" s="53">
        <f t="shared" si="36"/>
        <v>0.55633915052992267</v>
      </c>
      <c r="CP24" s="53">
        <f t="shared" ref="CP24" si="37">CP16/CP17</f>
        <v>0.56065608691021407</v>
      </c>
    </row>
    <row r="26" spans="2:158" s="2" customFormat="1" ht="15">
      <c r="B26" s="2" t="s">
        <v>118</v>
      </c>
      <c r="C26" s="51">
        <v>1156</v>
      </c>
      <c r="D26" s="51">
        <v>1280</v>
      </c>
      <c r="E26" s="51">
        <v>1364</v>
      </c>
      <c r="F26" s="51">
        <v>1299</v>
      </c>
      <c r="G26" s="51">
        <v>1308</v>
      </c>
      <c r="H26" s="51">
        <v>1365</v>
      </c>
      <c r="I26" s="51">
        <v>1428</v>
      </c>
      <c r="J26" s="51">
        <v>1438</v>
      </c>
      <c r="K26" s="51">
        <v>1501</v>
      </c>
      <c r="L26" s="51">
        <v>1667</v>
      </c>
      <c r="M26" s="51">
        <v>1818</v>
      </c>
      <c r="N26" s="51">
        <v>1728</v>
      </c>
      <c r="O26" s="51">
        <v>1758</v>
      </c>
      <c r="P26" s="51">
        <v>1820</v>
      </c>
      <c r="Q26" s="51">
        <v>1918</v>
      </c>
      <c r="R26" s="51">
        <v>1895</v>
      </c>
      <c r="S26" s="51">
        <v>1906</v>
      </c>
      <c r="T26" s="51">
        <v>2096</v>
      </c>
      <c r="U26" s="51">
        <v>2218</v>
      </c>
      <c r="V26" s="51">
        <v>2092</v>
      </c>
      <c r="W26" s="51">
        <v>2172</v>
      </c>
      <c r="X26" s="51">
        <v>2368</v>
      </c>
      <c r="Y26" s="51">
        <v>2490</v>
      </c>
      <c r="Z26" s="51">
        <v>2411</v>
      </c>
      <c r="AA26" s="51">
        <v>2230</v>
      </c>
      <c r="AB26" s="51">
        <v>2390</v>
      </c>
      <c r="AC26" s="51">
        <v>2530</v>
      </c>
      <c r="AD26" s="51">
        <v>2517</v>
      </c>
      <c r="AE26" s="51">
        <v>2446</v>
      </c>
      <c r="AF26" s="51">
        <v>2694</v>
      </c>
      <c r="AG26" s="51">
        <v>2880</v>
      </c>
      <c r="AH26" s="51">
        <v>2756</v>
      </c>
      <c r="AI26" s="51">
        <v>2734</v>
      </c>
      <c r="AJ26" s="51">
        <v>3053</v>
      </c>
      <c r="AK26" s="51">
        <v>3398</v>
      </c>
      <c r="AL26" s="51">
        <v>3312</v>
      </c>
      <c r="AM26" s="51">
        <v>3580</v>
      </c>
      <c r="AN26" s="51">
        <v>3665</v>
      </c>
      <c r="AO26" s="51">
        <v>3898</v>
      </c>
      <c r="AP26" s="51">
        <v>3807</v>
      </c>
      <c r="AQ26" s="51">
        <v>3889</v>
      </c>
      <c r="AR26" s="51">
        <v>4113</v>
      </c>
      <c r="AS26" s="51">
        <v>4467</v>
      </c>
      <c r="AT26" s="51">
        <v>4414</v>
      </c>
      <c r="AU26" s="2">
        <f t="shared" ref="AU26:AX26" si="38">AU17</f>
        <v>4009</v>
      </c>
      <c r="AV26" s="2">
        <f t="shared" si="38"/>
        <v>3335</v>
      </c>
      <c r="AW26" s="2">
        <f t="shared" si="38"/>
        <v>3837</v>
      </c>
      <c r="AX26" s="2">
        <f t="shared" si="38"/>
        <v>4120</v>
      </c>
      <c r="AY26" s="2">
        <f>AY17</f>
        <v>4155</v>
      </c>
      <c r="AZ26" s="2">
        <f t="shared" ref="AZ26:BO26" si="39">AZ17</f>
        <v>4528</v>
      </c>
      <c r="BA26" s="2">
        <f t="shared" si="39"/>
        <v>4985</v>
      </c>
      <c r="BB26" s="2">
        <f t="shared" si="39"/>
        <v>5216</v>
      </c>
      <c r="BC26" s="2">
        <f t="shared" si="39"/>
        <v>5167</v>
      </c>
      <c r="BD26" s="2">
        <f t="shared" si="39"/>
        <v>5497</v>
      </c>
      <c r="BE26" s="2">
        <f t="shared" si="39"/>
        <v>5756</v>
      </c>
      <c r="BF26" s="2">
        <f t="shared" si="39"/>
        <v>5817</v>
      </c>
      <c r="BG26" s="2">
        <f t="shared" si="39"/>
        <v>5748</v>
      </c>
      <c r="BH26" s="2">
        <f t="shared" si="39"/>
        <v>6269</v>
      </c>
      <c r="BI26" s="2">
        <f t="shared" si="39"/>
        <v>6533</v>
      </c>
      <c r="BJ26" s="2">
        <f t="shared" si="39"/>
        <v>6548</v>
      </c>
      <c r="BK26" s="2">
        <f t="shared" si="39"/>
        <v>6348</v>
      </c>
      <c r="BL26" s="2">
        <f t="shared" si="39"/>
        <v>6961</v>
      </c>
      <c r="BM26" s="2">
        <f t="shared" si="39"/>
        <v>7369</v>
      </c>
      <c r="BN26" s="2">
        <f t="shared" si="39"/>
        <v>7489</v>
      </c>
      <c r="BO26" s="2">
        <f t="shared" si="39"/>
        <v>7250</v>
      </c>
      <c r="BP26" s="2">
        <f t="shared" ref="BP26:BQ26" si="40">BP17</f>
        <v>8133</v>
      </c>
      <c r="BQ26" s="2">
        <f t="shared" si="40"/>
        <v>8602</v>
      </c>
      <c r="BR26" s="34"/>
      <c r="BS26" s="34"/>
      <c r="BT26" s="34"/>
      <c r="BU26" s="34"/>
      <c r="BV26" s="34"/>
      <c r="CA26" s="2">
        <f t="shared" ref="CA26:CA39" si="41">SUM(C26:F26)</f>
        <v>5099</v>
      </c>
      <c r="CB26" s="2">
        <f t="shared" ref="CB26:CB39" si="42">SUM(G26:J26)</f>
        <v>5539</v>
      </c>
      <c r="CC26" s="2">
        <f t="shared" ref="CC26:CC39" si="43">SUM(K26:N26)</f>
        <v>6714</v>
      </c>
      <c r="CD26" s="2">
        <f t="shared" ref="CD26:CD39" si="44">SUM(O26:R26)</f>
        <v>7391</v>
      </c>
      <c r="CE26" s="2">
        <f t="shared" ref="CE26:CE39" si="45">SUM(S26:V26)</f>
        <v>8312</v>
      </c>
      <c r="CF26" s="2">
        <f t="shared" ref="CF26:CF39" si="46">SUM(W26:Z26)</f>
        <v>9441</v>
      </c>
      <c r="CG26" s="2">
        <f t="shared" ref="CG26:CG39" si="47">SUM(AA26:AD26)</f>
        <v>9667</v>
      </c>
      <c r="CH26" s="2">
        <f t="shared" ref="CH26:CH39" si="48">SUM(AE26:AH26)</f>
        <v>10776</v>
      </c>
      <c r="CI26" s="2">
        <f t="shared" ref="CI26:CI39" si="49">SUM(AI26:AL26)</f>
        <v>12497</v>
      </c>
      <c r="CJ26" s="2">
        <f t="shared" ref="CJ26:CJ39" si="50">SUM(AM26:AP26)</f>
        <v>14950</v>
      </c>
      <c r="CK26" s="2">
        <f t="shared" ref="CK26:CK39" si="51">SUM(AQ26:AT26)</f>
        <v>16883</v>
      </c>
      <c r="CL26" s="2">
        <f t="shared" ref="CL26:CL39" si="52">SUM(AU26:AX26)</f>
        <v>15301</v>
      </c>
      <c r="CM26" s="2">
        <f t="shared" ref="CM26:CM39" si="53">SUM(AY26:BB26)</f>
        <v>18884</v>
      </c>
      <c r="CN26" s="2">
        <f t="shared" ref="CN26:CN39" si="54">SUM(BC26:BF26)</f>
        <v>22237</v>
      </c>
      <c r="CO26" s="2">
        <f t="shared" ref="CO26:CO39" si="55">SUM(BG26:BJ26)</f>
        <v>25098</v>
      </c>
      <c r="CP26" s="2">
        <f t="shared" ref="CP26:CP39" si="56">SUM(BK26:BN26)</f>
        <v>28167</v>
      </c>
      <c r="CQ26" s="67">
        <f>CQ6</f>
        <v>32478.629999999997</v>
      </c>
      <c r="CR26" s="67">
        <f t="shared" ref="CR26:CZ26" si="57">CR6</f>
        <v>36855.64215</v>
      </c>
      <c r="CS26" s="67">
        <f t="shared" si="57"/>
        <v>41279.782982374993</v>
      </c>
      <c r="CT26" s="67">
        <f t="shared" si="57"/>
        <v>46041.17782458687</v>
      </c>
      <c r="CU26" s="67">
        <f t="shared" si="57"/>
        <v>51040.633973943157</v>
      </c>
      <c r="CV26" s="67">
        <f t="shared" si="57"/>
        <v>55566.663662783933</v>
      </c>
      <c r="CW26" s="67">
        <f t="shared" si="57"/>
        <v>59387.720350568808</v>
      </c>
      <c r="CX26" s="67">
        <f t="shared" si="57"/>
        <v>62751.622431191703</v>
      </c>
      <c r="CY26" s="67">
        <f t="shared" si="57"/>
        <v>65995.605047790916</v>
      </c>
      <c r="CZ26" s="67">
        <f t="shared" si="57"/>
        <v>69080.798433329881</v>
      </c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</row>
    <row r="27" spans="2:158">
      <c r="B27" s="1" t="s">
        <v>1487</v>
      </c>
      <c r="C27" s="52">
        <v>448</v>
      </c>
      <c r="D27" s="52">
        <v>507</v>
      </c>
      <c r="E27" s="52">
        <v>475</v>
      </c>
      <c r="F27" s="52">
        <v>512</v>
      </c>
      <c r="G27" s="52">
        <v>458</v>
      </c>
      <c r="H27" s="52">
        <v>433</v>
      </c>
      <c r="I27" s="52">
        <v>444</v>
      </c>
      <c r="J27" s="52">
        <v>522</v>
      </c>
      <c r="K27" s="52">
        <v>494</v>
      </c>
      <c r="L27" s="52">
        <v>540</v>
      </c>
      <c r="M27" s="52">
        <v>565</v>
      </c>
      <c r="N27" s="52">
        <v>597</v>
      </c>
      <c r="O27" s="52">
        <v>579</v>
      </c>
      <c r="P27" s="52">
        <v>591</v>
      </c>
      <c r="Q27" s="52">
        <v>620</v>
      </c>
      <c r="R27" s="52">
        <v>639</v>
      </c>
      <c r="S27" s="52">
        <v>608</v>
      </c>
      <c r="T27" s="52">
        <v>621</v>
      </c>
      <c r="U27" s="52">
        <v>701</v>
      </c>
      <c r="V27" s="52">
        <v>685</v>
      </c>
      <c r="W27" s="52">
        <v>665</v>
      </c>
      <c r="X27" s="52">
        <v>731</v>
      </c>
      <c r="Y27" s="52">
        <v>784</v>
      </c>
      <c r="Z27" s="52">
        <v>972</v>
      </c>
      <c r="AA27" s="52">
        <v>650</v>
      </c>
      <c r="AB27" s="52">
        <v>810</v>
      </c>
      <c r="AC27" s="52">
        <v>883</v>
      </c>
      <c r="AD27" s="52">
        <v>998</v>
      </c>
      <c r="AE27" s="52">
        <v>868</v>
      </c>
      <c r="AF27" s="52">
        <v>930</v>
      </c>
      <c r="AG27" s="52">
        <v>933</v>
      </c>
      <c r="AH27" s="52">
        <v>1096</v>
      </c>
      <c r="AI27" s="52">
        <v>951</v>
      </c>
      <c r="AJ27" s="52">
        <v>1075</v>
      </c>
      <c r="AK27" s="52">
        <v>1136</v>
      </c>
      <c r="AL27" s="52">
        <v>1491</v>
      </c>
      <c r="AM27" s="52">
        <v>1321</v>
      </c>
      <c r="AN27" s="52">
        <v>1184</v>
      </c>
      <c r="AO27" s="52">
        <v>1268</v>
      </c>
      <c r="AP27" s="52">
        <v>1401</v>
      </c>
      <c r="AQ27" s="52">
        <v>1367</v>
      </c>
      <c r="AR27" s="52">
        <v>1369</v>
      </c>
      <c r="AS27" s="52">
        <v>1448</v>
      </c>
      <c r="AT27" s="52">
        <v>1579</v>
      </c>
      <c r="AU27" s="1">
        <v>1494</v>
      </c>
      <c r="AV27" s="1">
        <v>1368</v>
      </c>
      <c r="AW27" s="1">
        <v>1423</v>
      </c>
      <c r="AX27" s="1">
        <f>5910-SUM(AU27:AW27)</f>
        <v>1625</v>
      </c>
      <c r="AY27" s="1">
        <v>1676</v>
      </c>
      <c r="AZ27" s="1">
        <v>1718</v>
      </c>
      <c r="BA27" s="1">
        <v>1831</v>
      </c>
      <c r="BB27" s="1">
        <f>7087-SUM(AY27:BA27)</f>
        <v>1862</v>
      </c>
      <c r="BC27" s="1">
        <v>1844</v>
      </c>
      <c r="BD27" s="1">
        <v>1947</v>
      </c>
      <c r="BE27" s="1">
        <v>2069</v>
      </c>
      <c r="BF27" s="1">
        <f>8078-SUM(BC27:BE27)</f>
        <v>2218</v>
      </c>
      <c r="BG27" s="1">
        <v>2043</v>
      </c>
      <c r="BH27" s="1">
        <v>2200</v>
      </c>
      <c r="BI27" s="1">
        <v>2285</v>
      </c>
      <c r="BJ27" s="1">
        <f>8927-SUM(BG27:BI27)</f>
        <v>2399</v>
      </c>
      <c r="BK27" s="1">
        <v>2286</v>
      </c>
      <c r="BL27" s="1">
        <v>2418</v>
      </c>
      <c r="BM27" s="1">
        <v>2744</v>
      </c>
      <c r="BN27" s="1">
        <f>10193-SUM(BK27:BM27)</f>
        <v>2745</v>
      </c>
      <c r="BO27" s="1">
        <v>2523</v>
      </c>
      <c r="BP27" s="1">
        <v>2766</v>
      </c>
      <c r="BQ27" s="1">
        <v>2923</v>
      </c>
      <c r="CA27" s="1">
        <f t="shared" si="41"/>
        <v>1942</v>
      </c>
      <c r="CB27" s="1">
        <f t="shared" si="42"/>
        <v>1857</v>
      </c>
      <c r="CC27" s="1">
        <f t="shared" si="43"/>
        <v>2196</v>
      </c>
      <c r="CD27" s="1">
        <f t="shared" si="44"/>
        <v>2429</v>
      </c>
      <c r="CE27" s="1">
        <f t="shared" si="45"/>
        <v>2615</v>
      </c>
      <c r="CF27" s="1">
        <f t="shared" si="46"/>
        <v>3152</v>
      </c>
      <c r="CG27" s="1">
        <f t="shared" si="47"/>
        <v>3341</v>
      </c>
      <c r="CH27" s="1">
        <f t="shared" si="48"/>
        <v>3827</v>
      </c>
      <c r="CI27" s="1">
        <f t="shared" si="49"/>
        <v>4653</v>
      </c>
      <c r="CJ27" s="1">
        <f t="shared" si="50"/>
        <v>5174</v>
      </c>
      <c r="CK27" s="1">
        <f t="shared" si="51"/>
        <v>5763</v>
      </c>
      <c r="CL27" s="1">
        <f t="shared" si="52"/>
        <v>5910</v>
      </c>
      <c r="CM27" s="1">
        <f t="shared" si="53"/>
        <v>7087</v>
      </c>
      <c r="CN27" s="1">
        <f t="shared" si="54"/>
        <v>8078</v>
      </c>
      <c r="CO27" s="1">
        <f t="shared" si="55"/>
        <v>8927</v>
      </c>
      <c r="CP27" s="1">
        <f t="shared" si="56"/>
        <v>10193</v>
      </c>
      <c r="CQ27" s="63">
        <f>CQ26*(CQ43)</f>
        <v>11286.323924999999</v>
      </c>
      <c r="CR27" s="63">
        <f t="shared" ref="CR27:CZ27" si="58">CR26*(CR43)</f>
        <v>12715.19654175</v>
      </c>
      <c r="CS27" s="63">
        <f t="shared" si="58"/>
        <v>14138.325671463435</v>
      </c>
      <c r="CT27" s="63">
        <f t="shared" si="58"/>
        <v>15654.000460359537</v>
      </c>
      <c r="CU27" s="63">
        <f t="shared" si="58"/>
        <v>17226.213966205818</v>
      </c>
      <c r="CV27" s="63">
        <f t="shared" si="58"/>
        <v>18614.832327032618</v>
      </c>
      <c r="CW27" s="63">
        <f t="shared" si="58"/>
        <v>19746.41701656413</v>
      </c>
      <c r="CX27" s="63">
        <f t="shared" si="58"/>
        <v>20833.538647155645</v>
      </c>
      <c r="CY27" s="63">
        <f t="shared" si="58"/>
        <v>21844.545270818795</v>
      </c>
      <c r="CZ27" s="63">
        <f t="shared" si="58"/>
        <v>22796.663482998862</v>
      </c>
    </row>
    <row r="28" spans="2:158">
      <c r="B28" s="1" t="s">
        <v>1488</v>
      </c>
      <c r="C28" s="52">
        <f>595-C27</f>
        <v>147</v>
      </c>
      <c r="D28" s="52">
        <f>723-D27</f>
        <v>216</v>
      </c>
      <c r="E28" s="52">
        <f>691-E27</f>
        <v>216</v>
      </c>
      <c r="F28" s="52">
        <f>830-F27</f>
        <v>318</v>
      </c>
      <c r="G28" s="52">
        <f>608-G27</f>
        <v>150</v>
      </c>
      <c r="H28" s="52">
        <f>648-H27</f>
        <v>215</v>
      </c>
      <c r="I28" s="52">
        <f>662-I27</f>
        <v>218</v>
      </c>
      <c r="J28" s="52">
        <f>869-J27</f>
        <v>347</v>
      </c>
      <c r="K28" s="52">
        <f>665-K27</f>
        <v>171</v>
      </c>
      <c r="L28" s="52">
        <f>782-L27</f>
        <v>242</v>
      </c>
      <c r="M28" s="52">
        <f>816-M27</f>
        <v>251</v>
      </c>
      <c r="N28" s="52">
        <f>1738-N27</f>
        <v>1141</v>
      </c>
      <c r="O28" s="52">
        <f>758-O27</f>
        <v>179</v>
      </c>
      <c r="P28" s="52">
        <f>846-P27</f>
        <v>255</v>
      </c>
      <c r="Q28" s="52">
        <f>854-Q27</f>
        <v>234</v>
      </c>
      <c r="R28" s="52">
        <f>996-R27</f>
        <v>357</v>
      </c>
      <c r="S28" s="52">
        <f>799-S27</f>
        <v>191</v>
      </c>
      <c r="T28" s="52">
        <f>868-T27</f>
        <v>247</v>
      </c>
      <c r="U28" s="52">
        <f>970-U27</f>
        <v>269</v>
      </c>
      <c r="V28" s="52">
        <f>1172-V27</f>
        <v>487</v>
      </c>
      <c r="W28" s="52">
        <f>887-W27</f>
        <v>222</v>
      </c>
      <c r="X28" s="52">
        <f>985-X27</f>
        <v>254</v>
      </c>
      <c r="Y28" s="52">
        <f>1070-Y27</f>
        <v>286</v>
      </c>
      <c r="Z28" s="52">
        <f>1393-Z27</f>
        <v>421</v>
      </c>
      <c r="AA28" s="52">
        <f>879-AA27</f>
        <v>229</v>
      </c>
      <c r="AB28" s="52">
        <f>1139-AB27</f>
        <v>329</v>
      </c>
      <c r="AC28" s="52">
        <f>1161-AC27</f>
        <v>278</v>
      </c>
      <c r="AD28" s="52">
        <f>1410-AD27</f>
        <v>412</v>
      </c>
      <c r="AE28" s="52">
        <f>1098-AE27</f>
        <v>230</v>
      </c>
      <c r="AF28" s="52">
        <f>1314-AF27</f>
        <v>384</v>
      </c>
      <c r="AG28" s="52">
        <f>1210-AG27</f>
        <v>277</v>
      </c>
      <c r="AH28" s="52">
        <f>1393-AH27</f>
        <v>297</v>
      </c>
      <c r="AI28" s="52">
        <f>1228-AI27</f>
        <v>277</v>
      </c>
      <c r="AJ28" s="52">
        <f>1400-AJ27</f>
        <v>325</v>
      </c>
      <c r="AK28" s="52">
        <f>1457-AK27</f>
        <v>321</v>
      </c>
      <c r="AL28" s="52">
        <f>1790-AL27</f>
        <v>299</v>
      </c>
      <c r="AM28" s="52">
        <f>1755-AM27</f>
        <v>434</v>
      </c>
      <c r="AN28" s="52">
        <f>1729-AN27</f>
        <v>545</v>
      </c>
      <c r="AO28" s="52">
        <f>1611-AO27</f>
        <v>343</v>
      </c>
      <c r="AP28" s="52">
        <f>2573-AP27</f>
        <v>1172</v>
      </c>
      <c r="AQ28" s="52">
        <f>1676-AQ27</f>
        <v>309</v>
      </c>
      <c r="AR28" s="52">
        <f>1716-AR27</f>
        <v>347</v>
      </c>
      <c r="AS28" s="52">
        <f>1812-AS27</f>
        <v>364</v>
      </c>
      <c r="AT28" s="52">
        <f>2015-AT27</f>
        <v>436</v>
      </c>
      <c r="AU28" s="1">
        <v>154</v>
      </c>
      <c r="AV28" s="1">
        <v>93</v>
      </c>
      <c r="AW28" s="1">
        <v>168</v>
      </c>
      <c r="AX28" s="1">
        <f>657-SUM(AU28:AW28)</f>
        <v>242</v>
      </c>
      <c r="AY28" s="1">
        <v>119</v>
      </c>
      <c r="AZ28" s="1">
        <v>216</v>
      </c>
      <c r="BA28" s="1">
        <v>222</v>
      </c>
      <c r="BB28" s="1">
        <f>895-SUM(AY28:BA28)</f>
        <v>338</v>
      </c>
      <c r="BC28" s="1">
        <v>181</v>
      </c>
      <c r="BD28" s="1">
        <v>210</v>
      </c>
      <c r="BE28" s="1">
        <v>182</v>
      </c>
      <c r="BF28" s="1">
        <f>789-SUM(BC28:BE28)</f>
        <v>216</v>
      </c>
      <c r="BG28" s="1">
        <v>167</v>
      </c>
      <c r="BH28" s="1">
        <v>201</v>
      </c>
      <c r="BI28" s="1">
        <v>193</v>
      </c>
      <c r="BJ28" s="1">
        <f>825-SUM(BG28:BI28)</f>
        <v>264</v>
      </c>
      <c r="BK28" s="1">
        <v>116</v>
      </c>
      <c r="BL28" s="1">
        <v>184</v>
      </c>
      <c r="BM28" s="1">
        <v>220</v>
      </c>
      <c r="BN28" s="1">
        <f>815-SUM(BK28:BM28)</f>
        <v>295</v>
      </c>
      <c r="BO28" s="1">
        <v>152</v>
      </c>
      <c r="BP28" s="1">
        <v>213</v>
      </c>
      <c r="BQ28" s="1">
        <v>245</v>
      </c>
      <c r="CA28" s="1">
        <f t="shared" si="41"/>
        <v>897</v>
      </c>
      <c r="CB28" s="1">
        <f t="shared" si="42"/>
        <v>930</v>
      </c>
      <c r="CC28" s="1">
        <f t="shared" si="43"/>
        <v>1805</v>
      </c>
      <c r="CD28" s="1">
        <f t="shared" si="44"/>
        <v>1025</v>
      </c>
      <c r="CE28" s="1">
        <f t="shared" si="45"/>
        <v>1194</v>
      </c>
      <c r="CF28" s="1">
        <f t="shared" si="46"/>
        <v>1183</v>
      </c>
      <c r="CG28" s="1">
        <f t="shared" si="47"/>
        <v>1248</v>
      </c>
      <c r="CH28" s="1">
        <f t="shared" si="48"/>
        <v>1188</v>
      </c>
      <c r="CI28" s="1">
        <f t="shared" si="49"/>
        <v>1222</v>
      </c>
      <c r="CJ28" s="1">
        <f t="shared" si="50"/>
        <v>2494</v>
      </c>
      <c r="CK28" s="1">
        <f t="shared" si="51"/>
        <v>1456</v>
      </c>
      <c r="CL28" s="1">
        <f t="shared" si="52"/>
        <v>657</v>
      </c>
      <c r="CM28" s="1">
        <f t="shared" si="53"/>
        <v>895</v>
      </c>
      <c r="CN28" s="1">
        <f t="shared" si="54"/>
        <v>789</v>
      </c>
      <c r="CO28" s="1">
        <f t="shared" si="55"/>
        <v>825</v>
      </c>
      <c r="CP28" s="1">
        <f t="shared" si="56"/>
        <v>815</v>
      </c>
      <c r="CQ28" s="63">
        <f>CQ26*(CQ44)</f>
        <v>844.44437999999991</v>
      </c>
      <c r="CR28" s="63">
        <f t="shared" ref="CR28:CZ28" si="59">CR26*(CR44)</f>
        <v>1050.3858012749999</v>
      </c>
      <c r="CS28" s="63">
        <f t="shared" si="59"/>
        <v>1155.8339235064998</v>
      </c>
      <c r="CT28" s="63">
        <f t="shared" si="59"/>
        <v>1266.1323901761389</v>
      </c>
      <c r="CU28" s="63">
        <f t="shared" si="59"/>
        <v>1378.0971172964653</v>
      </c>
      <c r="CV28" s="63">
        <f t="shared" si="59"/>
        <v>1472.5165870637741</v>
      </c>
      <c r="CW28" s="63">
        <f t="shared" si="59"/>
        <v>1544.0807291147889</v>
      </c>
      <c r="CX28" s="63">
        <f t="shared" si="59"/>
        <v>1600.1663719953883</v>
      </c>
      <c r="CY28" s="63">
        <f t="shared" si="59"/>
        <v>1649.8901261947731</v>
      </c>
      <c r="CZ28" s="63">
        <f t="shared" si="59"/>
        <v>1692.4795616165823</v>
      </c>
    </row>
    <row r="29" spans="2:158">
      <c r="B29" s="1" t="s">
        <v>1489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1">
        <v>144</v>
      </c>
      <c r="AV29" s="1">
        <v>145</v>
      </c>
      <c r="AW29" s="1">
        <v>141</v>
      </c>
      <c r="AX29" s="1">
        <f>580-SUM(AU29:AW29)</f>
        <v>150</v>
      </c>
      <c r="AY29" s="1">
        <v>163</v>
      </c>
      <c r="AZ29" s="1">
        <v>186</v>
      </c>
      <c r="BA29" s="1">
        <v>188</v>
      </c>
      <c r="BB29" s="1">
        <f>726-SUM(AY29:BA29)</f>
        <v>189</v>
      </c>
      <c r="BC29" s="1">
        <v>192</v>
      </c>
      <c r="BD29" s="1">
        <v>189</v>
      </c>
      <c r="BE29" s="1">
        <v>185</v>
      </c>
      <c r="BF29" s="1">
        <f>750-SUM(BC29:BE29)</f>
        <v>184</v>
      </c>
      <c r="BG29" s="1">
        <v>191</v>
      </c>
      <c r="BH29" s="1">
        <v>192</v>
      </c>
      <c r="BI29" s="1">
        <v>211</v>
      </c>
      <c r="BJ29" s="1">
        <f>799-SUM(BG29:BI29)</f>
        <v>205</v>
      </c>
      <c r="BK29" s="1">
        <v>216</v>
      </c>
      <c r="BL29" s="1">
        <v>225</v>
      </c>
      <c r="BM29" s="1">
        <v>225</v>
      </c>
      <c r="BN29" s="1">
        <f>897-SUM(BK29:BM29)</f>
        <v>231</v>
      </c>
      <c r="BO29" s="1">
        <v>275</v>
      </c>
      <c r="BP29" s="1">
        <v>281</v>
      </c>
      <c r="BQ29" s="1">
        <v>290</v>
      </c>
      <c r="CA29" s="1">
        <f t="shared" si="41"/>
        <v>0</v>
      </c>
      <c r="CB29" s="1">
        <f t="shared" si="42"/>
        <v>0</v>
      </c>
      <c r="CC29" s="1">
        <f t="shared" si="43"/>
        <v>0</v>
      </c>
      <c r="CD29" s="1">
        <f t="shared" si="44"/>
        <v>0</v>
      </c>
      <c r="CE29" s="1">
        <f t="shared" si="45"/>
        <v>0</v>
      </c>
      <c r="CF29" s="1">
        <f t="shared" si="46"/>
        <v>0</v>
      </c>
      <c r="CG29" s="1">
        <f t="shared" si="47"/>
        <v>0</v>
      </c>
      <c r="CH29" s="1">
        <f t="shared" si="48"/>
        <v>0</v>
      </c>
      <c r="CI29" s="1">
        <f t="shared" si="49"/>
        <v>0</v>
      </c>
      <c r="CJ29" s="1">
        <f t="shared" si="50"/>
        <v>0</v>
      </c>
      <c r="CK29" s="1">
        <f t="shared" si="51"/>
        <v>0</v>
      </c>
      <c r="CL29" s="1">
        <f t="shared" si="52"/>
        <v>580</v>
      </c>
      <c r="CM29" s="1">
        <f t="shared" si="53"/>
        <v>726</v>
      </c>
      <c r="CN29" s="1">
        <f t="shared" si="54"/>
        <v>750</v>
      </c>
      <c r="CO29" s="1">
        <f t="shared" si="55"/>
        <v>799</v>
      </c>
      <c r="CP29" s="1">
        <f t="shared" si="56"/>
        <v>897</v>
      </c>
      <c r="CQ29" s="63">
        <f>CQ26*(CQ45)</f>
        <v>1169.2306799999999</v>
      </c>
      <c r="CR29" s="63">
        <f t="shared" ref="CR29:CZ29" si="60">CR26*(CR45)</f>
        <v>1289.94747525</v>
      </c>
      <c r="CS29" s="63">
        <f t="shared" si="60"/>
        <v>825.59565964749982</v>
      </c>
      <c r="CT29" s="63">
        <f t="shared" si="60"/>
        <v>920.82355649173746</v>
      </c>
      <c r="CU29" s="63">
        <f t="shared" si="60"/>
        <v>1020.8126794788632</v>
      </c>
      <c r="CV29" s="63">
        <f t="shared" si="60"/>
        <v>1111.3332732556787</v>
      </c>
      <c r="CW29" s="63">
        <f t="shared" si="60"/>
        <v>1187.7544070113761</v>
      </c>
      <c r="CX29" s="63">
        <f t="shared" si="60"/>
        <v>1255.0324486238342</v>
      </c>
      <c r="CY29" s="63">
        <f t="shared" si="60"/>
        <v>1319.9121009558182</v>
      </c>
      <c r="CZ29" s="63">
        <f t="shared" si="60"/>
        <v>1381.6159686665976</v>
      </c>
    </row>
    <row r="30" spans="2:158">
      <c r="B30" s="1" t="s">
        <v>1490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1">
        <v>6</v>
      </c>
      <c r="AV30" s="1">
        <v>22</v>
      </c>
      <c r="AW30" s="1">
        <v>0</v>
      </c>
      <c r="AX30" s="1">
        <f>73-SUM(AU30:AW30)</f>
        <v>45</v>
      </c>
      <c r="AY30" s="1">
        <v>0</v>
      </c>
      <c r="AZ30" s="1">
        <v>67</v>
      </c>
      <c r="BA30" s="1">
        <v>27</v>
      </c>
      <c r="BB30" s="1">
        <f>94-SUM(AY30:BA30)</f>
        <v>0</v>
      </c>
      <c r="BC30" s="1">
        <v>0</v>
      </c>
      <c r="BD30" s="1">
        <v>133</v>
      </c>
      <c r="BE30" s="1">
        <v>208</v>
      </c>
      <c r="BF30" s="1">
        <f>356-SUM(BC30:BE30)</f>
        <v>15</v>
      </c>
      <c r="BG30" s="1">
        <v>211</v>
      </c>
      <c r="BH30" s="1">
        <v>20</v>
      </c>
      <c r="BI30" s="1">
        <v>0</v>
      </c>
      <c r="BJ30" s="1">
        <f>539-SUM(BG30:BI30)</f>
        <v>308</v>
      </c>
      <c r="BK30" s="1">
        <v>126</v>
      </c>
      <c r="BL30" s="1">
        <v>98</v>
      </c>
      <c r="BM30" s="1">
        <v>176</v>
      </c>
      <c r="BN30" s="1">
        <f>680-SUM(BK30:BM30)</f>
        <v>280</v>
      </c>
      <c r="BO30" s="1">
        <v>151</v>
      </c>
      <c r="BP30" s="1">
        <v>96</v>
      </c>
      <c r="BQ30" s="1">
        <v>83</v>
      </c>
      <c r="CA30" s="1">
        <f t="shared" si="41"/>
        <v>0</v>
      </c>
      <c r="CB30" s="1">
        <f t="shared" si="42"/>
        <v>0</v>
      </c>
      <c r="CC30" s="1">
        <f t="shared" si="43"/>
        <v>0</v>
      </c>
      <c r="CD30" s="1">
        <f t="shared" si="44"/>
        <v>0</v>
      </c>
      <c r="CE30" s="1">
        <f t="shared" si="45"/>
        <v>0</v>
      </c>
      <c r="CF30" s="1">
        <f t="shared" si="46"/>
        <v>0</v>
      </c>
      <c r="CG30" s="1">
        <f t="shared" si="47"/>
        <v>0</v>
      </c>
      <c r="CH30" s="1">
        <f t="shared" si="48"/>
        <v>0</v>
      </c>
      <c r="CI30" s="1">
        <f t="shared" si="49"/>
        <v>0</v>
      </c>
      <c r="CJ30" s="1">
        <f t="shared" si="50"/>
        <v>0</v>
      </c>
      <c r="CK30" s="1">
        <f t="shared" si="51"/>
        <v>0</v>
      </c>
      <c r="CL30" s="1">
        <f t="shared" si="52"/>
        <v>73</v>
      </c>
      <c r="CM30" s="1">
        <f t="shared" si="53"/>
        <v>94</v>
      </c>
      <c r="CN30" s="1">
        <f t="shared" si="54"/>
        <v>356</v>
      </c>
      <c r="CO30" s="1">
        <f t="shared" si="55"/>
        <v>539</v>
      </c>
      <c r="CP30" s="1">
        <f t="shared" si="56"/>
        <v>680</v>
      </c>
      <c r="CQ30" s="63">
        <f>CQ26*(CQ46)</f>
        <v>568.37602500000003</v>
      </c>
      <c r="CR30" s="63">
        <f t="shared" ref="CR30:CZ30" si="61">CR26*(CR46)</f>
        <v>552.83463225000003</v>
      </c>
      <c r="CS30" s="63">
        <f t="shared" si="61"/>
        <v>515.99728727968738</v>
      </c>
      <c r="CT30" s="63">
        <f t="shared" si="61"/>
        <v>460.41177824586873</v>
      </c>
      <c r="CU30" s="63">
        <f t="shared" si="61"/>
        <v>0</v>
      </c>
      <c r="CV30" s="63">
        <f t="shared" si="61"/>
        <v>0</v>
      </c>
      <c r="CW30" s="63">
        <f t="shared" si="61"/>
        <v>0</v>
      </c>
      <c r="CX30" s="63">
        <f t="shared" si="61"/>
        <v>0</v>
      </c>
      <c r="CY30" s="63">
        <f t="shared" si="61"/>
        <v>0</v>
      </c>
      <c r="CZ30" s="63">
        <f t="shared" si="61"/>
        <v>0</v>
      </c>
    </row>
    <row r="31" spans="2:158">
      <c r="B31" s="1" t="s">
        <v>1491</v>
      </c>
      <c r="C31" s="52">
        <f t="shared" ref="C31:AT31" si="62">SUM(C27:C30)</f>
        <v>595</v>
      </c>
      <c r="D31" s="52">
        <f t="shared" si="62"/>
        <v>723</v>
      </c>
      <c r="E31" s="52">
        <f t="shared" si="62"/>
        <v>691</v>
      </c>
      <c r="F31" s="52">
        <f t="shared" si="62"/>
        <v>830</v>
      </c>
      <c r="G31" s="52">
        <f t="shared" si="62"/>
        <v>608</v>
      </c>
      <c r="H31" s="52">
        <f t="shared" si="62"/>
        <v>648</v>
      </c>
      <c r="I31" s="52">
        <f t="shared" si="62"/>
        <v>662</v>
      </c>
      <c r="J31" s="52">
        <f t="shared" si="62"/>
        <v>869</v>
      </c>
      <c r="K31" s="52">
        <f t="shared" si="62"/>
        <v>665</v>
      </c>
      <c r="L31" s="52">
        <f t="shared" si="62"/>
        <v>782</v>
      </c>
      <c r="M31" s="52">
        <f t="shared" si="62"/>
        <v>816</v>
      </c>
      <c r="N31" s="52">
        <f t="shared" si="62"/>
        <v>1738</v>
      </c>
      <c r="O31" s="52">
        <f t="shared" si="62"/>
        <v>758</v>
      </c>
      <c r="P31" s="52">
        <f t="shared" si="62"/>
        <v>846</v>
      </c>
      <c r="Q31" s="52">
        <f t="shared" si="62"/>
        <v>854</v>
      </c>
      <c r="R31" s="52">
        <f t="shared" si="62"/>
        <v>996</v>
      </c>
      <c r="S31" s="52">
        <f t="shared" si="62"/>
        <v>799</v>
      </c>
      <c r="T31" s="52">
        <f t="shared" si="62"/>
        <v>868</v>
      </c>
      <c r="U31" s="52">
        <f t="shared" si="62"/>
        <v>970</v>
      </c>
      <c r="V31" s="52">
        <f t="shared" si="62"/>
        <v>1172</v>
      </c>
      <c r="W31" s="52">
        <f t="shared" si="62"/>
        <v>887</v>
      </c>
      <c r="X31" s="52">
        <f t="shared" si="62"/>
        <v>985</v>
      </c>
      <c r="Y31" s="52">
        <f t="shared" si="62"/>
        <v>1070</v>
      </c>
      <c r="Z31" s="52">
        <f t="shared" si="62"/>
        <v>1393</v>
      </c>
      <c r="AA31" s="52">
        <f t="shared" si="62"/>
        <v>879</v>
      </c>
      <c r="AB31" s="52">
        <f t="shared" si="62"/>
        <v>1139</v>
      </c>
      <c r="AC31" s="52">
        <f t="shared" si="62"/>
        <v>1161</v>
      </c>
      <c r="AD31" s="52">
        <f t="shared" si="62"/>
        <v>1410</v>
      </c>
      <c r="AE31" s="52">
        <f t="shared" si="62"/>
        <v>1098</v>
      </c>
      <c r="AF31" s="52">
        <f t="shared" si="62"/>
        <v>1314</v>
      </c>
      <c r="AG31" s="52">
        <f t="shared" si="62"/>
        <v>1210</v>
      </c>
      <c r="AH31" s="52">
        <f t="shared" si="62"/>
        <v>1393</v>
      </c>
      <c r="AI31" s="52">
        <f t="shared" si="62"/>
        <v>1228</v>
      </c>
      <c r="AJ31" s="52">
        <f t="shared" si="62"/>
        <v>1400</v>
      </c>
      <c r="AK31" s="52">
        <f t="shared" si="62"/>
        <v>1457</v>
      </c>
      <c r="AL31" s="52">
        <f t="shared" si="62"/>
        <v>1790</v>
      </c>
      <c r="AM31" s="52">
        <f t="shared" si="62"/>
        <v>1755</v>
      </c>
      <c r="AN31" s="52">
        <f t="shared" si="62"/>
        <v>1729</v>
      </c>
      <c r="AO31" s="52">
        <f t="shared" si="62"/>
        <v>1611</v>
      </c>
      <c r="AP31" s="52">
        <f t="shared" si="62"/>
        <v>2573</v>
      </c>
      <c r="AQ31" s="52">
        <f t="shared" si="62"/>
        <v>1676</v>
      </c>
      <c r="AR31" s="52">
        <f t="shared" si="62"/>
        <v>1716</v>
      </c>
      <c r="AS31" s="52">
        <f t="shared" si="62"/>
        <v>1812</v>
      </c>
      <c r="AT31" s="52">
        <f t="shared" si="62"/>
        <v>2015</v>
      </c>
      <c r="AU31" s="1">
        <f t="shared" ref="AU31" si="63">SUM(AU27:AU30)</f>
        <v>1798</v>
      </c>
      <c r="AV31" s="1">
        <f t="shared" ref="AV31" si="64">SUM(AV27:AV30)</f>
        <v>1628</v>
      </c>
      <c r="AW31" s="1">
        <f t="shared" ref="AW31" si="65">SUM(AW27:AW30)</f>
        <v>1732</v>
      </c>
      <c r="AX31" s="1">
        <f t="shared" ref="AX31" si="66">SUM(AX27:AX30)</f>
        <v>2062</v>
      </c>
      <c r="AY31" s="1">
        <f t="shared" ref="AY31:BN31" si="67">SUM(AY27:AY30)</f>
        <v>1958</v>
      </c>
      <c r="AZ31" s="1">
        <f t="shared" si="67"/>
        <v>2187</v>
      </c>
      <c r="BA31" s="1">
        <f t="shared" si="67"/>
        <v>2268</v>
      </c>
      <c r="BB31" s="1">
        <f t="shared" si="67"/>
        <v>2389</v>
      </c>
      <c r="BC31" s="1">
        <f t="shared" si="67"/>
        <v>2217</v>
      </c>
      <c r="BD31" s="1">
        <f t="shared" si="67"/>
        <v>2479</v>
      </c>
      <c r="BE31" s="1">
        <f t="shared" si="67"/>
        <v>2644</v>
      </c>
      <c r="BF31" s="1">
        <f t="shared" si="67"/>
        <v>2633</v>
      </c>
      <c r="BG31" s="1">
        <f t="shared" si="67"/>
        <v>2612</v>
      </c>
      <c r="BH31" s="1">
        <f t="shared" si="67"/>
        <v>2613</v>
      </c>
      <c r="BI31" s="1">
        <f t="shared" si="67"/>
        <v>2689</v>
      </c>
      <c r="BJ31" s="1">
        <f t="shared" si="67"/>
        <v>3176</v>
      </c>
      <c r="BK31" s="1">
        <f t="shared" si="67"/>
        <v>2744</v>
      </c>
      <c r="BL31" s="1">
        <f t="shared" si="67"/>
        <v>2925</v>
      </c>
      <c r="BM31" s="1">
        <f t="shared" si="67"/>
        <v>3365</v>
      </c>
      <c r="BN31" s="1">
        <f t="shared" si="67"/>
        <v>3551</v>
      </c>
      <c r="BO31" s="1">
        <f>SUM(BO27:BO30)</f>
        <v>3101</v>
      </c>
      <c r="BP31" s="1">
        <f>SUM(BP27:BP30)</f>
        <v>3356</v>
      </c>
      <c r="BQ31" s="1">
        <f>SUM(BQ27:BQ30)</f>
        <v>3541</v>
      </c>
      <c r="CA31" s="1">
        <f t="shared" si="41"/>
        <v>2839</v>
      </c>
      <c r="CB31" s="1">
        <f t="shared" si="42"/>
        <v>2787</v>
      </c>
      <c r="CC31" s="1">
        <f t="shared" si="43"/>
        <v>4001</v>
      </c>
      <c r="CD31" s="1">
        <f t="shared" si="44"/>
        <v>3454</v>
      </c>
      <c r="CE31" s="1">
        <f t="shared" si="45"/>
        <v>3809</v>
      </c>
      <c r="CF31" s="1">
        <f t="shared" si="46"/>
        <v>4335</v>
      </c>
      <c r="CG31" s="1">
        <f t="shared" si="47"/>
        <v>4589</v>
      </c>
      <c r="CH31" s="1">
        <f t="shared" si="48"/>
        <v>5015</v>
      </c>
      <c r="CI31" s="1">
        <f t="shared" si="49"/>
        <v>5875</v>
      </c>
      <c r="CJ31" s="1">
        <f t="shared" si="50"/>
        <v>7668</v>
      </c>
      <c r="CK31" s="1">
        <f t="shared" si="51"/>
        <v>7219</v>
      </c>
      <c r="CL31" s="1">
        <f t="shared" si="52"/>
        <v>7220</v>
      </c>
      <c r="CM31" s="1">
        <f t="shared" si="53"/>
        <v>8802</v>
      </c>
      <c r="CN31" s="1">
        <f t="shared" si="54"/>
        <v>9973</v>
      </c>
      <c r="CO31" s="1">
        <f t="shared" si="55"/>
        <v>11090</v>
      </c>
      <c r="CP31" s="1">
        <f t="shared" si="56"/>
        <v>12585</v>
      </c>
      <c r="CQ31" s="63">
        <f>SUM(CQ27:CQ30)</f>
        <v>13868.375009999998</v>
      </c>
      <c r="CR31" s="63">
        <f t="shared" ref="CR31:CZ31" si="68">SUM(CR27:CR30)</f>
        <v>15608.364450525001</v>
      </c>
      <c r="CS31" s="63">
        <f t="shared" si="68"/>
        <v>16635.75254189712</v>
      </c>
      <c r="CT31" s="63">
        <f t="shared" si="68"/>
        <v>18301.368185273281</v>
      </c>
      <c r="CU31" s="63">
        <f t="shared" si="68"/>
        <v>19625.123762981144</v>
      </c>
      <c r="CV31" s="63">
        <f t="shared" si="68"/>
        <v>21198.682187352071</v>
      </c>
      <c r="CW31" s="63">
        <f t="shared" si="68"/>
        <v>22478.252152690296</v>
      </c>
      <c r="CX31" s="63">
        <f t="shared" si="68"/>
        <v>23688.737467774867</v>
      </c>
      <c r="CY31" s="63">
        <f t="shared" si="68"/>
        <v>24814.347497969386</v>
      </c>
      <c r="CZ31" s="63">
        <f t="shared" si="68"/>
        <v>25870.759013282041</v>
      </c>
    </row>
    <row r="32" spans="2:158">
      <c r="B32" s="1" t="s">
        <v>1492</v>
      </c>
      <c r="C32" s="52">
        <f t="shared" ref="C32:AT32" si="69">C26-C31</f>
        <v>561</v>
      </c>
      <c r="D32" s="52">
        <f t="shared" si="69"/>
        <v>557</v>
      </c>
      <c r="E32" s="52">
        <f t="shared" si="69"/>
        <v>673</v>
      </c>
      <c r="F32" s="52">
        <f t="shared" si="69"/>
        <v>469</v>
      </c>
      <c r="G32" s="52">
        <f t="shared" si="69"/>
        <v>700</v>
      </c>
      <c r="H32" s="52">
        <f t="shared" si="69"/>
        <v>717</v>
      </c>
      <c r="I32" s="52">
        <f t="shared" si="69"/>
        <v>766</v>
      </c>
      <c r="J32" s="52">
        <f t="shared" si="69"/>
        <v>569</v>
      </c>
      <c r="K32" s="52">
        <f t="shared" si="69"/>
        <v>836</v>
      </c>
      <c r="L32" s="52">
        <f t="shared" si="69"/>
        <v>885</v>
      </c>
      <c r="M32" s="52">
        <f t="shared" si="69"/>
        <v>1002</v>
      </c>
      <c r="N32" s="52">
        <f t="shared" si="69"/>
        <v>-10</v>
      </c>
      <c r="O32" s="52">
        <f t="shared" si="69"/>
        <v>1000</v>
      </c>
      <c r="P32" s="52">
        <f t="shared" si="69"/>
        <v>974</v>
      </c>
      <c r="Q32" s="52">
        <f t="shared" si="69"/>
        <v>1064</v>
      </c>
      <c r="R32" s="52">
        <f t="shared" si="69"/>
        <v>899</v>
      </c>
      <c r="S32" s="52">
        <f t="shared" si="69"/>
        <v>1107</v>
      </c>
      <c r="T32" s="52">
        <f t="shared" si="69"/>
        <v>1228</v>
      </c>
      <c r="U32" s="52">
        <f t="shared" si="69"/>
        <v>1248</v>
      </c>
      <c r="V32" s="52">
        <f t="shared" si="69"/>
        <v>920</v>
      </c>
      <c r="W32" s="52">
        <f t="shared" si="69"/>
        <v>1285</v>
      </c>
      <c r="X32" s="52">
        <f t="shared" si="69"/>
        <v>1383</v>
      </c>
      <c r="Y32" s="52">
        <f t="shared" si="69"/>
        <v>1420</v>
      </c>
      <c r="Z32" s="52">
        <f t="shared" si="69"/>
        <v>1018</v>
      </c>
      <c r="AA32" s="52">
        <f t="shared" si="69"/>
        <v>1351</v>
      </c>
      <c r="AB32" s="52">
        <f t="shared" si="69"/>
        <v>1251</v>
      </c>
      <c r="AC32" s="52">
        <f t="shared" si="69"/>
        <v>1369</v>
      </c>
      <c r="AD32" s="52">
        <f t="shared" si="69"/>
        <v>1107</v>
      </c>
      <c r="AE32" s="52">
        <f t="shared" si="69"/>
        <v>1348</v>
      </c>
      <c r="AF32" s="52">
        <f t="shared" si="69"/>
        <v>1380</v>
      </c>
      <c r="AG32" s="52">
        <f t="shared" si="69"/>
        <v>1670</v>
      </c>
      <c r="AH32" s="52">
        <f t="shared" si="69"/>
        <v>1363</v>
      </c>
      <c r="AI32" s="52">
        <f t="shared" si="69"/>
        <v>1506</v>
      </c>
      <c r="AJ32" s="52">
        <f t="shared" si="69"/>
        <v>1653</v>
      </c>
      <c r="AK32" s="52">
        <f t="shared" si="69"/>
        <v>1941</v>
      </c>
      <c r="AL32" s="52">
        <f t="shared" si="69"/>
        <v>1522</v>
      </c>
      <c r="AM32" s="52">
        <f t="shared" si="69"/>
        <v>1825</v>
      </c>
      <c r="AN32" s="52">
        <f t="shared" si="69"/>
        <v>1936</v>
      </c>
      <c r="AO32" s="52">
        <f t="shared" si="69"/>
        <v>2287</v>
      </c>
      <c r="AP32" s="52">
        <f t="shared" si="69"/>
        <v>1234</v>
      </c>
      <c r="AQ32" s="52">
        <f t="shared" si="69"/>
        <v>2213</v>
      </c>
      <c r="AR32" s="52">
        <f t="shared" si="69"/>
        <v>2397</v>
      </c>
      <c r="AS32" s="52">
        <f t="shared" si="69"/>
        <v>2655</v>
      </c>
      <c r="AT32" s="52">
        <f t="shared" si="69"/>
        <v>2399</v>
      </c>
      <c r="AU32" s="1">
        <f t="shared" ref="AU32:BJ32" si="70">AU26-AU31</f>
        <v>2211</v>
      </c>
      <c r="AV32" s="1">
        <f t="shared" si="70"/>
        <v>1707</v>
      </c>
      <c r="AW32" s="1">
        <f t="shared" si="70"/>
        <v>2105</v>
      </c>
      <c r="AX32" s="1">
        <f t="shared" si="70"/>
        <v>2058</v>
      </c>
      <c r="AY32" s="1">
        <f t="shared" si="70"/>
        <v>2197</v>
      </c>
      <c r="AZ32" s="1">
        <f t="shared" si="70"/>
        <v>2341</v>
      </c>
      <c r="BA32" s="1">
        <f t="shared" si="70"/>
        <v>2717</v>
      </c>
      <c r="BB32" s="1">
        <f t="shared" si="70"/>
        <v>2827</v>
      </c>
      <c r="BC32" s="1">
        <f t="shared" si="70"/>
        <v>2950</v>
      </c>
      <c r="BD32" s="1">
        <f t="shared" si="70"/>
        <v>3018</v>
      </c>
      <c r="BE32" s="1">
        <f t="shared" si="70"/>
        <v>3112</v>
      </c>
      <c r="BF32" s="1">
        <f t="shared" si="70"/>
        <v>3184</v>
      </c>
      <c r="BG32" s="1">
        <f t="shared" si="70"/>
        <v>3136</v>
      </c>
      <c r="BH32" s="1">
        <f t="shared" si="70"/>
        <v>3656</v>
      </c>
      <c r="BI32" s="1">
        <f t="shared" si="70"/>
        <v>3844</v>
      </c>
      <c r="BJ32" s="1">
        <f t="shared" si="70"/>
        <v>3372</v>
      </c>
      <c r="BK32" s="1">
        <f t="shared" ref="BK32:BN32" si="71">BK26-BK31</f>
        <v>3604</v>
      </c>
      <c r="BL32" s="1">
        <f t="shared" si="71"/>
        <v>4036</v>
      </c>
      <c r="BM32" s="1">
        <f t="shared" si="71"/>
        <v>4004</v>
      </c>
      <c r="BN32" s="1">
        <f t="shared" si="71"/>
        <v>3938</v>
      </c>
      <c r="BO32" s="1">
        <f>BO26-BO31</f>
        <v>4149</v>
      </c>
      <c r="BP32" s="1">
        <f>BP26-BP31</f>
        <v>4777</v>
      </c>
      <c r="BQ32" s="1">
        <f>BQ26-BQ31</f>
        <v>5061</v>
      </c>
      <c r="CA32" s="1">
        <f t="shared" si="41"/>
        <v>2260</v>
      </c>
      <c r="CB32" s="1">
        <f t="shared" si="42"/>
        <v>2752</v>
      </c>
      <c r="CC32" s="1">
        <f t="shared" si="43"/>
        <v>2713</v>
      </c>
      <c r="CD32" s="1">
        <f t="shared" si="44"/>
        <v>3937</v>
      </c>
      <c r="CE32" s="1">
        <f t="shared" si="45"/>
        <v>4503</v>
      </c>
      <c r="CF32" s="1">
        <f t="shared" si="46"/>
        <v>5106</v>
      </c>
      <c r="CG32" s="1">
        <f t="shared" si="47"/>
        <v>5078</v>
      </c>
      <c r="CH32" s="1">
        <f t="shared" si="48"/>
        <v>5761</v>
      </c>
      <c r="CI32" s="1">
        <f t="shared" si="49"/>
        <v>6622</v>
      </c>
      <c r="CJ32" s="1">
        <f t="shared" si="50"/>
        <v>7282</v>
      </c>
      <c r="CK32" s="1">
        <f t="shared" si="51"/>
        <v>9664</v>
      </c>
      <c r="CL32" s="1">
        <f t="shared" si="52"/>
        <v>8081</v>
      </c>
      <c r="CM32" s="1">
        <f t="shared" si="53"/>
        <v>10082</v>
      </c>
      <c r="CN32" s="1">
        <f t="shared" si="54"/>
        <v>12264</v>
      </c>
      <c r="CO32" s="1">
        <f t="shared" si="55"/>
        <v>14008</v>
      </c>
      <c r="CP32" s="1">
        <f t="shared" si="56"/>
        <v>15582</v>
      </c>
      <c r="CQ32" s="63">
        <f>CQ26-CQ31</f>
        <v>18610.254990000001</v>
      </c>
      <c r="CR32" s="63">
        <f t="shared" ref="CR32:CZ32" si="72">CR26-CR31</f>
        <v>21247.277699474998</v>
      </c>
      <c r="CS32" s="63">
        <f t="shared" si="72"/>
        <v>24644.030440477873</v>
      </c>
      <c r="CT32" s="63">
        <f t="shared" si="72"/>
        <v>27739.809639313589</v>
      </c>
      <c r="CU32" s="63">
        <f t="shared" si="72"/>
        <v>31415.510210962013</v>
      </c>
      <c r="CV32" s="63">
        <f t="shared" si="72"/>
        <v>34367.981475431865</v>
      </c>
      <c r="CW32" s="63">
        <f t="shared" si="72"/>
        <v>36909.468197878508</v>
      </c>
      <c r="CX32" s="63">
        <f t="shared" si="72"/>
        <v>39062.884963416836</v>
      </c>
      <c r="CY32" s="63">
        <f t="shared" si="72"/>
        <v>41181.25754982153</v>
      </c>
      <c r="CZ32" s="63">
        <f t="shared" si="72"/>
        <v>43210.03942004784</v>
      </c>
    </row>
    <row r="33" spans="2:158">
      <c r="B33" s="1" t="s">
        <v>1493</v>
      </c>
      <c r="C33" s="44">
        <v>-11</v>
      </c>
      <c r="D33" s="44">
        <v>-21</v>
      </c>
      <c r="E33" s="44">
        <v>-13</v>
      </c>
      <c r="F33" s="44">
        <v>3</v>
      </c>
      <c r="G33" s="44">
        <v>-5</v>
      </c>
      <c r="H33" s="44">
        <v>-4</v>
      </c>
      <c r="I33" s="44">
        <v>1</v>
      </c>
      <c r="J33" s="44">
        <v>13</v>
      </c>
      <c r="K33" s="44">
        <v>0</v>
      </c>
      <c r="L33" s="44">
        <v>7</v>
      </c>
      <c r="M33" s="44">
        <v>28</v>
      </c>
      <c r="N33" s="44" t="s">
        <v>1504</v>
      </c>
      <c r="O33" s="44">
        <v>0</v>
      </c>
      <c r="P33" s="44">
        <v>-1</v>
      </c>
      <c r="Q33" s="44">
        <v>2</v>
      </c>
      <c r="R33" s="44">
        <v>-5</v>
      </c>
      <c r="S33" s="44">
        <v>-5</v>
      </c>
      <c r="T33" s="44">
        <v>5</v>
      </c>
      <c r="U33" s="44">
        <v>6</v>
      </c>
      <c r="V33" s="44">
        <v>-9</v>
      </c>
      <c r="W33" s="44">
        <v>-4</v>
      </c>
      <c r="X33" s="44">
        <v>-10</v>
      </c>
      <c r="Y33" s="44">
        <v>-2</v>
      </c>
      <c r="Z33" s="44">
        <v>-11</v>
      </c>
      <c r="AA33" s="44">
        <v>-11</v>
      </c>
      <c r="AB33" s="44">
        <v>-10</v>
      </c>
      <c r="AC33" s="44">
        <v>-17</v>
      </c>
      <c r="AD33" s="44">
        <v>-82</v>
      </c>
      <c r="AE33" s="44">
        <v>-11</v>
      </c>
      <c r="AF33" s="44">
        <v>-15</v>
      </c>
      <c r="AG33" s="44">
        <v>-37</v>
      </c>
      <c r="AH33" s="44">
        <v>-52</v>
      </c>
      <c r="AI33" s="44">
        <v>-28</v>
      </c>
      <c r="AJ33" s="44">
        <v>-25</v>
      </c>
      <c r="AK33" s="44">
        <v>-9</v>
      </c>
      <c r="AL33" s="44">
        <v>-38</v>
      </c>
      <c r="AM33" s="44">
        <v>-22</v>
      </c>
      <c r="AN33" s="44">
        <v>-14</v>
      </c>
      <c r="AO33" s="44">
        <v>-23</v>
      </c>
      <c r="AP33" s="44">
        <v>-19</v>
      </c>
      <c r="AQ33" s="44">
        <v>-10</v>
      </c>
      <c r="AR33" s="44">
        <v>122</v>
      </c>
      <c r="AS33" s="44">
        <v>-121</v>
      </c>
      <c r="AT33" s="44">
        <v>76</v>
      </c>
      <c r="AU33" s="1">
        <v>16</v>
      </c>
      <c r="AV33" s="1">
        <v>8</v>
      </c>
      <c r="AW33" s="1">
        <v>3</v>
      </c>
      <c r="AX33" s="1">
        <f>24-SUM(AU33:AW33)</f>
        <v>-3</v>
      </c>
      <c r="AY33" s="1">
        <v>1</v>
      </c>
      <c r="AZ33" s="1">
        <v>3</v>
      </c>
      <c r="BA33" s="1">
        <v>5</v>
      </c>
      <c r="BB33" s="1">
        <f>11-SUM(AY33:BA33)</f>
        <v>2</v>
      </c>
      <c r="BC33" s="1">
        <v>5</v>
      </c>
      <c r="BD33" s="1">
        <v>7</v>
      </c>
      <c r="BE33" s="1">
        <v>16</v>
      </c>
      <c r="BF33" s="1">
        <f>61-SUM(BC33:BE33)</f>
        <v>33</v>
      </c>
      <c r="BG33" s="1">
        <v>55</v>
      </c>
      <c r="BH33" s="1">
        <v>59</v>
      </c>
      <c r="BI33" s="1">
        <v>71</v>
      </c>
      <c r="BJ33" s="1">
        <f>274-SUM(BG33:BI33)</f>
        <v>89</v>
      </c>
      <c r="BK33" s="1">
        <v>95</v>
      </c>
      <c r="BL33" s="1">
        <v>60</v>
      </c>
      <c r="BM33" s="1">
        <v>76</v>
      </c>
      <c r="BN33" s="1">
        <f>327-SUM(BK33:BM33)</f>
        <v>96</v>
      </c>
      <c r="BO33" s="1">
        <v>88</v>
      </c>
      <c r="BP33" s="1">
        <v>70</v>
      </c>
      <c r="BQ33" s="1">
        <v>81</v>
      </c>
      <c r="CA33" s="1">
        <f t="shared" si="41"/>
        <v>-42</v>
      </c>
      <c r="CB33" s="1">
        <f t="shared" si="42"/>
        <v>5</v>
      </c>
      <c r="CC33" s="1">
        <f t="shared" si="43"/>
        <v>35</v>
      </c>
      <c r="CD33" s="1">
        <f t="shared" si="44"/>
        <v>-4</v>
      </c>
      <c r="CE33" s="1">
        <f t="shared" si="45"/>
        <v>-3</v>
      </c>
      <c r="CF33" s="1">
        <f t="shared" si="46"/>
        <v>-27</v>
      </c>
      <c r="CG33" s="1">
        <f t="shared" si="47"/>
        <v>-120</v>
      </c>
      <c r="CH33" s="1">
        <f t="shared" si="48"/>
        <v>-115</v>
      </c>
      <c r="CI33" s="1">
        <f t="shared" si="49"/>
        <v>-100</v>
      </c>
      <c r="CJ33" s="1">
        <f t="shared" si="50"/>
        <v>-78</v>
      </c>
      <c r="CK33" s="1">
        <f t="shared" si="51"/>
        <v>67</v>
      </c>
      <c r="CL33" s="1">
        <f t="shared" si="52"/>
        <v>24</v>
      </c>
      <c r="CM33" s="1">
        <f t="shared" si="53"/>
        <v>11</v>
      </c>
      <c r="CN33" s="1">
        <f t="shared" si="54"/>
        <v>61</v>
      </c>
      <c r="CO33" s="1">
        <f t="shared" si="55"/>
        <v>274</v>
      </c>
      <c r="CP33" s="1">
        <f t="shared" si="56"/>
        <v>327</v>
      </c>
      <c r="CQ33" s="63">
        <f>CP51*($CZ$53)</f>
        <v>3207.96</v>
      </c>
      <c r="CR33" s="63">
        <f t="shared" ref="CR33:CZ33" si="73">CQ33*(1+$CZ$53)</f>
        <v>4426.9847999999993</v>
      </c>
      <c r="CS33" s="63">
        <f t="shared" si="73"/>
        <v>6109.2390239999986</v>
      </c>
      <c r="CT33" s="63">
        <f t="shared" si="73"/>
        <v>8430.7498531199981</v>
      </c>
      <c r="CU33" s="63">
        <f t="shared" si="73"/>
        <v>11634.434797305596</v>
      </c>
      <c r="CV33" s="63">
        <f t="shared" si="73"/>
        <v>16055.520020281721</v>
      </c>
      <c r="CW33" s="63">
        <f t="shared" si="73"/>
        <v>22156.617627988773</v>
      </c>
      <c r="CX33" s="63">
        <f t="shared" si="73"/>
        <v>30576.132326624505</v>
      </c>
      <c r="CY33" s="63">
        <f t="shared" si="73"/>
        <v>42195.062610741814</v>
      </c>
      <c r="CZ33" s="63">
        <f t="shared" si="73"/>
        <v>58229.186402823696</v>
      </c>
    </row>
    <row r="34" spans="2:158">
      <c r="B34" s="1" t="s">
        <v>1494</v>
      </c>
      <c r="AU34" s="1">
        <v>-174</v>
      </c>
      <c r="AV34" s="1">
        <v>75</v>
      </c>
      <c r="AW34" s="1">
        <v>-91</v>
      </c>
      <c r="AX34" s="1">
        <f>30-SUM(AU34:AW34)</f>
        <v>220</v>
      </c>
      <c r="AY34" s="1">
        <v>94</v>
      </c>
      <c r="AZ34" s="1">
        <v>243</v>
      </c>
      <c r="BA34" s="1">
        <v>197</v>
      </c>
      <c r="BB34" s="1">
        <f>645-SUM(AY34:BA34)</f>
        <v>111</v>
      </c>
      <c r="BC34" s="1">
        <v>-76</v>
      </c>
      <c r="BD34" s="1">
        <v>-117</v>
      </c>
      <c r="BE34" s="1">
        <v>60</v>
      </c>
      <c r="BF34" s="1">
        <f>-145-SUM(BC34:BE34)</f>
        <v>-12</v>
      </c>
      <c r="BG34" s="1">
        <v>-212</v>
      </c>
      <c r="BH34" s="1">
        <v>123</v>
      </c>
      <c r="BI34" s="1">
        <v>-6</v>
      </c>
      <c r="BJ34" s="1">
        <f>-61-SUM(BG34:BI34)</f>
        <v>34</v>
      </c>
      <c r="BK34" s="1">
        <v>6</v>
      </c>
      <c r="BL34" s="1">
        <v>-13</v>
      </c>
      <c r="BM34" s="1">
        <v>-62</v>
      </c>
      <c r="BN34" s="1">
        <f>-29-SUM(BK34:BM34)</f>
        <v>40</v>
      </c>
      <c r="BO34" s="1">
        <v>-29</v>
      </c>
      <c r="BP34" s="1">
        <v>4</v>
      </c>
      <c r="BQ34" s="1">
        <v>41</v>
      </c>
      <c r="CA34" s="1">
        <f t="shared" si="41"/>
        <v>0</v>
      </c>
      <c r="CB34" s="1">
        <f t="shared" si="42"/>
        <v>0</v>
      </c>
      <c r="CC34" s="1">
        <f t="shared" si="43"/>
        <v>0</v>
      </c>
      <c r="CD34" s="1">
        <f t="shared" si="44"/>
        <v>0</v>
      </c>
      <c r="CE34" s="1">
        <f t="shared" si="45"/>
        <v>0</v>
      </c>
      <c r="CF34" s="1">
        <f t="shared" si="46"/>
        <v>0</v>
      </c>
      <c r="CG34" s="1">
        <f t="shared" si="47"/>
        <v>0</v>
      </c>
      <c r="CH34" s="1">
        <f t="shared" si="48"/>
        <v>0</v>
      </c>
      <c r="CI34" s="1">
        <f t="shared" si="49"/>
        <v>0</v>
      </c>
      <c r="CJ34" s="1">
        <f t="shared" si="50"/>
        <v>0</v>
      </c>
      <c r="CK34" s="1">
        <f t="shared" si="51"/>
        <v>0</v>
      </c>
      <c r="CL34" s="1">
        <f t="shared" si="52"/>
        <v>30</v>
      </c>
      <c r="CM34" s="1">
        <f t="shared" si="53"/>
        <v>645</v>
      </c>
      <c r="CN34" s="1">
        <f t="shared" si="54"/>
        <v>-145</v>
      </c>
      <c r="CO34" s="1">
        <f t="shared" si="55"/>
        <v>-61</v>
      </c>
      <c r="CP34" s="1">
        <f t="shared" si="56"/>
        <v>-29</v>
      </c>
      <c r="CQ34" s="35">
        <v>0</v>
      </c>
      <c r="CR34" s="35">
        <v>0</v>
      </c>
      <c r="CS34" s="35">
        <v>0</v>
      </c>
      <c r="CT34" s="35">
        <v>0</v>
      </c>
      <c r="CU34" s="35">
        <v>0</v>
      </c>
      <c r="CV34" s="35">
        <v>0</v>
      </c>
      <c r="CW34" s="35">
        <v>0</v>
      </c>
      <c r="CX34" s="35">
        <v>0</v>
      </c>
      <c r="CY34" s="35">
        <v>0</v>
      </c>
      <c r="CZ34" s="35">
        <v>0</v>
      </c>
    </row>
    <row r="35" spans="2:158">
      <c r="B35" s="1" t="s">
        <v>1502</v>
      </c>
      <c r="AU35" s="1">
        <v>-69</v>
      </c>
      <c r="AV35" s="1">
        <v>-101</v>
      </c>
      <c r="AW35" s="1">
        <v>-105</v>
      </c>
      <c r="AX35" s="1">
        <f>-380-SUM(AU35:AW35)</f>
        <v>-105</v>
      </c>
      <c r="AY35" s="1">
        <v>-107</v>
      </c>
      <c r="AZ35" s="1">
        <v>-106</v>
      </c>
      <c r="BA35" s="1">
        <v>-110</v>
      </c>
      <c r="BB35" s="1">
        <f>-431-SUM(AY35:BA35)</f>
        <v>-108</v>
      </c>
      <c r="BC35" s="1">
        <v>-110</v>
      </c>
      <c r="BD35" s="1">
        <v>-114</v>
      </c>
      <c r="BE35" s="1">
        <v>-120</v>
      </c>
      <c r="BF35" s="1">
        <f>-471-SUM(BC35:BE35)</f>
        <v>-127</v>
      </c>
      <c r="BG35" s="1">
        <v>-132</v>
      </c>
      <c r="BH35" s="1">
        <v>-144</v>
      </c>
      <c r="BI35" s="1">
        <v>-151</v>
      </c>
      <c r="BJ35" s="1">
        <f>-575-SUM(BG35:BI35)</f>
        <v>-148</v>
      </c>
      <c r="BK35" s="1">
        <v>-150</v>
      </c>
      <c r="BL35" s="1">
        <v>-153</v>
      </c>
      <c r="BM35" s="1">
        <v>-159</v>
      </c>
      <c r="BN35" s="1">
        <f>-646-SUM(BK35:BM35)</f>
        <v>-184</v>
      </c>
      <c r="BO35" s="1">
        <v>-182</v>
      </c>
      <c r="BP35" s="1">
        <v>-195</v>
      </c>
      <c r="BQ35" s="1">
        <v>-186</v>
      </c>
      <c r="CA35" s="1">
        <f t="shared" si="41"/>
        <v>0</v>
      </c>
      <c r="CB35" s="1">
        <f t="shared" si="42"/>
        <v>0</v>
      </c>
      <c r="CC35" s="1">
        <f t="shared" si="43"/>
        <v>0</v>
      </c>
      <c r="CD35" s="1">
        <f t="shared" si="44"/>
        <v>0</v>
      </c>
      <c r="CE35" s="1">
        <f t="shared" si="45"/>
        <v>0</v>
      </c>
      <c r="CF35" s="1">
        <f t="shared" si="46"/>
        <v>0</v>
      </c>
      <c r="CG35" s="1">
        <f t="shared" si="47"/>
        <v>0</v>
      </c>
      <c r="CH35" s="1">
        <f t="shared" si="48"/>
        <v>0</v>
      </c>
      <c r="CI35" s="1">
        <f t="shared" si="49"/>
        <v>0</v>
      </c>
      <c r="CJ35" s="1">
        <f t="shared" si="50"/>
        <v>0</v>
      </c>
      <c r="CK35" s="1">
        <f t="shared" si="51"/>
        <v>0</v>
      </c>
      <c r="CL35" s="1">
        <f t="shared" si="52"/>
        <v>-380</v>
      </c>
      <c r="CM35" s="1">
        <f t="shared" si="53"/>
        <v>-431</v>
      </c>
      <c r="CN35" s="1">
        <f t="shared" si="54"/>
        <v>-471</v>
      </c>
      <c r="CO35" s="1">
        <f t="shared" si="55"/>
        <v>-575</v>
      </c>
      <c r="CP35" s="1">
        <f t="shared" si="56"/>
        <v>-646</v>
      </c>
      <c r="CQ35" s="63">
        <f>-($CP$70+$CP$72)*4.5%</f>
        <v>-820.17</v>
      </c>
      <c r="CR35" s="63">
        <f t="shared" ref="CR35:CZ35" si="74">-($CP$70+$CP$72)*4.5%</f>
        <v>-820.17</v>
      </c>
      <c r="CS35" s="63">
        <f t="shared" si="74"/>
        <v>-820.17</v>
      </c>
      <c r="CT35" s="63">
        <f t="shared" si="74"/>
        <v>-820.17</v>
      </c>
      <c r="CU35" s="63">
        <f t="shared" si="74"/>
        <v>-820.17</v>
      </c>
      <c r="CV35" s="63">
        <f t="shared" si="74"/>
        <v>-820.17</v>
      </c>
      <c r="CW35" s="63">
        <f t="shared" si="74"/>
        <v>-820.17</v>
      </c>
      <c r="CX35" s="63">
        <f t="shared" si="74"/>
        <v>-820.17</v>
      </c>
      <c r="CY35" s="63">
        <f t="shared" si="74"/>
        <v>-820.17</v>
      </c>
      <c r="CZ35" s="63">
        <f t="shared" si="74"/>
        <v>-820.17</v>
      </c>
    </row>
    <row r="36" spans="2:158">
      <c r="B36" s="1" t="s">
        <v>1495</v>
      </c>
      <c r="AU36" s="1">
        <v>3</v>
      </c>
      <c r="AV36" s="1">
        <v>1</v>
      </c>
      <c r="AW36" s="1">
        <v>3</v>
      </c>
      <c r="AX36" s="1">
        <f>5-SUM(AU36:AW36)</f>
        <v>-2</v>
      </c>
      <c r="AY36" s="1">
        <v>5</v>
      </c>
      <c r="AZ36" s="1">
        <v>-3</v>
      </c>
      <c r="BA36" s="1">
        <v>7</v>
      </c>
      <c r="BB36" s="1">
        <f>0-SUM(AY36:BA36)</f>
        <v>-9</v>
      </c>
      <c r="BC36" s="1">
        <v>4</v>
      </c>
      <c r="BD36" s="1">
        <v>4</v>
      </c>
      <c r="BE36" s="1">
        <v>4</v>
      </c>
      <c r="BF36" s="1">
        <f>23-SUM(BC36:BE36)</f>
        <v>11</v>
      </c>
      <c r="BG36" s="1">
        <v>6</v>
      </c>
      <c r="BH36" s="1">
        <v>10</v>
      </c>
      <c r="BI36" s="1">
        <v>3</v>
      </c>
      <c r="BJ36" s="1">
        <f>-7-SUM(BG36:BI36)</f>
        <v>-26</v>
      </c>
      <c r="BK36" s="1">
        <v>3</v>
      </c>
      <c r="BL36" s="1">
        <v>9</v>
      </c>
      <c r="BM36" s="1">
        <v>7</v>
      </c>
      <c r="BN36" s="1">
        <f>20-SUM(BK36:BM36)</f>
        <v>1</v>
      </c>
      <c r="BO36" s="1">
        <v>5</v>
      </c>
      <c r="BP36" s="1">
        <v>16</v>
      </c>
      <c r="BQ36" s="1">
        <v>2</v>
      </c>
      <c r="CA36" s="1">
        <f t="shared" si="41"/>
        <v>0</v>
      </c>
      <c r="CB36" s="1">
        <f t="shared" si="42"/>
        <v>0</v>
      </c>
      <c r="CC36" s="1">
        <f t="shared" si="43"/>
        <v>0</v>
      </c>
      <c r="CD36" s="1">
        <f t="shared" si="44"/>
        <v>0</v>
      </c>
      <c r="CE36" s="1">
        <f t="shared" si="45"/>
        <v>0</v>
      </c>
      <c r="CF36" s="1">
        <f t="shared" si="46"/>
        <v>0</v>
      </c>
      <c r="CG36" s="1">
        <f t="shared" si="47"/>
        <v>0</v>
      </c>
      <c r="CH36" s="1">
        <f t="shared" si="48"/>
        <v>0</v>
      </c>
      <c r="CI36" s="1">
        <f t="shared" si="49"/>
        <v>0</v>
      </c>
      <c r="CJ36" s="1">
        <f t="shared" si="50"/>
        <v>0</v>
      </c>
      <c r="CK36" s="1">
        <f t="shared" si="51"/>
        <v>0</v>
      </c>
      <c r="CL36" s="1">
        <f t="shared" si="52"/>
        <v>5</v>
      </c>
      <c r="CM36" s="1">
        <f t="shared" si="53"/>
        <v>0</v>
      </c>
      <c r="CN36" s="1">
        <f t="shared" si="54"/>
        <v>23</v>
      </c>
      <c r="CO36" s="1">
        <f t="shared" si="55"/>
        <v>-7</v>
      </c>
      <c r="CP36" s="1">
        <f t="shared" si="56"/>
        <v>20</v>
      </c>
      <c r="CQ36" s="35">
        <v>0</v>
      </c>
      <c r="CR36" s="35">
        <v>0</v>
      </c>
      <c r="CS36" s="35">
        <v>0</v>
      </c>
      <c r="CT36" s="35">
        <v>0</v>
      </c>
      <c r="CU36" s="35">
        <v>0</v>
      </c>
      <c r="CV36" s="35">
        <v>0</v>
      </c>
      <c r="CW36" s="35">
        <v>0</v>
      </c>
      <c r="CX36" s="35">
        <v>0</v>
      </c>
      <c r="CY36" s="35">
        <v>0</v>
      </c>
      <c r="CZ36" s="35">
        <v>0</v>
      </c>
    </row>
    <row r="37" spans="2:158">
      <c r="B37" s="1" t="s">
        <v>1496</v>
      </c>
      <c r="C37" s="1">
        <f t="shared" ref="C37:AT37" si="75">C32+SUM(C33:C36)</f>
        <v>550</v>
      </c>
      <c r="D37" s="1">
        <f t="shared" si="75"/>
        <v>536</v>
      </c>
      <c r="E37" s="1">
        <f t="shared" si="75"/>
        <v>660</v>
      </c>
      <c r="F37" s="1">
        <f t="shared" si="75"/>
        <v>472</v>
      </c>
      <c r="G37" s="1">
        <f t="shared" si="75"/>
        <v>695</v>
      </c>
      <c r="H37" s="1">
        <f t="shared" si="75"/>
        <v>713</v>
      </c>
      <c r="I37" s="1">
        <f t="shared" si="75"/>
        <v>767</v>
      </c>
      <c r="J37" s="1">
        <f t="shared" si="75"/>
        <v>582</v>
      </c>
      <c r="K37" s="1">
        <f t="shared" si="75"/>
        <v>836</v>
      </c>
      <c r="L37" s="1">
        <f t="shared" si="75"/>
        <v>892</v>
      </c>
      <c r="M37" s="1">
        <f t="shared" si="75"/>
        <v>1030</v>
      </c>
      <c r="N37" s="1">
        <f t="shared" si="75"/>
        <v>-10</v>
      </c>
      <c r="O37" s="1">
        <f t="shared" si="75"/>
        <v>1000</v>
      </c>
      <c r="P37" s="1">
        <f t="shared" si="75"/>
        <v>973</v>
      </c>
      <c r="Q37" s="1">
        <f t="shared" si="75"/>
        <v>1066</v>
      </c>
      <c r="R37" s="1">
        <f t="shared" si="75"/>
        <v>894</v>
      </c>
      <c r="S37" s="1">
        <f t="shared" si="75"/>
        <v>1102</v>
      </c>
      <c r="T37" s="1">
        <f t="shared" si="75"/>
        <v>1233</v>
      </c>
      <c r="U37" s="1">
        <f t="shared" si="75"/>
        <v>1254</v>
      </c>
      <c r="V37" s="1">
        <f t="shared" si="75"/>
        <v>911</v>
      </c>
      <c r="W37" s="1">
        <f t="shared" si="75"/>
        <v>1281</v>
      </c>
      <c r="X37" s="1">
        <f t="shared" si="75"/>
        <v>1373</v>
      </c>
      <c r="Y37" s="1">
        <f t="shared" si="75"/>
        <v>1418</v>
      </c>
      <c r="Z37" s="1">
        <f t="shared" si="75"/>
        <v>1007</v>
      </c>
      <c r="AA37" s="1">
        <f t="shared" si="75"/>
        <v>1340</v>
      </c>
      <c r="AB37" s="1">
        <f t="shared" si="75"/>
        <v>1241</v>
      </c>
      <c r="AC37" s="1">
        <f t="shared" si="75"/>
        <v>1352</v>
      </c>
      <c r="AD37" s="1">
        <f t="shared" si="75"/>
        <v>1025</v>
      </c>
      <c r="AE37" s="1">
        <f t="shared" si="75"/>
        <v>1337</v>
      </c>
      <c r="AF37" s="1">
        <f t="shared" si="75"/>
        <v>1365</v>
      </c>
      <c r="AG37" s="1">
        <f t="shared" si="75"/>
        <v>1633</v>
      </c>
      <c r="AH37" s="1">
        <f t="shared" si="75"/>
        <v>1311</v>
      </c>
      <c r="AI37" s="1">
        <f t="shared" si="75"/>
        <v>1478</v>
      </c>
      <c r="AJ37" s="1">
        <f t="shared" si="75"/>
        <v>1628</v>
      </c>
      <c r="AK37" s="1">
        <f t="shared" si="75"/>
        <v>1932</v>
      </c>
      <c r="AL37" s="1">
        <f t="shared" si="75"/>
        <v>1484</v>
      </c>
      <c r="AM37" s="1">
        <f t="shared" si="75"/>
        <v>1803</v>
      </c>
      <c r="AN37" s="1">
        <f t="shared" si="75"/>
        <v>1922</v>
      </c>
      <c r="AO37" s="1">
        <f t="shared" si="75"/>
        <v>2264</v>
      </c>
      <c r="AP37" s="1">
        <f t="shared" si="75"/>
        <v>1215</v>
      </c>
      <c r="AQ37" s="1">
        <f t="shared" si="75"/>
        <v>2203</v>
      </c>
      <c r="AR37" s="1">
        <f t="shared" si="75"/>
        <v>2519</v>
      </c>
      <c r="AS37" s="1">
        <f t="shared" si="75"/>
        <v>2534</v>
      </c>
      <c r="AT37" s="1">
        <f t="shared" si="75"/>
        <v>2475</v>
      </c>
      <c r="AU37" s="1">
        <f t="shared" ref="AU37:BJ37" si="76">AU32+SUM(AU33:AU36)</f>
        <v>1987</v>
      </c>
      <c r="AV37" s="1">
        <f t="shared" si="76"/>
        <v>1690</v>
      </c>
      <c r="AW37" s="1">
        <f t="shared" si="76"/>
        <v>1915</v>
      </c>
      <c r="AX37" s="1">
        <f t="shared" si="76"/>
        <v>2168</v>
      </c>
      <c r="AY37" s="1">
        <f t="shared" si="76"/>
        <v>2190</v>
      </c>
      <c r="AZ37" s="1">
        <f t="shared" si="76"/>
        <v>2478</v>
      </c>
      <c r="BA37" s="1">
        <f t="shared" si="76"/>
        <v>2816</v>
      </c>
      <c r="BB37" s="1">
        <f t="shared" si="76"/>
        <v>2823</v>
      </c>
      <c r="BC37" s="1">
        <f t="shared" si="76"/>
        <v>2773</v>
      </c>
      <c r="BD37" s="1">
        <f t="shared" si="76"/>
        <v>2798</v>
      </c>
      <c r="BE37" s="1">
        <f t="shared" si="76"/>
        <v>3072</v>
      </c>
      <c r="BF37" s="1">
        <f t="shared" si="76"/>
        <v>3089</v>
      </c>
      <c r="BG37" s="1">
        <f t="shared" si="76"/>
        <v>2853</v>
      </c>
      <c r="BH37" s="1">
        <f t="shared" si="76"/>
        <v>3704</v>
      </c>
      <c r="BI37" s="1">
        <f t="shared" si="76"/>
        <v>3761</v>
      </c>
      <c r="BJ37" s="1">
        <f t="shared" si="76"/>
        <v>3321</v>
      </c>
      <c r="BK37" s="1">
        <f t="shared" ref="BK37:BN37" si="77">BK32+SUM(BK33:BK36)</f>
        <v>3558</v>
      </c>
      <c r="BL37" s="1">
        <f t="shared" si="77"/>
        <v>3939</v>
      </c>
      <c r="BM37" s="1">
        <f t="shared" si="77"/>
        <v>3866</v>
      </c>
      <c r="BN37" s="1">
        <f t="shared" si="77"/>
        <v>3891</v>
      </c>
      <c r="BO37" s="1">
        <f>BO32+SUM(BO33:BO36)</f>
        <v>4031</v>
      </c>
      <c r="BP37" s="1">
        <f>BP32+SUM(BP33:BP36)</f>
        <v>4672</v>
      </c>
      <c r="BQ37" s="1">
        <f>BQ32+SUM(BQ33:BQ36)</f>
        <v>4999</v>
      </c>
      <c r="CA37" s="1">
        <f t="shared" si="41"/>
        <v>2218</v>
      </c>
      <c r="CB37" s="1">
        <f t="shared" si="42"/>
        <v>2757</v>
      </c>
      <c r="CC37" s="1">
        <f t="shared" si="43"/>
        <v>2748</v>
      </c>
      <c r="CD37" s="1">
        <f t="shared" si="44"/>
        <v>3933</v>
      </c>
      <c r="CE37" s="1">
        <f t="shared" si="45"/>
        <v>4500</v>
      </c>
      <c r="CF37" s="1">
        <f t="shared" si="46"/>
        <v>5079</v>
      </c>
      <c r="CG37" s="1">
        <f t="shared" si="47"/>
        <v>4958</v>
      </c>
      <c r="CH37" s="1">
        <f t="shared" si="48"/>
        <v>5646</v>
      </c>
      <c r="CI37" s="1">
        <f t="shared" si="49"/>
        <v>6522</v>
      </c>
      <c r="CJ37" s="1">
        <f t="shared" si="50"/>
        <v>7204</v>
      </c>
      <c r="CK37" s="1">
        <f t="shared" si="51"/>
        <v>9731</v>
      </c>
      <c r="CL37" s="1">
        <f t="shared" si="52"/>
        <v>7760</v>
      </c>
      <c r="CM37" s="1">
        <f t="shared" si="53"/>
        <v>10307</v>
      </c>
      <c r="CN37" s="1">
        <f t="shared" si="54"/>
        <v>11732</v>
      </c>
      <c r="CO37" s="1">
        <f t="shared" si="55"/>
        <v>13639</v>
      </c>
      <c r="CP37" s="1">
        <f t="shared" si="56"/>
        <v>15254</v>
      </c>
      <c r="CQ37" s="63">
        <f>CQ32+SUM(CQ33:CQ36)</f>
        <v>20998.044990000002</v>
      </c>
      <c r="CR37" s="63">
        <f t="shared" ref="CR37:CZ37" si="78">CR32+SUM(CR33:CR36)</f>
        <v>24854.092499474998</v>
      </c>
      <c r="CS37" s="63">
        <f t="shared" si="78"/>
        <v>29933.099464477869</v>
      </c>
      <c r="CT37" s="63">
        <f t="shared" si="78"/>
        <v>35350.389492433591</v>
      </c>
      <c r="CU37" s="63">
        <f t="shared" si="78"/>
        <v>42229.775008267607</v>
      </c>
      <c r="CV37" s="63">
        <f t="shared" si="78"/>
        <v>49603.331495713588</v>
      </c>
      <c r="CW37" s="63">
        <f t="shared" si="78"/>
        <v>58245.915825867283</v>
      </c>
      <c r="CX37" s="63">
        <f t="shared" si="78"/>
        <v>68818.847290041347</v>
      </c>
      <c r="CY37" s="63">
        <f t="shared" si="78"/>
        <v>82556.150160563353</v>
      </c>
      <c r="CZ37" s="63">
        <f t="shared" si="78"/>
        <v>100619.05582287154</v>
      </c>
    </row>
    <row r="38" spans="2:158">
      <c r="B38" s="1" t="s">
        <v>1497</v>
      </c>
      <c r="C38" s="44">
        <v>183</v>
      </c>
      <c r="D38" s="44">
        <v>187</v>
      </c>
      <c r="E38" s="44">
        <v>221</v>
      </c>
      <c r="F38" s="44">
        <v>164</v>
      </c>
      <c r="G38" s="44">
        <v>240</v>
      </c>
      <c r="H38" s="44">
        <v>255</v>
      </c>
      <c r="I38" s="44">
        <v>248</v>
      </c>
      <c r="J38" s="44">
        <v>167</v>
      </c>
      <c r="K38" s="44">
        <v>274</v>
      </c>
      <c r="L38" s="44">
        <v>284</v>
      </c>
      <c r="M38" s="44">
        <v>314</v>
      </c>
      <c r="N38" s="44">
        <v>-30</v>
      </c>
      <c r="O38" s="44">
        <v>318</v>
      </c>
      <c r="P38" s="44">
        <v>273</v>
      </c>
      <c r="Q38" s="44">
        <v>294</v>
      </c>
      <c r="R38" s="44">
        <v>289</v>
      </c>
      <c r="S38" s="44">
        <v>336</v>
      </c>
      <c r="T38" s="44">
        <v>385</v>
      </c>
      <c r="U38" s="44">
        <v>375</v>
      </c>
      <c r="V38" s="44">
        <v>288</v>
      </c>
      <c r="W38" s="44">
        <v>411</v>
      </c>
      <c r="X38" s="44">
        <v>442</v>
      </c>
      <c r="Y38" s="44">
        <v>403</v>
      </c>
      <c r="Z38" s="44">
        <v>206</v>
      </c>
      <c r="AA38" s="44">
        <v>320</v>
      </c>
      <c r="AB38" s="44">
        <v>320</v>
      </c>
      <c r="AC38" s="44">
        <v>375</v>
      </c>
      <c r="AD38" s="44">
        <v>135</v>
      </c>
      <c r="AE38" s="44">
        <v>378</v>
      </c>
      <c r="AF38" s="44">
        <v>382</v>
      </c>
      <c r="AG38" s="44">
        <v>449</v>
      </c>
      <c r="AH38" s="44">
        <v>378</v>
      </c>
      <c r="AI38" s="44">
        <v>397</v>
      </c>
      <c r="AJ38" s="44">
        <v>451</v>
      </c>
      <c r="AK38" s="44">
        <v>502</v>
      </c>
      <c r="AL38" s="44">
        <v>1257</v>
      </c>
      <c r="AM38" s="44">
        <v>311</v>
      </c>
      <c r="AN38" s="44">
        <v>353</v>
      </c>
      <c r="AO38" s="44">
        <v>365</v>
      </c>
      <c r="AP38" s="44">
        <v>316</v>
      </c>
      <c r="AQ38" s="44">
        <v>341</v>
      </c>
      <c r="AR38" s="44">
        <v>471</v>
      </c>
      <c r="AS38" s="44">
        <v>426</v>
      </c>
      <c r="AT38" s="44">
        <v>375</v>
      </c>
      <c r="AU38" s="1">
        <v>294</v>
      </c>
      <c r="AV38" s="1">
        <v>270</v>
      </c>
      <c r="AW38" s="1">
        <v>402</v>
      </c>
      <c r="AX38" s="1">
        <f>1349-SUM(AU38:AW38)</f>
        <v>383</v>
      </c>
      <c r="AY38" s="1">
        <v>362</v>
      </c>
      <c r="AZ38" s="1">
        <v>412</v>
      </c>
      <c r="BA38" s="1">
        <v>402</v>
      </c>
      <c r="BB38" s="1">
        <f>1620-SUM(AY38:BA38)</f>
        <v>444</v>
      </c>
      <c r="BC38" s="1">
        <v>142</v>
      </c>
      <c r="BD38" s="1">
        <v>523</v>
      </c>
      <c r="BE38" s="1">
        <v>573</v>
      </c>
      <c r="BF38" s="1">
        <f>1802-SUM(BC38:BE38)</f>
        <v>564</v>
      </c>
      <c r="BG38" s="1">
        <v>492</v>
      </c>
      <c r="BH38" s="1">
        <v>859</v>
      </c>
      <c r="BI38" s="1">
        <v>563</v>
      </c>
      <c r="BJ38" s="1">
        <f>2444-SUM(BG38:BI38)</f>
        <v>530</v>
      </c>
      <c r="BK38" s="1">
        <v>547</v>
      </c>
      <c r="BL38" s="1">
        <v>681</v>
      </c>
      <c r="BM38" s="1">
        <v>603</v>
      </c>
      <c r="BN38" s="1">
        <f>2380-SUM(BK38:BM38)</f>
        <v>549</v>
      </c>
      <c r="BO38" s="1">
        <v>751</v>
      </c>
      <c r="BP38" s="1">
        <v>971</v>
      </c>
      <c r="BQ38" s="1">
        <v>1072</v>
      </c>
      <c r="CA38" s="1">
        <f t="shared" si="41"/>
        <v>755</v>
      </c>
      <c r="CB38" s="1">
        <f t="shared" si="42"/>
        <v>910</v>
      </c>
      <c r="CC38" s="1">
        <f t="shared" si="43"/>
        <v>842</v>
      </c>
      <c r="CD38" s="1">
        <f t="shared" si="44"/>
        <v>1174</v>
      </c>
      <c r="CE38" s="1">
        <f t="shared" si="45"/>
        <v>1384</v>
      </c>
      <c r="CF38" s="1">
        <f t="shared" si="46"/>
        <v>1462</v>
      </c>
      <c r="CG38" s="1">
        <f t="shared" si="47"/>
        <v>1150</v>
      </c>
      <c r="CH38" s="1">
        <f t="shared" si="48"/>
        <v>1587</v>
      </c>
      <c r="CI38" s="1">
        <f t="shared" si="49"/>
        <v>2607</v>
      </c>
      <c r="CJ38" s="1">
        <f t="shared" si="50"/>
        <v>1345</v>
      </c>
      <c r="CK38" s="1">
        <f t="shared" si="51"/>
        <v>1613</v>
      </c>
      <c r="CL38" s="1">
        <f t="shared" si="52"/>
        <v>1349</v>
      </c>
      <c r="CM38" s="1">
        <f t="shared" si="53"/>
        <v>1620</v>
      </c>
      <c r="CN38" s="1">
        <f t="shared" si="54"/>
        <v>1802</v>
      </c>
      <c r="CO38" s="1">
        <f t="shared" si="55"/>
        <v>2444</v>
      </c>
      <c r="CP38" s="1">
        <f t="shared" si="56"/>
        <v>2380</v>
      </c>
      <c r="CQ38" s="63">
        <f>CQ37*CQ48</f>
        <v>4199.6089980000006</v>
      </c>
      <c r="CR38" s="63">
        <f t="shared" ref="CR38:CZ38" si="79">CR37*CR48</f>
        <v>4970.8184998950001</v>
      </c>
      <c r="CS38" s="63">
        <f t="shared" si="79"/>
        <v>5986.6198928955746</v>
      </c>
      <c r="CT38" s="63">
        <f t="shared" si="79"/>
        <v>7070.0778984867184</v>
      </c>
      <c r="CU38" s="63">
        <f t="shared" si="79"/>
        <v>8445.9550016535213</v>
      </c>
      <c r="CV38" s="63">
        <f t="shared" si="79"/>
        <v>9920.6662991427183</v>
      </c>
      <c r="CW38" s="63">
        <f t="shared" si="79"/>
        <v>11649.183165173457</v>
      </c>
      <c r="CX38" s="63">
        <f t="shared" si="79"/>
        <v>13763.76945800827</v>
      </c>
      <c r="CY38" s="63">
        <f t="shared" si="79"/>
        <v>16511.230032112671</v>
      </c>
      <c r="CZ38" s="63">
        <f t="shared" si="79"/>
        <v>20123.811164574308</v>
      </c>
    </row>
    <row r="39" spans="2:158" s="2" customFormat="1" ht="15">
      <c r="B39" s="2" t="s">
        <v>132</v>
      </c>
      <c r="C39" s="2">
        <f t="shared" ref="C39:AT39" si="80">C37-C38</f>
        <v>367</v>
      </c>
      <c r="D39" s="2">
        <f t="shared" si="80"/>
        <v>349</v>
      </c>
      <c r="E39" s="2">
        <f t="shared" si="80"/>
        <v>439</v>
      </c>
      <c r="F39" s="2">
        <f t="shared" si="80"/>
        <v>308</v>
      </c>
      <c r="G39" s="2">
        <f t="shared" si="80"/>
        <v>455</v>
      </c>
      <c r="H39" s="2">
        <f t="shared" si="80"/>
        <v>458</v>
      </c>
      <c r="I39" s="2">
        <f t="shared" si="80"/>
        <v>519</v>
      </c>
      <c r="J39" s="2">
        <f t="shared" si="80"/>
        <v>415</v>
      </c>
      <c r="K39" s="2">
        <f t="shared" si="80"/>
        <v>562</v>
      </c>
      <c r="L39" s="2">
        <f t="shared" si="80"/>
        <v>608</v>
      </c>
      <c r="M39" s="2">
        <f t="shared" si="80"/>
        <v>716</v>
      </c>
      <c r="N39" s="2">
        <f t="shared" si="80"/>
        <v>20</v>
      </c>
      <c r="O39" s="2">
        <f t="shared" si="80"/>
        <v>682</v>
      </c>
      <c r="P39" s="2">
        <f t="shared" si="80"/>
        <v>700</v>
      </c>
      <c r="Q39" s="2">
        <f t="shared" si="80"/>
        <v>772</v>
      </c>
      <c r="R39" s="2">
        <f t="shared" si="80"/>
        <v>605</v>
      </c>
      <c r="S39" s="2">
        <f t="shared" si="80"/>
        <v>766</v>
      </c>
      <c r="T39" s="2">
        <f t="shared" si="80"/>
        <v>848</v>
      </c>
      <c r="U39" s="2">
        <f t="shared" si="80"/>
        <v>879</v>
      </c>
      <c r="V39" s="2">
        <f t="shared" si="80"/>
        <v>623</v>
      </c>
      <c r="W39" s="2">
        <f t="shared" si="80"/>
        <v>870</v>
      </c>
      <c r="X39" s="2">
        <f t="shared" si="80"/>
        <v>931</v>
      </c>
      <c r="Y39" s="2">
        <f t="shared" si="80"/>
        <v>1015</v>
      </c>
      <c r="Z39" s="2">
        <f t="shared" si="80"/>
        <v>801</v>
      </c>
      <c r="AA39" s="2">
        <f t="shared" si="80"/>
        <v>1020</v>
      </c>
      <c r="AB39" s="2">
        <f t="shared" si="80"/>
        <v>921</v>
      </c>
      <c r="AC39" s="2">
        <f t="shared" si="80"/>
        <v>977</v>
      </c>
      <c r="AD39" s="2">
        <f t="shared" si="80"/>
        <v>890</v>
      </c>
      <c r="AE39" s="2">
        <f t="shared" si="80"/>
        <v>959</v>
      </c>
      <c r="AF39" s="2">
        <f t="shared" si="80"/>
        <v>983</v>
      </c>
      <c r="AG39" s="2">
        <f t="shared" si="80"/>
        <v>1184</v>
      </c>
      <c r="AH39" s="2">
        <f t="shared" si="80"/>
        <v>933</v>
      </c>
      <c r="AI39" s="2">
        <f t="shared" si="80"/>
        <v>1081</v>
      </c>
      <c r="AJ39" s="2">
        <f t="shared" si="80"/>
        <v>1177</v>
      </c>
      <c r="AK39" s="2">
        <f t="shared" si="80"/>
        <v>1430</v>
      </c>
      <c r="AL39" s="2">
        <f t="shared" si="80"/>
        <v>227</v>
      </c>
      <c r="AM39" s="2">
        <f t="shared" si="80"/>
        <v>1492</v>
      </c>
      <c r="AN39" s="2">
        <f t="shared" si="80"/>
        <v>1569</v>
      </c>
      <c r="AO39" s="2">
        <f t="shared" si="80"/>
        <v>1899</v>
      </c>
      <c r="AP39" s="2">
        <f t="shared" si="80"/>
        <v>899</v>
      </c>
      <c r="AQ39" s="2">
        <f t="shared" si="80"/>
        <v>1862</v>
      </c>
      <c r="AR39" s="2">
        <f t="shared" si="80"/>
        <v>2048</v>
      </c>
      <c r="AS39" s="2">
        <f t="shared" si="80"/>
        <v>2108</v>
      </c>
      <c r="AT39" s="2">
        <f t="shared" si="80"/>
        <v>2100</v>
      </c>
      <c r="AU39" s="2">
        <f t="shared" ref="AU39:BJ39" si="81">AU37-AU38</f>
        <v>1693</v>
      </c>
      <c r="AV39" s="2">
        <f t="shared" si="81"/>
        <v>1420</v>
      </c>
      <c r="AW39" s="2">
        <f t="shared" si="81"/>
        <v>1513</v>
      </c>
      <c r="AX39" s="2">
        <f t="shared" si="81"/>
        <v>1785</v>
      </c>
      <c r="AY39" s="2">
        <f t="shared" si="81"/>
        <v>1828</v>
      </c>
      <c r="AZ39" s="2">
        <f t="shared" si="81"/>
        <v>2066</v>
      </c>
      <c r="BA39" s="2">
        <f t="shared" si="81"/>
        <v>2414</v>
      </c>
      <c r="BB39" s="2">
        <f t="shared" si="81"/>
        <v>2379</v>
      </c>
      <c r="BC39" s="2">
        <f t="shared" si="81"/>
        <v>2631</v>
      </c>
      <c r="BD39" s="2">
        <f t="shared" si="81"/>
        <v>2275</v>
      </c>
      <c r="BE39" s="2">
        <f t="shared" si="81"/>
        <v>2499</v>
      </c>
      <c r="BF39" s="2">
        <f t="shared" si="81"/>
        <v>2525</v>
      </c>
      <c r="BG39" s="2">
        <f t="shared" si="81"/>
        <v>2361</v>
      </c>
      <c r="BH39" s="2">
        <f t="shared" si="81"/>
        <v>2845</v>
      </c>
      <c r="BI39" s="2">
        <f t="shared" si="81"/>
        <v>3198</v>
      </c>
      <c r="BJ39" s="2">
        <f t="shared" si="81"/>
        <v>2791</v>
      </c>
      <c r="BK39" s="2">
        <f t="shared" ref="BK39:BN39" si="82">BK37-BK38</f>
        <v>3011</v>
      </c>
      <c r="BL39" s="2">
        <f t="shared" si="82"/>
        <v>3258</v>
      </c>
      <c r="BM39" s="2">
        <f t="shared" si="82"/>
        <v>3263</v>
      </c>
      <c r="BN39" s="2">
        <f t="shared" si="82"/>
        <v>3342</v>
      </c>
      <c r="BO39" s="2">
        <f>BO37-BO38</f>
        <v>3280</v>
      </c>
      <c r="BP39" s="2">
        <f>BP37-BP38</f>
        <v>3701</v>
      </c>
      <c r="BQ39" s="2">
        <f>BQ37-BQ38</f>
        <v>3927</v>
      </c>
      <c r="BR39" s="34"/>
      <c r="BS39" s="34"/>
      <c r="BT39" s="34"/>
      <c r="BU39" s="34"/>
      <c r="BV39" s="34"/>
      <c r="CA39" s="2">
        <f t="shared" si="41"/>
        <v>1463</v>
      </c>
      <c r="CB39" s="2">
        <f t="shared" si="42"/>
        <v>1847</v>
      </c>
      <c r="CC39" s="2">
        <f t="shared" si="43"/>
        <v>1906</v>
      </c>
      <c r="CD39" s="2">
        <f t="shared" si="44"/>
        <v>2759</v>
      </c>
      <c r="CE39" s="2">
        <f t="shared" si="45"/>
        <v>3116</v>
      </c>
      <c r="CF39" s="2">
        <f t="shared" si="46"/>
        <v>3617</v>
      </c>
      <c r="CG39" s="2">
        <f t="shared" si="47"/>
        <v>3808</v>
      </c>
      <c r="CH39" s="2">
        <f t="shared" si="48"/>
        <v>4059</v>
      </c>
      <c r="CI39" s="2">
        <f t="shared" si="49"/>
        <v>3915</v>
      </c>
      <c r="CJ39" s="2">
        <f t="shared" si="50"/>
        <v>5859</v>
      </c>
      <c r="CK39" s="2">
        <f t="shared" si="51"/>
        <v>8118</v>
      </c>
      <c r="CL39" s="2">
        <f t="shared" si="52"/>
        <v>6411</v>
      </c>
      <c r="CM39" s="2">
        <f t="shared" si="53"/>
        <v>8687</v>
      </c>
      <c r="CN39" s="2">
        <f t="shared" si="54"/>
        <v>9930</v>
      </c>
      <c r="CO39" s="2">
        <f t="shared" si="55"/>
        <v>11195</v>
      </c>
      <c r="CP39" s="2">
        <f t="shared" si="56"/>
        <v>12874</v>
      </c>
      <c r="CQ39" s="67">
        <f>CQ37-CQ38</f>
        <v>16798.435992000002</v>
      </c>
      <c r="CR39" s="67">
        <f t="shared" ref="CR39:CZ39" si="83">CR37-CR38</f>
        <v>19883.27399958</v>
      </c>
      <c r="CS39" s="67">
        <f t="shared" si="83"/>
        <v>23946.479571582295</v>
      </c>
      <c r="CT39" s="67">
        <f t="shared" si="83"/>
        <v>28280.311593946873</v>
      </c>
      <c r="CU39" s="67">
        <f t="shared" si="83"/>
        <v>33783.820006614085</v>
      </c>
      <c r="CV39" s="67">
        <f t="shared" si="83"/>
        <v>39682.665196570873</v>
      </c>
      <c r="CW39" s="67">
        <f t="shared" si="83"/>
        <v>46596.73266069383</v>
      </c>
      <c r="CX39" s="67">
        <f t="shared" si="83"/>
        <v>55055.077832033079</v>
      </c>
      <c r="CY39" s="67">
        <f t="shared" si="83"/>
        <v>66044.920128450685</v>
      </c>
      <c r="CZ39" s="67">
        <f t="shared" si="83"/>
        <v>80495.244658297233</v>
      </c>
      <c r="DA39" s="67">
        <f>CZ39*(1+$CZ$54)</f>
        <v>82708.863886400417</v>
      </c>
      <c r="DB39" s="67">
        <f t="shared" ref="DB39:EX39" si="84">DA39*(1+$CZ$54)</f>
        <v>84983.357643276438</v>
      </c>
      <c r="DC39" s="67">
        <f t="shared" si="84"/>
        <v>87320.39997846655</v>
      </c>
      <c r="DD39" s="67">
        <f t="shared" si="84"/>
        <v>89721.710977874391</v>
      </c>
      <c r="DE39" s="67">
        <f t="shared" si="84"/>
        <v>92189.058029765947</v>
      </c>
      <c r="DF39" s="67">
        <f t="shared" si="84"/>
        <v>94724.257125584525</v>
      </c>
      <c r="DG39" s="67">
        <f t="shared" si="84"/>
        <v>97329.174196538108</v>
      </c>
      <c r="DH39" s="67">
        <f t="shared" si="84"/>
        <v>100005.72648694292</v>
      </c>
      <c r="DI39" s="67">
        <f t="shared" si="84"/>
        <v>102755.88396533387</v>
      </c>
      <c r="DJ39" s="67">
        <f t="shared" si="84"/>
        <v>105581.67077438056</v>
      </c>
      <c r="DK39" s="67">
        <f t="shared" si="84"/>
        <v>108485.16672067603</v>
      </c>
      <c r="DL39" s="67">
        <f t="shared" si="84"/>
        <v>111468.50880549462</v>
      </c>
      <c r="DM39" s="67">
        <f t="shared" si="84"/>
        <v>114533.89279764573</v>
      </c>
      <c r="DN39" s="67">
        <f t="shared" si="84"/>
        <v>117683.574849581</v>
      </c>
      <c r="DO39" s="67">
        <f t="shared" si="84"/>
        <v>120919.87315794449</v>
      </c>
      <c r="DP39" s="67">
        <f t="shared" si="84"/>
        <v>124245.16966978797</v>
      </c>
      <c r="DQ39" s="67">
        <f t="shared" si="84"/>
        <v>127661.91183570714</v>
      </c>
      <c r="DR39" s="67">
        <f t="shared" si="84"/>
        <v>131172.6144111891</v>
      </c>
      <c r="DS39" s="67">
        <f t="shared" si="84"/>
        <v>134779.86130749682</v>
      </c>
      <c r="DT39" s="67">
        <f t="shared" si="84"/>
        <v>138486.307493453</v>
      </c>
      <c r="DU39" s="67">
        <f t="shared" si="84"/>
        <v>142294.68094952297</v>
      </c>
      <c r="DV39" s="67">
        <f t="shared" si="84"/>
        <v>146207.78467563487</v>
      </c>
      <c r="DW39" s="67">
        <f t="shared" si="84"/>
        <v>150228.49875421484</v>
      </c>
      <c r="DX39" s="67">
        <f t="shared" si="84"/>
        <v>154359.78246995577</v>
      </c>
      <c r="DY39" s="67">
        <f t="shared" si="84"/>
        <v>158604.67648787957</v>
      </c>
      <c r="DZ39" s="67">
        <f t="shared" si="84"/>
        <v>162966.30509129626</v>
      </c>
      <c r="EA39" s="67">
        <f t="shared" si="84"/>
        <v>167447.87848130692</v>
      </c>
      <c r="EB39" s="67">
        <f t="shared" si="84"/>
        <v>172052.69513954286</v>
      </c>
      <c r="EC39" s="67">
        <f t="shared" si="84"/>
        <v>176784.1442558803</v>
      </c>
      <c r="ED39" s="67">
        <f t="shared" si="84"/>
        <v>181645.70822291702</v>
      </c>
      <c r="EE39" s="67">
        <f t="shared" si="84"/>
        <v>186640.96519904726</v>
      </c>
      <c r="EF39" s="67">
        <f t="shared" si="84"/>
        <v>191773.59174202109</v>
      </c>
      <c r="EG39" s="67">
        <f t="shared" si="84"/>
        <v>197047.3655149267</v>
      </c>
      <c r="EH39" s="67">
        <f t="shared" si="84"/>
        <v>202466.16806658721</v>
      </c>
      <c r="EI39" s="67">
        <f t="shared" si="84"/>
        <v>208033.98768841839</v>
      </c>
      <c r="EJ39" s="67">
        <f t="shared" si="84"/>
        <v>213754.92234984992</v>
      </c>
      <c r="EK39" s="67">
        <f t="shared" si="84"/>
        <v>219633.18271447081</v>
      </c>
      <c r="EL39" s="67">
        <f t="shared" si="84"/>
        <v>225673.09523911876</v>
      </c>
      <c r="EM39" s="67">
        <f t="shared" si="84"/>
        <v>231879.10535819453</v>
      </c>
      <c r="EN39" s="67">
        <f t="shared" si="84"/>
        <v>238255.7807555449</v>
      </c>
      <c r="EO39" s="67">
        <f t="shared" si="84"/>
        <v>244807.81472632239</v>
      </c>
      <c r="EP39" s="67">
        <f t="shared" si="84"/>
        <v>251540.02963129629</v>
      </c>
      <c r="EQ39" s="67">
        <f t="shared" si="84"/>
        <v>258457.38044615695</v>
      </c>
      <c r="ER39" s="67">
        <f t="shared" si="84"/>
        <v>265564.95840842626</v>
      </c>
      <c r="ES39" s="67">
        <f t="shared" si="84"/>
        <v>272867.99476465798</v>
      </c>
      <c r="ET39" s="67">
        <f t="shared" si="84"/>
        <v>280371.8646206861</v>
      </c>
      <c r="EU39" s="67">
        <f t="shared" si="84"/>
        <v>288082.090897755</v>
      </c>
      <c r="EV39" s="67">
        <f t="shared" si="84"/>
        <v>296004.3483974433</v>
      </c>
      <c r="EW39" s="67">
        <f t="shared" si="84"/>
        <v>304144.467978373</v>
      </c>
      <c r="EX39" s="67">
        <f t="shared" si="84"/>
        <v>312508.44084777829</v>
      </c>
      <c r="EY39" s="34"/>
      <c r="EZ39" s="34"/>
      <c r="FA39" s="34"/>
      <c r="FB39" s="34"/>
    </row>
    <row r="40" spans="2:158">
      <c r="B40" s="1" t="s">
        <v>136</v>
      </c>
      <c r="C40" s="1">
        <v>1300</v>
      </c>
      <c r="D40" s="1">
        <v>1300</v>
      </c>
      <c r="E40" s="1">
        <v>1300</v>
      </c>
      <c r="F40" s="1">
        <v>1300</v>
      </c>
      <c r="G40" s="1">
        <v>1300</v>
      </c>
      <c r="H40" s="1">
        <v>1310</v>
      </c>
      <c r="I40" s="1">
        <v>1310</v>
      </c>
      <c r="J40" s="1">
        <v>1310</v>
      </c>
      <c r="K40" s="1">
        <v>1300</v>
      </c>
      <c r="L40" s="1">
        <v>1270</v>
      </c>
      <c r="M40" s="1">
        <v>1270</v>
      </c>
      <c r="N40" s="1">
        <v>1279</v>
      </c>
      <c r="O40" s="1">
        <v>1270</v>
      </c>
      <c r="P40" s="1">
        <v>1260</v>
      </c>
      <c r="Q40" s="1">
        <v>1250</v>
      </c>
      <c r="R40" s="1">
        <v>1253</v>
      </c>
      <c r="S40" s="1">
        <v>1226</v>
      </c>
      <c r="T40" s="1">
        <v>1214</v>
      </c>
      <c r="U40" s="1">
        <v>1205</v>
      </c>
      <c r="V40" s="1">
        <v>1211</v>
      </c>
      <c r="W40" s="1">
        <v>1185</v>
      </c>
      <c r="X40" s="1">
        <v>1165</v>
      </c>
      <c r="Y40" s="1">
        <v>1157</v>
      </c>
      <c r="Z40" s="1">
        <v>1165</v>
      </c>
      <c r="AA40" s="1">
        <v>1148</v>
      </c>
      <c r="AB40" s="1">
        <v>1138</v>
      </c>
      <c r="AC40" s="1">
        <v>1130</v>
      </c>
      <c r="AD40" s="1">
        <v>1134</v>
      </c>
      <c r="AE40" s="1">
        <v>1109</v>
      </c>
      <c r="AF40" s="1">
        <v>1098</v>
      </c>
      <c r="AG40" s="1">
        <v>1096</v>
      </c>
      <c r="AH40" s="1">
        <v>1098</v>
      </c>
      <c r="AI40" s="1">
        <v>1078</v>
      </c>
      <c r="AJ40" s="1">
        <v>1070</v>
      </c>
      <c r="AK40" s="1">
        <v>1063</v>
      </c>
      <c r="AL40" s="1">
        <v>1067</v>
      </c>
      <c r="AM40" s="1">
        <v>1051</v>
      </c>
      <c r="AN40" s="1">
        <v>1043</v>
      </c>
      <c r="AO40" s="1">
        <v>1037</v>
      </c>
      <c r="AP40" s="1">
        <v>1041</v>
      </c>
      <c r="AQ40" s="1">
        <v>1026</v>
      </c>
      <c r="AR40" s="1">
        <v>1020</v>
      </c>
      <c r="AS40" s="1">
        <v>1013</v>
      </c>
      <c r="AT40" s="1">
        <v>1017</v>
      </c>
      <c r="AU40" s="1">
        <v>1005</v>
      </c>
      <c r="AV40" s="1">
        <v>1004</v>
      </c>
      <c r="AW40" s="1">
        <v>1001</v>
      </c>
      <c r="AX40" s="1">
        <v>1002</v>
      </c>
      <c r="AY40" s="1">
        <v>994</v>
      </c>
      <c r="AZ40" s="1">
        <v>990</v>
      </c>
      <c r="BA40" s="1">
        <v>986</v>
      </c>
      <c r="BB40" s="1">
        <v>988</v>
      </c>
      <c r="BC40" s="1">
        <v>977</v>
      </c>
      <c r="BD40" s="1">
        <v>971</v>
      </c>
      <c r="BE40" s="1">
        <v>965</v>
      </c>
      <c r="BF40" s="1">
        <v>968</v>
      </c>
      <c r="BG40" s="1">
        <v>953</v>
      </c>
      <c r="BH40" s="1">
        <v>946</v>
      </c>
      <c r="BI40" s="1">
        <v>941</v>
      </c>
      <c r="BJ40" s="1">
        <v>944</v>
      </c>
      <c r="BK40" s="1">
        <v>933</v>
      </c>
      <c r="BL40" s="1">
        <v>929</v>
      </c>
      <c r="BM40" s="1">
        <v>923</v>
      </c>
      <c r="BN40" s="1">
        <v>925</v>
      </c>
      <c r="BO40" s="1">
        <v>912</v>
      </c>
      <c r="BP40" s="1">
        <v>908</v>
      </c>
      <c r="BQ40" s="1">
        <v>903</v>
      </c>
      <c r="CA40" s="1">
        <f>AVERAGE(C40:F40)</f>
        <v>1300</v>
      </c>
      <c r="CB40" s="1">
        <f>AVERAGE(G40:J40)</f>
        <v>1307.5</v>
      </c>
      <c r="CC40" s="1">
        <f>AVERAGE(K40:N40)</f>
        <v>1279.75</v>
      </c>
      <c r="CD40" s="1">
        <f>AVERAGE(O40:R40)</f>
        <v>1258.25</v>
      </c>
      <c r="CE40" s="1">
        <f>AVERAGE(S40:V40)</f>
        <v>1214</v>
      </c>
      <c r="CF40" s="1">
        <f>AVERAGE(W40:Z40)</f>
        <v>1168</v>
      </c>
      <c r="CG40" s="1">
        <f>AVERAGE(AA40:AD40)</f>
        <v>1137.5</v>
      </c>
      <c r="CH40" s="1">
        <f>AVERAGE(AE40:AH40)</f>
        <v>1100.25</v>
      </c>
      <c r="CI40" s="1">
        <f>AVERAGE(AI40:AL40)</f>
        <v>1069.5</v>
      </c>
      <c r="CJ40" s="1">
        <f>AVERAGE(AM40:AP40)</f>
        <v>1043</v>
      </c>
      <c r="CK40" s="1">
        <f>AVERAGE(AQ40:AT40)</f>
        <v>1019</v>
      </c>
      <c r="CL40" s="1">
        <f>AVERAGE(AU40:AX40)</f>
        <v>1003</v>
      </c>
      <c r="CM40" s="1">
        <f>AVERAGE(AY40:BB40)</f>
        <v>989.5</v>
      </c>
      <c r="CN40" s="1">
        <f>AVERAGE(BC40:BF40)</f>
        <v>970.25</v>
      </c>
      <c r="CO40" s="1">
        <f>AVERAGE(BG40:BJ40)</f>
        <v>946</v>
      </c>
      <c r="CP40" s="1">
        <f>AVERAGE(BK40:BN40)</f>
        <v>927.5</v>
      </c>
    </row>
    <row r="41" spans="2:158">
      <c r="B41" s="1" t="s">
        <v>1503</v>
      </c>
      <c r="C41" s="39">
        <f t="shared" ref="C41:AT41" si="85">C39/C40</f>
        <v>0.28230769230769232</v>
      </c>
      <c r="D41" s="39">
        <f t="shared" si="85"/>
        <v>0.26846153846153847</v>
      </c>
      <c r="E41" s="39">
        <f t="shared" si="85"/>
        <v>0.33769230769230768</v>
      </c>
      <c r="F41" s="39">
        <f t="shared" si="85"/>
        <v>0.23692307692307693</v>
      </c>
      <c r="G41" s="39">
        <f t="shared" si="85"/>
        <v>0.35</v>
      </c>
      <c r="H41" s="39">
        <f t="shared" si="85"/>
        <v>0.34961832061068704</v>
      </c>
      <c r="I41" s="39">
        <f t="shared" si="85"/>
        <v>0.39618320610687024</v>
      </c>
      <c r="J41" s="39">
        <f t="shared" si="85"/>
        <v>0.31679389312977096</v>
      </c>
      <c r="K41" s="39">
        <f t="shared" si="85"/>
        <v>0.43230769230769228</v>
      </c>
      <c r="L41" s="39">
        <f t="shared" si="85"/>
        <v>0.47874015748031495</v>
      </c>
      <c r="M41" s="39">
        <f t="shared" si="85"/>
        <v>0.56377952755905514</v>
      </c>
      <c r="N41" s="39">
        <f t="shared" si="85"/>
        <v>1.5637216575449569E-2</v>
      </c>
      <c r="O41" s="39">
        <f t="shared" si="85"/>
        <v>0.53700787401574801</v>
      </c>
      <c r="P41" s="39">
        <f t="shared" si="85"/>
        <v>0.55555555555555558</v>
      </c>
      <c r="Q41" s="39">
        <f t="shared" si="85"/>
        <v>0.61760000000000004</v>
      </c>
      <c r="R41" s="39">
        <f t="shared" si="85"/>
        <v>0.48284118116520353</v>
      </c>
      <c r="S41" s="39">
        <f t="shared" si="85"/>
        <v>0.6247960848287113</v>
      </c>
      <c r="T41" s="39">
        <f t="shared" si="85"/>
        <v>0.69851729818780894</v>
      </c>
      <c r="U41" s="39">
        <f t="shared" si="85"/>
        <v>0.72946058091286303</v>
      </c>
      <c r="V41" s="39">
        <f t="shared" si="85"/>
        <v>0.51445086705202314</v>
      </c>
      <c r="W41" s="39">
        <f t="shared" si="85"/>
        <v>0.73417721518987344</v>
      </c>
      <c r="X41" s="39">
        <f t="shared" si="85"/>
        <v>0.79914163090128754</v>
      </c>
      <c r="Y41" s="39">
        <f t="shared" si="85"/>
        <v>0.87726879861711327</v>
      </c>
      <c r="Z41" s="39">
        <f t="shared" si="85"/>
        <v>0.68755364806866948</v>
      </c>
      <c r="AA41" s="39">
        <f t="shared" si="85"/>
        <v>0.88850174216027877</v>
      </c>
      <c r="AB41" s="39">
        <f t="shared" si="85"/>
        <v>0.80931458699472758</v>
      </c>
      <c r="AC41" s="39">
        <f t="shared" si="85"/>
        <v>0.86460176991150439</v>
      </c>
      <c r="AD41" s="39">
        <f t="shared" si="85"/>
        <v>0.78483245149911818</v>
      </c>
      <c r="AE41" s="39">
        <f t="shared" si="85"/>
        <v>0.8647430117222723</v>
      </c>
      <c r="AF41" s="39">
        <f t="shared" si="85"/>
        <v>0.89526411657559202</v>
      </c>
      <c r="AG41" s="39">
        <f t="shared" si="85"/>
        <v>1.0802919708029197</v>
      </c>
      <c r="AH41" s="39">
        <f t="shared" si="85"/>
        <v>0.84972677595628421</v>
      </c>
      <c r="AI41" s="39">
        <f t="shared" si="85"/>
        <v>1.0027829313543599</v>
      </c>
      <c r="AJ41" s="39">
        <f t="shared" si="85"/>
        <v>1.1000000000000001</v>
      </c>
      <c r="AK41" s="39">
        <f t="shared" si="85"/>
        <v>1.3452492944496708</v>
      </c>
      <c r="AL41" s="39">
        <f t="shared" si="85"/>
        <v>0.21274601686972822</v>
      </c>
      <c r="AM41" s="39">
        <f t="shared" si="85"/>
        <v>1.4196003805899144</v>
      </c>
      <c r="AN41" s="39">
        <f t="shared" si="85"/>
        <v>1.50431447746884</v>
      </c>
      <c r="AO41" s="39">
        <f t="shared" si="85"/>
        <v>1.8312439729990357</v>
      </c>
      <c r="AP41" s="39">
        <f t="shared" si="85"/>
        <v>0.86359269932756966</v>
      </c>
      <c r="AQ41" s="39">
        <f t="shared" si="85"/>
        <v>1.8148148148148149</v>
      </c>
      <c r="AR41" s="39">
        <f t="shared" si="85"/>
        <v>2.0078431372549019</v>
      </c>
      <c r="AS41" s="39">
        <f t="shared" si="85"/>
        <v>2.0809476801579465</v>
      </c>
      <c r="AT41" s="39">
        <f t="shared" si="85"/>
        <v>2.0648967551622417</v>
      </c>
      <c r="AU41" s="39">
        <f t="shared" ref="AU41" si="86">AU39/AU40</f>
        <v>1.6845771144278607</v>
      </c>
      <c r="AV41" s="39">
        <f t="shared" ref="AV41" si="87">AV39/AV40</f>
        <v>1.4143426294820718</v>
      </c>
      <c r="AW41" s="39">
        <f t="shared" ref="AW41" si="88">AW39/AW40</f>
        <v>1.5114885114885115</v>
      </c>
      <c r="AX41" s="39">
        <f t="shared" ref="AX41" si="89">AX39/AX40</f>
        <v>1.7814371257485031</v>
      </c>
      <c r="AY41" s="39">
        <f t="shared" ref="AY41:BN41" si="90">AY39/AY40</f>
        <v>1.8390342052313884</v>
      </c>
      <c r="AZ41" s="39">
        <f t="shared" si="90"/>
        <v>2.0868686868686868</v>
      </c>
      <c r="BA41" s="39">
        <f t="shared" si="90"/>
        <v>2.4482758620689653</v>
      </c>
      <c r="BB41" s="39">
        <f t="shared" si="90"/>
        <v>2.4078947368421053</v>
      </c>
      <c r="BC41" s="39">
        <f t="shared" si="90"/>
        <v>2.6929375639713409</v>
      </c>
      <c r="BD41" s="39">
        <f t="shared" si="90"/>
        <v>2.3429454170957777</v>
      </c>
      <c r="BE41" s="39">
        <f t="shared" si="90"/>
        <v>2.5896373056994819</v>
      </c>
      <c r="BF41" s="39">
        <f t="shared" si="90"/>
        <v>2.6084710743801653</v>
      </c>
      <c r="BG41" s="39">
        <f t="shared" si="90"/>
        <v>2.4774396642182581</v>
      </c>
      <c r="BH41" s="39">
        <f t="shared" si="90"/>
        <v>3.007399577167019</v>
      </c>
      <c r="BI41" s="39">
        <f t="shared" si="90"/>
        <v>3.3985122210414453</v>
      </c>
      <c r="BJ41" s="39">
        <f t="shared" si="90"/>
        <v>2.9565677966101696</v>
      </c>
      <c r="BK41" s="39">
        <f t="shared" si="90"/>
        <v>3.227224008574491</v>
      </c>
      <c r="BL41" s="39">
        <f t="shared" si="90"/>
        <v>3.5069967707212055</v>
      </c>
      <c r="BM41" s="39">
        <f t="shared" si="90"/>
        <v>3.535211267605634</v>
      </c>
      <c r="BN41" s="39">
        <f t="shared" si="90"/>
        <v>3.6129729729729729</v>
      </c>
      <c r="BO41" s="39">
        <f>BO39/BO40</f>
        <v>3.5964912280701755</v>
      </c>
      <c r="BP41" s="39">
        <f>BP39/BP40</f>
        <v>4.0759911894273131</v>
      </c>
      <c r="BQ41" s="39">
        <f>BQ39/BQ40</f>
        <v>4.3488372093023253</v>
      </c>
      <c r="CA41" s="39">
        <f>SUM(C41:F41)</f>
        <v>1.1253846153846154</v>
      </c>
      <c r="CB41" s="39">
        <f>SUM(G41:J41)</f>
        <v>1.4125954198473281</v>
      </c>
      <c r="CC41" s="39">
        <f>SUM(K41:N41)</f>
        <v>1.4904645939225118</v>
      </c>
      <c r="CD41" s="39">
        <f>SUM(O41:R41)</f>
        <v>2.1930046107365069</v>
      </c>
      <c r="CE41" s="39">
        <f>SUM(S41:V41)</f>
        <v>2.5672248309814063</v>
      </c>
      <c r="CF41" s="39">
        <f>SUM(W41:Z41)</f>
        <v>3.0981412927769441</v>
      </c>
      <c r="CG41" s="39">
        <f>SUM(AA41:AD41)</f>
        <v>3.3472505505656289</v>
      </c>
      <c r="CH41" s="39">
        <f>SUM(AE41:AH41)</f>
        <v>3.690025875057068</v>
      </c>
      <c r="CI41" s="39">
        <f>SUM(AI41:AL41)</f>
        <v>3.6607782426737594</v>
      </c>
      <c r="CJ41" s="39">
        <f>SUM(AM41:AP41)</f>
        <v>5.6187515303853601</v>
      </c>
      <c r="CK41" s="39">
        <f>SUM(AQ41:AT41)</f>
        <v>7.9685023873899041</v>
      </c>
      <c r="CL41" s="39">
        <f>SUM(AU41:AX41)</f>
        <v>6.3918453811469469</v>
      </c>
      <c r="CM41" s="39">
        <f>SUM(AY41:BB41)</f>
        <v>8.7820734910111469</v>
      </c>
      <c r="CN41" s="39">
        <f>SUM(BC41:BF41)</f>
        <v>10.233991361146765</v>
      </c>
      <c r="CO41" s="39">
        <f>SUM(BG41:BJ41)</f>
        <v>11.839919259036892</v>
      </c>
      <c r="CP41" s="39">
        <f>SUM(BK41:BN41)</f>
        <v>13.882405019874303</v>
      </c>
    </row>
    <row r="43" spans="2:158">
      <c r="B43" s="37" t="s">
        <v>1498</v>
      </c>
      <c r="AU43" s="53">
        <f t="shared" ref="AU43:BN43" si="91">AU27/AU26</f>
        <v>0.37266151159890248</v>
      </c>
      <c r="AV43" s="53">
        <f t="shared" si="91"/>
        <v>0.41019490254872565</v>
      </c>
      <c r="AW43" s="53">
        <f t="shared" si="91"/>
        <v>0.3708626531144123</v>
      </c>
      <c r="AX43" s="53">
        <f t="shared" si="91"/>
        <v>0.39441747572815533</v>
      </c>
      <c r="AY43" s="53">
        <f t="shared" si="91"/>
        <v>0.4033694344163658</v>
      </c>
      <c r="AZ43" s="53">
        <f t="shared" si="91"/>
        <v>0.37941696113074203</v>
      </c>
      <c r="BA43" s="53">
        <f t="shared" si="91"/>
        <v>0.36730190571715143</v>
      </c>
      <c r="BB43" s="53">
        <f t="shared" si="91"/>
        <v>0.35697852760736198</v>
      </c>
      <c r="BC43" s="53">
        <f t="shared" si="91"/>
        <v>0.35688020127733694</v>
      </c>
      <c r="BD43" s="53">
        <f t="shared" si="91"/>
        <v>0.35419319628888485</v>
      </c>
      <c r="BE43" s="53">
        <f t="shared" si="91"/>
        <v>0.35945100764419735</v>
      </c>
      <c r="BF43" s="53">
        <f t="shared" si="91"/>
        <v>0.38129620079078563</v>
      </c>
      <c r="BG43" s="53">
        <f t="shared" si="91"/>
        <v>0.35542797494780792</v>
      </c>
      <c r="BH43" s="53">
        <f t="shared" si="91"/>
        <v>0.35093316318392087</v>
      </c>
      <c r="BI43" s="53">
        <f t="shared" si="91"/>
        <v>0.3497627429970917</v>
      </c>
      <c r="BJ43" s="53">
        <f t="shared" si="91"/>
        <v>0.36637141111789862</v>
      </c>
      <c r="BK43" s="53">
        <f t="shared" si="91"/>
        <v>0.36011342155009451</v>
      </c>
      <c r="BL43" s="53">
        <f t="shared" si="91"/>
        <v>0.34736388449935351</v>
      </c>
      <c r="BM43" s="53">
        <f t="shared" si="91"/>
        <v>0.37237074229881939</v>
      </c>
      <c r="BN43" s="53">
        <f t="shared" si="91"/>
        <v>0.36653758846307916</v>
      </c>
      <c r="BO43" s="53">
        <f>BO27/BO26</f>
        <v>0.34799999999999998</v>
      </c>
      <c r="BP43" s="53">
        <f>BP27/BP26</f>
        <v>0.34009590556990038</v>
      </c>
      <c r="BQ43" s="53">
        <f>BQ27/BQ26</f>
        <v>0.3398046965821902</v>
      </c>
      <c r="CA43" s="53">
        <f t="shared" ref="CA43:CP43" si="92">CA27/CA26</f>
        <v>0.38085899195920769</v>
      </c>
      <c r="CB43" s="53">
        <f t="shared" si="92"/>
        <v>0.33525907203466332</v>
      </c>
      <c r="CC43" s="53">
        <f t="shared" si="92"/>
        <v>0.32707774798927614</v>
      </c>
      <c r="CD43" s="53">
        <f t="shared" si="92"/>
        <v>0.32864294412122852</v>
      </c>
      <c r="CE43" s="53">
        <f t="shared" si="92"/>
        <v>0.31460538979788261</v>
      </c>
      <c r="CF43" s="53">
        <f t="shared" si="92"/>
        <v>0.33386293824806695</v>
      </c>
      <c r="CG43" s="53">
        <f t="shared" si="92"/>
        <v>0.34560877211130653</v>
      </c>
      <c r="CH43" s="53">
        <f t="shared" si="92"/>
        <v>0.35514105419450631</v>
      </c>
      <c r="CI43" s="53">
        <f t="shared" si="92"/>
        <v>0.37232935904617109</v>
      </c>
      <c r="CJ43" s="53">
        <f t="shared" si="92"/>
        <v>0.34608695652173915</v>
      </c>
      <c r="CK43" s="53">
        <f t="shared" si="92"/>
        <v>0.34134928626428951</v>
      </c>
      <c r="CL43" s="53">
        <f t="shared" si="92"/>
        <v>0.38624926475393767</v>
      </c>
      <c r="CM43" s="53">
        <f t="shared" si="92"/>
        <v>0.37529125185342088</v>
      </c>
      <c r="CN43" s="53">
        <f t="shared" si="92"/>
        <v>0.36326842649637991</v>
      </c>
      <c r="CO43" s="53">
        <f t="shared" si="92"/>
        <v>0.35568571200892501</v>
      </c>
      <c r="CP43" s="53">
        <f t="shared" si="92"/>
        <v>0.36187737423225763</v>
      </c>
      <c r="CQ43" s="68">
        <v>0.34749999999999998</v>
      </c>
      <c r="CR43" s="68">
        <v>0.34499999999999997</v>
      </c>
      <c r="CS43" s="68">
        <v>0.34250000000000003</v>
      </c>
      <c r="CT43" s="68">
        <v>0.34</v>
      </c>
      <c r="CU43" s="68">
        <v>0.33750000000000002</v>
      </c>
      <c r="CV43" s="68">
        <v>0.33500000000000002</v>
      </c>
      <c r="CW43" s="68">
        <v>0.33250000000000002</v>
      </c>
      <c r="CX43" s="68">
        <v>0.33200000000000002</v>
      </c>
      <c r="CY43" s="68">
        <v>0.33100000000000002</v>
      </c>
      <c r="CZ43" s="68">
        <v>0.33</v>
      </c>
    </row>
    <row r="44" spans="2:158">
      <c r="B44" s="1" t="s">
        <v>1499</v>
      </c>
      <c r="AU44" s="53">
        <f t="shared" ref="AU44:BN44" si="93">AU28/AU26</f>
        <v>3.8413569468695438E-2</v>
      </c>
      <c r="AV44" s="53">
        <f t="shared" si="93"/>
        <v>2.7886056971514243E-2</v>
      </c>
      <c r="AW44" s="53">
        <f t="shared" si="93"/>
        <v>4.3784206411258797E-2</v>
      </c>
      <c r="AX44" s="53">
        <f t="shared" si="93"/>
        <v>5.8737864077669906E-2</v>
      </c>
      <c r="AY44" s="53">
        <f t="shared" si="93"/>
        <v>2.8640192539109505E-2</v>
      </c>
      <c r="AZ44" s="53">
        <f t="shared" si="93"/>
        <v>4.7703180212014133E-2</v>
      </c>
      <c r="BA44" s="53">
        <f t="shared" si="93"/>
        <v>4.4533600802407224E-2</v>
      </c>
      <c r="BB44" s="53">
        <f t="shared" si="93"/>
        <v>6.4800613496932516E-2</v>
      </c>
      <c r="BC44" s="53">
        <f t="shared" si="93"/>
        <v>3.5029998064640994E-2</v>
      </c>
      <c r="BD44" s="53">
        <f t="shared" si="93"/>
        <v>3.8202655994178644E-2</v>
      </c>
      <c r="BE44" s="53">
        <f t="shared" si="93"/>
        <v>3.1619179986101462E-2</v>
      </c>
      <c r="BF44" s="53">
        <f t="shared" si="93"/>
        <v>3.7132542547705004E-2</v>
      </c>
      <c r="BG44" s="53">
        <f t="shared" si="93"/>
        <v>2.9053583855254E-2</v>
      </c>
      <c r="BH44" s="53">
        <f t="shared" si="93"/>
        <v>3.2062529909076411E-2</v>
      </c>
      <c r="BI44" s="53">
        <f t="shared" si="93"/>
        <v>2.9542323587938159E-2</v>
      </c>
      <c r="BJ44" s="53">
        <f t="shared" si="93"/>
        <v>4.0317654245571169E-2</v>
      </c>
      <c r="BK44" s="53">
        <f t="shared" si="93"/>
        <v>1.8273471959672338E-2</v>
      </c>
      <c r="BL44" s="53">
        <f t="shared" si="93"/>
        <v>2.6432983766700186E-2</v>
      </c>
      <c r="BM44" s="53">
        <f t="shared" si="93"/>
        <v>2.9854797123083185E-2</v>
      </c>
      <c r="BN44" s="53">
        <f t="shared" si="93"/>
        <v>3.9391106956870078E-2</v>
      </c>
      <c r="BO44" s="53">
        <f>BO28/BO26</f>
        <v>2.0965517241379312E-2</v>
      </c>
      <c r="BP44" s="53">
        <f>BP28/BP26</f>
        <v>2.6189597934341571E-2</v>
      </c>
      <c r="BQ44" s="53">
        <f>BQ28/BQ26</f>
        <v>2.8481748430597534E-2</v>
      </c>
      <c r="CA44" s="53">
        <f t="shared" ref="CA44:CP44" si="94">CA28/CA26</f>
        <v>0.17591684644047853</v>
      </c>
      <c r="CB44" s="53">
        <f t="shared" si="94"/>
        <v>0.16790034302220616</v>
      </c>
      <c r="CC44" s="53">
        <f t="shared" si="94"/>
        <v>0.26884122728626753</v>
      </c>
      <c r="CD44" s="53">
        <f t="shared" si="94"/>
        <v>0.13868218103098362</v>
      </c>
      <c r="CE44" s="53">
        <f t="shared" si="94"/>
        <v>0.14364773820981713</v>
      </c>
      <c r="CF44" s="53">
        <f t="shared" si="94"/>
        <v>0.12530452282597182</v>
      </c>
      <c r="CG44" s="53">
        <f t="shared" si="94"/>
        <v>0.12909899658632462</v>
      </c>
      <c r="CH44" s="53">
        <f t="shared" si="94"/>
        <v>0.11024498886414254</v>
      </c>
      <c r="CI44" s="53">
        <f t="shared" si="94"/>
        <v>9.7783468032327764E-2</v>
      </c>
      <c r="CJ44" s="53">
        <f t="shared" si="94"/>
        <v>0.16682274247491638</v>
      </c>
      <c r="CK44" s="53">
        <f t="shared" si="94"/>
        <v>8.6240597050287277E-2</v>
      </c>
      <c r="CL44" s="53">
        <f t="shared" si="94"/>
        <v>4.2938370041173776E-2</v>
      </c>
      <c r="CM44" s="53">
        <f t="shared" si="94"/>
        <v>4.7394619783944082E-2</v>
      </c>
      <c r="CN44" s="53">
        <f t="shared" si="94"/>
        <v>3.5481404865764267E-2</v>
      </c>
      <c r="CO44" s="53">
        <f t="shared" si="94"/>
        <v>3.2871145111164235E-2</v>
      </c>
      <c r="CP44" s="53">
        <f t="shared" si="94"/>
        <v>2.893456882167075E-2</v>
      </c>
      <c r="CQ44" s="68">
        <v>2.5999999999999999E-2</v>
      </c>
      <c r="CR44" s="68">
        <v>2.8500000000000001E-2</v>
      </c>
      <c r="CS44" s="68">
        <v>2.8000000000000001E-2</v>
      </c>
      <c r="CT44" s="68">
        <v>2.75E-2</v>
      </c>
      <c r="CU44" s="68">
        <v>2.7E-2</v>
      </c>
      <c r="CV44" s="68">
        <v>2.6499999999999999E-2</v>
      </c>
      <c r="CW44" s="68">
        <v>2.5999999999999999E-2</v>
      </c>
      <c r="CX44" s="68">
        <v>2.5499999999999998E-2</v>
      </c>
      <c r="CY44" s="68">
        <v>2.5000000000000001E-2</v>
      </c>
      <c r="CZ44" s="68">
        <v>2.4500000000000001E-2</v>
      </c>
    </row>
    <row r="45" spans="2:158">
      <c r="B45" s="1" t="s">
        <v>1500</v>
      </c>
      <c r="AU45" s="53">
        <f t="shared" ref="AU45:BN45" si="95">AU29/AU26</f>
        <v>3.5919181840858072E-2</v>
      </c>
      <c r="AV45" s="53">
        <f t="shared" si="95"/>
        <v>4.3478260869565216E-2</v>
      </c>
      <c r="AW45" s="53">
        <f t="shared" si="95"/>
        <v>3.6747458952306487E-2</v>
      </c>
      <c r="AX45" s="53">
        <f t="shared" si="95"/>
        <v>3.640776699029126E-2</v>
      </c>
      <c r="AY45" s="53">
        <f t="shared" si="95"/>
        <v>3.9229843561973524E-2</v>
      </c>
      <c r="AZ45" s="53">
        <f t="shared" si="95"/>
        <v>4.1077738515901061E-2</v>
      </c>
      <c r="BA45" s="53">
        <f t="shared" si="95"/>
        <v>3.7713139418254764E-2</v>
      </c>
      <c r="BB45" s="53">
        <f t="shared" si="95"/>
        <v>3.6234662576687116E-2</v>
      </c>
      <c r="BC45" s="53">
        <f t="shared" si="95"/>
        <v>3.71588929746468E-2</v>
      </c>
      <c r="BD45" s="53">
        <f t="shared" si="95"/>
        <v>3.4382390394760778E-2</v>
      </c>
      <c r="BE45" s="53">
        <f t="shared" si="95"/>
        <v>3.2140375260597639E-2</v>
      </c>
      <c r="BF45" s="53">
        <f t="shared" si="95"/>
        <v>3.1631425133230189E-2</v>
      </c>
      <c r="BG45" s="53">
        <f t="shared" si="95"/>
        <v>3.3228949199721643E-2</v>
      </c>
      <c r="BH45" s="53">
        <f t="shared" si="95"/>
        <v>3.0626894241505824E-2</v>
      </c>
      <c r="BI45" s="53">
        <f t="shared" si="95"/>
        <v>3.2297566202357263E-2</v>
      </c>
      <c r="BJ45" s="53">
        <f t="shared" si="95"/>
        <v>3.1307269395235184E-2</v>
      </c>
      <c r="BK45" s="53">
        <f t="shared" si="95"/>
        <v>3.4026465028355386E-2</v>
      </c>
      <c r="BL45" s="53">
        <f t="shared" si="95"/>
        <v>3.2322942106019249E-2</v>
      </c>
      <c r="BM45" s="53">
        <f t="shared" si="95"/>
        <v>3.0533315239516894E-2</v>
      </c>
      <c r="BN45" s="53">
        <f t="shared" si="95"/>
        <v>3.0845239684871146E-2</v>
      </c>
      <c r="BO45" s="53">
        <f>BO29/BO26</f>
        <v>3.793103448275862E-2</v>
      </c>
      <c r="BP45" s="53">
        <f>BP29/BP26</f>
        <v>3.4550596335915409E-2</v>
      </c>
      <c r="BQ45" s="53">
        <f>BQ29/BQ26</f>
        <v>3.3713089979074636E-2</v>
      </c>
      <c r="CA45" s="53">
        <f t="shared" ref="CA45:CP45" si="96">CA29/CA26</f>
        <v>0</v>
      </c>
      <c r="CB45" s="53">
        <f t="shared" si="96"/>
        <v>0</v>
      </c>
      <c r="CC45" s="53">
        <f t="shared" si="96"/>
        <v>0</v>
      </c>
      <c r="CD45" s="53">
        <f t="shared" si="96"/>
        <v>0</v>
      </c>
      <c r="CE45" s="53">
        <f t="shared" si="96"/>
        <v>0</v>
      </c>
      <c r="CF45" s="53">
        <f t="shared" si="96"/>
        <v>0</v>
      </c>
      <c r="CG45" s="53">
        <f t="shared" si="96"/>
        <v>0</v>
      </c>
      <c r="CH45" s="53">
        <f t="shared" si="96"/>
        <v>0</v>
      </c>
      <c r="CI45" s="53">
        <f t="shared" si="96"/>
        <v>0</v>
      </c>
      <c r="CJ45" s="53">
        <f t="shared" si="96"/>
        <v>0</v>
      </c>
      <c r="CK45" s="53">
        <f t="shared" si="96"/>
        <v>0</v>
      </c>
      <c r="CL45" s="53">
        <f t="shared" si="96"/>
        <v>3.7906019214430431E-2</v>
      </c>
      <c r="CM45" s="53">
        <f t="shared" si="96"/>
        <v>3.8445244651556874E-2</v>
      </c>
      <c r="CN45" s="53">
        <f t="shared" si="96"/>
        <v>3.3727571165175156E-2</v>
      </c>
      <c r="CO45" s="53">
        <f t="shared" si="96"/>
        <v>3.1835205992509365E-2</v>
      </c>
      <c r="CP45" s="53">
        <f t="shared" si="96"/>
        <v>3.1845776973053574E-2</v>
      </c>
      <c r="CQ45" s="68">
        <v>3.5999999999999997E-2</v>
      </c>
      <c r="CR45" s="68">
        <v>3.5000000000000003E-2</v>
      </c>
      <c r="CS45" s="68">
        <v>0.02</v>
      </c>
      <c r="CT45" s="68">
        <v>0.02</v>
      </c>
      <c r="CU45" s="68">
        <v>0.02</v>
      </c>
      <c r="CV45" s="68">
        <v>0.02</v>
      </c>
      <c r="CW45" s="68">
        <v>0.02</v>
      </c>
      <c r="CX45" s="68">
        <v>0.02</v>
      </c>
      <c r="CY45" s="68">
        <v>0.02</v>
      </c>
      <c r="CZ45" s="68">
        <v>0.02</v>
      </c>
    </row>
    <row r="46" spans="2:158">
      <c r="B46" s="1" t="s">
        <v>1501</v>
      </c>
      <c r="AU46" s="53">
        <f t="shared" ref="AU46:BN46" si="97">AU30/AU26</f>
        <v>1.4966325767024195E-3</v>
      </c>
      <c r="AV46" s="53">
        <f t="shared" si="97"/>
        <v>6.5967016491754122E-3</v>
      </c>
      <c r="AW46" s="53">
        <f t="shared" si="97"/>
        <v>0</v>
      </c>
      <c r="AX46" s="53">
        <f t="shared" si="97"/>
        <v>1.0922330097087379E-2</v>
      </c>
      <c r="AY46" s="53">
        <f t="shared" si="97"/>
        <v>0</v>
      </c>
      <c r="AZ46" s="53">
        <f t="shared" si="97"/>
        <v>1.4796819787985865E-2</v>
      </c>
      <c r="BA46" s="53">
        <f t="shared" si="97"/>
        <v>5.416248746238716E-3</v>
      </c>
      <c r="BB46" s="53">
        <f t="shared" si="97"/>
        <v>0</v>
      </c>
      <c r="BC46" s="53">
        <f t="shared" si="97"/>
        <v>0</v>
      </c>
      <c r="BD46" s="53">
        <f t="shared" si="97"/>
        <v>2.4195015462979808E-2</v>
      </c>
      <c r="BE46" s="53">
        <f t="shared" si="97"/>
        <v>3.6136205698401667E-2</v>
      </c>
      <c r="BF46" s="53">
        <f t="shared" si="97"/>
        <v>2.5786487880350697E-3</v>
      </c>
      <c r="BG46" s="53">
        <f t="shared" si="97"/>
        <v>3.6708420320111346E-2</v>
      </c>
      <c r="BH46" s="53">
        <f t="shared" si="97"/>
        <v>3.1903014834901897E-3</v>
      </c>
      <c r="BI46" s="53">
        <f t="shared" si="97"/>
        <v>0</v>
      </c>
      <c r="BJ46" s="53">
        <f t="shared" si="97"/>
        <v>4.7037263286499695E-2</v>
      </c>
      <c r="BK46" s="53">
        <f t="shared" si="97"/>
        <v>1.9848771266540641E-2</v>
      </c>
      <c r="BL46" s="53">
        <f t="shared" si="97"/>
        <v>1.4078437006177273E-2</v>
      </c>
      <c r="BM46" s="53">
        <f t="shared" si="97"/>
        <v>2.388383769846655E-2</v>
      </c>
      <c r="BN46" s="53">
        <f t="shared" si="97"/>
        <v>3.7388169314995327E-2</v>
      </c>
      <c r="BO46" s="53">
        <f>BO30/BO26</f>
        <v>2.0827586206896551E-2</v>
      </c>
      <c r="BP46" s="53">
        <f>BP30/BP26</f>
        <v>1.1803762449280709E-2</v>
      </c>
      <c r="BQ46" s="53">
        <f>BQ30/BQ26</f>
        <v>9.6489188560799806E-3</v>
      </c>
      <c r="CA46" s="53">
        <f t="shared" ref="CA46:CP46" si="98">CA30/CA26</f>
        <v>0</v>
      </c>
      <c r="CB46" s="53">
        <f t="shared" si="98"/>
        <v>0</v>
      </c>
      <c r="CC46" s="53">
        <f t="shared" si="98"/>
        <v>0</v>
      </c>
      <c r="CD46" s="53">
        <f t="shared" si="98"/>
        <v>0</v>
      </c>
      <c r="CE46" s="53">
        <f t="shared" si="98"/>
        <v>0</v>
      </c>
      <c r="CF46" s="53">
        <f t="shared" si="98"/>
        <v>0</v>
      </c>
      <c r="CG46" s="53">
        <f t="shared" si="98"/>
        <v>0</v>
      </c>
      <c r="CH46" s="53">
        <f t="shared" si="98"/>
        <v>0</v>
      </c>
      <c r="CI46" s="53">
        <f t="shared" si="98"/>
        <v>0</v>
      </c>
      <c r="CJ46" s="53">
        <f t="shared" si="98"/>
        <v>0</v>
      </c>
      <c r="CK46" s="53">
        <f t="shared" si="98"/>
        <v>0</v>
      </c>
      <c r="CL46" s="53">
        <f t="shared" si="98"/>
        <v>4.7709300045748644E-3</v>
      </c>
      <c r="CM46" s="53">
        <f t="shared" si="98"/>
        <v>4.977758949375132E-3</v>
      </c>
      <c r="CN46" s="53">
        <f t="shared" si="98"/>
        <v>1.6009353779736474E-2</v>
      </c>
      <c r="CO46" s="53">
        <f t="shared" si="98"/>
        <v>2.1475814805960634E-2</v>
      </c>
      <c r="CP46" s="53">
        <f t="shared" si="98"/>
        <v>2.4141726133418539E-2</v>
      </c>
      <c r="CQ46" s="68">
        <v>1.7500000000000002E-2</v>
      </c>
      <c r="CR46" s="68">
        <v>1.4999999999999999E-2</v>
      </c>
      <c r="CS46" s="68">
        <v>1.2500000000000001E-2</v>
      </c>
      <c r="CT46" s="68">
        <v>0.01</v>
      </c>
      <c r="CU46" s="68">
        <v>0</v>
      </c>
      <c r="CV46" s="68">
        <v>0</v>
      </c>
      <c r="CW46" s="68">
        <v>0</v>
      </c>
      <c r="CX46" s="68">
        <v>0</v>
      </c>
      <c r="CY46" s="68">
        <v>0</v>
      </c>
      <c r="CZ46" s="68">
        <v>0</v>
      </c>
    </row>
    <row r="47" spans="2:158">
      <c r="B47" s="37" t="s">
        <v>122</v>
      </c>
      <c r="C47" s="53">
        <f t="shared" ref="C47:BM47" si="99">C32/C26</f>
        <v>0.48529411764705882</v>
      </c>
      <c r="D47" s="53">
        <f t="shared" si="99"/>
        <v>0.43515625000000002</v>
      </c>
      <c r="E47" s="53">
        <f t="shared" si="99"/>
        <v>0.49340175953079179</v>
      </c>
      <c r="F47" s="53">
        <f t="shared" si="99"/>
        <v>0.36104695919938412</v>
      </c>
      <c r="G47" s="53">
        <f t="shared" si="99"/>
        <v>0.53516819571865448</v>
      </c>
      <c r="H47" s="53">
        <f t="shared" si="99"/>
        <v>0.5252747252747253</v>
      </c>
      <c r="I47" s="53">
        <f t="shared" si="99"/>
        <v>0.53641456582633051</v>
      </c>
      <c r="J47" s="53">
        <f t="shared" si="99"/>
        <v>0.39568845618915161</v>
      </c>
      <c r="K47" s="53">
        <f t="shared" si="99"/>
        <v>0.55696202531645567</v>
      </c>
      <c r="L47" s="53">
        <f t="shared" si="99"/>
        <v>0.53089382123575279</v>
      </c>
      <c r="M47" s="53">
        <f t="shared" si="99"/>
        <v>0.55115511551155116</v>
      </c>
      <c r="N47" s="53">
        <f t="shared" si="99"/>
        <v>-5.7870370370370367E-3</v>
      </c>
      <c r="O47" s="53">
        <f t="shared" si="99"/>
        <v>0.56882821387940841</v>
      </c>
      <c r="P47" s="53">
        <f t="shared" si="99"/>
        <v>0.53516483516483515</v>
      </c>
      <c r="Q47" s="53">
        <f t="shared" si="99"/>
        <v>0.55474452554744524</v>
      </c>
      <c r="R47" s="53">
        <f t="shared" si="99"/>
        <v>0.47440633245382585</v>
      </c>
      <c r="S47" s="53">
        <f t="shared" si="99"/>
        <v>0.58079748163693601</v>
      </c>
      <c r="T47" s="53">
        <f t="shared" si="99"/>
        <v>0.58587786259541985</v>
      </c>
      <c r="U47" s="53">
        <f t="shared" si="99"/>
        <v>0.56266907123534715</v>
      </c>
      <c r="V47" s="53">
        <f t="shared" si="99"/>
        <v>0.43977055449330782</v>
      </c>
      <c r="W47" s="53">
        <f t="shared" si="99"/>
        <v>0.59162062615101285</v>
      </c>
      <c r="X47" s="53">
        <f t="shared" si="99"/>
        <v>0.58403716216216217</v>
      </c>
      <c r="Y47" s="53">
        <f t="shared" si="99"/>
        <v>0.57028112449799195</v>
      </c>
      <c r="Z47" s="53">
        <f t="shared" si="99"/>
        <v>0.42223143923683121</v>
      </c>
      <c r="AA47" s="53">
        <f t="shared" si="99"/>
        <v>0.60582959641255607</v>
      </c>
      <c r="AB47" s="53">
        <f t="shared" si="99"/>
        <v>0.52343096234309627</v>
      </c>
      <c r="AC47" s="53">
        <f t="shared" si="99"/>
        <v>0.54110671936758892</v>
      </c>
      <c r="AD47" s="53">
        <f t="shared" si="99"/>
        <v>0.43980929678188319</v>
      </c>
      <c r="AE47" s="53">
        <f t="shared" si="99"/>
        <v>0.55110384300899429</v>
      </c>
      <c r="AF47" s="53">
        <f t="shared" si="99"/>
        <v>0.51224944320712695</v>
      </c>
      <c r="AG47" s="53">
        <f t="shared" si="99"/>
        <v>0.57986111111111116</v>
      </c>
      <c r="AH47" s="53">
        <f t="shared" si="99"/>
        <v>0.49455732946298986</v>
      </c>
      <c r="AI47" s="53">
        <f t="shared" si="99"/>
        <v>0.55084125822970009</v>
      </c>
      <c r="AJ47" s="53">
        <f t="shared" si="99"/>
        <v>0.54143465443825745</v>
      </c>
      <c r="AK47" s="53">
        <f t="shared" si="99"/>
        <v>0.57121836374337842</v>
      </c>
      <c r="AL47" s="53">
        <f t="shared" si="99"/>
        <v>0.45954106280193235</v>
      </c>
      <c r="AM47" s="53">
        <f t="shared" si="99"/>
        <v>0.50977653631284914</v>
      </c>
      <c r="AN47" s="53">
        <f t="shared" si="99"/>
        <v>0.52824010914051844</v>
      </c>
      <c r="AO47" s="53">
        <f t="shared" si="99"/>
        <v>0.5867111339148281</v>
      </c>
      <c r="AP47" s="53">
        <f t="shared" si="99"/>
        <v>0.32413974257945888</v>
      </c>
      <c r="AQ47" s="53">
        <f t="shared" si="99"/>
        <v>0.56904088454615587</v>
      </c>
      <c r="AR47" s="53">
        <f t="shared" si="99"/>
        <v>0.58278628738147342</v>
      </c>
      <c r="AS47" s="53">
        <f t="shared" si="99"/>
        <v>0.5943586299529886</v>
      </c>
      <c r="AT47" s="53">
        <f t="shared" si="99"/>
        <v>0.54349796103307657</v>
      </c>
      <c r="AU47" s="53">
        <f t="shared" si="99"/>
        <v>0.55150910451484159</v>
      </c>
      <c r="AV47" s="53">
        <f t="shared" si="99"/>
        <v>0.51184407796101949</v>
      </c>
      <c r="AW47" s="53">
        <f t="shared" si="99"/>
        <v>0.54860568152202238</v>
      </c>
      <c r="AX47" s="53">
        <f t="shared" si="99"/>
        <v>0.49951456310679609</v>
      </c>
      <c r="AY47" s="53">
        <f t="shared" si="99"/>
        <v>0.52876052948255114</v>
      </c>
      <c r="AZ47" s="53">
        <f t="shared" si="99"/>
        <v>0.5170053003533569</v>
      </c>
      <c r="BA47" s="53">
        <f t="shared" si="99"/>
        <v>0.5450351053159479</v>
      </c>
      <c r="BB47" s="53">
        <f t="shared" si="99"/>
        <v>0.54198619631901845</v>
      </c>
      <c r="BC47" s="53">
        <f t="shared" si="99"/>
        <v>0.57093090768337529</v>
      </c>
      <c r="BD47" s="53">
        <f t="shared" si="99"/>
        <v>0.54902674185919598</v>
      </c>
      <c r="BE47" s="53">
        <f t="shared" si="99"/>
        <v>0.54065323141070187</v>
      </c>
      <c r="BF47" s="53">
        <f t="shared" si="99"/>
        <v>0.54736118274024415</v>
      </c>
      <c r="BG47" s="53">
        <f t="shared" si="99"/>
        <v>0.54558107167710512</v>
      </c>
      <c r="BH47" s="53">
        <f t="shared" si="99"/>
        <v>0.58318711118200672</v>
      </c>
      <c r="BI47" s="53">
        <f t="shared" si="99"/>
        <v>0.58839736721261293</v>
      </c>
      <c r="BJ47" s="53">
        <f t="shared" si="99"/>
        <v>0.51496640195479537</v>
      </c>
      <c r="BK47" s="53">
        <f t="shared" si="99"/>
        <v>0.56773787019533717</v>
      </c>
      <c r="BL47" s="53">
        <f t="shared" si="99"/>
        <v>0.57980175262174971</v>
      </c>
      <c r="BM47" s="53">
        <f t="shared" si="99"/>
        <v>0.54335730764011403</v>
      </c>
      <c r="BN47" s="53">
        <f t="shared" ref="BN47:BO47" si="100">BN32/BN26</f>
        <v>0.52583789558018423</v>
      </c>
      <c r="BO47" s="53">
        <f t="shared" si="100"/>
        <v>0.57227586206896552</v>
      </c>
      <c r="BP47" s="53">
        <f t="shared" ref="BP47:BQ47" si="101">BP32/BP26</f>
        <v>0.58736013771056195</v>
      </c>
      <c r="BQ47" s="53">
        <f t="shared" si="101"/>
        <v>0.58835154615205765</v>
      </c>
      <c r="CA47" s="53">
        <f t="shared" ref="CA47:CP47" si="102">CA32/CA26</f>
        <v>0.4432241616003138</v>
      </c>
      <c r="CB47" s="53">
        <f t="shared" si="102"/>
        <v>0.49684058494313055</v>
      </c>
      <c r="CC47" s="53">
        <f t="shared" si="102"/>
        <v>0.40408102472445634</v>
      </c>
      <c r="CD47" s="53">
        <f t="shared" si="102"/>
        <v>0.53267487484778786</v>
      </c>
      <c r="CE47" s="53">
        <f t="shared" si="102"/>
        <v>0.54174687199230032</v>
      </c>
      <c r="CF47" s="53">
        <f t="shared" si="102"/>
        <v>0.54083253892596128</v>
      </c>
      <c r="CG47" s="53">
        <f t="shared" si="102"/>
        <v>0.52529223130236891</v>
      </c>
      <c r="CH47" s="53">
        <f t="shared" si="102"/>
        <v>0.53461395694135116</v>
      </c>
      <c r="CI47" s="53">
        <f t="shared" si="102"/>
        <v>0.52988717292150112</v>
      </c>
      <c r="CJ47" s="53">
        <f t="shared" si="102"/>
        <v>0.48709030100334449</v>
      </c>
      <c r="CK47" s="53">
        <f t="shared" si="102"/>
        <v>0.57241011668542319</v>
      </c>
      <c r="CL47" s="53">
        <f t="shared" si="102"/>
        <v>0.52813541598588332</v>
      </c>
      <c r="CM47" s="53">
        <f t="shared" si="102"/>
        <v>0.53389112476170308</v>
      </c>
      <c r="CN47" s="53">
        <f t="shared" si="102"/>
        <v>0.55151324369294419</v>
      </c>
      <c r="CO47" s="53">
        <f t="shared" si="102"/>
        <v>0.55813212208144081</v>
      </c>
      <c r="CP47" s="53">
        <f t="shared" si="102"/>
        <v>0.55320055383959954</v>
      </c>
      <c r="CQ47" s="68">
        <f>CQ32/CQ26</f>
        <v>0.57300000000000006</v>
      </c>
      <c r="CR47" s="68">
        <f t="shared" ref="CR47:CZ47" si="103">CR32/CR26</f>
        <v>0.57650000000000001</v>
      </c>
      <c r="CS47" s="68">
        <f t="shared" si="103"/>
        <v>0.59700000000000009</v>
      </c>
      <c r="CT47" s="68">
        <f t="shared" si="103"/>
        <v>0.60250000000000004</v>
      </c>
      <c r="CU47" s="68">
        <f t="shared" si="103"/>
        <v>0.61550000000000005</v>
      </c>
      <c r="CV47" s="68">
        <f t="shared" si="103"/>
        <v>0.61850000000000005</v>
      </c>
      <c r="CW47" s="68">
        <f t="shared" si="103"/>
        <v>0.62149999999999994</v>
      </c>
      <c r="CX47" s="68">
        <f t="shared" si="103"/>
        <v>0.62250000000000005</v>
      </c>
      <c r="CY47" s="68">
        <f t="shared" si="103"/>
        <v>0.624</v>
      </c>
      <c r="CZ47" s="68">
        <f t="shared" si="103"/>
        <v>0.62549999999999994</v>
      </c>
    </row>
    <row r="48" spans="2:158">
      <c r="B48" s="37" t="s">
        <v>123</v>
      </c>
      <c r="C48" s="53">
        <f t="shared" ref="C48:BM48" si="104">C38/C37</f>
        <v>0.3327272727272727</v>
      </c>
      <c r="D48" s="53">
        <f t="shared" si="104"/>
        <v>0.34888059701492535</v>
      </c>
      <c r="E48" s="53">
        <f t="shared" si="104"/>
        <v>0.33484848484848484</v>
      </c>
      <c r="F48" s="53">
        <f t="shared" si="104"/>
        <v>0.34745762711864409</v>
      </c>
      <c r="G48" s="53">
        <f t="shared" si="104"/>
        <v>0.34532374100719426</v>
      </c>
      <c r="H48" s="53">
        <f t="shared" si="104"/>
        <v>0.35764375876577842</v>
      </c>
      <c r="I48" s="53">
        <f t="shared" si="104"/>
        <v>0.32333767926988266</v>
      </c>
      <c r="J48" s="53">
        <f t="shared" si="104"/>
        <v>0.28694158075601373</v>
      </c>
      <c r="K48" s="53">
        <f t="shared" si="104"/>
        <v>0.32775119617224879</v>
      </c>
      <c r="L48" s="53">
        <f t="shared" si="104"/>
        <v>0.31838565022421522</v>
      </c>
      <c r="M48" s="53">
        <f t="shared" si="104"/>
        <v>0.30485436893203882</v>
      </c>
      <c r="N48" s="53">
        <f t="shared" si="104"/>
        <v>3</v>
      </c>
      <c r="O48" s="53">
        <f t="shared" si="104"/>
        <v>0.318</v>
      </c>
      <c r="P48" s="53">
        <f t="shared" si="104"/>
        <v>0.2805755395683453</v>
      </c>
      <c r="Q48" s="53">
        <f t="shared" si="104"/>
        <v>0.27579737335834897</v>
      </c>
      <c r="R48" s="53">
        <f t="shared" si="104"/>
        <v>0.3232662192393736</v>
      </c>
      <c r="S48" s="53">
        <f t="shared" si="104"/>
        <v>0.30490018148820325</v>
      </c>
      <c r="T48" s="53">
        <f t="shared" si="104"/>
        <v>0.31224655312246552</v>
      </c>
      <c r="U48" s="53">
        <f t="shared" si="104"/>
        <v>0.29904306220095694</v>
      </c>
      <c r="V48" s="53">
        <f t="shared" si="104"/>
        <v>0.31613611416026344</v>
      </c>
      <c r="W48" s="53">
        <f t="shared" si="104"/>
        <v>0.32084309133489464</v>
      </c>
      <c r="X48" s="53">
        <f t="shared" si="104"/>
        <v>0.32192279679533869</v>
      </c>
      <c r="Y48" s="53">
        <f t="shared" si="104"/>
        <v>0.2842031029619182</v>
      </c>
      <c r="Z48" s="53">
        <f t="shared" si="104"/>
        <v>0.20456802383316783</v>
      </c>
      <c r="AA48" s="53">
        <f t="shared" si="104"/>
        <v>0.23880597014925373</v>
      </c>
      <c r="AB48" s="53">
        <f t="shared" si="104"/>
        <v>0.257856567284448</v>
      </c>
      <c r="AC48" s="53">
        <f t="shared" si="104"/>
        <v>0.27736686390532544</v>
      </c>
      <c r="AD48" s="53">
        <f t="shared" si="104"/>
        <v>0.13170731707317074</v>
      </c>
      <c r="AE48" s="53">
        <f t="shared" si="104"/>
        <v>0.28272251308900526</v>
      </c>
      <c r="AF48" s="53">
        <f t="shared" si="104"/>
        <v>0.27985347985347986</v>
      </c>
      <c r="AG48" s="53">
        <f t="shared" si="104"/>
        <v>0.2749540722596448</v>
      </c>
      <c r="AH48" s="53">
        <f t="shared" si="104"/>
        <v>0.28832951945080093</v>
      </c>
      <c r="AI48" s="53">
        <f t="shared" si="104"/>
        <v>0.26860622462787553</v>
      </c>
      <c r="AJ48" s="53">
        <f t="shared" si="104"/>
        <v>0.27702702702702703</v>
      </c>
      <c r="AK48" s="53">
        <f t="shared" si="104"/>
        <v>0.25983436853002068</v>
      </c>
      <c r="AL48" s="53">
        <f t="shared" si="104"/>
        <v>0.84703504043126687</v>
      </c>
      <c r="AM48" s="53">
        <f t="shared" si="104"/>
        <v>0.17249029395452026</v>
      </c>
      <c r="AN48" s="53">
        <f t="shared" si="104"/>
        <v>0.18366285119667014</v>
      </c>
      <c r="AO48" s="53">
        <f t="shared" si="104"/>
        <v>0.16121908127208481</v>
      </c>
      <c r="AP48" s="53">
        <f t="shared" si="104"/>
        <v>0.26008230452674896</v>
      </c>
      <c r="AQ48" s="53">
        <f t="shared" si="104"/>
        <v>0.15478892419428053</v>
      </c>
      <c r="AR48" s="53">
        <f t="shared" si="104"/>
        <v>0.1869789599047241</v>
      </c>
      <c r="AS48" s="53">
        <f t="shared" si="104"/>
        <v>0.1681136543014996</v>
      </c>
      <c r="AT48" s="53">
        <f t="shared" si="104"/>
        <v>0.15151515151515152</v>
      </c>
      <c r="AU48" s="53">
        <f t="shared" si="104"/>
        <v>0.14796175138399598</v>
      </c>
      <c r="AV48" s="53">
        <f t="shared" si="104"/>
        <v>0.15976331360946747</v>
      </c>
      <c r="AW48" s="53">
        <f t="shared" si="104"/>
        <v>0.20992167101827677</v>
      </c>
      <c r="AX48" s="53">
        <f t="shared" si="104"/>
        <v>0.17666051660516605</v>
      </c>
      <c r="AY48" s="53">
        <f t="shared" si="104"/>
        <v>0.16529680365296803</v>
      </c>
      <c r="AZ48" s="53">
        <f t="shared" si="104"/>
        <v>0.16626311541565778</v>
      </c>
      <c r="BA48" s="53">
        <f t="shared" si="104"/>
        <v>0.14275568181818182</v>
      </c>
      <c r="BB48" s="53">
        <f t="shared" si="104"/>
        <v>0.15727948990435706</v>
      </c>
      <c r="BC48" s="53">
        <f t="shared" si="104"/>
        <v>5.120807789397764E-2</v>
      </c>
      <c r="BD48" s="53">
        <f t="shared" si="104"/>
        <v>0.18691922802001429</v>
      </c>
      <c r="BE48" s="53">
        <f t="shared" si="104"/>
        <v>0.1865234375</v>
      </c>
      <c r="BF48" s="53">
        <f t="shared" si="104"/>
        <v>0.18258336031078018</v>
      </c>
      <c r="BG48" s="53">
        <f t="shared" si="104"/>
        <v>0.17245005257623555</v>
      </c>
      <c r="BH48" s="53">
        <f t="shared" si="104"/>
        <v>0.23191144708423325</v>
      </c>
      <c r="BI48" s="53">
        <f t="shared" si="104"/>
        <v>0.14969423025791012</v>
      </c>
      <c r="BJ48" s="53">
        <f t="shared" si="104"/>
        <v>0.15959048479373683</v>
      </c>
      <c r="BK48" s="53">
        <f t="shared" si="104"/>
        <v>0.1537380550871276</v>
      </c>
      <c r="BL48" s="53">
        <f t="shared" si="104"/>
        <v>0.17288651942117289</v>
      </c>
      <c r="BM48" s="53">
        <f t="shared" si="104"/>
        <v>0.15597516813243661</v>
      </c>
      <c r="BN48" s="53">
        <f t="shared" ref="BN48:BO48" si="105">BN38/BN37</f>
        <v>0.14109483423284502</v>
      </c>
      <c r="BO48" s="53">
        <f t="shared" si="105"/>
        <v>0.18630612751178369</v>
      </c>
      <c r="BP48" s="53">
        <f t="shared" ref="BP48:BQ48" si="106">BP38/BP37</f>
        <v>0.20783390410958905</v>
      </c>
      <c r="BQ48" s="53">
        <f t="shared" si="106"/>
        <v>0.21444288857771554</v>
      </c>
      <c r="CA48" s="53">
        <f t="shared" ref="CA48:CP48" si="107">CA38/CA37</f>
        <v>0.34039675383228135</v>
      </c>
      <c r="CB48" s="53">
        <f t="shared" si="107"/>
        <v>0.33006891548784911</v>
      </c>
      <c r="CC48" s="53">
        <f t="shared" si="107"/>
        <v>0.30640465793304222</v>
      </c>
      <c r="CD48" s="53">
        <f t="shared" si="107"/>
        <v>0.29849987287058227</v>
      </c>
      <c r="CE48" s="53">
        <f t="shared" si="107"/>
        <v>0.30755555555555558</v>
      </c>
      <c r="CF48" s="53">
        <f t="shared" si="107"/>
        <v>0.28785193935814135</v>
      </c>
      <c r="CG48" s="53">
        <f t="shared" si="107"/>
        <v>0.23194836627672449</v>
      </c>
      <c r="CH48" s="53">
        <f t="shared" si="107"/>
        <v>0.28108395324123275</v>
      </c>
      <c r="CI48" s="53">
        <f t="shared" si="107"/>
        <v>0.3997240110395584</v>
      </c>
      <c r="CJ48" s="53">
        <f t="shared" si="107"/>
        <v>0.18670183231538034</v>
      </c>
      <c r="CK48" s="53">
        <f t="shared" si="107"/>
        <v>0.16575891480834445</v>
      </c>
      <c r="CL48" s="53">
        <f t="shared" si="107"/>
        <v>0.173840206185567</v>
      </c>
      <c r="CM48" s="53">
        <f t="shared" si="107"/>
        <v>0.15717473561657125</v>
      </c>
      <c r="CN48" s="53">
        <f t="shared" si="107"/>
        <v>0.15359699965905216</v>
      </c>
      <c r="CO48" s="53">
        <f t="shared" si="107"/>
        <v>0.17919202287557739</v>
      </c>
      <c r="CP48" s="53">
        <f t="shared" si="107"/>
        <v>0.15602464927232201</v>
      </c>
      <c r="CQ48" s="68">
        <v>0.2</v>
      </c>
      <c r="CR48" s="68">
        <v>0.2</v>
      </c>
      <c r="CS48" s="68">
        <v>0.2</v>
      </c>
      <c r="CT48" s="68">
        <v>0.2</v>
      </c>
      <c r="CU48" s="68">
        <v>0.2</v>
      </c>
      <c r="CV48" s="68">
        <v>0.2</v>
      </c>
      <c r="CW48" s="68">
        <v>0.2</v>
      </c>
      <c r="CX48" s="68">
        <v>0.2</v>
      </c>
      <c r="CY48" s="68">
        <v>0.2</v>
      </c>
      <c r="CZ48" s="68">
        <v>0.2</v>
      </c>
    </row>
    <row r="49" spans="2:158">
      <c r="B49" s="37" t="s">
        <v>124</v>
      </c>
      <c r="C49" s="53">
        <f t="shared" ref="C49:BM49" si="108">C39/C26</f>
        <v>0.31747404844290655</v>
      </c>
      <c r="D49" s="53">
        <f t="shared" si="108"/>
        <v>0.27265624999999999</v>
      </c>
      <c r="E49" s="53">
        <f t="shared" si="108"/>
        <v>0.32184750733137829</v>
      </c>
      <c r="F49" s="53">
        <f t="shared" si="108"/>
        <v>0.23710546574287913</v>
      </c>
      <c r="G49" s="53">
        <f t="shared" si="108"/>
        <v>0.34785932721712537</v>
      </c>
      <c r="H49" s="53">
        <f t="shared" si="108"/>
        <v>0.3355311355311355</v>
      </c>
      <c r="I49" s="53">
        <f t="shared" si="108"/>
        <v>0.36344537815126049</v>
      </c>
      <c r="J49" s="53">
        <f t="shared" si="108"/>
        <v>0.28859527121001388</v>
      </c>
      <c r="K49" s="53">
        <f t="shared" si="108"/>
        <v>0.37441705529646901</v>
      </c>
      <c r="L49" s="53">
        <f t="shared" si="108"/>
        <v>0.36472705458908217</v>
      </c>
      <c r="M49" s="53">
        <f t="shared" si="108"/>
        <v>0.39383938393839385</v>
      </c>
      <c r="N49" s="53">
        <f t="shared" si="108"/>
        <v>1.1574074074074073E-2</v>
      </c>
      <c r="O49" s="53">
        <f t="shared" si="108"/>
        <v>0.38794084186575656</v>
      </c>
      <c r="P49" s="53">
        <f t="shared" si="108"/>
        <v>0.38461538461538464</v>
      </c>
      <c r="Q49" s="53">
        <f t="shared" si="108"/>
        <v>0.40250260688216893</v>
      </c>
      <c r="R49" s="53">
        <f t="shared" si="108"/>
        <v>0.31926121372031663</v>
      </c>
      <c r="S49" s="53">
        <f t="shared" si="108"/>
        <v>0.40188877229800629</v>
      </c>
      <c r="T49" s="53">
        <f t="shared" si="108"/>
        <v>0.40458015267175573</v>
      </c>
      <c r="U49" s="53">
        <f t="shared" si="108"/>
        <v>0.39630297565374212</v>
      </c>
      <c r="V49" s="53">
        <f t="shared" si="108"/>
        <v>0.29780114722753348</v>
      </c>
      <c r="W49" s="53">
        <f t="shared" si="108"/>
        <v>0.40055248618784528</v>
      </c>
      <c r="X49" s="53">
        <f t="shared" si="108"/>
        <v>0.39315878378378377</v>
      </c>
      <c r="Y49" s="53">
        <f t="shared" si="108"/>
        <v>0.40763052208835343</v>
      </c>
      <c r="Z49" s="53">
        <f t="shared" si="108"/>
        <v>0.33222729158025716</v>
      </c>
      <c r="AA49" s="53">
        <f t="shared" si="108"/>
        <v>0.45739910313901344</v>
      </c>
      <c r="AB49" s="53">
        <f t="shared" si="108"/>
        <v>0.38535564853556487</v>
      </c>
      <c r="AC49" s="53">
        <f t="shared" si="108"/>
        <v>0.38616600790513833</v>
      </c>
      <c r="AD49" s="53">
        <f t="shared" si="108"/>
        <v>0.35359555025824396</v>
      </c>
      <c r="AE49" s="53">
        <f t="shared" si="108"/>
        <v>0.39206868356500407</v>
      </c>
      <c r="AF49" s="53">
        <f t="shared" si="108"/>
        <v>0.36488492947290274</v>
      </c>
      <c r="AG49" s="53">
        <f t="shared" si="108"/>
        <v>0.41111111111111109</v>
      </c>
      <c r="AH49" s="53">
        <f t="shared" si="108"/>
        <v>0.33853410740203194</v>
      </c>
      <c r="AI49" s="53">
        <f t="shared" si="108"/>
        <v>0.3953913679590344</v>
      </c>
      <c r="AJ49" s="53">
        <f t="shared" si="108"/>
        <v>0.38552243694726501</v>
      </c>
      <c r="AK49" s="53">
        <f t="shared" si="108"/>
        <v>0.42083578575632724</v>
      </c>
      <c r="AL49" s="53">
        <f t="shared" si="108"/>
        <v>6.8538647342995168E-2</v>
      </c>
      <c r="AM49" s="53">
        <f t="shared" si="108"/>
        <v>0.41675977653631285</v>
      </c>
      <c r="AN49" s="53">
        <f t="shared" si="108"/>
        <v>0.42810368349249661</v>
      </c>
      <c r="AO49" s="53">
        <f t="shared" si="108"/>
        <v>0.48717290918419703</v>
      </c>
      <c r="AP49" s="53">
        <f t="shared" si="108"/>
        <v>0.23614394536380351</v>
      </c>
      <c r="AQ49" s="53">
        <f t="shared" si="108"/>
        <v>0.47878632039084595</v>
      </c>
      <c r="AR49" s="53">
        <f t="shared" si="108"/>
        <v>0.49793338195964015</v>
      </c>
      <c r="AS49" s="53">
        <f t="shared" si="108"/>
        <v>0.47190508171032014</v>
      </c>
      <c r="AT49" s="53">
        <f t="shared" si="108"/>
        <v>0.47575894879927505</v>
      </c>
      <c r="AU49" s="53">
        <f t="shared" si="108"/>
        <v>0.42229982539286604</v>
      </c>
      <c r="AV49" s="53">
        <f t="shared" si="108"/>
        <v>0.42578710644677659</v>
      </c>
      <c r="AW49" s="53">
        <f t="shared" si="108"/>
        <v>0.39431847797758668</v>
      </c>
      <c r="AX49" s="53">
        <f t="shared" si="108"/>
        <v>0.43325242718446599</v>
      </c>
      <c r="AY49" s="53">
        <f t="shared" si="108"/>
        <v>0.43995186522262336</v>
      </c>
      <c r="AZ49" s="53">
        <f t="shared" si="108"/>
        <v>0.45627208480565373</v>
      </c>
      <c r="BA49" s="53">
        <f t="shared" si="108"/>
        <v>0.48425275827482445</v>
      </c>
      <c r="BB49" s="53">
        <f t="shared" si="108"/>
        <v>0.45609662576687116</v>
      </c>
      <c r="BC49" s="53">
        <f t="shared" si="108"/>
        <v>0.50919295529320685</v>
      </c>
      <c r="BD49" s="53">
        <f t="shared" si="108"/>
        <v>0.41386210660360195</v>
      </c>
      <c r="BE49" s="53">
        <f t="shared" si="108"/>
        <v>0.43415566365531622</v>
      </c>
      <c r="BF49" s="53">
        <f t="shared" si="108"/>
        <v>0.43407254598590339</v>
      </c>
      <c r="BG49" s="53">
        <f t="shared" si="108"/>
        <v>0.41075156576200417</v>
      </c>
      <c r="BH49" s="53">
        <f t="shared" si="108"/>
        <v>0.45382038602647951</v>
      </c>
      <c r="BI49" s="53">
        <f t="shared" si="108"/>
        <v>0.48951477116179398</v>
      </c>
      <c r="BJ49" s="53">
        <f t="shared" si="108"/>
        <v>0.42623701893708005</v>
      </c>
      <c r="BK49" s="53">
        <f t="shared" si="108"/>
        <v>0.47432262129804664</v>
      </c>
      <c r="BL49" s="53">
        <f t="shared" si="108"/>
        <v>0.46803620169515875</v>
      </c>
      <c r="BM49" s="53">
        <f t="shared" si="108"/>
        <v>0.44280092278463834</v>
      </c>
      <c r="BN49" s="53">
        <f t="shared" ref="BN49:BO49" si="109">BN39/BN26</f>
        <v>0.44625450660969423</v>
      </c>
      <c r="BO49" s="53">
        <f t="shared" si="109"/>
        <v>0.45241379310344826</v>
      </c>
      <c r="BP49" s="53">
        <f t="shared" ref="BP49:BQ49" si="110">BP39/BP26</f>
        <v>0.45505963359154061</v>
      </c>
      <c r="BQ49" s="53">
        <f t="shared" si="110"/>
        <v>0.45652173913043476</v>
      </c>
      <c r="CA49" s="53">
        <f t="shared" ref="CA49:CP49" si="111">CA39/CA26</f>
        <v>0.28691900372622081</v>
      </c>
      <c r="CB49" s="53">
        <f t="shared" si="111"/>
        <v>0.33345369200216646</v>
      </c>
      <c r="CC49" s="53">
        <f t="shared" si="111"/>
        <v>0.28388442061364311</v>
      </c>
      <c r="CD49" s="53">
        <f t="shared" si="111"/>
        <v>0.3732918414287647</v>
      </c>
      <c r="CE49" s="53">
        <f t="shared" si="111"/>
        <v>0.37487969201154958</v>
      </c>
      <c r="CF49" s="53">
        <f t="shared" si="111"/>
        <v>0.38311619531829255</v>
      </c>
      <c r="CG49" s="53">
        <f t="shared" si="111"/>
        <v>0.39391745112237508</v>
      </c>
      <c r="CH49" s="53">
        <f t="shared" si="111"/>
        <v>0.3766703786191537</v>
      </c>
      <c r="CI49" s="53">
        <f t="shared" si="111"/>
        <v>0.31327518604465071</v>
      </c>
      <c r="CJ49" s="53">
        <f t="shared" si="111"/>
        <v>0.39190635451505018</v>
      </c>
      <c r="CK49" s="53">
        <f t="shared" si="111"/>
        <v>0.48083871349878576</v>
      </c>
      <c r="CL49" s="53">
        <f t="shared" si="111"/>
        <v>0.41899222273054049</v>
      </c>
      <c r="CM49" s="53">
        <f t="shared" si="111"/>
        <v>0.46001906375767848</v>
      </c>
      <c r="CN49" s="53">
        <f t="shared" si="111"/>
        <v>0.44655304222691911</v>
      </c>
      <c r="CO49" s="53">
        <f t="shared" si="111"/>
        <v>0.44605147820543467</v>
      </c>
      <c r="CP49" s="53">
        <f t="shared" si="111"/>
        <v>0.45705967976710332</v>
      </c>
      <c r="CQ49" s="68">
        <f>CQ39/CQ26</f>
        <v>0.51721504238325333</v>
      </c>
      <c r="CR49" s="68">
        <f t="shared" ref="CR49:CZ49" si="112">CR39/CR26</f>
        <v>0.53949064077235187</v>
      </c>
      <c r="CS49" s="68">
        <f t="shared" si="112"/>
        <v>0.58010187654829959</v>
      </c>
      <c r="CT49" s="68">
        <f t="shared" si="112"/>
        <v>0.61423953361255335</v>
      </c>
      <c r="CU49" s="68">
        <f t="shared" si="112"/>
        <v>0.66190047764416726</v>
      </c>
      <c r="CV49" s="68">
        <f t="shared" si="112"/>
        <v>0.71414518311540354</v>
      </c>
      <c r="CW49" s="68">
        <f t="shared" si="112"/>
        <v>0.78461898159469479</v>
      </c>
      <c r="CX49" s="68">
        <f t="shared" si="112"/>
        <v>0.87734907400046869</v>
      </c>
      <c r="CY49" s="68">
        <f t="shared" si="112"/>
        <v>1.0007472479511941</v>
      </c>
      <c r="CZ49" s="68">
        <f t="shared" si="112"/>
        <v>1.1652332700813162</v>
      </c>
    </row>
    <row r="51" spans="2:158">
      <c r="B51" s="1" t="s">
        <v>125</v>
      </c>
      <c r="AY51" s="1">
        <v>7246</v>
      </c>
      <c r="AZ51" s="1">
        <v>6216</v>
      </c>
      <c r="BA51" s="1">
        <v>6406</v>
      </c>
      <c r="BB51" s="1">
        <v>7421</v>
      </c>
      <c r="BC51" s="1">
        <v>6879</v>
      </c>
      <c r="BD51" s="1">
        <v>5921</v>
      </c>
      <c r="BE51" s="1">
        <v>7633</v>
      </c>
      <c r="BF51" s="1">
        <v>7008</v>
      </c>
      <c r="BG51" s="1">
        <v>6566</v>
      </c>
      <c r="BH51" s="1">
        <v>6170</v>
      </c>
      <c r="BI51" s="1">
        <v>6890</v>
      </c>
      <c r="BJ51" s="1">
        <v>8588</v>
      </c>
      <c r="BK51" s="1">
        <v>7293</v>
      </c>
      <c r="BL51" s="1">
        <v>6996</v>
      </c>
      <c r="BM51" s="1">
        <v>11063</v>
      </c>
      <c r="BN51" s="1">
        <v>8442</v>
      </c>
      <c r="BO51" s="1">
        <v>7575</v>
      </c>
      <c r="BP51" s="1">
        <v>9031</v>
      </c>
      <c r="BQ51" s="1">
        <v>10313</v>
      </c>
      <c r="CM51" s="1">
        <f t="shared" ref="CM51:CM63" si="113">BB51</f>
        <v>7421</v>
      </c>
      <c r="CN51" s="1">
        <f t="shared" ref="CN51:CN63" si="114">BF51</f>
        <v>7008</v>
      </c>
      <c r="CO51" s="1">
        <f t="shared" ref="CO51:CO63" si="115">BJ51</f>
        <v>8588</v>
      </c>
      <c r="CP51" s="1">
        <f t="shared" ref="CP51:CP63" si="116">BN51</f>
        <v>8442</v>
      </c>
      <c r="CQ51" s="63">
        <f>CQ39+CP51</f>
        <v>25240.435992000002</v>
      </c>
      <c r="CR51" s="63">
        <f>CR39+CQ51</f>
        <v>45123.709991580006</v>
      </c>
      <c r="CS51" s="63">
        <f>CS39+CR51</f>
        <v>69070.189563162305</v>
      </c>
      <c r="CT51" s="63">
        <f t="shared" ref="CT51:CZ51" si="117">CT39+CS51</f>
        <v>97350.501157109175</v>
      </c>
      <c r="CU51" s="63">
        <f t="shared" si="117"/>
        <v>131134.32116372325</v>
      </c>
      <c r="CV51" s="63">
        <f t="shared" si="117"/>
        <v>170816.9863602941</v>
      </c>
      <c r="CW51" s="63">
        <f t="shared" si="117"/>
        <v>217413.71902098792</v>
      </c>
      <c r="CX51" s="63">
        <f t="shared" si="117"/>
        <v>272468.79685302102</v>
      </c>
      <c r="CY51" s="63">
        <f t="shared" si="117"/>
        <v>338513.71698147169</v>
      </c>
      <c r="CZ51" s="63">
        <f t="shared" si="117"/>
        <v>419008.96163976891</v>
      </c>
    </row>
    <row r="52" spans="2:158">
      <c r="B52" s="1" t="s">
        <v>1508</v>
      </c>
      <c r="AY52" s="1">
        <v>586</v>
      </c>
      <c r="AZ52" s="1">
        <v>586</v>
      </c>
      <c r="BA52" s="1">
        <v>586</v>
      </c>
      <c r="BB52" s="1">
        <v>586</v>
      </c>
      <c r="BC52" s="1">
        <v>585</v>
      </c>
      <c r="BD52" s="1">
        <v>584</v>
      </c>
      <c r="BE52" s="1">
        <v>586</v>
      </c>
      <c r="BF52" s="1">
        <v>589</v>
      </c>
      <c r="BG52" s="1">
        <v>596</v>
      </c>
      <c r="BH52" s="1">
        <v>598</v>
      </c>
      <c r="BI52" s="1">
        <v>0</v>
      </c>
      <c r="BJ52" s="1">
        <v>32</v>
      </c>
      <c r="BK52" s="1">
        <v>0</v>
      </c>
      <c r="BL52" s="1">
        <v>0</v>
      </c>
      <c r="BM52" s="1">
        <v>0</v>
      </c>
      <c r="BN52" s="1">
        <v>492</v>
      </c>
      <c r="BO52" s="1">
        <v>507</v>
      </c>
      <c r="BP52" s="1">
        <v>542</v>
      </c>
      <c r="BQ52" s="1">
        <v>478</v>
      </c>
      <c r="CM52" s="1">
        <f t="shared" si="113"/>
        <v>586</v>
      </c>
      <c r="CN52" s="1">
        <f t="shared" si="114"/>
        <v>589</v>
      </c>
      <c r="CO52" s="1">
        <f t="shared" si="115"/>
        <v>32</v>
      </c>
      <c r="CP52" s="1">
        <f t="shared" si="116"/>
        <v>492</v>
      </c>
    </row>
    <row r="53" spans="2:158">
      <c r="B53" s="1" t="s">
        <v>1509</v>
      </c>
      <c r="AY53" s="1">
        <v>489</v>
      </c>
      <c r="AZ53" s="1">
        <v>544</v>
      </c>
      <c r="BA53" s="1">
        <v>510</v>
      </c>
      <c r="BB53" s="1">
        <v>473</v>
      </c>
      <c r="BC53" s="1">
        <v>449</v>
      </c>
      <c r="BD53" s="1">
        <v>438</v>
      </c>
      <c r="BE53" s="1">
        <v>412</v>
      </c>
      <c r="BF53" s="1">
        <v>1568</v>
      </c>
      <c r="BG53" s="1">
        <v>402</v>
      </c>
      <c r="BH53" s="1">
        <v>344</v>
      </c>
      <c r="BI53" s="1">
        <v>2624</v>
      </c>
      <c r="BJ53" s="1">
        <v>1845</v>
      </c>
      <c r="BK53" s="1">
        <v>1861</v>
      </c>
      <c r="BL53" s="1">
        <v>1772</v>
      </c>
      <c r="BM53" s="1">
        <v>1868</v>
      </c>
      <c r="BN53" s="1">
        <v>1874</v>
      </c>
      <c r="BO53" s="1">
        <v>1900</v>
      </c>
      <c r="BP53" s="1">
        <v>1999</v>
      </c>
      <c r="BQ53" s="1">
        <v>2054</v>
      </c>
      <c r="CM53" s="1">
        <f t="shared" si="113"/>
        <v>473</v>
      </c>
      <c r="CN53" s="1">
        <f t="shared" si="114"/>
        <v>1568</v>
      </c>
      <c r="CO53" s="1">
        <f t="shared" si="115"/>
        <v>1845</v>
      </c>
      <c r="CP53" s="1">
        <f t="shared" si="116"/>
        <v>1874</v>
      </c>
      <c r="CR53" s="54" t="s">
        <v>1532</v>
      </c>
      <c r="CS53" s="55"/>
      <c r="CT53" s="55"/>
      <c r="CU53" s="54" t="s">
        <v>1533</v>
      </c>
      <c r="CV53" s="55"/>
      <c r="CW53" s="56" t="s">
        <v>1534</v>
      </c>
      <c r="CX53" s="55"/>
      <c r="CY53" s="35" t="s">
        <v>1535</v>
      </c>
      <c r="CZ53" s="57">
        <v>0.38</v>
      </c>
    </row>
    <row r="54" spans="2:158" ht="14.25" customHeight="1">
      <c r="B54" s="1" t="s">
        <v>126</v>
      </c>
      <c r="AY54" s="1">
        <v>2648</v>
      </c>
      <c r="AZ54" s="1">
        <v>2773</v>
      </c>
      <c r="BA54" s="1">
        <v>2820</v>
      </c>
      <c r="BB54" s="1">
        <v>3006</v>
      </c>
      <c r="BC54" s="1">
        <v>2889</v>
      </c>
      <c r="BD54" s="1">
        <v>3175</v>
      </c>
      <c r="BE54" s="1">
        <v>3167</v>
      </c>
      <c r="BF54" s="1">
        <v>400</v>
      </c>
      <c r="BG54" s="1">
        <v>3511</v>
      </c>
      <c r="BH54" s="1">
        <v>3763</v>
      </c>
      <c r="BI54" s="1">
        <v>602</v>
      </c>
      <c r="BJ54" s="1">
        <v>592</v>
      </c>
      <c r="BK54" s="1">
        <v>364</v>
      </c>
      <c r="BL54" s="1">
        <v>362</v>
      </c>
      <c r="BM54" s="1">
        <v>338</v>
      </c>
      <c r="BN54" s="1">
        <v>330</v>
      </c>
      <c r="BO54" s="1">
        <v>319</v>
      </c>
      <c r="BP54" s="1">
        <v>336</v>
      </c>
      <c r="BQ54" s="1">
        <v>335</v>
      </c>
      <c r="CM54" s="1">
        <f t="shared" si="113"/>
        <v>3006</v>
      </c>
      <c r="CN54" s="1">
        <f t="shared" si="114"/>
        <v>400</v>
      </c>
      <c r="CO54" s="1">
        <f t="shared" si="115"/>
        <v>592</v>
      </c>
      <c r="CP54" s="1">
        <f t="shared" si="116"/>
        <v>330</v>
      </c>
      <c r="CR54" s="55">
        <v>2025</v>
      </c>
      <c r="CS54" s="55"/>
      <c r="CT54" s="55">
        <v>2023</v>
      </c>
      <c r="CU54" s="55">
        <v>2024</v>
      </c>
      <c r="CV54" s="55"/>
      <c r="CW54" s="56" t="s">
        <v>1536</v>
      </c>
      <c r="CX54" s="55"/>
      <c r="CY54" s="35" t="s">
        <v>1537</v>
      </c>
      <c r="CZ54" s="57">
        <v>2.75E-2</v>
      </c>
    </row>
    <row r="55" spans="2:158" ht="14.25" customHeight="1">
      <c r="B55" s="1" t="s">
        <v>1510</v>
      </c>
      <c r="AY55" s="1">
        <v>1678</v>
      </c>
      <c r="AZ55" s="1">
        <v>937</v>
      </c>
      <c r="BA55" s="1">
        <v>861</v>
      </c>
      <c r="BB55" s="1">
        <v>1319</v>
      </c>
      <c r="BC55" s="1">
        <v>1101</v>
      </c>
      <c r="BD55" s="1">
        <v>1063</v>
      </c>
      <c r="BE55" s="1">
        <v>1019</v>
      </c>
      <c r="BF55" s="1">
        <v>3425</v>
      </c>
      <c r="BG55" s="1">
        <v>1236</v>
      </c>
      <c r="BH55" s="1">
        <v>1378</v>
      </c>
      <c r="BI55" s="1">
        <v>3925</v>
      </c>
      <c r="BJ55" s="1">
        <v>4060</v>
      </c>
      <c r="BK55" s="1">
        <v>4231</v>
      </c>
      <c r="BL55" s="1">
        <v>4195</v>
      </c>
      <c r="BM55" s="1">
        <v>4014</v>
      </c>
      <c r="BN55" s="1">
        <v>3773</v>
      </c>
      <c r="BO55" s="1">
        <v>3965</v>
      </c>
      <c r="BP55" s="1">
        <v>4184</v>
      </c>
      <c r="BQ55" s="1">
        <v>4247</v>
      </c>
      <c r="CM55" s="1">
        <f t="shared" si="113"/>
        <v>1319</v>
      </c>
      <c r="CN55" s="1">
        <f t="shared" si="114"/>
        <v>3425</v>
      </c>
      <c r="CO55" s="1">
        <f t="shared" si="115"/>
        <v>4060</v>
      </c>
      <c r="CP55" s="1">
        <f t="shared" si="116"/>
        <v>3773</v>
      </c>
      <c r="CR55" s="58">
        <f>AVERAGE(CQ32)*(1-CQ48)</f>
        <v>14888.203992000002</v>
      </c>
      <c r="CS55" s="55"/>
      <c r="CT55" s="59">
        <f>SUM(CO51:CO56)-CO65+CO58+CO61+CO60</f>
        <v>29323</v>
      </c>
      <c r="CU55" s="59">
        <f>SUM(CP51:CP56)-CP65+CP58+CP61+CP60</f>
        <v>32587</v>
      </c>
      <c r="CV55" s="55"/>
      <c r="CW55" s="59">
        <f>AVERAGE(CT55:CU55)</f>
        <v>30955</v>
      </c>
      <c r="CX55" s="55"/>
      <c r="CY55" s="60" t="s">
        <v>1538</v>
      </c>
      <c r="CZ55" s="61">
        <v>4.3400000000000001E-2</v>
      </c>
    </row>
    <row r="56" spans="2:158" ht="14.25" customHeight="1">
      <c r="B56" s="1" t="s">
        <v>1511</v>
      </c>
      <c r="AY56" s="1">
        <v>1759</v>
      </c>
      <c r="AZ56" s="1">
        <v>1806</v>
      </c>
      <c r="BA56" s="1">
        <v>1832</v>
      </c>
      <c r="BB56" s="1">
        <v>1873</v>
      </c>
      <c r="BC56" s="1">
        <v>1730</v>
      </c>
      <c r="BD56" s="1">
        <v>1621</v>
      </c>
      <c r="BE56" s="1">
        <v>1531</v>
      </c>
      <c r="BF56" s="1">
        <v>1270</v>
      </c>
      <c r="BG56" s="1">
        <v>1608</v>
      </c>
      <c r="BH56" s="1">
        <v>1723</v>
      </c>
      <c r="BI56" s="1">
        <v>1118</v>
      </c>
      <c r="BJ56" s="1">
        <v>1233</v>
      </c>
      <c r="BK56" s="1">
        <v>1647</v>
      </c>
      <c r="BL56" s="1">
        <v>1514</v>
      </c>
      <c r="BM56" s="1">
        <v>1978</v>
      </c>
      <c r="BN56" s="1">
        <v>1821</v>
      </c>
      <c r="BO56" s="1">
        <v>2119</v>
      </c>
      <c r="BP56" s="1">
        <v>2418</v>
      </c>
      <c r="BQ56" s="1">
        <v>1842</v>
      </c>
      <c r="CM56" s="1">
        <f t="shared" si="113"/>
        <v>1873</v>
      </c>
      <c r="CN56" s="1">
        <f t="shared" si="114"/>
        <v>1270</v>
      </c>
      <c r="CO56" s="1">
        <f t="shared" si="115"/>
        <v>1233</v>
      </c>
      <c r="CP56" s="1">
        <f t="shared" si="116"/>
        <v>1821</v>
      </c>
      <c r="CR56" s="62">
        <f>CR55/CW55</f>
        <v>0.48096281673396873</v>
      </c>
      <c r="CS56" s="55"/>
      <c r="CT56" s="55"/>
      <c r="CU56" s="55"/>
      <c r="CV56" s="55"/>
      <c r="CW56" s="55"/>
      <c r="CX56" s="55"/>
      <c r="CY56" s="60" t="s">
        <v>1539</v>
      </c>
      <c r="CZ56" s="61">
        <f>10%-CZ55</f>
        <v>5.6600000000000004E-2</v>
      </c>
    </row>
    <row r="57" spans="2:158" ht="14.25" customHeight="1">
      <c r="B57" s="1" t="s">
        <v>1512</v>
      </c>
      <c r="AY57" s="1">
        <v>1999</v>
      </c>
      <c r="AZ57" s="1">
        <v>2217</v>
      </c>
      <c r="BA57" s="1">
        <v>2367</v>
      </c>
      <c r="BB57" s="1">
        <v>2271</v>
      </c>
      <c r="BC57" s="1">
        <v>2320</v>
      </c>
      <c r="BD57" s="1">
        <v>2409</v>
      </c>
      <c r="BE57" s="1">
        <v>2475</v>
      </c>
      <c r="BF57" s="1">
        <v>2346</v>
      </c>
      <c r="BG57" s="1">
        <v>2501</v>
      </c>
      <c r="BH57" s="1">
        <v>2554</v>
      </c>
      <c r="BI57" s="1">
        <v>1824</v>
      </c>
      <c r="BJ57" s="1">
        <v>2611</v>
      </c>
      <c r="BK57" s="1">
        <v>3028</v>
      </c>
      <c r="BL57" s="1">
        <v>2941</v>
      </c>
      <c r="BM57" s="1">
        <v>3039</v>
      </c>
      <c r="BN57" s="1">
        <v>2992</v>
      </c>
      <c r="BO57" s="1">
        <v>3419</v>
      </c>
      <c r="BP57" s="1">
        <v>3630</v>
      </c>
      <c r="BQ57" s="1">
        <v>3954</v>
      </c>
      <c r="CM57" s="1">
        <f t="shared" si="113"/>
        <v>2271</v>
      </c>
      <c r="CN57" s="1">
        <f t="shared" si="114"/>
        <v>2346</v>
      </c>
      <c r="CO57" s="1">
        <f t="shared" si="115"/>
        <v>2611</v>
      </c>
      <c r="CP57" s="1">
        <f t="shared" si="116"/>
        <v>2992</v>
      </c>
      <c r="CR57" s="55"/>
      <c r="CS57" s="55"/>
      <c r="CT57" s="55"/>
      <c r="CU57" s="55"/>
      <c r="CV57" s="55"/>
      <c r="CW57" s="55"/>
      <c r="CX57" s="55"/>
      <c r="CY57" s="60" t="s">
        <v>1540</v>
      </c>
      <c r="CZ57" s="55">
        <f>'Notes | Quant Analysis'!K204</f>
        <v>1.05</v>
      </c>
    </row>
    <row r="58" spans="2:158" ht="14.25" customHeight="1">
      <c r="B58" s="1" t="s">
        <v>1513</v>
      </c>
      <c r="AY58" s="1">
        <v>1850</v>
      </c>
      <c r="AZ58" s="1">
        <v>1839</v>
      </c>
      <c r="BA58" s="1">
        <v>1860</v>
      </c>
      <c r="BB58" s="1">
        <v>1907</v>
      </c>
      <c r="BC58" s="1">
        <v>1957</v>
      </c>
      <c r="BD58" s="1">
        <v>1950</v>
      </c>
      <c r="BE58" s="1">
        <v>1951</v>
      </c>
      <c r="BF58" s="1">
        <v>2006</v>
      </c>
      <c r="BG58" s="1">
        <v>2006</v>
      </c>
      <c r="BH58" s="1">
        <v>1986</v>
      </c>
      <c r="BI58" s="1">
        <v>1972</v>
      </c>
      <c r="BJ58" s="1">
        <v>2061</v>
      </c>
      <c r="BK58" s="1">
        <v>2077</v>
      </c>
      <c r="BL58" s="1">
        <v>2148</v>
      </c>
      <c r="BM58" s="1">
        <v>2176</v>
      </c>
      <c r="BN58" s="1">
        <v>2138</v>
      </c>
      <c r="BO58" s="1">
        <v>2171</v>
      </c>
      <c r="BP58" s="1">
        <v>2225</v>
      </c>
      <c r="BQ58" s="1">
        <v>2299</v>
      </c>
      <c r="CM58" s="1">
        <f t="shared" si="113"/>
        <v>1907</v>
      </c>
      <c r="CN58" s="1">
        <f t="shared" si="114"/>
        <v>2006</v>
      </c>
      <c r="CO58" s="1">
        <f t="shared" si="115"/>
        <v>2061</v>
      </c>
      <c r="CP58" s="1">
        <f t="shared" si="116"/>
        <v>2138</v>
      </c>
      <c r="CY58" s="35" t="s">
        <v>1541</v>
      </c>
      <c r="CZ58" s="61">
        <f>+CZ55+(CZ56*CZ57)</f>
        <v>0.10283</v>
      </c>
    </row>
    <row r="59" spans="2:158" ht="14.25" customHeight="1">
      <c r="B59" s="1" t="s">
        <v>1514</v>
      </c>
      <c r="AY59" s="1">
        <v>459</v>
      </c>
      <c r="AZ59" s="1">
        <v>454</v>
      </c>
      <c r="BA59" s="1">
        <v>471</v>
      </c>
      <c r="BB59" s="1">
        <v>486</v>
      </c>
      <c r="BC59" s="1">
        <v>795</v>
      </c>
      <c r="BD59" s="1">
        <v>920</v>
      </c>
      <c r="BE59" s="1">
        <v>1069</v>
      </c>
      <c r="BF59" s="1">
        <v>1151</v>
      </c>
      <c r="BG59" s="1">
        <v>1267</v>
      </c>
      <c r="BH59" s="1">
        <v>1121</v>
      </c>
      <c r="BI59" s="1">
        <v>1370</v>
      </c>
      <c r="BJ59" s="1">
        <v>1355</v>
      </c>
      <c r="BK59" s="1">
        <v>1329</v>
      </c>
      <c r="BL59" s="1">
        <v>1423</v>
      </c>
      <c r="BM59" s="1">
        <v>1612</v>
      </c>
      <c r="BN59" s="1">
        <v>1614</v>
      </c>
      <c r="BO59" s="1">
        <v>1575</v>
      </c>
      <c r="BP59" s="1">
        <v>1570</v>
      </c>
      <c r="BQ59" s="1">
        <v>1546</v>
      </c>
      <c r="CM59" s="1">
        <f t="shared" si="113"/>
        <v>486</v>
      </c>
      <c r="CN59" s="1">
        <f t="shared" si="114"/>
        <v>1151</v>
      </c>
      <c r="CO59" s="1">
        <f t="shared" si="115"/>
        <v>1355</v>
      </c>
      <c r="CP59" s="1">
        <f t="shared" si="116"/>
        <v>1614</v>
      </c>
    </row>
    <row r="60" spans="2:158" ht="14.25" customHeight="1">
      <c r="B60" s="1" t="s">
        <v>1515</v>
      </c>
      <c r="AY60" s="1">
        <v>7051</v>
      </c>
      <c r="AZ60" s="1">
        <v>7661</v>
      </c>
      <c r="BA60" s="1">
        <v>7569</v>
      </c>
      <c r="BB60" s="1">
        <v>7662</v>
      </c>
      <c r="BC60" s="1">
        <v>7625</v>
      </c>
      <c r="BD60" s="1">
        <v>7519</v>
      </c>
      <c r="BE60" s="1">
        <v>7176</v>
      </c>
      <c r="BF60" s="1">
        <v>7522</v>
      </c>
      <c r="BG60" s="1">
        <v>7575</v>
      </c>
      <c r="BH60" s="1">
        <v>7579</v>
      </c>
      <c r="BI60" s="1">
        <v>7488</v>
      </c>
      <c r="BJ60" s="1">
        <v>7660</v>
      </c>
      <c r="BK60" s="1">
        <v>7545</v>
      </c>
      <c r="BL60" s="1">
        <v>7563</v>
      </c>
      <c r="BM60" s="1">
        <v>7721</v>
      </c>
      <c r="BN60" s="1">
        <v>9193</v>
      </c>
      <c r="BO60" s="1">
        <v>9352</v>
      </c>
      <c r="BP60" s="1">
        <v>9598</v>
      </c>
      <c r="BQ60" s="1">
        <v>9574</v>
      </c>
      <c r="CM60" s="1">
        <f t="shared" si="113"/>
        <v>7662</v>
      </c>
      <c r="CN60" s="1">
        <f t="shared" si="114"/>
        <v>7522</v>
      </c>
      <c r="CO60" s="1">
        <f t="shared" si="115"/>
        <v>7660</v>
      </c>
      <c r="CP60" s="1">
        <f t="shared" si="116"/>
        <v>9193</v>
      </c>
      <c r="CY60" s="35" t="s">
        <v>1542</v>
      </c>
      <c r="CZ60" s="72">
        <f>NPV(CZ58,CQ39:EO39)</f>
        <v>607468.63854771294</v>
      </c>
    </row>
    <row r="61" spans="2:158" ht="14.25" customHeight="1">
      <c r="B61" s="1" t="s">
        <v>1516</v>
      </c>
      <c r="AY61" s="1">
        <v>3321</v>
      </c>
      <c r="AZ61" s="1">
        <v>3613</v>
      </c>
      <c r="BA61" s="1">
        <v>3561</v>
      </c>
      <c r="BB61" s="1">
        <v>3671</v>
      </c>
      <c r="BC61" s="1">
        <v>3675</v>
      </c>
      <c r="BD61" s="1">
        <v>3676</v>
      </c>
      <c r="BE61" s="1">
        <v>3582</v>
      </c>
      <c r="BF61" s="1">
        <v>3859</v>
      </c>
      <c r="BG61" s="1">
        <v>4027</v>
      </c>
      <c r="BH61" s="1">
        <v>4049</v>
      </c>
      <c r="BI61" s="1">
        <v>4022</v>
      </c>
      <c r="BJ61" s="1">
        <v>4086</v>
      </c>
      <c r="BK61" s="1">
        <v>4123</v>
      </c>
      <c r="BL61" s="1">
        <v>4149</v>
      </c>
      <c r="BM61" s="1">
        <v>4235</v>
      </c>
      <c r="BN61" s="1">
        <v>5453</v>
      </c>
      <c r="BO61" s="1">
        <v>5533</v>
      </c>
      <c r="BP61" s="1">
        <v>5629</v>
      </c>
      <c r="BQ61" s="1">
        <v>5591</v>
      </c>
      <c r="CM61" s="1">
        <f t="shared" si="113"/>
        <v>3671</v>
      </c>
      <c r="CN61" s="1">
        <f t="shared" si="114"/>
        <v>3859</v>
      </c>
      <c r="CO61" s="1">
        <f t="shared" si="115"/>
        <v>4086</v>
      </c>
      <c r="CP61" s="1">
        <f t="shared" si="116"/>
        <v>5453</v>
      </c>
      <c r="CY61" s="35" t="s">
        <v>136</v>
      </c>
      <c r="CZ61" s="63">
        <f>Main!C4</f>
        <v>903</v>
      </c>
      <c r="DA61" s="35" t="s">
        <v>1545</v>
      </c>
    </row>
    <row r="62" spans="2:158" ht="14.25" customHeight="1">
      <c r="B62" s="1" t="s">
        <v>1517</v>
      </c>
      <c r="AY62" s="1">
        <v>5714</v>
      </c>
      <c r="AZ62" s="1">
        <v>6265</v>
      </c>
      <c r="BA62" s="1">
        <v>6567</v>
      </c>
      <c r="BB62" s="1">
        <v>6994</v>
      </c>
      <c r="BC62" s="1">
        <v>7158</v>
      </c>
      <c r="BD62" s="1">
        <v>6955</v>
      </c>
      <c r="BE62" s="1">
        <v>7011</v>
      </c>
      <c r="BF62" s="1">
        <v>7580</v>
      </c>
      <c r="BG62" s="1">
        <v>7641</v>
      </c>
      <c r="BH62" s="1">
        <v>7739</v>
      </c>
      <c r="BI62" s="1">
        <v>7839</v>
      </c>
      <c r="BJ62" s="1">
        <v>8325</v>
      </c>
      <c r="BK62" s="1">
        <v>9104</v>
      </c>
      <c r="BL62" s="1">
        <v>9270</v>
      </c>
      <c r="BM62" s="1">
        <v>9193</v>
      </c>
      <c r="BN62" s="1">
        <v>9959</v>
      </c>
      <c r="BO62" s="1">
        <v>10035</v>
      </c>
      <c r="BP62" s="1">
        <v>10269</v>
      </c>
      <c r="BQ62" s="1">
        <v>11056</v>
      </c>
      <c r="CM62" s="1">
        <f t="shared" si="113"/>
        <v>6994</v>
      </c>
      <c r="CN62" s="1">
        <f t="shared" si="114"/>
        <v>7580</v>
      </c>
      <c r="CO62" s="1">
        <f t="shared" si="115"/>
        <v>8325</v>
      </c>
      <c r="CP62" s="1">
        <f t="shared" si="116"/>
        <v>9959</v>
      </c>
      <c r="CY62" s="35" t="s">
        <v>1543</v>
      </c>
      <c r="CZ62" s="70">
        <f>CZ60/CZ61</f>
        <v>672.72274479259465</v>
      </c>
    </row>
    <row r="63" spans="2:158" s="2" customFormat="1" ht="14.25" customHeight="1">
      <c r="B63" s="2" t="s">
        <v>1528</v>
      </c>
      <c r="AY63" s="2">
        <f t="shared" ref="AY63:BO63" si="118">SUM(AY51:AY62)</f>
        <v>34800</v>
      </c>
      <c r="AZ63" s="2">
        <f t="shared" si="118"/>
        <v>34911</v>
      </c>
      <c r="BA63" s="2">
        <f t="shared" si="118"/>
        <v>35410</v>
      </c>
      <c r="BB63" s="2">
        <f t="shared" si="118"/>
        <v>37669</v>
      </c>
      <c r="BC63" s="2">
        <f t="shared" si="118"/>
        <v>37163</v>
      </c>
      <c r="BD63" s="2">
        <f t="shared" si="118"/>
        <v>36231</v>
      </c>
      <c r="BE63" s="2">
        <f t="shared" si="118"/>
        <v>37612</v>
      </c>
      <c r="BF63" s="2">
        <f t="shared" si="118"/>
        <v>38724</v>
      </c>
      <c r="BG63" s="2">
        <f t="shared" si="118"/>
        <v>38936</v>
      </c>
      <c r="BH63" s="2">
        <f t="shared" si="118"/>
        <v>39004</v>
      </c>
      <c r="BI63" s="2">
        <f t="shared" si="118"/>
        <v>39674</v>
      </c>
      <c r="BJ63" s="2">
        <f t="shared" si="118"/>
        <v>42448</v>
      </c>
      <c r="BK63" s="2">
        <f t="shared" si="118"/>
        <v>42602</v>
      </c>
      <c r="BL63" s="2">
        <f t="shared" si="118"/>
        <v>42333</v>
      </c>
      <c r="BM63" s="2">
        <f t="shared" si="118"/>
        <v>47237</v>
      </c>
      <c r="BN63" s="2">
        <f t="shared" si="118"/>
        <v>48081</v>
      </c>
      <c r="BO63" s="2">
        <f t="shared" si="118"/>
        <v>48470</v>
      </c>
      <c r="BP63" s="2">
        <f t="shared" ref="BP63:BQ63" si="119">SUM(BP51:BP62)</f>
        <v>51431</v>
      </c>
      <c r="BQ63" s="2">
        <f t="shared" si="119"/>
        <v>53289</v>
      </c>
      <c r="BR63" s="34"/>
      <c r="BS63" s="34"/>
      <c r="BT63" s="34"/>
      <c r="BU63" s="34"/>
      <c r="BV63" s="34"/>
      <c r="CM63" s="2">
        <f t="shared" si="113"/>
        <v>37669</v>
      </c>
      <c r="CN63" s="2">
        <f t="shared" si="114"/>
        <v>38724</v>
      </c>
      <c r="CO63" s="2">
        <f t="shared" si="115"/>
        <v>42448</v>
      </c>
      <c r="CP63" s="2">
        <f t="shared" si="116"/>
        <v>48081</v>
      </c>
      <c r="CQ63" s="35"/>
      <c r="CR63" s="35"/>
      <c r="CS63" s="35"/>
      <c r="CT63" s="35"/>
      <c r="CU63" s="35"/>
      <c r="CV63" s="35"/>
      <c r="CW63" s="35"/>
      <c r="CX63" s="35"/>
      <c r="CY63" s="35" t="s">
        <v>1544</v>
      </c>
      <c r="CZ63" s="70">
        <f>Main!C3</f>
        <v>576.75</v>
      </c>
      <c r="DA63" s="35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</row>
    <row r="64" spans="2:158" ht="14.25" customHeight="1">
      <c r="CY64" s="35" t="s">
        <v>25</v>
      </c>
      <c r="CZ64" s="57">
        <f>CZ62/CZ63-1</f>
        <v>0.16640267844403067</v>
      </c>
      <c r="DA64" s="35" t="str">
        <f>IF(CZ64&gt;0,"Upside","Downside")</f>
        <v>Upside</v>
      </c>
    </row>
    <row r="65" spans="2:158" ht="14.25" customHeight="1">
      <c r="B65" s="1" t="s">
        <v>1518</v>
      </c>
      <c r="AY65" s="1">
        <v>476</v>
      </c>
      <c r="AZ65" s="1">
        <v>547</v>
      </c>
      <c r="BA65" s="1">
        <v>557</v>
      </c>
      <c r="BB65" s="1">
        <v>738</v>
      </c>
      <c r="BC65" s="1">
        <v>666</v>
      </c>
      <c r="BD65" s="1">
        <v>633</v>
      </c>
      <c r="BE65" s="1">
        <v>615</v>
      </c>
      <c r="BF65" s="1">
        <v>926</v>
      </c>
      <c r="BG65" s="1">
        <v>735</v>
      </c>
      <c r="BH65" s="1">
        <v>643</v>
      </c>
      <c r="BI65" s="1">
        <v>589</v>
      </c>
      <c r="BJ65" s="1">
        <v>834</v>
      </c>
      <c r="BK65" s="1">
        <v>790</v>
      </c>
      <c r="BL65" s="1">
        <v>835</v>
      </c>
      <c r="BM65" s="1">
        <v>911</v>
      </c>
      <c r="BN65" s="1">
        <v>929</v>
      </c>
      <c r="BO65" s="1">
        <v>993</v>
      </c>
      <c r="BP65" s="1">
        <v>818</v>
      </c>
      <c r="BQ65" s="1">
        <v>935</v>
      </c>
      <c r="CM65" s="1">
        <f t="shared" ref="CM65:CM77" si="120">BB65</f>
        <v>738</v>
      </c>
      <c r="CN65" s="1">
        <f t="shared" ref="CN65:CN77" si="121">BF65</f>
        <v>926</v>
      </c>
      <c r="CO65" s="1">
        <f t="shared" ref="CO65:CO77" si="122">BJ65</f>
        <v>834</v>
      </c>
      <c r="CP65" s="1">
        <f t="shared" ref="CP65:CP77" si="123">BN65</f>
        <v>929</v>
      </c>
      <c r="CY65" s="74" t="str" cm="1">
        <f t="array" ref="CY65">_xlfn.IFS(CZ64&gt;=25%,"Strong Buy",CZ64&gt;=10.00001%,"Buy",AND(CZ64&lt;=10%,CZ64&gt;=-4.9999%),"Hold",AND(CZ64&lt;=-5%,CZ64&gt;=-14.999999%),"Sell",CZ64&lt;=-15%,"Strong Sell")</f>
        <v>Buy</v>
      </c>
      <c r="CZ65" s="74"/>
    </row>
    <row r="66" spans="2:158" ht="14.25" customHeight="1">
      <c r="B66" s="1" t="s">
        <v>1519</v>
      </c>
      <c r="AY66" s="1">
        <v>1297</v>
      </c>
      <c r="AZ66" s="1">
        <v>569</v>
      </c>
      <c r="BA66" s="1">
        <v>496</v>
      </c>
      <c r="BB66" s="1">
        <v>913</v>
      </c>
      <c r="BC66" s="1">
        <v>547</v>
      </c>
      <c r="BD66" s="1">
        <v>672</v>
      </c>
      <c r="BE66" s="1">
        <v>1054</v>
      </c>
      <c r="BF66" s="1">
        <v>1111</v>
      </c>
      <c r="BG66" s="1">
        <v>870</v>
      </c>
      <c r="BH66" s="1">
        <v>1142</v>
      </c>
      <c r="BI66" s="1">
        <v>992</v>
      </c>
      <c r="BJ66" s="1">
        <v>1399</v>
      </c>
      <c r="BK66" s="1">
        <v>1824</v>
      </c>
      <c r="BL66" s="1">
        <v>1594</v>
      </c>
      <c r="BM66" s="1">
        <v>2129</v>
      </c>
      <c r="BN66" s="1">
        <v>2316</v>
      </c>
      <c r="BO66" s="1">
        <v>2441</v>
      </c>
      <c r="BP66" s="1">
        <v>2676</v>
      </c>
      <c r="BQ66" s="1">
        <v>2422</v>
      </c>
      <c r="CM66" s="1">
        <f t="shared" si="120"/>
        <v>913</v>
      </c>
      <c r="CN66" s="1">
        <f t="shared" si="121"/>
        <v>1111</v>
      </c>
      <c r="CO66" s="1">
        <f t="shared" si="122"/>
        <v>1399</v>
      </c>
      <c r="CP66" s="1">
        <f t="shared" si="123"/>
        <v>2316</v>
      </c>
    </row>
    <row r="67" spans="2:158">
      <c r="B67" s="1" t="s">
        <v>1520</v>
      </c>
      <c r="AY67" s="1">
        <v>1759</v>
      </c>
      <c r="AZ67" s="1">
        <v>1806</v>
      </c>
      <c r="BA67" s="1">
        <v>1832</v>
      </c>
      <c r="BB67" s="1">
        <v>1873</v>
      </c>
      <c r="BC67" s="1">
        <v>1730</v>
      </c>
      <c r="BD67" s="1">
        <v>1621</v>
      </c>
      <c r="BE67" s="1">
        <v>1531</v>
      </c>
      <c r="BF67" s="1">
        <v>1568</v>
      </c>
      <c r="BG67" s="1">
        <v>1608</v>
      </c>
      <c r="BH67" s="1">
        <v>1723</v>
      </c>
      <c r="BI67" s="1">
        <v>1824</v>
      </c>
      <c r="BJ67" s="1">
        <v>1845</v>
      </c>
      <c r="BK67" s="1">
        <v>1861</v>
      </c>
      <c r="BL67" s="1">
        <v>1772</v>
      </c>
      <c r="BM67" s="1">
        <v>1868</v>
      </c>
      <c r="BN67" s="1">
        <v>1874</v>
      </c>
      <c r="BO67" s="1">
        <v>1900</v>
      </c>
      <c r="BP67" s="1">
        <v>1999</v>
      </c>
      <c r="BQ67" s="1">
        <v>2054</v>
      </c>
      <c r="CM67" s="1">
        <f t="shared" si="120"/>
        <v>1873</v>
      </c>
      <c r="CN67" s="1">
        <f t="shared" si="121"/>
        <v>1568</v>
      </c>
      <c r="CO67" s="1">
        <f t="shared" si="122"/>
        <v>1845</v>
      </c>
      <c r="CP67" s="1">
        <f t="shared" si="123"/>
        <v>1874</v>
      </c>
    </row>
    <row r="68" spans="2:158">
      <c r="B68" s="1" t="s">
        <v>1521</v>
      </c>
      <c r="AY68" s="1">
        <v>841</v>
      </c>
      <c r="AZ68" s="1">
        <v>906</v>
      </c>
      <c r="BA68" s="1">
        <v>838</v>
      </c>
      <c r="BB68" s="1">
        <v>840</v>
      </c>
      <c r="BC68" s="1">
        <v>797</v>
      </c>
      <c r="BD68" s="1">
        <v>923</v>
      </c>
      <c r="BE68" s="1">
        <v>1086</v>
      </c>
      <c r="BF68" s="1">
        <v>1094</v>
      </c>
      <c r="BG68" s="1">
        <v>1107</v>
      </c>
      <c r="BH68" s="1">
        <v>1079</v>
      </c>
      <c r="BI68" s="1">
        <v>475</v>
      </c>
      <c r="BJ68" s="1">
        <v>723</v>
      </c>
      <c r="BK68" s="1">
        <v>595</v>
      </c>
      <c r="BL68" s="1">
        <v>525</v>
      </c>
      <c r="BM68" s="1">
        <v>665</v>
      </c>
      <c r="BN68" s="1">
        <v>930</v>
      </c>
      <c r="BO68" s="1">
        <v>1057</v>
      </c>
      <c r="BP68" s="1">
        <v>1035</v>
      </c>
      <c r="BQ68" s="1">
        <v>943</v>
      </c>
      <c r="CM68" s="1">
        <f t="shared" si="120"/>
        <v>840</v>
      </c>
      <c r="CN68" s="1">
        <f t="shared" si="121"/>
        <v>1094</v>
      </c>
      <c r="CO68" s="1">
        <f t="shared" si="122"/>
        <v>723</v>
      </c>
      <c r="CP68" s="1">
        <f t="shared" si="123"/>
        <v>930</v>
      </c>
    </row>
    <row r="69" spans="2:158">
      <c r="B69" s="1" t="s">
        <v>1522</v>
      </c>
      <c r="AY69" s="1">
        <v>5200</v>
      </c>
      <c r="AZ69" s="1">
        <v>5564</v>
      </c>
      <c r="BA69" s="1">
        <v>5964</v>
      </c>
      <c r="BB69" s="1">
        <v>6642</v>
      </c>
      <c r="BC69" s="1">
        <v>5954</v>
      </c>
      <c r="BD69" s="1">
        <v>6111</v>
      </c>
      <c r="BE69" s="1">
        <v>6888</v>
      </c>
      <c r="BF69" s="1">
        <v>7801</v>
      </c>
      <c r="BG69" s="1">
        <v>7310</v>
      </c>
      <c r="BH69" s="1">
        <v>7117</v>
      </c>
      <c r="BI69" s="1">
        <v>7775</v>
      </c>
      <c r="BJ69" s="1">
        <v>8517</v>
      </c>
      <c r="BK69" s="1">
        <v>8062</v>
      </c>
      <c r="BL69" s="1">
        <v>8007</v>
      </c>
      <c r="BM69" s="1">
        <v>9105</v>
      </c>
      <c r="BN69" s="1">
        <v>10393</v>
      </c>
      <c r="BO69" s="1">
        <v>9263</v>
      </c>
      <c r="BP69" s="1">
        <v>10116</v>
      </c>
      <c r="BQ69" s="1">
        <v>11979</v>
      </c>
      <c r="CM69" s="1">
        <f t="shared" si="120"/>
        <v>6642</v>
      </c>
      <c r="CN69" s="1">
        <f t="shared" si="121"/>
        <v>7801</v>
      </c>
      <c r="CO69" s="1">
        <f t="shared" si="122"/>
        <v>8517</v>
      </c>
      <c r="CP69" s="1">
        <f t="shared" si="123"/>
        <v>10393</v>
      </c>
    </row>
    <row r="70" spans="2:158">
      <c r="B70" s="1" t="s">
        <v>1523</v>
      </c>
      <c r="AY70" s="1">
        <v>649</v>
      </c>
      <c r="AZ70" s="1">
        <v>649</v>
      </c>
      <c r="BA70" s="1">
        <v>650</v>
      </c>
      <c r="BB70" s="1">
        <v>792</v>
      </c>
      <c r="BC70" s="1">
        <v>778</v>
      </c>
      <c r="BD70" s="1">
        <v>735</v>
      </c>
      <c r="BE70" s="1">
        <v>957</v>
      </c>
      <c r="BF70" s="1">
        <v>274</v>
      </c>
      <c r="BG70" s="1">
        <v>276</v>
      </c>
      <c r="BH70" s="1">
        <v>1336</v>
      </c>
      <c r="BI70" s="1">
        <v>1337</v>
      </c>
      <c r="BJ70" s="1">
        <v>1337</v>
      </c>
      <c r="BK70" s="1">
        <v>2086</v>
      </c>
      <c r="BL70" s="1">
        <v>1086</v>
      </c>
      <c r="BM70" s="1">
        <v>750</v>
      </c>
      <c r="BN70" s="1">
        <v>750</v>
      </c>
      <c r="BO70" s="1">
        <v>0</v>
      </c>
      <c r="BP70" s="1">
        <v>0</v>
      </c>
      <c r="BQ70" s="1">
        <v>0</v>
      </c>
      <c r="CM70" s="1">
        <f t="shared" si="120"/>
        <v>792</v>
      </c>
      <c r="CN70" s="1">
        <f t="shared" si="121"/>
        <v>274</v>
      </c>
      <c r="CO70" s="1">
        <f t="shared" si="122"/>
        <v>1337</v>
      </c>
      <c r="CP70" s="1">
        <f t="shared" si="123"/>
        <v>750</v>
      </c>
    </row>
    <row r="71" spans="2:158">
      <c r="B71" s="1" t="s">
        <v>1524</v>
      </c>
      <c r="AY71" s="1">
        <v>1253</v>
      </c>
      <c r="AZ71" s="1">
        <v>1256</v>
      </c>
      <c r="BA71" s="1">
        <v>1224</v>
      </c>
      <c r="BB71" s="1">
        <v>1364</v>
      </c>
      <c r="BC71" s="1">
        <v>1456</v>
      </c>
      <c r="BD71" s="1">
        <v>1390</v>
      </c>
      <c r="BE71" s="1">
        <v>1345</v>
      </c>
      <c r="BF71" s="1">
        <v>1397</v>
      </c>
      <c r="BG71" s="1">
        <v>1745</v>
      </c>
      <c r="BH71" s="1">
        <v>1596</v>
      </c>
      <c r="BI71" s="1">
        <v>1527</v>
      </c>
      <c r="BJ71" s="1">
        <v>1609</v>
      </c>
      <c r="BK71" s="1">
        <v>1687</v>
      </c>
      <c r="BL71" s="1">
        <v>1775</v>
      </c>
      <c r="BM71" s="1">
        <v>1866</v>
      </c>
      <c r="BN71" s="1">
        <v>2028</v>
      </c>
      <c r="BO71" s="1">
        <v>2174</v>
      </c>
      <c r="BP71" s="1">
        <v>2385</v>
      </c>
      <c r="BQ71" s="1">
        <v>2360</v>
      </c>
      <c r="CM71" s="1">
        <f t="shared" si="120"/>
        <v>1364</v>
      </c>
      <c r="CN71" s="1">
        <f t="shared" si="121"/>
        <v>1397</v>
      </c>
      <c r="CO71" s="1">
        <f t="shared" si="122"/>
        <v>1609</v>
      </c>
      <c r="CP71" s="1">
        <f t="shared" si="123"/>
        <v>2028</v>
      </c>
    </row>
    <row r="72" spans="2:158">
      <c r="B72" s="1" t="s">
        <v>1525</v>
      </c>
      <c r="AY72" s="1">
        <v>13221</v>
      </c>
      <c r="AZ72" s="1">
        <v>13250</v>
      </c>
      <c r="BA72" s="1">
        <v>13211</v>
      </c>
      <c r="BB72" s="1">
        <v>13109</v>
      </c>
      <c r="BC72" s="1">
        <v>13868</v>
      </c>
      <c r="BD72" s="1">
        <v>13746</v>
      </c>
      <c r="BE72" s="1">
        <v>13577</v>
      </c>
      <c r="BF72" s="1">
        <v>13749</v>
      </c>
      <c r="BG72" s="1">
        <v>15292</v>
      </c>
      <c r="BH72" s="1">
        <v>14284</v>
      </c>
      <c r="BI72" s="1">
        <v>14229</v>
      </c>
      <c r="BJ72" s="1">
        <v>14344</v>
      </c>
      <c r="BK72" s="1">
        <v>13543</v>
      </c>
      <c r="BL72" s="1">
        <v>14519</v>
      </c>
      <c r="BM72" s="1">
        <v>17608</v>
      </c>
      <c r="BN72" s="1">
        <v>17476</v>
      </c>
      <c r="BO72" s="1">
        <v>18802</v>
      </c>
      <c r="BP72" s="1">
        <v>18970</v>
      </c>
      <c r="BQ72" s="1">
        <v>18983</v>
      </c>
      <c r="CM72" s="1">
        <f t="shared" si="120"/>
        <v>13109</v>
      </c>
      <c r="CN72" s="1">
        <f t="shared" si="121"/>
        <v>13749</v>
      </c>
      <c r="CO72" s="1">
        <f t="shared" si="122"/>
        <v>14344</v>
      </c>
      <c r="CP72" s="1">
        <f t="shared" si="123"/>
        <v>17476</v>
      </c>
    </row>
    <row r="73" spans="2:158">
      <c r="B73" s="1" t="s">
        <v>1526</v>
      </c>
      <c r="AY73" s="1">
        <v>391</v>
      </c>
      <c r="AZ73" s="1">
        <v>394</v>
      </c>
      <c r="BA73" s="1">
        <v>374</v>
      </c>
      <c r="BB73" s="1">
        <v>395</v>
      </c>
      <c r="BC73" s="1">
        <v>386</v>
      </c>
      <c r="BD73" s="1">
        <v>371</v>
      </c>
      <c r="BE73" s="1">
        <v>346</v>
      </c>
      <c r="BF73" s="1">
        <v>393</v>
      </c>
      <c r="BG73" s="1">
        <v>389</v>
      </c>
      <c r="BH73" s="1">
        <v>395</v>
      </c>
      <c r="BI73" s="1">
        <v>385</v>
      </c>
      <c r="BJ73" s="1">
        <v>369</v>
      </c>
      <c r="BK73" s="1">
        <v>345</v>
      </c>
      <c r="BL73" s="1">
        <v>337</v>
      </c>
      <c r="BM73" s="1">
        <v>349</v>
      </c>
      <c r="BN73" s="1">
        <v>317</v>
      </c>
      <c r="BO73" s="1">
        <v>315</v>
      </c>
      <c r="BP73" s="1">
        <v>361</v>
      </c>
      <c r="BQ73" s="1">
        <v>326</v>
      </c>
      <c r="CM73" s="1">
        <f t="shared" si="120"/>
        <v>395</v>
      </c>
      <c r="CN73" s="1">
        <f t="shared" si="121"/>
        <v>393</v>
      </c>
      <c r="CO73" s="1">
        <f t="shared" si="122"/>
        <v>369</v>
      </c>
      <c r="CP73" s="1">
        <f t="shared" si="123"/>
        <v>317</v>
      </c>
    </row>
    <row r="74" spans="2:158">
      <c r="B74" s="1" t="s">
        <v>1527</v>
      </c>
      <c r="AY74" s="1">
        <v>3260</v>
      </c>
      <c r="AZ74" s="1">
        <v>3401</v>
      </c>
      <c r="BA74" s="1">
        <v>3462</v>
      </c>
      <c r="BB74" s="1">
        <v>3591</v>
      </c>
      <c r="BC74" s="1">
        <v>3851</v>
      </c>
      <c r="BD74" s="1">
        <v>3767</v>
      </c>
      <c r="BE74" s="1">
        <v>3770</v>
      </c>
      <c r="BF74" s="1">
        <v>4034</v>
      </c>
      <c r="BG74" s="1">
        <v>4197</v>
      </c>
      <c r="BH74" s="1">
        <v>4110</v>
      </c>
      <c r="BI74" s="1">
        <v>4160</v>
      </c>
      <c r="BJ74" s="1">
        <v>4474</v>
      </c>
      <c r="BK74" s="1">
        <v>4501</v>
      </c>
      <c r="BL74" s="1">
        <v>4401</v>
      </c>
      <c r="BM74" s="1">
        <v>4488</v>
      </c>
      <c r="BN74" s="1">
        <v>4553</v>
      </c>
      <c r="BO74" s="1">
        <v>4829</v>
      </c>
      <c r="BP74" s="1">
        <v>5197</v>
      </c>
      <c r="BQ74" s="1">
        <v>5368</v>
      </c>
      <c r="CM74" s="1">
        <f t="shared" si="120"/>
        <v>3591</v>
      </c>
      <c r="CN74" s="1">
        <f t="shared" si="121"/>
        <v>4034</v>
      </c>
      <c r="CO74" s="1">
        <f t="shared" si="122"/>
        <v>4474</v>
      </c>
      <c r="CP74" s="1">
        <f t="shared" si="123"/>
        <v>4553</v>
      </c>
    </row>
    <row r="75" spans="2:158" s="2" customFormat="1" ht="15">
      <c r="B75" s="2" t="s">
        <v>1529</v>
      </c>
      <c r="AY75" s="2">
        <f t="shared" ref="AY75:BN75" si="124">SUM(AY65:AY74)</f>
        <v>28347</v>
      </c>
      <c r="AZ75" s="2">
        <f t="shared" si="124"/>
        <v>28342</v>
      </c>
      <c r="BA75" s="2">
        <f t="shared" si="124"/>
        <v>28608</v>
      </c>
      <c r="BB75" s="2">
        <f t="shared" si="124"/>
        <v>30257</v>
      </c>
      <c r="BC75" s="2">
        <f t="shared" si="124"/>
        <v>30033</v>
      </c>
      <c r="BD75" s="2">
        <f t="shared" si="124"/>
        <v>29969</v>
      </c>
      <c r="BE75" s="2">
        <f t="shared" si="124"/>
        <v>31169</v>
      </c>
      <c r="BF75" s="2">
        <f t="shared" si="124"/>
        <v>32347</v>
      </c>
      <c r="BG75" s="2">
        <f t="shared" si="124"/>
        <v>33529</v>
      </c>
      <c r="BH75" s="2">
        <f t="shared" si="124"/>
        <v>33425</v>
      </c>
      <c r="BI75" s="2">
        <f t="shared" si="124"/>
        <v>33293</v>
      </c>
      <c r="BJ75" s="2">
        <f t="shared" si="124"/>
        <v>35451</v>
      </c>
      <c r="BK75" s="2">
        <f t="shared" si="124"/>
        <v>35294</v>
      </c>
      <c r="BL75" s="2">
        <f t="shared" si="124"/>
        <v>34851</v>
      </c>
      <c r="BM75" s="2">
        <f t="shared" si="124"/>
        <v>39739</v>
      </c>
      <c r="BN75" s="2">
        <f t="shared" si="124"/>
        <v>41566</v>
      </c>
      <c r="BO75" s="2">
        <f>SUM(BO65:BO74)</f>
        <v>41774</v>
      </c>
      <c r="BP75" s="2">
        <f>SUM(BP65:BP74)</f>
        <v>43557</v>
      </c>
      <c r="BQ75" s="2">
        <f>SUM(BQ65:BQ74)</f>
        <v>45370</v>
      </c>
      <c r="BR75" s="34"/>
      <c r="BS75" s="34"/>
      <c r="BT75" s="34"/>
      <c r="BU75" s="34"/>
      <c r="BV75" s="34"/>
      <c r="CM75" s="2">
        <f t="shared" si="120"/>
        <v>30257</v>
      </c>
      <c r="CN75" s="2">
        <f t="shared" si="121"/>
        <v>32347</v>
      </c>
      <c r="CO75" s="2">
        <f t="shared" si="122"/>
        <v>35451</v>
      </c>
      <c r="CP75" s="2">
        <f t="shared" si="123"/>
        <v>41566</v>
      </c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</row>
    <row r="76" spans="2:158">
      <c r="B76" s="1" t="s">
        <v>1530</v>
      </c>
      <c r="AY76" s="1">
        <f>28+6425</f>
        <v>6453</v>
      </c>
      <c r="AZ76" s="1">
        <f>29+6540</f>
        <v>6569</v>
      </c>
      <c r="BA76" s="1">
        <f>29+6773</f>
        <v>6802</v>
      </c>
      <c r="BB76" s="1">
        <f>29+7383</f>
        <v>7412</v>
      </c>
      <c r="BC76" s="1">
        <f>28+7102</f>
        <v>7130</v>
      </c>
      <c r="BD76" s="1">
        <f>26+6236</f>
        <v>6262</v>
      </c>
      <c r="BE76" s="1">
        <f>20+6423</f>
        <v>6443</v>
      </c>
      <c r="BF76" s="1">
        <f>21+6356</f>
        <v>6377</v>
      </c>
      <c r="BG76" s="1">
        <f>21+5386</f>
        <v>5407</v>
      </c>
      <c r="BH76" s="1">
        <f>22+5557</f>
        <v>5579</v>
      </c>
      <c r="BI76" s="1">
        <f>21+6360</f>
        <v>6381</v>
      </c>
      <c r="BJ76" s="1">
        <f>22+6975</f>
        <v>6997</v>
      </c>
      <c r="BK76" s="1">
        <f>22+7286</f>
        <v>7308</v>
      </c>
      <c r="BL76" s="1">
        <f>22+7460</f>
        <v>7482</v>
      </c>
      <c r="BM76" s="1">
        <f>23+7475</f>
        <v>7498</v>
      </c>
      <c r="BN76" s="1">
        <v>6515</v>
      </c>
      <c r="BO76" s="1">
        <v>6696</v>
      </c>
      <c r="BP76" s="1">
        <v>7874</v>
      </c>
      <c r="BQ76" s="1">
        <v>7919</v>
      </c>
      <c r="CM76" s="1">
        <f t="shared" si="120"/>
        <v>7412</v>
      </c>
      <c r="CN76" s="1">
        <f t="shared" si="121"/>
        <v>6377</v>
      </c>
      <c r="CO76" s="1">
        <f t="shared" si="122"/>
        <v>6997</v>
      </c>
      <c r="CP76" s="1">
        <f t="shared" si="123"/>
        <v>6515</v>
      </c>
    </row>
    <row r="77" spans="2:158" s="2" customFormat="1" ht="15">
      <c r="B77" s="2" t="s">
        <v>1531</v>
      </c>
      <c r="AY77" s="2">
        <f t="shared" ref="AY77:BN77" si="125">SUM(AY75:AY76)</f>
        <v>34800</v>
      </c>
      <c r="AZ77" s="2">
        <f t="shared" si="125"/>
        <v>34911</v>
      </c>
      <c r="BA77" s="2">
        <f t="shared" si="125"/>
        <v>35410</v>
      </c>
      <c r="BB77" s="2">
        <f t="shared" si="125"/>
        <v>37669</v>
      </c>
      <c r="BC77" s="2">
        <f t="shared" si="125"/>
        <v>37163</v>
      </c>
      <c r="BD77" s="2">
        <f t="shared" si="125"/>
        <v>36231</v>
      </c>
      <c r="BE77" s="2">
        <f t="shared" si="125"/>
        <v>37612</v>
      </c>
      <c r="BF77" s="2">
        <f t="shared" si="125"/>
        <v>38724</v>
      </c>
      <c r="BG77" s="2">
        <f t="shared" si="125"/>
        <v>38936</v>
      </c>
      <c r="BH77" s="2">
        <f t="shared" si="125"/>
        <v>39004</v>
      </c>
      <c r="BI77" s="2">
        <f t="shared" si="125"/>
        <v>39674</v>
      </c>
      <c r="BJ77" s="2">
        <f t="shared" si="125"/>
        <v>42448</v>
      </c>
      <c r="BK77" s="2">
        <f t="shared" si="125"/>
        <v>42602</v>
      </c>
      <c r="BL77" s="2">
        <f t="shared" si="125"/>
        <v>42333</v>
      </c>
      <c r="BM77" s="2">
        <f t="shared" si="125"/>
        <v>47237</v>
      </c>
      <c r="BN77" s="2">
        <f t="shared" si="125"/>
        <v>48081</v>
      </c>
      <c r="BO77" s="2">
        <f>SUM(BO75:BO76)</f>
        <v>48470</v>
      </c>
      <c r="BP77" s="2">
        <f>SUM(BP75:BP76)</f>
        <v>51431</v>
      </c>
      <c r="BQ77" s="2">
        <f>SUM(BQ75:BQ76)</f>
        <v>53289</v>
      </c>
      <c r="BR77" s="34"/>
      <c r="BS77" s="34"/>
      <c r="BT77" s="34"/>
      <c r="BU77" s="34"/>
      <c r="BV77" s="34"/>
      <c r="CM77" s="2">
        <f t="shared" si="120"/>
        <v>37669</v>
      </c>
      <c r="CN77" s="2">
        <f t="shared" si="121"/>
        <v>38724</v>
      </c>
      <c r="CO77" s="2">
        <f t="shared" si="122"/>
        <v>42448</v>
      </c>
      <c r="CP77" s="2">
        <f t="shared" si="123"/>
        <v>48081</v>
      </c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</row>
    <row r="79" spans="2:158">
      <c r="B79" s="1" t="s">
        <v>127</v>
      </c>
      <c r="AY79" s="39">
        <f t="shared" ref="AY79:BN79" si="126">SUM(AY51:AY57)/SUM(AY65:AY71)</f>
        <v>1.4296296296296296</v>
      </c>
      <c r="AZ79" s="39">
        <f t="shared" si="126"/>
        <v>1.3347791449057271</v>
      </c>
      <c r="BA79" s="39">
        <f t="shared" si="126"/>
        <v>1.330507741544849</v>
      </c>
      <c r="BB79" s="39">
        <f t="shared" si="126"/>
        <v>1.2877222306640328</v>
      </c>
      <c r="BC79" s="39">
        <f t="shared" si="126"/>
        <v>1.3374413145539905</v>
      </c>
      <c r="BD79" s="39">
        <f t="shared" si="126"/>
        <v>1.2586677699627637</v>
      </c>
      <c r="BE79" s="39">
        <f t="shared" si="126"/>
        <v>1.2483674680914219</v>
      </c>
      <c r="BF79" s="39">
        <f t="shared" si="126"/>
        <v>1.1718297932397148</v>
      </c>
      <c r="BG79" s="39">
        <f t="shared" si="126"/>
        <v>1.202842282616658</v>
      </c>
      <c r="BH79" s="39">
        <f t="shared" si="126"/>
        <v>1.1294069417873736</v>
      </c>
      <c r="BI79" s="39">
        <f t="shared" si="126"/>
        <v>1.1697086576210483</v>
      </c>
      <c r="BJ79" s="39">
        <f t="shared" si="126"/>
        <v>1.1658263649778653</v>
      </c>
      <c r="BK79" s="39">
        <f t="shared" si="126"/>
        <v>1.0898550724637681</v>
      </c>
      <c r="BL79" s="39">
        <f t="shared" si="126"/>
        <v>1.1401821213287162</v>
      </c>
      <c r="BM79" s="39">
        <f t="shared" si="126"/>
        <v>1.2894645541806407</v>
      </c>
      <c r="BN79" s="39">
        <f t="shared" si="126"/>
        <v>1.0262226847034339</v>
      </c>
      <c r="BO79" s="39">
        <f>SUM(BO51:BO57)/SUM(BO65:BO71)</f>
        <v>1.1108368857976216</v>
      </c>
      <c r="BP79" s="39">
        <f>SUM(BP51:BP57)/SUM(BP65:BP71)</f>
        <v>1.1634873088443953</v>
      </c>
      <c r="BQ79" s="39">
        <f>SUM(BQ51:BQ57)/SUM(BQ65:BQ71)</f>
        <v>1.1222635673899386</v>
      </c>
      <c r="CM79" s="39">
        <f t="shared" ref="CM79:CP79" si="127">SUM(CM51:CM57)/SUM(CM65:CM71)</f>
        <v>1.2877222306640328</v>
      </c>
      <c r="CN79" s="39">
        <f t="shared" si="127"/>
        <v>1.1718297932397148</v>
      </c>
      <c r="CO79" s="39">
        <f t="shared" si="127"/>
        <v>1.1658263649778653</v>
      </c>
      <c r="CP79" s="39">
        <f t="shared" si="127"/>
        <v>1.0262226847034339</v>
      </c>
    </row>
    <row r="80" spans="2:158">
      <c r="B80" s="1" t="s">
        <v>128</v>
      </c>
      <c r="AY80" s="39">
        <f t="shared" ref="AY80:BN80" si="128">SUM(AY51:AY54)/SUM(AY65:AY71)</f>
        <v>0.95590413943355124</v>
      </c>
      <c r="AZ80" s="39">
        <f t="shared" si="128"/>
        <v>0.895724528635921</v>
      </c>
      <c r="BA80" s="39">
        <f t="shared" si="128"/>
        <v>0.89282934002248937</v>
      </c>
      <c r="BB80" s="39">
        <f t="shared" si="128"/>
        <v>0.87266372891657806</v>
      </c>
      <c r="BC80" s="39">
        <f t="shared" si="128"/>
        <v>0.90560026827632456</v>
      </c>
      <c r="BD80" s="39">
        <f t="shared" si="128"/>
        <v>0.83723624327678936</v>
      </c>
      <c r="BE80" s="39">
        <f t="shared" si="128"/>
        <v>0.87548233897298899</v>
      </c>
      <c r="BF80" s="39">
        <f t="shared" si="128"/>
        <v>0.67497000917366456</v>
      </c>
      <c r="BG80" s="39">
        <f t="shared" si="128"/>
        <v>0.8112958757600176</v>
      </c>
      <c r="BH80" s="39">
        <f t="shared" si="128"/>
        <v>0.74303088275485107</v>
      </c>
      <c r="BI80" s="39">
        <f t="shared" si="128"/>
        <v>0.69674219987602448</v>
      </c>
      <c r="BJ80" s="39">
        <f t="shared" si="128"/>
        <v>0.67984505656665029</v>
      </c>
      <c r="BK80" s="39">
        <f t="shared" si="128"/>
        <v>0.56302868973676423</v>
      </c>
      <c r="BL80" s="39">
        <f t="shared" si="128"/>
        <v>0.5854815954854431</v>
      </c>
      <c r="BM80" s="39">
        <f t="shared" si="128"/>
        <v>0.76726032149878576</v>
      </c>
      <c r="BN80" s="39">
        <f t="shared" si="128"/>
        <v>0.57950052029136312</v>
      </c>
      <c r="BO80" s="39">
        <f>SUM(BO51:BO54)/SUM(BO65:BO71)</f>
        <v>0.57779896791563834</v>
      </c>
      <c r="BP80" s="39">
        <f>SUM(BP51:BP54)/SUM(BP65:BP71)</f>
        <v>0.62578170161332702</v>
      </c>
      <c r="BQ80" s="39">
        <f>SUM(BQ51:BQ54)/SUM(BQ65:BQ71)</f>
        <v>0.63693036292466054</v>
      </c>
      <c r="CM80" s="39">
        <f t="shared" ref="CM80:CP80" si="129">SUM(CM51:CM54)/SUM(CM65:CM71)</f>
        <v>0.87266372891657806</v>
      </c>
      <c r="CN80" s="39">
        <f t="shared" si="129"/>
        <v>0.67497000917366456</v>
      </c>
      <c r="CO80" s="39">
        <f t="shared" si="129"/>
        <v>0.67984505656665029</v>
      </c>
      <c r="CP80" s="39">
        <f t="shared" si="129"/>
        <v>0.57950052029136312</v>
      </c>
    </row>
    <row r="81" spans="2:158">
      <c r="B81" s="1" t="s">
        <v>129</v>
      </c>
      <c r="AY81" s="39">
        <f t="shared" ref="AY81:BN81" si="130">AY26/AY63</f>
        <v>0.11939655172413793</v>
      </c>
      <c r="AZ81" s="39">
        <f t="shared" si="130"/>
        <v>0.12970124029675462</v>
      </c>
      <c r="BA81" s="39">
        <f t="shared" si="130"/>
        <v>0.14077944083592206</v>
      </c>
      <c r="BB81" s="39">
        <f t="shared" si="130"/>
        <v>0.13846929836204838</v>
      </c>
      <c r="BC81" s="39">
        <f t="shared" si="130"/>
        <v>0.13903613809434115</v>
      </c>
      <c r="BD81" s="39">
        <f t="shared" si="130"/>
        <v>0.15172090199000857</v>
      </c>
      <c r="BE81" s="39">
        <f t="shared" si="130"/>
        <v>0.15303626502180157</v>
      </c>
      <c r="BF81" s="39">
        <f t="shared" si="130"/>
        <v>0.15021691973969631</v>
      </c>
      <c r="BG81" s="39">
        <f t="shared" si="130"/>
        <v>0.14762687487158413</v>
      </c>
      <c r="BH81" s="39">
        <f t="shared" si="130"/>
        <v>0.16072710491231668</v>
      </c>
      <c r="BI81" s="39">
        <f t="shared" si="130"/>
        <v>0.16466703634622171</v>
      </c>
      <c r="BJ81" s="39">
        <f t="shared" si="130"/>
        <v>0.15425932906143988</v>
      </c>
      <c r="BK81" s="39">
        <f t="shared" si="130"/>
        <v>0.14900708886906719</v>
      </c>
      <c r="BL81" s="39">
        <f t="shared" si="130"/>
        <v>0.16443436562492619</v>
      </c>
      <c r="BM81" s="39">
        <f t="shared" si="130"/>
        <v>0.15600059275567882</v>
      </c>
      <c r="BN81" s="39">
        <f t="shared" si="130"/>
        <v>0.15575799172230195</v>
      </c>
      <c r="BO81" s="39">
        <f>BO26/BO63</f>
        <v>0.14957705797400453</v>
      </c>
      <c r="BP81" s="39">
        <f>BP26/BP63</f>
        <v>0.15813419921837024</v>
      </c>
      <c r="BQ81" s="39">
        <f>BQ26/BQ63</f>
        <v>0.16142168177297378</v>
      </c>
      <c r="CM81" s="39">
        <f t="shared" ref="CM81:CP81" si="131">CM26/CM63</f>
        <v>0.5013140778889803</v>
      </c>
      <c r="CN81" s="39">
        <f t="shared" si="131"/>
        <v>0.57424336328891645</v>
      </c>
      <c r="CO81" s="39">
        <f t="shared" si="131"/>
        <v>0.59126460610629472</v>
      </c>
      <c r="CP81" s="39">
        <f t="shared" si="131"/>
        <v>0.58582392213140322</v>
      </c>
    </row>
    <row r="82" spans="2:158">
      <c r="B82" s="1" t="s">
        <v>130</v>
      </c>
      <c r="AY82" s="53">
        <f t="shared" ref="AY82:BN82" si="132">AY39/AY63</f>
        <v>5.2528735632183909E-2</v>
      </c>
      <c r="AZ82" s="53">
        <f t="shared" si="132"/>
        <v>5.9179055312079287E-2</v>
      </c>
      <c r="BA82" s="53">
        <f t="shared" si="132"/>
        <v>6.8172832533182723E-2</v>
      </c>
      <c r="BB82" s="53">
        <f t="shared" si="132"/>
        <v>6.3155379755236399E-2</v>
      </c>
      <c r="BC82" s="53">
        <f t="shared" si="132"/>
        <v>7.0796222048811988E-2</v>
      </c>
      <c r="BD82" s="53">
        <f t="shared" si="132"/>
        <v>6.2791532113383564E-2</v>
      </c>
      <c r="BE82" s="53">
        <f t="shared" si="132"/>
        <v>6.6441561203871111E-2</v>
      </c>
      <c r="BF82" s="53">
        <f t="shared" si="132"/>
        <v>6.520504080157008E-2</v>
      </c>
      <c r="BG82" s="53">
        <f t="shared" si="132"/>
        <v>6.0637970002054654E-2</v>
      </c>
      <c r="BH82" s="53">
        <f t="shared" si="132"/>
        <v>7.2941236796226022E-2</v>
      </c>
      <c r="BI82" s="53">
        <f t="shared" si="132"/>
        <v>8.0606946614911523E-2</v>
      </c>
      <c r="BJ82" s="53">
        <f t="shared" si="132"/>
        <v>6.5751036562382209E-2</v>
      </c>
      <c r="BK82" s="53">
        <f t="shared" si="132"/>
        <v>7.0677432984366934E-2</v>
      </c>
      <c r="BL82" s="53">
        <f t="shared" si="132"/>
        <v>7.6961235915243426E-2</v>
      </c>
      <c r="BM82" s="53">
        <f t="shared" si="132"/>
        <v>6.9077206427165153E-2</v>
      </c>
      <c r="BN82" s="53">
        <f t="shared" si="132"/>
        <v>6.9507705746552698E-2</v>
      </c>
      <c r="BO82" s="53">
        <f>BO39/BO63</f>
        <v>6.7670724159273776E-2</v>
      </c>
      <c r="BP82" s="53">
        <f>BP39/BP63</f>
        <v>7.1960490754603257E-2</v>
      </c>
      <c r="BQ82" s="53">
        <f>BQ39/BQ63</f>
        <v>7.3692506896357604E-2</v>
      </c>
      <c r="CM82" s="53">
        <f t="shared" ref="CM82:CP82" si="133">CM39/CM63</f>
        <v>0.23061403275903264</v>
      </c>
      <c r="CN82" s="53">
        <f t="shared" si="133"/>
        <v>0.25643012085528355</v>
      </c>
      <c r="CO82" s="53">
        <f t="shared" si="133"/>
        <v>0.26373445156426689</v>
      </c>
      <c r="CP82" s="53">
        <f t="shared" si="133"/>
        <v>0.26775649424928766</v>
      </c>
    </row>
    <row r="83" spans="2:158">
      <c r="B83" s="1" t="s">
        <v>131</v>
      </c>
      <c r="AY83" s="53">
        <f t="shared" ref="AY83:BN83" si="134">AY39/AY76</f>
        <v>0.28327909499457615</v>
      </c>
      <c r="AZ83" s="53">
        <f t="shared" si="134"/>
        <v>0.314507535393515</v>
      </c>
      <c r="BA83" s="53">
        <f t="shared" si="134"/>
        <v>0.35489561893560717</v>
      </c>
      <c r="BB83" s="53">
        <f t="shared" si="134"/>
        <v>0.32096600107933082</v>
      </c>
      <c r="BC83" s="53">
        <f t="shared" si="134"/>
        <v>0.36900420757363256</v>
      </c>
      <c r="BD83" s="53">
        <f t="shared" si="134"/>
        <v>0.36330245927818589</v>
      </c>
      <c r="BE83" s="53">
        <f t="shared" si="134"/>
        <v>0.38786279683377306</v>
      </c>
      <c r="BF83" s="53">
        <f t="shared" si="134"/>
        <v>0.39595421044378232</v>
      </c>
      <c r="BG83" s="53">
        <f t="shared" si="134"/>
        <v>0.43665618642500464</v>
      </c>
      <c r="BH83" s="53">
        <f t="shared" si="134"/>
        <v>0.50994801935830791</v>
      </c>
      <c r="BI83" s="53">
        <f t="shared" si="134"/>
        <v>0.50117536436295251</v>
      </c>
      <c r="BJ83" s="53">
        <f t="shared" si="134"/>
        <v>0.3988852365299414</v>
      </c>
      <c r="BK83" s="53">
        <f t="shared" si="134"/>
        <v>0.41201423097974821</v>
      </c>
      <c r="BL83" s="53">
        <f t="shared" si="134"/>
        <v>0.43544506816359263</v>
      </c>
      <c r="BM83" s="53">
        <f t="shared" si="134"/>
        <v>0.43518271539077086</v>
      </c>
      <c r="BN83" s="53">
        <f t="shared" si="134"/>
        <v>0.51297006907137377</v>
      </c>
      <c r="BO83" s="53">
        <f>BO39/BO76</f>
        <v>0.48984468339307047</v>
      </c>
      <c r="BP83" s="53">
        <f>BP39/BP76</f>
        <v>0.47002794005588011</v>
      </c>
      <c r="BQ83" s="53">
        <f>BQ39/BQ76</f>
        <v>0.49589594645788609</v>
      </c>
      <c r="CM83" s="53">
        <f t="shared" ref="CM83:CP83" si="135">CM39/CM76</f>
        <v>1.1720183486238531</v>
      </c>
      <c r="CN83" s="53">
        <f t="shared" si="135"/>
        <v>1.5571585384977262</v>
      </c>
      <c r="CO83" s="53">
        <f t="shared" si="135"/>
        <v>1.5999714163212806</v>
      </c>
      <c r="CP83" s="53">
        <f t="shared" si="135"/>
        <v>1.9760552570990022</v>
      </c>
    </row>
    <row r="85" spans="2:158">
      <c r="B85" s="1" t="s">
        <v>132</v>
      </c>
      <c r="C85" s="1">
        <f t="shared" ref="C85:AH85" si="136">C39</f>
        <v>367</v>
      </c>
      <c r="D85" s="1">
        <f t="shared" si="136"/>
        <v>349</v>
      </c>
      <c r="E85" s="1">
        <f t="shared" si="136"/>
        <v>439</v>
      </c>
      <c r="F85" s="1">
        <f t="shared" si="136"/>
        <v>308</v>
      </c>
      <c r="G85" s="1">
        <f t="shared" si="136"/>
        <v>455</v>
      </c>
      <c r="H85" s="1">
        <f t="shared" si="136"/>
        <v>458</v>
      </c>
      <c r="I85" s="1">
        <f t="shared" si="136"/>
        <v>519</v>
      </c>
      <c r="J85" s="1">
        <f t="shared" si="136"/>
        <v>415</v>
      </c>
      <c r="K85" s="1">
        <f t="shared" si="136"/>
        <v>562</v>
      </c>
      <c r="L85" s="1">
        <f t="shared" si="136"/>
        <v>608</v>
      </c>
      <c r="M85" s="1">
        <f t="shared" si="136"/>
        <v>716</v>
      </c>
      <c r="N85" s="1">
        <f t="shared" si="136"/>
        <v>20</v>
      </c>
      <c r="O85" s="1">
        <f t="shared" si="136"/>
        <v>682</v>
      </c>
      <c r="P85" s="1">
        <f t="shared" si="136"/>
        <v>700</v>
      </c>
      <c r="Q85" s="1">
        <f t="shared" si="136"/>
        <v>772</v>
      </c>
      <c r="R85" s="1">
        <f t="shared" si="136"/>
        <v>605</v>
      </c>
      <c r="S85" s="1">
        <f t="shared" si="136"/>
        <v>766</v>
      </c>
      <c r="T85" s="1">
        <f t="shared" si="136"/>
        <v>848</v>
      </c>
      <c r="U85" s="1">
        <f t="shared" si="136"/>
        <v>879</v>
      </c>
      <c r="V85" s="1">
        <f t="shared" si="136"/>
        <v>623</v>
      </c>
      <c r="W85" s="1">
        <f t="shared" si="136"/>
        <v>870</v>
      </c>
      <c r="X85" s="1">
        <f t="shared" si="136"/>
        <v>931</v>
      </c>
      <c r="Y85" s="1">
        <f t="shared" si="136"/>
        <v>1015</v>
      </c>
      <c r="Z85" s="1">
        <f t="shared" si="136"/>
        <v>801</v>
      </c>
      <c r="AA85" s="1">
        <f t="shared" si="136"/>
        <v>1020</v>
      </c>
      <c r="AB85" s="1">
        <f t="shared" si="136"/>
        <v>921</v>
      </c>
      <c r="AC85" s="1">
        <f t="shared" si="136"/>
        <v>977</v>
      </c>
      <c r="AD85" s="1">
        <f t="shared" si="136"/>
        <v>890</v>
      </c>
      <c r="AE85" s="1">
        <f t="shared" si="136"/>
        <v>959</v>
      </c>
      <c r="AF85" s="1">
        <f t="shared" si="136"/>
        <v>983</v>
      </c>
      <c r="AG85" s="1">
        <f t="shared" si="136"/>
        <v>1184</v>
      </c>
      <c r="AH85" s="1">
        <f t="shared" si="136"/>
        <v>933</v>
      </c>
      <c r="AI85" s="1">
        <f t="shared" ref="AI85:BO85" si="137">AI39</f>
        <v>1081</v>
      </c>
      <c r="AJ85" s="1">
        <f t="shared" si="137"/>
        <v>1177</v>
      </c>
      <c r="AK85" s="1">
        <f t="shared" si="137"/>
        <v>1430</v>
      </c>
      <c r="AL85" s="1">
        <f t="shared" si="137"/>
        <v>227</v>
      </c>
      <c r="AM85" s="1">
        <f t="shared" si="137"/>
        <v>1492</v>
      </c>
      <c r="AN85" s="1">
        <f t="shared" si="137"/>
        <v>1569</v>
      </c>
      <c r="AO85" s="1">
        <f t="shared" si="137"/>
        <v>1899</v>
      </c>
      <c r="AP85" s="1">
        <f t="shared" si="137"/>
        <v>899</v>
      </c>
      <c r="AQ85" s="1">
        <f t="shared" si="137"/>
        <v>1862</v>
      </c>
      <c r="AR85" s="1">
        <f t="shared" si="137"/>
        <v>2048</v>
      </c>
      <c r="AS85" s="1">
        <f t="shared" si="137"/>
        <v>2108</v>
      </c>
      <c r="AT85" s="1">
        <f t="shared" si="137"/>
        <v>2100</v>
      </c>
      <c r="AU85" s="1">
        <f t="shared" si="137"/>
        <v>1693</v>
      </c>
      <c r="AV85" s="1">
        <f t="shared" si="137"/>
        <v>1420</v>
      </c>
      <c r="AW85" s="1">
        <f t="shared" si="137"/>
        <v>1513</v>
      </c>
      <c r="AX85" s="1">
        <f t="shared" si="137"/>
        <v>1785</v>
      </c>
      <c r="AY85" s="1">
        <f t="shared" si="137"/>
        <v>1828</v>
      </c>
      <c r="AZ85" s="1">
        <f t="shared" si="137"/>
        <v>2066</v>
      </c>
      <c r="BA85" s="1">
        <f t="shared" si="137"/>
        <v>2414</v>
      </c>
      <c r="BB85" s="1">
        <f t="shared" si="137"/>
        <v>2379</v>
      </c>
      <c r="BC85" s="1">
        <f t="shared" si="137"/>
        <v>2631</v>
      </c>
      <c r="BD85" s="1">
        <f t="shared" si="137"/>
        <v>2275</v>
      </c>
      <c r="BE85" s="1">
        <f t="shared" si="137"/>
        <v>2499</v>
      </c>
      <c r="BF85" s="1">
        <f t="shared" si="137"/>
        <v>2525</v>
      </c>
      <c r="BG85" s="1">
        <f t="shared" si="137"/>
        <v>2361</v>
      </c>
      <c r="BH85" s="1">
        <f t="shared" si="137"/>
        <v>2845</v>
      </c>
      <c r="BI85" s="1">
        <f t="shared" si="137"/>
        <v>3198</v>
      </c>
      <c r="BJ85" s="1">
        <f t="shared" si="137"/>
        <v>2791</v>
      </c>
      <c r="BK85" s="1">
        <f t="shared" si="137"/>
        <v>3011</v>
      </c>
      <c r="BL85" s="1">
        <f t="shared" si="137"/>
        <v>3258</v>
      </c>
      <c r="BM85" s="1">
        <f t="shared" si="137"/>
        <v>3263</v>
      </c>
      <c r="BN85" s="1">
        <f t="shared" si="137"/>
        <v>3342</v>
      </c>
      <c r="BO85" s="1">
        <f t="shared" si="137"/>
        <v>3280</v>
      </c>
      <c r="BP85" s="1">
        <f t="shared" ref="BP85:BQ85" si="138">BP39</f>
        <v>3701</v>
      </c>
      <c r="BQ85" s="1">
        <f t="shared" si="138"/>
        <v>3927</v>
      </c>
      <c r="CA85" s="1">
        <f>SUM(C85:F85)</f>
        <v>1463</v>
      </c>
      <c r="CB85" s="1">
        <f>SUM(G85:J85)</f>
        <v>1847</v>
      </c>
      <c r="CC85" s="1">
        <f>SUM(K85:N85)</f>
        <v>1906</v>
      </c>
      <c r="CD85" s="1">
        <f>SUM(O85:R85)</f>
        <v>2759</v>
      </c>
      <c r="CE85" s="1">
        <f>SUM(S85:V85)</f>
        <v>3116</v>
      </c>
      <c r="CF85" s="1">
        <f>SUM(W85:Z85)</f>
        <v>3617</v>
      </c>
      <c r="CG85" s="1">
        <f>SUM(AA85:AD85)</f>
        <v>3808</v>
      </c>
      <c r="CH85" s="1">
        <f>SUM(AE85:AH85)</f>
        <v>4059</v>
      </c>
      <c r="CI85" s="1">
        <f>SUM(AI85:AL85)</f>
        <v>3915</v>
      </c>
      <c r="CJ85" s="1">
        <f>SUM(AM85:AP85)</f>
        <v>5859</v>
      </c>
      <c r="CK85" s="1">
        <f>SUM(AQ85:AT85)</f>
        <v>8118</v>
      </c>
      <c r="CL85" s="1">
        <f>SUM(AU85:AX85)</f>
        <v>6411</v>
      </c>
      <c r="CM85" s="1">
        <f>SUM(AY85:BB85)</f>
        <v>8687</v>
      </c>
      <c r="CN85" s="1">
        <f>SUM(BC85:BF85)</f>
        <v>9930</v>
      </c>
      <c r="CO85" s="1">
        <f>SUM(BG85:BJ85)</f>
        <v>11195</v>
      </c>
      <c r="CP85" s="1">
        <f>SUM(BK85:BN85)</f>
        <v>12874</v>
      </c>
    </row>
    <row r="86" spans="2:158" s="2" customFormat="1" ht="15">
      <c r="B86" s="2" t="s">
        <v>133</v>
      </c>
      <c r="C86" s="2">
        <v>416</v>
      </c>
      <c r="D86" s="2">
        <v>362</v>
      </c>
      <c r="E86" s="2">
        <v>316</v>
      </c>
      <c r="F86" s="2">
        <v>284</v>
      </c>
      <c r="G86" s="2">
        <v>95</v>
      </c>
      <c r="H86" s="2">
        <v>343</v>
      </c>
      <c r="I86" s="2">
        <v>589</v>
      </c>
      <c r="J86" s="2">
        <v>670</v>
      </c>
      <c r="K86" s="2">
        <v>355</v>
      </c>
      <c r="L86" s="2">
        <v>538</v>
      </c>
      <c r="M86" s="2">
        <v>1007</v>
      </c>
      <c r="N86" s="2">
        <v>784</v>
      </c>
      <c r="O86" s="2">
        <v>427</v>
      </c>
      <c r="P86" s="2">
        <v>641</v>
      </c>
      <c r="Q86" s="2">
        <v>1014</v>
      </c>
      <c r="R86" s="2">
        <v>866</v>
      </c>
      <c r="S86" s="2">
        <v>872</v>
      </c>
      <c r="T86" s="2">
        <v>742</v>
      </c>
      <c r="U86" s="2">
        <v>1322</v>
      </c>
      <c r="V86" s="2">
        <v>1199</v>
      </c>
      <c r="W86" s="2">
        <v>568</v>
      </c>
      <c r="X86" s="2">
        <v>729</v>
      </c>
      <c r="Y86" s="2">
        <v>1385</v>
      </c>
      <c r="Z86" s="2">
        <v>725</v>
      </c>
      <c r="AA86" s="2">
        <v>911</v>
      </c>
      <c r="AB86" s="2">
        <v>821</v>
      </c>
      <c r="AC86" s="2">
        <v>1272</v>
      </c>
      <c r="AD86" s="2">
        <v>1097</v>
      </c>
      <c r="AE86" s="2">
        <v>1058</v>
      </c>
      <c r="AF86" s="2">
        <v>1061</v>
      </c>
      <c r="AG86" s="2">
        <v>1424</v>
      </c>
      <c r="AH86" s="2">
        <v>1094</v>
      </c>
      <c r="AI86" s="2">
        <v>727</v>
      </c>
      <c r="AJ86" s="2">
        <v>1325</v>
      </c>
      <c r="AK86" s="2">
        <v>1789</v>
      </c>
      <c r="AL86" s="2">
        <v>1823</v>
      </c>
      <c r="AM86" s="2">
        <v>1035</v>
      </c>
      <c r="AN86" s="2">
        <v>1489</v>
      </c>
      <c r="AO86" s="2">
        <v>2367</v>
      </c>
      <c r="AP86" s="2">
        <v>1332</v>
      </c>
      <c r="AQ86" s="2">
        <v>1312</v>
      </c>
      <c r="AR86" s="2">
        <v>1536</v>
      </c>
      <c r="AS86" s="2">
        <v>2355</v>
      </c>
      <c r="AT86" s="2">
        <v>2980</v>
      </c>
      <c r="AU86" s="2">
        <v>1859</v>
      </c>
      <c r="AV86" s="2">
        <v>1458</v>
      </c>
      <c r="AW86" s="2">
        <v>1654</v>
      </c>
      <c r="AX86" s="2">
        <v>2253</v>
      </c>
      <c r="AY86" s="2">
        <v>1463</v>
      </c>
      <c r="AZ86" s="2">
        <v>2268</v>
      </c>
      <c r="BA86" s="2">
        <v>2543</v>
      </c>
      <c r="BB86" s="2">
        <v>3189</v>
      </c>
      <c r="BC86" s="2">
        <v>1782</v>
      </c>
      <c r="BD86" s="2">
        <v>2457</v>
      </c>
      <c r="BE86" s="2">
        <v>3856</v>
      </c>
      <c r="BF86" s="2">
        <v>3100</v>
      </c>
      <c r="BG86" s="2">
        <v>1919</v>
      </c>
      <c r="BH86" s="2">
        <v>2698</v>
      </c>
      <c r="BI86" s="2">
        <v>3233</v>
      </c>
      <c r="BJ86" s="2">
        <v>4130</v>
      </c>
      <c r="BK86" s="2">
        <v>1672</v>
      </c>
      <c r="BL86" s="2">
        <v>3138</v>
      </c>
      <c r="BM86" s="2">
        <v>5136</v>
      </c>
      <c r="BN86" s="2">
        <v>4834</v>
      </c>
      <c r="BO86" s="2">
        <v>2380</v>
      </c>
      <c r="BP86" s="2">
        <f>6983-BO86</f>
        <v>4603</v>
      </c>
      <c r="BQ86" s="2">
        <f>12646-BP86</f>
        <v>8043</v>
      </c>
      <c r="BR86" s="34"/>
      <c r="BS86" s="34"/>
      <c r="BT86" s="34"/>
      <c r="BU86" s="34"/>
      <c r="BV86" s="34"/>
      <c r="CA86" s="2">
        <f>SUM(C86:F86)</f>
        <v>1378</v>
      </c>
      <c r="CB86" s="2">
        <f>SUM(G86:J86)</f>
        <v>1697</v>
      </c>
      <c r="CC86" s="2">
        <f>SUM(K86:N86)</f>
        <v>2684</v>
      </c>
      <c r="CD86" s="2">
        <f>SUM(O86:R86)</f>
        <v>2948</v>
      </c>
      <c r="CE86" s="2">
        <f>SUM(S86:V86)</f>
        <v>4135</v>
      </c>
      <c r="CF86" s="2">
        <f>SUM(W86:Z86)</f>
        <v>3407</v>
      </c>
      <c r="CG86" s="2">
        <f>SUM(AA86:AD86)</f>
        <v>4101</v>
      </c>
      <c r="CH86" s="2">
        <f>SUM(AE86:AH86)</f>
        <v>4637</v>
      </c>
      <c r="CI86" s="2">
        <f>SUM(AI86:AL86)</f>
        <v>5664</v>
      </c>
      <c r="CJ86" s="2">
        <f>SUM(AM86:AP86)</f>
        <v>6223</v>
      </c>
      <c r="CK86" s="2">
        <f>SUM(AQ86:AT86)</f>
        <v>8183</v>
      </c>
      <c r="CL86" s="2">
        <f>SUM(AU86:AX86)</f>
        <v>7224</v>
      </c>
      <c r="CM86" s="2">
        <f>SUM(AY86:BB86)</f>
        <v>9463</v>
      </c>
      <c r="CN86" s="2">
        <f>SUM(BC86:BF86)</f>
        <v>11195</v>
      </c>
      <c r="CO86" s="2">
        <f>SUM(BG86:BJ86)</f>
        <v>11980</v>
      </c>
      <c r="CP86" s="2">
        <f>SUM(BK86:BN86)</f>
        <v>14780</v>
      </c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</row>
    <row r="87" spans="2:158">
      <c r="B87" s="1" t="s">
        <v>134</v>
      </c>
      <c r="C87" s="1">
        <v>-28</v>
      </c>
      <c r="D87" s="1">
        <v>-35</v>
      </c>
      <c r="E87" s="1">
        <v>-33</v>
      </c>
      <c r="F87" s="1">
        <v>-44</v>
      </c>
      <c r="G87" s="1">
        <v>-20</v>
      </c>
      <c r="H87" s="1">
        <v>-45</v>
      </c>
      <c r="I87" s="1">
        <v>-40</v>
      </c>
      <c r="J87" s="1">
        <v>-46</v>
      </c>
      <c r="K87" s="1">
        <v>-25</v>
      </c>
      <c r="L87" s="1">
        <v>-47</v>
      </c>
      <c r="M87" s="1">
        <v>-44</v>
      </c>
      <c r="N87" s="1">
        <v>-61</v>
      </c>
      <c r="O87" s="1">
        <v>-51</v>
      </c>
      <c r="P87" s="1">
        <v>-56</v>
      </c>
      <c r="Q87" s="1">
        <v>-57</v>
      </c>
      <c r="R87" s="1">
        <v>-54</v>
      </c>
      <c r="S87" s="1">
        <v>-42</v>
      </c>
      <c r="T87" s="1">
        <v>-61</v>
      </c>
      <c r="U87" s="1">
        <v>-50</v>
      </c>
      <c r="V87" s="1">
        <v>-146</v>
      </c>
      <c r="W87" s="1">
        <v>-25</v>
      </c>
      <c r="X87" s="1">
        <v>-14</v>
      </c>
      <c r="Y87" s="1">
        <v>-58</v>
      </c>
      <c r="Z87" s="1">
        <v>-78</v>
      </c>
      <c r="AA87" s="1">
        <v>-31</v>
      </c>
      <c r="AB87" s="1">
        <v>-25</v>
      </c>
      <c r="AC87" s="1">
        <v>-69</v>
      </c>
      <c r="AD87" s="1">
        <v>-52</v>
      </c>
      <c r="AE87" s="1">
        <v>-37</v>
      </c>
      <c r="AF87" s="1">
        <v>-64</v>
      </c>
      <c r="AG87" s="1">
        <v>-55</v>
      </c>
      <c r="AH87" s="1">
        <v>-59</v>
      </c>
      <c r="AI87" s="1">
        <v>-64</v>
      </c>
      <c r="AJ87" s="1">
        <v>-50</v>
      </c>
      <c r="AK87" s="1">
        <v>-100</v>
      </c>
      <c r="AL87" s="1">
        <v>-86</v>
      </c>
      <c r="AM87" s="1">
        <v>-82</v>
      </c>
      <c r="AN87" s="1">
        <v>-90</v>
      </c>
      <c r="AO87" s="1">
        <v>-83</v>
      </c>
      <c r="AP87" s="1">
        <v>-75</v>
      </c>
      <c r="AQ87" s="1">
        <v>-83</v>
      </c>
      <c r="AR87" s="1">
        <v>-91</v>
      </c>
      <c r="AS87" s="1">
        <v>-132</v>
      </c>
      <c r="AT87" s="1">
        <v>-116</v>
      </c>
      <c r="AU87" s="1">
        <v>-131</v>
      </c>
      <c r="AV87" s="1">
        <v>-70</v>
      </c>
      <c r="AW87" s="1">
        <v>-79</v>
      </c>
      <c r="AX87" s="1">
        <v>-59</v>
      </c>
      <c r="AY87" s="1">
        <v>-65</v>
      </c>
      <c r="AZ87" s="1">
        <v>-81</v>
      </c>
      <c r="BA87" s="1">
        <v>-139</v>
      </c>
      <c r="BB87" s="1">
        <v>-122</v>
      </c>
      <c r="BC87" s="1">
        <v>-146</v>
      </c>
      <c r="BD87" s="1">
        <v>-55</v>
      </c>
      <c r="BE87" s="1">
        <v>-111</v>
      </c>
      <c r="BF87" s="1">
        <v>-130</v>
      </c>
      <c r="BG87" s="1">
        <v>-110</v>
      </c>
      <c r="BH87" s="1">
        <v>-80</v>
      </c>
      <c r="BI87" s="1">
        <v>-104</v>
      </c>
      <c r="BJ87" s="1">
        <v>-77</v>
      </c>
      <c r="BK87" s="1">
        <v>-157</v>
      </c>
      <c r="BL87" s="1">
        <v>-115</v>
      </c>
      <c r="BM87" s="1">
        <v>-107</v>
      </c>
      <c r="BN87" s="1">
        <v>-95</v>
      </c>
      <c r="BO87" s="1">
        <v>-159</v>
      </c>
      <c r="BP87" s="1">
        <v>-40</v>
      </c>
      <c r="BQ87" s="1">
        <v>-178</v>
      </c>
      <c r="CA87" s="1">
        <f>SUM(C87:F87)</f>
        <v>-140</v>
      </c>
      <c r="CB87" s="1">
        <f>SUM(G87:J87)</f>
        <v>-151</v>
      </c>
      <c r="CC87" s="1">
        <f>SUM(K87:N87)</f>
        <v>-177</v>
      </c>
      <c r="CD87" s="1">
        <f>SUM(O87:R87)</f>
        <v>-218</v>
      </c>
      <c r="CE87" s="1">
        <f>SUM(S87:V87)</f>
        <v>-299</v>
      </c>
      <c r="CF87" s="1">
        <f>SUM(W87:Z87)</f>
        <v>-175</v>
      </c>
      <c r="CG87" s="1">
        <f>SUM(AA87:AD87)</f>
        <v>-177</v>
      </c>
      <c r="CH87" s="1">
        <f>SUM(AE87:AH87)</f>
        <v>-215</v>
      </c>
      <c r="CI87" s="1">
        <f>SUM(AI87:AL87)</f>
        <v>-300</v>
      </c>
      <c r="CJ87" s="1">
        <f>SUM(AM87:AP87)</f>
        <v>-330</v>
      </c>
      <c r="CK87" s="1">
        <f>SUM(AQ87:AT87)</f>
        <v>-422</v>
      </c>
      <c r="CL87" s="1">
        <f>SUM(AU87:AX87)</f>
        <v>-339</v>
      </c>
      <c r="CM87" s="1">
        <f>SUM(AY87:BB87)</f>
        <v>-407</v>
      </c>
      <c r="CN87" s="1">
        <f>SUM(BC87:BF87)</f>
        <v>-442</v>
      </c>
      <c r="CO87" s="1">
        <f>SUM(BG87:BJ87)</f>
        <v>-371</v>
      </c>
      <c r="CP87" s="1">
        <f>SUM(BK87:BN87)</f>
        <v>-474</v>
      </c>
    </row>
    <row r="88" spans="2:158" s="2" customFormat="1" ht="15">
      <c r="B88" s="2" t="s">
        <v>135</v>
      </c>
      <c r="C88" s="2">
        <f t="shared" ref="C88:BN88" si="139">C86+C87</f>
        <v>388</v>
      </c>
      <c r="D88" s="2">
        <f t="shared" si="139"/>
        <v>327</v>
      </c>
      <c r="E88" s="2">
        <f t="shared" si="139"/>
        <v>283</v>
      </c>
      <c r="F88" s="2">
        <f t="shared" si="139"/>
        <v>240</v>
      </c>
      <c r="G88" s="2">
        <f t="shared" si="139"/>
        <v>75</v>
      </c>
      <c r="H88" s="2">
        <f t="shared" si="139"/>
        <v>298</v>
      </c>
      <c r="I88" s="2">
        <f t="shared" si="139"/>
        <v>549</v>
      </c>
      <c r="J88" s="2">
        <f t="shared" si="139"/>
        <v>624</v>
      </c>
      <c r="K88" s="2">
        <f t="shared" si="139"/>
        <v>330</v>
      </c>
      <c r="L88" s="2">
        <f t="shared" si="139"/>
        <v>491</v>
      </c>
      <c r="M88" s="2">
        <f t="shared" si="139"/>
        <v>963</v>
      </c>
      <c r="N88" s="2">
        <f t="shared" si="139"/>
        <v>723</v>
      </c>
      <c r="O88" s="2">
        <f t="shared" si="139"/>
        <v>376</v>
      </c>
      <c r="P88" s="2">
        <f t="shared" si="139"/>
        <v>585</v>
      </c>
      <c r="Q88" s="2">
        <f t="shared" si="139"/>
        <v>957</v>
      </c>
      <c r="R88" s="2">
        <f t="shared" si="139"/>
        <v>812</v>
      </c>
      <c r="S88" s="2">
        <f t="shared" si="139"/>
        <v>830</v>
      </c>
      <c r="T88" s="2">
        <f t="shared" si="139"/>
        <v>681</v>
      </c>
      <c r="U88" s="2">
        <f t="shared" si="139"/>
        <v>1272</v>
      </c>
      <c r="V88" s="2">
        <f t="shared" si="139"/>
        <v>1053</v>
      </c>
      <c r="W88" s="2">
        <f t="shared" si="139"/>
        <v>543</v>
      </c>
      <c r="X88" s="2">
        <f t="shared" si="139"/>
        <v>715</v>
      </c>
      <c r="Y88" s="2">
        <f t="shared" si="139"/>
        <v>1327</v>
      </c>
      <c r="Z88" s="2">
        <f t="shared" si="139"/>
        <v>647</v>
      </c>
      <c r="AA88" s="2">
        <f t="shared" si="139"/>
        <v>880</v>
      </c>
      <c r="AB88" s="2">
        <f t="shared" si="139"/>
        <v>796</v>
      </c>
      <c r="AC88" s="2">
        <f t="shared" si="139"/>
        <v>1203</v>
      </c>
      <c r="AD88" s="2">
        <f t="shared" si="139"/>
        <v>1045</v>
      </c>
      <c r="AE88" s="2">
        <f t="shared" si="139"/>
        <v>1021</v>
      </c>
      <c r="AF88" s="2">
        <f t="shared" si="139"/>
        <v>997</v>
      </c>
      <c r="AG88" s="2">
        <f t="shared" si="139"/>
        <v>1369</v>
      </c>
      <c r="AH88" s="2">
        <f t="shared" si="139"/>
        <v>1035</v>
      </c>
      <c r="AI88" s="2">
        <f t="shared" si="139"/>
        <v>663</v>
      </c>
      <c r="AJ88" s="2">
        <f t="shared" si="139"/>
        <v>1275</v>
      </c>
      <c r="AK88" s="2">
        <f t="shared" si="139"/>
        <v>1689</v>
      </c>
      <c r="AL88" s="2">
        <f t="shared" si="139"/>
        <v>1737</v>
      </c>
      <c r="AM88" s="2">
        <f t="shared" si="139"/>
        <v>953</v>
      </c>
      <c r="AN88" s="2">
        <f t="shared" si="139"/>
        <v>1399</v>
      </c>
      <c r="AO88" s="2">
        <f t="shared" si="139"/>
        <v>2284</v>
      </c>
      <c r="AP88" s="2">
        <f t="shared" si="139"/>
        <v>1257</v>
      </c>
      <c r="AQ88" s="2">
        <f t="shared" si="139"/>
        <v>1229</v>
      </c>
      <c r="AR88" s="2">
        <f t="shared" si="139"/>
        <v>1445</v>
      </c>
      <c r="AS88" s="2">
        <f t="shared" si="139"/>
        <v>2223</v>
      </c>
      <c r="AT88" s="2">
        <f t="shared" si="139"/>
        <v>2864</v>
      </c>
      <c r="AU88" s="2">
        <f t="shared" si="139"/>
        <v>1728</v>
      </c>
      <c r="AV88" s="2">
        <f t="shared" si="139"/>
        <v>1388</v>
      </c>
      <c r="AW88" s="2">
        <f t="shared" si="139"/>
        <v>1575</v>
      </c>
      <c r="AX88" s="2">
        <f t="shared" si="139"/>
        <v>2194</v>
      </c>
      <c r="AY88" s="2">
        <f t="shared" si="139"/>
        <v>1398</v>
      </c>
      <c r="AZ88" s="2">
        <f t="shared" si="139"/>
        <v>2187</v>
      </c>
      <c r="BA88" s="2">
        <f t="shared" si="139"/>
        <v>2404</v>
      </c>
      <c r="BB88" s="2">
        <f t="shared" si="139"/>
        <v>3067</v>
      </c>
      <c r="BC88" s="2">
        <f t="shared" si="139"/>
        <v>1636</v>
      </c>
      <c r="BD88" s="2">
        <f t="shared" si="139"/>
        <v>2402</v>
      </c>
      <c r="BE88" s="2">
        <f t="shared" si="139"/>
        <v>3745</v>
      </c>
      <c r="BF88" s="2">
        <f t="shared" si="139"/>
        <v>2970</v>
      </c>
      <c r="BG88" s="2">
        <f t="shared" si="139"/>
        <v>1809</v>
      </c>
      <c r="BH88" s="2">
        <f t="shared" si="139"/>
        <v>2618</v>
      </c>
      <c r="BI88" s="2">
        <f t="shared" si="139"/>
        <v>3129</v>
      </c>
      <c r="BJ88" s="2">
        <f t="shared" si="139"/>
        <v>4053</v>
      </c>
      <c r="BK88" s="2">
        <f t="shared" si="139"/>
        <v>1515</v>
      </c>
      <c r="BL88" s="2">
        <f t="shared" si="139"/>
        <v>3023</v>
      </c>
      <c r="BM88" s="2">
        <f t="shared" si="139"/>
        <v>5029</v>
      </c>
      <c r="BN88" s="2">
        <f t="shared" si="139"/>
        <v>4739</v>
      </c>
      <c r="BO88" s="2">
        <f>BO86+BO87</f>
        <v>2221</v>
      </c>
      <c r="BP88" s="2">
        <f>BP86+BP87</f>
        <v>4563</v>
      </c>
      <c r="BQ88" s="2">
        <f>BQ86+BQ87</f>
        <v>7865</v>
      </c>
      <c r="BR88" s="34"/>
      <c r="BS88" s="34"/>
      <c r="BT88" s="34"/>
      <c r="BU88" s="34"/>
      <c r="BV88" s="34"/>
      <c r="CA88" s="2">
        <f>SUM(C88:F88)</f>
        <v>1238</v>
      </c>
      <c r="CB88" s="2">
        <f>SUM(G88:J88)</f>
        <v>1546</v>
      </c>
      <c r="CC88" s="2">
        <f>SUM(K88:N88)</f>
        <v>2507</v>
      </c>
      <c r="CD88" s="2">
        <f>SUM(O88:R88)</f>
        <v>2730</v>
      </c>
      <c r="CE88" s="2">
        <f>SUM(S88:V88)</f>
        <v>3836</v>
      </c>
      <c r="CF88" s="2">
        <f>SUM(W88:Z88)</f>
        <v>3232</v>
      </c>
      <c r="CG88" s="2">
        <f>SUM(AA88:AD88)</f>
        <v>3924</v>
      </c>
      <c r="CH88" s="2">
        <f>SUM(AE88:AH88)</f>
        <v>4422</v>
      </c>
      <c r="CI88" s="2">
        <f>SUM(AI88:AL88)</f>
        <v>5364</v>
      </c>
      <c r="CJ88" s="2">
        <f>SUM(AM88:AP88)</f>
        <v>5893</v>
      </c>
      <c r="CK88" s="2">
        <f>SUM(AQ88:AT88)</f>
        <v>7761</v>
      </c>
      <c r="CL88" s="2">
        <f>SUM(AU88:AX88)</f>
        <v>6885</v>
      </c>
      <c r="CM88" s="2">
        <f>SUM(AY88:BB88)</f>
        <v>9056</v>
      </c>
      <c r="CN88" s="2">
        <f>SUM(BC88:BF88)</f>
        <v>10753</v>
      </c>
      <c r="CO88" s="2">
        <f>SUM(BG88:BJ88)</f>
        <v>11609</v>
      </c>
      <c r="CP88" s="2">
        <f>SUM(BK88:BN88)</f>
        <v>14306</v>
      </c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</row>
    <row r="89" spans="2:158">
      <c r="B89" s="1" t="s">
        <v>136</v>
      </c>
      <c r="C89" s="1">
        <f t="shared" ref="C89:AH89" si="140">C40</f>
        <v>1300</v>
      </c>
      <c r="D89" s="1">
        <f t="shared" si="140"/>
        <v>1300</v>
      </c>
      <c r="E89" s="1">
        <f t="shared" si="140"/>
        <v>1300</v>
      </c>
      <c r="F89" s="1">
        <f t="shared" si="140"/>
        <v>1300</v>
      </c>
      <c r="G89" s="1">
        <f t="shared" si="140"/>
        <v>1300</v>
      </c>
      <c r="H89" s="1">
        <f t="shared" si="140"/>
        <v>1310</v>
      </c>
      <c r="I89" s="1">
        <f t="shared" si="140"/>
        <v>1310</v>
      </c>
      <c r="J89" s="1">
        <f t="shared" si="140"/>
        <v>1310</v>
      </c>
      <c r="K89" s="1">
        <f t="shared" si="140"/>
        <v>1300</v>
      </c>
      <c r="L89" s="1">
        <f t="shared" si="140"/>
        <v>1270</v>
      </c>
      <c r="M89" s="1">
        <f t="shared" si="140"/>
        <v>1270</v>
      </c>
      <c r="N89" s="1">
        <f t="shared" si="140"/>
        <v>1279</v>
      </c>
      <c r="O89" s="1">
        <f t="shared" si="140"/>
        <v>1270</v>
      </c>
      <c r="P89" s="1">
        <f t="shared" si="140"/>
        <v>1260</v>
      </c>
      <c r="Q89" s="1">
        <f t="shared" si="140"/>
        <v>1250</v>
      </c>
      <c r="R89" s="1">
        <f t="shared" si="140"/>
        <v>1253</v>
      </c>
      <c r="S89" s="1">
        <f t="shared" si="140"/>
        <v>1226</v>
      </c>
      <c r="T89" s="1">
        <f t="shared" si="140"/>
        <v>1214</v>
      </c>
      <c r="U89" s="1">
        <f t="shared" si="140"/>
        <v>1205</v>
      </c>
      <c r="V89" s="1">
        <f t="shared" si="140"/>
        <v>1211</v>
      </c>
      <c r="W89" s="1">
        <f t="shared" si="140"/>
        <v>1185</v>
      </c>
      <c r="X89" s="1">
        <f t="shared" si="140"/>
        <v>1165</v>
      </c>
      <c r="Y89" s="1">
        <f t="shared" si="140"/>
        <v>1157</v>
      </c>
      <c r="Z89" s="1">
        <f t="shared" si="140"/>
        <v>1165</v>
      </c>
      <c r="AA89" s="1">
        <f t="shared" si="140"/>
        <v>1148</v>
      </c>
      <c r="AB89" s="1">
        <f t="shared" si="140"/>
        <v>1138</v>
      </c>
      <c r="AC89" s="1">
        <f t="shared" si="140"/>
        <v>1130</v>
      </c>
      <c r="AD89" s="1">
        <f t="shared" si="140"/>
        <v>1134</v>
      </c>
      <c r="AE89" s="1">
        <f t="shared" si="140"/>
        <v>1109</v>
      </c>
      <c r="AF89" s="1">
        <f t="shared" si="140"/>
        <v>1098</v>
      </c>
      <c r="AG89" s="1">
        <f t="shared" si="140"/>
        <v>1096</v>
      </c>
      <c r="AH89" s="1">
        <f t="shared" si="140"/>
        <v>1098</v>
      </c>
      <c r="AI89" s="1">
        <f t="shared" ref="AI89:BM89" si="141">AI40</f>
        <v>1078</v>
      </c>
      <c r="AJ89" s="1">
        <f t="shared" si="141"/>
        <v>1070</v>
      </c>
      <c r="AK89" s="1">
        <f t="shared" si="141"/>
        <v>1063</v>
      </c>
      <c r="AL89" s="1">
        <f t="shared" si="141"/>
        <v>1067</v>
      </c>
      <c r="AM89" s="1">
        <f t="shared" si="141"/>
        <v>1051</v>
      </c>
      <c r="AN89" s="1">
        <f t="shared" si="141"/>
        <v>1043</v>
      </c>
      <c r="AO89" s="1">
        <f t="shared" si="141"/>
        <v>1037</v>
      </c>
      <c r="AP89" s="1">
        <f t="shared" si="141"/>
        <v>1041</v>
      </c>
      <c r="AQ89" s="1">
        <f t="shared" si="141"/>
        <v>1026</v>
      </c>
      <c r="AR89" s="1">
        <f t="shared" si="141"/>
        <v>1020</v>
      </c>
      <c r="AS89" s="1">
        <f t="shared" si="141"/>
        <v>1013</v>
      </c>
      <c r="AT89" s="1">
        <f t="shared" si="141"/>
        <v>1017</v>
      </c>
      <c r="AU89" s="1">
        <f t="shared" si="141"/>
        <v>1005</v>
      </c>
      <c r="AV89" s="1">
        <f t="shared" si="141"/>
        <v>1004</v>
      </c>
      <c r="AW89" s="1">
        <f t="shared" si="141"/>
        <v>1001</v>
      </c>
      <c r="AX89" s="1">
        <f t="shared" si="141"/>
        <v>1002</v>
      </c>
      <c r="AY89" s="1">
        <f t="shared" si="141"/>
        <v>994</v>
      </c>
      <c r="AZ89" s="1">
        <f t="shared" si="141"/>
        <v>990</v>
      </c>
      <c r="BA89" s="1">
        <f t="shared" si="141"/>
        <v>986</v>
      </c>
      <c r="BB89" s="1">
        <f t="shared" si="141"/>
        <v>988</v>
      </c>
      <c r="BC89" s="1">
        <f t="shared" si="141"/>
        <v>977</v>
      </c>
      <c r="BD89" s="1">
        <f t="shared" si="141"/>
        <v>971</v>
      </c>
      <c r="BE89" s="1">
        <f t="shared" si="141"/>
        <v>965</v>
      </c>
      <c r="BF89" s="1">
        <f t="shared" si="141"/>
        <v>968</v>
      </c>
      <c r="BG89" s="1">
        <f t="shared" si="141"/>
        <v>953</v>
      </c>
      <c r="BH89" s="1">
        <f t="shared" si="141"/>
        <v>946</v>
      </c>
      <c r="BI89" s="1">
        <f t="shared" si="141"/>
        <v>941</v>
      </c>
      <c r="BJ89" s="1">
        <f t="shared" si="141"/>
        <v>944</v>
      </c>
      <c r="BK89" s="1">
        <f t="shared" si="141"/>
        <v>933</v>
      </c>
      <c r="BL89" s="1">
        <f t="shared" si="141"/>
        <v>929</v>
      </c>
      <c r="BM89" s="1">
        <f t="shared" si="141"/>
        <v>923</v>
      </c>
      <c r="BN89" s="1">
        <v>917</v>
      </c>
      <c r="BO89" s="1">
        <f>BO40</f>
        <v>912</v>
      </c>
      <c r="BP89" s="1">
        <f>BP40</f>
        <v>908</v>
      </c>
      <c r="BQ89" s="1">
        <f>BQ40</f>
        <v>903</v>
      </c>
      <c r="CA89" s="1">
        <f t="shared" ref="CA89:CO89" si="142">CA40</f>
        <v>1300</v>
      </c>
      <c r="CB89" s="1">
        <f t="shared" si="142"/>
        <v>1307.5</v>
      </c>
      <c r="CC89" s="1">
        <f t="shared" si="142"/>
        <v>1279.75</v>
      </c>
      <c r="CD89" s="1">
        <f t="shared" si="142"/>
        <v>1258.25</v>
      </c>
      <c r="CE89" s="1">
        <f t="shared" si="142"/>
        <v>1214</v>
      </c>
      <c r="CF89" s="1">
        <f t="shared" si="142"/>
        <v>1168</v>
      </c>
      <c r="CG89" s="1">
        <f t="shared" si="142"/>
        <v>1137.5</v>
      </c>
      <c r="CH89" s="1">
        <f t="shared" si="142"/>
        <v>1100.25</v>
      </c>
      <c r="CI89" s="1">
        <f t="shared" si="142"/>
        <v>1069.5</v>
      </c>
      <c r="CJ89" s="1">
        <f t="shared" si="142"/>
        <v>1043</v>
      </c>
      <c r="CK89" s="1">
        <f t="shared" si="142"/>
        <v>1019</v>
      </c>
      <c r="CL89" s="1">
        <f t="shared" si="142"/>
        <v>1003</v>
      </c>
      <c r="CM89" s="1">
        <f t="shared" si="142"/>
        <v>989.5</v>
      </c>
      <c r="CN89" s="1">
        <f t="shared" si="142"/>
        <v>970.25</v>
      </c>
      <c r="CO89" s="1">
        <f t="shared" si="142"/>
        <v>946</v>
      </c>
      <c r="CP89" s="1">
        <f>CP40</f>
        <v>927.5</v>
      </c>
    </row>
    <row r="90" spans="2:158">
      <c r="B90" s="1" t="s">
        <v>137</v>
      </c>
      <c r="C90" s="39">
        <f t="shared" ref="C90:BN90" si="143">C88/C89</f>
        <v>0.29846153846153844</v>
      </c>
      <c r="D90" s="39">
        <f t="shared" si="143"/>
        <v>0.25153846153846154</v>
      </c>
      <c r="E90" s="39">
        <f t="shared" si="143"/>
        <v>0.21769230769230768</v>
      </c>
      <c r="F90" s="39">
        <f t="shared" si="143"/>
        <v>0.18461538461538463</v>
      </c>
      <c r="G90" s="39">
        <f t="shared" si="143"/>
        <v>5.7692307692307696E-2</v>
      </c>
      <c r="H90" s="39">
        <f t="shared" si="143"/>
        <v>0.22748091603053436</v>
      </c>
      <c r="I90" s="39">
        <f t="shared" si="143"/>
        <v>0.41908396946564885</v>
      </c>
      <c r="J90" s="39">
        <f t="shared" si="143"/>
        <v>0.4763358778625954</v>
      </c>
      <c r="K90" s="39">
        <f t="shared" si="143"/>
        <v>0.25384615384615383</v>
      </c>
      <c r="L90" s="39">
        <f t="shared" si="143"/>
        <v>0.38661417322834646</v>
      </c>
      <c r="M90" s="39">
        <f t="shared" si="143"/>
        <v>0.75826771653543312</v>
      </c>
      <c r="N90" s="39">
        <f t="shared" si="143"/>
        <v>0.56528537920250199</v>
      </c>
      <c r="O90" s="39">
        <f t="shared" si="143"/>
        <v>0.29606299212598425</v>
      </c>
      <c r="P90" s="39">
        <f t="shared" si="143"/>
        <v>0.4642857142857143</v>
      </c>
      <c r="Q90" s="39">
        <f t="shared" si="143"/>
        <v>0.76559999999999995</v>
      </c>
      <c r="R90" s="39">
        <f t="shared" si="143"/>
        <v>0.64804469273743015</v>
      </c>
      <c r="S90" s="39">
        <f t="shared" si="143"/>
        <v>0.67699836867862973</v>
      </c>
      <c r="T90" s="39">
        <f t="shared" si="143"/>
        <v>0.56095551894563422</v>
      </c>
      <c r="U90" s="39">
        <f t="shared" si="143"/>
        <v>1.0556016597510374</v>
      </c>
      <c r="V90" s="39">
        <f t="shared" si="143"/>
        <v>0.86952931461601979</v>
      </c>
      <c r="W90" s="39">
        <f t="shared" si="143"/>
        <v>0.45822784810126582</v>
      </c>
      <c r="X90" s="39">
        <f t="shared" si="143"/>
        <v>0.61373390557939911</v>
      </c>
      <c r="Y90" s="39">
        <f t="shared" si="143"/>
        <v>1.1469317199654279</v>
      </c>
      <c r="Z90" s="39">
        <f t="shared" si="143"/>
        <v>0.55536480686695278</v>
      </c>
      <c r="AA90" s="39">
        <f t="shared" si="143"/>
        <v>0.76655052264808365</v>
      </c>
      <c r="AB90" s="39">
        <f t="shared" si="143"/>
        <v>0.69947275922671348</v>
      </c>
      <c r="AC90" s="39">
        <f t="shared" si="143"/>
        <v>1.0646017699115045</v>
      </c>
      <c r="AD90" s="39">
        <f t="shared" si="143"/>
        <v>0.92151675485008822</v>
      </c>
      <c r="AE90" s="39">
        <f t="shared" si="143"/>
        <v>0.92064923354373307</v>
      </c>
      <c r="AF90" s="39">
        <f t="shared" si="143"/>
        <v>0.90801457194899815</v>
      </c>
      <c r="AG90" s="39">
        <f t="shared" si="143"/>
        <v>1.2490875912408759</v>
      </c>
      <c r="AH90" s="39">
        <f t="shared" si="143"/>
        <v>0.94262295081967218</v>
      </c>
      <c r="AI90" s="39">
        <f t="shared" si="143"/>
        <v>0.61502782931354361</v>
      </c>
      <c r="AJ90" s="39">
        <f t="shared" si="143"/>
        <v>1.191588785046729</v>
      </c>
      <c r="AK90" s="39">
        <f t="shared" si="143"/>
        <v>1.5888993414863593</v>
      </c>
      <c r="AL90" s="39">
        <f t="shared" si="143"/>
        <v>1.6279287722586693</v>
      </c>
      <c r="AM90" s="39">
        <f t="shared" si="143"/>
        <v>0.90675547098001907</v>
      </c>
      <c r="AN90" s="39">
        <f t="shared" si="143"/>
        <v>1.3413231064237776</v>
      </c>
      <c r="AO90" s="39">
        <f t="shared" si="143"/>
        <v>2.2025072324011572</v>
      </c>
      <c r="AP90" s="39">
        <f t="shared" si="143"/>
        <v>1.2074927953890491</v>
      </c>
      <c r="AQ90" s="39">
        <f t="shared" si="143"/>
        <v>1.1978557504873295</v>
      </c>
      <c r="AR90" s="39">
        <f t="shared" si="143"/>
        <v>1.4166666666666667</v>
      </c>
      <c r="AS90" s="39">
        <f t="shared" si="143"/>
        <v>2.1944718657453111</v>
      </c>
      <c r="AT90" s="39">
        <f t="shared" si="143"/>
        <v>2.8161258603736479</v>
      </c>
      <c r="AU90" s="39">
        <f t="shared" si="143"/>
        <v>1.7194029850746269</v>
      </c>
      <c r="AV90" s="39">
        <f t="shared" si="143"/>
        <v>1.3824701195219125</v>
      </c>
      <c r="AW90" s="39">
        <f t="shared" si="143"/>
        <v>1.5734265734265733</v>
      </c>
      <c r="AX90" s="39">
        <f t="shared" si="143"/>
        <v>2.1896207584830338</v>
      </c>
      <c r="AY90" s="39">
        <f t="shared" si="143"/>
        <v>1.4064386317907445</v>
      </c>
      <c r="AZ90" s="39">
        <f t="shared" si="143"/>
        <v>2.209090909090909</v>
      </c>
      <c r="BA90" s="39">
        <f t="shared" si="143"/>
        <v>2.4381338742393508</v>
      </c>
      <c r="BB90" s="39">
        <f t="shared" si="143"/>
        <v>3.1042510121457489</v>
      </c>
      <c r="BC90" s="39">
        <f t="shared" si="143"/>
        <v>1.6745138178096213</v>
      </c>
      <c r="BD90" s="39">
        <f t="shared" si="143"/>
        <v>2.4737384140061791</v>
      </c>
      <c r="BE90" s="39">
        <f t="shared" si="143"/>
        <v>3.8808290155440415</v>
      </c>
      <c r="BF90" s="39">
        <f t="shared" si="143"/>
        <v>3.0681818181818183</v>
      </c>
      <c r="BG90" s="39">
        <f t="shared" si="143"/>
        <v>1.8982161594963274</v>
      </c>
      <c r="BH90" s="39">
        <f t="shared" si="143"/>
        <v>2.7674418604651163</v>
      </c>
      <c r="BI90" s="39">
        <f t="shared" si="143"/>
        <v>3.3251859723698192</v>
      </c>
      <c r="BJ90" s="39">
        <f t="shared" si="143"/>
        <v>4.2934322033898304</v>
      </c>
      <c r="BK90" s="39">
        <f t="shared" si="143"/>
        <v>1.6237942122186495</v>
      </c>
      <c r="BL90" s="39">
        <f t="shared" si="143"/>
        <v>3.2540365984930033</v>
      </c>
      <c r="BM90" s="39">
        <f t="shared" si="143"/>
        <v>5.4485373781148425</v>
      </c>
      <c r="BN90" s="39">
        <f t="shared" si="143"/>
        <v>5.1679389312977095</v>
      </c>
      <c r="BO90" s="39">
        <f>BO88/BO89</f>
        <v>2.4353070175438596</v>
      </c>
      <c r="BP90" s="39">
        <f>BP88/BP89</f>
        <v>5.0253303964757707</v>
      </c>
      <c r="BQ90" s="39">
        <f>BQ88/BQ89</f>
        <v>8.709856035437431</v>
      </c>
      <c r="CA90" s="39">
        <f t="shared" ref="CA90:CP90" si="144">CA88/CA89</f>
        <v>0.9523076923076923</v>
      </c>
      <c r="CB90" s="39">
        <f t="shared" si="144"/>
        <v>1.1824091778202677</v>
      </c>
      <c r="CC90" s="39">
        <f t="shared" si="144"/>
        <v>1.9589763625708145</v>
      </c>
      <c r="CD90" s="39">
        <f t="shared" si="144"/>
        <v>2.1696801112656465</v>
      </c>
      <c r="CE90" s="39">
        <f t="shared" si="144"/>
        <v>3.1598023064250413</v>
      </c>
      <c r="CF90" s="39">
        <f t="shared" si="144"/>
        <v>2.7671232876712328</v>
      </c>
      <c r="CG90" s="39">
        <f t="shared" si="144"/>
        <v>3.4496703296703295</v>
      </c>
      <c r="CH90" s="39">
        <f t="shared" si="144"/>
        <v>4.0190865712338102</v>
      </c>
      <c r="CI90" s="39">
        <f t="shared" si="144"/>
        <v>5.0154277699859744</v>
      </c>
      <c r="CJ90" s="39">
        <f t="shared" si="144"/>
        <v>5.6500479386385427</v>
      </c>
      <c r="CK90" s="39">
        <f t="shared" si="144"/>
        <v>7.6162904808635918</v>
      </c>
      <c r="CL90" s="39">
        <f t="shared" si="144"/>
        <v>6.8644067796610173</v>
      </c>
      <c r="CM90" s="39">
        <f t="shared" si="144"/>
        <v>9.1520970186963115</v>
      </c>
      <c r="CN90" s="39">
        <f t="shared" si="144"/>
        <v>11.082710641587219</v>
      </c>
      <c r="CO90" s="39">
        <f t="shared" si="144"/>
        <v>12.271670190274842</v>
      </c>
      <c r="CP90" s="39">
        <f t="shared" si="144"/>
        <v>15.424258760107817</v>
      </c>
    </row>
  </sheetData>
  <mergeCells count="1">
    <mergeCell ref="CY65:CZ65"/>
  </mergeCells>
  <conditionalFormatting sqref="CY65:CZ6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Sell",CY65)))</formula>
    </cfRule>
    <cfRule type="containsText" dxfId="3" priority="3" operator="containsText" text="Sell">
      <formula>NOT(ISERROR(SEARCH("Sell",CY65)))</formula>
    </cfRule>
    <cfRule type="containsText" dxfId="2" priority="4" operator="containsText" text="Hold">
      <formula>NOT(ISERROR(SEARCH("Hold",CY65)))</formula>
    </cfRule>
    <cfRule type="beginsWith" dxfId="1" priority="5" operator="beginsWith" text="Buy">
      <formula>LEFT(CY65,LEN("Buy"))="Buy"</formula>
    </cfRule>
    <cfRule type="beginsWith" dxfId="0" priority="6" operator="beginsWith" text="Strong">
      <formula>LEFT(CY65,LEN("Strong"))="Strong"</formula>
    </cfRule>
  </conditionalFormatting>
  <pageMargins left="0.7" right="0.7" top="0.75" bottom="0.75" header="0.3" footer="0.3"/>
  <ignoredErrors>
    <ignoredError sqref="AY41:BN41 CR10:CZ10" evalError="1"/>
    <ignoredError sqref="CA86:CP88 CA26:CP39 CA41:CP41 BR79:BZ81 AY79:BO81 BP79:BP81 BQ79:BQ80 CA79:CU81" formulaRange="1"/>
    <ignoredError sqref="CA40:CP40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621"/>
  <sheetViews>
    <sheetView topLeftCell="H57" zoomScale="85" zoomScaleNormal="85" workbookViewId="0">
      <selection activeCell="Z127" sqref="Z127"/>
    </sheetView>
  </sheetViews>
  <sheetFormatPr defaultRowHeight="14.25"/>
  <cols>
    <col min="1" max="7" width="9.140625" style="1" hidden="1" customWidth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1423</v>
      </c>
      <c r="AD2" s="2" t="s">
        <v>138</v>
      </c>
    </row>
    <row r="31" spans="9:10">
      <c r="I31" s="1" t="s">
        <v>15</v>
      </c>
      <c r="J31" s="1" t="s">
        <v>16</v>
      </c>
    </row>
    <row r="32" spans="9:10">
      <c r="J32" s="1" t="s">
        <v>17</v>
      </c>
    </row>
    <row r="33" spans="8:30">
      <c r="J33" s="1" t="s">
        <v>18</v>
      </c>
    </row>
    <row r="35" spans="8:30" ht="15">
      <c r="H35" s="2" t="s">
        <v>1424</v>
      </c>
    </row>
    <row r="36" spans="8:30" ht="15">
      <c r="AD36" s="2" t="s">
        <v>139</v>
      </c>
    </row>
    <row r="37" spans="8:30" ht="15">
      <c r="AD37" s="2" t="s">
        <v>140</v>
      </c>
    </row>
    <row r="38" spans="8:30">
      <c r="AD38" s="1" t="s">
        <v>141</v>
      </c>
    </row>
    <row r="62" spans="9:10">
      <c r="I62" s="1" t="s">
        <v>15</v>
      </c>
      <c r="J62" s="1" t="s">
        <v>16</v>
      </c>
    </row>
    <row r="63" spans="9:10">
      <c r="J63" s="1" t="s">
        <v>17</v>
      </c>
    </row>
    <row r="64" spans="9:10">
      <c r="J64" s="1" t="s">
        <v>18</v>
      </c>
    </row>
    <row r="66" spans="8:30" ht="15">
      <c r="H66" s="2" t="s">
        <v>1426</v>
      </c>
      <c r="AD66" s="2" t="s">
        <v>142</v>
      </c>
    </row>
    <row r="67" spans="8:30">
      <c r="AD67" s="1" t="s">
        <v>143</v>
      </c>
    </row>
    <row r="98" spans="8:30">
      <c r="I98" s="1" t="s">
        <v>15</v>
      </c>
      <c r="J98" s="1" t="s">
        <v>16</v>
      </c>
    </row>
    <row r="99" spans="8:30">
      <c r="J99" s="1" t="s">
        <v>17</v>
      </c>
    </row>
    <row r="100" spans="8:30">
      <c r="J100" s="1" t="s">
        <v>18</v>
      </c>
    </row>
    <row r="102" spans="8:30" ht="15">
      <c r="H102" s="2" t="s">
        <v>1506</v>
      </c>
      <c r="AD102" s="2" t="s">
        <v>144</v>
      </c>
    </row>
    <row r="103" spans="8:30">
      <c r="AD103" s="1" t="s">
        <v>145</v>
      </c>
    </row>
    <row r="131" spans="8:10">
      <c r="I131" s="1" t="s">
        <v>15</v>
      </c>
      <c r="J131" s="1" t="s">
        <v>16</v>
      </c>
    </row>
    <row r="132" spans="8:10">
      <c r="J132" s="1" t="s">
        <v>17</v>
      </c>
    </row>
    <row r="133" spans="8:10">
      <c r="J133" s="1" t="s">
        <v>18</v>
      </c>
    </row>
    <row r="135" spans="8:10" ht="15">
      <c r="H135" s="2" t="s">
        <v>1505</v>
      </c>
    </row>
    <row r="164" spans="8:10">
      <c r="I164" s="1" t="s">
        <v>15</v>
      </c>
      <c r="J164" s="1" t="s">
        <v>16</v>
      </c>
    </row>
    <row r="165" spans="8:10">
      <c r="J165" s="1" t="s">
        <v>17</v>
      </c>
    </row>
    <row r="166" spans="8:10">
      <c r="J166" s="1" t="s">
        <v>18</v>
      </c>
    </row>
    <row r="168" spans="8:10" ht="15">
      <c r="H168" s="2" t="s">
        <v>1425</v>
      </c>
    </row>
    <row r="186" spans="1:7">
      <c r="A186" s="1" t="s">
        <v>1421</v>
      </c>
    </row>
    <row r="187" spans="1:7">
      <c r="A187" s="24" t="s">
        <v>19</v>
      </c>
      <c r="B187" s="24" t="s">
        <v>20</v>
      </c>
      <c r="C187" s="24" t="s">
        <v>21</v>
      </c>
      <c r="D187" s="24" t="s">
        <v>22</v>
      </c>
      <c r="E187" s="24" t="s">
        <v>23</v>
      </c>
      <c r="F187" s="24" t="s">
        <v>24</v>
      </c>
      <c r="G187" s="24" t="s">
        <v>25</v>
      </c>
    </row>
    <row r="188" spans="1:7">
      <c r="A188" s="44">
        <v>542.35</v>
      </c>
      <c r="B188" s="44">
        <v>543.13</v>
      </c>
      <c r="C188" s="44">
        <v>527.572</v>
      </c>
      <c r="D188" s="44">
        <v>531.41999999999996</v>
      </c>
      <c r="E188" s="44">
        <v>3681133</v>
      </c>
      <c r="F188" s="44" t="s">
        <v>165</v>
      </c>
      <c r="G188" s="25">
        <f>A188/D188-1</f>
        <v>2.0567536035527523E-2</v>
      </c>
    </row>
    <row r="189" spans="1:7">
      <c r="A189" s="44">
        <v>532.97</v>
      </c>
      <c r="B189" s="44">
        <v>538.34</v>
      </c>
      <c r="C189" s="44">
        <v>527.33000000000004</v>
      </c>
      <c r="D189" s="44">
        <v>536.93499999999995</v>
      </c>
      <c r="E189" s="44">
        <v>8200523</v>
      </c>
      <c r="F189" s="44" t="s">
        <v>166</v>
      </c>
      <c r="G189" s="25">
        <f t="shared" ref="G189:G252" si="0">A189/D189-1</f>
        <v>-7.3845065045116121E-3</v>
      </c>
    </row>
    <row r="190" spans="1:7">
      <c r="A190" s="44">
        <v>538.73</v>
      </c>
      <c r="B190" s="44">
        <v>571.08000000000004</v>
      </c>
      <c r="C190" s="44">
        <v>534.16</v>
      </c>
      <c r="D190" s="44">
        <v>570.88</v>
      </c>
      <c r="E190" s="44">
        <v>6966763</v>
      </c>
      <c r="F190" s="44" t="s">
        <v>167</v>
      </c>
      <c r="G190" s="25">
        <f t="shared" si="0"/>
        <v>-5.6316563901345207E-2</v>
      </c>
    </row>
    <row r="191" spans="1:7">
      <c r="A191" s="44">
        <v>569.45000000000005</v>
      </c>
      <c r="B191" s="44">
        <v>571.29</v>
      </c>
      <c r="C191" s="44">
        <v>564</v>
      </c>
      <c r="D191" s="44">
        <v>564.72</v>
      </c>
      <c r="E191" s="44">
        <v>2246568</v>
      </c>
      <c r="F191" s="44" t="s">
        <v>168</v>
      </c>
      <c r="G191" s="25">
        <f t="shared" si="0"/>
        <v>8.3758322708600286E-3</v>
      </c>
    </row>
    <row r="192" spans="1:7">
      <c r="A192" s="44">
        <v>568.66999999999996</v>
      </c>
      <c r="B192" s="44">
        <v>575</v>
      </c>
      <c r="C192" s="44">
        <v>562.64</v>
      </c>
      <c r="D192" s="44">
        <v>563.9</v>
      </c>
      <c r="E192" s="44">
        <v>3108184</v>
      </c>
      <c r="F192" s="44" t="s">
        <v>169</v>
      </c>
      <c r="G192" s="25">
        <f t="shared" si="0"/>
        <v>8.4589466217415143E-3</v>
      </c>
    </row>
    <row r="193" spans="1:16">
      <c r="A193" s="44">
        <v>562.03</v>
      </c>
      <c r="B193" s="44">
        <v>575.24</v>
      </c>
      <c r="C193" s="44">
        <v>552.51009999999997</v>
      </c>
      <c r="D193" s="44">
        <v>572.86</v>
      </c>
      <c r="E193" s="44">
        <v>5905376</v>
      </c>
      <c r="F193" s="44" t="s">
        <v>170</v>
      </c>
      <c r="G193" s="25">
        <f t="shared" si="0"/>
        <v>-1.8905142617742676E-2</v>
      </c>
    </row>
    <row r="194" spans="1:16">
      <c r="A194" s="44">
        <v>589.28</v>
      </c>
      <c r="B194" s="44">
        <v>590.66999999999996</v>
      </c>
      <c r="C194" s="44">
        <v>584.55999999999995</v>
      </c>
      <c r="D194" s="44">
        <v>589.42999999999995</v>
      </c>
      <c r="E194" s="44">
        <v>1984130</v>
      </c>
      <c r="F194" s="44" t="s">
        <v>171</v>
      </c>
      <c r="G194" s="25">
        <f t="shared" si="0"/>
        <v>-2.544831447329754E-4</v>
      </c>
    </row>
    <row r="195" spans="1:16">
      <c r="A195" s="44">
        <v>590.74</v>
      </c>
      <c r="B195" s="44">
        <v>594.71</v>
      </c>
      <c r="C195" s="44">
        <v>587.6</v>
      </c>
      <c r="D195" s="44">
        <v>590.32000000000005</v>
      </c>
      <c r="E195" s="44">
        <v>2238225</v>
      </c>
      <c r="F195" s="44" t="s">
        <v>172</v>
      </c>
      <c r="G195" s="25">
        <f t="shared" si="0"/>
        <v>7.1147852012454216E-4</v>
      </c>
    </row>
    <row r="196" spans="1:16">
      <c r="A196" s="44">
        <v>589.54</v>
      </c>
      <c r="B196" s="44">
        <v>589.87</v>
      </c>
      <c r="C196" s="44">
        <v>583.16</v>
      </c>
      <c r="D196" s="44">
        <v>584.65</v>
      </c>
      <c r="E196" s="44">
        <v>2133984</v>
      </c>
      <c r="F196" s="44" t="s">
        <v>173</v>
      </c>
      <c r="G196" s="25">
        <f t="shared" si="0"/>
        <v>8.3639784486444491E-3</v>
      </c>
    </row>
    <row r="197" spans="1:16">
      <c r="A197" s="44">
        <v>584.33000000000004</v>
      </c>
      <c r="B197" s="44">
        <v>590</v>
      </c>
      <c r="C197" s="44">
        <v>580</v>
      </c>
      <c r="D197" s="44">
        <v>588.74</v>
      </c>
      <c r="E197" s="44">
        <v>1936070</v>
      </c>
      <c r="F197" s="44" t="s">
        <v>174</v>
      </c>
      <c r="G197" s="25">
        <f t="shared" si="0"/>
        <v>-7.4905730882901533E-3</v>
      </c>
    </row>
    <row r="198" spans="1:16">
      <c r="A198" s="44">
        <v>590.12</v>
      </c>
      <c r="B198" s="44">
        <v>591.15899999999999</v>
      </c>
      <c r="C198" s="44">
        <v>586.04</v>
      </c>
      <c r="D198" s="44">
        <v>587.91</v>
      </c>
      <c r="E198" s="44">
        <v>1528700</v>
      </c>
      <c r="F198" s="44" t="s">
        <v>175</v>
      </c>
      <c r="G198" s="25">
        <f t="shared" si="0"/>
        <v>3.7590787705601425E-3</v>
      </c>
      <c r="I198" s="26"/>
      <c r="J198" s="26" t="s">
        <v>26</v>
      </c>
      <c r="K198" s="27">
        <f>MIN(G188:G1443)</f>
        <v>-6.2405081741370938E-2</v>
      </c>
      <c r="M198" s="1" t="s">
        <v>1507</v>
      </c>
    </row>
    <row r="199" spans="1:16">
      <c r="A199" s="44">
        <v>585.44000000000005</v>
      </c>
      <c r="B199" s="44">
        <v>586.68619999999999</v>
      </c>
      <c r="C199" s="44">
        <v>582.63</v>
      </c>
      <c r="D199" s="44">
        <v>586.30999999999995</v>
      </c>
      <c r="E199" s="44">
        <v>1480192</v>
      </c>
      <c r="F199" s="44" t="s">
        <v>176</v>
      </c>
      <c r="G199" s="25">
        <f t="shared" si="0"/>
        <v>-1.4838566628573302E-3</v>
      </c>
      <c r="I199" s="26"/>
      <c r="J199" s="26" t="s">
        <v>27</v>
      </c>
      <c r="K199" s="27">
        <f>MAX(G188:G1443)</f>
        <v>0.1432997045668658</v>
      </c>
    </row>
    <row r="200" spans="1:16">
      <c r="A200" s="44">
        <v>584.13</v>
      </c>
      <c r="B200" s="44">
        <v>586.85</v>
      </c>
      <c r="C200" s="44">
        <v>582.22</v>
      </c>
      <c r="D200" s="44">
        <v>584.16999999999996</v>
      </c>
      <c r="E200" s="44">
        <v>1530210</v>
      </c>
      <c r="F200" s="44" t="s">
        <v>177</v>
      </c>
      <c r="G200" s="25">
        <f t="shared" si="0"/>
        <v>-6.8473218412412606E-5</v>
      </c>
      <c r="I200" s="26"/>
      <c r="J200" s="26" t="s">
        <v>28</v>
      </c>
      <c r="K200" s="27">
        <f>AVERAGE(G188:G1443)</f>
        <v>4.6102192849575065E-4</v>
      </c>
    </row>
    <row r="201" spans="1:16">
      <c r="A201" s="44">
        <v>581.97</v>
      </c>
      <c r="B201" s="44">
        <v>582.53</v>
      </c>
      <c r="C201" s="44">
        <v>573.44000000000005</v>
      </c>
      <c r="D201" s="44">
        <v>579.87</v>
      </c>
      <c r="E201" s="44">
        <v>2116891</v>
      </c>
      <c r="F201" s="44" t="s">
        <v>178</v>
      </c>
      <c r="G201" s="25">
        <f t="shared" si="0"/>
        <v>3.6215013709970378E-3</v>
      </c>
      <c r="I201" s="26"/>
      <c r="J201" s="26" t="s">
        <v>29</v>
      </c>
      <c r="K201" s="27">
        <f>MEDIAN(G188:G1443)</f>
        <v>9.1035936793781858E-4</v>
      </c>
    </row>
    <row r="202" spans="1:16" ht="15">
      <c r="A202" s="44">
        <v>581.22</v>
      </c>
      <c r="B202" s="44">
        <v>581.82000000000005</v>
      </c>
      <c r="C202" s="44">
        <v>574.77660000000003</v>
      </c>
      <c r="D202" s="44">
        <v>580.5</v>
      </c>
      <c r="E202" s="44">
        <v>2089236</v>
      </c>
      <c r="F202" s="44" t="s">
        <v>179</v>
      </c>
      <c r="G202" s="25">
        <f t="shared" si="0"/>
        <v>1.2403100775193465E-3</v>
      </c>
      <c r="I202" s="26"/>
      <c r="J202" s="26" t="s">
        <v>30</v>
      </c>
      <c r="K202" s="27">
        <f>_xlfn.STDEV.P(G188:G1443)</f>
        <v>1.3907760908840501E-2</v>
      </c>
      <c r="M202" s="2"/>
    </row>
    <row r="203" spans="1:16" ht="15">
      <c r="A203" s="44">
        <v>585.6</v>
      </c>
      <c r="B203" s="44">
        <v>585.6</v>
      </c>
      <c r="C203" s="44">
        <v>576.51</v>
      </c>
      <c r="D203" s="44">
        <v>576.77499999999998</v>
      </c>
      <c r="E203" s="44">
        <v>4581210</v>
      </c>
      <c r="F203" s="44" t="s">
        <v>180</v>
      </c>
      <c r="G203" s="25">
        <f t="shared" si="0"/>
        <v>1.5300593819080222E-2</v>
      </c>
      <c r="I203" s="26"/>
      <c r="J203" s="28" t="s">
        <v>31</v>
      </c>
      <c r="K203" s="27">
        <f>3*K202</f>
        <v>4.1723282726521503E-2</v>
      </c>
      <c r="L203" s="26"/>
      <c r="M203" s="2" t="s">
        <v>157</v>
      </c>
    </row>
    <row r="204" spans="1:16" ht="15">
      <c r="A204" s="44">
        <v>577.78</v>
      </c>
      <c r="B204" s="44">
        <v>578.58000000000004</v>
      </c>
      <c r="C204" s="44">
        <v>572.94000000000005</v>
      </c>
      <c r="D204" s="44">
        <v>575.88</v>
      </c>
      <c r="E204" s="44">
        <v>1347855</v>
      </c>
      <c r="F204" s="44" t="s">
        <v>181</v>
      </c>
      <c r="G204" s="25">
        <f t="shared" si="0"/>
        <v>3.2992984649580226E-3</v>
      </c>
      <c r="I204" s="26"/>
      <c r="J204" s="28" t="s">
        <v>32</v>
      </c>
      <c r="K204" s="26">
        <v>1.05</v>
      </c>
      <c r="L204" s="26"/>
      <c r="M204" s="2" t="s">
        <v>33</v>
      </c>
    </row>
    <row r="205" spans="1:16">
      <c r="A205" s="44">
        <v>575.91999999999996</v>
      </c>
      <c r="B205" s="44">
        <v>578.84</v>
      </c>
      <c r="C205" s="44">
        <v>572.94000000000005</v>
      </c>
      <c r="D205" s="44">
        <v>574.58000000000004</v>
      </c>
      <c r="E205" s="44">
        <v>1702931</v>
      </c>
      <c r="F205" s="44" t="s">
        <v>182</v>
      </c>
      <c r="G205" s="25">
        <f t="shared" si="0"/>
        <v>2.3321382575096639E-3</v>
      </c>
    </row>
    <row r="206" spans="1:16">
      <c r="A206" s="44">
        <v>574.54999999999995</v>
      </c>
      <c r="B206" s="44">
        <v>574.55999999999995</v>
      </c>
      <c r="C206" s="44">
        <v>566.49</v>
      </c>
      <c r="D206" s="44">
        <v>566.82000000000005</v>
      </c>
      <c r="E206" s="44">
        <v>2655236</v>
      </c>
      <c r="F206" s="44" t="s">
        <v>183</v>
      </c>
      <c r="G206" s="25">
        <f t="shared" si="0"/>
        <v>1.3637486327228832E-2</v>
      </c>
    </row>
    <row r="207" spans="1:16">
      <c r="A207" s="44">
        <v>563.58000000000004</v>
      </c>
      <c r="B207" s="44">
        <v>567.54999999999995</v>
      </c>
      <c r="C207" s="44">
        <v>562.51</v>
      </c>
      <c r="D207" s="44">
        <v>564.49</v>
      </c>
      <c r="E207" s="44">
        <v>1948806</v>
      </c>
      <c r="F207" s="44" t="s">
        <v>184</v>
      </c>
      <c r="G207" s="25">
        <f t="shared" si="0"/>
        <v>-1.6120746160250832E-3</v>
      </c>
      <c r="I207" s="29" t="s">
        <v>34</v>
      </c>
      <c r="J207" s="30">
        <v>1256</v>
      </c>
    </row>
    <row r="208" spans="1:16" ht="15" thickBot="1">
      <c r="A208" s="44">
        <v>570.14</v>
      </c>
      <c r="B208" s="44">
        <v>573.15620000000001</v>
      </c>
      <c r="C208" s="44">
        <v>566.92999999999995</v>
      </c>
      <c r="D208" s="44">
        <v>568.66</v>
      </c>
      <c r="E208" s="44">
        <v>1869858</v>
      </c>
      <c r="F208" s="44" t="s">
        <v>185</v>
      </c>
      <c r="G208" s="25">
        <f t="shared" si="0"/>
        <v>2.602609643723941E-3</v>
      </c>
      <c r="I208" s="1" t="s">
        <v>35</v>
      </c>
      <c r="L208" s="1" t="s">
        <v>36</v>
      </c>
      <c r="P208" s="1" t="s">
        <v>37</v>
      </c>
    </row>
    <row r="209" spans="1:17" ht="15" customHeight="1">
      <c r="A209" s="44">
        <v>569.54</v>
      </c>
      <c r="B209" s="44">
        <v>579</v>
      </c>
      <c r="C209" s="44">
        <v>567.1</v>
      </c>
      <c r="D209" s="44">
        <v>576.46</v>
      </c>
      <c r="E209" s="44">
        <v>2505290</v>
      </c>
      <c r="F209" s="44" t="s">
        <v>186</v>
      </c>
      <c r="G209" s="25">
        <f t="shared" si="0"/>
        <v>-1.2004302119834942E-2</v>
      </c>
      <c r="I209" s="46" t="s">
        <v>38</v>
      </c>
      <c r="J209" s="46" t="s">
        <v>39</v>
      </c>
      <c r="L209" s="31" t="s">
        <v>40</v>
      </c>
      <c r="M209" s="32" t="s">
        <v>41</v>
      </c>
      <c r="P209" s="31" t="s">
        <v>42</v>
      </c>
      <c r="Q209" s="32" t="s">
        <v>43</v>
      </c>
    </row>
    <row r="210" spans="1:17" ht="15">
      <c r="A210" s="44">
        <v>581.11</v>
      </c>
      <c r="B210" s="44">
        <v>583.99</v>
      </c>
      <c r="C210" s="44">
        <v>576.84500000000003</v>
      </c>
      <c r="D210" s="44">
        <v>581.24</v>
      </c>
      <c r="E210" s="44">
        <v>1964340</v>
      </c>
      <c r="F210" s="44" t="s">
        <v>187</v>
      </c>
      <c r="G210" s="25">
        <f t="shared" si="0"/>
        <v>-2.2365976188831738E-4</v>
      </c>
      <c r="I210" s="47">
        <v>-4.2500000000000003E-2</v>
      </c>
      <c r="J210">
        <v>1</v>
      </c>
      <c r="L210" s="47">
        <v>-4.4999999999999998E-2</v>
      </c>
      <c r="M210" s="1">
        <f t="shared" ref="M210:M246" si="1">_xlfn.NORM.DIST(L210,$K$200,$K$202,FALSE)</f>
        <v>0.13724326827106201</v>
      </c>
      <c r="O210" s="1" t="s">
        <v>148</v>
      </c>
      <c r="P210" s="47">
        <f>K200</f>
        <v>4.6102192849575065E-4</v>
      </c>
      <c r="Q210" s="1">
        <v>0</v>
      </c>
    </row>
    <row r="211" spans="1:17" ht="15">
      <c r="A211" s="44">
        <v>586.41</v>
      </c>
      <c r="B211" s="44">
        <v>588.45000000000005</v>
      </c>
      <c r="C211" s="44">
        <v>580.48</v>
      </c>
      <c r="D211" s="44">
        <v>581.01499999999999</v>
      </c>
      <c r="E211" s="44">
        <v>1875629</v>
      </c>
      <c r="F211" s="44" t="s">
        <v>188</v>
      </c>
      <c r="G211" s="25">
        <f t="shared" si="0"/>
        <v>9.285474557455542E-3</v>
      </c>
      <c r="I211" s="47">
        <v>-0.04</v>
      </c>
      <c r="J211">
        <v>3</v>
      </c>
      <c r="L211" s="47">
        <v>-4.2500000000000003E-2</v>
      </c>
      <c r="M211" s="1">
        <f t="shared" si="1"/>
        <v>0.24302782533435716</v>
      </c>
      <c r="P211" s="47">
        <f>K200</f>
        <v>4.6102192849575065E-4</v>
      </c>
      <c r="Q211" s="1">
        <v>30</v>
      </c>
    </row>
    <row r="212" spans="1:17" ht="15">
      <c r="A212" s="44">
        <v>583.28</v>
      </c>
      <c r="B212" s="44">
        <v>584.28499999999997</v>
      </c>
      <c r="C212" s="44">
        <v>580.42999999999995</v>
      </c>
      <c r="D212" s="44">
        <v>580.42999999999995</v>
      </c>
      <c r="E212" s="44">
        <v>2225883</v>
      </c>
      <c r="F212" s="44" t="s">
        <v>189</v>
      </c>
      <c r="G212" s="25">
        <f t="shared" si="0"/>
        <v>4.9101528177386555E-3</v>
      </c>
      <c r="I212" s="47">
        <v>-3.7499999999999999E-2</v>
      </c>
      <c r="J212">
        <v>2</v>
      </c>
      <c r="L212" s="47">
        <v>-0.04</v>
      </c>
      <c r="M212" s="1">
        <f t="shared" si="1"/>
        <v>0.41666591050850954</v>
      </c>
      <c r="O212" s="38" t="s">
        <v>149</v>
      </c>
      <c r="P212" s="47">
        <f>($K$202*-3)+$K$200</f>
        <v>-4.1262260798025752E-2</v>
      </c>
      <c r="Q212" s="1">
        <v>0</v>
      </c>
    </row>
    <row r="213" spans="1:17" ht="15">
      <c r="A213" s="44">
        <v>582.20000000000005</v>
      </c>
      <c r="B213" s="44">
        <v>583.04</v>
      </c>
      <c r="C213" s="44">
        <v>573.65</v>
      </c>
      <c r="D213" s="44">
        <v>574.13</v>
      </c>
      <c r="E213" s="44">
        <v>2034253</v>
      </c>
      <c r="F213" s="44" t="s">
        <v>190</v>
      </c>
      <c r="G213" s="25">
        <f t="shared" si="0"/>
        <v>1.4056050023513844E-2</v>
      </c>
      <c r="I213" s="47">
        <v>-3.5000000000000003E-2</v>
      </c>
      <c r="J213">
        <v>6</v>
      </c>
      <c r="L213" s="47">
        <v>-3.7499999999999999E-2</v>
      </c>
      <c r="M213" s="1">
        <f t="shared" si="1"/>
        <v>0.69165092141678586</v>
      </c>
      <c r="O213" s="39"/>
      <c r="P213" s="47">
        <f>($K$202*-3)+$K$200</f>
        <v>-4.1262260798025752E-2</v>
      </c>
      <c r="Q213" s="1">
        <v>5</v>
      </c>
    </row>
    <row r="214" spans="1:17" ht="15">
      <c r="A214" s="44">
        <v>573.28</v>
      </c>
      <c r="B214" s="44">
        <v>578.64</v>
      </c>
      <c r="C214" s="44">
        <v>572.28</v>
      </c>
      <c r="D214" s="44">
        <v>578.27</v>
      </c>
      <c r="E214" s="44">
        <v>2237681</v>
      </c>
      <c r="F214" s="44" t="s">
        <v>191</v>
      </c>
      <c r="G214" s="25">
        <f t="shared" si="0"/>
        <v>-8.629187057948684E-3</v>
      </c>
      <c r="I214" s="47">
        <v>-3.2500000000000001E-2</v>
      </c>
      <c r="J214">
        <v>5</v>
      </c>
      <c r="L214" s="47">
        <v>-3.5000000000000003E-2</v>
      </c>
      <c r="M214" s="1">
        <f t="shared" si="1"/>
        <v>1.1116113433657602</v>
      </c>
      <c r="O214" s="38" t="s">
        <v>150</v>
      </c>
      <c r="P214" s="47">
        <f>($K$202*-2)+$K$200</f>
        <v>-2.7354499889185251E-2</v>
      </c>
      <c r="Q214" s="1">
        <v>0</v>
      </c>
    </row>
    <row r="215" spans="1:17" ht="15">
      <c r="A215" s="44">
        <v>576.59</v>
      </c>
      <c r="B215" s="44">
        <v>582.86</v>
      </c>
      <c r="C215" s="44">
        <v>575.79999999999995</v>
      </c>
      <c r="D215" s="44">
        <v>578</v>
      </c>
      <c r="E215" s="44">
        <v>2370233</v>
      </c>
      <c r="F215" s="44" t="s">
        <v>192</v>
      </c>
      <c r="G215" s="25">
        <f t="shared" si="0"/>
        <v>-2.4394463667819499E-3</v>
      </c>
      <c r="I215" s="47">
        <v>-0.03</v>
      </c>
      <c r="J215">
        <v>4</v>
      </c>
      <c r="L215" s="47">
        <v>-3.2500000000000001E-2</v>
      </c>
      <c r="M215" s="1">
        <f t="shared" si="1"/>
        <v>1.7297605981620188</v>
      </c>
      <c r="O215" s="39"/>
      <c r="P215" s="47">
        <f>($K$202*-2)+$K$200</f>
        <v>-2.7354499889185251E-2</v>
      </c>
      <c r="Q215" s="1">
        <v>10</v>
      </c>
    </row>
    <row r="216" spans="1:17" ht="15">
      <c r="A216" s="44">
        <v>578.27</v>
      </c>
      <c r="B216" s="44">
        <v>580.79</v>
      </c>
      <c r="C216" s="44">
        <v>566.42999999999995</v>
      </c>
      <c r="D216" s="44">
        <v>580</v>
      </c>
      <c r="E216" s="44">
        <v>3000439</v>
      </c>
      <c r="F216" s="44" t="s">
        <v>193</v>
      </c>
      <c r="G216" s="25">
        <f t="shared" si="0"/>
        <v>-2.9827586206896406E-3</v>
      </c>
      <c r="I216" s="47">
        <v>-2.75E-2</v>
      </c>
      <c r="J216">
        <v>5</v>
      </c>
      <c r="L216" s="47">
        <v>-0.03</v>
      </c>
      <c r="M216" s="1">
        <f t="shared" si="1"/>
        <v>2.6060698438780325</v>
      </c>
      <c r="O216" s="40" t="s">
        <v>151</v>
      </c>
      <c r="P216" s="47">
        <f>($K$202*-1)+$K$200</f>
        <v>-1.344673898034475E-2</v>
      </c>
      <c r="Q216" s="1">
        <v>0</v>
      </c>
    </row>
    <row r="217" spans="1:17" ht="15">
      <c r="A217" s="44">
        <v>568.64</v>
      </c>
      <c r="B217" s="44">
        <v>569.57500000000005</v>
      </c>
      <c r="C217" s="44">
        <v>564.6</v>
      </c>
      <c r="D217" s="44">
        <v>567.45000000000005</v>
      </c>
      <c r="E217" s="44">
        <v>1528128</v>
      </c>
      <c r="F217" s="44" t="s">
        <v>194</v>
      </c>
      <c r="G217" s="25">
        <f t="shared" si="0"/>
        <v>2.0971010661732237E-3</v>
      </c>
      <c r="I217" s="47">
        <v>-2.5000000000000001E-2</v>
      </c>
      <c r="J217">
        <v>9</v>
      </c>
      <c r="L217" s="47">
        <v>-2.75E-2</v>
      </c>
      <c r="M217" s="1">
        <f t="shared" si="1"/>
        <v>3.8014836047551324</v>
      </c>
      <c r="P217" s="47">
        <f>($K$202*-1)+$K$200</f>
        <v>-1.344673898034475E-2</v>
      </c>
      <c r="Q217" s="1">
        <v>20</v>
      </c>
    </row>
    <row r="218" spans="1:17" ht="15" customHeight="1">
      <c r="A218" s="44">
        <v>567.12</v>
      </c>
      <c r="B218" s="44">
        <v>573.87</v>
      </c>
      <c r="C218" s="44">
        <v>567</v>
      </c>
      <c r="D218" s="44">
        <v>569.45000000000005</v>
      </c>
      <c r="E218" s="44">
        <v>2004336</v>
      </c>
      <c r="F218" s="44" t="s">
        <v>195</v>
      </c>
      <c r="G218" s="25">
        <f t="shared" si="0"/>
        <v>-4.0916673983669716E-3</v>
      </c>
      <c r="I218" s="47">
        <v>-2.2499999999999999E-2</v>
      </c>
      <c r="J218">
        <v>13</v>
      </c>
      <c r="L218" s="47">
        <v>-2.5000000000000001E-2</v>
      </c>
      <c r="M218" s="1">
        <f t="shared" si="1"/>
        <v>5.3689234647974802</v>
      </c>
      <c r="O218" s="1" t="s">
        <v>152</v>
      </c>
      <c r="P218" s="47">
        <f>($K$202*1)+$K$200</f>
        <v>1.4368782837336253E-2</v>
      </c>
      <c r="Q218" s="1">
        <v>0</v>
      </c>
    </row>
    <row r="219" spans="1:17" ht="15">
      <c r="A219" s="44">
        <v>566.33000000000004</v>
      </c>
      <c r="B219" s="44">
        <v>567.23</v>
      </c>
      <c r="C219" s="44">
        <v>558.49</v>
      </c>
      <c r="D219" s="44">
        <v>559.27</v>
      </c>
      <c r="E219" s="44">
        <v>2493897</v>
      </c>
      <c r="F219" s="44" t="s">
        <v>196</v>
      </c>
      <c r="G219" s="25">
        <f t="shared" si="0"/>
        <v>1.262359861962925E-2</v>
      </c>
      <c r="I219" s="47">
        <v>-0.02</v>
      </c>
      <c r="J219">
        <v>17</v>
      </c>
      <c r="L219" s="47">
        <v>-2.2499999999999999E-2</v>
      </c>
      <c r="M219" s="1">
        <f t="shared" si="1"/>
        <v>7.3415595290591122</v>
      </c>
      <c r="P219" s="47">
        <f>($K$202*1)+$K$200</f>
        <v>1.4368782837336253E-2</v>
      </c>
      <c r="Q219" s="1">
        <v>20</v>
      </c>
    </row>
    <row r="220" spans="1:17" ht="15">
      <c r="A220" s="44">
        <v>558.99</v>
      </c>
      <c r="B220" s="44">
        <v>565.73500000000001</v>
      </c>
      <c r="C220" s="44">
        <v>556.1</v>
      </c>
      <c r="D220" s="44">
        <v>556.48</v>
      </c>
      <c r="E220" s="44">
        <v>2341849</v>
      </c>
      <c r="F220" s="44" t="s">
        <v>197</v>
      </c>
      <c r="G220" s="25">
        <f t="shared" si="0"/>
        <v>4.5104945370901817E-3</v>
      </c>
      <c r="I220" s="47">
        <v>-1.7500000000000002E-2</v>
      </c>
      <c r="J220">
        <v>20</v>
      </c>
      <c r="L220" s="47">
        <v>-0.02</v>
      </c>
      <c r="M220" s="1">
        <f t="shared" si="1"/>
        <v>9.7197804790342399</v>
      </c>
      <c r="O220" s="41" t="s">
        <v>153</v>
      </c>
      <c r="P220" s="47">
        <f>($K$202*2)+$K$200</f>
        <v>2.8276543746176754E-2</v>
      </c>
      <c r="Q220" s="1">
        <v>0</v>
      </c>
    </row>
    <row r="221" spans="1:17" ht="15">
      <c r="A221" s="44">
        <v>561.12</v>
      </c>
      <c r="B221" s="44">
        <v>564.54999999999995</v>
      </c>
      <c r="C221" s="44">
        <v>555.85</v>
      </c>
      <c r="D221" s="44">
        <v>557.80999999999995</v>
      </c>
      <c r="E221" s="44">
        <v>2131042</v>
      </c>
      <c r="F221" s="44" t="s">
        <v>198</v>
      </c>
      <c r="G221" s="25">
        <f t="shared" si="0"/>
        <v>5.9339201520232088E-3</v>
      </c>
      <c r="I221" s="47">
        <v>-1.4999999999999999E-2</v>
      </c>
      <c r="J221">
        <v>29</v>
      </c>
      <c r="L221" s="47">
        <v>-1.7500000000000002E-2</v>
      </c>
      <c r="M221" s="1">
        <f t="shared" si="1"/>
        <v>12.459241637156197</v>
      </c>
      <c r="P221" s="47">
        <f>($K$202*2)+$K$200</f>
        <v>2.8276543746176754E-2</v>
      </c>
      <c r="Q221" s="1">
        <v>10</v>
      </c>
    </row>
    <row r="222" spans="1:17" ht="15">
      <c r="A222" s="44">
        <v>559.39</v>
      </c>
      <c r="B222" s="44">
        <v>562.38</v>
      </c>
      <c r="C222" s="44">
        <v>554.98500000000001</v>
      </c>
      <c r="D222" s="44">
        <v>555.63</v>
      </c>
      <c r="E222" s="44">
        <v>2632713</v>
      </c>
      <c r="F222" s="44" t="s">
        <v>199</v>
      </c>
      <c r="G222" s="25">
        <f t="shared" si="0"/>
        <v>6.7670932095098557E-3</v>
      </c>
      <c r="I222" s="47">
        <v>-1.2500000000000001E-2</v>
      </c>
      <c r="J222">
        <v>47</v>
      </c>
      <c r="L222" s="47">
        <v>-1.4999999999999999E-2</v>
      </c>
      <c r="M222" s="1">
        <f t="shared" si="1"/>
        <v>15.46300090214841</v>
      </c>
      <c r="O222" s="41" t="s">
        <v>154</v>
      </c>
      <c r="P222" s="47">
        <f>($K$202*3)+$K$200</f>
        <v>4.2184304655017255E-2</v>
      </c>
      <c r="Q222" s="1">
        <v>0</v>
      </c>
    </row>
    <row r="223" spans="1:17" ht="15">
      <c r="A223" s="44">
        <v>546.63</v>
      </c>
      <c r="B223" s="44">
        <v>552.83000000000004</v>
      </c>
      <c r="C223" s="44">
        <v>539.72500000000002</v>
      </c>
      <c r="D223" s="44">
        <v>550</v>
      </c>
      <c r="E223" s="44">
        <v>2839922</v>
      </c>
      <c r="F223" s="44" t="s">
        <v>200</v>
      </c>
      <c r="G223" s="25">
        <f t="shared" si="0"/>
        <v>-6.127272727272759E-3</v>
      </c>
      <c r="I223" s="47">
        <v>-0.01</v>
      </c>
      <c r="J223">
        <v>58</v>
      </c>
      <c r="L223" s="47">
        <v>-1.2500000000000001E-2</v>
      </c>
      <c r="M223" s="1">
        <f t="shared" si="1"/>
        <v>18.580738620422867</v>
      </c>
      <c r="O223" s="41"/>
      <c r="P223" s="47">
        <f>($K$202*3)+$K$200</f>
        <v>4.2184304655017255E-2</v>
      </c>
      <c r="Q223" s="1">
        <v>5</v>
      </c>
    </row>
    <row r="224" spans="1:17" ht="15">
      <c r="A224" s="44">
        <v>548.05999999999995</v>
      </c>
      <c r="B224" s="44">
        <v>549.07000000000005</v>
      </c>
      <c r="C224" s="44">
        <v>529.55499999999995</v>
      </c>
      <c r="D224" s="44">
        <v>538.53</v>
      </c>
      <c r="E224" s="44">
        <v>3783491</v>
      </c>
      <c r="F224" s="44" t="s">
        <v>201</v>
      </c>
      <c r="G224" s="25">
        <f t="shared" si="0"/>
        <v>1.7696321467699061E-2</v>
      </c>
      <c r="I224" s="47">
        <v>-7.4999999999999997E-3</v>
      </c>
      <c r="J224">
        <v>66</v>
      </c>
      <c r="L224" s="47">
        <v>-0.01</v>
      </c>
      <c r="M224" s="1">
        <f t="shared" si="1"/>
        <v>21.617187385236392</v>
      </c>
    </row>
    <row r="225" spans="1:13" ht="15">
      <c r="A225" s="44">
        <v>539.67999999999995</v>
      </c>
      <c r="B225" s="44">
        <v>540.48</v>
      </c>
      <c r="C225" s="44">
        <v>533.41</v>
      </c>
      <c r="D225" s="44">
        <v>534.34</v>
      </c>
      <c r="E225" s="44">
        <v>2041487</v>
      </c>
      <c r="F225" s="44" t="s">
        <v>202</v>
      </c>
      <c r="G225" s="25">
        <f t="shared" si="0"/>
        <v>9.9936370101432193E-3</v>
      </c>
      <c r="I225" s="47">
        <v>-5.0000000000000001E-3</v>
      </c>
      <c r="J225">
        <v>67</v>
      </c>
      <c r="L225" s="47">
        <v>-7.4999999999999997E-3</v>
      </c>
      <c r="M225" s="1">
        <f t="shared" si="1"/>
        <v>24.350193720415469</v>
      </c>
    </row>
    <row r="226" spans="1:13" ht="15">
      <c r="A226" s="44">
        <v>534.49</v>
      </c>
      <c r="B226" s="44">
        <v>537.76</v>
      </c>
      <c r="C226" s="44">
        <v>530.5</v>
      </c>
      <c r="D226" s="44">
        <v>536.03</v>
      </c>
      <c r="E226" s="44">
        <v>1735531</v>
      </c>
      <c r="F226" s="44" t="s">
        <v>203</v>
      </c>
      <c r="G226" s="25">
        <f t="shared" si="0"/>
        <v>-2.8729735276009638E-3</v>
      </c>
      <c r="I226" s="47">
        <v>-2.5000000000000001E-3</v>
      </c>
      <c r="J226">
        <v>92</v>
      </c>
      <c r="L226" s="47">
        <v>-5.0000000000000001E-3</v>
      </c>
      <c r="M226" s="1">
        <f t="shared" si="1"/>
        <v>26.556612363645133</v>
      </c>
    </row>
    <row r="227" spans="1:13" ht="15">
      <c r="A227" s="44">
        <v>533.48</v>
      </c>
      <c r="B227" s="44">
        <v>536.91999999999996</v>
      </c>
      <c r="C227" s="44">
        <v>529.875</v>
      </c>
      <c r="D227" s="44">
        <v>535.46</v>
      </c>
      <c r="E227" s="44">
        <v>2006197</v>
      </c>
      <c r="F227" s="44" t="s">
        <v>204</v>
      </c>
      <c r="G227" s="25">
        <f t="shared" si="0"/>
        <v>-3.6977552011354664E-3</v>
      </c>
      <c r="I227" s="47">
        <v>0</v>
      </c>
      <c r="J227">
        <v>123</v>
      </c>
      <c r="L227" s="47">
        <v>-2.5000000000000001E-3</v>
      </c>
      <c r="M227" s="1">
        <f t="shared" si="1"/>
        <v>28.042062212616997</v>
      </c>
    </row>
    <row r="228" spans="1:13" ht="15">
      <c r="A228" s="44">
        <v>535.46</v>
      </c>
      <c r="B228" s="44">
        <v>536.04</v>
      </c>
      <c r="C228" s="44">
        <v>525.27</v>
      </c>
      <c r="D228" s="44">
        <v>528.69000000000005</v>
      </c>
      <c r="E228" s="44">
        <v>2209317</v>
      </c>
      <c r="F228" s="44" t="s">
        <v>205</v>
      </c>
      <c r="G228" s="25">
        <f t="shared" si="0"/>
        <v>1.2805235582288299E-2</v>
      </c>
      <c r="I228" s="47">
        <v>2.5000000000000001E-3</v>
      </c>
      <c r="J228">
        <v>126</v>
      </c>
      <c r="L228" s="47">
        <v>0</v>
      </c>
      <c r="M228" s="1">
        <f t="shared" si="1"/>
        <v>28.669112104913356</v>
      </c>
    </row>
    <row r="229" spans="1:13" ht="15">
      <c r="A229" s="44">
        <v>530.01</v>
      </c>
      <c r="B229" s="44">
        <v>543.94000000000005</v>
      </c>
      <c r="C229" s="44">
        <v>527.62</v>
      </c>
      <c r="D229" s="44">
        <v>537.74</v>
      </c>
      <c r="E229" s="44">
        <v>3051763</v>
      </c>
      <c r="F229" s="44" t="s">
        <v>206</v>
      </c>
      <c r="G229" s="25">
        <f t="shared" si="0"/>
        <v>-1.4374976754565449E-2</v>
      </c>
      <c r="I229" s="47">
        <v>5.0000000000000001E-3</v>
      </c>
      <c r="J229">
        <v>124</v>
      </c>
      <c r="L229" s="47">
        <v>2.5000000000000001E-3</v>
      </c>
      <c r="M229" s="1">
        <f t="shared" si="1"/>
        <v>28.378246551761677</v>
      </c>
    </row>
    <row r="230" spans="1:13" ht="15">
      <c r="A230" s="44">
        <v>527.33000000000004</v>
      </c>
      <c r="B230" s="44">
        <v>528.79999999999995</v>
      </c>
      <c r="C230" s="44">
        <v>512.75</v>
      </c>
      <c r="D230" s="44">
        <v>515.62</v>
      </c>
      <c r="E230" s="44">
        <v>2384004</v>
      </c>
      <c r="F230" s="44" t="s">
        <v>207</v>
      </c>
      <c r="G230" s="25">
        <f t="shared" si="0"/>
        <v>2.2710523253558934E-2</v>
      </c>
      <c r="I230" s="47">
        <v>7.4999999999999997E-3</v>
      </c>
      <c r="J230">
        <v>109</v>
      </c>
      <c r="L230" s="47">
        <v>5.0000000000000001E-3</v>
      </c>
      <c r="M230" s="1">
        <f t="shared" si="1"/>
        <v>27.197181064146505</v>
      </c>
    </row>
    <row r="231" spans="1:13" ht="15">
      <c r="A231" s="44">
        <v>509.32</v>
      </c>
      <c r="B231" s="44">
        <v>517.65</v>
      </c>
      <c r="C231" s="44">
        <v>503.54039999999998</v>
      </c>
      <c r="D231" s="44">
        <v>517</v>
      </c>
      <c r="E231" s="44">
        <v>3345566</v>
      </c>
      <c r="F231" s="44" t="s">
        <v>208</v>
      </c>
      <c r="G231" s="25">
        <f t="shared" si="0"/>
        <v>-1.4854932301740842E-2</v>
      </c>
      <c r="I231" s="47">
        <v>0.01</v>
      </c>
      <c r="J231">
        <v>97</v>
      </c>
      <c r="L231" s="47">
        <v>7.4999999999999997E-3</v>
      </c>
      <c r="M231" s="1">
        <f t="shared" si="1"/>
        <v>25.236507239658639</v>
      </c>
    </row>
    <row r="232" spans="1:13" ht="15">
      <c r="A232" s="44">
        <v>517.33000000000004</v>
      </c>
      <c r="B232" s="44">
        <v>523.98</v>
      </c>
      <c r="C232" s="44">
        <v>509.13</v>
      </c>
      <c r="D232" s="44">
        <v>510.95</v>
      </c>
      <c r="E232" s="44">
        <v>3329846</v>
      </c>
      <c r="F232" s="44" t="s">
        <v>209</v>
      </c>
      <c r="G232" s="25">
        <f t="shared" si="0"/>
        <v>1.2486544671690192E-2</v>
      </c>
      <c r="I232" s="47">
        <v>1.2500000000000001E-2</v>
      </c>
      <c r="J232">
        <v>51</v>
      </c>
      <c r="L232" s="47">
        <v>0.01</v>
      </c>
      <c r="M232" s="1">
        <f t="shared" si="1"/>
        <v>22.67261552888462</v>
      </c>
    </row>
    <row r="233" spans="1:13" ht="15">
      <c r="A233" s="44">
        <v>513.42999999999995</v>
      </c>
      <c r="B233" s="44">
        <v>521.72</v>
      </c>
      <c r="C233" s="44">
        <v>509.86500000000001</v>
      </c>
      <c r="D233" s="44">
        <v>516.04999999999995</v>
      </c>
      <c r="E233" s="44">
        <v>2501114</v>
      </c>
      <c r="F233" s="44" t="s">
        <v>210</v>
      </c>
      <c r="G233" s="25">
        <f t="shared" si="0"/>
        <v>-5.077027419823632E-3</v>
      </c>
      <c r="I233" s="47">
        <v>1.4999999999999999E-2</v>
      </c>
      <c r="J233">
        <v>56</v>
      </c>
      <c r="L233" s="47">
        <v>1.2500000000000001E-2</v>
      </c>
      <c r="M233" s="1">
        <f t="shared" si="1"/>
        <v>19.72154884184453</v>
      </c>
    </row>
    <row r="234" spans="1:13" ht="15">
      <c r="A234" s="44">
        <v>517.38</v>
      </c>
      <c r="B234" s="44">
        <v>521.28729999999996</v>
      </c>
      <c r="C234" s="44">
        <v>513.38</v>
      </c>
      <c r="D234" s="44">
        <v>513.4</v>
      </c>
      <c r="E234" s="44">
        <v>2211036</v>
      </c>
      <c r="F234" s="44" t="s">
        <v>211</v>
      </c>
      <c r="G234" s="25">
        <f t="shared" si="0"/>
        <v>7.7522399688352284E-3</v>
      </c>
      <c r="I234" s="47">
        <v>1.7500000000000002E-2</v>
      </c>
      <c r="J234">
        <v>29</v>
      </c>
      <c r="L234" s="47">
        <v>1.4999999999999999E-2</v>
      </c>
      <c r="M234" s="1">
        <f t="shared" si="1"/>
        <v>16.60915108774304</v>
      </c>
    </row>
    <row r="235" spans="1:13" ht="15">
      <c r="A235" s="44">
        <v>512.46</v>
      </c>
      <c r="B235" s="44">
        <v>523.41999999999996</v>
      </c>
      <c r="C235" s="44">
        <v>508.5</v>
      </c>
      <c r="D235" s="44">
        <v>515.87</v>
      </c>
      <c r="E235" s="44">
        <v>3005487</v>
      </c>
      <c r="F235" s="44" t="s">
        <v>212</v>
      </c>
      <c r="G235" s="25">
        <f t="shared" si="0"/>
        <v>-6.6101924903559928E-3</v>
      </c>
      <c r="I235" s="47">
        <v>0.02</v>
      </c>
      <c r="J235">
        <v>28</v>
      </c>
      <c r="L235" s="47">
        <v>1.7500000000000002E-2</v>
      </c>
      <c r="M235" s="1">
        <f t="shared" si="1"/>
        <v>13.543186912987949</v>
      </c>
    </row>
    <row r="236" spans="1:13" ht="15">
      <c r="A236" s="44">
        <v>509.75</v>
      </c>
      <c r="B236" s="44">
        <v>515.91</v>
      </c>
      <c r="C236" s="44">
        <v>495.91</v>
      </c>
      <c r="D236" s="44">
        <v>498.26</v>
      </c>
      <c r="E236" s="44">
        <v>3736473</v>
      </c>
      <c r="F236" s="44" t="s">
        <v>213</v>
      </c>
      <c r="G236" s="25">
        <f t="shared" si="0"/>
        <v>2.3060249668847677E-2</v>
      </c>
      <c r="I236" s="47">
        <v>2.2499999999999999E-2</v>
      </c>
      <c r="J236">
        <v>21</v>
      </c>
      <c r="L236" s="47">
        <v>0.02</v>
      </c>
      <c r="M236" s="1">
        <f t="shared" si="1"/>
        <v>10.692058572197539</v>
      </c>
    </row>
    <row r="237" spans="1:13" ht="15">
      <c r="A237" s="44">
        <v>499.34</v>
      </c>
      <c r="B237" s="44">
        <v>508.63</v>
      </c>
      <c r="C237" s="44">
        <v>484.13010000000003</v>
      </c>
      <c r="D237" s="44">
        <v>506.83</v>
      </c>
      <c r="E237" s="44">
        <v>4105573</v>
      </c>
      <c r="F237" s="44" t="s">
        <v>214</v>
      </c>
      <c r="G237" s="25">
        <f t="shared" si="0"/>
        <v>-1.4778130734171224E-2</v>
      </c>
      <c r="I237" s="47">
        <v>2.5000000000000001E-2</v>
      </c>
      <c r="J237">
        <v>9</v>
      </c>
      <c r="L237" s="47">
        <v>2.2499999999999999E-2</v>
      </c>
      <c r="M237" s="1">
        <f t="shared" si="1"/>
        <v>8.1727611425930693</v>
      </c>
    </row>
    <row r="238" spans="1:13" ht="15">
      <c r="A238" s="44">
        <v>515.42999999999995</v>
      </c>
      <c r="B238" s="44">
        <v>518.51</v>
      </c>
      <c r="C238" s="44">
        <v>470</v>
      </c>
      <c r="D238" s="44">
        <v>470.11</v>
      </c>
      <c r="E238" s="44">
        <v>4698444</v>
      </c>
      <c r="F238" s="44" t="s">
        <v>215</v>
      </c>
      <c r="G238" s="25">
        <f t="shared" si="0"/>
        <v>9.6402969517772386E-2</v>
      </c>
      <c r="I238" s="47">
        <v>2.75E-2</v>
      </c>
      <c r="J238">
        <v>7</v>
      </c>
      <c r="L238" s="47">
        <v>2.5000000000000001E-2</v>
      </c>
      <c r="M238" s="1">
        <f t="shared" si="1"/>
        <v>6.0484389842466895</v>
      </c>
    </row>
    <row r="239" spans="1:13" ht="15">
      <c r="A239" s="44">
        <v>479.16</v>
      </c>
      <c r="B239" s="44">
        <v>504.76940000000002</v>
      </c>
      <c r="C239" s="44">
        <v>470.91309999999999</v>
      </c>
      <c r="D239" s="44">
        <v>500.20659999999998</v>
      </c>
      <c r="E239" s="44">
        <v>3555406</v>
      </c>
      <c r="F239" s="44" t="s">
        <v>216</v>
      </c>
      <c r="G239" s="25">
        <f t="shared" si="0"/>
        <v>-4.2075814273542123E-2</v>
      </c>
      <c r="I239" s="47">
        <v>0.03</v>
      </c>
      <c r="J239">
        <v>6</v>
      </c>
      <c r="L239" s="47">
        <v>2.75E-2</v>
      </c>
      <c r="M239" s="1">
        <f t="shared" si="1"/>
        <v>4.3339592317947186</v>
      </c>
    </row>
    <row r="240" spans="1:13" ht="15">
      <c r="A240" s="44">
        <v>484.75110000000001</v>
      </c>
      <c r="B240" s="44">
        <v>501.40469999999999</v>
      </c>
      <c r="C240" s="44">
        <v>464.85270000000003</v>
      </c>
      <c r="D240" s="44">
        <v>477.74220000000003</v>
      </c>
      <c r="E240" s="44">
        <v>6009467</v>
      </c>
      <c r="F240" s="44" t="s">
        <v>217</v>
      </c>
      <c r="G240" s="25">
        <f t="shared" si="0"/>
        <v>1.4670883166695292E-2</v>
      </c>
      <c r="I240" s="47">
        <v>3.2500000000000001E-2</v>
      </c>
      <c r="J240">
        <v>6</v>
      </c>
      <c r="L240" s="47">
        <v>0.03</v>
      </c>
      <c r="M240" s="1">
        <f t="shared" si="1"/>
        <v>3.0067225854031085</v>
      </c>
    </row>
    <row r="241" spans="1:13" ht="15">
      <c r="A241" s="44">
        <v>488.99439999999998</v>
      </c>
      <c r="B241" s="44">
        <v>520.05510000000004</v>
      </c>
      <c r="C241" s="44">
        <v>487.51670000000001</v>
      </c>
      <c r="D241" s="44">
        <v>518.7971</v>
      </c>
      <c r="E241" s="44">
        <v>6125102</v>
      </c>
      <c r="F241" s="44" t="s">
        <v>218</v>
      </c>
      <c r="G241" s="25">
        <f t="shared" si="0"/>
        <v>-5.7445772152542873E-2</v>
      </c>
      <c r="I241" s="47">
        <v>3.5000000000000003E-2</v>
      </c>
      <c r="J241">
        <v>3</v>
      </c>
      <c r="L241" s="47">
        <v>3.2500000000000001E-2</v>
      </c>
      <c r="M241" s="1">
        <f t="shared" si="1"/>
        <v>2.0196165378734587</v>
      </c>
    </row>
    <row r="242" spans="1:13" ht="15">
      <c r="A242" s="44">
        <v>529.70979999999997</v>
      </c>
      <c r="B242" s="44">
        <v>539.13490000000002</v>
      </c>
      <c r="C242" s="44">
        <v>526.16539999999998</v>
      </c>
      <c r="D242" s="44">
        <v>527.58320000000003</v>
      </c>
      <c r="E242" s="44">
        <v>3443480</v>
      </c>
      <c r="F242" s="44" t="s">
        <v>219</v>
      </c>
      <c r="G242" s="25">
        <f t="shared" si="0"/>
        <v>4.0308334306322635E-3</v>
      </c>
      <c r="I242" s="47">
        <v>3.7499999999999999E-2</v>
      </c>
      <c r="J242">
        <v>2</v>
      </c>
      <c r="L242" s="47">
        <v>3.5000000000000003E-2</v>
      </c>
      <c r="M242" s="1">
        <f t="shared" si="1"/>
        <v>1.3134438068451022</v>
      </c>
    </row>
    <row r="243" spans="1:13" ht="15">
      <c r="A243" s="44">
        <v>546.51319999999998</v>
      </c>
      <c r="B243" s="44">
        <v>548.65480000000002</v>
      </c>
      <c r="C243" s="44">
        <v>540.79219999999998</v>
      </c>
      <c r="D243" s="44">
        <v>542.00030000000004</v>
      </c>
      <c r="E243" s="44">
        <v>2994565</v>
      </c>
      <c r="F243" s="44" t="s">
        <v>220</v>
      </c>
      <c r="G243" s="25">
        <f t="shared" si="0"/>
        <v>8.3263791551406729E-3</v>
      </c>
      <c r="I243" s="47">
        <v>0.04</v>
      </c>
      <c r="J243">
        <v>2</v>
      </c>
      <c r="L243" s="47">
        <v>3.7499999999999999E-2</v>
      </c>
      <c r="M243" s="1">
        <f t="shared" si="1"/>
        <v>0.82702968110359099</v>
      </c>
    </row>
    <row r="244" spans="1:13" ht="15">
      <c r="A244" s="44">
        <v>547.64139999999998</v>
      </c>
      <c r="B244" s="44">
        <v>550.2808</v>
      </c>
      <c r="C244" s="44">
        <v>543.13850000000002</v>
      </c>
      <c r="D244" s="44">
        <v>545.93409999999994</v>
      </c>
      <c r="E244" s="44">
        <v>2714883</v>
      </c>
      <c r="F244" s="44" t="s">
        <v>221</v>
      </c>
      <c r="G244" s="25">
        <f t="shared" si="0"/>
        <v>3.1273005294962797E-3</v>
      </c>
      <c r="I244" s="47">
        <v>4.2500000000000003E-2</v>
      </c>
      <c r="J244">
        <v>1</v>
      </c>
      <c r="L244" s="47">
        <v>0.04</v>
      </c>
      <c r="M244" s="1">
        <f t="shared" si="1"/>
        <v>0.50419404914947619</v>
      </c>
    </row>
    <row r="245" spans="1:13" ht="15.75" thickBot="1">
      <c r="A245" s="44">
        <v>547.25199999999995</v>
      </c>
      <c r="B245" s="44">
        <v>550.55679999999995</v>
      </c>
      <c r="C245" s="44">
        <v>530.17909999999995</v>
      </c>
      <c r="D245" s="44">
        <v>531.31730000000005</v>
      </c>
      <c r="E245" s="44">
        <v>4741966</v>
      </c>
      <c r="F245" s="44" t="s">
        <v>222</v>
      </c>
      <c r="G245" s="25">
        <f t="shared" si="0"/>
        <v>2.9990930090173729E-2</v>
      </c>
      <c r="I245" s="45" t="s">
        <v>1422</v>
      </c>
      <c r="J245" s="45">
        <v>12</v>
      </c>
      <c r="L245" s="47">
        <v>4.2500000000000003E-2</v>
      </c>
      <c r="M245" s="1">
        <f t="shared" si="1"/>
        <v>0.2976057755739982</v>
      </c>
    </row>
    <row r="246" spans="1:13">
      <c r="A246" s="44">
        <v>539.75390000000004</v>
      </c>
      <c r="B246" s="44">
        <v>557.70540000000005</v>
      </c>
      <c r="C246" s="44">
        <v>539.23469999999998</v>
      </c>
      <c r="D246" s="44">
        <v>553.34730000000002</v>
      </c>
      <c r="E246" s="44">
        <v>2656767</v>
      </c>
      <c r="F246" s="44" t="s">
        <v>223</v>
      </c>
      <c r="G246" s="25">
        <f t="shared" si="0"/>
        <v>-2.4565765478570145E-2</v>
      </c>
      <c r="L246" s="47">
        <v>4.4999999999999998E-2</v>
      </c>
      <c r="M246" s="1">
        <f t="shared" si="1"/>
        <v>0.17007951753901401</v>
      </c>
    </row>
    <row r="247" spans="1:13">
      <c r="A247" s="44">
        <v>556.68700000000001</v>
      </c>
      <c r="B247" s="44">
        <v>560.94029999999998</v>
      </c>
      <c r="C247" s="44">
        <v>546.9325</v>
      </c>
      <c r="D247" s="44">
        <v>548.20050000000003</v>
      </c>
      <c r="E247" s="44">
        <v>2901339</v>
      </c>
      <c r="F247" s="44" t="s">
        <v>224</v>
      </c>
      <c r="G247" s="25">
        <f t="shared" si="0"/>
        <v>1.5480649871716601E-2</v>
      </c>
    </row>
    <row r="248" spans="1:13">
      <c r="A248" s="44">
        <v>548.20050000000003</v>
      </c>
      <c r="B248" s="44">
        <v>550.15740000000005</v>
      </c>
      <c r="C248" s="44">
        <v>544.25549999999998</v>
      </c>
      <c r="D248" s="44">
        <v>546.27359999999999</v>
      </c>
      <c r="E248" s="44">
        <v>2681705</v>
      </c>
      <c r="F248" s="44" t="s">
        <v>225</v>
      </c>
      <c r="G248" s="25">
        <f t="shared" si="0"/>
        <v>3.5273533262454304E-3</v>
      </c>
    </row>
    <row r="249" spans="1:13">
      <c r="A249" s="44">
        <v>544.29669999999999</v>
      </c>
      <c r="B249" s="44">
        <v>546.31349999999998</v>
      </c>
      <c r="C249" s="44">
        <v>541.14170000000001</v>
      </c>
      <c r="D249" s="44">
        <v>545.08540000000005</v>
      </c>
      <c r="E249" s="44">
        <v>2138267</v>
      </c>
      <c r="F249" s="44" t="s">
        <v>226</v>
      </c>
      <c r="G249" s="25">
        <f t="shared" si="0"/>
        <v>-1.4469292334743367E-3</v>
      </c>
    </row>
    <row r="250" spans="1:13">
      <c r="A250" s="44">
        <v>542.80899999999997</v>
      </c>
      <c r="B250" s="44">
        <v>544.59619999999995</v>
      </c>
      <c r="C250" s="44">
        <v>537.3827</v>
      </c>
      <c r="D250" s="44">
        <v>538.49590000000001</v>
      </c>
      <c r="E250" s="44">
        <v>2758837</v>
      </c>
      <c r="F250" s="44" t="s">
        <v>227</v>
      </c>
      <c r="G250" s="25">
        <f t="shared" si="0"/>
        <v>8.0095317345962869E-3</v>
      </c>
    </row>
    <row r="251" spans="1:13">
      <c r="A251" s="44">
        <v>534.84169999999995</v>
      </c>
      <c r="B251" s="44">
        <v>537.1979</v>
      </c>
      <c r="C251" s="44">
        <v>529.91449999999998</v>
      </c>
      <c r="D251" s="44">
        <v>534.59209999999996</v>
      </c>
      <c r="E251" s="44">
        <v>5973495</v>
      </c>
      <c r="F251" s="44" t="s">
        <v>228</v>
      </c>
      <c r="G251" s="25">
        <f t="shared" si="0"/>
        <v>4.6689803309840627E-4</v>
      </c>
    </row>
    <row r="252" spans="1:13">
      <c r="A252" s="44">
        <v>535.53060000000005</v>
      </c>
      <c r="B252" s="44">
        <v>539.62909999999999</v>
      </c>
      <c r="C252" s="44">
        <v>531.70669999999996</v>
      </c>
      <c r="D252" s="44">
        <v>532.755</v>
      </c>
      <c r="E252" s="44">
        <v>2598700</v>
      </c>
      <c r="F252" s="44" t="s">
        <v>229</v>
      </c>
      <c r="G252" s="25">
        <f t="shared" si="0"/>
        <v>5.2098994847538105E-3</v>
      </c>
    </row>
    <row r="253" spans="1:13">
      <c r="A253" s="44">
        <v>535.24099999999999</v>
      </c>
      <c r="B253" s="44">
        <v>536.7636</v>
      </c>
      <c r="C253" s="44">
        <v>528.7414</v>
      </c>
      <c r="D253" s="44">
        <v>530.72320000000002</v>
      </c>
      <c r="E253" s="44">
        <v>2804277</v>
      </c>
      <c r="F253" s="44" t="s">
        <v>230</v>
      </c>
      <c r="G253" s="25">
        <f t="shared" ref="G253:G316" si="2">A253/D253-1</f>
        <v>8.5125353479931221E-3</v>
      </c>
    </row>
    <row r="254" spans="1:13">
      <c r="A254" s="44">
        <v>529.35040000000004</v>
      </c>
      <c r="B254" s="44">
        <v>531.74659999999994</v>
      </c>
      <c r="C254" s="44">
        <v>524.67780000000005</v>
      </c>
      <c r="D254" s="44">
        <v>531.49699999999996</v>
      </c>
      <c r="E254" s="44">
        <v>2363387</v>
      </c>
      <c r="F254" s="44" t="s">
        <v>231</v>
      </c>
      <c r="G254" s="25">
        <f t="shared" si="2"/>
        <v>-4.0387810279266523E-3</v>
      </c>
    </row>
    <row r="255" spans="1:13">
      <c r="A255" s="44">
        <v>531.14750000000004</v>
      </c>
      <c r="B255" s="44">
        <v>532.63520000000005</v>
      </c>
      <c r="C255" s="44">
        <v>520.65419999999995</v>
      </c>
      <c r="D255" s="44">
        <v>522.42139999999995</v>
      </c>
      <c r="E255" s="44">
        <v>2544872</v>
      </c>
      <c r="F255" s="44" t="s">
        <v>232</v>
      </c>
      <c r="G255" s="25">
        <f t="shared" si="2"/>
        <v>1.6703182526596416E-2</v>
      </c>
    </row>
    <row r="256" spans="1:13">
      <c r="A256" s="44">
        <v>526.80439999999999</v>
      </c>
      <c r="B256" s="44">
        <v>527.57320000000004</v>
      </c>
      <c r="C256" s="44">
        <v>520.125</v>
      </c>
      <c r="D256" s="44">
        <v>521.77239999999995</v>
      </c>
      <c r="E256" s="44">
        <v>2369655</v>
      </c>
      <c r="F256" s="44" t="s">
        <v>233</v>
      </c>
      <c r="G256" s="25">
        <f t="shared" si="2"/>
        <v>9.644051697636824E-3</v>
      </c>
    </row>
    <row r="257" spans="1:7">
      <c r="A257" s="44">
        <v>519.0068</v>
      </c>
      <c r="B257" s="44">
        <v>527.69299999999998</v>
      </c>
      <c r="C257" s="44">
        <v>516.89020000000005</v>
      </c>
      <c r="D257" s="44">
        <v>523.6694</v>
      </c>
      <c r="E257" s="44">
        <v>2376085</v>
      </c>
      <c r="F257" s="44" t="s">
        <v>234</v>
      </c>
      <c r="G257" s="25">
        <f t="shared" si="2"/>
        <v>-8.9037090958532517E-3</v>
      </c>
    </row>
    <row r="258" spans="1:7">
      <c r="A258" s="44">
        <v>523.80920000000003</v>
      </c>
      <c r="B258" s="44">
        <v>531.8664</v>
      </c>
      <c r="C258" s="44">
        <v>518.43769999999995</v>
      </c>
      <c r="D258" s="44">
        <v>529.66989999999998</v>
      </c>
      <c r="E258" s="44">
        <v>2810986</v>
      </c>
      <c r="F258" s="44" t="s">
        <v>235</v>
      </c>
      <c r="G258" s="25">
        <f t="shared" si="2"/>
        <v>-1.1064816029757285E-2</v>
      </c>
    </row>
    <row r="259" spans="1:7">
      <c r="A259" s="44">
        <v>524.96730000000002</v>
      </c>
      <c r="B259" s="44">
        <v>537.1979</v>
      </c>
      <c r="C259" s="44">
        <v>521.423</v>
      </c>
      <c r="D259" s="44">
        <v>536.34929999999997</v>
      </c>
      <c r="E259" s="44">
        <v>4583034</v>
      </c>
      <c r="F259" s="44" t="s">
        <v>236</v>
      </c>
      <c r="G259" s="25">
        <f t="shared" si="2"/>
        <v>-2.1221245184807613E-2</v>
      </c>
    </row>
    <row r="260" spans="1:7">
      <c r="A260" s="44">
        <v>536.26940000000002</v>
      </c>
      <c r="B260" s="44">
        <v>547.69129999999996</v>
      </c>
      <c r="C260" s="44">
        <v>531.17750000000001</v>
      </c>
      <c r="D260" s="44">
        <v>537.29780000000005</v>
      </c>
      <c r="E260" s="44">
        <v>3893378</v>
      </c>
      <c r="F260" s="44" t="s">
        <v>237</v>
      </c>
      <c r="G260" s="25">
        <f t="shared" si="2"/>
        <v>-1.9140223540837775E-3</v>
      </c>
    </row>
    <row r="261" spans="1:7">
      <c r="A261" s="44">
        <v>545.90409999999997</v>
      </c>
      <c r="B261" s="44">
        <v>549.50340000000006</v>
      </c>
      <c r="C261" s="44">
        <v>535.4307</v>
      </c>
      <c r="D261" s="44">
        <v>546.20370000000003</v>
      </c>
      <c r="E261" s="44">
        <v>3161510</v>
      </c>
      <c r="F261" s="44" t="s">
        <v>238</v>
      </c>
      <c r="G261" s="25">
        <f t="shared" si="2"/>
        <v>-5.4851331105965073E-4</v>
      </c>
    </row>
    <row r="262" spans="1:7">
      <c r="A262" s="44">
        <v>548.94929999999999</v>
      </c>
      <c r="B262" s="44">
        <v>554.79999999999995</v>
      </c>
      <c r="C262" s="44">
        <v>543.83140000000003</v>
      </c>
      <c r="D262" s="44">
        <v>547.63139999999999</v>
      </c>
      <c r="E262" s="44">
        <v>3133333</v>
      </c>
      <c r="F262" s="44" t="s">
        <v>239</v>
      </c>
      <c r="G262" s="25">
        <f t="shared" si="2"/>
        <v>2.4065457166992932E-3</v>
      </c>
    </row>
    <row r="263" spans="1:7">
      <c r="A263" s="44">
        <v>557.41589999999997</v>
      </c>
      <c r="B263" s="44">
        <v>560.10149999999999</v>
      </c>
      <c r="C263" s="44">
        <v>550.447</v>
      </c>
      <c r="D263" s="44">
        <v>551.70489999999995</v>
      </c>
      <c r="E263" s="44">
        <v>2795399</v>
      </c>
      <c r="F263" s="44" t="s">
        <v>240</v>
      </c>
      <c r="G263" s="25">
        <f t="shared" si="2"/>
        <v>1.035154844555497E-2</v>
      </c>
    </row>
    <row r="264" spans="1:7">
      <c r="A264" s="44">
        <v>554.19100000000003</v>
      </c>
      <c r="B264" s="44">
        <v>572.29229999999995</v>
      </c>
      <c r="C264" s="44">
        <v>551.13580000000002</v>
      </c>
      <c r="D264" s="44">
        <v>569.5566</v>
      </c>
      <c r="E264" s="44">
        <v>3318100</v>
      </c>
      <c r="F264" s="44" t="s">
        <v>241</v>
      </c>
      <c r="G264" s="25">
        <f t="shared" si="2"/>
        <v>-2.6978179166038951E-2</v>
      </c>
    </row>
    <row r="265" spans="1:7">
      <c r="A265" s="44">
        <v>574.00959999999998</v>
      </c>
      <c r="B265" s="44">
        <v>581.30799999999999</v>
      </c>
      <c r="C265" s="44">
        <v>569.09730000000002</v>
      </c>
      <c r="D265" s="44">
        <v>576.41570000000002</v>
      </c>
      <c r="E265" s="44">
        <v>3092583</v>
      </c>
      <c r="F265" s="44" t="s">
        <v>242</v>
      </c>
      <c r="G265" s="25">
        <f t="shared" si="2"/>
        <v>-4.1742443864731804E-3</v>
      </c>
    </row>
    <row r="266" spans="1:7">
      <c r="A266" s="44">
        <v>575.39739999999995</v>
      </c>
      <c r="B266" s="44">
        <v>575.5172</v>
      </c>
      <c r="C266" s="44">
        <v>563.1069</v>
      </c>
      <c r="D266" s="44">
        <v>566.40160000000003</v>
      </c>
      <c r="E266" s="44">
        <v>3205380</v>
      </c>
      <c r="F266" s="44" t="s">
        <v>243</v>
      </c>
      <c r="G266" s="25">
        <f t="shared" si="2"/>
        <v>1.588237038878404E-2</v>
      </c>
    </row>
    <row r="267" spans="1:7">
      <c r="A267" s="44">
        <v>563.92560000000003</v>
      </c>
      <c r="B267" s="44">
        <v>573.78980000000001</v>
      </c>
      <c r="C267" s="44">
        <v>563.1069</v>
      </c>
      <c r="D267" s="44">
        <v>564.67439999999999</v>
      </c>
      <c r="E267" s="44">
        <v>2436724</v>
      </c>
      <c r="F267" s="44" t="s">
        <v>244</v>
      </c>
      <c r="G267" s="25">
        <f t="shared" si="2"/>
        <v>-1.3260739286214962E-3</v>
      </c>
    </row>
    <row r="268" spans="1:7">
      <c r="A268" s="44">
        <v>560.38120000000004</v>
      </c>
      <c r="B268" s="44">
        <v>565.7826</v>
      </c>
      <c r="C268" s="44">
        <v>558.71630000000005</v>
      </c>
      <c r="D268" s="44">
        <v>561.69910000000004</v>
      </c>
      <c r="E268" s="44">
        <v>2027993</v>
      </c>
      <c r="F268" s="44" t="s">
        <v>245</v>
      </c>
      <c r="G268" s="25">
        <f t="shared" si="2"/>
        <v>-2.3462740104087665E-3</v>
      </c>
    </row>
    <row r="269" spans="1:7">
      <c r="A269" s="44">
        <v>563.13679999999999</v>
      </c>
      <c r="B269" s="44">
        <v>565.14859999999999</v>
      </c>
      <c r="C269" s="44">
        <v>551.81479999999999</v>
      </c>
      <c r="D269" s="44">
        <v>561.54930000000002</v>
      </c>
      <c r="E269" s="44">
        <v>3609836</v>
      </c>
      <c r="F269" s="44" t="s">
        <v>246</v>
      </c>
      <c r="G269" s="25">
        <f t="shared" si="2"/>
        <v>2.8270002295434082E-3</v>
      </c>
    </row>
    <row r="270" spans="1:7">
      <c r="A270" s="44">
        <v>558.11479999999995</v>
      </c>
      <c r="B270" s="44">
        <v>560.57090000000005</v>
      </c>
      <c r="C270" s="44">
        <v>555.91129999999998</v>
      </c>
      <c r="D270" s="44">
        <v>557.54570000000001</v>
      </c>
      <c r="E270" s="44">
        <v>1752627</v>
      </c>
      <c r="F270" s="44" t="s">
        <v>247</v>
      </c>
      <c r="G270" s="25">
        <f t="shared" si="2"/>
        <v>1.020723503023957E-3</v>
      </c>
    </row>
    <row r="271" spans="1:7">
      <c r="A271" s="44">
        <v>556.62710000000004</v>
      </c>
      <c r="B271" s="44">
        <v>563.90560000000005</v>
      </c>
      <c r="C271" s="44">
        <v>555.69860000000006</v>
      </c>
      <c r="D271" s="44">
        <v>560.54089999999997</v>
      </c>
      <c r="E271" s="44">
        <v>2256340</v>
      </c>
      <c r="F271" s="44" t="s">
        <v>248</v>
      </c>
      <c r="G271" s="25">
        <f t="shared" si="2"/>
        <v>-6.982184529264357E-3</v>
      </c>
    </row>
    <row r="272" spans="1:7">
      <c r="A272" s="44">
        <v>562.38800000000003</v>
      </c>
      <c r="B272" s="44">
        <v>567.59969999999998</v>
      </c>
      <c r="C272" s="44">
        <v>558.15470000000005</v>
      </c>
      <c r="D272" s="44">
        <v>567.25030000000004</v>
      </c>
      <c r="E272" s="44">
        <v>2181938</v>
      </c>
      <c r="F272" s="44" t="s">
        <v>249</v>
      </c>
      <c r="G272" s="25">
        <f t="shared" si="2"/>
        <v>-8.5717010638866054E-3</v>
      </c>
    </row>
    <row r="273" spans="1:7">
      <c r="A273" s="44">
        <v>567.59969999999998</v>
      </c>
      <c r="B273" s="44">
        <v>569.7962</v>
      </c>
      <c r="C273" s="44">
        <v>565.74770000000001</v>
      </c>
      <c r="D273" s="44">
        <v>566.59130000000005</v>
      </c>
      <c r="E273" s="44">
        <v>2459132</v>
      </c>
      <c r="F273" s="44" t="s">
        <v>250</v>
      </c>
      <c r="G273" s="25">
        <f t="shared" si="2"/>
        <v>1.7797661206586657E-3</v>
      </c>
    </row>
    <row r="274" spans="1:7">
      <c r="A274" s="44">
        <v>567.70960000000002</v>
      </c>
      <c r="B274" s="44">
        <v>567.72950000000003</v>
      </c>
      <c r="C274" s="44">
        <v>560.62580000000003</v>
      </c>
      <c r="D274" s="44">
        <v>564.00540000000001</v>
      </c>
      <c r="E274" s="44">
        <v>2064246</v>
      </c>
      <c r="F274" s="44" t="s">
        <v>251</v>
      </c>
      <c r="G274" s="25">
        <f t="shared" si="2"/>
        <v>6.5676676145298707E-3</v>
      </c>
    </row>
    <row r="275" spans="1:7">
      <c r="A275" s="44">
        <v>563.86559999999997</v>
      </c>
      <c r="B275" s="44">
        <v>568.33860000000004</v>
      </c>
      <c r="C275" s="44">
        <v>563.23659999999995</v>
      </c>
      <c r="D275" s="44">
        <v>565.11369999999999</v>
      </c>
      <c r="E275" s="44">
        <v>1927797</v>
      </c>
      <c r="F275" s="44" t="s">
        <v>252</v>
      </c>
      <c r="G275" s="25">
        <f t="shared" si="2"/>
        <v>-2.2085820959569791E-3</v>
      </c>
    </row>
    <row r="276" spans="1:7">
      <c r="A276" s="44">
        <v>565.41319999999996</v>
      </c>
      <c r="B276" s="44">
        <v>566.49149999999997</v>
      </c>
      <c r="C276" s="44">
        <v>560.58090000000004</v>
      </c>
      <c r="D276" s="44">
        <v>564.70429999999999</v>
      </c>
      <c r="E276" s="44">
        <v>1709499</v>
      </c>
      <c r="F276" s="44" t="s">
        <v>253</v>
      </c>
      <c r="G276" s="25">
        <f t="shared" si="2"/>
        <v>1.255347267587581E-3</v>
      </c>
    </row>
    <row r="277" spans="1:7">
      <c r="A277" s="44">
        <v>563.70590000000004</v>
      </c>
      <c r="B277" s="44">
        <v>563.85569999999996</v>
      </c>
      <c r="C277" s="44">
        <v>558.55409999999995</v>
      </c>
      <c r="D277" s="44">
        <v>561.12</v>
      </c>
      <c r="E277" s="44">
        <v>1722312</v>
      </c>
      <c r="F277" s="44" t="s">
        <v>254</v>
      </c>
      <c r="G277" s="25">
        <f t="shared" si="2"/>
        <v>4.6084616481323337E-3</v>
      </c>
    </row>
    <row r="278" spans="1:7">
      <c r="A278" s="44">
        <v>563.8057</v>
      </c>
      <c r="B278" s="44">
        <v>565.53290000000004</v>
      </c>
      <c r="C278" s="44">
        <v>558.33450000000005</v>
      </c>
      <c r="D278" s="44">
        <v>564.09529999999995</v>
      </c>
      <c r="E278" s="44">
        <v>1847808</v>
      </c>
      <c r="F278" s="44" t="s">
        <v>255</v>
      </c>
      <c r="G278" s="25">
        <f t="shared" si="2"/>
        <v>-5.133884292245483E-4</v>
      </c>
    </row>
    <row r="279" spans="1:7">
      <c r="A279" s="44">
        <v>564.59450000000004</v>
      </c>
      <c r="B279" s="44">
        <v>566.37170000000003</v>
      </c>
      <c r="C279" s="44">
        <v>560.11159999999995</v>
      </c>
      <c r="D279" s="44">
        <v>564.35490000000004</v>
      </c>
      <c r="E279" s="44">
        <v>2357752</v>
      </c>
      <c r="F279" s="44" t="s">
        <v>256</v>
      </c>
      <c r="G279" s="25">
        <f t="shared" si="2"/>
        <v>4.2455554120279793E-4</v>
      </c>
    </row>
    <row r="280" spans="1:7">
      <c r="A280" s="44">
        <v>561.85879999999997</v>
      </c>
      <c r="B280" s="44">
        <v>569.14729999999997</v>
      </c>
      <c r="C280" s="44">
        <v>560.8904</v>
      </c>
      <c r="D280" s="44">
        <v>567.16039999999998</v>
      </c>
      <c r="E280" s="44">
        <v>2008409</v>
      </c>
      <c r="F280" s="44" t="s">
        <v>257</v>
      </c>
      <c r="G280" s="25">
        <f t="shared" si="2"/>
        <v>-9.3476201794060465E-3</v>
      </c>
    </row>
    <row r="281" spans="1:7">
      <c r="A281" s="44">
        <v>566.26179999999999</v>
      </c>
      <c r="B281" s="44">
        <v>568.84770000000003</v>
      </c>
      <c r="C281" s="44">
        <v>563.64599999999996</v>
      </c>
      <c r="D281" s="44">
        <v>565.23350000000005</v>
      </c>
      <c r="E281" s="44">
        <v>1738474</v>
      </c>
      <c r="F281" s="44" t="s">
        <v>258</v>
      </c>
      <c r="G281" s="25">
        <f t="shared" si="2"/>
        <v>1.8192481514276437E-3</v>
      </c>
    </row>
    <row r="282" spans="1:7">
      <c r="A282" s="44">
        <v>565.39319999999998</v>
      </c>
      <c r="B282" s="44">
        <v>565.97230000000002</v>
      </c>
      <c r="C282" s="44">
        <v>558.9135</v>
      </c>
      <c r="D282" s="44">
        <v>560.46100000000001</v>
      </c>
      <c r="E282" s="44">
        <v>2404997</v>
      </c>
      <c r="F282" s="44" t="s">
        <v>259</v>
      </c>
      <c r="G282" s="25">
        <f t="shared" si="2"/>
        <v>8.8002555039512487E-3</v>
      </c>
    </row>
    <row r="283" spans="1:7">
      <c r="A283" s="44">
        <v>558.22460000000001</v>
      </c>
      <c r="B283" s="44">
        <v>571.0942</v>
      </c>
      <c r="C283" s="44">
        <v>556.697</v>
      </c>
      <c r="D283" s="44">
        <v>569.976</v>
      </c>
      <c r="E283" s="44">
        <v>2639060</v>
      </c>
      <c r="F283" s="44" t="s">
        <v>260</v>
      </c>
      <c r="G283" s="25">
        <f t="shared" si="2"/>
        <v>-2.0617359327410267E-2</v>
      </c>
    </row>
    <row r="284" spans="1:7">
      <c r="A284" s="44">
        <v>563.05690000000004</v>
      </c>
      <c r="B284" s="44">
        <v>564.10530000000006</v>
      </c>
      <c r="C284" s="44">
        <v>550.19730000000004</v>
      </c>
      <c r="D284" s="44">
        <v>551.76480000000004</v>
      </c>
      <c r="E284" s="44">
        <v>3195610</v>
      </c>
      <c r="F284" s="44" t="s">
        <v>261</v>
      </c>
      <c r="G284" s="25">
        <f t="shared" si="2"/>
        <v>2.046542294832876E-2</v>
      </c>
    </row>
    <row r="285" spans="1:7">
      <c r="A285" s="44">
        <v>554.55039999999997</v>
      </c>
      <c r="B285" s="44">
        <v>564.64440000000002</v>
      </c>
      <c r="C285" s="44">
        <v>553.76170000000002</v>
      </c>
      <c r="D285" s="44">
        <v>562.9271</v>
      </c>
      <c r="E285" s="44">
        <v>4505520</v>
      </c>
      <c r="F285" s="44" t="s">
        <v>262</v>
      </c>
      <c r="G285" s="25">
        <f t="shared" si="2"/>
        <v>-1.4880612427435103E-2</v>
      </c>
    </row>
    <row r="286" spans="1:7">
      <c r="A286" s="44">
        <v>565.11369999999999</v>
      </c>
      <c r="B286" s="44">
        <v>576.02639999999997</v>
      </c>
      <c r="C286" s="44">
        <v>553.65179999999998</v>
      </c>
      <c r="D286" s="44">
        <v>554.12109999999996</v>
      </c>
      <c r="E286" s="44">
        <v>6005206</v>
      </c>
      <c r="F286" s="44" t="s">
        <v>263</v>
      </c>
      <c r="G286" s="25">
        <f t="shared" si="2"/>
        <v>1.9837901859359075E-2</v>
      </c>
    </row>
    <row r="287" spans="1:7">
      <c r="A287" s="44">
        <v>547.93089999999995</v>
      </c>
      <c r="B287" s="44">
        <v>549.73810000000003</v>
      </c>
      <c r="C287" s="44">
        <v>545.63459999999998</v>
      </c>
      <c r="D287" s="44">
        <v>546.13379999999995</v>
      </c>
      <c r="E287" s="44">
        <v>2549001</v>
      </c>
      <c r="F287" s="44" t="s">
        <v>264</v>
      </c>
      <c r="G287" s="25">
        <f t="shared" si="2"/>
        <v>3.2905855671265805E-3</v>
      </c>
    </row>
    <row r="288" spans="1:7">
      <c r="A288" s="44">
        <v>546.4932</v>
      </c>
      <c r="B288" s="44">
        <v>550.67849999999999</v>
      </c>
      <c r="C288" s="44">
        <v>541.80060000000003</v>
      </c>
      <c r="D288" s="44">
        <v>545.67449999999997</v>
      </c>
      <c r="E288" s="44">
        <v>2727798</v>
      </c>
      <c r="F288" s="44" t="s">
        <v>265</v>
      </c>
      <c r="G288" s="25">
        <f t="shared" si="2"/>
        <v>1.500344985884583E-3</v>
      </c>
    </row>
    <row r="289" spans="1:7">
      <c r="A289" s="44">
        <v>546.77279999999996</v>
      </c>
      <c r="B289" s="44">
        <v>547.12220000000002</v>
      </c>
      <c r="C289" s="44">
        <v>530.81309999999996</v>
      </c>
      <c r="D289" s="44">
        <v>532.73500000000001</v>
      </c>
      <c r="E289" s="44">
        <v>3074807</v>
      </c>
      <c r="F289" s="44" t="s">
        <v>266</v>
      </c>
      <c r="G289" s="25">
        <f t="shared" si="2"/>
        <v>2.6350436896392937E-2</v>
      </c>
    </row>
    <row r="290" spans="1:7">
      <c r="A290" s="44">
        <v>532.64520000000005</v>
      </c>
      <c r="B290" s="44">
        <v>535.21109999999999</v>
      </c>
      <c r="C290" s="44">
        <v>531.30730000000005</v>
      </c>
      <c r="D290" s="44">
        <v>532.14599999999996</v>
      </c>
      <c r="E290" s="44">
        <v>2473012</v>
      </c>
      <c r="F290" s="44" t="s">
        <v>267</v>
      </c>
      <c r="G290" s="25">
        <f t="shared" si="2"/>
        <v>9.3808841934373E-4</v>
      </c>
    </row>
    <row r="291" spans="1:7">
      <c r="A291" s="44">
        <v>533.37400000000002</v>
      </c>
      <c r="B291" s="44">
        <v>533.50379999999996</v>
      </c>
      <c r="C291" s="44">
        <v>527.84280000000001</v>
      </c>
      <c r="D291" s="44">
        <v>528.21220000000005</v>
      </c>
      <c r="E291" s="44">
        <v>2196457</v>
      </c>
      <c r="F291" s="44" t="s">
        <v>268</v>
      </c>
      <c r="G291" s="25">
        <f t="shared" si="2"/>
        <v>9.7722089720759797E-3</v>
      </c>
    </row>
    <row r="292" spans="1:7">
      <c r="A292" s="44">
        <v>526.34519999999998</v>
      </c>
      <c r="B292" s="44">
        <v>529.46019999999999</v>
      </c>
      <c r="C292" s="44">
        <v>524.83759999999995</v>
      </c>
      <c r="D292" s="44">
        <v>527.16390000000001</v>
      </c>
      <c r="E292" s="44">
        <v>2037643</v>
      </c>
      <c r="F292" s="44" t="s">
        <v>269</v>
      </c>
      <c r="G292" s="25">
        <f t="shared" si="2"/>
        <v>-1.5530274360593399E-3</v>
      </c>
    </row>
    <row r="293" spans="1:7">
      <c r="A293" s="44">
        <v>527.22379999999998</v>
      </c>
      <c r="B293" s="44">
        <v>529.14070000000004</v>
      </c>
      <c r="C293" s="44">
        <v>526.07560000000001</v>
      </c>
      <c r="D293" s="44">
        <v>526.82439999999997</v>
      </c>
      <c r="E293" s="44">
        <v>2706947</v>
      </c>
      <c r="F293" s="44" t="s">
        <v>270</v>
      </c>
      <c r="G293" s="25">
        <f t="shared" si="2"/>
        <v>7.5812737602887204E-4</v>
      </c>
    </row>
    <row r="294" spans="1:7">
      <c r="A294" s="44">
        <v>523.8691</v>
      </c>
      <c r="B294" s="44">
        <v>527.29369999999994</v>
      </c>
      <c r="C294" s="44">
        <v>520.18489999999997</v>
      </c>
      <c r="D294" s="44">
        <v>523.74929999999995</v>
      </c>
      <c r="E294" s="44">
        <v>2374798</v>
      </c>
      <c r="F294" s="44" t="s">
        <v>271</v>
      </c>
      <c r="G294" s="25">
        <f t="shared" si="2"/>
        <v>2.2873538924073067E-4</v>
      </c>
    </row>
    <row r="295" spans="1:7">
      <c r="A295" s="44">
        <v>522.3116</v>
      </c>
      <c r="B295" s="44">
        <v>526.28530000000001</v>
      </c>
      <c r="C295" s="44">
        <v>519.8954</v>
      </c>
      <c r="D295" s="44">
        <v>522.79079999999999</v>
      </c>
      <c r="E295" s="44">
        <v>3275700</v>
      </c>
      <c r="F295" s="44" t="s">
        <v>272</v>
      </c>
      <c r="G295" s="25">
        <f t="shared" si="2"/>
        <v>-9.1661903767237263E-4</v>
      </c>
    </row>
    <row r="296" spans="1:7">
      <c r="A296" s="44">
        <v>521.52279999999996</v>
      </c>
      <c r="B296" s="44">
        <v>522.94060000000002</v>
      </c>
      <c r="C296" s="44">
        <v>512.91650000000004</v>
      </c>
      <c r="D296" s="44">
        <v>514.75350000000003</v>
      </c>
      <c r="E296" s="44">
        <v>3025066</v>
      </c>
      <c r="F296" s="44" t="s">
        <v>273</v>
      </c>
      <c r="G296" s="25">
        <f t="shared" si="2"/>
        <v>1.315056624190003E-2</v>
      </c>
    </row>
    <row r="297" spans="1:7">
      <c r="A297" s="44">
        <v>508.21390000000002</v>
      </c>
      <c r="B297" s="44">
        <v>508.58330000000001</v>
      </c>
      <c r="C297" s="44">
        <v>503.41149999999999</v>
      </c>
      <c r="D297" s="44">
        <v>506.267</v>
      </c>
      <c r="E297" s="44">
        <v>2704795</v>
      </c>
      <c r="F297" s="44" t="s">
        <v>274</v>
      </c>
      <c r="G297" s="25">
        <f t="shared" si="2"/>
        <v>3.8455992588890542E-3</v>
      </c>
    </row>
    <row r="298" spans="1:7">
      <c r="A298" s="44">
        <v>504.11040000000003</v>
      </c>
      <c r="B298" s="44">
        <v>505.3485</v>
      </c>
      <c r="C298" s="44">
        <v>499.12830000000002</v>
      </c>
      <c r="D298" s="44">
        <v>500.20659999999998</v>
      </c>
      <c r="E298" s="44">
        <v>2885549</v>
      </c>
      <c r="F298" s="44" t="s">
        <v>275</v>
      </c>
      <c r="G298" s="25">
        <f t="shared" si="2"/>
        <v>7.8043752321541593E-3</v>
      </c>
    </row>
    <row r="299" spans="1:7">
      <c r="A299" s="44">
        <v>503.87079999999997</v>
      </c>
      <c r="B299" s="44">
        <v>512.94640000000004</v>
      </c>
      <c r="C299" s="44">
        <v>502.56290000000001</v>
      </c>
      <c r="D299" s="44">
        <v>511.30900000000003</v>
      </c>
      <c r="E299" s="44">
        <v>2815624</v>
      </c>
      <c r="F299" s="44" t="s">
        <v>276</v>
      </c>
      <c r="G299" s="25">
        <f t="shared" si="2"/>
        <v>-1.4547367638746977E-2</v>
      </c>
    </row>
    <row r="300" spans="1:7">
      <c r="A300" s="44">
        <v>514.82339999999999</v>
      </c>
      <c r="B300" s="44">
        <v>515.87019999999995</v>
      </c>
      <c r="C300" s="44">
        <v>509.9708</v>
      </c>
      <c r="D300" s="44">
        <v>510.47669999999999</v>
      </c>
      <c r="E300" s="44">
        <v>2456715</v>
      </c>
      <c r="F300" s="44" t="s">
        <v>277</v>
      </c>
      <c r="G300" s="25">
        <f t="shared" si="2"/>
        <v>8.5149821725458708E-3</v>
      </c>
    </row>
    <row r="301" spans="1:7">
      <c r="A301" s="44">
        <v>509.83870000000002</v>
      </c>
      <c r="B301" s="44">
        <v>514.75360000000001</v>
      </c>
      <c r="C301" s="44">
        <v>509.5147</v>
      </c>
      <c r="D301" s="44">
        <v>512.11170000000004</v>
      </c>
      <c r="E301" s="44">
        <v>2211877</v>
      </c>
      <c r="F301" s="44" t="s">
        <v>278</v>
      </c>
      <c r="G301" s="25">
        <f t="shared" si="2"/>
        <v>-4.4384848071231664E-3</v>
      </c>
    </row>
    <row r="302" spans="1:7">
      <c r="A302" s="44">
        <v>510.36709999999999</v>
      </c>
      <c r="B302" s="44">
        <v>519.76829999999995</v>
      </c>
      <c r="C302" s="44">
        <v>509.44990000000001</v>
      </c>
      <c r="D302" s="44">
        <v>519.37950000000001</v>
      </c>
      <c r="E302" s="44">
        <v>2920787</v>
      </c>
      <c r="F302" s="44" t="s">
        <v>279</v>
      </c>
      <c r="G302" s="25">
        <f t="shared" si="2"/>
        <v>-1.7352244360819058E-2</v>
      </c>
    </row>
    <row r="303" spans="1:7">
      <c r="A303" s="44">
        <v>519.76829999999995</v>
      </c>
      <c r="B303" s="44">
        <v>522.85879999999997</v>
      </c>
      <c r="C303" s="44">
        <v>516.09950000000003</v>
      </c>
      <c r="D303" s="44">
        <v>520.93470000000002</v>
      </c>
      <c r="E303" s="44">
        <v>1627726</v>
      </c>
      <c r="F303" s="44" t="s">
        <v>280</v>
      </c>
      <c r="G303" s="25">
        <f t="shared" si="2"/>
        <v>-2.2390522266995116E-3</v>
      </c>
    </row>
    <row r="304" spans="1:7">
      <c r="A304" s="44">
        <v>520.80510000000004</v>
      </c>
      <c r="B304" s="44">
        <v>528.9402</v>
      </c>
      <c r="C304" s="44">
        <v>516.07960000000003</v>
      </c>
      <c r="D304" s="44">
        <v>527.57439999999997</v>
      </c>
      <c r="E304" s="44">
        <v>2818795</v>
      </c>
      <c r="F304" s="44" t="s">
        <v>281</v>
      </c>
      <c r="G304" s="25">
        <f t="shared" si="2"/>
        <v>-1.2830986492141983E-2</v>
      </c>
    </row>
    <row r="305" spans="1:7">
      <c r="A305" s="44">
        <v>524.9624</v>
      </c>
      <c r="B305" s="44">
        <v>527.57439999999997</v>
      </c>
      <c r="C305" s="44">
        <v>523.95550000000003</v>
      </c>
      <c r="D305" s="44">
        <v>526.05899999999997</v>
      </c>
      <c r="E305" s="44">
        <v>1942656</v>
      </c>
      <c r="F305" s="44" t="s">
        <v>282</v>
      </c>
      <c r="G305" s="25">
        <f t="shared" si="2"/>
        <v>-2.0845570553872372E-3</v>
      </c>
    </row>
    <row r="306" spans="1:7">
      <c r="A306" s="44">
        <v>523.94550000000004</v>
      </c>
      <c r="B306" s="44">
        <v>526.95150000000001</v>
      </c>
      <c r="C306" s="44">
        <v>519.73839999999996</v>
      </c>
      <c r="D306" s="44">
        <v>525.39110000000005</v>
      </c>
      <c r="E306" s="44">
        <v>2101731</v>
      </c>
      <c r="F306" s="44" t="s">
        <v>283</v>
      </c>
      <c r="G306" s="25">
        <f t="shared" si="2"/>
        <v>-2.751474092347661E-3</v>
      </c>
    </row>
    <row r="307" spans="1:7">
      <c r="A307" s="44">
        <v>530.5752</v>
      </c>
      <c r="B307" s="44">
        <v>535.91880000000003</v>
      </c>
      <c r="C307" s="44">
        <v>529.17949999999996</v>
      </c>
      <c r="D307" s="44">
        <v>531.98090000000002</v>
      </c>
      <c r="E307" s="44">
        <v>1542157</v>
      </c>
      <c r="F307" s="44" t="s">
        <v>284</v>
      </c>
      <c r="G307" s="25">
        <f t="shared" si="2"/>
        <v>-2.6423881007758832E-3</v>
      </c>
    </row>
    <row r="308" spans="1:7">
      <c r="A308" s="44">
        <v>534.51310000000001</v>
      </c>
      <c r="B308" s="44">
        <v>536.05840000000001</v>
      </c>
      <c r="C308" s="44">
        <v>531.29300000000001</v>
      </c>
      <c r="D308" s="44">
        <v>532.00080000000003</v>
      </c>
      <c r="E308" s="44">
        <v>1109713</v>
      </c>
      <c r="F308" s="44" t="s">
        <v>285</v>
      </c>
      <c r="G308" s="25">
        <f t="shared" si="2"/>
        <v>4.72236131975734E-3</v>
      </c>
    </row>
    <row r="309" spans="1:7">
      <c r="A309" s="44">
        <v>534.07449999999994</v>
      </c>
      <c r="B309" s="44">
        <v>534.10440000000006</v>
      </c>
      <c r="C309" s="44">
        <v>526.21849999999995</v>
      </c>
      <c r="D309" s="44">
        <v>527.65409999999997</v>
      </c>
      <c r="E309" s="44">
        <v>955015</v>
      </c>
      <c r="F309" s="44" t="s">
        <v>286</v>
      </c>
      <c r="G309" s="25">
        <f t="shared" si="2"/>
        <v>1.216781978951742E-2</v>
      </c>
    </row>
    <row r="310" spans="1:7">
      <c r="A310" s="44">
        <v>527.3451</v>
      </c>
      <c r="B310" s="44">
        <v>527.78359999999998</v>
      </c>
      <c r="C310" s="44">
        <v>519.53899999999999</v>
      </c>
      <c r="D310" s="44">
        <v>524.22460000000001</v>
      </c>
      <c r="E310" s="44">
        <v>2270286</v>
      </c>
      <c r="F310" s="44" t="s">
        <v>287</v>
      </c>
      <c r="G310" s="25">
        <f t="shared" si="2"/>
        <v>5.9526012323725119E-3</v>
      </c>
    </row>
    <row r="311" spans="1:7">
      <c r="A311" s="44">
        <v>526.41790000000003</v>
      </c>
      <c r="B311" s="44">
        <v>530.4556</v>
      </c>
      <c r="C311" s="44">
        <v>517.83420000000001</v>
      </c>
      <c r="D311" s="44">
        <v>521.27369999999996</v>
      </c>
      <c r="E311" s="44">
        <v>7317151</v>
      </c>
      <c r="F311" s="44" t="s">
        <v>288</v>
      </c>
      <c r="G311" s="25">
        <f t="shared" si="2"/>
        <v>9.8685201267589839E-3</v>
      </c>
    </row>
    <row r="312" spans="1:7">
      <c r="A312" s="44">
        <v>521.68240000000003</v>
      </c>
      <c r="B312" s="44">
        <v>527.60429999999997</v>
      </c>
      <c r="C312" s="44">
        <v>520.60569999999996</v>
      </c>
      <c r="D312" s="44">
        <v>522.55970000000002</v>
      </c>
      <c r="E312" s="44">
        <v>3050813</v>
      </c>
      <c r="F312" s="44" t="s">
        <v>289</v>
      </c>
      <c r="G312" s="25">
        <f t="shared" si="2"/>
        <v>-1.6788512393894894E-3</v>
      </c>
    </row>
    <row r="313" spans="1:7">
      <c r="A313" s="44">
        <v>518.37260000000003</v>
      </c>
      <c r="B313" s="44">
        <v>535.49009999999998</v>
      </c>
      <c r="C313" s="44">
        <v>518.12329999999997</v>
      </c>
      <c r="D313" s="44">
        <v>528.70090000000005</v>
      </c>
      <c r="E313" s="44">
        <v>3190277</v>
      </c>
      <c r="F313" s="44" t="s">
        <v>290</v>
      </c>
      <c r="G313" s="25">
        <f t="shared" si="2"/>
        <v>-1.9535241948708593E-2</v>
      </c>
    </row>
    <row r="314" spans="1:7">
      <c r="A314" s="44">
        <v>529.38879999999995</v>
      </c>
      <c r="B314" s="44">
        <v>530.15650000000005</v>
      </c>
      <c r="C314" s="44">
        <v>523.26760000000002</v>
      </c>
      <c r="D314" s="44">
        <v>527.78369999999995</v>
      </c>
      <c r="E314" s="44">
        <v>4056007</v>
      </c>
      <c r="F314" s="44" t="s">
        <v>291</v>
      </c>
      <c r="G314" s="25">
        <f t="shared" si="2"/>
        <v>3.0412079797084157E-3</v>
      </c>
    </row>
    <row r="315" spans="1:7">
      <c r="A315" s="44">
        <v>528.69100000000003</v>
      </c>
      <c r="B315" s="44">
        <v>533.36659999999995</v>
      </c>
      <c r="C315" s="44">
        <v>527.38</v>
      </c>
      <c r="D315" s="44">
        <v>530.37580000000003</v>
      </c>
      <c r="E315" s="44">
        <v>2923016</v>
      </c>
      <c r="F315" s="44" t="s">
        <v>292</v>
      </c>
      <c r="G315" s="25">
        <f t="shared" si="2"/>
        <v>-3.1766155243131422E-3</v>
      </c>
    </row>
    <row r="316" spans="1:7">
      <c r="A316" s="44">
        <v>527.38499999999999</v>
      </c>
      <c r="B316" s="44">
        <v>533.04759999999999</v>
      </c>
      <c r="C316" s="44">
        <v>527.29520000000002</v>
      </c>
      <c r="D316" s="44">
        <v>532.53920000000005</v>
      </c>
      <c r="E316" s="44">
        <v>1608196</v>
      </c>
      <c r="F316" s="44" t="s">
        <v>293</v>
      </c>
      <c r="G316" s="25">
        <f t="shared" si="2"/>
        <v>-9.6785363406113323E-3</v>
      </c>
    </row>
    <row r="317" spans="1:7">
      <c r="A317" s="44">
        <v>530.78459999999995</v>
      </c>
      <c r="B317" s="44">
        <v>535.11130000000003</v>
      </c>
      <c r="C317" s="44">
        <v>530.34590000000003</v>
      </c>
      <c r="D317" s="44">
        <v>534.65269999999998</v>
      </c>
      <c r="E317" s="44">
        <v>1860815</v>
      </c>
      <c r="F317" s="44" t="s">
        <v>294</v>
      </c>
      <c r="G317" s="25">
        <f t="shared" ref="G317:G380" si="3">A317/D317-1</f>
        <v>-7.2347899860976117E-3</v>
      </c>
    </row>
    <row r="318" spans="1:7">
      <c r="A318" s="44">
        <v>532.81830000000002</v>
      </c>
      <c r="B318" s="44">
        <v>534.25390000000004</v>
      </c>
      <c r="C318" s="44">
        <v>525.66030000000001</v>
      </c>
      <c r="D318" s="44">
        <v>527.57439999999997</v>
      </c>
      <c r="E318" s="44">
        <v>2181241</v>
      </c>
      <c r="F318" s="44" t="s">
        <v>295</v>
      </c>
      <c r="G318" s="25">
        <f t="shared" si="3"/>
        <v>9.9396407407184029E-3</v>
      </c>
    </row>
    <row r="319" spans="1:7">
      <c r="A319" s="44">
        <v>527.39490000000001</v>
      </c>
      <c r="B319" s="44">
        <v>528.04300000000001</v>
      </c>
      <c r="C319" s="44">
        <v>518.63189999999997</v>
      </c>
      <c r="D319" s="44">
        <v>520.91480000000001</v>
      </c>
      <c r="E319" s="44">
        <v>2003265</v>
      </c>
      <c r="F319" s="44" t="s">
        <v>296</v>
      </c>
      <c r="G319" s="25">
        <f t="shared" si="3"/>
        <v>1.2439846209015393E-2</v>
      </c>
    </row>
    <row r="320" spans="1:7">
      <c r="A320" s="44">
        <v>521.22379999999998</v>
      </c>
      <c r="B320" s="44">
        <v>529.96709999999996</v>
      </c>
      <c r="C320" s="44">
        <v>520.2817</v>
      </c>
      <c r="D320" s="44">
        <v>527.4049</v>
      </c>
      <c r="E320" s="44">
        <v>2942047</v>
      </c>
      <c r="F320" s="44" t="s">
        <v>297</v>
      </c>
      <c r="G320" s="25">
        <f t="shared" si="3"/>
        <v>-1.1719838021982731E-2</v>
      </c>
    </row>
    <row r="321" spans="1:30" ht="15">
      <c r="A321" s="44">
        <v>526.95630000000006</v>
      </c>
      <c r="B321" s="44">
        <v>529.37890000000004</v>
      </c>
      <c r="C321" s="44">
        <v>520.90480000000002</v>
      </c>
      <c r="D321" s="44">
        <v>521.33349999999996</v>
      </c>
      <c r="E321" s="44">
        <v>2122791</v>
      </c>
      <c r="F321" s="44" t="s">
        <v>298</v>
      </c>
      <c r="G321" s="25">
        <f t="shared" si="3"/>
        <v>1.0785418546861214E-2</v>
      </c>
      <c r="AD321" s="2" t="s">
        <v>146</v>
      </c>
    </row>
    <row r="322" spans="1:30">
      <c r="A322" s="44">
        <v>523.16790000000003</v>
      </c>
      <c r="B322" s="44">
        <v>525.8596</v>
      </c>
      <c r="C322" s="44">
        <v>520.57579999999996</v>
      </c>
      <c r="D322" s="44">
        <v>522.99839999999995</v>
      </c>
      <c r="E322" s="44">
        <v>2538695</v>
      </c>
      <c r="F322" s="44" t="s">
        <v>299</v>
      </c>
      <c r="G322" s="25">
        <f t="shared" si="3"/>
        <v>3.2409276969125322E-4</v>
      </c>
      <c r="AD322" s="1" t="s">
        <v>147</v>
      </c>
    </row>
    <row r="323" spans="1:30">
      <c r="A323" s="44">
        <v>519.54899999999998</v>
      </c>
      <c r="B323" s="44">
        <v>524.66830000000004</v>
      </c>
      <c r="C323" s="44">
        <v>516.58799999999997</v>
      </c>
      <c r="D323" s="44">
        <v>522.04129999999998</v>
      </c>
      <c r="E323" s="44">
        <v>2630030</v>
      </c>
      <c r="F323" s="44" t="s">
        <v>300</v>
      </c>
      <c r="G323" s="25">
        <f t="shared" si="3"/>
        <v>-4.7741433484285167E-3</v>
      </c>
    </row>
    <row r="324" spans="1:30">
      <c r="A324" s="44">
        <v>524.57360000000006</v>
      </c>
      <c r="B324" s="44">
        <v>533.18719999999996</v>
      </c>
      <c r="C324" s="44">
        <v>524.35419999999999</v>
      </c>
      <c r="D324" s="44">
        <v>533.03769999999997</v>
      </c>
      <c r="E324" s="44">
        <v>2319746</v>
      </c>
      <c r="F324" s="44" t="s">
        <v>301</v>
      </c>
      <c r="G324" s="25">
        <f t="shared" si="3"/>
        <v>-1.5878989422324019E-2</v>
      </c>
    </row>
    <row r="325" spans="1:30">
      <c r="A325" s="44">
        <v>529.73779999999999</v>
      </c>
      <c r="B325" s="44">
        <v>533.18719999999996</v>
      </c>
      <c r="C325" s="44">
        <v>524.62339999999995</v>
      </c>
      <c r="D325" s="44">
        <v>531.303</v>
      </c>
      <c r="E325" s="44">
        <v>2355191</v>
      </c>
      <c r="F325" s="44" t="s">
        <v>302</v>
      </c>
      <c r="G325" s="25">
        <f t="shared" si="3"/>
        <v>-2.9459649202056015E-3</v>
      </c>
    </row>
    <row r="326" spans="1:30">
      <c r="A326" s="44">
        <v>531.31290000000001</v>
      </c>
      <c r="B326" s="44">
        <v>534.13419999999996</v>
      </c>
      <c r="C326" s="44">
        <v>528.40679999999998</v>
      </c>
      <c r="D326" s="44">
        <v>531.3827</v>
      </c>
      <c r="E326" s="44">
        <v>1760566</v>
      </c>
      <c r="F326" s="44" t="s">
        <v>303</v>
      </c>
      <c r="G326" s="25">
        <f t="shared" si="3"/>
        <v>-1.3135542425446456E-4</v>
      </c>
    </row>
    <row r="327" spans="1:30">
      <c r="A327" s="44">
        <v>530.75459999999998</v>
      </c>
      <c r="B327" s="44">
        <v>531.99090000000001</v>
      </c>
      <c r="C327" s="44">
        <v>524.97239999999999</v>
      </c>
      <c r="D327" s="44">
        <v>527.4348</v>
      </c>
      <c r="E327" s="44">
        <v>2086434</v>
      </c>
      <c r="F327" s="44" t="s">
        <v>304</v>
      </c>
      <c r="G327" s="25">
        <f t="shared" si="3"/>
        <v>6.2942376953512014E-3</v>
      </c>
    </row>
    <row r="328" spans="1:30">
      <c r="A328" s="44">
        <v>526.86659999999995</v>
      </c>
      <c r="B328" s="44">
        <v>529.02980000000002</v>
      </c>
      <c r="C328" s="44">
        <v>523.45699999999999</v>
      </c>
      <c r="D328" s="44">
        <v>526.28830000000005</v>
      </c>
      <c r="E328" s="44">
        <v>2326797</v>
      </c>
      <c r="F328" s="44" t="s">
        <v>305</v>
      </c>
      <c r="G328" s="25">
        <f t="shared" si="3"/>
        <v>1.0988273917544866E-3</v>
      </c>
    </row>
    <row r="329" spans="1:30">
      <c r="A329" s="44">
        <v>524.9923</v>
      </c>
      <c r="B329" s="44">
        <v>526.63729999999998</v>
      </c>
      <c r="C329" s="44">
        <v>519.42930000000001</v>
      </c>
      <c r="D329" s="44">
        <v>520.04740000000004</v>
      </c>
      <c r="E329" s="44">
        <v>4503914</v>
      </c>
      <c r="F329" s="44" t="s">
        <v>306</v>
      </c>
      <c r="G329" s="25">
        <f t="shared" si="3"/>
        <v>9.5085563354415648E-3</v>
      </c>
    </row>
    <row r="330" spans="1:30">
      <c r="A330" s="44">
        <v>519.26980000000003</v>
      </c>
      <c r="B330" s="44">
        <v>520.11220000000003</v>
      </c>
      <c r="C330" s="44">
        <v>514.60410000000002</v>
      </c>
      <c r="D330" s="44">
        <v>515.35180000000003</v>
      </c>
      <c r="E330" s="44">
        <v>3130470</v>
      </c>
      <c r="F330" s="44" t="s">
        <v>307</v>
      </c>
      <c r="G330" s="25">
        <f t="shared" si="3"/>
        <v>7.6025736205831418E-3</v>
      </c>
    </row>
    <row r="331" spans="1:30">
      <c r="A331" s="44">
        <v>513.52739999999994</v>
      </c>
      <c r="B331" s="44">
        <v>518.53210000000001</v>
      </c>
      <c r="C331" s="44">
        <v>510.0181</v>
      </c>
      <c r="D331" s="44">
        <v>511.66309999999999</v>
      </c>
      <c r="E331" s="44">
        <v>3077464</v>
      </c>
      <c r="F331" s="44" t="s">
        <v>308</v>
      </c>
      <c r="G331" s="25">
        <f t="shared" si="3"/>
        <v>3.6436084603324037E-3</v>
      </c>
    </row>
    <row r="332" spans="1:30">
      <c r="A332" s="44">
        <v>510.97519999999997</v>
      </c>
      <c r="B332" s="44">
        <v>520.90480000000002</v>
      </c>
      <c r="C332" s="44">
        <v>509.43990000000002</v>
      </c>
      <c r="D332" s="44">
        <v>519.93780000000004</v>
      </c>
      <c r="E332" s="44">
        <v>2409527</v>
      </c>
      <c r="F332" s="44" t="s">
        <v>309</v>
      </c>
      <c r="G332" s="25">
        <f t="shared" si="3"/>
        <v>-1.7237831140571203E-2</v>
      </c>
    </row>
    <row r="333" spans="1:30">
      <c r="A333" s="44">
        <v>517.8741</v>
      </c>
      <c r="B333" s="44">
        <v>521.05439999999999</v>
      </c>
      <c r="C333" s="44">
        <v>515.17830000000004</v>
      </c>
      <c r="D333" s="44">
        <v>517.19619999999998</v>
      </c>
      <c r="E333" s="44">
        <v>2716216</v>
      </c>
      <c r="F333" s="44" t="s">
        <v>310</v>
      </c>
      <c r="G333" s="25">
        <f t="shared" si="3"/>
        <v>1.310721153790384E-3</v>
      </c>
    </row>
    <row r="334" spans="1:30">
      <c r="A334" s="44">
        <v>520.03750000000002</v>
      </c>
      <c r="B334" s="44">
        <v>521.89179999999999</v>
      </c>
      <c r="C334" s="44">
        <v>515.42160000000001</v>
      </c>
      <c r="D334" s="44">
        <v>517.00670000000002</v>
      </c>
      <c r="E334" s="44">
        <v>2493483</v>
      </c>
      <c r="F334" s="44" t="s">
        <v>311</v>
      </c>
      <c r="G334" s="25">
        <f t="shared" si="3"/>
        <v>5.8622064278857078E-3</v>
      </c>
    </row>
    <row r="335" spans="1:30">
      <c r="A335" s="44">
        <v>520.29669999999999</v>
      </c>
      <c r="B335" s="44">
        <v>521.7921</v>
      </c>
      <c r="C335" s="44">
        <v>516.41849999999999</v>
      </c>
      <c r="D335" s="44">
        <v>516.94190000000003</v>
      </c>
      <c r="E335" s="44">
        <v>2408193</v>
      </c>
      <c r="F335" s="44" t="s">
        <v>312</v>
      </c>
      <c r="G335" s="25">
        <f t="shared" si="3"/>
        <v>6.489704162111698E-3</v>
      </c>
    </row>
    <row r="336" spans="1:30">
      <c r="A336" s="44">
        <v>518.81119999999999</v>
      </c>
      <c r="B336" s="44">
        <v>520.76520000000005</v>
      </c>
      <c r="C336" s="44">
        <v>516.06960000000004</v>
      </c>
      <c r="D336" s="44">
        <v>519.03060000000005</v>
      </c>
      <c r="E336" s="44">
        <v>2480583</v>
      </c>
      <c r="F336" s="44" t="s">
        <v>313</v>
      </c>
      <c r="G336" s="25">
        <f t="shared" si="3"/>
        <v>-4.2271110797720279E-4</v>
      </c>
    </row>
    <row r="337" spans="1:7">
      <c r="A337" s="44">
        <v>520.2867</v>
      </c>
      <c r="B337" s="44">
        <v>528.88040000000001</v>
      </c>
      <c r="C337" s="44">
        <v>514.83839999999998</v>
      </c>
      <c r="D337" s="44">
        <v>528.39189999999996</v>
      </c>
      <c r="E337" s="44">
        <v>2681881</v>
      </c>
      <c r="F337" s="44" t="s">
        <v>314</v>
      </c>
      <c r="G337" s="25">
        <f t="shared" si="3"/>
        <v>-1.5339372159187126E-2</v>
      </c>
    </row>
    <row r="338" spans="1:7">
      <c r="A338" s="44">
        <v>527.55439999999999</v>
      </c>
      <c r="B338" s="44">
        <v>529.27919999999995</v>
      </c>
      <c r="C338" s="44">
        <v>525.6902</v>
      </c>
      <c r="D338" s="44">
        <v>527.48469999999998</v>
      </c>
      <c r="E338" s="44">
        <v>2577628</v>
      </c>
      <c r="F338" s="44" t="s">
        <v>315</v>
      </c>
      <c r="G338" s="25">
        <f t="shared" si="3"/>
        <v>1.3213653400745429E-4</v>
      </c>
    </row>
    <row r="339" spans="1:7">
      <c r="A339" s="44">
        <v>528.50149999999996</v>
      </c>
      <c r="B339" s="44">
        <v>532.39459999999997</v>
      </c>
      <c r="C339" s="44">
        <v>526.90139999999997</v>
      </c>
      <c r="D339" s="44">
        <v>527.23540000000003</v>
      </c>
      <c r="E339" s="44">
        <v>2213822</v>
      </c>
      <c r="F339" s="44" t="s">
        <v>316</v>
      </c>
      <c r="G339" s="25">
        <f t="shared" si="3"/>
        <v>2.4013941400746752E-3</v>
      </c>
    </row>
    <row r="340" spans="1:7">
      <c r="A340" s="44">
        <v>523.15790000000004</v>
      </c>
      <c r="B340" s="44">
        <v>527.22550000000001</v>
      </c>
      <c r="C340" s="44">
        <v>517.94389999999999</v>
      </c>
      <c r="D340" s="44">
        <v>518.75139999999999</v>
      </c>
      <c r="E340" s="44">
        <v>2215681</v>
      </c>
      <c r="F340" s="44" t="s">
        <v>317</v>
      </c>
      <c r="G340" s="25">
        <f t="shared" si="3"/>
        <v>8.494434906585413E-3</v>
      </c>
    </row>
    <row r="341" spans="1:7">
      <c r="A341" s="44">
        <v>516.2989</v>
      </c>
      <c r="B341" s="44">
        <v>522.43010000000004</v>
      </c>
      <c r="C341" s="44">
        <v>515.01300000000003</v>
      </c>
      <c r="D341" s="44">
        <v>522.39030000000002</v>
      </c>
      <c r="E341" s="44">
        <v>2382508</v>
      </c>
      <c r="F341" s="44" t="s">
        <v>318</v>
      </c>
      <c r="G341" s="25">
        <f t="shared" si="3"/>
        <v>-1.166062999255546E-2</v>
      </c>
    </row>
    <row r="342" spans="1:7">
      <c r="A342" s="44">
        <v>519.53899999999999</v>
      </c>
      <c r="B342" s="44">
        <v>521.40329999999994</v>
      </c>
      <c r="C342" s="44">
        <v>514.36479999999995</v>
      </c>
      <c r="D342" s="44">
        <v>519.26980000000003</v>
      </c>
      <c r="E342" s="44">
        <v>3674066</v>
      </c>
      <c r="F342" s="44" t="s">
        <v>319</v>
      </c>
      <c r="G342" s="25">
        <f t="shared" si="3"/>
        <v>5.1842028941395668E-4</v>
      </c>
    </row>
    <row r="343" spans="1:7">
      <c r="A343" s="44">
        <v>504.01650000000001</v>
      </c>
      <c r="B343" s="44">
        <v>506.59859999999998</v>
      </c>
      <c r="C343" s="44">
        <v>502.07249999999999</v>
      </c>
      <c r="D343" s="44">
        <v>504.03649999999999</v>
      </c>
      <c r="E343" s="44">
        <v>2132859</v>
      </c>
      <c r="F343" s="44" t="s">
        <v>320</v>
      </c>
      <c r="G343" s="25">
        <f t="shared" si="3"/>
        <v>-3.9679666055891794E-5</v>
      </c>
    </row>
    <row r="344" spans="1:7">
      <c r="A344" s="44">
        <v>504.03649999999999</v>
      </c>
      <c r="B344" s="44">
        <v>508.44299999999998</v>
      </c>
      <c r="C344" s="44">
        <v>501.49430000000001</v>
      </c>
      <c r="D344" s="44">
        <v>507.5856</v>
      </c>
      <c r="E344" s="44">
        <v>2165122</v>
      </c>
      <c r="F344" s="44" t="s">
        <v>321</v>
      </c>
      <c r="G344" s="25">
        <f t="shared" si="3"/>
        <v>-6.992121131883966E-3</v>
      </c>
    </row>
    <row r="345" spans="1:7">
      <c r="A345" s="44">
        <v>506.52879999999999</v>
      </c>
      <c r="B345" s="44">
        <v>508.99130000000002</v>
      </c>
      <c r="C345" s="44">
        <v>497.00799999999998</v>
      </c>
      <c r="D345" s="44">
        <v>498.91219999999998</v>
      </c>
      <c r="E345" s="44">
        <v>3753713</v>
      </c>
      <c r="F345" s="44" t="s">
        <v>322</v>
      </c>
      <c r="G345" s="25">
        <f t="shared" si="3"/>
        <v>1.5266413609448692E-2</v>
      </c>
    </row>
    <row r="346" spans="1:7">
      <c r="A346" s="44">
        <v>498.06479999999999</v>
      </c>
      <c r="B346" s="44">
        <v>526.28819999999996</v>
      </c>
      <c r="C346" s="44">
        <v>497.50650000000002</v>
      </c>
      <c r="D346" s="44">
        <v>519.65859999999998</v>
      </c>
      <c r="E346" s="44">
        <v>5523340</v>
      </c>
      <c r="F346" s="44" t="s">
        <v>323</v>
      </c>
      <c r="G346" s="25">
        <f t="shared" si="3"/>
        <v>-4.1553820142685938E-2</v>
      </c>
    </row>
    <row r="347" spans="1:7">
      <c r="A347" s="44">
        <v>512.12170000000003</v>
      </c>
      <c r="B347" s="44">
        <v>514.87329999999997</v>
      </c>
      <c r="C347" s="44">
        <v>505.45209999999997</v>
      </c>
      <c r="D347" s="44">
        <v>510.95530000000002</v>
      </c>
      <c r="E347" s="44">
        <v>3120968</v>
      </c>
      <c r="F347" s="44" t="s">
        <v>324</v>
      </c>
      <c r="G347" s="25">
        <f t="shared" si="3"/>
        <v>2.2827828579135012E-3</v>
      </c>
    </row>
    <row r="348" spans="1:7">
      <c r="A348" s="44">
        <v>504.73430000000002</v>
      </c>
      <c r="B348" s="44">
        <v>509.82870000000003</v>
      </c>
      <c r="C348" s="44">
        <v>504.15609999999998</v>
      </c>
      <c r="D348" s="44">
        <v>505.9905</v>
      </c>
      <c r="E348" s="44">
        <v>2066616</v>
      </c>
      <c r="F348" s="44" t="s">
        <v>325</v>
      </c>
      <c r="G348" s="25">
        <f t="shared" si="3"/>
        <v>-2.482655306769499E-3</v>
      </c>
    </row>
    <row r="349" spans="1:7">
      <c r="A349" s="44">
        <v>506.65839999999997</v>
      </c>
      <c r="B349" s="44">
        <v>509.30020000000002</v>
      </c>
      <c r="C349" s="44">
        <v>504.59480000000002</v>
      </c>
      <c r="D349" s="44">
        <v>505.85090000000002</v>
      </c>
      <c r="E349" s="44">
        <v>2186574</v>
      </c>
      <c r="F349" s="44" t="s">
        <v>326</v>
      </c>
      <c r="G349" s="25">
        <f t="shared" si="3"/>
        <v>1.5963201805115901E-3</v>
      </c>
    </row>
    <row r="350" spans="1:7">
      <c r="A350" s="44">
        <v>505.81099999999998</v>
      </c>
      <c r="B350" s="44">
        <v>513.1585</v>
      </c>
      <c r="C350" s="44">
        <v>504.0763</v>
      </c>
      <c r="D350" s="44">
        <v>510.93529999999998</v>
      </c>
      <c r="E350" s="44">
        <v>1582222</v>
      </c>
      <c r="F350" s="44" t="s">
        <v>327</v>
      </c>
      <c r="G350" s="25">
        <f t="shared" si="3"/>
        <v>-1.0029254193241299E-2</v>
      </c>
    </row>
    <row r="351" spans="1:7">
      <c r="A351" s="44">
        <v>509.06110000000001</v>
      </c>
      <c r="B351" s="44">
        <v>511.77280000000002</v>
      </c>
      <c r="C351" s="44">
        <v>507.90460000000002</v>
      </c>
      <c r="D351" s="44">
        <v>510.3372</v>
      </c>
      <c r="E351" s="44">
        <v>1912122</v>
      </c>
      <c r="F351" s="44" t="s">
        <v>328</v>
      </c>
      <c r="G351" s="25">
        <f t="shared" si="3"/>
        <v>-2.5005035886076499E-3</v>
      </c>
    </row>
    <row r="352" spans="1:7">
      <c r="A352" s="44">
        <v>512.16160000000002</v>
      </c>
      <c r="B352" s="44">
        <v>513.14850000000001</v>
      </c>
      <c r="C352" s="44">
        <v>510.3372</v>
      </c>
      <c r="D352" s="44">
        <v>511.0949</v>
      </c>
      <c r="E352" s="44">
        <v>1759887</v>
      </c>
      <c r="F352" s="44" t="s">
        <v>329</v>
      </c>
      <c r="G352" s="25">
        <f t="shared" si="3"/>
        <v>2.0870879361152284E-3</v>
      </c>
    </row>
    <row r="353" spans="1:7">
      <c r="A353" s="44">
        <v>511.4538</v>
      </c>
      <c r="B353" s="44">
        <v>512.97910000000002</v>
      </c>
      <c r="C353" s="44">
        <v>508.94139999999999</v>
      </c>
      <c r="D353" s="44">
        <v>509.58949999999999</v>
      </c>
      <c r="E353" s="44">
        <v>1855981</v>
      </c>
      <c r="F353" s="44" t="s">
        <v>330</v>
      </c>
      <c r="G353" s="25">
        <f t="shared" si="3"/>
        <v>3.6584348774848507E-3</v>
      </c>
    </row>
    <row r="354" spans="1:7">
      <c r="A354" s="44">
        <v>513.43769999999995</v>
      </c>
      <c r="B354" s="44">
        <v>517.23599999999999</v>
      </c>
      <c r="C354" s="44">
        <v>512.37099999999998</v>
      </c>
      <c r="D354" s="44">
        <v>515.41160000000002</v>
      </c>
      <c r="E354" s="44">
        <v>2217572</v>
      </c>
      <c r="F354" s="44" t="s">
        <v>331</v>
      </c>
      <c r="G354" s="25">
        <f t="shared" si="3"/>
        <v>-3.8297547047836389E-3</v>
      </c>
    </row>
    <row r="355" spans="1:7">
      <c r="A355" s="44">
        <v>514.7636</v>
      </c>
      <c r="B355" s="44">
        <v>516.41849999999999</v>
      </c>
      <c r="C355" s="44">
        <v>511.01510000000002</v>
      </c>
      <c r="D355" s="44">
        <v>512.96910000000003</v>
      </c>
      <c r="E355" s="44">
        <v>2604684</v>
      </c>
      <c r="F355" s="44" t="s">
        <v>332</v>
      </c>
      <c r="G355" s="25">
        <f t="shared" si="3"/>
        <v>3.4982613962517561E-3</v>
      </c>
    </row>
    <row r="356" spans="1:7">
      <c r="A356" s="44">
        <v>512.19150000000002</v>
      </c>
      <c r="B356" s="44">
        <v>515.4665</v>
      </c>
      <c r="C356" s="44">
        <v>509.95830000000001</v>
      </c>
      <c r="D356" s="44">
        <v>514.71379999999999</v>
      </c>
      <c r="E356" s="44">
        <v>2227465</v>
      </c>
      <c r="F356" s="44" t="s">
        <v>333</v>
      </c>
      <c r="G356" s="25">
        <f t="shared" si="3"/>
        <v>-4.9003931893801811E-3</v>
      </c>
    </row>
    <row r="357" spans="1:7">
      <c r="A357" s="44">
        <v>512.50049999999999</v>
      </c>
      <c r="B357" s="44">
        <v>513.82899999999995</v>
      </c>
      <c r="C357" s="44">
        <v>504.45519999999999</v>
      </c>
      <c r="D357" s="44">
        <v>504.80410000000001</v>
      </c>
      <c r="E357" s="44">
        <v>2956878</v>
      </c>
      <c r="F357" s="44" t="s">
        <v>334</v>
      </c>
      <c r="G357" s="25">
        <f t="shared" si="3"/>
        <v>1.5246310400410801E-2</v>
      </c>
    </row>
    <row r="358" spans="1:7">
      <c r="A358" s="44">
        <v>505.6814</v>
      </c>
      <c r="B358" s="44">
        <v>508.32330000000002</v>
      </c>
      <c r="C358" s="44">
        <v>502.46129999999999</v>
      </c>
      <c r="D358" s="44">
        <v>504.0763</v>
      </c>
      <c r="E358" s="44">
        <v>2885897</v>
      </c>
      <c r="F358" s="44" t="s">
        <v>335</v>
      </c>
      <c r="G358" s="25">
        <f t="shared" si="3"/>
        <v>3.1842401636419382E-3</v>
      </c>
    </row>
    <row r="359" spans="1:7">
      <c r="A359" s="44">
        <v>505.11320000000001</v>
      </c>
      <c r="B359" s="44">
        <v>507.23669999999998</v>
      </c>
      <c r="C359" s="44">
        <v>500.5172</v>
      </c>
      <c r="D359" s="44">
        <v>502.8202</v>
      </c>
      <c r="E359" s="44">
        <v>2127041</v>
      </c>
      <c r="F359" s="44" t="s">
        <v>336</v>
      </c>
      <c r="G359" s="25">
        <f t="shared" si="3"/>
        <v>4.5602782068023817E-3</v>
      </c>
    </row>
    <row r="360" spans="1:7">
      <c r="A360" s="44">
        <v>500.72660000000002</v>
      </c>
      <c r="B360" s="44">
        <v>501.38459999999998</v>
      </c>
      <c r="C360" s="44">
        <v>494.94929999999999</v>
      </c>
      <c r="D360" s="44">
        <v>494.99419999999998</v>
      </c>
      <c r="E360" s="44">
        <v>1920085</v>
      </c>
      <c r="F360" s="44" t="s">
        <v>337</v>
      </c>
      <c r="G360" s="25">
        <f t="shared" si="3"/>
        <v>1.1580741754145807E-2</v>
      </c>
    </row>
    <row r="361" spans="1:7">
      <c r="A361" s="44">
        <v>496.49950000000001</v>
      </c>
      <c r="B361" s="44">
        <v>499.19470000000001</v>
      </c>
      <c r="C361" s="44">
        <v>494.32619999999997</v>
      </c>
      <c r="D361" s="44">
        <v>498.4735</v>
      </c>
      <c r="E361" s="44">
        <v>1491085</v>
      </c>
      <c r="F361" s="44" t="s">
        <v>338</v>
      </c>
      <c r="G361" s="25">
        <f t="shared" si="3"/>
        <v>-3.9600901552439005E-3</v>
      </c>
    </row>
    <row r="362" spans="1:7">
      <c r="A362" s="44">
        <v>498.4237</v>
      </c>
      <c r="B362" s="44">
        <v>499.22109999999998</v>
      </c>
      <c r="C362" s="44">
        <v>494.077</v>
      </c>
      <c r="D362" s="44">
        <v>496.85840000000002</v>
      </c>
      <c r="E362" s="44">
        <v>1707580</v>
      </c>
      <c r="F362" s="44" t="s">
        <v>339</v>
      </c>
      <c r="G362" s="25">
        <f t="shared" si="3"/>
        <v>3.1503945590936056E-3</v>
      </c>
    </row>
    <row r="363" spans="1:7">
      <c r="A363" s="44">
        <v>494.8845</v>
      </c>
      <c r="B363" s="44">
        <v>495.35239999999999</v>
      </c>
      <c r="C363" s="44">
        <v>489.37869999999998</v>
      </c>
      <c r="D363" s="44">
        <v>490.34449999999998</v>
      </c>
      <c r="E363" s="44">
        <v>1750066</v>
      </c>
      <c r="F363" s="44" t="s">
        <v>340</v>
      </c>
      <c r="G363" s="25">
        <f t="shared" si="3"/>
        <v>9.258796621558929E-3</v>
      </c>
    </row>
    <row r="364" spans="1:7">
      <c r="A364" s="44">
        <v>489.1497</v>
      </c>
      <c r="B364" s="44">
        <v>496.34809999999999</v>
      </c>
      <c r="C364" s="44">
        <v>488.60210000000001</v>
      </c>
      <c r="D364" s="44">
        <v>495.1533</v>
      </c>
      <c r="E364" s="44">
        <v>1990708</v>
      </c>
      <c r="F364" s="44" t="s">
        <v>341</v>
      </c>
      <c r="G364" s="25">
        <f t="shared" si="3"/>
        <v>-1.2124729856389904E-2</v>
      </c>
    </row>
    <row r="365" spans="1:7">
      <c r="A365" s="44">
        <v>495.52170000000001</v>
      </c>
      <c r="B365" s="44">
        <v>496.86579999999998</v>
      </c>
      <c r="C365" s="44">
        <v>490.31459999999998</v>
      </c>
      <c r="D365" s="44">
        <v>493.39109999999999</v>
      </c>
      <c r="E365" s="44">
        <v>1935893</v>
      </c>
      <c r="F365" s="44" t="s">
        <v>342</v>
      </c>
      <c r="G365" s="25">
        <f t="shared" si="3"/>
        <v>4.3182781367561152E-3</v>
      </c>
    </row>
    <row r="366" spans="1:7">
      <c r="A366" s="44">
        <v>492.80360000000002</v>
      </c>
      <c r="B366" s="44">
        <v>494.9119</v>
      </c>
      <c r="C366" s="44">
        <v>490.84230000000002</v>
      </c>
      <c r="D366" s="44">
        <v>493.3811</v>
      </c>
      <c r="E366" s="44">
        <v>1382289</v>
      </c>
      <c r="F366" s="44" t="s">
        <v>343</v>
      </c>
      <c r="G366" s="25">
        <f t="shared" si="3"/>
        <v>-1.1704947757422701E-3</v>
      </c>
    </row>
    <row r="367" spans="1:7">
      <c r="A367" s="44">
        <v>493.40100000000001</v>
      </c>
      <c r="B367" s="44">
        <v>493.73950000000002</v>
      </c>
      <c r="C367" s="44">
        <v>487.53680000000003</v>
      </c>
      <c r="D367" s="44">
        <v>490.78250000000003</v>
      </c>
      <c r="E367" s="44">
        <v>1736490</v>
      </c>
      <c r="F367" s="44" t="s">
        <v>344</v>
      </c>
      <c r="G367" s="25">
        <f t="shared" si="3"/>
        <v>5.335357312047595E-3</v>
      </c>
    </row>
    <row r="368" spans="1:7">
      <c r="A368" s="44">
        <v>494.20749999999998</v>
      </c>
      <c r="B368" s="44">
        <v>495.85019999999997</v>
      </c>
      <c r="C368" s="44">
        <v>490.95179999999999</v>
      </c>
      <c r="D368" s="44">
        <v>495.08359999999999</v>
      </c>
      <c r="E368" s="44">
        <v>3748206</v>
      </c>
      <c r="F368" s="44" t="s">
        <v>345</v>
      </c>
      <c r="G368" s="25">
        <f t="shared" si="3"/>
        <v>-1.7696001241003234E-3</v>
      </c>
    </row>
    <row r="369" spans="1:7">
      <c r="A369" s="44">
        <v>491.6388</v>
      </c>
      <c r="B369" s="44">
        <v>492.8236</v>
      </c>
      <c r="C369" s="44">
        <v>487.9649</v>
      </c>
      <c r="D369" s="44">
        <v>489.62759999999997</v>
      </c>
      <c r="E369" s="44">
        <v>2862475</v>
      </c>
      <c r="F369" s="44" t="s">
        <v>346</v>
      </c>
      <c r="G369" s="25">
        <f t="shared" si="3"/>
        <v>4.1076115807197056E-3</v>
      </c>
    </row>
    <row r="370" spans="1:7">
      <c r="A370" s="44">
        <v>491.47949999999997</v>
      </c>
      <c r="B370" s="44">
        <v>493.82909999999998</v>
      </c>
      <c r="C370" s="44">
        <v>488.24369999999999</v>
      </c>
      <c r="D370" s="44">
        <v>488.8809</v>
      </c>
      <c r="E370" s="44">
        <v>2177336</v>
      </c>
      <c r="F370" s="44" t="s">
        <v>347</v>
      </c>
      <c r="G370" s="25">
        <f t="shared" si="3"/>
        <v>5.3154050403687592E-3</v>
      </c>
    </row>
    <row r="371" spans="1:7">
      <c r="A371" s="44">
        <v>489.1198</v>
      </c>
      <c r="B371" s="44">
        <v>491.46449999999999</v>
      </c>
      <c r="C371" s="44">
        <v>486.85980000000001</v>
      </c>
      <c r="D371" s="44">
        <v>488.851</v>
      </c>
      <c r="E371" s="44">
        <v>3073747</v>
      </c>
      <c r="F371" s="44" t="s">
        <v>348</v>
      </c>
      <c r="G371" s="25">
        <f t="shared" si="3"/>
        <v>5.4986079602992177E-4</v>
      </c>
    </row>
    <row r="372" spans="1:7">
      <c r="A372" s="44">
        <v>487.30779999999999</v>
      </c>
      <c r="B372" s="44">
        <v>487.75580000000002</v>
      </c>
      <c r="C372" s="44">
        <v>481.4237</v>
      </c>
      <c r="D372" s="44">
        <v>482.63830000000002</v>
      </c>
      <c r="E372" s="44">
        <v>3483193</v>
      </c>
      <c r="F372" s="44" t="s">
        <v>349</v>
      </c>
      <c r="G372" s="25">
        <f t="shared" si="3"/>
        <v>9.674947056625971E-3</v>
      </c>
    </row>
    <row r="373" spans="1:7">
      <c r="A373" s="44">
        <v>485.27670000000001</v>
      </c>
      <c r="B373" s="44">
        <v>491.08620000000002</v>
      </c>
      <c r="C373" s="44">
        <v>482.2998</v>
      </c>
      <c r="D373" s="44">
        <v>490.52370000000002</v>
      </c>
      <c r="E373" s="44">
        <v>4143654</v>
      </c>
      <c r="F373" s="44" t="s">
        <v>350</v>
      </c>
      <c r="G373" s="25">
        <f t="shared" si="3"/>
        <v>-1.0696730861322279E-2</v>
      </c>
    </row>
    <row r="374" spans="1:7">
      <c r="A374" s="44">
        <v>494.96409999999997</v>
      </c>
      <c r="B374" s="44">
        <v>495.51170000000002</v>
      </c>
      <c r="C374" s="44">
        <v>489.1497</v>
      </c>
      <c r="D374" s="44">
        <v>491.0016</v>
      </c>
      <c r="E374" s="44">
        <v>2191256</v>
      </c>
      <c r="F374" s="44" t="s">
        <v>351</v>
      </c>
      <c r="G374" s="25">
        <f t="shared" si="3"/>
        <v>8.0702384676545336E-3</v>
      </c>
    </row>
    <row r="375" spans="1:7">
      <c r="A375" s="44">
        <v>490.58339999999998</v>
      </c>
      <c r="B375" s="44">
        <v>491.36989999999997</v>
      </c>
      <c r="C375" s="44">
        <v>485.6053</v>
      </c>
      <c r="D375" s="44">
        <v>487.50689999999997</v>
      </c>
      <c r="E375" s="44">
        <v>3470313</v>
      </c>
      <c r="F375" s="44" t="s">
        <v>352</v>
      </c>
      <c r="G375" s="25">
        <f t="shared" si="3"/>
        <v>6.3106799103767042E-3</v>
      </c>
    </row>
    <row r="376" spans="1:7">
      <c r="A376" s="44">
        <v>490.85219999999998</v>
      </c>
      <c r="B376" s="44">
        <v>498.93669999999997</v>
      </c>
      <c r="C376" s="44">
        <v>484.12180000000001</v>
      </c>
      <c r="D376" s="44">
        <v>497.8116</v>
      </c>
      <c r="E376" s="44">
        <v>3517228</v>
      </c>
      <c r="F376" s="44" t="s">
        <v>353</v>
      </c>
      <c r="G376" s="25">
        <f t="shared" si="3"/>
        <v>-1.3979987609770483E-2</v>
      </c>
    </row>
    <row r="377" spans="1:7">
      <c r="A377" s="44">
        <v>492.59460000000001</v>
      </c>
      <c r="B377" s="44">
        <v>499.6037</v>
      </c>
      <c r="C377" s="44">
        <v>491.8777</v>
      </c>
      <c r="D377" s="44">
        <v>499.08600000000001</v>
      </c>
      <c r="E377" s="44">
        <v>2193838</v>
      </c>
      <c r="F377" s="44" t="s">
        <v>354</v>
      </c>
      <c r="G377" s="25">
        <f t="shared" si="3"/>
        <v>-1.3006576020966332E-2</v>
      </c>
    </row>
    <row r="378" spans="1:7">
      <c r="A378" s="44">
        <v>498.79730000000001</v>
      </c>
      <c r="B378" s="44">
        <v>499.54399999999998</v>
      </c>
      <c r="C378" s="44">
        <v>495.67099999999999</v>
      </c>
      <c r="D378" s="44">
        <v>496.4178</v>
      </c>
      <c r="E378" s="44">
        <v>2202852</v>
      </c>
      <c r="F378" s="44" t="s">
        <v>355</v>
      </c>
      <c r="G378" s="25">
        <f t="shared" si="3"/>
        <v>4.7933414152352416E-3</v>
      </c>
    </row>
    <row r="379" spans="1:7">
      <c r="A379" s="44">
        <v>495.53160000000003</v>
      </c>
      <c r="B379" s="44">
        <v>496.13900000000001</v>
      </c>
      <c r="C379" s="44">
        <v>491.23059999999998</v>
      </c>
      <c r="D379" s="44">
        <v>493.13220000000001</v>
      </c>
      <c r="E379" s="44">
        <v>1589320</v>
      </c>
      <c r="F379" s="44" t="s">
        <v>356</v>
      </c>
      <c r="G379" s="25">
        <f t="shared" si="3"/>
        <v>4.8656323801203882E-3</v>
      </c>
    </row>
    <row r="380" spans="1:7">
      <c r="A380" s="44">
        <v>491.20069999999998</v>
      </c>
      <c r="B380" s="44">
        <v>494.67540000000002</v>
      </c>
      <c r="C380" s="44">
        <v>489.29899999999998</v>
      </c>
      <c r="D380" s="44">
        <v>490.9418</v>
      </c>
      <c r="E380" s="44">
        <v>2204789</v>
      </c>
      <c r="F380" s="44" t="s">
        <v>357</v>
      </c>
      <c r="G380" s="25">
        <f t="shared" si="3"/>
        <v>5.2735375150381181E-4</v>
      </c>
    </row>
    <row r="381" spans="1:7">
      <c r="A381" s="44">
        <v>489.95620000000002</v>
      </c>
      <c r="B381" s="44">
        <v>490.72280000000001</v>
      </c>
      <c r="C381" s="44">
        <v>480.88600000000002</v>
      </c>
      <c r="D381" s="44">
        <v>484.81869999999998</v>
      </c>
      <c r="E381" s="44">
        <v>2299485</v>
      </c>
      <c r="F381" s="44" t="s">
        <v>358</v>
      </c>
      <c r="G381" s="25">
        <f t="shared" ref="G381:G444" si="4">A381/D381-1</f>
        <v>1.0596744721274254E-2</v>
      </c>
    </row>
    <row r="382" spans="1:7">
      <c r="A382" s="44">
        <v>486.04340000000002</v>
      </c>
      <c r="B382" s="44">
        <v>486.96929999999998</v>
      </c>
      <c r="C382" s="44">
        <v>475.74860000000001</v>
      </c>
      <c r="D382" s="44">
        <v>484.39060000000001</v>
      </c>
      <c r="E382" s="44">
        <v>2479988</v>
      </c>
      <c r="F382" s="44" t="s">
        <v>359</v>
      </c>
      <c r="G382" s="25">
        <f t="shared" si="4"/>
        <v>3.4121223657106459E-3</v>
      </c>
    </row>
    <row r="383" spans="1:7">
      <c r="A383" s="44">
        <v>485.88409999999999</v>
      </c>
      <c r="B383" s="44">
        <v>486.1927</v>
      </c>
      <c r="C383" s="44">
        <v>480.21899999999999</v>
      </c>
      <c r="D383" s="44">
        <v>484.96809999999999</v>
      </c>
      <c r="E383" s="44">
        <v>2234088</v>
      </c>
      <c r="F383" s="44" t="s">
        <v>360</v>
      </c>
      <c r="G383" s="25">
        <f t="shared" si="4"/>
        <v>1.8887840251760046E-3</v>
      </c>
    </row>
    <row r="384" spans="1:7">
      <c r="A384" s="44">
        <v>484.9581</v>
      </c>
      <c r="B384" s="44">
        <v>487.06889999999999</v>
      </c>
      <c r="C384" s="44">
        <v>477.46609999999998</v>
      </c>
      <c r="D384" s="44">
        <v>478.39699999999999</v>
      </c>
      <c r="E384" s="44">
        <v>2343553</v>
      </c>
      <c r="F384" s="44" t="s">
        <v>361</v>
      </c>
      <c r="G384" s="25">
        <f t="shared" si="4"/>
        <v>1.3714759916972685E-2</v>
      </c>
    </row>
    <row r="385" spans="1:7">
      <c r="A385" s="44">
        <v>474.03609999999998</v>
      </c>
      <c r="B385" s="44">
        <v>478.3372</v>
      </c>
      <c r="C385" s="44">
        <v>472.63229999999999</v>
      </c>
      <c r="D385" s="44">
        <v>475.02179999999998</v>
      </c>
      <c r="E385" s="44">
        <v>2116234</v>
      </c>
      <c r="F385" s="44" t="s">
        <v>362</v>
      </c>
      <c r="G385" s="25">
        <f t="shared" si="4"/>
        <v>-2.0750626602821232E-3</v>
      </c>
    </row>
    <row r="386" spans="1:7">
      <c r="A386" s="44">
        <v>475.27069999999998</v>
      </c>
      <c r="B386" s="44">
        <v>482.041</v>
      </c>
      <c r="C386" s="44">
        <v>471.0394</v>
      </c>
      <c r="D386" s="44">
        <v>481.02539999999999</v>
      </c>
      <c r="E386" s="44">
        <v>2293539</v>
      </c>
      <c r="F386" s="44" t="s">
        <v>363</v>
      </c>
      <c r="G386" s="25">
        <f t="shared" si="4"/>
        <v>-1.1963401516843053E-2</v>
      </c>
    </row>
    <row r="387" spans="1:7">
      <c r="A387" s="44">
        <v>481.02539999999999</v>
      </c>
      <c r="B387" s="44">
        <v>484.04219999999998</v>
      </c>
      <c r="C387" s="44">
        <v>479.07400000000001</v>
      </c>
      <c r="D387" s="44">
        <v>479.98</v>
      </c>
      <c r="E387" s="44">
        <v>2156342</v>
      </c>
      <c r="F387" s="44" t="s">
        <v>364</v>
      </c>
      <c r="G387" s="25">
        <f t="shared" si="4"/>
        <v>2.1780074169757135E-3</v>
      </c>
    </row>
    <row r="388" spans="1:7">
      <c r="A388" s="44">
        <v>480.00990000000002</v>
      </c>
      <c r="B388" s="44">
        <v>484.55990000000003</v>
      </c>
      <c r="C388" s="44">
        <v>477.93900000000002</v>
      </c>
      <c r="D388" s="44">
        <v>480.35840000000002</v>
      </c>
      <c r="E388" s="44">
        <v>2063707</v>
      </c>
      <c r="F388" s="44" t="s">
        <v>365</v>
      </c>
      <c r="G388" s="25">
        <f t="shared" si="4"/>
        <v>-7.2549996002979622E-4</v>
      </c>
    </row>
    <row r="389" spans="1:7">
      <c r="A389" s="44">
        <v>481.22449999999998</v>
      </c>
      <c r="B389" s="44">
        <v>483.61399999999998</v>
      </c>
      <c r="C389" s="44">
        <v>477.55070000000001</v>
      </c>
      <c r="D389" s="44">
        <v>479.73110000000003</v>
      </c>
      <c r="E389" s="44">
        <v>2982115</v>
      </c>
      <c r="F389" s="44" t="s">
        <v>366</v>
      </c>
      <c r="G389" s="25">
        <f t="shared" si="4"/>
        <v>3.1129939251384187E-3</v>
      </c>
    </row>
    <row r="390" spans="1:7">
      <c r="A390" s="44">
        <v>478.69569999999999</v>
      </c>
      <c r="B390" s="44">
        <v>479.81079999999997</v>
      </c>
      <c r="C390" s="44">
        <v>472.39339999999999</v>
      </c>
      <c r="D390" s="44">
        <v>472.39339999999999</v>
      </c>
      <c r="E390" s="44">
        <v>1893601</v>
      </c>
      <c r="F390" s="44" t="s">
        <v>367</v>
      </c>
      <c r="G390" s="25">
        <f t="shared" si="4"/>
        <v>1.3341210948332405E-2</v>
      </c>
    </row>
    <row r="391" spans="1:7">
      <c r="A391" s="44">
        <v>469.73509999999999</v>
      </c>
      <c r="B391" s="44">
        <v>474.32490000000001</v>
      </c>
      <c r="C391" s="44">
        <v>466.81290000000001</v>
      </c>
      <c r="D391" s="44">
        <v>472.92099999999999</v>
      </c>
      <c r="E391" s="44">
        <v>1445425</v>
      </c>
      <c r="F391" s="44" t="s">
        <v>368</v>
      </c>
      <c r="G391" s="25">
        <f t="shared" si="4"/>
        <v>-6.7366431179837205E-3</v>
      </c>
    </row>
    <row r="392" spans="1:7">
      <c r="A392" s="44">
        <v>472.91109999999998</v>
      </c>
      <c r="B392" s="44">
        <v>473.41890000000001</v>
      </c>
      <c r="C392" s="44">
        <v>466.17070000000001</v>
      </c>
      <c r="D392" s="44">
        <v>469.01819999999998</v>
      </c>
      <c r="E392" s="44">
        <v>1635908</v>
      </c>
      <c r="F392" s="44" t="s">
        <v>369</v>
      </c>
      <c r="G392" s="25">
        <f t="shared" si="4"/>
        <v>8.3001043456309986E-3</v>
      </c>
    </row>
    <row r="393" spans="1:7">
      <c r="A393" s="44">
        <v>466.58890000000002</v>
      </c>
      <c r="B393" s="44">
        <v>468.47059999999999</v>
      </c>
      <c r="C393" s="44">
        <v>464.95609999999999</v>
      </c>
      <c r="D393" s="44">
        <v>466.05119999999999</v>
      </c>
      <c r="E393" s="44">
        <v>1434397</v>
      </c>
      <c r="F393" s="44" t="s">
        <v>370</v>
      </c>
      <c r="G393" s="25">
        <f t="shared" si="4"/>
        <v>1.1537358985451718E-3</v>
      </c>
    </row>
    <row r="394" spans="1:7">
      <c r="A394" s="44">
        <v>464.39850000000001</v>
      </c>
      <c r="B394" s="44">
        <v>468.28140000000002</v>
      </c>
      <c r="C394" s="44">
        <v>459.8784</v>
      </c>
      <c r="D394" s="44">
        <v>468.24160000000001</v>
      </c>
      <c r="E394" s="44">
        <v>1986348</v>
      </c>
      <c r="F394" s="44" t="s">
        <v>371</v>
      </c>
      <c r="G394" s="25">
        <f t="shared" si="4"/>
        <v>-8.207515094771578E-3</v>
      </c>
    </row>
    <row r="395" spans="1:7">
      <c r="A395" s="44">
        <v>466.7681</v>
      </c>
      <c r="B395" s="44">
        <v>468.84890000000001</v>
      </c>
      <c r="C395" s="44">
        <v>464.6574</v>
      </c>
      <c r="D395" s="44">
        <v>467.43520000000001</v>
      </c>
      <c r="E395" s="44">
        <v>1538288</v>
      </c>
      <c r="F395" s="44" t="s">
        <v>372</v>
      </c>
      <c r="G395" s="25">
        <f t="shared" si="4"/>
        <v>-1.4271496883417889E-3</v>
      </c>
    </row>
    <row r="396" spans="1:7">
      <c r="A396" s="44">
        <v>465.95170000000002</v>
      </c>
      <c r="B396" s="44">
        <v>467.0369</v>
      </c>
      <c r="C396" s="44">
        <v>462.48689999999999</v>
      </c>
      <c r="D396" s="44">
        <v>466.48930000000001</v>
      </c>
      <c r="E396" s="44">
        <v>2105889</v>
      </c>
      <c r="F396" s="44" t="s">
        <v>373</v>
      </c>
      <c r="G396" s="25">
        <f t="shared" si="4"/>
        <v>-1.1524380087603037E-3</v>
      </c>
    </row>
    <row r="397" spans="1:7">
      <c r="A397" s="44">
        <v>467.0668</v>
      </c>
      <c r="B397" s="44">
        <v>467.61439999999999</v>
      </c>
      <c r="C397" s="44">
        <v>463.4726</v>
      </c>
      <c r="D397" s="44">
        <v>466.08109999999999</v>
      </c>
      <c r="E397" s="44">
        <v>1763383</v>
      </c>
      <c r="F397" s="44" t="s">
        <v>374</v>
      </c>
      <c r="G397" s="25">
        <f t="shared" si="4"/>
        <v>2.1148679918581159E-3</v>
      </c>
    </row>
    <row r="398" spans="1:7">
      <c r="A398" s="44">
        <v>464.93610000000001</v>
      </c>
      <c r="B398" s="44">
        <v>468.09230000000002</v>
      </c>
      <c r="C398" s="44">
        <v>463.48250000000002</v>
      </c>
      <c r="D398" s="44">
        <v>466.94729999999998</v>
      </c>
      <c r="E398" s="44">
        <v>1690880</v>
      </c>
      <c r="F398" s="44" t="s">
        <v>375</v>
      </c>
      <c r="G398" s="25">
        <f t="shared" si="4"/>
        <v>-4.3071241658318993E-3</v>
      </c>
    </row>
    <row r="399" spans="1:7">
      <c r="A399" s="44">
        <v>466.82780000000002</v>
      </c>
      <c r="B399" s="44">
        <v>468.20179999999999</v>
      </c>
      <c r="C399" s="44">
        <v>464.00029999999998</v>
      </c>
      <c r="D399" s="44">
        <v>465.95170000000002</v>
      </c>
      <c r="E399" s="44">
        <v>1922047</v>
      </c>
      <c r="F399" s="44" t="s">
        <v>376</v>
      </c>
      <c r="G399" s="25">
        <f t="shared" si="4"/>
        <v>1.8802378014717291E-3</v>
      </c>
    </row>
    <row r="400" spans="1:7">
      <c r="A400" s="44">
        <v>466.65859999999998</v>
      </c>
      <c r="B400" s="44">
        <v>466.94729999999998</v>
      </c>
      <c r="C400" s="44">
        <v>461.9692</v>
      </c>
      <c r="D400" s="44">
        <v>463.06439999999998</v>
      </c>
      <c r="E400" s="44">
        <v>2130571</v>
      </c>
      <c r="F400" s="44" t="s">
        <v>377</v>
      </c>
      <c r="G400" s="25">
        <f t="shared" si="4"/>
        <v>7.7617713648467923E-3</v>
      </c>
    </row>
    <row r="401" spans="1:7">
      <c r="A401" s="44">
        <v>458.14600000000002</v>
      </c>
      <c r="B401" s="44">
        <v>458.52429999999998</v>
      </c>
      <c r="C401" s="44">
        <v>454.07389999999998</v>
      </c>
      <c r="D401" s="44">
        <v>457.24990000000003</v>
      </c>
      <c r="E401" s="44">
        <v>1654140</v>
      </c>
      <c r="F401" s="44" t="s">
        <v>378</v>
      </c>
      <c r="G401" s="25">
        <f t="shared" si="4"/>
        <v>1.9597598599803145E-3</v>
      </c>
    </row>
    <row r="402" spans="1:7">
      <c r="A402" s="44">
        <v>457.34949999999998</v>
      </c>
      <c r="B402" s="44">
        <v>457.62830000000002</v>
      </c>
      <c r="C402" s="44">
        <v>452.89909999999998</v>
      </c>
      <c r="D402" s="44">
        <v>456.13479999999998</v>
      </c>
      <c r="E402" s="44">
        <v>1816206</v>
      </c>
      <c r="F402" s="44" t="s">
        <v>379</v>
      </c>
      <c r="G402" s="25">
        <f t="shared" si="4"/>
        <v>2.6630285608553184E-3</v>
      </c>
    </row>
    <row r="403" spans="1:7">
      <c r="A403" s="44">
        <v>453.69560000000001</v>
      </c>
      <c r="B403" s="44">
        <v>456.45339999999999</v>
      </c>
      <c r="C403" s="44">
        <v>451.90339999999998</v>
      </c>
      <c r="D403" s="44">
        <v>455.76650000000001</v>
      </c>
      <c r="E403" s="44">
        <v>1760046</v>
      </c>
      <c r="F403" s="44" t="s">
        <v>380</v>
      </c>
      <c r="G403" s="25">
        <f t="shared" si="4"/>
        <v>-4.5437740597432663E-3</v>
      </c>
    </row>
    <row r="404" spans="1:7">
      <c r="A404" s="44">
        <v>454.7808</v>
      </c>
      <c r="B404" s="44">
        <v>456.7919</v>
      </c>
      <c r="C404" s="44">
        <v>451.4753</v>
      </c>
      <c r="D404" s="44">
        <v>453.58600000000001</v>
      </c>
      <c r="E404" s="44">
        <v>1760295</v>
      </c>
      <c r="F404" s="44" t="s">
        <v>381</v>
      </c>
      <c r="G404" s="25">
        <f t="shared" si="4"/>
        <v>2.6341201007085147E-3</v>
      </c>
    </row>
    <row r="405" spans="1:7">
      <c r="A405" s="44">
        <v>453.58600000000001</v>
      </c>
      <c r="B405" s="44">
        <v>454.27300000000002</v>
      </c>
      <c r="C405" s="44">
        <v>449.05599999999998</v>
      </c>
      <c r="D405" s="44">
        <v>450.26069999999999</v>
      </c>
      <c r="E405" s="44">
        <v>1585584</v>
      </c>
      <c r="F405" s="44" t="s">
        <v>382</v>
      </c>
      <c r="G405" s="25">
        <f t="shared" si="4"/>
        <v>7.3852770184028582E-3</v>
      </c>
    </row>
    <row r="406" spans="1:7">
      <c r="A406" s="44">
        <v>447.87119999999999</v>
      </c>
      <c r="B406" s="44">
        <v>454.92020000000002</v>
      </c>
      <c r="C406" s="44">
        <v>447.07470000000001</v>
      </c>
      <c r="D406" s="44">
        <v>448.55810000000002</v>
      </c>
      <c r="E406" s="44">
        <v>2059829</v>
      </c>
      <c r="F406" s="44" t="s">
        <v>383</v>
      </c>
      <c r="G406" s="25">
        <f t="shared" si="4"/>
        <v>-1.5313512340988655E-3</v>
      </c>
    </row>
    <row r="407" spans="1:7">
      <c r="A407" s="44">
        <v>446.33789999999999</v>
      </c>
      <c r="B407" s="44">
        <v>453.45659999999998</v>
      </c>
      <c r="C407" s="44">
        <v>440.17500000000001</v>
      </c>
      <c r="D407" s="44">
        <v>441.2801</v>
      </c>
      <c r="E407" s="44">
        <v>2759051</v>
      </c>
      <c r="F407" s="44" t="s">
        <v>384</v>
      </c>
      <c r="G407" s="25">
        <f t="shared" si="4"/>
        <v>1.1461654400459098E-2</v>
      </c>
    </row>
    <row r="408" spans="1:7">
      <c r="A408" s="44">
        <v>440.06549999999999</v>
      </c>
      <c r="B408" s="44">
        <v>459.27600000000001</v>
      </c>
      <c r="C408" s="44">
        <v>437.66609999999997</v>
      </c>
      <c r="D408" s="44">
        <v>453.0086</v>
      </c>
      <c r="E408" s="44">
        <v>4496726</v>
      </c>
      <c r="F408" s="44" t="s">
        <v>385</v>
      </c>
      <c r="G408" s="25">
        <f t="shared" si="4"/>
        <v>-2.857142226438969E-2</v>
      </c>
    </row>
    <row r="409" spans="1:7">
      <c r="A409" s="44">
        <v>459.99790000000002</v>
      </c>
      <c r="B409" s="44">
        <v>464.7072</v>
      </c>
      <c r="C409" s="44">
        <v>456.6028</v>
      </c>
      <c r="D409" s="44">
        <v>458.20569999999998</v>
      </c>
      <c r="E409" s="44">
        <v>3808080</v>
      </c>
      <c r="F409" s="44" t="s">
        <v>386</v>
      </c>
      <c r="G409" s="25">
        <f t="shared" si="4"/>
        <v>3.9113437480153834E-3</v>
      </c>
    </row>
    <row r="410" spans="1:7">
      <c r="A410" s="44">
        <v>460.3861</v>
      </c>
      <c r="B410" s="44">
        <v>465.45389999999998</v>
      </c>
      <c r="C410" s="44">
        <v>457.18020000000001</v>
      </c>
      <c r="D410" s="44">
        <v>463.4228</v>
      </c>
      <c r="E410" s="44">
        <v>2590132</v>
      </c>
      <c r="F410" s="44" t="s">
        <v>387</v>
      </c>
      <c r="G410" s="25">
        <f t="shared" si="4"/>
        <v>-6.5527634807782675E-3</v>
      </c>
    </row>
    <row r="411" spans="1:7">
      <c r="A411" s="44">
        <v>461.68049999999999</v>
      </c>
      <c r="B411" s="44">
        <v>471.92540000000002</v>
      </c>
      <c r="C411" s="44">
        <v>455.53750000000002</v>
      </c>
      <c r="D411" s="44">
        <v>459.97789999999998</v>
      </c>
      <c r="E411" s="44">
        <v>4313637</v>
      </c>
      <c r="F411" s="44" t="s">
        <v>388</v>
      </c>
      <c r="G411" s="25">
        <f t="shared" si="4"/>
        <v>3.701482179904847E-3</v>
      </c>
    </row>
    <row r="412" spans="1:7">
      <c r="A412" s="44">
        <v>445.49160000000001</v>
      </c>
      <c r="B412" s="44">
        <v>446.76600000000002</v>
      </c>
      <c r="C412" s="44">
        <v>441.0711</v>
      </c>
      <c r="D412" s="44">
        <v>441.82769999999999</v>
      </c>
      <c r="E412" s="44">
        <v>2266899</v>
      </c>
      <c r="F412" s="44" t="s">
        <v>389</v>
      </c>
      <c r="G412" s="25">
        <f t="shared" si="4"/>
        <v>8.2925991285742739E-3</v>
      </c>
    </row>
    <row r="413" spans="1:7">
      <c r="A413" s="44">
        <v>439.36849999999998</v>
      </c>
      <c r="B413" s="44">
        <v>440.98149999999998</v>
      </c>
      <c r="C413" s="44">
        <v>433.51429999999999</v>
      </c>
      <c r="D413" s="44">
        <v>436.87950000000001</v>
      </c>
      <c r="E413" s="44">
        <v>2248633</v>
      </c>
      <c r="F413" s="44" t="s">
        <v>390</v>
      </c>
      <c r="G413" s="25">
        <f t="shared" si="4"/>
        <v>5.6972231473437773E-3</v>
      </c>
    </row>
    <row r="414" spans="1:7">
      <c r="A414" s="44">
        <v>436.26220000000001</v>
      </c>
      <c r="B414" s="44">
        <v>438.85329999999999</v>
      </c>
      <c r="C414" s="44">
        <v>430.21879999999999</v>
      </c>
      <c r="D414" s="44">
        <v>430.38799999999998</v>
      </c>
      <c r="E414" s="44">
        <v>2039595</v>
      </c>
      <c r="F414" s="44" t="s">
        <v>391</v>
      </c>
      <c r="G414" s="25">
        <f t="shared" si="4"/>
        <v>1.3648614738329234E-2</v>
      </c>
    </row>
    <row r="415" spans="1:7">
      <c r="A415" s="44">
        <v>427.71969999999999</v>
      </c>
      <c r="B415" s="44">
        <v>435.78649999999999</v>
      </c>
      <c r="C415" s="44">
        <v>427.67989999999998</v>
      </c>
      <c r="D415" s="44">
        <v>432.04079999999999</v>
      </c>
      <c r="E415" s="44">
        <v>2384325</v>
      </c>
      <c r="F415" s="44" t="s">
        <v>392</v>
      </c>
      <c r="G415" s="25">
        <f t="shared" si="4"/>
        <v>-1.0001601700580176E-2</v>
      </c>
    </row>
    <row r="416" spans="1:7">
      <c r="A416" s="44">
        <v>430.5573</v>
      </c>
      <c r="B416" s="44">
        <v>433.95240000000001</v>
      </c>
      <c r="C416" s="44">
        <v>426.983</v>
      </c>
      <c r="D416" s="44">
        <v>432.10050000000001</v>
      </c>
      <c r="E416" s="44">
        <v>3764823</v>
      </c>
      <c r="F416" s="44" t="s">
        <v>393</v>
      </c>
      <c r="G416" s="25">
        <f t="shared" si="4"/>
        <v>-3.5713913777003503E-3</v>
      </c>
    </row>
    <row r="417" spans="1:7">
      <c r="A417" s="44">
        <v>439.7867</v>
      </c>
      <c r="B417" s="44">
        <v>446.77600000000001</v>
      </c>
      <c r="C417" s="44">
        <v>439.17939999999999</v>
      </c>
      <c r="D417" s="44">
        <v>446.089</v>
      </c>
      <c r="E417" s="44">
        <v>2385481</v>
      </c>
      <c r="F417" s="44" t="s">
        <v>394</v>
      </c>
      <c r="G417" s="25">
        <f t="shared" si="4"/>
        <v>-1.4127898244520765E-2</v>
      </c>
    </row>
    <row r="418" spans="1:7">
      <c r="A418" s="44">
        <v>445.97949999999997</v>
      </c>
      <c r="B418" s="44">
        <v>446.88549999999998</v>
      </c>
      <c r="C418" s="44">
        <v>441.31</v>
      </c>
      <c r="D418" s="44">
        <v>443.4606</v>
      </c>
      <c r="E418" s="44">
        <v>2111943</v>
      </c>
      <c r="F418" s="44" t="s">
        <v>395</v>
      </c>
      <c r="G418" s="25">
        <f t="shared" si="4"/>
        <v>5.6800987505991607E-3</v>
      </c>
    </row>
    <row r="419" spans="1:7">
      <c r="A419" s="44">
        <v>441.74810000000002</v>
      </c>
      <c r="B419" s="44">
        <v>449.26499999999999</v>
      </c>
      <c r="C419" s="44">
        <v>441.62860000000001</v>
      </c>
      <c r="D419" s="44">
        <v>449.24509999999998</v>
      </c>
      <c r="E419" s="44">
        <v>2121736</v>
      </c>
      <c r="F419" s="44" t="s">
        <v>396</v>
      </c>
      <c r="G419" s="25">
        <f t="shared" si="4"/>
        <v>-1.6687995038788261E-2</v>
      </c>
    </row>
    <row r="420" spans="1:7">
      <c r="A420" s="44">
        <v>446.7561</v>
      </c>
      <c r="B420" s="44">
        <v>453.43669999999997</v>
      </c>
      <c r="C420" s="44">
        <v>445.5215</v>
      </c>
      <c r="D420" s="44">
        <v>446.78590000000003</v>
      </c>
      <c r="E420" s="44">
        <v>3339984</v>
      </c>
      <c r="F420" s="44" t="s">
        <v>397</v>
      </c>
      <c r="G420" s="25">
        <f t="shared" si="4"/>
        <v>-6.6698613362725645E-5</v>
      </c>
    </row>
    <row r="421" spans="1:7">
      <c r="A421" s="44">
        <v>449.18540000000002</v>
      </c>
      <c r="B421" s="44">
        <v>449.54379999999998</v>
      </c>
      <c r="C421" s="44">
        <v>440.12520000000001</v>
      </c>
      <c r="D421" s="44">
        <v>440.46370000000002</v>
      </c>
      <c r="E421" s="44">
        <v>2924993</v>
      </c>
      <c r="F421" s="44" t="s">
        <v>398</v>
      </c>
      <c r="G421" s="25">
        <f t="shared" si="4"/>
        <v>1.9801177713396179E-2</v>
      </c>
    </row>
    <row r="422" spans="1:7">
      <c r="A422" s="44">
        <v>441.58879999999999</v>
      </c>
      <c r="B422" s="44">
        <v>445.2013</v>
      </c>
      <c r="C422" s="44">
        <v>437.77550000000002</v>
      </c>
      <c r="D422" s="44">
        <v>444.98390000000001</v>
      </c>
      <c r="E422" s="44">
        <v>2846645</v>
      </c>
      <c r="F422" s="44" t="s">
        <v>399</v>
      </c>
      <c r="G422" s="25">
        <f t="shared" si="4"/>
        <v>-7.6297142435940435E-3</v>
      </c>
    </row>
    <row r="423" spans="1:7">
      <c r="A423" s="44">
        <v>442.05669999999998</v>
      </c>
      <c r="B423" s="44">
        <v>442.45499999999998</v>
      </c>
      <c r="C423" s="44">
        <v>436.81970000000001</v>
      </c>
      <c r="D423" s="44">
        <v>438.40280000000001</v>
      </c>
      <c r="E423" s="44">
        <v>1727716</v>
      </c>
      <c r="F423" s="44" t="s">
        <v>400</v>
      </c>
      <c r="G423" s="25">
        <f t="shared" si="4"/>
        <v>8.3345726806489662E-3</v>
      </c>
    </row>
    <row r="424" spans="1:7">
      <c r="A424" s="44">
        <v>438.18369999999999</v>
      </c>
      <c r="B424" s="44">
        <v>440.29450000000003</v>
      </c>
      <c r="C424" s="44">
        <v>435.40600000000001</v>
      </c>
      <c r="D424" s="44">
        <v>435.48559999999998</v>
      </c>
      <c r="E424" s="44">
        <v>2645729</v>
      </c>
      <c r="F424" s="44" t="s">
        <v>401</v>
      </c>
      <c r="G424" s="25">
        <f t="shared" si="4"/>
        <v>6.1956124381610245E-3</v>
      </c>
    </row>
    <row r="425" spans="1:7">
      <c r="A425" s="44">
        <v>434.50990000000002</v>
      </c>
      <c r="B425" s="44">
        <v>435.85399999999998</v>
      </c>
      <c r="C425" s="44">
        <v>428.2276</v>
      </c>
      <c r="D425" s="44">
        <v>430.10919999999999</v>
      </c>
      <c r="E425" s="44">
        <v>4032726</v>
      </c>
      <c r="F425" s="44" t="s">
        <v>402</v>
      </c>
      <c r="G425" s="25">
        <f t="shared" si="4"/>
        <v>1.0231587699123912E-2</v>
      </c>
    </row>
    <row r="426" spans="1:7">
      <c r="A426" s="44">
        <v>431.74209999999999</v>
      </c>
      <c r="B426" s="44">
        <v>435.49560000000002</v>
      </c>
      <c r="C426" s="44">
        <v>427.17219999999998</v>
      </c>
      <c r="D426" s="44">
        <v>432.70780000000002</v>
      </c>
      <c r="E426" s="44">
        <v>4760902</v>
      </c>
      <c r="F426" s="44" t="s">
        <v>403</v>
      </c>
      <c r="G426" s="25">
        <f t="shared" si="4"/>
        <v>-2.2317600930698012E-3</v>
      </c>
    </row>
    <row r="427" spans="1:7">
      <c r="A427" s="44">
        <v>442.75369999999998</v>
      </c>
      <c r="B427" s="44">
        <v>445.62110000000001</v>
      </c>
      <c r="C427" s="44">
        <v>440.85199999999998</v>
      </c>
      <c r="D427" s="44">
        <v>444.69510000000002</v>
      </c>
      <c r="E427" s="44">
        <v>1608726</v>
      </c>
      <c r="F427" s="44" t="s">
        <v>404</v>
      </c>
      <c r="G427" s="25">
        <f t="shared" si="4"/>
        <v>-4.3656878611886274E-3</v>
      </c>
    </row>
    <row r="428" spans="1:7">
      <c r="A428" s="44">
        <v>443.62979999999999</v>
      </c>
      <c r="B428" s="44">
        <v>447.9742</v>
      </c>
      <c r="C428" s="44">
        <v>442.39710000000002</v>
      </c>
      <c r="D428" s="44">
        <v>446.65199999999999</v>
      </c>
      <c r="E428" s="44">
        <v>1802729</v>
      </c>
      <c r="F428" s="44" t="s">
        <v>405</v>
      </c>
      <c r="G428" s="25">
        <f t="shared" si="4"/>
        <v>-6.7663415813653538E-3</v>
      </c>
    </row>
    <row r="429" spans="1:7">
      <c r="A429" s="44">
        <v>446.86079999999998</v>
      </c>
      <c r="B429" s="44">
        <v>447.31810000000002</v>
      </c>
      <c r="C429" s="44">
        <v>441.67630000000003</v>
      </c>
      <c r="D429" s="44">
        <v>444.49470000000002</v>
      </c>
      <c r="E429" s="44">
        <v>2220706</v>
      </c>
      <c r="F429" s="44" t="s">
        <v>406</v>
      </c>
      <c r="G429" s="25">
        <f t="shared" si="4"/>
        <v>5.3231230878567626E-3</v>
      </c>
    </row>
    <row r="430" spans="1:7">
      <c r="A430" s="44">
        <v>445.55849999999998</v>
      </c>
      <c r="B430" s="44">
        <v>446.65699999999998</v>
      </c>
      <c r="C430" s="44">
        <v>441.67630000000003</v>
      </c>
      <c r="D430" s="44">
        <v>442.71519999999998</v>
      </c>
      <c r="E430" s="44">
        <v>3192350</v>
      </c>
      <c r="F430" s="44" t="s">
        <v>407</v>
      </c>
      <c r="G430" s="25">
        <f t="shared" si="4"/>
        <v>6.4224133257679838E-3</v>
      </c>
    </row>
    <row r="431" spans="1:7">
      <c r="A431" s="44">
        <v>442.04910000000001</v>
      </c>
      <c r="B431" s="44">
        <v>442.1585</v>
      </c>
      <c r="C431" s="44">
        <v>432.4556</v>
      </c>
      <c r="D431" s="44">
        <v>432.4556</v>
      </c>
      <c r="E431" s="44">
        <v>2061407</v>
      </c>
      <c r="F431" s="44" t="s">
        <v>408</v>
      </c>
      <c r="G431" s="25">
        <f t="shared" si="4"/>
        <v>2.2183780253972829E-2</v>
      </c>
    </row>
    <row r="432" spans="1:7">
      <c r="A432" s="44">
        <v>435.05029999999999</v>
      </c>
      <c r="B432" s="44">
        <v>439.87689999999998</v>
      </c>
      <c r="C432" s="44">
        <v>433.00229999999999</v>
      </c>
      <c r="D432" s="44">
        <v>438.22160000000002</v>
      </c>
      <c r="E432" s="44">
        <v>3149663</v>
      </c>
      <c r="F432" s="44" t="s">
        <v>409</v>
      </c>
      <c r="G432" s="25">
        <f t="shared" si="4"/>
        <v>-7.2367496262165654E-3</v>
      </c>
    </row>
    <row r="433" spans="1:7">
      <c r="A433" s="44">
        <v>438.5795</v>
      </c>
      <c r="B433" s="44">
        <v>445.67779999999999</v>
      </c>
      <c r="C433" s="44">
        <v>436.15379999999999</v>
      </c>
      <c r="D433" s="44">
        <v>442.03919999999999</v>
      </c>
      <c r="E433" s="44">
        <v>4105179</v>
      </c>
      <c r="F433" s="44" t="s">
        <v>410</v>
      </c>
      <c r="G433" s="25">
        <f t="shared" si="4"/>
        <v>-7.8266814345876456E-3</v>
      </c>
    </row>
    <row r="434" spans="1:7">
      <c r="A434" s="44">
        <v>440.16019999999997</v>
      </c>
      <c r="B434" s="44">
        <v>446.0754</v>
      </c>
      <c r="C434" s="44">
        <v>439.41460000000001</v>
      </c>
      <c r="D434" s="44">
        <v>445.94619999999998</v>
      </c>
      <c r="E434" s="44">
        <v>3313924</v>
      </c>
      <c r="F434" s="44" t="s">
        <v>411</v>
      </c>
      <c r="G434" s="25">
        <f t="shared" si="4"/>
        <v>-1.2974659275042599E-2</v>
      </c>
    </row>
    <row r="435" spans="1:7">
      <c r="A435" s="44">
        <v>449.73390000000001</v>
      </c>
      <c r="B435" s="44">
        <v>452.01760000000002</v>
      </c>
      <c r="C435" s="44">
        <v>448.74970000000002</v>
      </c>
      <c r="D435" s="44">
        <v>450.10169999999999</v>
      </c>
      <c r="E435" s="44">
        <v>2451388</v>
      </c>
      <c r="F435" s="44" t="s">
        <v>412</v>
      </c>
      <c r="G435" s="25">
        <f t="shared" si="4"/>
        <v>-8.171486577366327E-4</v>
      </c>
    </row>
    <row r="436" spans="1:7">
      <c r="A436" s="44">
        <v>452.98480000000001</v>
      </c>
      <c r="B436" s="44">
        <v>457.61250000000001</v>
      </c>
      <c r="C436" s="44">
        <v>451.14060000000001</v>
      </c>
      <c r="D436" s="44">
        <v>455.79820000000001</v>
      </c>
      <c r="E436" s="44">
        <v>2529625</v>
      </c>
      <c r="F436" s="44" t="s">
        <v>413</v>
      </c>
      <c r="G436" s="25">
        <f t="shared" si="4"/>
        <v>-6.1724684301078803E-3</v>
      </c>
    </row>
    <row r="437" spans="1:7">
      <c r="A437" s="44">
        <v>454.28710000000001</v>
      </c>
      <c r="B437" s="44">
        <v>460.3614</v>
      </c>
      <c r="C437" s="44">
        <v>452.26900000000001</v>
      </c>
      <c r="D437" s="44">
        <v>452.26900000000001</v>
      </c>
      <c r="E437" s="44">
        <v>2597068</v>
      </c>
      <c r="F437" s="44" t="s">
        <v>414</v>
      </c>
      <c r="G437" s="25">
        <f t="shared" si="4"/>
        <v>4.4621674269074152E-3</v>
      </c>
    </row>
    <row r="438" spans="1:7">
      <c r="A438" s="44">
        <v>452.18939999999998</v>
      </c>
      <c r="B438" s="44">
        <v>452.63679999999999</v>
      </c>
      <c r="C438" s="44">
        <v>447.62630000000001</v>
      </c>
      <c r="D438" s="44">
        <v>449.54500000000002</v>
      </c>
      <c r="E438" s="44">
        <v>5062383</v>
      </c>
      <c r="F438" s="44" t="s">
        <v>415</v>
      </c>
      <c r="G438" s="25">
        <f t="shared" si="4"/>
        <v>5.8823921965542869E-3</v>
      </c>
    </row>
    <row r="439" spans="1:7">
      <c r="A439" s="44">
        <v>449.86309999999997</v>
      </c>
      <c r="B439" s="44">
        <v>451.82240000000002</v>
      </c>
      <c r="C439" s="44">
        <v>445.73739999999998</v>
      </c>
      <c r="D439" s="44">
        <v>448.42160000000001</v>
      </c>
      <c r="E439" s="44">
        <v>3006765</v>
      </c>
      <c r="F439" s="44" t="s">
        <v>416</v>
      </c>
      <c r="G439" s="25">
        <f t="shared" si="4"/>
        <v>3.2146087521207622E-3</v>
      </c>
    </row>
    <row r="440" spans="1:7">
      <c r="A440" s="44">
        <v>447.47719999999998</v>
      </c>
      <c r="B440" s="44">
        <v>448.56079999999997</v>
      </c>
      <c r="C440" s="44">
        <v>444.08710000000002</v>
      </c>
      <c r="D440" s="44">
        <v>444.44499999999999</v>
      </c>
      <c r="E440" s="44">
        <v>2636506</v>
      </c>
      <c r="F440" s="44" t="s">
        <v>417</v>
      </c>
      <c r="G440" s="25">
        <f t="shared" si="4"/>
        <v>6.8224414719482152E-3</v>
      </c>
    </row>
    <row r="441" spans="1:7">
      <c r="A441" s="44">
        <v>445.4889</v>
      </c>
      <c r="B441" s="44">
        <v>446.71170000000001</v>
      </c>
      <c r="C441" s="44">
        <v>439.09649999999999</v>
      </c>
      <c r="D441" s="44">
        <v>439.84210000000002</v>
      </c>
      <c r="E441" s="44">
        <v>2351895</v>
      </c>
      <c r="F441" s="44" t="s">
        <v>418</v>
      </c>
      <c r="G441" s="25">
        <f t="shared" si="4"/>
        <v>1.2838243542398375E-2</v>
      </c>
    </row>
    <row r="442" spans="1:7">
      <c r="A442" s="44">
        <v>442.0292</v>
      </c>
      <c r="B442" s="44">
        <v>442.35610000000003</v>
      </c>
      <c r="C442" s="44">
        <v>438.61930000000001</v>
      </c>
      <c r="D442" s="44">
        <v>440.74680000000001</v>
      </c>
      <c r="E442" s="44">
        <v>2161546</v>
      </c>
      <c r="F442" s="44" t="s">
        <v>419</v>
      </c>
      <c r="G442" s="25">
        <f t="shared" si="4"/>
        <v>2.9096070578391586E-3</v>
      </c>
    </row>
    <row r="443" spans="1:7">
      <c r="A443" s="44">
        <v>442.39710000000002</v>
      </c>
      <c r="B443" s="44">
        <v>442.5462</v>
      </c>
      <c r="C443" s="44">
        <v>436.75029999999998</v>
      </c>
      <c r="D443" s="44">
        <v>440.40879999999999</v>
      </c>
      <c r="E443" s="44">
        <v>2916648</v>
      </c>
      <c r="F443" s="44" t="s">
        <v>420</v>
      </c>
      <c r="G443" s="25">
        <f t="shared" si="4"/>
        <v>4.5146690983468574E-3</v>
      </c>
    </row>
    <row r="444" spans="1:7">
      <c r="A444" s="44">
        <v>440.40879999999999</v>
      </c>
      <c r="B444" s="44">
        <v>449.85320000000002</v>
      </c>
      <c r="C444" s="44">
        <v>439.01690000000002</v>
      </c>
      <c r="D444" s="44">
        <v>448.84910000000002</v>
      </c>
      <c r="E444" s="44">
        <v>2738928</v>
      </c>
      <c r="F444" s="44" t="s">
        <v>421</v>
      </c>
      <c r="G444" s="25">
        <f t="shared" si="4"/>
        <v>-1.8804315303294628E-2</v>
      </c>
    </row>
    <row r="445" spans="1:7">
      <c r="A445" s="44">
        <v>446.41340000000002</v>
      </c>
      <c r="B445" s="44">
        <v>446.62220000000002</v>
      </c>
      <c r="C445" s="44">
        <v>442.50639999999999</v>
      </c>
      <c r="D445" s="44">
        <v>445.22039999999998</v>
      </c>
      <c r="E445" s="44">
        <v>1777281</v>
      </c>
      <c r="F445" s="44" t="s">
        <v>422</v>
      </c>
      <c r="G445" s="25">
        <f t="shared" ref="G445:G508" si="5">A445/D445-1</f>
        <v>2.679571735706654E-3</v>
      </c>
    </row>
    <row r="446" spans="1:7">
      <c r="A446" s="44">
        <v>446.62220000000002</v>
      </c>
      <c r="B446" s="44">
        <v>447.53680000000003</v>
      </c>
      <c r="C446" s="44">
        <v>441.77069999999998</v>
      </c>
      <c r="D446" s="44">
        <v>445.7971</v>
      </c>
      <c r="E446" s="44">
        <v>1954548</v>
      </c>
      <c r="F446" s="44" t="s">
        <v>423</v>
      </c>
      <c r="G446" s="25">
        <f t="shared" si="5"/>
        <v>1.8508420086178479E-3</v>
      </c>
    </row>
    <row r="447" spans="1:7">
      <c r="A447" s="44">
        <v>447.15899999999999</v>
      </c>
      <c r="B447" s="44">
        <v>450.3503</v>
      </c>
      <c r="C447" s="44">
        <v>444.6438</v>
      </c>
      <c r="D447" s="44">
        <v>446.82100000000003</v>
      </c>
      <c r="E447" s="44">
        <v>1664850</v>
      </c>
      <c r="F447" s="44" t="s">
        <v>424</v>
      </c>
      <c r="G447" s="25">
        <f t="shared" si="5"/>
        <v>7.5645504575660993E-4</v>
      </c>
    </row>
    <row r="448" spans="1:7">
      <c r="A448" s="44">
        <v>446.05549999999999</v>
      </c>
      <c r="B448" s="44">
        <v>447.14909999999998</v>
      </c>
      <c r="C448" s="44">
        <v>442.0292</v>
      </c>
      <c r="D448" s="44">
        <v>445.86660000000001</v>
      </c>
      <c r="E448" s="44">
        <v>1887061</v>
      </c>
      <c r="F448" s="44" t="s">
        <v>425</v>
      </c>
      <c r="G448" s="25">
        <f t="shared" si="5"/>
        <v>4.2366932172077654E-4</v>
      </c>
    </row>
    <row r="449" spans="1:7">
      <c r="A449" s="44">
        <v>444.04739999999998</v>
      </c>
      <c r="B449" s="44">
        <v>444.94709999999998</v>
      </c>
      <c r="C449" s="44">
        <v>439.71780000000001</v>
      </c>
      <c r="D449" s="44">
        <v>444.18650000000002</v>
      </c>
      <c r="E449" s="44">
        <v>2157011</v>
      </c>
      <c r="F449" s="44" t="s">
        <v>426</v>
      </c>
      <c r="G449" s="25">
        <f t="shared" si="5"/>
        <v>-3.1315674834786478E-4</v>
      </c>
    </row>
    <row r="450" spans="1:7">
      <c r="A450" s="44">
        <v>442.16840000000002</v>
      </c>
      <c r="B450" s="44">
        <v>442.27780000000001</v>
      </c>
      <c r="C450" s="44">
        <v>438.73860000000002</v>
      </c>
      <c r="D450" s="44">
        <v>440.76670000000001</v>
      </c>
      <c r="E450" s="44">
        <v>2096578</v>
      </c>
      <c r="F450" s="44" t="s">
        <v>427</v>
      </c>
      <c r="G450" s="25">
        <f t="shared" si="5"/>
        <v>3.1801404234939046E-3</v>
      </c>
    </row>
    <row r="451" spans="1:7">
      <c r="A451" s="44">
        <v>440.5976</v>
      </c>
      <c r="B451" s="44">
        <v>442.39710000000002</v>
      </c>
      <c r="C451" s="44">
        <v>435.32369999999997</v>
      </c>
      <c r="D451" s="44">
        <v>440.88600000000002</v>
      </c>
      <c r="E451" s="44">
        <v>2123775</v>
      </c>
      <c r="F451" s="44" t="s">
        <v>428</v>
      </c>
      <c r="G451" s="25">
        <f t="shared" si="5"/>
        <v>-6.5413735069841383E-4</v>
      </c>
    </row>
    <row r="452" spans="1:7">
      <c r="A452" s="44">
        <v>444.45499999999998</v>
      </c>
      <c r="B452" s="44">
        <v>444.72340000000003</v>
      </c>
      <c r="C452" s="44">
        <v>436.6857</v>
      </c>
      <c r="D452" s="44">
        <v>440.10059999999999</v>
      </c>
      <c r="E452" s="44">
        <v>3917303</v>
      </c>
      <c r="F452" s="44" t="s">
        <v>429</v>
      </c>
      <c r="G452" s="25">
        <f t="shared" si="5"/>
        <v>9.8941014849787123E-3</v>
      </c>
    </row>
    <row r="453" spans="1:7">
      <c r="A453" s="44">
        <v>439.51400000000001</v>
      </c>
      <c r="B453" s="44">
        <v>441.59179999999998</v>
      </c>
      <c r="C453" s="44">
        <v>438.0924</v>
      </c>
      <c r="D453" s="44">
        <v>439.6234</v>
      </c>
      <c r="E453" s="44">
        <v>2189905</v>
      </c>
      <c r="F453" s="44" t="s">
        <v>430</v>
      </c>
      <c r="G453" s="25">
        <f t="shared" si="5"/>
        <v>-2.4884935606250824E-4</v>
      </c>
    </row>
    <row r="454" spans="1:7">
      <c r="A454" s="44">
        <v>439.88189999999997</v>
      </c>
      <c r="B454" s="44">
        <v>441.9547</v>
      </c>
      <c r="C454" s="44">
        <v>439.2158</v>
      </c>
      <c r="D454" s="44">
        <v>439.524</v>
      </c>
      <c r="E454" s="44">
        <v>1876996</v>
      </c>
      <c r="F454" s="44" t="s">
        <v>431</v>
      </c>
      <c r="G454" s="25">
        <f t="shared" si="5"/>
        <v>8.1429000464128265E-4</v>
      </c>
    </row>
    <row r="455" spans="1:7">
      <c r="A455" s="44">
        <v>442.47660000000002</v>
      </c>
      <c r="B455" s="44">
        <v>447.98919999999998</v>
      </c>
      <c r="C455" s="44">
        <v>439.8073</v>
      </c>
      <c r="D455" s="44">
        <v>447.36779999999999</v>
      </c>
      <c r="E455" s="44">
        <v>2670989</v>
      </c>
      <c r="F455" s="44" t="s">
        <v>432</v>
      </c>
      <c r="G455" s="25">
        <f t="shared" si="5"/>
        <v>-1.0933285766208445E-2</v>
      </c>
    </row>
    <row r="456" spans="1:7">
      <c r="A456" s="44">
        <v>448.54090000000002</v>
      </c>
      <c r="B456" s="44">
        <v>451.79180000000002</v>
      </c>
      <c r="C456" s="44">
        <v>447.6859</v>
      </c>
      <c r="D456" s="44">
        <v>449.86309999999997</v>
      </c>
      <c r="E456" s="44">
        <v>2162182</v>
      </c>
      <c r="F456" s="44" t="s">
        <v>433</v>
      </c>
      <c r="G456" s="25">
        <f t="shared" si="5"/>
        <v>-2.9391163667346065E-3</v>
      </c>
    </row>
    <row r="457" spans="1:7">
      <c r="A457" s="44">
        <v>448.57069999999999</v>
      </c>
      <c r="B457" s="44">
        <v>455.3707</v>
      </c>
      <c r="C457" s="44">
        <v>447.80520000000001</v>
      </c>
      <c r="D457" s="44">
        <v>453.84969999999998</v>
      </c>
      <c r="E457" s="44">
        <v>2084733</v>
      </c>
      <c r="F457" s="44" t="s">
        <v>434</v>
      </c>
      <c r="G457" s="25">
        <f t="shared" si="5"/>
        <v>-1.1631604031026144E-2</v>
      </c>
    </row>
    <row r="458" spans="1:7">
      <c r="A458" s="44">
        <v>453.84969999999998</v>
      </c>
      <c r="B458" s="44">
        <v>459.79469999999998</v>
      </c>
      <c r="C458" s="44">
        <v>452.50259999999997</v>
      </c>
      <c r="D458" s="44">
        <v>456.2158</v>
      </c>
      <c r="E458" s="44">
        <v>1713650</v>
      </c>
      <c r="F458" s="44" t="s">
        <v>435</v>
      </c>
      <c r="G458" s="25">
        <f t="shared" si="5"/>
        <v>-5.1863613667041397E-3</v>
      </c>
    </row>
    <row r="459" spans="1:7">
      <c r="A459" s="44">
        <v>456.41460000000001</v>
      </c>
      <c r="B459" s="44">
        <v>457.69690000000003</v>
      </c>
      <c r="C459" s="44">
        <v>452.9649</v>
      </c>
      <c r="D459" s="44">
        <v>455.23149999999998</v>
      </c>
      <c r="E459" s="44">
        <v>2165999</v>
      </c>
      <c r="F459" s="44" t="s">
        <v>436</v>
      </c>
      <c r="G459" s="25">
        <f t="shared" si="5"/>
        <v>2.5988974840274182E-3</v>
      </c>
    </row>
    <row r="460" spans="1:7">
      <c r="A460" s="44">
        <v>456.97129999999999</v>
      </c>
      <c r="B460" s="44">
        <v>459.5163</v>
      </c>
      <c r="C460" s="44">
        <v>456.09649999999999</v>
      </c>
      <c r="D460" s="44">
        <v>456.79239999999999</v>
      </c>
      <c r="E460" s="44">
        <v>1397291</v>
      </c>
      <c r="F460" s="44" t="s">
        <v>437</v>
      </c>
      <c r="G460" s="25">
        <f t="shared" si="5"/>
        <v>3.9164399407698447E-4</v>
      </c>
    </row>
    <row r="461" spans="1:7">
      <c r="A461" s="44">
        <v>457.57769999999999</v>
      </c>
      <c r="B461" s="44">
        <v>458.98450000000003</v>
      </c>
      <c r="C461" s="44">
        <v>455.43040000000002</v>
      </c>
      <c r="D461" s="44">
        <v>457.75670000000002</v>
      </c>
      <c r="E461" s="44">
        <v>1985903</v>
      </c>
      <c r="F461" s="44" t="s">
        <v>438</v>
      </c>
      <c r="G461" s="25">
        <f t="shared" si="5"/>
        <v>-3.9103742228141503E-4</v>
      </c>
    </row>
    <row r="462" spans="1:7">
      <c r="A462" s="44">
        <v>456.1859</v>
      </c>
      <c r="B462" s="44">
        <v>462.21050000000002</v>
      </c>
      <c r="C462" s="44">
        <v>456.13619999999997</v>
      </c>
      <c r="D462" s="44">
        <v>457.30930000000001</v>
      </c>
      <c r="E462" s="44">
        <v>2412233</v>
      </c>
      <c r="F462" s="44" t="s">
        <v>439</v>
      </c>
      <c r="G462" s="25">
        <f t="shared" si="5"/>
        <v>-2.4565430880150174E-3</v>
      </c>
    </row>
    <row r="463" spans="1:7">
      <c r="A463" s="44">
        <v>455.32100000000003</v>
      </c>
      <c r="B463" s="44">
        <v>455.91750000000002</v>
      </c>
      <c r="C463" s="44">
        <v>450.14150000000001</v>
      </c>
      <c r="D463" s="44">
        <v>450.14150000000001</v>
      </c>
      <c r="E463" s="44">
        <v>2437772</v>
      </c>
      <c r="F463" s="44" t="s">
        <v>440</v>
      </c>
      <c r="G463" s="25">
        <f t="shared" si="5"/>
        <v>1.1506381882141481E-2</v>
      </c>
    </row>
    <row r="464" spans="1:7">
      <c r="A464" s="44">
        <v>451.54320000000001</v>
      </c>
      <c r="B464" s="44">
        <v>456.2953</v>
      </c>
      <c r="C464" s="44">
        <v>446.67189999999999</v>
      </c>
      <c r="D464" s="44">
        <v>455.24149999999997</v>
      </c>
      <c r="E464" s="44">
        <v>2990997</v>
      </c>
      <c r="F464" s="44" t="s">
        <v>441</v>
      </c>
      <c r="G464" s="25">
        <f t="shared" si="5"/>
        <v>-8.1238199944424494E-3</v>
      </c>
    </row>
    <row r="465" spans="1:7">
      <c r="A465" s="44">
        <v>455.08240000000001</v>
      </c>
      <c r="B465" s="44">
        <v>456.03680000000003</v>
      </c>
      <c r="C465" s="44">
        <v>452.84059999999999</v>
      </c>
      <c r="D465" s="44">
        <v>454.25729999999999</v>
      </c>
      <c r="E465" s="44">
        <v>2069345</v>
      </c>
      <c r="F465" s="44" t="s">
        <v>442</v>
      </c>
      <c r="G465" s="25">
        <f t="shared" si="5"/>
        <v>1.8163714705301537E-3</v>
      </c>
    </row>
    <row r="466" spans="1:7">
      <c r="A466" s="44">
        <v>454.30700000000002</v>
      </c>
      <c r="B466" s="44">
        <v>455.89760000000001</v>
      </c>
      <c r="C466" s="44">
        <v>452.31869999999998</v>
      </c>
      <c r="D466" s="44">
        <v>454.6549</v>
      </c>
      <c r="E466" s="44">
        <v>1730054</v>
      </c>
      <c r="F466" s="44" t="s">
        <v>443</v>
      </c>
      <c r="G466" s="25">
        <f t="shared" si="5"/>
        <v>-7.6519575616573743E-4</v>
      </c>
    </row>
    <row r="467" spans="1:7">
      <c r="A467" s="44">
        <v>452.82569999999998</v>
      </c>
      <c r="B467" s="44">
        <v>453.35759999999999</v>
      </c>
      <c r="C467" s="44">
        <v>450.89710000000002</v>
      </c>
      <c r="D467" s="44">
        <v>450.89710000000002</v>
      </c>
      <c r="E467" s="44">
        <v>1970193</v>
      </c>
      <c r="F467" s="44" t="s">
        <v>444</v>
      </c>
      <c r="G467" s="25">
        <f t="shared" si="5"/>
        <v>4.2772508406019316E-3</v>
      </c>
    </row>
    <row r="468" spans="1:7">
      <c r="A468" s="44">
        <v>452.10989999999998</v>
      </c>
      <c r="B468" s="44">
        <v>452.4479</v>
      </c>
      <c r="C468" s="44">
        <v>447.2833</v>
      </c>
      <c r="D468" s="44">
        <v>451.34440000000001</v>
      </c>
      <c r="E468" s="44">
        <v>2332440</v>
      </c>
      <c r="F468" s="44" t="s">
        <v>445</v>
      </c>
      <c r="G468" s="25">
        <f t="shared" si="5"/>
        <v>1.6960440851818692E-3</v>
      </c>
    </row>
    <row r="469" spans="1:7">
      <c r="A469" s="44">
        <v>450.40989999999999</v>
      </c>
      <c r="B469" s="44">
        <v>450.64850000000001</v>
      </c>
      <c r="C469" s="44">
        <v>444.90730000000002</v>
      </c>
      <c r="D469" s="44">
        <v>449.11750000000001</v>
      </c>
      <c r="E469" s="44">
        <v>2345486</v>
      </c>
      <c r="F469" s="44" t="s">
        <v>446</v>
      </c>
      <c r="G469" s="25">
        <f t="shared" si="5"/>
        <v>2.8776433784032385E-3</v>
      </c>
    </row>
    <row r="470" spans="1:7">
      <c r="A470" s="44">
        <v>446.74149999999997</v>
      </c>
      <c r="B470" s="44">
        <v>447.8648</v>
      </c>
      <c r="C470" s="44">
        <v>442.9538</v>
      </c>
      <c r="D470" s="44">
        <v>444.61399999999998</v>
      </c>
      <c r="E470" s="44">
        <v>2536211</v>
      </c>
      <c r="F470" s="44" t="s">
        <v>447</v>
      </c>
      <c r="G470" s="25">
        <f t="shared" si="5"/>
        <v>4.7850495036143581E-3</v>
      </c>
    </row>
    <row r="471" spans="1:7">
      <c r="A471" s="44">
        <v>440.98540000000003</v>
      </c>
      <c r="B471" s="44">
        <v>442.65550000000002</v>
      </c>
      <c r="C471" s="44">
        <v>434.34440000000001</v>
      </c>
      <c r="D471" s="44">
        <v>442.30759999999998</v>
      </c>
      <c r="E471" s="44">
        <v>3711610</v>
      </c>
      <c r="F471" s="44" t="s">
        <v>448</v>
      </c>
      <c r="G471" s="25">
        <f t="shared" si="5"/>
        <v>-2.9893223629888777E-3</v>
      </c>
    </row>
    <row r="472" spans="1:7">
      <c r="A472" s="44">
        <v>438.51990000000001</v>
      </c>
      <c r="B472" s="44">
        <v>442.05410000000001</v>
      </c>
      <c r="C472" s="44">
        <v>435.48770000000002</v>
      </c>
      <c r="D472" s="44">
        <v>440.40879999999999</v>
      </c>
      <c r="E472" s="44">
        <v>3866467</v>
      </c>
      <c r="F472" s="44" t="s">
        <v>449</v>
      </c>
      <c r="G472" s="25">
        <f t="shared" si="5"/>
        <v>-4.288969702694323E-3</v>
      </c>
    </row>
    <row r="473" spans="1:7">
      <c r="A473" s="44">
        <v>439.48419999999999</v>
      </c>
      <c r="B473" s="44">
        <v>446.35379999999998</v>
      </c>
      <c r="C473" s="44">
        <v>435.81580000000002</v>
      </c>
      <c r="D473" s="44">
        <v>443.19240000000002</v>
      </c>
      <c r="E473" s="44">
        <v>4979366</v>
      </c>
      <c r="F473" s="44" t="s">
        <v>450</v>
      </c>
      <c r="G473" s="25">
        <f t="shared" si="5"/>
        <v>-8.3670207341101088E-3</v>
      </c>
    </row>
    <row r="474" spans="1:7">
      <c r="A474" s="44">
        <v>448.56079999999997</v>
      </c>
      <c r="B474" s="44">
        <v>455.04270000000002</v>
      </c>
      <c r="C474" s="44">
        <v>448.24270000000001</v>
      </c>
      <c r="D474" s="44">
        <v>453.59120000000001</v>
      </c>
      <c r="E474" s="44">
        <v>2698813</v>
      </c>
      <c r="F474" s="44" t="s">
        <v>451</v>
      </c>
      <c r="G474" s="25">
        <f t="shared" si="5"/>
        <v>-1.1090162243006518E-2</v>
      </c>
    </row>
    <row r="475" spans="1:7">
      <c r="A475" s="44">
        <v>454.42630000000003</v>
      </c>
      <c r="B475" s="44">
        <v>458.89</v>
      </c>
      <c r="C475" s="44">
        <v>453.01749999999998</v>
      </c>
      <c r="D475" s="44">
        <v>458.25380000000001</v>
      </c>
      <c r="E475" s="44">
        <v>2121464</v>
      </c>
      <c r="F475" s="44" t="s">
        <v>452</v>
      </c>
      <c r="G475" s="25">
        <f t="shared" si="5"/>
        <v>-8.3523584528922834E-3</v>
      </c>
    </row>
    <row r="476" spans="1:7">
      <c r="A476" s="44">
        <v>459.71519999999998</v>
      </c>
      <c r="B476" s="44">
        <v>462.10109999999997</v>
      </c>
      <c r="C476" s="44">
        <v>458.24380000000002</v>
      </c>
      <c r="D476" s="44">
        <v>460.20229999999998</v>
      </c>
      <c r="E476" s="44">
        <v>1963273</v>
      </c>
      <c r="F476" s="44" t="s">
        <v>453</v>
      </c>
      <c r="G476" s="25">
        <f t="shared" si="5"/>
        <v>-1.0584475566506324E-3</v>
      </c>
    </row>
    <row r="477" spans="1:7">
      <c r="A477" s="44">
        <v>459.40699999999998</v>
      </c>
      <c r="B477" s="44">
        <v>461.28590000000003</v>
      </c>
      <c r="C477" s="44">
        <v>454.04849999999999</v>
      </c>
      <c r="D477" s="44">
        <v>458.24380000000002</v>
      </c>
      <c r="E477" s="44">
        <v>2006668</v>
      </c>
      <c r="F477" s="44" t="s">
        <v>454</v>
      </c>
      <c r="G477" s="25">
        <f t="shared" si="5"/>
        <v>2.5383867714086072E-3</v>
      </c>
    </row>
    <row r="478" spans="1:7">
      <c r="A478" s="44">
        <v>459.79469999999998</v>
      </c>
      <c r="B478" s="44">
        <v>465.4117</v>
      </c>
      <c r="C478" s="44">
        <v>457.65730000000002</v>
      </c>
      <c r="D478" s="44">
        <v>462.5684</v>
      </c>
      <c r="E478" s="44">
        <v>4043134</v>
      </c>
      <c r="F478" s="44" t="s">
        <v>455</v>
      </c>
      <c r="G478" s="25">
        <f t="shared" si="5"/>
        <v>-5.9963023846851815E-3</v>
      </c>
    </row>
    <row r="479" spans="1:7">
      <c r="A479" s="44">
        <v>460.11279999999999</v>
      </c>
      <c r="B479" s="44">
        <v>460.27190000000002</v>
      </c>
      <c r="C479" s="44">
        <v>454.63510000000002</v>
      </c>
      <c r="D479" s="44">
        <v>455.79820000000001</v>
      </c>
      <c r="E479" s="44">
        <v>2029056</v>
      </c>
      <c r="F479" s="44" t="s">
        <v>456</v>
      </c>
      <c r="G479" s="25">
        <f t="shared" si="5"/>
        <v>9.4660312392633728E-3</v>
      </c>
    </row>
    <row r="480" spans="1:7">
      <c r="A480" s="44">
        <v>454.07830000000001</v>
      </c>
      <c r="B480" s="44">
        <v>458.04500000000002</v>
      </c>
      <c r="C480" s="44">
        <v>452.46780000000001</v>
      </c>
      <c r="D480" s="44">
        <v>454.82389999999998</v>
      </c>
      <c r="E480" s="44">
        <v>2157434</v>
      </c>
      <c r="F480" s="44" t="s">
        <v>457</v>
      </c>
      <c r="G480" s="25">
        <f t="shared" si="5"/>
        <v>-1.6393157879345255E-3</v>
      </c>
    </row>
    <row r="481" spans="1:7">
      <c r="A481" s="44">
        <v>452.72629999999998</v>
      </c>
      <c r="B481" s="44">
        <v>457.17009999999999</v>
      </c>
      <c r="C481" s="44">
        <v>449.93770000000001</v>
      </c>
      <c r="D481" s="44">
        <v>456.20580000000001</v>
      </c>
      <c r="E481" s="44">
        <v>2548844</v>
      </c>
      <c r="F481" s="44" t="s">
        <v>458</v>
      </c>
      <c r="G481" s="25">
        <f t="shared" si="5"/>
        <v>-7.6270402524475367E-3</v>
      </c>
    </row>
    <row r="482" spans="1:7">
      <c r="A482" s="44">
        <v>452.0403</v>
      </c>
      <c r="B482" s="44">
        <v>459.20819999999998</v>
      </c>
      <c r="C482" s="44">
        <v>451.1456</v>
      </c>
      <c r="D482" s="44">
        <v>457.8064</v>
      </c>
      <c r="E482" s="44">
        <v>1998880</v>
      </c>
      <c r="F482" s="44" t="s">
        <v>459</v>
      </c>
      <c r="G482" s="25">
        <f t="shared" si="5"/>
        <v>-1.2595062017481617E-2</v>
      </c>
    </row>
    <row r="483" spans="1:7">
      <c r="A483" s="44">
        <v>457.46839999999997</v>
      </c>
      <c r="B483" s="44">
        <v>460.69940000000003</v>
      </c>
      <c r="C483" s="44">
        <v>455.4701</v>
      </c>
      <c r="D483" s="44">
        <v>460.06310000000002</v>
      </c>
      <c r="E483" s="44">
        <v>1735073</v>
      </c>
      <c r="F483" s="44" t="s">
        <v>460</v>
      </c>
      <c r="G483" s="25">
        <f t="shared" si="5"/>
        <v>-5.6398785297061549E-3</v>
      </c>
    </row>
    <row r="484" spans="1:7">
      <c r="A484" s="44">
        <v>457.13040000000001</v>
      </c>
      <c r="B484" s="44">
        <v>460.6696</v>
      </c>
      <c r="C484" s="44">
        <v>456.3152</v>
      </c>
      <c r="D484" s="44">
        <v>457.30930000000001</v>
      </c>
      <c r="E484" s="44">
        <v>1787264</v>
      </c>
      <c r="F484" s="44" t="s">
        <v>461</v>
      </c>
      <c r="G484" s="25">
        <f t="shared" si="5"/>
        <v>-3.9120131604586383E-4</v>
      </c>
    </row>
    <row r="485" spans="1:7">
      <c r="A485" s="44">
        <v>457.10059999999999</v>
      </c>
      <c r="B485" s="44">
        <v>468.245</v>
      </c>
      <c r="C485" s="44">
        <v>455.74849999999998</v>
      </c>
      <c r="D485" s="44">
        <v>467.48939999999999</v>
      </c>
      <c r="E485" s="44">
        <v>2070679</v>
      </c>
      <c r="F485" s="44" t="s">
        <v>462</v>
      </c>
      <c r="G485" s="25">
        <f t="shared" si="5"/>
        <v>-2.2222535954825928E-2</v>
      </c>
    </row>
    <row r="486" spans="1:7">
      <c r="A486" s="44">
        <v>462.65789999999998</v>
      </c>
      <c r="B486" s="44">
        <v>466.77359999999999</v>
      </c>
      <c r="C486" s="44">
        <v>459.40699999999998</v>
      </c>
      <c r="D486" s="44">
        <v>463.27420000000001</v>
      </c>
      <c r="E486" s="44">
        <v>2486361</v>
      </c>
      <c r="F486" s="44" t="s">
        <v>463</v>
      </c>
      <c r="G486" s="25">
        <f t="shared" si="5"/>
        <v>-1.330313667370242E-3</v>
      </c>
    </row>
    <row r="487" spans="1:7">
      <c r="A487" s="44">
        <v>465.57069999999999</v>
      </c>
      <c r="B487" s="44">
        <v>467.59699999999998</v>
      </c>
      <c r="C487" s="44">
        <v>461.47480000000002</v>
      </c>
      <c r="D487" s="44">
        <v>465.54090000000002</v>
      </c>
      <c r="E487" s="44">
        <v>2299867</v>
      </c>
      <c r="F487" s="44" t="s">
        <v>464</v>
      </c>
      <c r="G487" s="25">
        <f t="shared" si="5"/>
        <v>6.4011561604848666E-5</v>
      </c>
    </row>
    <row r="488" spans="1:7">
      <c r="A488" s="44">
        <v>466.42570000000001</v>
      </c>
      <c r="B488" s="44">
        <v>471.61020000000002</v>
      </c>
      <c r="C488" s="44">
        <v>466.10759999999999</v>
      </c>
      <c r="D488" s="44">
        <v>467.41980000000001</v>
      </c>
      <c r="E488" s="44">
        <v>2710709</v>
      </c>
      <c r="F488" s="44" t="s">
        <v>465</v>
      </c>
      <c r="G488" s="25">
        <f t="shared" si="5"/>
        <v>-2.1267819634512852E-3</v>
      </c>
    </row>
    <row r="489" spans="1:7">
      <c r="A489" s="44">
        <v>469.39819999999997</v>
      </c>
      <c r="B489" s="44">
        <v>476.08879999999999</v>
      </c>
      <c r="C489" s="44">
        <v>465.09350000000001</v>
      </c>
      <c r="D489" s="44">
        <v>475.17419999999998</v>
      </c>
      <c r="E489" s="44">
        <v>2218019</v>
      </c>
      <c r="F489" s="44" t="s">
        <v>466</v>
      </c>
      <c r="G489" s="25">
        <f t="shared" si="5"/>
        <v>-1.2155542114870688E-2</v>
      </c>
    </row>
    <row r="490" spans="1:7">
      <c r="A490" s="44">
        <v>476.04910000000001</v>
      </c>
      <c r="B490" s="44">
        <v>476.87419999999997</v>
      </c>
      <c r="C490" s="44">
        <v>471.50580000000002</v>
      </c>
      <c r="D490" s="44">
        <v>473.61340000000001</v>
      </c>
      <c r="E490" s="44">
        <v>1961897</v>
      </c>
      <c r="F490" s="44" t="s">
        <v>467</v>
      </c>
      <c r="G490" s="25">
        <f t="shared" si="5"/>
        <v>5.1428021251087586E-3</v>
      </c>
    </row>
    <row r="491" spans="1:7">
      <c r="A491" s="44">
        <v>473.7029</v>
      </c>
      <c r="B491" s="44">
        <v>475.84730000000002</v>
      </c>
      <c r="C491" s="44">
        <v>469.11619999999999</v>
      </c>
      <c r="D491" s="44">
        <v>470.57560000000001</v>
      </c>
      <c r="E491" s="44">
        <v>2462740</v>
      </c>
      <c r="F491" s="44" t="s">
        <v>468</v>
      </c>
      <c r="G491" s="25">
        <f t="shared" si="5"/>
        <v>6.6456909368015626E-3</v>
      </c>
    </row>
    <row r="492" spans="1:7">
      <c r="A492" s="44">
        <v>466.37619999999998</v>
      </c>
      <c r="B492" s="44">
        <v>478.47809999999998</v>
      </c>
      <c r="C492" s="44">
        <v>465.61169999999998</v>
      </c>
      <c r="D492" s="44">
        <v>476.5025</v>
      </c>
      <c r="E492" s="44">
        <v>2552759</v>
      </c>
      <c r="F492" s="44" t="s">
        <v>469</v>
      </c>
      <c r="G492" s="25">
        <f t="shared" si="5"/>
        <v>-2.1251305082344851E-2</v>
      </c>
    </row>
    <row r="493" spans="1:7">
      <c r="A493" s="44">
        <v>473.97089999999997</v>
      </c>
      <c r="B493" s="44">
        <v>479.80840000000001</v>
      </c>
      <c r="C493" s="44">
        <v>473.76240000000001</v>
      </c>
      <c r="D493" s="44">
        <v>476.96910000000003</v>
      </c>
      <c r="E493" s="44">
        <v>2265162</v>
      </c>
      <c r="F493" s="44" t="s">
        <v>470</v>
      </c>
      <c r="G493" s="25">
        <f t="shared" si="5"/>
        <v>-6.2859417937137785E-3</v>
      </c>
    </row>
    <row r="494" spans="1:7">
      <c r="A494" s="44">
        <v>475.96640000000002</v>
      </c>
      <c r="B494" s="44">
        <v>476.9393</v>
      </c>
      <c r="C494" s="44">
        <v>472.85899999999998</v>
      </c>
      <c r="D494" s="44">
        <v>473.52420000000001</v>
      </c>
      <c r="E494" s="44">
        <v>3265212</v>
      </c>
      <c r="F494" s="44" t="s">
        <v>471</v>
      </c>
      <c r="G494" s="25">
        <f t="shared" si="5"/>
        <v>5.1574977582984349E-3</v>
      </c>
    </row>
    <row r="495" spans="1:7">
      <c r="A495" s="44">
        <v>474.94380000000001</v>
      </c>
      <c r="B495" s="44">
        <v>479.78859999999997</v>
      </c>
      <c r="C495" s="44">
        <v>473.88159999999999</v>
      </c>
      <c r="D495" s="44">
        <v>477.1875</v>
      </c>
      <c r="E495" s="44">
        <v>1648343</v>
      </c>
      <c r="F495" s="44" t="s">
        <v>472</v>
      </c>
      <c r="G495" s="25">
        <f t="shared" si="5"/>
        <v>-4.7019253438114195E-3</v>
      </c>
    </row>
    <row r="496" spans="1:7">
      <c r="A496" s="44">
        <v>478.09089999999998</v>
      </c>
      <c r="B496" s="44">
        <v>478.94470000000001</v>
      </c>
      <c r="C496" s="44">
        <v>473.827</v>
      </c>
      <c r="D496" s="44">
        <v>474.45740000000001</v>
      </c>
      <c r="E496" s="44">
        <v>2214542</v>
      </c>
      <c r="F496" s="44" t="s">
        <v>473</v>
      </c>
      <c r="G496" s="25">
        <f t="shared" si="5"/>
        <v>7.6582217918825801E-3</v>
      </c>
    </row>
    <row r="497" spans="1:7">
      <c r="A497" s="44">
        <v>474.49709999999999</v>
      </c>
      <c r="B497" s="44">
        <v>478.67669999999998</v>
      </c>
      <c r="C497" s="44">
        <v>471.3202</v>
      </c>
      <c r="D497" s="44">
        <v>477.02870000000001</v>
      </c>
      <c r="E497" s="44">
        <v>2309507</v>
      </c>
      <c r="F497" s="44" t="s">
        <v>474</v>
      </c>
      <c r="G497" s="25">
        <f t="shared" si="5"/>
        <v>-5.3070182150466438E-3</v>
      </c>
    </row>
    <row r="498" spans="1:7">
      <c r="A498" s="44">
        <v>473.35539999999997</v>
      </c>
      <c r="B498" s="44">
        <v>476.53230000000002</v>
      </c>
      <c r="C498" s="44">
        <v>468.8929</v>
      </c>
      <c r="D498" s="44">
        <v>474.26870000000002</v>
      </c>
      <c r="E498" s="44">
        <v>2515051</v>
      </c>
      <c r="F498" s="44" t="s">
        <v>475</v>
      </c>
      <c r="G498" s="25">
        <f t="shared" si="5"/>
        <v>-1.9257016117657511E-3</v>
      </c>
    </row>
    <row r="499" spans="1:7">
      <c r="A499" s="44">
        <v>472.60090000000002</v>
      </c>
      <c r="B499" s="44">
        <v>478.83550000000002</v>
      </c>
      <c r="C499" s="44">
        <v>470.98379999999997</v>
      </c>
      <c r="D499" s="44">
        <v>478.1207</v>
      </c>
      <c r="E499" s="44">
        <v>2600371</v>
      </c>
      <c r="F499" s="44" t="s">
        <v>476</v>
      </c>
      <c r="G499" s="25">
        <f t="shared" si="5"/>
        <v>-1.1544783566158068E-2</v>
      </c>
    </row>
    <row r="500" spans="1:7">
      <c r="A500" s="44">
        <v>478.1902</v>
      </c>
      <c r="B500" s="44">
        <v>485.35809999999998</v>
      </c>
      <c r="C500" s="44">
        <v>477.98169999999999</v>
      </c>
      <c r="D500" s="44">
        <v>484.78219999999999</v>
      </c>
      <c r="E500" s="44">
        <v>2277794</v>
      </c>
      <c r="F500" s="44" t="s">
        <v>477</v>
      </c>
      <c r="G500" s="25">
        <f t="shared" si="5"/>
        <v>-1.3597858997298151E-2</v>
      </c>
    </row>
    <row r="501" spans="1:7">
      <c r="A501" s="44">
        <v>485.10989999999998</v>
      </c>
      <c r="B501" s="44">
        <v>486.46</v>
      </c>
      <c r="C501" s="44">
        <v>479.90769999999998</v>
      </c>
      <c r="D501" s="44">
        <v>485.00069999999999</v>
      </c>
      <c r="E501" s="44">
        <v>2580338</v>
      </c>
      <c r="F501" s="44" t="s">
        <v>478</v>
      </c>
      <c r="G501" s="25">
        <f t="shared" si="5"/>
        <v>2.2515431421021859E-4</v>
      </c>
    </row>
    <row r="502" spans="1:7">
      <c r="A502" s="44">
        <v>484.51420000000002</v>
      </c>
      <c r="B502" s="44">
        <v>484.9212</v>
      </c>
      <c r="C502" s="44">
        <v>480.14600000000002</v>
      </c>
      <c r="D502" s="44">
        <v>480.8211</v>
      </c>
      <c r="E502" s="44">
        <v>1691084</v>
      </c>
      <c r="F502" s="44" t="s">
        <v>479</v>
      </c>
      <c r="G502" s="25">
        <f t="shared" si="5"/>
        <v>7.6808193317638995E-3</v>
      </c>
    </row>
    <row r="503" spans="1:7">
      <c r="A503" s="44">
        <v>480.5034</v>
      </c>
      <c r="B503" s="44">
        <v>481.10899999999998</v>
      </c>
      <c r="C503" s="44">
        <v>476.04579999999999</v>
      </c>
      <c r="D503" s="44">
        <v>478.14060000000001</v>
      </c>
      <c r="E503" s="44">
        <v>2049644</v>
      </c>
      <c r="F503" s="44" t="s">
        <v>480</v>
      </c>
      <c r="G503" s="25">
        <f t="shared" si="5"/>
        <v>4.9416426883639453E-3</v>
      </c>
    </row>
    <row r="504" spans="1:7">
      <c r="A504" s="44">
        <v>475.43029999999999</v>
      </c>
      <c r="B504" s="44">
        <v>477.34640000000002</v>
      </c>
      <c r="C504" s="44">
        <v>473.20650000000001</v>
      </c>
      <c r="D504" s="44">
        <v>475.18209999999999</v>
      </c>
      <c r="E504" s="44">
        <v>2072358</v>
      </c>
      <c r="F504" s="44" t="s">
        <v>481</v>
      </c>
      <c r="G504" s="25">
        <f t="shared" si="5"/>
        <v>5.2232607246782692E-4</v>
      </c>
    </row>
    <row r="505" spans="1:7">
      <c r="A505" s="44">
        <v>472.39240000000001</v>
      </c>
      <c r="B505" s="44">
        <v>475.0034</v>
      </c>
      <c r="C505" s="44">
        <v>469.66230000000002</v>
      </c>
      <c r="D505" s="44">
        <v>469.92039999999997</v>
      </c>
      <c r="E505" s="44">
        <v>4179328</v>
      </c>
      <c r="F505" s="44" t="s">
        <v>482</v>
      </c>
      <c r="G505" s="25">
        <f t="shared" si="5"/>
        <v>5.2604653894574582E-3</v>
      </c>
    </row>
    <row r="506" spans="1:7">
      <c r="A506" s="44">
        <v>476.01600000000002</v>
      </c>
      <c r="B506" s="44">
        <v>478.51780000000002</v>
      </c>
      <c r="C506" s="44">
        <v>473.73110000000003</v>
      </c>
      <c r="D506" s="44">
        <v>477.54489999999998</v>
      </c>
      <c r="E506" s="44">
        <v>2757821</v>
      </c>
      <c r="F506" s="44" t="s">
        <v>483</v>
      </c>
      <c r="G506" s="25">
        <f t="shared" si="5"/>
        <v>-3.2015837673063929E-3</v>
      </c>
    </row>
    <row r="507" spans="1:7">
      <c r="A507" s="44">
        <v>472.17399999999998</v>
      </c>
      <c r="B507" s="44">
        <v>472.72</v>
      </c>
      <c r="C507" s="44">
        <v>469.36439999999999</v>
      </c>
      <c r="D507" s="44">
        <v>470.80399999999997</v>
      </c>
      <c r="E507" s="44">
        <v>2103955</v>
      </c>
      <c r="F507" s="44" t="s">
        <v>484</v>
      </c>
      <c r="G507" s="25">
        <f t="shared" si="5"/>
        <v>2.9099158036041128E-3</v>
      </c>
    </row>
    <row r="508" spans="1:7">
      <c r="A508" s="44">
        <v>469.4538</v>
      </c>
      <c r="B508" s="44">
        <v>470.94299999999998</v>
      </c>
      <c r="C508" s="44">
        <v>465.32380000000001</v>
      </c>
      <c r="D508" s="44">
        <v>467.13069999999999</v>
      </c>
      <c r="E508" s="44">
        <v>1853933</v>
      </c>
      <c r="F508" s="44" t="s">
        <v>485</v>
      </c>
      <c r="G508" s="25">
        <f t="shared" si="5"/>
        <v>4.9731263648482571E-3</v>
      </c>
    </row>
    <row r="509" spans="1:7">
      <c r="A509" s="44">
        <v>465.7706</v>
      </c>
      <c r="B509" s="44">
        <v>465.97910000000002</v>
      </c>
      <c r="C509" s="44">
        <v>461.3329</v>
      </c>
      <c r="D509" s="44">
        <v>465.61169999999998</v>
      </c>
      <c r="E509" s="44">
        <v>1774642</v>
      </c>
      <c r="F509" s="44" t="s">
        <v>486</v>
      </c>
      <c r="G509" s="25">
        <f t="shared" ref="G509:G572" si="6">A509/D509-1</f>
        <v>3.4127149296292458E-4</v>
      </c>
    </row>
    <row r="510" spans="1:7">
      <c r="A510" s="44">
        <v>465.86989999999997</v>
      </c>
      <c r="B510" s="44">
        <v>468.21280000000002</v>
      </c>
      <c r="C510" s="44">
        <v>463.72550000000001</v>
      </c>
      <c r="D510" s="44">
        <v>463.72550000000001</v>
      </c>
      <c r="E510" s="44">
        <v>1596884</v>
      </c>
      <c r="F510" s="44" t="s">
        <v>487</v>
      </c>
      <c r="G510" s="25">
        <f t="shared" si="6"/>
        <v>4.624287428661944E-3</v>
      </c>
    </row>
    <row r="511" spans="1:7">
      <c r="A511" s="44">
        <v>464.16230000000002</v>
      </c>
      <c r="B511" s="44">
        <v>469.85090000000002</v>
      </c>
      <c r="C511" s="44">
        <v>462.52420000000001</v>
      </c>
      <c r="D511" s="44">
        <v>469.78140000000002</v>
      </c>
      <c r="E511" s="44">
        <v>2178103</v>
      </c>
      <c r="F511" s="44" t="s">
        <v>488</v>
      </c>
      <c r="G511" s="25">
        <f t="shared" si="6"/>
        <v>-1.1961095096570507E-2</v>
      </c>
    </row>
    <row r="512" spans="1:7">
      <c r="A512" s="44">
        <v>468.19299999999998</v>
      </c>
      <c r="B512" s="44">
        <v>470.19839999999999</v>
      </c>
      <c r="C512" s="44">
        <v>463.78500000000003</v>
      </c>
      <c r="D512" s="44">
        <v>463.78500000000003</v>
      </c>
      <c r="E512" s="44">
        <v>1917151</v>
      </c>
      <c r="F512" s="44" t="s">
        <v>489</v>
      </c>
      <c r="G512" s="25">
        <f t="shared" si="6"/>
        <v>9.5044039802925084E-3</v>
      </c>
    </row>
    <row r="513" spans="1:7">
      <c r="A513" s="44">
        <v>464.14240000000001</v>
      </c>
      <c r="B513" s="44">
        <v>465.8535</v>
      </c>
      <c r="C513" s="44">
        <v>461.26339999999999</v>
      </c>
      <c r="D513" s="44">
        <v>463.99349999999998</v>
      </c>
      <c r="E513" s="44">
        <v>2015063</v>
      </c>
      <c r="F513" s="44" t="s">
        <v>490</v>
      </c>
      <c r="G513" s="25">
        <f t="shared" si="6"/>
        <v>3.2090966791575859E-4</v>
      </c>
    </row>
    <row r="514" spans="1:7">
      <c r="A514" s="44">
        <v>465.10539999999997</v>
      </c>
      <c r="B514" s="44">
        <v>473.1866</v>
      </c>
      <c r="C514" s="44">
        <v>462.40010000000001</v>
      </c>
      <c r="D514" s="44">
        <v>472.23360000000002</v>
      </c>
      <c r="E514" s="44">
        <v>3212483</v>
      </c>
      <c r="F514" s="44" t="s">
        <v>491</v>
      </c>
      <c r="G514" s="25">
        <f t="shared" si="6"/>
        <v>-1.5094648072479511E-2</v>
      </c>
    </row>
    <row r="515" spans="1:7">
      <c r="A515" s="44">
        <v>473.1866</v>
      </c>
      <c r="B515" s="44">
        <v>474.05029999999999</v>
      </c>
      <c r="C515" s="44">
        <v>470.47629999999998</v>
      </c>
      <c r="D515" s="44">
        <v>471.47910000000002</v>
      </c>
      <c r="E515" s="44">
        <v>1748452</v>
      </c>
      <c r="F515" s="44" t="s">
        <v>492</v>
      </c>
      <c r="G515" s="25">
        <f t="shared" si="6"/>
        <v>3.6215815292766074E-3</v>
      </c>
    </row>
    <row r="516" spans="1:7">
      <c r="A516" s="44">
        <v>471.33010000000002</v>
      </c>
      <c r="B516" s="44">
        <v>474.93389999999999</v>
      </c>
      <c r="C516" s="44">
        <v>468.6397</v>
      </c>
      <c r="D516" s="44">
        <v>474.54669999999999</v>
      </c>
      <c r="E516" s="44">
        <v>3072717</v>
      </c>
      <c r="F516" s="44" t="s">
        <v>493</v>
      </c>
      <c r="G516" s="25">
        <f t="shared" si="6"/>
        <v>-6.7782580723877439E-3</v>
      </c>
    </row>
    <row r="517" spans="1:7">
      <c r="A517" s="44">
        <v>475.39060000000001</v>
      </c>
      <c r="B517" s="44">
        <v>475.67849999999999</v>
      </c>
      <c r="C517" s="44">
        <v>470.24799999999999</v>
      </c>
      <c r="D517" s="44">
        <v>470.74439999999998</v>
      </c>
      <c r="E517" s="44">
        <v>1931986</v>
      </c>
      <c r="F517" s="44" t="s">
        <v>494</v>
      </c>
      <c r="G517" s="25">
        <f t="shared" si="6"/>
        <v>9.8698996737933697E-3</v>
      </c>
    </row>
    <row r="518" spans="1:7">
      <c r="A518" s="44">
        <v>471.3202</v>
      </c>
      <c r="B518" s="44">
        <v>471.5684</v>
      </c>
      <c r="C518" s="44">
        <v>466.55489999999998</v>
      </c>
      <c r="D518" s="44">
        <v>471.12169999999998</v>
      </c>
      <c r="E518" s="44">
        <v>2011129</v>
      </c>
      <c r="F518" s="44" t="s">
        <v>495</v>
      </c>
      <c r="G518" s="25">
        <f t="shared" si="6"/>
        <v>4.2133486952522503E-4</v>
      </c>
    </row>
    <row r="519" spans="1:7">
      <c r="A519" s="44">
        <v>471.08190000000002</v>
      </c>
      <c r="B519" s="44">
        <v>471.6429</v>
      </c>
      <c r="C519" s="44">
        <v>468.59010000000001</v>
      </c>
      <c r="D519" s="44">
        <v>469.58280000000002</v>
      </c>
      <c r="E519" s="44">
        <v>2066883</v>
      </c>
      <c r="F519" s="44" t="s">
        <v>496</v>
      </c>
      <c r="G519" s="25">
        <f t="shared" si="6"/>
        <v>3.1924082398246956E-3</v>
      </c>
    </row>
    <row r="520" spans="1:7">
      <c r="A520" s="44">
        <v>469.99979999999999</v>
      </c>
      <c r="B520" s="44">
        <v>471.73439999999999</v>
      </c>
      <c r="C520" s="44">
        <v>468.4511</v>
      </c>
      <c r="D520" s="44">
        <v>470.30759999999998</v>
      </c>
      <c r="E520" s="44">
        <v>1764216</v>
      </c>
      <c r="F520" s="44" t="s">
        <v>497</v>
      </c>
      <c r="G520" s="25">
        <f t="shared" si="6"/>
        <v>-6.5446529037593848E-4</v>
      </c>
    </row>
    <row r="521" spans="1:7">
      <c r="A521" s="44">
        <v>468.1533</v>
      </c>
      <c r="B521" s="44">
        <v>469.0865</v>
      </c>
      <c r="C521" s="44">
        <v>458.24540000000002</v>
      </c>
      <c r="D521" s="44">
        <v>458.47370000000001</v>
      </c>
      <c r="E521" s="44">
        <v>2572782</v>
      </c>
      <c r="F521" s="44" t="s">
        <v>498</v>
      </c>
      <c r="G521" s="25">
        <f t="shared" si="6"/>
        <v>2.111266142419943E-2</v>
      </c>
    </row>
    <row r="522" spans="1:7">
      <c r="A522" s="44">
        <v>455.73360000000002</v>
      </c>
      <c r="B522" s="44">
        <v>456.2747</v>
      </c>
      <c r="C522" s="44">
        <v>448.7346</v>
      </c>
      <c r="D522" s="44">
        <v>450.0351</v>
      </c>
      <c r="E522" s="44">
        <v>2896527</v>
      </c>
      <c r="F522" s="44" t="s">
        <v>499</v>
      </c>
      <c r="G522" s="25">
        <f t="shared" si="6"/>
        <v>1.2662345670371167E-2</v>
      </c>
    </row>
    <row r="523" spans="1:7">
      <c r="A523" s="44">
        <v>448.4864</v>
      </c>
      <c r="B523" s="44">
        <v>452.55669999999998</v>
      </c>
      <c r="C523" s="44">
        <v>446.86810000000003</v>
      </c>
      <c r="D523" s="44">
        <v>449.52879999999999</v>
      </c>
      <c r="E523" s="44">
        <v>5044210</v>
      </c>
      <c r="F523" s="44" t="s">
        <v>500</v>
      </c>
      <c r="G523" s="25">
        <f t="shared" si="6"/>
        <v>-2.3188725616689609E-3</v>
      </c>
    </row>
    <row r="524" spans="1:7">
      <c r="A524" s="44">
        <v>464.74799999999999</v>
      </c>
      <c r="B524" s="44">
        <v>470.74439999999998</v>
      </c>
      <c r="C524" s="44">
        <v>463.69069999999999</v>
      </c>
      <c r="D524" s="44">
        <v>470.74439999999998</v>
      </c>
      <c r="E524" s="44">
        <v>2237275</v>
      </c>
      <c r="F524" s="44" t="s">
        <v>501</v>
      </c>
      <c r="G524" s="25">
        <f t="shared" si="6"/>
        <v>-1.2738122853930944E-2</v>
      </c>
    </row>
    <row r="525" spans="1:7">
      <c r="A525" s="44">
        <v>467.87529999999998</v>
      </c>
      <c r="B525" s="44">
        <v>468.6943</v>
      </c>
      <c r="C525" s="44">
        <v>461.86900000000003</v>
      </c>
      <c r="D525" s="44">
        <v>462.46460000000002</v>
      </c>
      <c r="E525" s="44">
        <v>2354215</v>
      </c>
      <c r="F525" s="44" t="s">
        <v>502</v>
      </c>
      <c r="G525" s="25">
        <f t="shared" si="6"/>
        <v>1.1699706312656044E-2</v>
      </c>
    </row>
    <row r="526" spans="1:7">
      <c r="A526" s="44">
        <v>461.82929999999999</v>
      </c>
      <c r="B526" s="44">
        <v>462.0874</v>
      </c>
      <c r="C526" s="44">
        <v>456.11579999999998</v>
      </c>
      <c r="D526" s="44">
        <v>458.66230000000002</v>
      </c>
      <c r="E526" s="44">
        <v>2202784</v>
      </c>
      <c r="F526" s="44" t="s">
        <v>503</v>
      </c>
      <c r="G526" s="25">
        <f t="shared" si="6"/>
        <v>6.9048622483252053E-3</v>
      </c>
    </row>
    <row r="527" spans="1:7">
      <c r="A527" s="44">
        <v>457.13339999999999</v>
      </c>
      <c r="B527" s="44">
        <v>458.54320000000001</v>
      </c>
      <c r="C527" s="44">
        <v>452.74540000000002</v>
      </c>
      <c r="D527" s="44">
        <v>453.46019999999999</v>
      </c>
      <c r="E527" s="44">
        <v>2407755</v>
      </c>
      <c r="F527" s="44" t="s">
        <v>504</v>
      </c>
      <c r="G527" s="25">
        <f t="shared" si="6"/>
        <v>8.100380143615693E-3</v>
      </c>
    </row>
    <row r="528" spans="1:7">
      <c r="A528" s="44">
        <v>455.39609999999999</v>
      </c>
      <c r="B528" s="44">
        <v>456.08109999999999</v>
      </c>
      <c r="C528" s="44">
        <v>452.7851</v>
      </c>
      <c r="D528" s="44">
        <v>455.86270000000002</v>
      </c>
      <c r="E528" s="44">
        <v>1794533</v>
      </c>
      <c r="F528" s="44" t="s">
        <v>505</v>
      </c>
      <c r="G528" s="25">
        <f t="shared" si="6"/>
        <v>-1.0235538024936375E-3</v>
      </c>
    </row>
    <row r="529" spans="1:7">
      <c r="A529" s="44">
        <v>454.57209999999998</v>
      </c>
      <c r="B529" s="44">
        <v>455.66910000000001</v>
      </c>
      <c r="C529" s="44">
        <v>453.07299999999998</v>
      </c>
      <c r="D529" s="44">
        <v>454.75080000000003</v>
      </c>
      <c r="E529" s="44">
        <v>2155449</v>
      </c>
      <c r="F529" s="44" t="s">
        <v>506</v>
      </c>
      <c r="G529" s="25">
        <f t="shared" si="6"/>
        <v>-3.929624752723182E-4</v>
      </c>
    </row>
    <row r="530" spans="1:7">
      <c r="A530" s="44">
        <v>454.94929999999999</v>
      </c>
      <c r="B530" s="44">
        <v>457.42129999999997</v>
      </c>
      <c r="C530" s="44">
        <v>454.14019999999999</v>
      </c>
      <c r="D530" s="44">
        <v>456.67680000000001</v>
      </c>
      <c r="E530" s="44">
        <v>2081511</v>
      </c>
      <c r="F530" s="44" t="s">
        <v>507</v>
      </c>
      <c r="G530" s="25">
        <f t="shared" si="6"/>
        <v>-3.7827627766507943E-3</v>
      </c>
    </row>
    <row r="531" spans="1:7">
      <c r="A531" s="44">
        <v>458.57299999999998</v>
      </c>
      <c r="B531" s="44">
        <v>458.8956</v>
      </c>
      <c r="C531" s="44">
        <v>456.29450000000003</v>
      </c>
      <c r="D531" s="44">
        <v>457.87799999999999</v>
      </c>
      <c r="E531" s="44">
        <v>2544469</v>
      </c>
      <c r="F531" s="44" t="s">
        <v>508</v>
      </c>
      <c r="G531" s="25">
        <f t="shared" si="6"/>
        <v>1.517871572777052E-3</v>
      </c>
    </row>
    <row r="532" spans="1:7">
      <c r="A532" s="44">
        <v>457.17320000000001</v>
      </c>
      <c r="B532" s="44">
        <v>457.23270000000002</v>
      </c>
      <c r="C532" s="44">
        <v>452.07029999999997</v>
      </c>
      <c r="D532" s="44">
        <v>452.07029999999997</v>
      </c>
      <c r="E532" s="44">
        <v>2201912</v>
      </c>
      <c r="F532" s="44" t="s">
        <v>509</v>
      </c>
      <c r="G532" s="25">
        <f t="shared" si="6"/>
        <v>1.1287846160210169E-2</v>
      </c>
    </row>
    <row r="533" spans="1:7">
      <c r="A533" s="44">
        <v>453.46019999999999</v>
      </c>
      <c r="B533" s="44">
        <v>458.03429999999997</v>
      </c>
      <c r="C533" s="44">
        <v>452.23700000000002</v>
      </c>
      <c r="D533" s="44">
        <v>456.19029999999998</v>
      </c>
      <c r="E533" s="44">
        <v>2438961</v>
      </c>
      <c r="F533" s="44" t="s">
        <v>510</v>
      </c>
      <c r="G533" s="25">
        <f t="shared" si="6"/>
        <v>-5.9845638980048355E-3</v>
      </c>
    </row>
    <row r="534" spans="1:7">
      <c r="A534" s="44">
        <v>457.25259999999997</v>
      </c>
      <c r="B534" s="44">
        <v>460.48899999999998</v>
      </c>
      <c r="C534" s="44">
        <v>455.18759999999997</v>
      </c>
      <c r="D534" s="44">
        <v>458.87079999999997</v>
      </c>
      <c r="E534" s="44">
        <v>2050335</v>
      </c>
      <c r="F534" s="44" t="s">
        <v>511</v>
      </c>
      <c r="G534" s="25">
        <f t="shared" si="6"/>
        <v>-3.5264828356914579E-3</v>
      </c>
    </row>
    <row r="535" spans="1:7">
      <c r="A535" s="44">
        <v>457.59010000000001</v>
      </c>
      <c r="B535" s="44">
        <v>457.80849999999998</v>
      </c>
      <c r="C535" s="44">
        <v>450.76479999999998</v>
      </c>
      <c r="D535" s="44">
        <v>451.71289999999999</v>
      </c>
      <c r="E535" s="44">
        <v>3292697</v>
      </c>
      <c r="F535" s="44" t="s">
        <v>512</v>
      </c>
      <c r="G535" s="25">
        <f t="shared" si="6"/>
        <v>1.301091910370511E-2</v>
      </c>
    </row>
    <row r="536" spans="1:7">
      <c r="A536" s="44">
        <v>445.9846</v>
      </c>
      <c r="B536" s="44">
        <v>458.66230000000002</v>
      </c>
      <c r="C536" s="44">
        <v>443.39339999999999</v>
      </c>
      <c r="D536" s="44">
        <v>446.74900000000002</v>
      </c>
      <c r="E536" s="44">
        <v>4740634</v>
      </c>
      <c r="F536" s="44" t="s">
        <v>513</v>
      </c>
      <c r="G536" s="25">
        <f t="shared" si="6"/>
        <v>-1.7110278926198985E-3</v>
      </c>
    </row>
    <row r="537" spans="1:7">
      <c r="A537" s="44">
        <v>441.97379999999998</v>
      </c>
      <c r="B537" s="44">
        <v>442.9914</v>
      </c>
      <c r="C537" s="44">
        <v>436.87090000000001</v>
      </c>
      <c r="D537" s="44">
        <v>437.71480000000003</v>
      </c>
      <c r="E537" s="44">
        <v>2663616</v>
      </c>
      <c r="F537" s="44" t="s">
        <v>514</v>
      </c>
      <c r="G537" s="25">
        <f t="shared" si="6"/>
        <v>9.7300799516031322E-3</v>
      </c>
    </row>
    <row r="538" spans="1:7">
      <c r="A538" s="44">
        <v>437.39710000000002</v>
      </c>
      <c r="B538" s="44">
        <v>437.77429999999998</v>
      </c>
      <c r="C538" s="44">
        <v>431.52980000000002</v>
      </c>
      <c r="D538" s="44">
        <v>432.63170000000002</v>
      </c>
      <c r="E538" s="44">
        <v>2314246</v>
      </c>
      <c r="F538" s="44" t="s">
        <v>515</v>
      </c>
      <c r="G538" s="25">
        <f t="shared" si="6"/>
        <v>1.1014911759817947E-2</v>
      </c>
    </row>
    <row r="539" spans="1:7">
      <c r="A539" s="44">
        <v>435.36189999999999</v>
      </c>
      <c r="B539" s="44">
        <v>436.71199999999999</v>
      </c>
      <c r="C539" s="44">
        <v>427.55869999999999</v>
      </c>
      <c r="D539" s="44">
        <v>429.42509999999999</v>
      </c>
      <c r="E539" s="44">
        <v>2725548</v>
      </c>
      <c r="F539" s="44" t="s">
        <v>516</v>
      </c>
      <c r="G539" s="25">
        <f t="shared" si="6"/>
        <v>1.3824995325145251E-2</v>
      </c>
    </row>
    <row r="540" spans="1:7">
      <c r="A540" s="44">
        <v>433.64440000000002</v>
      </c>
      <c r="B540" s="44">
        <v>435.46120000000002</v>
      </c>
      <c r="C540" s="44">
        <v>431.32130000000001</v>
      </c>
      <c r="D540" s="44">
        <v>432.85019999999997</v>
      </c>
      <c r="E540" s="44">
        <v>2977825</v>
      </c>
      <c r="F540" s="44" t="s">
        <v>517</v>
      </c>
      <c r="G540" s="25">
        <f t="shared" si="6"/>
        <v>1.8348149082523246E-3</v>
      </c>
    </row>
    <row r="541" spans="1:7">
      <c r="A541" s="44">
        <v>435.53059999999999</v>
      </c>
      <c r="B541" s="44">
        <v>437.7396</v>
      </c>
      <c r="C541" s="44">
        <v>432.6069</v>
      </c>
      <c r="D541" s="44">
        <v>435.36189999999999</v>
      </c>
      <c r="E541" s="44">
        <v>2725669</v>
      </c>
      <c r="F541" s="44" t="s">
        <v>518</v>
      </c>
      <c r="G541" s="25">
        <f t="shared" si="6"/>
        <v>3.8749371499902097E-4</v>
      </c>
    </row>
    <row r="542" spans="1:7">
      <c r="A542" s="44">
        <v>435.59019999999998</v>
      </c>
      <c r="B542" s="44">
        <v>437.4169</v>
      </c>
      <c r="C542" s="44">
        <v>434.69670000000002</v>
      </c>
      <c r="D542" s="44">
        <v>437.08929999999998</v>
      </c>
      <c r="E542" s="44">
        <v>2328662</v>
      </c>
      <c r="F542" s="44" t="s">
        <v>519</v>
      </c>
      <c r="G542" s="25">
        <f t="shared" si="6"/>
        <v>-3.4297339239373059E-3</v>
      </c>
    </row>
    <row r="543" spans="1:7">
      <c r="A543" s="44">
        <v>436.57310000000001</v>
      </c>
      <c r="B543" s="44">
        <v>437.75450000000001</v>
      </c>
      <c r="C543" s="44">
        <v>434.101</v>
      </c>
      <c r="D543" s="44">
        <v>435.80860000000001</v>
      </c>
      <c r="E543" s="44">
        <v>2715618</v>
      </c>
      <c r="F543" s="44" t="s">
        <v>520</v>
      </c>
      <c r="G543" s="25">
        <f t="shared" si="6"/>
        <v>1.7542104492660471E-3</v>
      </c>
    </row>
    <row r="544" spans="1:7">
      <c r="A544" s="44">
        <v>433.62450000000001</v>
      </c>
      <c r="B544" s="44">
        <v>433.91239999999999</v>
      </c>
      <c r="C544" s="44">
        <v>426.23829999999998</v>
      </c>
      <c r="D544" s="44">
        <v>429.42509999999999</v>
      </c>
      <c r="E544" s="44">
        <v>2400409</v>
      </c>
      <c r="F544" s="44" t="s">
        <v>521</v>
      </c>
      <c r="G544" s="25">
        <f t="shared" si="6"/>
        <v>9.7791209689419567E-3</v>
      </c>
    </row>
    <row r="545" spans="1:7">
      <c r="A545" s="44">
        <v>427.60829999999999</v>
      </c>
      <c r="B545" s="44">
        <v>428.10469999999998</v>
      </c>
      <c r="C545" s="44">
        <v>424.36189999999999</v>
      </c>
      <c r="D545" s="44">
        <v>425.54329999999999</v>
      </c>
      <c r="E545" s="44">
        <v>2075759</v>
      </c>
      <c r="F545" s="44" t="s">
        <v>522</v>
      </c>
      <c r="G545" s="25">
        <f t="shared" si="6"/>
        <v>4.8526201681473591E-3</v>
      </c>
    </row>
    <row r="546" spans="1:7">
      <c r="A546" s="44">
        <v>424.33210000000003</v>
      </c>
      <c r="B546" s="44">
        <v>427.27010000000001</v>
      </c>
      <c r="C546" s="44">
        <v>422.40620000000001</v>
      </c>
      <c r="D546" s="44">
        <v>422.40620000000001</v>
      </c>
      <c r="E546" s="44">
        <v>2690522</v>
      </c>
      <c r="F546" s="44" t="s">
        <v>523</v>
      </c>
      <c r="G546" s="25">
        <f t="shared" si="6"/>
        <v>4.5593554261278424E-3</v>
      </c>
    </row>
    <row r="547" spans="1:7">
      <c r="A547" s="44">
        <v>425.25540000000001</v>
      </c>
      <c r="B547" s="44">
        <v>426.62540000000001</v>
      </c>
      <c r="C547" s="44">
        <v>423.43860000000001</v>
      </c>
      <c r="D547" s="44">
        <v>424.35199999999998</v>
      </c>
      <c r="E547" s="44">
        <v>2397988</v>
      </c>
      <c r="F547" s="44" t="s">
        <v>524</v>
      </c>
      <c r="G547" s="25">
        <f t="shared" si="6"/>
        <v>2.1288929944951462E-3</v>
      </c>
    </row>
    <row r="548" spans="1:7">
      <c r="A548" s="44">
        <v>426</v>
      </c>
      <c r="B548" s="44">
        <v>427.99549999999999</v>
      </c>
      <c r="C548" s="44">
        <v>424.61009999999999</v>
      </c>
      <c r="D548" s="44">
        <v>426.84390000000002</v>
      </c>
      <c r="E548" s="44">
        <v>1892426</v>
      </c>
      <c r="F548" s="44" t="s">
        <v>525</v>
      </c>
      <c r="G548" s="25">
        <f t="shared" si="6"/>
        <v>-1.977069368919171E-3</v>
      </c>
    </row>
    <row r="549" spans="1:7">
      <c r="A549" s="44">
        <v>423.63720000000001</v>
      </c>
      <c r="B549" s="44">
        <v>428.67059999999998</v>
      </c>
      <c r="C549" s="44">
        <v>422.69409999999999</v>
      </c>
      <c r="D549" s="44">
        <v>426.89350000000002</v>
      </c>
      <c r="E549" s="44">
        <v>2320769</v>
      </c>
      <c r="F549" s="44" t="s">
        <v>526</v>
      </c>
      <c r="G549" s="25">
        <f t="shared" si="6"/>
        <v>-7.6278978246331341E-3</v>
      </c>
    </row>
    <row r="550" spans="1:7">
      <c r="A550" s="44">
        <v>425.17599999999999</v>
      </c>
      <c r="B550" s="44">
        <v>426.3673</v>
      </c>
      <c r="C550" s="44">
        <v>421.08589999999998</v>
      </c>
      <c r="D550" s="44">
        <v>422.92239999999998</v>
      </c>
      <c r="E550" s="44">
        <v>2709369</v>
      </c>
      <c r="F550" s="44" t="s">
        <v>527</v>
      </c>
      <c r="G550" s="25">
        <f t="shared" si="6"/>
        <v>5.3286371211362926E-3</v>
      </c>
    </row>
    <row r="551" spans="1:7">
      <c r="A551" s="44">
        <v>419.54700000000003</v>
      </c>
      <c r="B551" s="44">
        <v>420.63900000000001</v>
      </c>
      <c r="C551" s="44">
        <v>415.5163</v>
      </c>
      <c r="D551" s="44">
        <v>416.07220000000001</v>
      </c>
      <c r="E551" s="44">
        <v>2439387</v>
      </c>
      <c r="F551" s="44" t="s">
        <v>528</v>
      </c>
      <c r="G551" s="25">
        <f t="shared" si="6"/>
        <v>8.3514351595708192E-3</v>
      </c>
    </row>
    <row r="552" spans="1:7">
      <c r="A552" s="44">
        <v>418.9314</v>
      </c>
      <c r="B552" s="44">
        <v>419.03070000000002</v>
      </c>
      <c r="C552" s="44">
        <v>413.52080000000001</v>
      </c>
      <c r="D552" s="44">
        <v>416.40980000000002</v>
      </c>
      <c r="E552" s="44">
        <v>2125446</v>
      </c>
      <c r="F552" s="44" t="s">
        <v>529</v>
      </c>
      <c r="G552" s="25">
        <f t="shared" si="6"/>
        <v>6.0555731397291535E-3</v>
      </c>
    </row>
    <row r="553" spans="1:7">
      <c r="A553" s="44">
        <v>415.73469999999998</v>
      </c>
      <c r="B553" s="44">
        <v>419.04539999999997</v>
      </c>
      <c r="C553" s="44">
        <v>413.3261</v>
      </c>
      <c r="D553" s="44">
        <v>416.7953</v>
      </c>
      <c r="E553" s="44">
        <v>2416004</v>
      </c>
      <c r="F553" s="44" t="s">
        <v>530</v>
      </c>
      <c r="G553" s="25">
        <f t="shared" si="6"/>
        <v>-2.5446544142893046E-3</v>
      </c>
    </row>
    <row r="554" spans="1:7">
      <c r="A554" s="44">
        <v>416.08159999999998</v>
      </c>
      <c r="B554" s="44">
        <v>419.72930000000002</v>
      </c>
      <c r="C554" s="44">
        <v>414.60469999999998</v>
      </c>
      <c r="D554" s="44">
        <v>414.82279999999997</v>
      </c>
      <c r="E554" s="44">
        <v>2042551</v>
      </c>
      <c r="F554" s="44" t="s">
        <v>531</v>
      </c>
      <c r="G554" s="25">
        <f t="shared" si="6"/>
        <v>3.034548727794073E-3</v>
      </c>
    </row>
    <row r="555" spans="1:7">
      <c r="A555" s="44">
        <v>415.09039999999999</v>
      </c>
      <c r="B555" s="44">
        <v>417.63780000000003</v>
      </c>
      <c r="C555" s="44">
        <v>413.83170000000001</v>
      </c>
      <c r="D555" s="44">
        <v>417.4991</v>
      </c>
      <c r="E555" s="44">
        <v>3093684</v>
      </c>
      <c r="F555" s="44" t="s">
        <v>532</v>
      </c>
      <c r="G555" s="25">
        <f t="shared" si="6"/>
        <v>-5.7693537542955475E-3</v>
      </c>
    </row>
    <row r="556" spans="1:7">
      <c r="A556" s="44">
        <v>418.18299999999999</v>
      </c>
      <c r="B556" s="44">
        <v>420.55200000000002</v>
      </c>
      <c r="C556" s="44">
        <v>415.87349999999998</v>
      </c>
      <c r="D556" s="44">
        <v>420.36369999999999</v>
      </c>
      <c r="E556" s="44">
        <v>2463746</v>
      </c>
      <c r="F556" s="44" t="s">
        <v>533</v>
      </c>
      <c r="G556" s="25">
        <f t="shared" si="6"/>
        <v>-5.1876505987553667E-3</v>
      </c>
    </row>
    <row r="557" spans="1:7">
      <c r="A557" s="44">
        <v>422.76240000000001</v>
      </c>
      <c r="B557" s="44">
        <v>424.58620000000002</v>
      </c>
      <c r="C557" s="44">
        <v>420.5421</v>
      </c>
      <c r="D557" s="44">
        <v>422.93090000000001</v>
      </c>
      <c r="E557" s="44">
        <v>1706284</v>
      </c>
      <c r="F557" s="44" t="s">
        <v>534</v>
      </c>
      <c r="G557" s="25">
        <f t="shared" si="6"/>
        <v>-3.9841023675502019E-4</v>
      </c>
    </row>
    <row r="558" spans="1:7">
      <c r="A558" s="44">
        <v>422.57409999999999</v>
      </c>
      <c r="B558" s="44">
        <v>424.59609999999998</v>
      </c>
      <c r="C558" s="44">
        <v>419.95729999999998</v>
      </c>
      <c r="D558" s="44">
        <v>420.04649999999998</v>
      </c>
      <c r="E558" s="44">
        <v>1505039</v>
      </c>
      <c r="F558" s="44" t="s">
        <v>535</v>
      </c>
      <c r="G558" s="25">
        <f t="shared" si="6"/>
        <v>6.0174290227392735E-3</v>
      </c>
    </row>
    <row r="559" spans="1:7">
      <c r="A559" s="44">
        <v>420.63130000000001</v>
      </c>
      <c r="B559" s="44">
        <v>421.27809999999999</v>
      </c>
      <c r="C559" s="44">
        <v>419.24360000000001</v>
      </c>
      <c r="D559" s="44">
        <v>419.28320000000002</v>
      </c>
      <c r="E559" s="44">
        <v>1324203</v>
      </c>
      <c r="F559" s="44" t="s">
        <v>536</v>
      </c>
      <c r="G559" s="25">
        <f t="shared" si="6"/>
        <v>3.2152492635049157E-3</v>
      </c>
    </row>
    <row r="560" spans="1:7">
      <c r="A560" s="44">
        <v>419.94740000000002</v>
      </c>
      <c r="B560" s="44">
        <v>421.9744</v>
      </c>
      <c r="C560" s="44">
        <v>419.2337</v>
      </c>
      <c r="D560" s="44">
        <v>421.26569999999998</v>
      </c>
      <c r="E560" s="44">
        <v>1258302</v>
      </c>
      <c r="F560" s="44" t="s">
        <v>537</v>
      </c>
      <c r="G560" s="25">
        <f t="shared" si="6"/>
        <v>-3.1293789169162256E-3</v>
      </c>
    </row>
    <row r="561" spans="1:7">
      <c r="A561" s="44">
        <v>420.37360000000001</v>
      </c>
      <c r="B561" s="44">
        <v>423.41160000000002</v>
      </c>
      <c r="C561" s="44">
        <v>419.24360000000001</v>
      </c>
      <c r="D561" s="44">
        <v>421.0179</v>
      </c>
      <c r="E561" s="44">
        <v>1759004</v>
      </c>
      <c r="F561" s="44" t="s">
        <v>538</v>
      </c>
      <c r="G561" s="25">
        <f t="shared" si="6"/>
        <v>-1.53033873381625E-3</v>
      </c>
    </row>
    <row r="562" spans="1:7">
      <c r="A562" s="44">
        <v>419.71940000000001</v>
      </c>
      <c r="B562" s="44">
        <v>420.17529999999999</v>
      </c>
      <c r="C562" s="44">
        <v>416.91419999999999</v>
      </c>
      <c r="D562" s="44">
        <v>418.08390000000003</v>
      </c>
      <c r="E562" s="44">
        <v>2213253</v>
      </c>
      <c r="F562" s="44" t="s">
        <v>539</v>
      </c>
      <c r="G562" s="25">
        <f t="shared" si="6"/>
        <v>3.9118942394098521E-3</v>
      </c>
    </row>
    <row r="563" spans="1:7">
      <c r="A563" s="44">
        <v>415.76440000000002</v>
      </c>
      <c r="B563" s="44">
        <v>423.85270000000003</v>
      </c>
      <c r="C563" s="44">
        <v>415.55630000000002</v>
      </c>
      <c r="D563" s="44">
        <v>421.34500000000003</v>
      </c>
      <c r="E563" s="44">
        <v>3058344</v>
      </c>
      <c r="F563" s="44" t="s">
        <v>540</v>
      </c>
      <c r="G563" s="25">
        <f t="shared" si="6"/>
        <v>-1.3244728191861732E-2</v>
      </c>
    </row>
    <row r="564" spans="1:7">
      <c r="A564" s="44">
        <v>421.73149999999998</v>
      </c>
      <c r="B564" s="44">
        <v>422.93079999999998</v>
      </c>
      <c r="C564" s="44">
        <v>418.8075</v>
      </c>
      <c r="D564" s="44">
        <v>420.32400000000001</v>
      </c>
      <c r="E564" s="44">
        <v>2256348</v>
      </c>
      <c r="F564" s="44" t="s">
        <v>541</v>
      </c>
      <c r="G564" s="25">
        <f t="shared" si="6"/>
        <v>3.3486072648718501E-3</v>
      </c>
    </row>
    <row r="565" spans="1:7">
      <c r="A565" s="44">
        <v>420.70069999999998</v>
      </c>
      <c r="B565" s="44">
        <v>421.35489999999999</v>
      </c>
      <c r="C565" s="44">
        <v>415.84370000000001</v>
      </c>
      <c r="D565" s="44">
        <v>415.84370000000001</v>
      </c>
      <c r="E565" s="44">
        <v>2686978</v>
      </c>
      <c r="F565" s="44" t="s">
        <v>542</v>
      </c>
      <c r="G565" s="25">
        <f t="shared" si="6"/>
        <v>1.1679869143141897E-2</v>
      </c>
    </row>
    <row r="566" spans="1:7">
      <c r="A566" s="44">
        <v>414.8922</v>
      </c>
      <c r="B566" s="44">
        <v>415.5761</v>
      </c>
      <c r="C566" s="44">
        <v>407.98340000000002</v>
      </c>
      <c r="D566" s="44">
        <v>408.99450000000002</v>
      </c>
      <c r="E566" s="44">
        <v>5566617</v>
      </c>
      <c r="F566" s="44" t="s">
        <v>543</v>
      </c>
      <c r="G566" s="25">
        <f t="shared" si="6"/>
        <v>1.4419998312935611E-2</v>
      </c>
    </row>
    <row r="567" spans="1:7">
      <c r="A567" s="44">
        <v>414.88229999999999</v>
      </c>
      <c r="B567" s="44">
        <v>422.10820000000001</v>
      </c>
      <c r="C567" s="44">
        <v>412.24560000000002</v>
      </c>
      <c r="D567" s="44">
        <v>421.2756</v>
      </c>
      <c r="E567" s="44">
        <v>3989825</v>
      </c>
      <c r="F567" s="44" t="s">
        <v>544</v>
      </c>
      <c r="G567" s="25">
        <f t="shared" si="6"/>
        <v>-1.5176051022181225E-2</v>
      </c>
    </row>
    <row r="568" spans="1:7">
      <c r="A568" s="44">
        <v>420.94850000000002</v>
      </c>
      <c r="B568" s="44">
        <v>422.62360000000001</v>
      </c>
      <c r="C568" s="44">
        <v>415.46210000000002</v>
      </c>
      <c r="D568" s="44">
        <v>418.1533</v>
      </c>
      <c r="E568" s="44">
        <v>3694400</v>
      </c>
      <c r="F568" s="44" t="s">
        <v>545</v>
      </c>
      <c r="G568" s="25">
        <f t="shared" si="6"/>
        <v>6.6846297757305884E-3</v>
      </c>
    </row>
    <row r="569" spans="1:7">
      <c r="A569" s="44">
        <v>417.053</v>
      </c>
      <c r="B569" s="44">
        <v>417.30079999999998</v>
      </c>
      <c r="C569" s="44">
        <v>411.05619999999999</v>
      </c>
      <c r="D569" s="44">
        <v>413.33600000000001</v>
      </c>
      <c r="E569" s="44">
        <v>2736706</v>
      </c>
      <c r="F569" s="44" t="s">
        <v>546</v>
      </c>
      <c r="G569" s="25">
        <f t="shared" si="6"/>
        <v>8.9926839181682094E-3</v>
      </c>
    </row>
    <row r="570" spans="1:7">
      <c r="A570" s="44">
        <v>412.0573</v>
      </c>
      <c r="B570" s="44">
        <v>412.51330000000002</v>
      </c>
      <c r="C570" s="44">
        <v>408.75659999999999</v>
      </c>
      <c r="D570" s="44">
        <v>408.83589999999998</v>
      </c>
      <c r="E570" s="44">
        <v>2235989</v>
      </c>
      <c r="F570" s="44" t="s">
        <v>547</v>
      </c>
      <c r="G570" s="25">
        <f t="shared" si="6"/>
        <v>7.8794450291670426E-3</v>
      </c>
    </row>
    <row r="571" spans="1:7">
      <c r="A571" s="44">
        <v>408.5385</v>
      </c>
      <c r="B571" s="44">
        <v>410.03519999999997</v>
      </c>
      <c r="C571" s="44">
        <v>405.63420000000002</v>
      </c>
      <c r="D571" s="44">
        <v>408.59800000000001</v>
      </c>
      <c r="E571" s="44">
        <v>1959438</v>
      </c>
      <c r="F571" s="44" t="s">
        <v>548</v>
      </c>
      <c r="G571" s="25">
        <f t="shared" si="6"/>
        <v>-1.4561990024430926E-4</v>
      </c>
    </row>
    <row r="572" spans="1:7">
      <c r="A572" s="44">
        <v>409.51979999999998</v>
      </c>
      <c r="B572" s="44">
        <v>409.93610000000001</v>
      </c>
      <c r="C572" s="44">
        <v>406.38760000000002</v>
      </c>
      <c r="D572" s="44">
        <v>408.44929999999999</v>
      </c>
      <c r="E572" s="44">
        <v>2363020</v>
      </c>
      <c r="F572" s="44" t="s">
        <v>549</v>
      </c>
      <c r="G572" s="25">
        <f t="shared" si="6"/>
        <v>2.6208883207781142E-3</v>
      </c>
    </row>
    <row r="573" spans="1:7">
      <c r="A573" s="44">
        <v>406.77409999999998</v>
      </c>
      <c r="B573" s="44">
        <v>410.18389999999999</v>
      </c>
      <c r="C573" s="44">
        <v>403.57749999999999</v>
      </c>
      <c r="D573" s="44">
        <v>407.81490000000002</v>
      </c>
      <c r="E573" s="44">
        <v>2224303</v>
      </c>
      <c r="F573" s="44" t="s">
        <v>550</v>
      </c>
      <c r="G573" s="25">
        <f t="shared" ref="G573:G636" si="7">A573/D573-1</f>
        <v>-2.552138237224888E-3</v>
      </c>
    </row>
    <row r="574" spans="1:7">
      <c r="A574" s="44">
        <v>405.09899999999999</v>
      </c>
      <c r="B574" s="44">
        <v>405.45580000000001</v>
      </c>
      <c r="C574" s="44">
        <v>400.76240000000001</v>
      </c>
      <c r="D574" s="44">
        <v>403.51299999999998</v>
      </c>
      <c r="E574" s="44">
        <v>2755635</v>
      </c>
      <c r="F574" s="44" t="s">
        <v>551</v>
      </c>
      <c r="G574" s="25">
        <f t="shared" si="7"/>
        <v>3.9304805545299359E-3</v>
      </c>
    </row>
    <row r="575" spans="1:7">
      <c r="A575" s="44">
        <v>404.64299999999997</v>
      </c>
      <c r="B575" s="44">
        <v>411.20490000000001</v>
      </c>
      <c r="C575" s="44">
        <v>404.44479999999999</v>
      </c>
      <c r="D575" s="44">
        <v>410.19380000000001</v>
      </c>
      <c r="E575" s="44">
        <v>3097946</v>
      </c>
      <c r="F575" s="44" t="s">
        <v>552</v>
      </c>
      <c r="G575" s="25">
        <f t="shared" si="7"/>
        <v>-1.353214017374238E-2</v>
      </c>
    </row>
    <row r="576" spans="1:7">
      <c r="A576" s="44">
        <v>410.7192</v>
      </c>
      <c r="B576" s="44">
        <v>412.93950000000001</v>
      </c>
      <c r="C576" s="44">
        <v>407.95370000000003</v>
      </c>
      <c r="D576" s="44">
        <v>409.26209999999998</v>
      </c>
      <c r="E576" s="44">
        <v>2171558</v>
      </c>
      <c r="F576" s="44" t="s">
        <v>553</v>
      </c>
      <c r="G576" s="25">
        <f t="shared" si="7"/>
        <v>3.5603101288881334E-3</v>
      </c>
    </row>
    <row r="577" spans="1:7">
      <c r="A577" s="44">
        <v>410.19380000000001</v>
      </c>
      <c r="B577" s="44">
        <v>410.52089999999998</v>
      </c>
      <c r="C577" s="44">
        <v>405.18819999999999</v>
      </c>
      <c r="D577" s="44">
        <v>406.4966</v>
      </c>
      <c r="E577" s="44">
        <v>3203556</v>
      </c>
      <c r="F577" s="44" t="s">
        <v>554</v>
      </c>
      <c r="G577" s="25">
        <f t="shared" si="7"/>
        <v>9.0952790257039506E-3</v>
      </c>
    </row>
    <row r="578" spans="1:7">
      <c r="A578" s="44">
        <v>406.21910000000003</v>
      </c>
      <c r="B578" s="44">
        <v>408.46170000000001</v>
      </c>
      <c r="C578" s="44">
        <v>405.82260000000002</v>
      </c>
      <c r="D578" s="44">
        <v>407.39859999999999</v>
      </c>
      <c r="E578" s="44">
        <v>2151396</v>
      </c>
      <c r="F578" s="44" t="s">
        <v>555</v>
      </c>
      <c r="G578" s="25">
        <f t="shared" si="7"/>
        <v>-2.8951989525736188E-3</v>
      </c>
    </row>
    <row r="579" spans="1:7">
      <c r="A579" s="44">
        <v>405.4162</v>
      </c>
      <c r="B579" s="44">
        <v>407.03179999999998</v>
      </c>
      <c r="C579" s="44">
        <v>403.87979999999999</v>
      </c>
      <c r="D579" s="44">
        <v>405.48559999999998</v>
      </c>
      <c r="E579" s="44">
        <v>2645103</v>
      </c>
      <c r="F579" s="44" t="s">
        <v>556</v>
      </c>
      <c r="G579" s="25">
        <f t="shared" si="7"/>
        <v>-1.7115281035862129E-4</v>
      </c>
    </row>
    <row r="580" spans="1:7">
      <c r="A580" s="44">
        <v>405.37650000000002</v>
      </c>
      <c r="B580" s="44">
        <v>409.09359999999998</v>
      </c>
      <c r="C580" s="44">
        <v>404.6628</v>
      </c>
      <c r="D580" s="44">
        <v>407.38869999999997</v>
      </c>
      <c r="E580" s="44">
        <v>2665981</v>
      </c>
      <c r="F580" s="44" t="s">
        <v>557</v>
      </c>
      <c r="G580" s="25">
        <f t="shared" si="7"/>
        <v>-4.9392631656203223E-3</v>
      </c>
    </row>
    <row r="581" spans="1:7">
      <c r="A581" s="44">
        <v>408.87549999999999</v>
      </c>
      <c r="B581" s="44">
        <v>409.34140000000002</v>
      </c>
      <c r="C581" s="44">
        <v>406.9228</v>
      </c>
      <c r="D581" s="44">
        <v>408.86559999999997</v>
      </c>
      <c r="E581" s="44">
        <v>1053479</v>
      </c>
      <c r="F581" s="44" t="s">
        <v>558</v>
      </c>
      <c r="G581" s="25">
        <f t="shared" si="7"/>
        <v>2.4213335629186261E-5</v>
      </c>
    </row>
    <row r="582" spans="1:7">
      <c r="A582" s="44">
        <v>406.72460000000001</v>
      </c>
      <c r="B582" s="44">
        <v>409.22239999999999</v>
      </c>
      <c r="C582" s="44">
        <v>406.5412</v>
      </c>
      <c r="D582" s="44">
        <v>408.63760000000002</v>
      </c>
      <c r="E582" s="44">
        <v>1968107</v>
      </c>
      <c r="F582" s="44" t="s">
        <v>559</v>
      </c>
      <c r="G582" s="25">
        <f t="shared" si="7"/>
        <v>-4.6814096402288952E-3</v>
      </c>
    </row>
    <row r="583" spans="1:7">
      <c r="A583" s="44">
        <v>405.35669999999999</v>
      </c>
      <c r="B583" s="44">
        <v>406.73939999999999</v>
      </c>
      <c r="C583" s="44">
        <v>402.12529999999998</v>
      </c>
      <c r="D583" s="44">
        <v>402.1551</v>
      </c>
      <c r="E583" s="44">
        <v>2567692</v>
      </c>
      <c r="F583" s="44" t="s">
        <v>560</v>
      </c>
      <c r="G583" s="25">
        <f t="shared" si="7"/>
        <v>7.9611075428360767E-3</v>
      </c>
    </row>
    <row r="584" spans="1:7">
      <c r="A584" s="44">
        <v>400.8467</v>
      </c>
      <c r="B584" s="44">
        <v>401.63959999999997</v>
      </c>
      <c r="C584" s="44">
        <v>394.76060000000001</v>
      </c>
      <c r="D584" s="44">
        <v>397.19900000000001</v>
      </c>
      <c r="E584" s="44">
        <v>2768775</v>
      </c>
      <c r="F584" s="44" t="s">
        <v>561</v>
      </c>
      <c r="G584" s="25">
        <f t="shared" si="7"/>
        <v>9.1835578639423154E-3</v>
      </c>
    </row>
    <row r="585" spans="1:7">
      <c r="A585" s="44">
        <v>396.78269999999998</v>
      </c>
      <c r="B585" s="44">
        <v>397.59550000000002</v>
      </c>
      <c r="C585" s="44">
        <v>394.41370000000001</v>
      </c>
      <c r="D585" s="44">
        <v>396.4556</v>
      </c>
      <c r="E585" s="44">
        <v>2365689</v>
      </c>
      <c r="F585" s="44" t="s">
        <v>562</v>
      </c>
      <c r="G585" s="25">
        <f t="shared" si="7"/>
        <v>8.2506086431854975E-4</v>
      </c>
    </row>
    <row r="586" spans="1:7">
      <c r="A586" s="44">
        <v>393.61079999999998</v>
      </c>
      <c r="B586" s="44">
        <v>396.43579999999997</v>
      </c>
      <c r="C586" s="44">
        <v>392.06950000000001</v>
      </c>
      <c r="D586" s="44">
        <v>394.51280000000003</v>
      </c>
      <c r="E586" s="44">
        <v>3060610</v>
      </c>
      <c r="F586" s="44" t="s">
        <v>563</v>
      </c>
      <c r="G586" s="25">
        <f t="shared" si="7"/>
        <v>-2.2863643460998562E-3</v>
      </c>
    </row>
    <row r="587" spans="1:7">
      <c r="A587" s="44">
        <v>393.34320000000002</v>
      </c>
      <c r="B587" s="44">
        <v>395.77170000000001</v>
      </c>
      <c r="C587" s="44">
        <v>391.29140000000001</v>
      </c>
      <c r="D587" s="44">
        <v>393.9776</v>
      </c>
      <c r="E587" s="44">
        <v>2434711</v>
      </c>
      <c r="F587" s="44" t="s">
        <v>564</v>
      </c>
      <c r="G587" s="25">
        <f t="shared" si="7"/>
        <v>-1.6102438311212941E-3</v>
      </c>
    </row>
    <row r="588" spans="1:7">
      <c r="A588" s="44">
        <v>394.15600000000001</v>
      </c>
      <c r="B588" s="44">
        <v>398.1456</v>
      </c>
      <c r="C588" s="44">
        <v>393.26389999999998</v>
      </c>
      <c r="D588" s="44">
        <v>393.69009999999997</v>
      </c>
      <c r="E588" s="44">
        <v>2734045</v>
      </c>
      <c r="F588" s="44" t="s">
        <v>565</v>
      </c>
      <c r="G588" s="25">
        <f t="shared" si="7"/>
        <v>1.1834181250685027E-3</v>
      </c>
    </row>
    <row r="589" spans="1:7">
      <c r="A589" s="44">
        <v>390.88499999999999</v>
      </c>
      <c r="B589" s="44">
        <v>392.15370000000001</v>
      </c>
      <c r="C589" s="44">
        <v>389.56909999999999</v>
      </c>
      <c r="D589" s="44">
        <v>390.88499999999999</v>
      </c>
      <c r="E589" s="44">
        <v>1614631</v>
      </c>
      <c r="F589" s="44" t="s">
        <v>566</v>
      </c>
      <c r="G589" s="25">
        <f t="shared" si="7"/>
        <v>0</v>
      </c>
    </row>
    <row r="590" spans="1:7">
      <c r="A590" s="44">
        <v>390.91469999999998</v>
      </c>
      <c r="B590" s="44">
        <v>391.6157</v>
      </c>
      <c r="C590" s="44">
        <v>383.34179999999998</v>
      </c>
      <c r="D590" s="44">
        <v>386.61290000000002</v>
      </c>
      <c r="E590" s="44">
        <v>2807108</v>
      </c>
      <c r="F590" s="44" t="s">
        <v>567</v>
      </c>
      <c r="G590" s="25">
        <f t="shared" si="7"/>
        <v>1.1126892041108727E-2</v>
      </c>
    </row>
    <row r="591" spans="1:7">
      <c r="A591" s="44">
        <v>384.55110000000002</v>
      </c>
      <c r="B591" s="44">
        <v>388.01049999999998</v>
      </c>
      <c r="C591" s="44">
        <v>383.86219999999997</v>
      </c>
      <c r="D591" s="44">
        <v>387.52480000000003</v>
      </c>
      <c r="E591" s="44">
        <v>2657074</v>
      </c>
      <c r="F591" s="44" t="s">
        <v>568</v>
      </c>
      <c r="G591" s="25">
        <f t="shared" si="7"/>
        <v>-7.6735734074310225E-3</v>
      </c>
    </row>
    <row r="592" spans="1:7">
      <c r="A592" s="44">
        <v>386.2758</v>
      </c>
      <c r="B592" s="44">
        <v>387.93119999999999</v>
      </c>
      <c r="C592" s="44">
        <v>383.59960000000001</v>
      </c>
      <c r="D592" s="44">
        <v>383.70859999999999</v>
      </c>
      <c r="E592" s="44">
        <v>2838414</v>
      </c>
      <c r="F592" s="44" t="s">
        <v>569</v>
      </c>
      <c r="G592" s="25">
        <f t="shared" si="7"/>
        <v>6.6904937757454874E-3</v>
      </c>
    </row>
    <row r="593" spans="1:7">
      <c r="A593" s="44">
        <v>385.45310000000001</v>
      </c>
      <c r="B593" s="44">
        <v>386.16680000000002</v>
      </c>
      <c r="C593" s="44">
        <v>380.92329999999998</v>
      </c>
      <c r="D593" s="44">
        <v>382.60840000000002</v>
      </c>
      <c r="E593" s="44">
        <v>2324356</v>
      </c>
      <c r="F593" s="44" t="s">
        <v>570</v>
      </c>
      <c r="G593" s="25">
        <f t="shared" si="7"/>
        <v>7.4350171088768402E-3</v>
      </c>
    </row>
    <row r="594" spans="1:7">
      <c r="A594" s="44">
        <v>382.76690000000002</v>
      </c>
      <c r="B594" s="44">
        <v>384.83859999999999</v>
      </c>
      <c r="C594" s="44">
        <v>380.82909999999998</v>
      </c>
      <c r="D594" s="44">
        <v>383.69869999999997</v>
      </c>
      <c r="E594" s="44">
        <v>2020512</v>
      </c>
      <c r="F594" s="44" t="s">
        <v>571</v>
      </c>
      <c r="G594" s="25">
        <f t="shared" si="7"/>
        <v>-2.4284679619710481E-3</v>
      </c>
    </row>
    <row r="595" spans="1:7">
      <c r="A595" s="44">
        <v>382.65789999999998</v>
      </c>
      <c r="B595" s="44">
        <v>385.02690000000001</v>
      </c>
      <c r="C595" s="44">
        <v>380.35829999999999</v>
      </c>
      <c r="D595" s="44">
        <v>381.61709999999999</v>
      </c>
      <c r="E595" s="44">
        <v>2269147</v>
      </c>
      <c r="F595" s="44" t="s">
        <v>572</v>
      </c>
      <c r="G595" s="25">
        <f t="shared" si="7"/>
        <v>2.7273410966122125E-3</v>
      </c>
    </row>
    <row r="596" spans="1:7">
      <c r="A596" s="44">
        <v>379.32740000000001</v>
      </c>
      <c r="B596" s="44">
        <v>379.67439999999999</v>
      </c>
      <c r="C596" s="44">
        <v>375.15940000000001</v>
      </c>
      <c r="D596" s="44">
        <v>376.95839999999998</v>
      </c>
      <c r="E596" s="44">
        <v>2816034</v>
      </c>
      <c r="F596" s="44" t="s">
        <v>573</v>
      </c>
      <c r="G596" s="25">
        <f t="shared" si="7"/>
        <v>6.2845130921609371E-3</v>
      </c>
    </row>
    <row r="597" spans="1:7">
      <c r="A597" s="44">
        <v>374.50020000000001</v>
      </c>
      <c r="B597" s="44">
        <v>377.05759999999998</v>
      </c>
      <c r="C597" s="44">
        <v>371.74470000000002</v>
      </c>
      <c r="D597" s="44">
        <v>375.34280000000001</v>
      </c>
      <c r="E597" s="44">
        <v>2354844</v>
      </c>
      <c r="F597" s="44" t="s">
        <v>574</v>
      </c>
      <c r="G597" s="25">
        <f t="shared" si="7"/>
        <v>-2.2448812125875905E-3</v>
      </c>
    </row>
    <row r="598" spans="1:7">
      <c r="A598" s="44">
        <v>373.04309999999998</v>
      </c>
      <c r="B598" s="44">
        <v>374.36149999999998</v>
      </c>
      <c r="C598" s="44">
        <v>369.83159999999998</v>
      </c>
      <c r="D598" s="44">
        <v>370.03980000000001</v>
      </c>
      <c r="E598" s="44">
        <v>2978827</v>
      </c>
      <c r="F598" s="44" t="s">
        <v>575</v>
      </c>
      <c r="G598" s="25">
        <f t="shared" si="7"/>
        <v>8.1161539920839854E-3</v>
      </c>
    </row>
    <row r="599" spans="1:7">
      <c r="A599" s="44">
        <v>369.14769999999999</v>
      </c>
      <c r="B599" s="44">
        <v>369.95060000000001</v>
      </c>
      <c r="C599" s="44">
        <v>361.51530000000002</v>
      </c>
      <c r="D599" s="44">
        <v>363.29950000000002</v>
      </c>
      <c r="E599" s="44">
        <v>3386593</v>
      </c>
      <c r="F599" s="44" t="s">
        <v>576</v>
      </c>
      <c r="G599" s="25">
        <f t="shared" si="7"/>
        <v>1.6097462286625674E-2</v>
      </c>
    </row>
    <row r="600" spans="1:7">
      <c r="A600" s="44">
        <v>360.88099999999997</v>
      </c>
      <c r="B600" s="44">
        <v>365.04899999999998</v>
      </c>
      <c r="C600" s="44">
        <v>356.60879999999997</v>
      </c>
      <c r="D600" s="44">
        <v>363.26979999999998</v>
      </c>
      <c r="E600" s="44">
        <v>3624883</v>
      </c>
      <c r="F600" s="44" t="s">
        <v>577</v>
      </c>
      <c r="G600" s="25">
        <f t="shared" si="7"/>
        <v>-6.5758287641857205E-3</v>
      </c>
    </row>
    <row r="601" spans="1:7">
      <c r="A601" s="44">
        <v>361.38650000000001</v>
      </c>
      <c r="B601" s="44">
        <v>372.25020000000001</v>
      </c>
      <c r="C601" s="44">
        <v>359.8501</v>
      </c>
      <c r="D601" s="44">
        <v>367.76</v>
      </c>
      <c r="E601" s="44">
        <v>6920077</v>
      </c>
      <c r="F601" s="44" t="s">
        <v>578</v>
      </c>
      <c r="G601" s="25">
        <f t="shared" si="7"/>
        <v>-1.7330596040896151E-2</v>
      </c>
    </row>
    <row r="602" spans="1:7">
      <c r="A602" s="44">
        <v>382.91559999999998</v>
      </c>
      <c r="B602" s="44">
        <v>385.21519999999998</v>
      </c>
      <c r="C602" s="44">
        <v>378.88139999999999</v>
      </c>
      <c r="D602" s="44">
        <v>380.6259</v>
      </c>
      <c r="E602" s="44">
        <v>3504548</v>
      </c>
      <c r="F602" s="44" t="s">
        <v>579</v>
      </c>
      <c r="G602" s="25">
        <f t="shared" si="7"/>
        <v>6.0156179597867787E-3</v>
      </c>
    </row>
    <row r="603" spans="1:7">
      <c r="A603" s="44">
        <v>383.5104</v>
      </c>
      <c r="B603" s="44">
        <v>386.00819999999999</v>
      </c>
      <c r="C603" s="44">
        <v>380.49709999999999</v>
      </c>
      <c r="D603" s="44">
        <v>382.11270000000002</v>
      </c>
      <c r="E603" s="44">
        <v>2003266</v>
      </c>
      <c r="F603" s="44" t="s">
        <v>580</v>
      </c>
      <c r="G603" s="25">
        <f t="shared" si="7"/>
        <v>3.6578213705014129E-3</v>
      </c>
    </row>
    <row r="604" spans="1:7">
      <c r="A604" s="44">
        <v>380.29880000000003</v>
      </c>
      <c r="B604" s="44">
        <v>384.452</v>
      </c>
      <c r="C604" s="44">
        <v>377.65230000000003</v>
      </c>
      <c r="D604" s="44">
        <v>378.95080000000002</v>
      </c>
      <c r="E604" s="44">
        <v>1771977</v>
      </c>
      <c r="F604" s="44" t="s">
        <v>581</v>
      </c>
      <c r="G604" s="25">
        <f t="shared" si="7"/>
        <v>3.5571900098905207E-3</v>
      </c>
    </row>
    <row r="605" spans="1:7">
      <c r="A605" s="44">
        <v>381.03230000000002</v>
      </c>
      <c r="B605" s="44">
        <v>386.56330000000003</v>
      </c>
      <c r="C605" s="44">
        <v>380.7944</v>
      </c>
      <c r="D605" s="44">
        <v>384.46190000000001</v>
      </c>
      <c r="E605" s="44">
        <v>2652548</v>
      </c>
      <c r="F605" s="44" t="s">
        <v>582</v>
      </c>
      <c r="G605" s="25">
        <f t="shared" si="7"/>
        <v>-8.9205198226404159E-3</v>
      </c>
    </row>
    <row r="606" spans="1:7">
      <c r="A606" s="44">
        <v>384.46190000000001</v>
      </c>
      <c r="B606" s="44">
        <v>391.36079999999998</v>
      </c>
      <c r="C606" s="44">
        <v>382.11270000000002</v>
      </c>
      <c r="D606" s="44">
        <v>390.38940000000002</v>
      </c>
      <c r="E606" s="44">
        <v>3473009</v>
      </c>
      <c r="F606" s="44" t="s">
        <v>583</v>
      </c>
      <c r="G606" s="25">
        <f t="shared" si="7"/>
        <v>-1.5183557750287346E-2</v>
      </c>
    </row>
    <row r="607" spans="1:7">
      <c r="A607" s="44">
        <v>389.755</v>
      </c>
      <c r="B607" s="44">
        <v>397.8433</v>
      </c>
      <c r="C607" s="44">
        <v>389.11070000000001</v>
      </c>
      <c r="D607" s="44">
        <v>395.60320000000002</v>
      </c>
      <c r="E607" s="44">
        <v>1951454</v>
      </c>
      <c r="F607" s="44" t="s">
        <v>584</v>
      </c>
      <c r="G607" s="25">
        <f t="shared" si="7"/>
        <v>-1.4782994677495109E-2</v>
      </c>
    </row>
    <row r="608" spans="1:7">
      <c r="A608" s="44">
        <v>398.2398</v>
      </c>
      <c r="B608" s="44">
        <v>400.06360000000001</v>
      </c>
      <c r="C608" s="44">
        <v>394.94900000000001</v>
      </c>
      <c r="D608" s="44">
        <v>396.12849999999997</v>
      </c>
      <c r="E608" s="44">
        <v>2176027</v>
      </c>
      <c r="F608" s="44" t="s">
        <v>585</v>
      </c>
      <c r="G608" s="25">
        <f t="shared" si="7"/>
        <v>5.3298361516529447E-3</v>
      </c>
    </row>
    <row r="609" spans="1:7">
      <c r="A609" s="44">
        <v>397.63510000000002</v>
      </c>
      <c r="B609" s="44">
        <v>400.87639999999999</v>
      </c>
      <c r="C609" s="44">
        <v>395.27609999999999</v>
      </c>
      <c r="D609" s="44">
        <v>396.72320000000002</v>
      </c>
      <c r="E609" s="44">
        <v>2202218</v>
      </c>
      <c r="F609" s="44" t="s">
        <v>586</v>
      </c>
      <c r="G609" s="25">
        <f t="shared" si="7"/>
        <v>2.2985799670904861E-3</v>
      </c>
    </row>
    <row r="610" spans="1:7">
      <c r="A610" s="44">
        <v>394.5326</v>
      </c>
      <c r="B610" s="44">
        <v>398.60649999999998</v>
      </c>
      <c r="C610" s="44">
        <v>391.60860000000002</v>
      </c>
      <c r="D610" s="44">
        <v>395.30579999999998</v>
      </c>
      <c r="E610" s="44">
        <v>2235682</v>
      </c>
      <c r="F610" s="44" t="s">
        <v>587</v>
      </c>
      <c r="G610" s="25">
        <f t="shared" si="7"/>
        <v>-1.9559540993326907E-3</v>
      </c>
    </row>
    <row r="611" spans="1:7">
      <c r="A611" s="44">
        <v>396.38619999999997</v>
      </c>
      <c r="B611" s="44">
        <v>401.77839999999998</v>
      </c>
      <c r="C611" s="44">
        <v>393.82889999999998</v>
      </c>
      <c r="D611" s="44">
        <v>400.25189999999998</v>
      </c>
      <c r="E611" s="44">
        <v>1779046</v>
      </c>
      <c r="F611" s="44" t="s">
        <v>588</v>
      </c>
      <c r="G611" s="25">
        <f t="shared" si="7"/>
        <v>-9.6581677688475365E-3</v>
      </c>
    </row>
    <row r="612" spans="1:7">
      <c r="A612" s="44">
        <v>396.29700000000003</v>
      </c>
      <c r="B612" s="44">
        <v>401.57029999999997</v>
      </c>
      <c r="C612" s="44">
        <v>393.86849999999998</v>
      </c>
      <c r="D612" s="44">
        <v>399.70679999999999</v>
      </c>
      <c r="E612" s="44">
        <v>2055776</v>
      </c>
      <c r="F612" s="44" t="s">
        <v>589</v>
      </c>
      <c r="G612" s="25">
        <f t="shared" si="7"/>
        <v>-8.5307530419796995E-3</v>
      </c>
    </row>
    <row r="613" spans="1:7">
      <c r="A613" s="44">
        <v>396.85210000000001</v>
      </c>
      <c r="B613" s="44">
        <v>399.17649999999998</v>
      </c>
      <c r="C613" s="44">
        <v>390.38940000000002</v>
      </c>
      <c r="D613" s="44">
        <v>392.06450000000001</v>
      </c>
      <c r="E613" s="44">
        <v>2713818</v>
      </c>
      <c r="F613" s="44" t="s">
        <v>590</v>
      </c>
      <c r="G613" s="25">
        <f t="shared" si="7"/>
        <v>1.2211256056082531E-2</v>
      </c>
    </row>
    <row r="614" spans="1:7">
      <c r="A614" s="44">
        <v>391.27159999999998</v>
      </c>
      <c r="B614" s="44">
        <v>393.01609999999999</v>
      </c>
      <c r="C614" s="44">
        <v>386.15690000000001</v>
      </c>
      <c r="D614" s="44">
        <v>390.99400000000003</v>
      </c>
      <c r="E614" s="44">
        <v>2475166</v>
      </c>
      <c r="F614" s="44" t="s">
        <v>591</v>
      </c>
      <c r="G614" s="25">
        <f t="shared" si="7"/>
        <v>7.0998531946764309E-4</v>
      </c>
    </row>
    <row r="615" spans="1:7">
      <c r="A615" s="44">
        <v>394.47320000000002</v>
      </c>
      <c r="B615" s="44">
        <v>397.47660000000002</v>
      </c>
      <c r="C615" s="44">
        <v>387.06880000000001</v>
      </c>
      <c r="D615" s="44">
        <v>389.77480000000003</v>
      </c>
      <c r="E615" s="44">
        <v>2484148</v>
      </c>
      <c r="F615" s="44" t="s">
        <v>592</v>
      </c>
      <c r="G615" s="25">
        <f t="shared" si="7"/>
        <v>1.2054139980316902E-2</v>
      </c>
    </row>
    <row r="616" spans="1:7">
      <c r="A616" s="44">
        <v>390.73630000000003</v>
      </c>
      <c r="B616" s="44">
        <v>391.25170000000003</v>
      </c>
      <c r="C616" s="44">
        <v>386.57319999999999</v>
      </c>
      <c r="D616" s="44">
        <v>386.95979999999997</v>
      </c>
      <c r="E616" s="44">
        <v>2116563</v>
      </c>
      <c r="F616" s="44" t="s">
        <v>593</v>
      </c>
      <c r="G616" s="25">
        <f t="shared" si="7"/>
        <v>9.7594117011639003E-3</v>
      </c>
    </row>
    <row r="617" spans="1:7">
      <c r="A617" s="44">
        <v>389.73520000000002</v>
      </c>
      <c r="B617" s="44">
        <v>390.43790000000001</v>
      </c>
      <c r="C617" s="44">
        <v>384.60809999999998</v>
      </c>
      <c r="D617" s="44">
        <v>387.9932</v>
      </c>
      <c r="E617" s="44">
        <v>1813405</v>
      </c>
      <c r="F617" s="44" t="s">
        <v>594</v>
      </c>
      <c r="G617" s="25">
        <f t="shared" si="7"/>
        <v>4.4897694083299022E-3</v>
      </c>
    </row>
    <row r="618" spans="1:7">
      <c r="A618" s="44">
        <v>387.06279999999998</v>
      </c>
      <c r="B618" s="44">
        <v>393.79329999999999</v>
      </c>
      <c r="C618" s="44">
        <v>384.9941</v>
      </c>
      <c r="D618" s="44">
        <v>390.4676</v>
      </c>
      <c r="E618" s="44">
        <v>2528120</v>
      </c>
      <c r="F618" s="44" t="s">
        <v>595</v>
      </c>
      <c r="G618" s="25">
        <f t="shared" si="7"/>
        <v>-8.7198015917326899E-3</v>
      </c>
    </row>
    <row r="619" spans="1:7">
      <c r="A619" s="44">
        <v>391.80380000000002</v>
      </c>
      <c r="B619" s="44">
        <v>392.30369999999999</v>
      </c>
      <c r="C619" s="44">
        <v>388.43389999999999</v>
      </c>
      <c r="D619" s="44">
        <v>389.57679999999999</v>
      </c>
      <c r="E619" s="44">
        <v>2856776</v>
      </c>
      <c r="F619" s="44" t="s">
        <v>596</v>
      </c>
      <c r="G619" s="25">
        <f t="shared" si="7"/>
        <v>5.7164595016951925E-3</v>
      </c>
    </row>
    <row r="620" spans="1:7">
      <c r="A620" s="44">
        <v>391.86320000000001</v>
      </c>
      <c r="B620" s="44">
        <v>398.06909999999999</v>
      </c>
      <c r="C620" s="44">
        <v>390.22019999999998</v>
      </c>
      <c r="D620" s="44">
        <v>397.92059999999998</v>
      </c>
      <c r="E620" s="44">
        <v>3032386</v>
      </c>
      <c r="F620" s="44" t="s">
        <v>597</v>
      </c>
      <c r="G620" s="25">
        <f t="shared" si="7"/>
        <v>-1.5222634867357865E-2</v>
      </c>
    </row>
    <row r="621" spans="1:7">
      <c r="A621" s="44">
        <v>395.3571</v>
      </c>
      <c r="B621" s="44">
        <v>397.24759999999998</v>
      </c>
      <c r="C621" s="44">
        <v>391.32380000000001</v>
      </c>
      <c r="D621" s="44">
        <v>391.78399999999999</v>
      </c>
      <c r="E621" s="44">
        <v>2216244</v>
      </c>
      <c r="F621" s="44" t="s">
        <v>598</v>
      </c>
      <c r="G621" s="25">
        <f t="shared" si="7"/>
        <v>9.1200763686112296E-3</v>
      </c>
    </row>
    <row r="622" spans="1:7">
      <c r="A622" s="44">
        <v>391.43759999999997</v>
      </c>
      <c r="B622" s="44">
        <v>392.97160000000002</v>
      </c>
      <c r="C622" s="44">
        <v>387.4785</v>
      </c>
      <c r="D622" s="44">
        <v>392.1601</v>
      </c>
      <c r="E622" s="44">
        <v>1987457</v>
      </c>
      <c r="F622" s="44" t="s">
        <v>599</v>
      </c>
      <c r="G622" s="25">
        <f t="shared" si="7"/>
        <v>-1.8423597913199696E-3</v>
      </c>
    </row>
    <row r="623" spans="1:7">
      <c r="A623" s="44">
        <v>391.33859999999999</v>
      </c>
      <c r="B623" s="44">
        <v>396.7527</v>
      </c>
      <c r="C623" s="44">
        <v>389.58670000000001</v>
      </c>
      <c r="D623" s="44">
        <v>395.91140000000001</v>
      </c>
      <c r="E623" s="44">
        <v>2940561</v>
      </c>
      <c r="F623" s="44" t="s">
        <v>600</v>
      </c>
      <c r="G623" s="25">
        <f t="shared" si="7"/>
        <v>-1.1550058927325746E-2</v>
      </c>
    </row>
    <row r="624" spans="1:7">
      <c r="A624" s="44">
        <v>398.3759</v>
      </c>
      <c r="B624" s="44">
        <v>399.10829999999999</v>
      </c>
      <c r="C624" s="44">
        <v>395.75299999999999</v>
      </c>
      <c r="D624" s="44">
        <v>396.50529999999998</v>
      </c>
      <c r="E624" s="44">
        <v>1846580</v>
      </c>
      <c r="F624" s="44" t="s">
        <v>601</v>
      </c>
      <c r="G624" s="25">
        <f t="shared" si="7"/>
        <v>4.7177175185300069E-3</v>
      </c>
    </row>
    <row r="625" spans="1:7">
      <c r="A625" s="44">
        <v>398.1087</v>
      </c>
      <c r="B625" s="44">
        <v>402.69139999999999</v>
      </c>
      <c r="C625" s="44">
        <v>397.4554</v>
      </c>
      <c r="D625" s="44">
        <v>400.25650000000002</v>
      </c>
      <c r="E625" s="44">
        <v>1885064</v>
      </c>
      <c r="F625" s="44" t="s">
        <v>602</v>
      </c>
      <c r="G625" s="25">
        <f t="shared" si="7"/>
        <v>-5.3660590146569209E-3</v>
      </c>
    </row>
    <row r="626" spans="1:7">
      <c r="A626" s="44">
        <v>399.23700000000002</v>
      </c>
      <c r="B626" s="44">
        <v>404.59179999999998</v>
      </c>
      <c r="C626" s="44">
        <v>397.98989999999998</v>
      </c>
      <c r="D626" s="44">
        <v>404.16609999999997</v>
      </c>
      <c r="E626" s="44">
        <v>2451064</v>
      </c>
      <c r="F626" s="44" t="s">
        <v>603</v>
      </c>
      <c r="G626" s="25">
        <f t="shared" si="7"/>
        <v>-1.2195728439371667E-2</v>
      </c>
    </row>
    <row r="627" spans="1:7">
      <c r="A627" s="44">
        <v>406.32389999999998</v>
      </c>
      <c r="B627" s="44">
        <v>411.5994</v>
      </c>
      <c r="C627" s="44">
        <v>405.88839999999999</v>
      </c>
      <c r="D627" s="44">
        <v>409.54059999999998</v>
      </c>
      <c r="E627" s="44">
        <v>1580643</v>
      </c>
      <c r="F627" s="44" t="s">
        <v>604</v>
      </c>
      <c r="G627" s="25">
        <f t="shared" si="7"/>
        <v>-7.8544105273079534E-3</v>
      </c>
    </row>
    <row r="628" spans="1:7">
      <c r="A628" s="44">
        <v>409.30309999999997</v>
      </c>
      <c r="B628" s="44">
        <v>412.83659999999998</v>
      </c>
      <c r="C628" s="44">
        <v>406.89789999999999</v>
      </c>
      <c r="D628" s="44">
        <v>412.69799999999998</v>
      </c>
      <c r="E628" s="44">
        <v>1731089</v>
      </c>
      <c r="F628" s="44" t="s">
        <v>605</v>
      </c>
      <c r="G628" s="25">
        <f t="shared" si="7"/>
        <v>-8.2261120722659786E-3</v>
      </c>
    </row>
    <row r="629" spans="1:7">
      <c r="A629" s="44">
        <v>412.86630000000002</v>
      </c>
      <c r="B629" s="44">
        <v>413.61489999999998</v>
      </c>
      <c r="C629" s="44">
        <v>408.81369999999998</v>
      </c>
      <c r="D629" s="44">
        <v>409.64949999999999</v>
      </c>
      <c r="E629" s="44">
        <v>1808118</v>
      </c>
      <c r="F629" s="44" t="s">
        <v>606</v>
      </c>
      <c r="G629" s="25">
        <f t="shared" si="7"/>
        <v>7.8525666453883591E-3</v>
      </c>
    </row>
    <row r="630" spans="1:7">
      <c r="A630" s="44">
        <v>410.07510000000002</v>
      </c>
      <c r="B630" s="44">
        <v>414.02429999999998</v>
      </c>
      <c r="C630" s="44">
        <v>406.9375</v>
      </c>
      <c r="D630" s="44">
        <v>407.65019999999998</v>
      </c>
      <c r="E630" s="44">
        <v>4755526</v>
      </c>
      <c r="F630" s="44" t="s">
        <v>607</v>
      </c>
      <c r="G630" s="25">
        <f t="shared" si="7"/>
        <v>5.9484823017381672E-3</v>
      </c>
    </row>
    <row r="631" spans="1:7">
      <c r="A631" s="44">
        <v>409.11500000000001</v>
      </c>
      <c r="B631" s="44">
        <v>414.32130000000001</v>
      </c>
      <c r="C631" s="44">
        <v>403.61200000000002</v>
      </c>
      <c r="D631" s="44">
        <v>414.02429999999998</v>
      </c>
      <c r="E631" s="44">
        <v>3557785</v>
      </c>
      <c r="F631" s="44" t="s">
        <v>608</v>
      </c>
      <c r="G631" s="25">
        <f t="shared" si="7"/>
        <v>-1.1857516575717875E-2</v>
      </c>
    </row>
    <row r="632" spans="1:7">
      <c r="A632" s="44">
        <v>412.04480000000001</v>
      </c>
      <c r="B632" s="44">
        <v>414.13319999999999</v>
      </c>
      <c r="C632" s="44">
        <v>410.72840000000002</v>
      </c>
      <c r="D632" s="44">
        <v>411.91609999999997</v>
      </c>
      <c r="E632" s="44">
        <v>2142220</v>
      </c>
      <c r="F632" s="44" t="s">
        <v>609</v>
      </c>
      <c r="G632" s="25">
        <f t="shared" si="7"/>
        <v>3.1244226676263587E-4</v>
      </c>
    </row>
    <row r="633" spans="1:7">
      <c r="A633" s="44">
        <v>412.01510000000002</v>
      </c>
      <c r="B633" s="44">
        <v>413.37599999999998</v>
      </c>
      <c r="C633" s="44">
        <v>411.00549999999998</v>
      </c>
      <c r="D633" s="44">
        <v>411.69839999999999</v>
      </c>
      <c r="E633" s="44">
        <v>1997630</v>
      </c>
      <c r="F633" s="44" t="s">
        <v>610</v>
      </c>
      <c r="G633" s="25">
        <f t="shared" si="7"/>
        <v>7.6925244305070528E-4</v>
      </c>
    </row>
    <row r="634" spans="1:7">
      <c r="A634" s="44">
        <v>412.43079999999998</v>
      </c>
      <c r="B634" s="44">
        <v>413.32159999999999</v>
      </c>
      <c r="C634" s="44">
        <v>410.39679999999998</v>
      </c>
      <c r="D634" s="44">
        <v>412.58920000000001</v>
      </c>
      <c r="E634" s="44">
        <v>1544746</v>
      </c>
      <c r="F634" s="44" t="s">
        <v>611</v>
      </c>
      <c r="G634" s="25">
        <f t="shared" si="7"/>
        <v>-3.8391698086137627E-4</v>
      </c>
    </row>
    <row r="635" spans="1:7">
      <c r="A635" s="44">
        <v>410.59969999999998</v>
      </c>
      <c r="B635" s="44">
        <v>412.0745</v>
      </c>
      <c r="C635" s="44">
        <v>409.62479999999999</v>
      </c>
      <c r="D635" s="44">
        <v>410.75810000000001</v>
      </c>
      <c r="E635" s="44">
        <v>1869468</v>
      </c>
      <c r="F635" s="44" t="s">
        <v>612</v>
      </c>
      <c r="G635" s="25">
        <f t="shared" si="7"/>
        <v>-3.8562842704747968E-4</v>
      </c>
    </row>
    <row r="636" spans="1:7">
      <c r="A636" s="44">
        <v>410.38200000000001</v>
      </c>
      <c r="B636" s="44">
        <v>411.87650000000002</v>
      </c>
      <c r="C636" s="44">
        <v>407.5215</v>
      </c>
      <c r="D636" s="44">
        <v>407.70960000000002</v>
      </c>
      <c r="E636" s="44">
        <v>2502686</v>
      </c>
      <c r="F636" s="44" t="s">
        <v>613</v>
      </c>
      <c r="G636" s="25">
        <f t="shared" si="7"/>
        <v>6.5546653794759102E-3</v>
      </c>
    </row>
    <row r="637" spans="1:7">
      <c r="A637" s="44">
        <v>408.95670000000001</v>
      </c>
      <c r="B637" s="44">
        <v>409.15460000000002</v>
      </c>
      <c r="C637" s="44">
        <v>404.71050000000002</v>
      </c>
      <c r="D637" s="44">
        <v>406.58120000000002</v>
      </c>
      <c r="E637" s="44">
        <v>2292121</v>
      </c>
      <c r="F637" s="44" t="s">
        <v>614</v>
      </c>
      <c r="G637" s="25">
        <f t="shared" ref="G637:G700" si="8">A637/D637-1</f>
        <v>5.8426213509132907E-3</v>
      </c>
    </row>
    <row r="638" spans="1:7">
      <c r="A638" s="44">
        <v>407.29379999999998</v>
      </c>
      <c r="B638" s="44">
        <v>411.154</v>
      </c>
      <c r="C638" s="44">
        <v>405.51220000000001</v>
      </c>
      <c r="D638" s="44">
        <v>409.12490000000003</v>
      </c>
      <c r="E638" s="44">
        <v>2045555</v>
      </c>
      <c r="F638" s="44" t="s">
        <v>615</v>
      </c>
      <c r="G638" s="25">
        <f t="shared" si="8"/>
        <v>-4.4756503454080887E-3</v>
      </c>
    </row>
    <row r="639" spans="1:7">
      <c r="A639" s="44">
        <v>411.32220000000001</v>
      </c>
      <c r="B639" s="44">
        <v>412.25259999999997</v>
      </c>
      <c r="C639" s="44">
        <v>408.27370000000002</v>
      </c>
      <c r="D639" s="44">
        <v>409.60989999999998</v>
      </c>
      <c r="E639" s="44">
        <v>1841670</v>
      </c>
      <c r="F639" s="44" t="s">
        <v>616</v>
      </c>
      <c r="G639" s="25">
        <f t="shared" si="8"/>
        <v>4.1803188838942518E-3</v>
      </c>
    </row>
    <row r="640" spans="1:7">
      <c r="A640" s="44">
        <v>408.42219999999998</v>
      </c>
      <c r="B640" s="44">
        <v>412.03489999999999</v>
      </c>
      <c r="C640" s="44">
        <v>407.57100000000003</v>
      </c>
      <c r="D640" s="44">
        <v>409.97609999999997</v>
      </c>
      <c r="E640" s="44">
        <v>2535134</v>
      </c>
      <c r="F640" s="44" t="s">
        <v>617</v>
      </c>
      <c r="G640" s="25">
        <f t="shared" si="8"/>
        <v>-3.7902209421476485E-3</v>
      </c>
    </row>
    <row r="641" spans="1:7">
      <c r="A641" s="44">
        <v>409.67919999999998</v>
      </c>
      <c r="B641" s="44">
        <v>413.50670000000002</v>
      </c>
      <c r="C641" s="44">
        <v>409.29320000000001</v>
      </c>
      <c r="D641" s="44">
        <v>410.5403</v>
      </c>
      <c r="E641" s="44">
        <v>2516721</v>
      </c>
      <c r="F641" s="44" t="s">
        <v>618</v>
      </c>
      <c r="G641" s="25">
        <f t="shared" si="8"/>
        <v>-2.0974798332831224E-3</v>
      </c>
    </row>
    <row r="642" spans="1:7">
      <c r="A642" s="44">
        <v>407.44229999999999</v>
      </c>
      <c r="B642" s="44">
        <v>407.97680000000003</v>
      </c>
      <c r="C642" s="44">
        <v>402.43400000000003</v>
      </c>
      <c r="D642" s="44">
        <v>403.25549999999998</v>
      </c>
      <c r="E642" s="44">
        <v>2188937</v>
      </c>
      <c r="F642" s="44" t="s">
        <v>619</v>
      </c>
      <c r="G642" s="25">
        <f t="shared" si="8"/>
        <v>1.0382499432741721E-2</v>
      </c>
    </row>
    <row r="643" spans="1:7">
      <c r="A643" s="44">
        <v>403.27530000000002</v>
      </c>
      <c r="B643" s="44">
        <v>403.63170000000002</v>
      </c>
      <c r="C643" s="44">
        <v>399.0292</v>
      </c>
      <c r="D643" s="44">
        <v>399.87049999999999</v>
      </c>
      <c r="E643" s="44">
        <v>1901274</v>
      </c>
      <c r="F643" s="44" t="s">
        <v>620</v>
      </c>
      <c r="G643" s="25">
        <f t="shared" si="8"/>
        <v>8.5147566524663709E-3</v>
      </c>
    </row>
    <row r="644" spans="1:7">
      <c r="A644" s="44">
        <v>398.77190000000002</v>
      </c>
      <c r="B644" s="44">
        <v>400.48419999999999</v>
      </c>
      <c r="C644" s="44">
        <v>394.92160000000001</v>
      </c>
      <c r="D644" s="44">
        <v>396.55470000000003</v>
      </c>
      <c r="E644" s="44">
        <v>2154774</v>
      </c>
      <c r="F644" s="44" t="s">
        <v>621</v>
      </c>
      <c r="G644" s="25">
        <f t="shared" si="8"/>
        <v>5.5911580420053841E-3</v>
      </c>
    </row>
    <row r="645" spans="1:7">
      <c r="A645" s="44">
        <v>393.60520000000002</v>
      </c>
      <c r="B645" s="44">
        <v>399.87049999999999</v>
      </c>
      <c r="C645" s="44">
        <v>393.43689999999998</v>
      </c>
      <c r="D645" s="44">
        <v>397.48509999999999</v>
      </c>
      <c r="E645" s="44">
        <v>1970016</v>
      </c>
      <c r="F645" s="44" t="s">
        <v>622</v>
      </c>
      <c r="G645" s="25">
        <f t="shared" si="8"/>
        <v>-9.7611206055270294E-3</v>
      </c>
    </row>
    <row r="646" spans="1:7">
      <c r="A646" s="44">
        <v>396.9606</v>
      </c>
      <c r="B646" s="44">
        <v>397.81180000000001</v>
      </c>
      <c r="C646" s="44">
        <v>394.28820000000002</v>
      </c>
      <c r="D646" s="44">
        <v>395.18889999999999</v>
      </c>
      <c r="E646" s="44">
        <v>1943221</v>
      </c>
      <c r="F646" s="44" t="s">
        <v>623</v>
      </c>
      <c r="G646" s="25">
        <f t="shared" si="8"/>
        <v>4.4831724777694149E-3</v>
      </c>
    </row>
    <row r="647" spans="1:7">
      <c r="A647" s="44">
        <v>393.77350000000001</v>
      </c>
      <c r="B647" s="44">
        <v>394.69400000000002</v>
      </c>
      <c r="C647" s="44">
        <v>389.65600000000001</v>
      </c>
      <c r="D647" s="44">
        <v>390.96249999999998</v>
      </c>
      <c r="E647" s="44">
        <v>2422581</v>
      </c>
      <c r="F647" s="44" t="s">
        <v>624</v>
      </c>
      <c r="G647" s="25">
        <f t="shared" si="8"/>
        <v>7.1899478850274701E-3</v>
      </c>
    </row>
    <row r="648" spans="1:7">
      <c r="A648" s="44">
        <v>389.18090000000001</v>
      </c>
      <c r="B648" s="44">
        <v>390.95260000000002</v>
      </c>
      <c r="C648" s="44">
        <v>387.02319999999997</v>
      </c>
      <c r="D648" s="44">
        <v>389.19080000000002</v>
      </c>
      <c r="E648" s="44">
        <v>1869502</v>
      </c>
      <c r="F648" s="44" t="s">
        <v>625</v>
      </c>
      <c r="G648" s="25">
        <f t="shared" si="8"/>
        <v>-2.5437394717497952E-5</v>
      </c>
    </row>
    <row r="649" spans="1:7">
      <c r="A649" s="44">
        <v>388.16140000000001</v>
      </c>
      <c r="B649" s="44">
        <v>389.81439999999998</v>
      </c>
      <c r="C649" s="44">
        <v>384.85559999999998</v>
      </c>
      <c r="D649" s="44">
        <v>385.83539999999999</v>
      </c>
      <c r="E649" s="44">
        <v>2001800</v>
      </c>
      <c r="F649" s="44" t="s">
        <v>626</v>
      </c>
      <c r="G649" s="25">
        <f t="shared" si="8"/>
        <v>6.0284774284578013E-3</v>
      </c>
    </row>
    <row r="650" spans="1:7">
      <c r="A650" s="44">
        <v>388.60680000000002</v>
      </c>
      <c r="B650" s="44">
        <v>392.15519999999998</v>
      </c>
      <c r="C650" s="44">
        <v>386.99349999999998</v>
      </c>
      <c r="D650" s="44">
        <v>392.0908</v>
      </c>
      <c r="E650" s="44">
        <v>2118703</v>
      </c>
      <c r="F650" s="44" t="s">
        <v>627</v>
      </c>
      <c r="G650" s="25">
        <f t="shared" si="8"/>
        <v>-8.8856968844971407E-3</v>
      </c>
    </row>
    <row r="651" spans="1:7">
      <c r="A651" s="44">
        <v>390.33890000000002</v>
      </c>
      <c r="B651" s="44">
        <v>395.11959999999999</v>
      </c>
      <c r="C651" s="44">
        <v>389.10169999999999</v>
      </c>
      <c r="D651" s="44">
        <v>389.41840000000002</v>
      </c>
      <c r="E651" s="44">
        <v>2002011</v>
      </c>
      <c r="F651" s="44" t="s">
        <v>628</v>
      </c>
      <c r="G651" s="25">
        <f t="shared" si="8"/>
        <v>2.3637814751433783E-3</v>
      </c>
    </row>
    <row r="652" spans="1:7">
      <c r="A652" s="44">
        <v>390.41809999999998</v>
      </c>
      <c r="B652" s="44">
        <v>393.42700000000002</v>
      </c>
      <c r="C652" s="44">
        <v>389.56689999999998</v>
      </c>
      <c r="D652" s="44">
        <v>393.42700000000002</v>
      </c>
      <c r="E652" s="44">
        <v>1753282</v>
      </c>
      <c r="F652" s="44" t="s">
        <v>629</v>
      </c>
      <c r="G652" s="25">
        <f t="shared" si="8"/>
        <v>-7.6479245196695578E-3</v>
      </c>
    </row>
    <row r="653" spans="1:7">
      <c r="A653" s="44">
        <v>394.5059</v>
      </c>
      <c r="B653" s="44">
        <v>395.14929999999998</v>
      </c>
      <c r="C653" s="44">
        <v>390.57659999999998</v>
      </c>
      <c r="D653" s="44">
        <v>392.39769999999999</v>
      </c>
      <c r="E653" s="44">
        <v>1638575</v>
      </c>
      <c r="F653" s="44" t="s">
        <v>630</v>
      </c>
      <c r="G653" s="25">
        <f t="shared" si="8"/>
        <v>5.3726104918556672E-3</v>
      </c>
    </row>
    <row r="654" spans="1:7">
      <c r="A654" s="44">
        <v>390.9427</v>
      </c>
      <c r="B654" s="44">
        <v>392.61540000000002</v>
      </c>
      <c r="C654" s="44">
        <v>388.79070000000002</v>
      </c>
      <c r="D654" s="44">
        <v>391.70479999999998</v>
      </c>
      <c r="E654" s="44">
        <v>1464655</v>
      </c>
      <c r="F654" s="44" t="s">
        <v>631</v>
      </c>
      <c r="G654" s="25">
        <f t="shared" si="8"/>
        <v>-1.9455978073282809E-3</v>
      </c>
    </row>
    <row r="655" spans="1:7">
      <c r="A655" s="44">
        <v>393.0806</v>
      </c>
      <c r="B655" s="44">
        <v>396.53500000000003</v>
      </c>
      <c r="C655" s="44">
        <v>391.66719999999998</v>
      </c>
      <c r="D655" s="44">
        <v>392.4076</v>
      </c>
      <c r="E655" s="44">
        <v>2154471</v>
      </c>
      <c r="F655" s="44" t="s">
        <v>632</v>
      </c>
      <c r="G655" s="25">
        <f t="shared" si="8"/>
        <v>1.7150534291385799E-3</v>
      </c>
    </row>
    <row r="656" spans="1:7">
      <c r="A656" s="44">
        <v>389.64609999999999</v>
      </c>
      <c r="B656" s="44">
        <v>392.73419999999999</v>
      </c>
      <c r="C656" s="44">
        <v>387.86450000000002</v>
      </c>
      <c r="D656" s="44">
        <v>389.83420000000001</v>
      </c>
      <c r="E656" s="44">
        <v>1806063</v>
      </c>
      <c r="F656" s="44" t="s">
        <v>633</v>
      </c>
      <c r="G656" s="25">
        <f t="shared" si="8"/>
        <v>-4.8251282211775326E-4</v>
      </c>
    </row>
    <row r="657" spans="1:7">
      <c r="A657" s="44">
        <v>389.17099999999999</v>
      </c>
      <c r="B657" s="44">
        <v>392.32839999999999</v>
      </c>
      <c r="C657" s="44">
        <v>386.14229999999998</v>
      </c>
      <c r="D657" s="44">
        <v>392.13040000000001</v>
      </c>
      <c r="E657" s="44">
        <v>1747173</v>
      </c>
      <c r="F657" s="44" t="s">
        <v>634</v>
      </c>
      <c r="G657" s="25">
        <f t="shared" si="8"/>
        <v>-7.5469792701612359E-3</v>
      </c>
    </row>
    <row r="658" spans="1:7">
      <c r="A658" s="44">
        <v>392.8134</v>
      </c>
      <c r="B658" s="44">
        <v>393.68439999999998</v>
      </c>
      <c r="C658" s="44">
        <v>388.98289999999997</v>
      </c>
      <c r="D658" s="44">
        <v>388.98289999999997</v>
      </c>
      <c r="E658" s="44">
        <v>1559899</v>
      </c>
      <c r="F658" s="44" t="s">
        <v>635</v>
      </c>
      <c r="G658" s="25">
        <f t="shared" si="8"/>
        <v>9.847476585731707E-3</v>
      </c>
    </row>
    <row r="659" spans="1:7">
      <c r="A659" s="44">
        <v>387.34980000000002</v>
      </c>
      <c r="B659" s="44">
        <v>392.04140000000001</v>
      </c>
      <c r="C659" s="44">
        <v>386.08300000000003</v>
      </c>
      <c r="D659" s="44">
        <v>387.60719999999998</v>
      </c>
      <c r="E659" s="44">
        <v>2215814</v>
      </c>
      <c r="F659" s="44" t="s">
        <v>636</v>
      </c>
      <c r="G659" s="25">
        <f t="shared" si="8"/>
        <v>-6.6407435155990679E-4</v>
      </c>
    </row>
    <row r="660" spans="1:7">
      <c r="A660" s="44">
        <v>388.99279999999999</v>
      </c>
      <c r="B660" s="44">
        <v>389.41840000000002</v>
      </c>
      <c r="C660" s="44">
        <v>382.47019999999998</v>
      </c>
      <c r="D660" s="44">
        <v>383.5985</v>
      </c>
      <c r="E660" s="44">
        <v>2190534</v>
      </c>
      <c r="F660" s="44" t="s">
        <v>637</v>
      </c>
      <c r="G660" s="25">
        <f t="shared" si="8"/>
        <v>1.4062359472208463E-2</v>
      </c>
    </row>
    <row r="661" spans="1:7">
      <c r="A661" s="44">
        <v>386.03339999999997</v>
      </c>
      <c r="B661" s="44">
        <v>390.18060000000003</v>
      </c>
      <c r="C661" s="44">
        <v>385.59789999999998</v>
      </c>
      <c r="D661" s="44">
        <v>389.85390000000001</v>
      </c>
      <c r="E661" s="44">
        <v>2410676</v>
      </c>
      <c r="F661" s="44" t="s">
        <v>638</v>
      </c>
      <c r="G661" s="25">
        <f t="shared" si="8"/>
        <v>-9.7998250113697782E-3</v>
      </c>
    </row>
    <row r="662" spans="1:7">
      <c r="A662" s="44">
        <v>393.01130000000001</v>
      </c>
      <c r="B662" s="44">
        <v>393.23899999999998</v>
      </c>
      <c r="C662" s="44">
        <v>388.34949999999998</v>
      </c>
      <c r="D662" s="44">
        <v>389.755</v>
      </c>
      <c r="E662" s="44">
        <v>2344258</v>
      </c>
      <c r="F662" s="44" t="s">
        <v>639</v>
      </c>
      <c r="G662" s="25">
        <f t="shared" si="8"/>
        <v>8.3547356672781792E-3</v>
      </c>
    </row>
    <row r="663" spans="1:7">
      <c r="A663" s="44">
        <v>390.24990000000003</v>
      </c>
      <c r="B663" s="44">
        <v>392.03149999999999</v>
      </c>
      <c r="C663" s="44">
        <v>388.45339999999999</v>
      </c>
      <c r="D663" s="44">
        <v>389.94299999999998</v>
      </c>
      <c r="E663" s="44">
        <v>3578342</v>
      </c>
      <c r="F663" s="44" t="s">
        <v>640</v>
      </c>
      <c r="G663" s="25">
        <f t="shared" si="8"/>
        <v>7.8703810556945974E-4</v>
      </c>
    </row>
    <row r="664" spans="1:7">
      <c r="A664" s="44">
        <v>388.9434</v>
      </c>
      <c r="B664" s="44">
        <v>393.93180000000001</v>
      </c>
      <c r="C664" s="44">
        <v>384.90159999999997</v>
      </c>
      <c r="D664" s="44">
        <v>393.8922</v>
      </c>
      <c r="E664" s="44">
        <v>4501094</v>
      </c>
      <c r="F664" s="44" t="s">
        <v>641</v>
      </c>
      <c r="G664" s="25">
        <f t="shared" si="8"/>
        <v>-1.2563843610002956E-2</v>
      </c>
    </row>
    <row r="665" spans="1:7">
      <c r="A665" s="44">
        <v>390.4676</v>
      </c>
      <c r="B665" s="44">
        <v>401.04829999999998</v>
      </c>
      <c r="C665" s="44">
        <v>389.92320000000001</v>
      </c>
      <c r="D665" s="44">
        <v>401.04829999999998</v>
      </c>
      <c r="E665" s="44">
        <v>3563319</v>
      </c>
      <c r="F665" s="44" t="s">
        <v>642</v>
      </c>
      <c r="G665" s="25">
        <f t="shared" si="8"/>
        <v>-2.6382607780658818E-2</v>
      </c>
    </row>
    <row r="666" spans="1:7">
      <c r="A666" s="44">
        <v>398.29680000000002</v>
      </c>
      <c r="B666" s="44">
        <v>399.18759999999997</v>
      </c>
      <c r="C666" s="44">
        <v>391.70229999999998</v>
      </c>
      <c r="D666" s="44">
        <v>395.09980000000002</v>
      </c>
      <c r="E666" s="44">
        <v>2572262</v>
      </c>
      <c r="F666" s="44" t="s">
        <v>643</v>
      </c>
      <c r="G666" s="25">
        <f t="shared" si="8"/>
        <v>8.0916264700716667E-3</v>
      </c>
    </row>
    <row r="667" spans="1:7">
      <c r="A667" s="44">
        <v>397.17829999999998</v>
      </c>
      <c r="B667" s="44">
        <v>400.7217</v>
      </c>
      <c r="C667" s="44">
        <v>396.90120000000002</v>
      </c>
      <c r="D667" s="44">
        <v>399.24689999999998</v>
      </c>
      <c r="E667" s="44">
        <v>2490524</v>
      </c>
      <c r="F667" s="44" t="s">
        <v>644</v>
      </c>
      <c r="G667" s="25">
        <f t="shared" si="8"/>
        <v>-5.1812550078660369E-3</v>
      </c>
    </row>
    <row r="668" spans="1:7">
      <c r="A668" s="44">
        <v>400.6524</v>
      </c>
      <c r="B668" s="44">
        <v>400.77120000000002</v>
      </c>
      <c r="C668" s="44">
        <v>392.55599999999998</v>
      </c>
      <c r="D668" s="44">
        <v>393.41719999999998</v>
      </c>
      <c r="E668" s="44">
        <v>3029808</v>
      </c>
      <c r="F668" s="44" t="s">
        <v>645</v>
      </c>
      <c r="G668" s="25">
        <f t="shared" si="8"/>
        <v>1.8390655009491219E-2</v>
      </c>
    </row>
    <row r="669" spans="1:7">
      <c r="A669" s="44">
        <v>393.42700000000002</v>
      </c>
      <c r="B669" s="44">
        <v>397.40600000000001</v>
      </c>
      <c r="C669" s="44">
        <v>393.3578</v>
      </c>
      <c r="D669" s="44">
        <v>394.59500000000003</v>
      </c>
      <c r="E669" s="44">
        <v>1868149</v>
      </c>
      <c r="F669" s="44" t="s">
        <v>646</v>
      </c>
      <c r="G669" s="25">
        <f t="shared" si="8"/>
        <v>-2.9599969589072517E-3</v>
      </c>
    </row>
    <row r="670" spans="1:7">
      <c r="A670" s="44">
        <v>393.99119999999999</v>
      </c>
      <c r="B670" s="44">
        <v>395.63420000000002</v>
      </c>
      <c r="C670" s="44">
        <v>391.50689999999997</v>
      </c>
      <c r="D670" s="44">
        <v>393.0806</v>
      </c>
      <c r="E670" s="44">
        <v>2570771</v>
      </c>
      <c r="F670" s="44" t="s">
        <v>647</v>
      </c>
      <c r="G670" s="25">
        <f t="shared" si="8"/>
        <v>2.3165732422307794E-3</v>
      </c>
    </row>
    <row r="671" spans="1:7">
      <c r="A671" s="44">
        <v>394.19909999999999</v>
      </c>
      <c r="B671" s="44">
        <v>395.7629</v>
      </c>
      <c r="C671" s="44">
        <v>392.25909999999999</v>
      </c>
      <c r="D671" s="44">
        <v>393.93180000000001</v>
      </c>
      <c r="E671" s="44">
        <v>1809748</v>
      </c>
      <c r="F671" s="44" t="s">
        <v>648</v>
      </c>
      <c r="G671" s="25">
        <f t="shared" si="8"/>
        <v>6.7854384946830493E-4</v>
      </c>
    </row>
    <row r="672" spans="1:7">
      <c r="A672" s="44">
        <v>394.09019999999998</v>
      </c>
      <c r="B672" s="44">
        <v>397.83159999999998</v>
      </c>
      <c r="C672" s="44">
        <v>391.1705</v>
      </c>
      <c r="D672" s="44">
        <v>396.32709999999997</v>
      </c>
      <c r="E672" s="44">
        <v>2676239</v>
      </c>
      <c r="F672" s="44" t="s">
        <v>649</v>
      </c>
      <c r="G672" s="25">
        <f t="shared" si="8"/>
        <v>-5.6440753105200248E-3</v>
      </c>
    </row>
    <row r="673" spans="1:7">
      <c r="A673" s="44">
        <v>398.08890000000002</v>
      </c>
      <c r="B673" s="44">
        <v>399.87049999999999</v>
      </c>
      <c r="C673" s="44">
        <v>397.01990000000001</v>
      </c>
      <c r="D673" s="44">
        <v>397.8415</v>
      </c>
      <c r="E673" s="44">
        <v>2344566</v>
      </c>
      <c r="F673" s="44" t="s">
        <v>650</v>
      </c>
      <c r="G673" s="25">
        <f t="shared" si="8"/>
        <v>6.2185568876049757E-4</v>
      </c>
    </row>
    <row r="674" spans="1:7">
      <c r="A674" s="44">
        <v>398.39569999999998</v>
      </c>
      <c r="B674" s="44">
        <v>399.3657</v>
      </c>
      <c r="C674" s="44">
        <v>396.20339999999999</v>
      </c>
      <c r="D674" s="44">
        <v>398.00970000000001</v>
      </c>
      <c r="E674" s="44">
        <v>1978498</v>
      </c>
      <c r="F674" s="44" t="s">
        <v>651</v>
      </c>
      <c r="G674" s="25">
        <f t="shared" si="8"/>
        <v>9.6982560977787458E-4</v>
      </c>
    </row>
    <row r="675" spans="1:7">
      <c r="A675" s="44">
        <v>396.46570000000003</v>
      </c>
      <c r="B675" s="44">
        <v>399.11829999999998</v>
      </c>
      <c r="C675" s="44">
        <v>396.36669999999998</v>
      </c>
      <c r="D675" s="44">
        <v>398.88069999999999</v>
      </c>
      <c r="E675" s="44">
        <v>2354875</v>
      </c>
      <c r="F675" s="44" t="s">
        <v>652</v>
      </c>
      <c r="G675" s="25">
        <f t="shared" si="8"/>
        <v>-6.0544418418839729E-3</v>
      </c>
    </row>
    <row r="676" spans="1:7">
      <c r="A676" s="44">
        <v>396.59429999999998</v>
      </c>
      <c r="B676" s="44">
        <v>399.04899999999998</v>
      </c>
      <c r="C676" s="44">
        <v>394.63459999999998</v>
      </c>
      <c r="D676" s="44">
        <v>394.92160000000001</v>
      </c>
      <c r="E676" s="44">
        <v>2273532</v>
      </c>
      <c r="F676" s="44" t="s">
        <v>653</v>
      </c>
      <c r="G676" s="25">
        <f t="shared" si="8"/>
        <v>4.235524215439046E-3</v>
      </c>
    </row>
    <row r="677" spans="1:7">
      <c r="A677" s="44">
        <v>393.73390000000001</v>
      </c>
      <c r="B677" s="44">
        <v>394.38709999999998</v>
      </c>
      <c r="C677" s="44">
        <v>388.3297</v>
      </c>
      <c r="D677" s="44">
        <v>389.59660000000002</v>
      </c>
      <c r="E677" s="44">
        <v>2106362</v>
      </c>
      <c r="F677" s="44" t="s">
        <v>654</v>
      </c>
      <c r="G677" s="25">
        <f t="shared" si="8"/>
        <v>1.0619445857587007E-2</v>
      </c>
    </row>
    <row r="678" spans="1:7">
      <c r="A678" s="44">
        <v>388.1515</v>
      </c>
      <c r="B678" s="44">
        <v>389.4085</v>
      </c>
      <c r="C678" s="44">
        <v>384.04390000000001</v>
      </c>
      <c r="D678" s="44">
        <v>384.50909999999999</v>
      </c>
      <c r="E678" s="44">
        <v>2148582</v>
      </c>
      <c r="F678" s="44" t="s">
        <v>655</v>
      </c>
      <c r="G678" s="25">
        <f t="shared" si="8"/>
        <v>9.4728577295049021E-3</v>
      </c>
    </row>
    <row r="679" spans="1:7">
      <c r="A679" s="44">
        <v>384.70710000000003</v>
      </c>
      <c r="B679" s="44">
        <v>388.43860000000001</v>
      </c>
      <c r="C679" s="44">
        <v>384.43</v>
      </c>
      <c r="D679" s="44">
        <v>386.6669</v>
      </c>
      <c r="E679" s="44">
        <v>2654516</v>
      </c>
      <c r="F679" s="44" t="s">
        <v>656</v>
      </c>
      <c r="G679" s="25">
        <f t="shared" si="8"/>
        <v>-5.0684452173174188E-3</v>
      </c>
    </row>
    <row r="680" spans="1:7">
      <c r="A680" s="44">
        <v>389.12150000000003</v>
      </c>
      <c r="B680" s="44">
        <v>390.18060000000003</v>
      </c>
      <c r="C680" s="44">
        <v>385.75619999999998</v>
      </c>
      <c r="D680" s="44">
        <v>389.80450000000002</v>
      </c>
      <c r="E680" s="44">
        <v>2156894</v>
      </c>
      <c r="F680" s="44" t="s">
        <v>657</v>
      </c>
      <c r="G680" s="25">
        <f t="shared" si="8"/>
        <v>-1.7521603778304362E-3</v>
      </c>
    </row>
    <row r="681" spans="1:7">
      <c r="A681" s="44">
        <v>390.1311</v>
      </c>
      <c r="B681" s="44">
        <v>390.64499999999998</v>
      </c>
      <c r="C681" s="44">
        <v>382.61959999999999</v>
      </c>
      <c r="D681" s="44">
        <v>384.2801</v>
      </c>
      <c r="E681" s="44">
        <v>2781997</v>
      </c>
      <c r="F681" s="44" t="s">
        <v>658</v>
      </c>
      <c r="G681" s="25">
        <f t="shared" si="8"/>
        <v>1.5225873002531198E-2</v>
      </c>
    </row>
    <row r="682" spans="1:7">
      <c r="A682" s="44">
        <v>389.37009999999998</v>
      </c>
      <c r="B682" s="44">
        <v>389.71100000000001</v>
      </c>
      <c r="C682" s="44">
        <v>384.15159999999997</v>
      </c>
      <c r="D682" s="44">
        <v>386.78059999999999</v>
      </c>
      <c r="E682" s="44">
        <v>1304646</v>
      </c>
      <c r="F682" s="44" t="s">
        <v>659</v>
      </c>
      <c r="G682" s="25">
        <f t="shared" si="8"/>
        <v>6.6950100392833001E-3</v>
      </c>
    </row>
    <row r="683" spans="1:7">
      <c r="A683" s="44">
        <v>388.71769999999998</v>
      </c>
      <c r="B683" s="44">
        <v>390.56599999999997</v>
      </c>
      <c r="C683" s="44">
        <v>383.57830000000001</v>
      </c>
      <c r="D683" s="44">
        <v>383.57830000000001</v>
      </c>
      <c r="E683" s="44">
        <v>4407142</v>
      </c>
      <c r="F683" s="44" t="s">
        <v>660</v>
      </c>
      <c r="G683" s="25">
        <f t="shared" si="8"/>
        <v>1.3398568167177327E-2</v>
      </c>
    </row>
    <row r="684" spans="1:7">
      <c r="A684" s="44">
        <v>383.1533</v>
      </c>
      <c r="B684" s="44">
        <v>383.48939999999999</v>
      </c>
      <c r="C684" s="44">
        <v>376.06689999999998</v>
      </c>
      <c r="D684" s="44">
        <v>376.4128</v>
      </c>
      <c r="E684" s="44">
        <v>2524838</v>
      </c>
      <c r="F684" s="44" t="s">
        <v>661</v>
      </c>
      <c r="G684" s="25">
        <f t="shared" si="8"/>
        <v>1.7907201880488666E-2</v>
      </c>
    </row>
    <row r="685" spans="1:7">
      <c r="A685" s="44">
        <v>375.8</v>
      </c>
      <c r="B685" s="44">
        <v>376.95139999999998</v>
      </c>
      <c r="C685" s="44">
        <v>374.25819999999999</v>
      </c>
      <c r="D685" s="44">
        <v>376.74880000000002</v>
      </c>
      <c r="E685" s="44">
        <v>2012435</v>
      </c>
      <c r="F685" s="44" t="s">
        <v>662</v>
      </c>
      <c r="G685" s="25">
        <f t="shared" si="8"/>
        <v>-2.5183889105950819E-3</v>
      </c>
    </row>
    <row r="686" spans="1:7">
      <c r="A686" s="44">
        <v>377.34179999999998</v>
      </c>
      <c r="B686" s="44">
        <v>378.37959999999998</v>
      </c>
      <c r="C686" s="44">
        <v>374.5942</v>
      </c>
      <c r="D686" s="44">
        <v>375.90870000000001</v>
      </c>
      <c r="E686" s="44">
        <v>2197373</v>
      </c>
      <c r="F686" s="44" t="s">
        <v>663</v>
      </c>
      <c r="G686" s="25">
        <f t="shared" si="8"/>
        <v>3.812361884681037E-3</v>
      </c>
    </row>
    <row r="687" spans="1:7">
      <c r="A687" s="44">
        <v>373.02280000000002</v>
      </c>
      <c r="B687" s="44">
        <v>375.56279999999998</v>
      </c>
      <c r="C687" s="44">
        <v>370.9769</v>
      </c>
      <c r="D687" s="44">
        <v>373.65530000000001</v>
      </c>
      <c r="E687" s="44">
        <v>3327849</v>
      </c>
      <c r="F687" s="44" t="s">
        <v>664</v>
      </c>
      <c r="G687" s="25">
        <f t="shared" si="8"/>
        <v>-1.6927365943959494E-3</v>
      </c>
    </row>
    <row r="688" spans="1:7">
      <c r="A688" s="44">
        <v>375.38490000000002</v>
      </c>
      <c r="B688" s="44">
        <v>376.67970000000003</v>
      </c>
      <c r="C688" s="44">
        <v>368.87169999999998</v>
      </c>
      <c r="D688" s="44">
        <v>370.6112</v>
      </c>
      <c r="E688" s="44">
        <v>3739720</v>
      </c>
      <c r="F688" s="44" t="s">
        <v>665</v>
      </c>
      <c r="G688" s="25">
        <f t="shared" si="8"/>
        <v>1.2880614509221511E-2</v>
      </c>
    </row>
    <row r="689" spans="1:7">
      <c r="A689" s="44">
        <v>373.39830000000001</v>
      </c>
      <c r="B689" s="44">
        <v>374.07040000000001</v>
      </c>
      <c r="C689" s="44">
        <v>369.58920000000001</v>
      </c>
      <c r="D689" s="44">
        <v>370.73970000000003</v>
      </c>
      <c r="E689" s="44">
        <v>1934457</v>
      </c>
      <c r="F689" s="44" t="s">
        <v>666</v>
      </c>
      <c r="G689" s="25">
        <f t="shared" si="8"/>
        <v>7.1710690816224609E-3</v>
      </c>
    </row>
    <row r="690" spans="1:7">
      <c r="A690" s="44">
        <v>371.7577</v>
      </c>
      <c r="B690" s="44">
        <v>373.98149999999998</v>
      </c>
      <c r="C690" s="44">
        <v>369.3066</v>
      </c>
      <c r="D690" s="44">
        <v>369.60309999999998</v>
      </c>
      <c r="E690" s="44">
        <v>2301314</v>
      </c>
      <c r="F690" s="44" t="s">
        <v>667</v>
      </c>
      <c r="G690" s="25">
        <f t="shared" si="8"/>
        <v>5.8294965599585691E-3</v>
      </c>
    </row>
    <row r="691" spans="1:7">
      <c r="A691" s="44">
        <v>370.25540000000001</v>
      </c>
      <c r="B691" s="44">
        <v>375.08839999999998</v>
      </c>
      <c r="C691" s="44">
        <v>369.39550000000003</v>
      </c>
      <c r="D691" s="44">
        <v>370.64080000000001</v>
      </c>
      <c r="E691" s="44">
        <v>3961765</v>
      </c>
      <c r="F691" s="44" t="s">
        <v>668</v>
      </c>
      <c r="G691" s="25">
        <f t="shared" si="8"/>
        <v>-1.0398207644706225E-3</v>
      </c>
    </row>
    <row r="692" spans="1:7">
      <c r="A692" s="44">
        <v>372.1431</v>
      </c>
      <c r="B692" s="44">
        <v>378.43889999999999</v>
      </c>
      <c r="C692" s="44">
        <v>371.7774</v>
      </c>
      <c r="D692" s="44">
        <v>377.16390000000001</v>
      </c>
      <c r="E692" s="44">
        <v>5882364</v>
      </c>
      <c r="F692" s="44" t="s">
        <v>669</v>
      </c>
      <c r="G692" s="25">
        <f t="shared" si="8"/>
        <v>-1.3311984524499887E-2</v>
      </c>
    </row>
    <row r="693" spans="1:7">
      <c r="A693" s="44">
        <v>374.62389999999999</v>
      </c>
      <c r="B693" s="44">
        <v>375.14769999999999</v>
      </c>
      <c r="C693" s="44">
        <v>366.20319999999998</v>
      </c>
      <c r="D693" s="44">
        <v>368.92110000000002</v>
      </c>
      <c r="E693" s="44">
        <v>2558125</v>
      </c>
      <c r="F693" s="44" t="s">
        <v>670</v>
      </c>
      <c r="G693" s="25">
        <f t="shared" si="8"/>
        <v>1.5458047804801645E-2</v>
      </c>
    </row>
    <row r="694" spans="1:7">
      <c r="A694" s="44">
        <v>370.3938</v>
      </c>
      <c r="B694" s="44">
        <v>373.67509999999999</v>
      </c>
      <c r="C694" s="44">
        <v>367.6857</v>
      </c>
      <c r="D694" s="44">
        <v>368.58510000000001</v>
      </c>
      <c r="E694" s="44">
        <v>2775463</v>
      </c>
      <c r="F694" s="44" t="s">
        <v>671</v>
      </c>
      <c r="G694" s="25">
        <f t="shared" si="8"/>
        <v>4.9071435606051761E-3</v>
      </c>
    </row>
    <row r="695" spans="1:7">
      <c r="A695" s="44">
        <v>367.05309999999997</v>
      </c>
      <c r="B695" s="44">
        <v>372.78559999999999</v>
      </c>
      <c r="C695" s="44">
        <v>365.50139999999999</v>
      </c>
      <c r="D695" s="44">
        <v>370.93729999999999</v>
      </c>
      <c r="E695" s="44">
        <v>2444151</v>
      </c>
      <c r="F695" s="44" t="s">
        <v>672</v>
      </c>
      <c r="G695" s="25">
        <f t="shared" si="8"/>
        <v>-1.0471311458836952E-2</v>
      </c>
    </row>
    <row r="696" spans="1:7">
      <c r="A696" s="44">
        <v>370.93729999999999</v>
      </c>
      <c r="B696" s="44">
        <v>371.58969999999999</v>
      </c>
      <c r="C696" s="44">
        <v>365.62990000000002</v>
      </c>
      <c r="D696" s="44">
        <v>366.35140000000001</v>
      </c>
      <c r="E696" s="44">
        <v>2407762</v>
      </c>
      <c r="F696" s="44" t="s">
        <v>673</v>
      </c>
      <c r="G696" s="25">
        <f t="shared" si="8"/>
        <v>1.2517763000223336E-2</v>
      </c>
    </row>
    <row r="697" spans="1:7">
      <c r="A697" s="44">
        <v>364.91829999999999</v>
      </c>
      <c r="B697" s="44">
        <v>367.7697</v>
      </c>
      <c r="C697" s="44">
        <v>363.4753</v>
      </c>
      <c r="D697" s="44">
        <v>366.14389999999997</v>
      </c>
      <c r="E697" s="44">
        <v>2202370</v>
      </c>
      <c r="F697" s="44" t="s">
        <v>674</v>
      </c>
      <c r="G697" s="25">
        <f t="shared" si="8"/>
        <v>-3.3473178168473838E-3</v>
      </c>
    </row>
    <row r="698" spans="1:7">
      <c r="A698" s="44">
        <v>363.3073</v>
      </c>
      <c r="B698" s="44">
        <v>365.46190000000001</v>
      </c>
      <c r="C698" s="44">
        <v>361.58260000000001</v>
      </c>
      <c r="D698" s="44">
        <v>365.05669999999998</v>
      </c>
      <c r="E698" s="44">
        <v>2595273</v>
      </c>
      <c r="F698" s="44" t="s">
        <v>675</v>
      </c>
      <c r="G698" s="25">
        <f t="shared" si="8"/>
        <v>-4.7921322906824271E-3</v>
      </c>
    </row>
    <row r="699" spans="1:7">
      <c r="A699" s="44">
        <v>367.06299999999999</v>
      </c>
      <c r="B699" s="44">
        <v>376.06689999999998</v>
      </c>
      <c r="C699" s="44">
        <v>363.96949999999998</v>
      </c>
      <c r="D699" s="44">
        <v>374.87099999999998</v>
      </c>
      <c r="E699" s="44">
        <v>3714519</v>
      </c>
      <c r="F699" s="44" t="s">
        <v>676</v>
      </c>
      <c r="G699" s="25">
        <f t="shared" si="8"/>
        <v>-2.0828498336761148E-2</v>
      </c>
    </row>
    <row r="700" spans="1:7">
      <c r="A700" s="44">
        <v>375.53320000000002</v>
      </c>
      <c r="B700" s="44">
        <v>375.94830000000002</v>
      </c>
      <c r="C700" s="44">
        <v>367.47320000000002</v>
      </c>
      <c r="D700" s="44">
        <v>368.60480000000001</v>
      </c>
      <c r="E700" s="44">
        <v>2758722</v>
      </c>
      <c r="F700" s="44" t="s">
        <v>677</v>
      </c>
      <c r="G700" s="25">
        <f t="shared" si="8"/>
        <v>1.8796282631154071E-2</v>
      </c>
    </row>
    <row r="701" spans="1:7">
      <c r="A701" s="44">
        <v>366.20319999999998</v>
      </c>
      <c r="B701" s="44">
        <v>368.45159999999998</v>
      </c>
      <c r="C701" s="44">
        <v>364.23630000000003</v>
      </c>
      <c r="D701" s="44">
        <v>368.40719999999999</v>
      </c>
      <c r="E701" s="44">
        <v>2316299</v>
      </c>
      <c r="F701" s="44" t="s">
        <v>678</v>
      </c>
      <c r="G701" s="25">
        <f t="shared" ref="G701:G764" si="9">A701/D701-1</f>
        <v>-5.9825106566864239E-3</v>
      </c>
    </row>
    <row r="702" spans="1:7">
      <c r="A702" s="44">
        <v>369.37580000000003</v>
      </c>
      <c r="B702" s="44">
        <v>371.44139999999999</v>
      </c>
      <c r="C702" s="44">
        <v>367.81420000000003</v>
      </c>
      <c r="D702" s="44">
        <v>370.22570000000002</v>
      </c>
      <c r="E702" s="44">
        <v>2501459</v>
      </c>
      <c r="F702" s="44" t="s">
        <v>679</v>
      </c>
      <c r="G702" s="25">
        <f t="shared" si="9"/>
        <v>-2.295626694743258E-3</v>
      </c>
    </row>
    <row r="703" spans="1:7">
      <c r="A703" s="44">
        <v>366.55900000000003</v>
      </c>
      <c r="B703" s="44">
        <v>366.76650000000001</v>
      </c>
      <c r="C703" s="44">
        <v>361.78519999999997</v>
      </c>
      <c r="D703" s="44">
        <v>362.88229999999999</v>
      </c>
      <c r="E703" s="44">
        <v>3389808</v>
      </c>
      <c r="F703" s="44" t="s">
        <v>680</v>
      </c>
      <c r="G703" s="25">
        <f t="shared" si="9"/>
        <v>1.0131935341018306E-2</v>
      </c>
    </row>
    <row r="704" spans="1:7">
      <c r="A704" s="44">
        <v>360.7672</v>
      </c>
      <c r="B704" s="44">
        <v>361.4393</v>
      </c>
      <c r="C704" s="44">
        <v>353.68079999999998</v>
      </c>
      <c r="D704" s="44">
        <v>360.7475</v>
      </c>
      <c r="E704" s="44">
        <v>10695409</v>
      </c>
      <c r="F704" s="44" t="s">
        <v>681</v>
      </c>
      <c r="G704" s="25">
        <f t="shared" si="9"/>
        <v>5.460883304797548E-5</v>
      </c>
    </row>
    <row r="705" spans="1:7">
      <c r="A705" s="44">
        <v>363.2183</v>
      </c>
      <c r="B705" s="44">
        <v>372.24200000000002</v>
      </c>
      <c r="C705" s="44">
        <v>361.93349999999998</v>
      </c>
      <c r="D705" s="44">
        <v>371.89600000000002</v>
      </c>
      <c r="E705" s="44">
        <v>3430234</v>
      </c>
      <c r="F705" s="44" t="s">
        <v>682</v>
      </c>
      <c r="G705" s="25">
        <f t="shared" si="9"/>
        <v>-2.3333673930346133E-2</v>
      </c>
    </row>
    <row r="706" spans="1:7">
      <c r="A706" s="44">
        <v>370.00830000000002</v>
      </c>
      <c r="B706" s="44">
        <v>371.303</v>
      </c>
      <c r="C706" s="44">
        <v>365.73860000000002</v>
      </c>
      <c r="D706" s="44">
        <v>366.67759999999998</v>
      </c>
      <c r="E706" s="44">
        <v>2691345</v>
      </c>
      <c r="F706" s="44" t="s">
        <v>683</v>
      </c>
      <c r="G706" s="25">
        <f t="shared" si="9"/>
        <v>9.0834564205721779E-3</v>
      </c>
    </row>
    <row r="707" spans="1:7">
      <c r="A707" s="44">
        <v>365.7287</v>
      </c>
      <c r="B707" s="44">
        <v>366.66770000000002</v>
      </c>
      <c r="C707" s="44">
        <v>360.6585</v>
      </c>
      <c r="D707" s="44">
        <v>363.62360000000001</v>
      </c>
      <c r="E707" s="44">
        <v>3752240</v>
      </c>
      <c r="F707" s="44" t="s">
        <v>684</v>
      </c>
      <c r="G707" s="25">
        <f t="shared" si="9"/>
        <v>5.7892282019098573E-3</v>
      </c>
    </row>
    <row r="708" spans="1:7">
      <c r="A708" s="44">
        <v>364.20670000000001</v>
      </c>
      <c r="B708" s="44">
        <v>365.30380000000002</v>
      </c>
      <c r="C708" s="44">
        <v>361.32069999999999</v>
      </c>
      <c r="D708" s="44">
        <v>365.06659999999999</v>
      </c>
      <c r="E708" s="44">
        <v>2655686</v>
      </c>
      <c r="F708" s="44" t="s">
        <v>685</v>
      </c>
      <c r="G708" s="25">
        <f t="shared" si="9"/>
        <v>-2.3554606200621997E-3</v>
      </c>
    </row>
    <row r="709" spans="1:7">
      <c r="A709" s="44">
        <v>369.39550000000003</v>
      </c>
      <c r="B709" s="44">
        <v>377.57909999999998</v>
      </c>
      <c r="C709" s="44">
        <v>366.1241</v>
      </c>
      <c r="D709" s="44">
        <v>377.07499999999999</v>
      </c>
      <c r="E709" s="44">
        <v>3979249</v>
      </c>
      <c r="F709" s="44" t="s">
        <v>686</v>
      </c>
      <c r="G709" s="25">
        <f t="shared" si="9"/>
        <v>-2.0365974938672537E-2</v>
      </c>
    </row>
    <row r="710" spans="1:7">
      <c r="A710" s="44">
        <v>380.04989999999998</v>
      </c>
      <c r="B710" s="44">
        <v>382.85680000000002</v>
      </c>
      <c r="C710" s="44">
        <v>379.70400000000001</v>
      </c>
      <c r="D710" s="44">
        <v>380.50459999999998</v>
      </c>
      <c r="E710" s="44">
        <v>1808828</v>
      </c>
      <c r="F710" s="44" t="s">
        <v>687</v>
      </c>
      <c r="G710" s="25">
        <f t="shared" si="9"/>
        <v>-1.1949921236169558E-3</v>
      </c>
    </row>
    <row r="711" spans="1:7">
      <c r="A711" s="44">
        <v>381.07780000000002</v>
      </c>
      <c r="B711" s="44">
        <v>387.63060000000002</v>
      </c>
      <c r="C711" s="44">
        <v>380.65280000000001</v>
      </c>
      <c r="D711" s="44">
        <v>387.43290000000002</v>
      </c>
      <c r="E711" s="44">
        <v>3369116</v>
      </c>
      <c r="F711" s="44" t="s">
        <v>688</v>
      </c>
      <c r="G711" s="25">
        <f t="shared" si="9"/>
        <v>-1.6403098446208353E-2</v>
      </c>
    </row>
    <row r="712" spans="1:7">
      <c r="A712" s="44">
        <v>387.45269999999999</v>
      </c>
      <c r="B712" s="44">
        <v>387.45269999999999</v>
      </c>
      <c r="C712" s="44">
        <v>381.315</v>
      </c>
      <c r="D712" s="44">
        <v>382.59989999999999</v>
      </c>
      <c r="E712" s="44">
        <v>3729697</v>
      </c>
      <c r="F712" s="44" t="s">
        <v>689</v>
      </c>
      <c r="G712" s="25">
        <f t="shared" si="9"/>
        <v>1.2683746127482021E-2</v>
      </c>
    </row>
    <row r="713" spans="1:7">
      <c r="A713" s="44">
        <v>382.49110000000002</v>
      </c>
      <c r="B713" s="44">
        <v>383.00510000000003</v>
      </c>
      <c r="C713" s="44">
        <v>374.71280000000002</v>
      </c>
      <c r="D713" s="44">
        <v>377.74709999999999</v>
      </c>
      <c r="E713" s="44">
        <v>3260404</v>
      </c>
      <c r="F713" s="44" t="s">
        <v>690</v>
      </c>
      <c r="G713" s="25">
        <f t="shared" si="9"/>
        <v>1.2558666896450132E-2</v>
      </c>
    </row>
    <row r="714" spans="1:7">
      <c r="A714" s="44">
        <v>375.80990000000003</v>
      </c>
      <c r="B714" s="44">
        <v>379.13080000000002</v>
      </c>
      <c r="C714" s="44">
        <v>372.9212</v>
      </c>
      <c r="D714" s="44">
        <v>378.14240000000001</v>
      </c>
      <c r="E714" s="44">
        <v>2762816</v>
      </c>
      <c r="F714" s="44" t="s">
        <v>691</v>
      </c>
      <c r="G714" s="25">
        <f t="shared" si="9"/>
        <v>-6.1683111970516347E-3</v>
      </c>
    </row>
    <row r="715" spans="1:7">
      <c r="A715" s="44">
        <v>378.94299999999998</v>
      </c>
      <c r="B715" s="44">
        <v>379.19009999999997</v>
      </c>
      <c r="C715" s="44">
        <v>376.09160000000003</v>
      </c>
      <c r="D715" s="44">
        <v>377.42090000000002</v>
      </c>
      <c r="E715" s="44">
        <v>1957649</v>
      </c>
      <c r="F715" s="44" t="s">
        <v>692</v>
      </c>
      <c r="G715" s="25">
        <f t="shared" si="9"/>
        <v>4.0328980191610686E-3</v>
      </c>
    </row>
    <row r="716" spans="1:7">
      <c r="A716" s="44">
        <v>377.47030000000001</v>
      </c>
      <c r="B716" s="44">
        <v>380.53519999999997</v>
      </c>
      <c r="C716" s="44">
        <v>374.38670000000002</v>
      </c>
      <c r="D716" s="44">
        <v>380.0104</v>
      </c>
      <c r="E716" s="44">
        <v>2044079</v>
      </c>
      <c r="F716" s="44" t="s">
        <v>693</v>
      </c>
      <c r="G716" s="25">
        <f t="shared" si="9"/>
        <v>-6.6842907457269618E-3</v>
      </c>
    </row>
    <row r="717" spans="1:7">
      <c r="A717" s="44">
        <v>378.92320000000001</v>
      </c>
      <c r="B717" s="44">
        <v>381.22609999999997</v>
      </c>
      <c r="C717" s="44">
        <v>374.84129999999999</v>
      </c>
      <c r="D717" s="44">
        <v>377.75700000000001</v>
      </c>
      <c r="E717" s="44">
        <v>1901218</v>
      </c>
      <c r="F717" s="44" t="s">
        <v>694</v>
      </c>
      <c r="G717" s="25">
        <f t="shared" si="9"/>
        <v>3.0871697943386511E-3</v>
      </c>
    </row>
    <row r="718" spans="1:7">
      <c r="A718" s="44">
        <v>378.0831</v>
      </c>
      <c r="B718" s="44">
        <v>382.24900000000002</v>
      </c>
      <c r="C718" s="44">
        <v>373.25009999999997</v>
      </c>
      <c r="D718" s="44">
        <v>381.49290000000002</v>
      </c>
      <c r="E718" s="44">
        <v>1940761</v>
      </c>
      <c r="F718" s="44" t="s">
        <v>695</v>
      </c>
      <c r="G718" s="25">
        <f t="shared" si="9"/>
        <v>-8.9380431457571907E-3</v>
      </c>
    </row>
    <row r="719" spans="1:7">
      <c r="A719" s="44">
        <v>378.47840000000002</v>
      </c>
      <c r="B719" s="44">
        <v>381.67079999999999</v>
      </c>
      <c r="C719" s="44">
        <v>378.24119999999999</v>
      </c>
      <c r="D719" s="44">
        <v>379.40750000000003</v>
      </c>
      <c r="E719" s="44">
        <v>2036429</v>
      </c>
      <c r="F719" s="44" t="s">
        <v>696</v>
      </c>
      <c r="G719" s="25">
        <f t="shared" si="9"/>
        <v>-2.4488182231505728E-3</v>
      </c>
    </row>
    <row r="720" spans="1:7">
      <c r="A720" s="44">
        <v>381.01850000000002</v>
      </c>
      <c r="B720" s="44">
        <v>382.94580000000002</v>
      </c>
      <c r="C720" s="44">
        <v>379.29880000000003</v>
      </c>
      <c r="D720" s="44">
        <v>379.536</v>
      </c>
      <c r="E720" s="44">
        <v>1719712</v>
      </c>
      <c r="F720" s="44" t="s">
        <v>697</v>
      </c>
      <c r="G720" s="25">
        <f t="shared" si="9"/>
        <v>3.9060853252392835E-3</v>
      </c>
    </row>
    <row r="721" spans="1:7">
      <c r="A721" s="44">
        <v>380.17840000000001</v>
      </c>
      <c r="B721" s="44">
        <v>380.66269999999997</v>
      </c>
      <c r="C721" s="44">
        <v>373.83319999999998</v>
      </c>
      <c r="D721" s="44">
        <v>376.1361</v>
      </c>
      <c r="E721" s="44">
        <v>2683136</v>
      </c>
      <c r="F721" s="44" t="s">
        <v>698</v>
      </c>
      <c r="G721" s="25">
        <f t="shared" si="9"/>
        <v>1.0746907834690678E-2</v>
      </c>
    </row>
    <row r="722" spans="1:7">
      <c r="A722" s="44">
        <v>371.73790000000002</v>
      </c>
      <c r="B722" s="44">
        <v>372.45940000000002</v>
      </c>
      <c r="C722" s="44">
        <v>367.80430000000001</v>
      </c>
      <c r="D722" s="44">
        <v>370.13679999999999</v>
      </c>
      <c r="E722" s="44">
        <v>2814954</v>
      </c>
      <c r="F722" s="44" t="s">
        <v>699</v>
      </c>
      <c r="G722" s="25">
        <f t="shared" si="9"/>
        <v>4.3256979581605126E-3</v>
      </c>
    </row>
    <row r="723" spans="1:7">
      <c r="A723" s="44">
        <v>370.53210000000001</v>
      </c>
      <c r="B723" s="44">
        <v>375.12790000000001</v>
      </c>
      <c r="C723" s="44">
        <v>369.96879999999999</v>
      </c>
      <c r="D723" s="44">
        <v>372.28149999999999</v>
      </c>
      <c r="E723" s="44">
        <v>1970904</v>
      </c>
      <c r="F723" s="44" t="s">
        <v>700</v>
      </c>
      <c r="G723" s="25">
        <f t="shared" si="9"/>
        <v>-4.6991322426711557E-3</v>
      </c>
    </row>
    <row r="724" spans="1:7">
      <c r="A724" s="44">
        <v>371.649</v>
      </c>
      <c r="B724" s="44">
        <v>374.42619999999999</v>
      </c>
      <c r="C724" s="44">
        <v>366.61829999999998</v>
      </c>
      <c r="D724" s="44">
        <v>373.36869999999999</v>
      </c>
      <c r="E724" s="44">
        <v>2478715</v>
      </c>
      <c r="F724" s="44" t="s">
        <v>701</v>
      </c>
      <c r="G724" s="25">
        <f t="shared" si="9"/>
        <v>-4.6059029586571487E-3</v>
      </c>
    </row>
    <row r="725" spans="1:7">
      <c r="A725" s="44">
        <v>375.43430000000001</v>
      </c>
      <c r="B725" s="44">
        <v>377.9991</v>
      </c>
      <c r="C725" s="44">
        <v>374.54480000000001</v>
      </c>
      <c r="D725" s="44">
        <v>376.05700000000002</v>
      </c>
      <c r="E725" s="44">
        <v>1745122</v>
      </c>
      <c r="F725" s="44" t="s">
        <v>702</v>
      </c>
      <c r="G725" s="25">
        <f t="shared" si="9"/>
        <v>-1.6558659990374425E-3</v>
      </c>
    </row>
    <row r="726" spans="1:7">
      <c r="A726" s="44">
        <v>375.60239999999999</v>
      </c>
      <c r="B726" s="44">
        <v>377.48020000000002</v>
      </c>
      <c r="C726" s="44">
        <v>367.1816</v>
      </c>
      <c r="D726" s="44">
        <v>368.18970000000002</v>
      </c>
      <c r="E726" s="44">
        <v>3107278</v>
      </c>
      <c r="F726" s="44" t="s">
        <v>703</v>
      </c>
      <c r="G726" s="25">
        <f t="shared" si="9"/>
        <v>2.0132828267602099E-2</v>
      </c>
    </row>
    <row r="727" spans="1:7">
      <c r="A727" s="44">
        <v>369.31650000000002</v>
      </c>
      <c r="B727" s="44">
        <v>370.6112</v>
      </c>
      <c r="C727" s="44">
        <v>356.79410000000001</v>
      </c>
      <c r="D727" s="44">
        <v>362.3091</v>
      </c>
      <c r="E727" s="44">
        <v>3859931</v>
      </c>
      <c r="F727" s="44" t="s">
        <v>704</v>
      </c>
      <c r="G727" s="25">
        <f t="shared" si="9"/>
        <v>1.9340943961937418E-2</v>
      </c>
    </row>
    <row r="728" spans="1:7">
      <c r="A728" s="44">
        <v>362.48700000000002</v>
      </c>
      <c r="B728" s="44">
        <v>367.8784</v>
      </c>
      <c r="C728" s="44">
        <v>361.82479999999998</v>
      </c>
      <c r="D728" s="44">
        <v>365.33339999999998</v>
      </c>
      <c r="E728" s="44">
        <v>2594201</v>
      </c>
      <c r="F728" s="44" t="s">
        <v>705</v>
      </c>
      <c r="G728" s="25">
        <f t="shared" si="9"/>
        <v>-7.7912394541532759E-3</v>
      </c>
    </row>
    <row r="729" spans="1:7">
      <c r="A729" s="44">
        <v>364.23630000000003</v>
      </c>
      <c r="B729" s="44">
        <v>370.21589999999998</v>
      </c>
      <c r="C729" s="44">
        <v>364.02859999999998</v>
      </c>
      <c r="D729" s="44">
        <v>369.14839999999998</v>
      </c>
      <c r="E729" s="44">
        <v>2244992</v>
      </c>
      <c r="F729" s="44" t="s">
        <v>706</v>
      </c>
      <c r="G729" s="25">
        <f t="shared" si="9"/>
        <v>-1.3306572641246572E-2</v>
      </c>
    </row>
    <row r="730" spans="1:7">
      <c r="A730" s="44">
        <v>370.36410000000001</v>
      </c>
      <c r="B730" s="44">
        <v>373.24020000000002</v>
      </c>
      <c r="C730" s="44">
        <v>369.267</v>
      </c>
      <c r="D730" s="44">
        <v>370.7792</v>
      </c>
      <c r="E730" s="44">
        <v>1886286</v>
      </c>
      <c r="F730" s="44" t="s">
        <v>707</v>
      </c>
      <c r="G730" s="25">
        <f t="shared" si="9"/>
        <v>-1.1195342133538677E-3</v>
      </c>
    </row>
    <row r="731" spans="1:7">
      <c r="A731" s="44">
        <v>370.8682</v>
      </c>
      <c r="B731" s="44">
        <v>373.02769999999998</v>
      </c>
      <c r="C731" s="44">
        <v>368.91120000000001</v>
      </c>
      <c r="D731" s="44">
        <v>371.3426</v>
      </c>
      <c r="E731" s="44">
        <v>3537820</v>
      </c>
      <c r="F731" s="44" t="s">
        <v>708</v>
      </c>
      <c r="G731" s="25">
        <f t="shared" si="9"/>
        <v>-1.2775264674723674E-3</v>
      </c>
    </row>
    <row r="732" spans="1:7">
      <c r="A732" s="44">
        <v>370.63099999999997</v>
      </c>
      <c r="B732" s="44">
        <v>370.81869999999998</v>
      </c>
      <c r="C732" s="44">
        <v>365.38279999999997</v>
      </c>
      <c r="D732" s="44">
        <v>367.1223</v>
      </c>
      <c r="E732" s="44">
        <v>2125035</v>
      </c>
      <c r="F732" s="44" t="s">
        <v>709</v>
      </c>
      <c r="G732" s="25">
        <f t="shared" si="9"/>
        <v>9.5573055627511394E-3</v>
      </c>
    </row>
    <row r="733" spans="1:7">
      <c r="A733" s="44">
        <v>368.45659999999998</v>
      </c>
      <c r="B733" s="44">
        <v>369.79090000000002</v>
      </c>
      <c r="C733" s="44">
        <v>366.83080000000001</v>
      </c>
      <c r="D733" s="44">
        <v>368.64440000000002</v>
      </c>
      <c r="E733" s="44">
        <v>1795447</v>
      </c>
      <c r="F733" s="44" t="s">
        <v>710</v>
      </c>
      <c r="G733" s="25">
        <f t="shared" si="9"/>
        <v>-5.0943402368253121E-4</v>
      </c>
    </row>
    <row r="734" spans="1:7">
      <c r="A734" s="44">
        <v>367.98219999999998</v>
      </c>
      <c r="B734" s="44">
        <v>369.59320000000002</v>
      </c>
      <c r="C734" s="44">
        <v>365.6497</v>
      </c>
      <c r="D734" s="44">
        <v>369.59320000000002</v>
      </c>
      <c r="E734" s="44">
        <v>2087976</v>
      </c>
      <c r="F734" s="44" t="s">
        <v>711</v>
      </c>
      <c r="G734" s="25">
        <f t="shared" si="9"/>
        <v>-4.3588464289928686E-3</v>
      </c>
    </row>
    <row r="735" spans="1:7">
      <c r="A735" s="44">
        <v>368.4171</v>
      </c>
      <c r="B735" s="44">
        <v>369.7414</v>
      </c>
      <c r="C735" s="44">
        <v>364.09800000000001</v>
      </c>
      <c r="D735" s="44">
        <v>369.01010000000002</v>
      </c>
      <c r="E735" s="44">
        <v>2432924</v>
      </c>
      <c r="F735" s="44" t="s">
        <v>712</v>
      </c>
      <c r="G735" s="25">
        <f t="shared" si="9"/>
        <v>-1.6070020847668287E-3</v>
      </c>
    </row>
    <row r="736" spans="1:7">
      <c r="A736" s="44">
        <v>368.09089999999998</v>
      </c>
      <c r="B736" s="44">
        <v>369.03969999999998</v>
      </c>
      <c r="C736" s="44">
        <v>364.80959999999999</v>
      </c>
      <c r="D736" s="44">
        <v>365.68920000000003</v>
      </c>
      <c r="E736" s="44">
        <v>2254716</v>
      </c>
      <c r="F736" s="44" t="s">
        <v>713</v>
      </c>
      <c r="G736" s="25">
        <f t="shared" si="9"/>
        <v>6.5675989337392604E-3</v>
      </c>
    </row>
    <row r="737" spans="1:7">
      <c r="A737" s="44">
        <v>365.3433</v>
      </c>
      <c r="B737" s="44">
        <v>365.44209999999998</v>
      </c>
      <c r="C737" s="44">
        <v>359.1549</v>
      </c>
      <c r="D737" s="44">
        <v>359.58120000000002</v>
      </c>
      <c r="E737" s="44">
        <v>2611866</v>
      </c>
      <c r="F737" s="44" t="s">
        <v>714</v>
      </c>
      <c r="G737" s="25">
        <f t="shared" si="9"/>
        <v>1.6024475139412075E-2</v>
      </c>
    </row>
    <row r="738" spans="1:7">
      <c r="A738" s="44">
        <v>357.565</v>
      </c>
      <c r="B738" s="44">
        <v>364.30549999999999</v>
      </c>
      <c r="C738" s="44">
        <v>356.81880000000001</v>
      </c>
      <c r="D738" s="44">
        <v>361.81490000000002</v>
      </c>
      <c r="E738" s="44">
        <v>2268779</v>
      </c>
      <c r="F738" s="44" t="s">
        <v>715</v>
      </c>
      <c r="G738" s="25">
        <f t="shared" si="9"/>
        <v>-1.174606131477729E-2</v>
      </c>
    </row>
    <row r="739" spans="1:7">
      <c r="A739" s="44">
        <v>359.88760000000002</v>
      </c>
      <c r="B739" s="44">
        <v>360.93529999999998</v>
      </c>
      <c r="C739" s="44">
        <v>356.9522</v>
      </c>
      <c r="D739" s="44">
        <v>359.1859</v>
      </c>
      <c r="E739" s="44">
        <v>3033867</v>
      </c>
      <c r="F739" s="44" t="s">
        <v>716</v>
      </c>
      <c r="G739" s="25">
        <f t="shared" si="9"/>
        <v>1.9535844809053238E-3</v>
      </c>
    </row>
    <row r="740" spans="1:7">
      <c r="A740" s="44">
        <v>355.94409999999999</v>
      </c>
      <c r="B740" s="44">
        <v>356.72489999999999</v>
      </c>
      <c r="C740" s="44">
        <v>353.41390000000001</v>
      </c>
      <c r="D740" s="44">
        <v>355.51909999999998</v>
      </c>
      <c r="E740" s="44">
        <v>1559126</v>
      </c>
      <c r="F740" s="44" t="s">
        <v>717</v>
      </c>
      <c r="G740" s="25">
        <f t="shared" si="9"/>
        <v>1.1954350694520777E-3</v>
      </c>
    </row>
    <row r="741" spans="1:7">
      <c r="A741" s="44">
        <v>357.2586</v>
      </c>
      <c r="B741" s="44">
        <v>357.81700000000001</v>
      </c>
      <c r="C741" s="44">
        <v>351.8227</v>
      </c>
      <c r="D741" s="44">
        <v>357.0016</v>
      </c>
      <c r="E741" s="44">
        <v>2357712</v>
      </c>
      <c r="F741" s="44" t="s">
        <v>718</v>
      </c>
      <c r="G741" s="25">
        <f t="shared" si="9"/>
        <v>7.1988472880790688E-4</v>
      </c>
    </row>
    <row r="742" spans="1:7">
      <c r="A742" s="44">
        <v>359.55160000000001</v>
      </c>
      <c r="B742" s="44">
        <v>360.8759</v>
      </c>
      <c r="C742" s="44">
        <v>357.39699999999999</v>
      </c>
      <c r="D742" s="44">
        <v>359.24520000000001</v>
      </c>
      <c r="E742" s="44">
        <v>2239771</v>
      </c>
      <c r="F742" s="44" t="s">
        <v>719</v>
      </c>
      <c r="G742" s="25">
        <f t="shared" si="9"/>
        <v>8.5289935676247097E-4</v>
      </c>
    </row>
    <row r="743" spans="1:7">
      <c r="A743" s="44">
        <v>359.09690000000001</v>
      </c>
      <c r="B743" s="44">
        <v>364.24799999999999</v>
      </c>
      <c r="C743" s="44">
        <v>358.5838</v>
      </c>
      <c r="D743" s="44">
        <v>361.95859999999999</v>
      </c>
      <c r="E743" s="44">
        <v>2198730</v>
      </c>
      <c r="F743" s="44" t="s">
        <v>720</v>
      </c>
      <c r="G743" s="25">
        <f t="shared" si="9"/>
        <v>-7.9061528031105777E-3</v>
      </c>
    </row>
    <row r="744" spans="1:7">
      <c r="A744" s="44">
        <v>361.63299999999998</v>
      </c>
      <c r="B744" s="44">
        <v>361.82049999999998</v>
      </c>
      <c r="C744" s="44">
        <v>356.9753</v>
      </c>
      <c r="D744" s="44">
        <v>357.82389999999998</v>
      </c>
      <c r="E744" s="44">
        <v>2978067</v>
      </c>
      <c r="F744" s="44" t="s">
        <v>721</v>
      </c>
      <c r="G744" s="25">
        <f t="shared" si="9"/>
        <v>1.0645180492415474E-2</v>
      </c>
    </row>
    <row r="745" spans="1:7">
      <c r="A745" s="44">
        <v>358.61340000000001</v>
      </c>
      <c r="B745" s="44">
        <v>358.85019999999997</v>
      </c>
      <c r="C745" s="44">
        <v>355.6234</v>
      </c>
      <c r="D745" s="44">
        <v>356.36349999999999</v>
      </c>
      <c r="E745" s="44">
        <v>3376796</v>
      </c>
      <c r="F745" s="44" t="s">
        <v>722</v>
      </c>
      <c r="G745" s="25">
        <f t="shared" si="9"/>
        <v>6.3134973138383454E-3</v>
      </c>
    </row>
    <row r="746" spans="1:7">
      <c r="A746" s="44">
        <v>354.51819999999998</v>
      </c>
      <c r="B746" s="44">
        <v>357.80419999999998</v>
      </c>
      <c r="C746" s="44">
        <v>353.51159999999999</v>
      </c>
      <c r="D746" s="44">
        <v>356.1859</v>
      </c>
      <c r="E746" s="44">
        <v>2480656</v>
      </c>
      <c r="F746" s="44" t="s">
        <v>723</v>
      </c>
      <c r="G746" s="25">
        <f t="shared" si="9"/>
        <v>-4.6821056083354851E-3</v>
      </c>
    </row>
    <row r="747" spans="1:7">
      <c r="A747" s="44">
        <v>354.78460000000001</v>
      </c>
      <c r="B747" s="44">
        <v>355.2731</v>
      </c>
      <c r="C747" s="44">
        <v>351.12360000000001</v>
      </c>
      <c r="D747" s="44">
        <v>352.66300000000001</v>
      </c>
      <c r="E747" s="44">
        <v>2327006</v>
      </c>
      <c r="F747" s="44" t="s">
        <v>724</v>
      </c>
      <c r="G747" s="25">
        <f t="shared" si="9"/>
        <v>6.015941564609939E-3</v>
      </c>
    </row>
    <row r="748" spans="1:7">
      <c r="A748" s="44">
        <v>349.65320000000003</v>
      </c>
      <c r="B748" s="44">
        <v>351.20249999999999</v>
      </c>
      <c r="C748" s="44">
        <v>348.14479999999998</v>
      </c>
      <c r="D748" s="44">
        <v>350.86700000000002</v>
      </c>
      <c r="E748" s="44">
        <v>1695997</v>
      </c>
      <c r="F748" s="44" t="s">
        <v>725</v>
      </c>
      <c r="G748" s="25">
        <f t="shared" si="9"/>
        <v>-3.4594304964559175E-3</v>
      </c>
    </row>
    <row r="749" spans="1:7">
      <c r="A749" s="44">
        <v>349.93939999999998</v>
      </c>
      <c r="B749" s="44">
        <v>353.1662</v>
      </c>
      <c r="C749" s="44">
        <v>349.60390000000001</v>
      </c>
      <c r="D749" s="44">
        <v>350.87689999999998</v>
      </c>
      <c r="E749" s="44">
        <v>2420474</v>
      </c>
      <c r="F749" s="44" t="s">
        <v>726</v>
      </c>
      <c r="G749" s="25">
        <f t="shared" si="9"/>
        <v>-2.6718772310174721E-3</v>
      </c>
    </row>
    <row r="750" spans="1:7">
      <c r="A750" s="44">
        <v>346.9889</v>
      </c>
      <c r="B750" s="44">
        <v>347.76839999999999</v>
      </c>
      <c r="C750" s="44">
        <v>341.73910000000001</v>
      </c>
      <c r="D750" s="44">
        <v>345.82440000000003</v>
      </c>
      <c r="E750" s="44">
        <v>2971590</v>
      </c>
      <c r="F750" s="44" t="s">
        <v>727</v>
      </c>
      <c r="G750" s="25">
        <f t="shared" si="9"/>
        <v>3.3673158978948514E-3</v>
      </c>
    </row>
    <row r="751" spans="1:7">
      <c r="A751" s="44">
        <v>349.6927</v>
      </c>
      <c r="B751" s="44">
        <v>355.1053</v>
      </c>
      <c r="C751" s="44">
        <v>347.1961</v>
      </c>
      <c r="D751" s="44">
        <v>347.7586</v>
      </c>
      <c r="E751" s="44">
        <v>2598053</v>
      </c>
      <c r="F751" s="44" t="s">
        <v>728</v>
      </c>
      <c r="G751" s="25">
        <f t="shared" si="9"/>
        <v>5.561616592659302E-3</v>
      </c>
    </row>
    <row r="752" spans="1:7">
      <c r="A752" s="44">
        <v>346.39679999999998</v>
      </c>
      <c r="B752" s="44">
        <v>355.2484</v>
      </c>
      <c r="C752" s="44">
        <v>346.39679999999998</v>
      </c>
      <c r="D752" s="44">
        <v>349.92950000000002</v>
      </c>
      <c r="E752" s="44">
        <v>2596388</v>
      </c>
      <c r="F752" s="44" t="s">
        <v>729</v>
      </c>
      <c r="G752" s="25">
        <f t="shared" si="9"/>
        <v>-1.0095462085934592E-2</v>
      </c>
    </row>
    <row r="753" spans="1:7">
      <c r="A753" s="44">
        <v>349.89010000000002</v>
      </c>
      <c r="B753" s="44">
        <v>351.49860000000001</v>
      </c>
      <c r="C753" s="44">
        <v>346.19940000000003</v>
      </c>
      <c r="D753" s="44">
        <v>349.6927</v>
      </c>
      <c r="E753" s="44">
        <v>3766785</v>
      </c>
      <c r="F753" s="44" t="s">
        <v>730</v>
      </c>
      <c r="G753" s="25">
        <f t="shared" si="9"/>
        <v>5.6449562716065493E-4</v>
      </c>
    </row>
    <row r="754" spans="1:7">
      <c r="A754" s="44">
        <v>344.70940000000002</v>
      </c>
      <c r="B754" s="44">
        <v>349.16480000000001</v>
      </c>
      <c r="C754" s="44">
        <v>342.75549999999998</v>
      </c>
      <c r="D754" s="44">
        <v>343.40679999999998</v>
      </c>
      <c r="E754" s="44">
        <v>3864278</v>
      </c>
      <c r="F754" s="44" t="s">
        <v>731</v>
      </c>
      <c r="G754" s="25">
        <f t="shared" si="9"/>
        <v>3.7931689180297212E-3</v>
      </c>
    </row>
    <row r="755" spans="1:7">
      <c r="A755" s="44">
        <v>345.04489999999998</v>
      </c>
      <c r="B755" s="44">
        <v>347.29480000000001</v>
      </c>
      <c r="C755" s="44">
        <v>342.28179999999998</v>
      </c>
      <c r="D755" s="44">
        <v>345.62709999999998</v>
      </c>
      <c r="E755" s="44">
        <v>8426918</v>
      </c>
      <c r="F755" s="44" t="s">
        <v>732</v>
      </c>
      <c r="G755" s="25">
        <f t="shared" si="9"/>
        <v>-1.6844743945135798E-3</v>
      </c>
    </row>
    <row r="756" spans="1:7">
      <c r="A756" s="44">
        <v>343.40679999999998</v>
      </c>
      <c r="B756" s="44">
        <v>344.08769999999998</v>
      </c>
      <c r="C756" s="44">
        <v>335.78870000000001</v>
      </c>
      <c r="D756" s="44">
        <v>342.04500000000002</v>
      </c>
      <c r="E756" s="44">
        <v>3768216</v>
      </c>
      <c r="F756" s="44" t="s">
        <v>733</v>
      </c>
      <c r="G756" s="25">
        <f t="shared" si="9"/>
        <v>3.9813474835181939E-3</v>
      </c>
    </row>
    <row r="757" spans="1:7">
      <c r="A757" s="44">
        <v>343.48570000000001</v>
      </c>
      <c r="B757" s="44">
        <v>343.79660000000001</v>
      </c>
      <c r="C757" s="44">
        <v>339.10430000000002</v>
      </c>
      <c r="D757" s="44">
        <v>341.48250000000002</v>
      </c>
      <c r="E757" s="44">
        <v>3082755</v>
      </c>
      <c r="F757" s="44" t="s">
        <v>734</v>
      </c>
      <c r="G757" s="25">
        <f t="shared" si="9"/>
        <v>5.8661864077953485E-3</v>
      </c>
    </row>
    <row r="758" spans="1:7">
      <c r="A758" s="44">
        <v>348.16320000000002</v>
      </c>
      <c r="B758" s="44">
        <v>351.40969999999999</v>
      </c>
      <c r="C758" s="44">
        <v>343.95940000000002</v>
      </c>
      <c r="D758" s="44">
        <v>346.36720000000003</v>
      </c>
      <c r="E758" s="44">
        <v>3413323</v>
      </c>
      <c r="F758" s="44" t="s">
        <v>735</v>
      </c>
      <c r="G758" s="25">
        <f t="shared" si="9"/>
        <v>5.1852484877321636E-3</v>
      </c>
    </row>
    <row r="759" spans="1:7">
      <c r="A759" s="44">
        <v>340.16019999999997</v>
      </c>
      <c r="B759" s="44">
        <v>345.24220000000003</v>
      </c>
      <c r="C759" s="44">
        <v>335.71960000000001</v>
      </c>
      <c r="D759" s="44">
        <v>339.09449999999998</v>
      </c>
      <c r="E759" s="44">
        <v>3308396</v>
      </c>
      <c r="F759" s="44" t="s">
        <v>736</v>
      </c>
      <c r="G759" s="25">
        <f t="shared" si="9"/>
        <v>3.1427817319360507E-3</v>
      </c>
    </row>
    <row r="760" spans="1:7">
      <c r="A760" s="44">
        <v>342.52850000000001</v>
      </c>
      <c r="B760" s="44">
        <v>348.39010000000002</v>
      </c>
      <c r="C760" s="44">
        <v>340.67329999999998</v>
      </c>
      <c r="D760" s="44">
        <v>347.7586</v>
      </c>
      <c r="E760" s="44">
        <v>3176505</v>
      </c>
      <c r="F760" s="44" t="s">
        <v>737</v>
      </c>
      <c r="G760" s="25">
        <f t="shared" si="9"/>
        <v>-1.5039455530359236E-2</v>
      </c>
    </row>
    <row r="761" spans="1:7">
      <c r="A761" s="44">
        <v>349.76179999999999</v>
      </c>
      <c r="B761" s="44">
        <v>359.21039999999999</v>
      </c>
      <c r="C761" s="44">
        <v>349.23880000000003</v>
      </c>
      <c r="D761" s="44">
        <v>354.50830000000002</v>
      </c>
      <c r="E761" s="44">
        <v>2414831</v>
      </c>
      <c r="F761" s="44" t="s">
        <v>738</v>
      </c>
      <c r="G761" s="25">
        <f t="shared" si="9"/>
        <v>-1.3388967197665136E-2</v>
      </c>
    </row>
    <row r="762" spans="1:7">
      <c r="A762" s="44">
        <v>354.2912</v>
      </c>
      <c r="B762" s="44">
        <v>356.92099999999999</v>
      </c>
      <c r="C762" s="44">
        <v>352.5643</v>
      </c>
      <c r="D762" s="44">
        <v>353.87670000000003</v>
      </c>
      <c r="E762" s="44">
        <v>1634442</v>
      </c>
      <c r="F762" s="44" t="s">
        <v>739</v>
      </c>
      <c r="G762" s="25">
        <f t="shared" si="9"/>
        <v>1.1713119287026785E-3</v>
      </c>
    </row>
    <row r="763" spans="1:7">
      <c r="A763" s="44">
        <v>355.18920000000003</v>
      </c>
      <c r="B763" s="44">
        <v>364.27760000000001</v>
      </c>
      <c r="C763" s="44">
        <v>354.80880000000002</v>
      </c>
      <c r="D763" s="44">
        <v>362.32380000000001</v>
      </c>
      <c r="E763" s="44">
        <v>1660771</v>
      </c>
      <c r="F763" s="44" t="s">
        <v>740</v>
      </c>
      <c r="G763" s="25">
        <f t="shared" si="9"/>
        <v>-1.9691226466492018E-2</v>
      </c>
    </row>
    <row r="764" spans="1:7">
      <c r="A764" s="44">
        <v>362.08690000000001</v>
      </c>
      <c r="B764" s="44">
        <v>363.66579999999999</v>
      </c>
      <c r="C764" s="44">
        <v>356.49180000000001</v>
      </c>
      <c r="D764" s="44">
        <v>357.0444</v>
      </c>
      <c r="E764" s="44">
        <v>2789640</v>
      </c>
      <c r="F764" s="44" t="s">
        <v>741</v>
      </c>
      <c r="G764" s="25">
        <f t="shared" si="9"/>
        <v>1.4122893399252323E-2</v>
      </c>
    </row>
    <row r="765" spans="1:7">
      <c r="A765" s="44">
        <v>356.72859999999997</v>
      </c>
      <c r="B765" s="44">
        <v>356.91609999999997</v>
      </c>
      <c r="C765" s="44">
        <v>352.3768</v>
      </c>
      <c r="D765" s="44">
        <v>353.39319999999998</v>
      </c>
      <c r="E765" s="44">
        <v>2174952</v>
      </c>
      <c r="F765" s="44" t="s">
        <v>742</v>
      </c>
      <c r="G765" s="25">
        <f t="shared" ref="G765:G828" si="10">A765/D765-1</f>
        <v>9.4382121670706365E-3</v>
      </c>
    </row>
    <row r="766" spans="1:7">
      <c r="A766" s="44">
        <v>350.87689999999998</v>
      </c>
      <c r="B766" s="44">
        <v>351.91300000000001</v>
      </c>
      <c r="C766" s="44">
        <v>347.04809999999998</v>
      </c>
      <c r="D766" s="44">
        <v>348.96249999999998</v>
      </c>
      <c r="E766" s="44">
        <v>2526001</v>
      </c>
      <c r="F766" s="44" t="s">
        <v>743</v>
      </c>
      <c r="G766" s="25">
        <f t="shared" si="10"/>
        <v>5.4859762868502138E-3</v>
      </c>
    </row>
    <row r="767" spans="1:7">
      <c r="A767" s="44">
        <v>348.83420000000001</v>
      </c>
      <c r="B767" s="44">
        <v>350.62029999999999</v>
      </c>
      <c r="C767" s="44">
        <v>344.77839999999998</v>
      </c>
      <c r="D767" s="44">
        <v>349.32760000000002</v>
      </c>
      <c r="E767" s="44">
        <v>1968084</v>
      </c>
      <c r="F767" s="44" t="s">
        <v>744</v>
      </c>
      <c r="G767" s="25">
        <f t="shared" si="10"/>
        <v>-1.4124277612189706E-3</v>
      </c>
    </row>
    <row r="768" spans="1:7">
      <c r="A768" s="44">
        <v>350.60059999999999</v>
      </c>
      <c r="B768" s="44">
        <v>353.0729</v>
      </c>
      <c r="C768" s="44">
        <v>348.57760000000002</v>
      </c>
      <c r="D768" s="44">
        <v>350.12689999999998</v>
      </c>
      <c r="E768" s="44">
        <v>2733091</v>
      </c>
      <c r="F768" s="44" t="s">
        <v>745</v>
      </c>
      <c r="G768" s="25">
        <f t="shared" si="10"/>
        <v>1.3529380347525599E-3</v>
      </c>
    </row>
    <row r="769" spans="1:7">
      <c r="A769" s="44">
        <v>350.78809999999999</v>
      </c>
      <c r="B769" s="44">
        <v>353.30439999999999</v>
      </c>
      <c r="C769" s="44">
        <v>350.13679999999999</v>
      </c>
      <c r="D769" s="44">
        <v>350.94589999999999</v>
      </c>
      <c r="E769" s="44">
        <v>2200873</v>
      </c>
      <c r="F769" s="44" t="s">
        <v>746</v>
      </c>
      <c r="G769" s="25">
        <f t="shared" si="10"/>
        <v>-4.4964195336094637E-4</v>
      </c>
    </row>
    <row r="770" spans="1:7">
      <c r="A770" s="44">
        <v>348.45920000000001</v>
      </c>
      <c r="B770" s="44">
        <v>349.32760000000002</v>
      </c>
      <c r="C770" s="44">
        <v>344.97579999999999</v>
      </c>
      <c r="D770" s="44">
        <v>346.18959999999998</v>
      </c>
      <c r="E770" s="44">
        <v>2016148</v>
      </c>
      <c r="F770" s="44" t="s">
        <v>747</v>
      </c>
      <c r="G770" s="25">
        <f t="shared" si="10"/>
        <v>6.5559450659409269E-3</v>
      </c>
    </row>
    <row r="771" spans="1:7">
      <c r="A771" s="44">
        <v>350.8374</v>
      </c>
      <c r="B771" s="44">
        <v>353.01819999999998</v>
      </c>
      <c r="C771" s="44">
        <v>347.01850000000002</v>
      </c>
      <c r="D771" s="44">
        <v>353.01819999999998</v>
      </c>
      <c r="E771" s="44">
        <v>1975505</v>
      </c>
      <c r="F771" s="44" t="s">
        <v>748</v>
      </c>
      <c r="G771" s="25">
        <f t="shared" si="10"/>
        <v>-6.1775851783278934E-3</v>
      </c>
    </row>
    <row r="772" spans="1:7">
      <c r="A772" s="44">
        <v>350.28480000000002</v>
      </c>
      <c r="B772" s="44">
        <v>353.01819999999998</v>
      </c>
      <c r="C772" s="44">
        <v>348.548</v>
      </c>
      <c r="D772" s="44">
        <v>350.6696</v>
      </c>
      <c r="E772" s="44">
        <v>2109544</v>
      </c>
      <c r="F772" s="44" t="s">
        <v>749</v>
      </c>
      <c r="G772" s="25">
        <f t="shared" si="10"/>
        <v>-1.0973292238619647E-3</v>
      </c>
    </row>
    <row r="773" spans="1:7">
      <c r="A773" s="44">
        <v>351.26170000000002</v>
      </c>
      <c r="B773" s="44">
        <v>356.995</v>
      </c>
      <c r="C773" s="44">
        <v>350.50189999999998</v>
      </c>
      <c r="D773" s="44">
        <v>352.05119999999999</v>
      </c>
      <c r="E773" s="44">
        <v>2730919</v>
      </c>
      <c r="F773" s="44" t="s">
        <v>750</v>
      </c>
      <c r="G773" s="25">
        <f t="shared" si="10"/>
        <v>-2.2425715350493647E-3</v>
      </c>
    </row>
    <row r="774" spans="1:7">
      <c r="A774" s="44">
        <v>356.36349999999999</v>
      </c>
      <c r="B774" s="44">
        <v>361.86</v>
      </c>
      <c r="C774" s="44">
        <v>355.05099999999999</v>
      </c>
      <c r="D774" s="44">
        <v>359.25479999999999</v>
      </c>
      <c r="E774" s="44">
        <v>2719130</v>
      </c>
      <c r="F774" s="44" t="s">
        <v>751</v>
      </c>
      <c r="G774" s="25">
        <f t="shared" si="10"/>
        <v>-8.0480483489712151E-3</v>
      </c>
    </row>
    <row r="775" spans="1:7">
      <c r="A775" s="44">
        <v>362.69869999999997</v>
      </c>
      <c r="B775" s="44">
        <v>368.1558</v>
      </c>
      <c r="C775" s="44">
        <v>360.08370000000002</v>
      </c>
      <c r="D775" s="44">
        <v>360.08370000000002</v>
      </c>
      <c r="E775" s="44">
        <v>2792721</v>
      </c>
      <c r="F775" s="44" t="s">
        <v>752</v>
      </c>
      <c r="G775" s="25">
        <f t="shared" si="10"/>
        <v>7.2622004272893115E-3</v>
      </c>
    </row>
    <row r="776" spans="1:7">
      <c r="A776" s="44">
        <v>364.76119999999997</v>
      </c>
      <c r="B776" s="44">
        <v>364.91899999999998</v>
      </c>
      <c r="C776" s="44">
        <v>360.19229999999999</v>
      </c>
      <c r="D776" s="44">
        <v>361.44549999999998</v>
      </c>
      <c r="E776" s="44">
        <v>2203417</v>
      </c>
      <c r="F776" s="44" t="s">
        <v>753</v>
      </c>
      <c r="G776" s="25">
        <f t="shared" si="10"/>
        <v>9.1734438525310491E-3</v>
      </c>
    </row>
    <row r="777" spans="1:7">
      <c r="A777" s="44">
        <v>365.07690000000002</v>
      </c>
      <c r="B777" s="44">
        <v>368.48140000000001</v>
      </c>
      <c r="C777" s="44">
        <v>362.87639999999999</v>
      </c>
      <c r="D777" s="44">
        <v>364.702</v>
      </c>
      <c r="E777" s="44">
        <v>1841422</v>
      </c>
      <c r="F777" s="44" t="s">
        <v>754</v>
      </c>
      <c r="G777" s="25">
        <f t="shared" si="10"/>
        <v>1.0279625557305661E-3</v>
      </c>
    </row>
    <row r="778" spans="1:7">
      <c r="A778" s="44">
        <v>365.93549999999999</v>
      </c>
      <c r="B778" s="44">
        <v>366.2414</v>
      </c>
      <c r="C778" s="44">
        <v>362.2251</v>
      </c>
      <c r="D778" s="44">
        <v>363.69540000000001</v>
      </c>
      <c r="E778" s="44">
        <v>2286551</v>
      </c>
      <c r="F778" s="44" t="s">
        <v>755</v>
      </c>
      <c r="G778" s="25">
        <f t="shared" si="10"/>
        <v>6.1592750416969988E-3</v>
      </c>
    </row>
    <row r="779" spans="1:7">
      <c r="A779" s="44">
        <v>361.98820000000001</v>
      </c>
      <c r="B779" s="44">
        <v>365.36309999999997</v>
      </c>
      <c r="C779" s="44">
        <v>358.12990000000002</v>
      </c>
      <c r="D779" s="44">
        <v>364.76119999999997</v>
      </c>
      <c r="E779" s="44">
        <v>2270717</v>
      </c>
      <c r="F779" s="44" t="s">
        <v>756</v>
      </c>
      <c r="G779" s="25">
        <f t="shared" si="10"/>
        <v>-7.6022340095381891E-3</v>
      </c>
    </row>
    <row r="780" spans="1:7">
      <c r="A780" s="44">
        <v>365.53089999999997</v>
      </c>
      <c r="B780" s="44">
        <v>369.62610000000001</v>
      </c>
      <c r="C780" s="44">
        <v>364.37630000000001</v>
      </c>
      <c r="D780" s="44">
        <v>368.37290000000002</v>
      </c>
      <c r="E780" s="44">
        <v>2287602</v>
      </c>
      <c r="F780" s="44" t="s">
        <v>757</v>
      </c>
      <c r="G780" s="25">
        <f t="shared" si="10"/>
        <v>-7.7150083515916679E-3</v>
      </c>
    </row>
    <row r="781" spans="1:7">
      <c r="A781" s="44">
        <v>365.46179999999998</v>
      </c>
      <c r="B781" s="44">
        <v>370.83</v>
      </c>
      <c r="C781" s="44">
        <v>365.25459999999998</v>
      </c>
      <c r="D781" s="44">
        <v>368.24459999999999</v>
      </c>
      <c r="E781" s="44">
        <v>2193818</v>
      </c>
      <c r="F781" s="44" t="s">
        <v>758</v>
      </c>
      <c r="G781" s="25">
        <f t="shared" si="10"/>
        <v>-7.5569336250959074E-3</v>
      </c>
    </row>
    <row r="782" spans="1:7">
      <c r="A782" s="44">
        <v>370.1096</v>
      </c>
      <c r="B782" s="44">
        <v>372.09309999999999</v>
      </c>
      <c r="C782" s="44">
        <v>363.9717</v>
      </c>
      <c r="D782" s="44">
        <v>366.60649999999998</v>
      </c>
      <c r="E782" s="44">
        <v>2309176</v>
      </c>
      <c r="F782" s="44" t="s">
        <v>759</v>
      </c>
      <c r="G782" s="25">
        <f t="shared" si="10"/>
        <v>9.5554770578263337E-3</v>
      </c>
    </row>
    <row r="783" spans="1:7">
      <c r="A783" s="44">
        <v>368.04719999999998</v>
      </c>
      <c r="B783" s="44">
        <v>369.38929999999999</v>
      </c>
      <c r="C783" s="44">
        <v>364.1789</v>
      </c>
      <c r="D783" s="44">
        <v>365.1164</v>
      </c>
      <c r="E783" s="44">
        <v>2068357</v>
      </c>
      <c r="F783" s="44" t="s">
        <v>760</v>
      </c>
      <c r="G783" s="25">
        <f t="shared" si="10"/>
        <v>8.0270291884998457E-3</v>
      </c>
    </row>
    <row r="784" spans="1:7">
      <c r="A784" s="44">
        <v>368.97480000000002</v>
      </c>
      <c r="B784" s="44">
        <v>373.22789999999998</v>
      </c>
      <c r="C784" s="44">
        <v>365.59989999999999</v>
      </c>
      <c r="D784" s="44">
        <v>365.9058</v>
      </c>
      <c r="E784" s="44">
        <v>2739672</v>
      </c>
      <c r="F784" s="44" t="s">
        <v>761</v>
      </c>
      <c r="G784" s="25">
        <f t="shared" si="10"/>
        <v>8.3874046270926428E-3</v>
      </c>
    </row>
    <row r="785" spans="1:7">
      <c r="A785" s="44">
        <v>369.99119999999999</v>
      </c>
      <c r="B785" s="44">
        <v>375.44819999999999</v>
      </c>
      <c r="C785" s="44">
        <v>367.87950000000001</v>
      </c>
      <c r="D785" s="44">
        <v>374.51080000000002</v>
      </c>
      <c r="E785" s="44">
        <v>2761579</v>
      </c>
      <c r="F785" s="44" t="s">
        <v>762</v>
      </c>
      <c r="G785" s="25">
        <f t="shared" si="10"/>
        <v>-1.2068009787701839E-2</v>
      </c>
    </row>
    <row r="786" spans="1:7">
      <c r="A786" s="44">
        <v>369.14260000000002</v>
      </c>
      <c r="B786" s="44">
        <v>371.80689999999998</v>
      </c>
      <c r="C786" s="44">
        <v>362.15600000000001</v>
      </c>
      <c r="D786" s="44">
        <v>363.70530000000002</v>
      </c>
      <c r="E786" s="44">
        <v>2951854</v>
      </c>
      <c r="F786" s="44" t="s">
        <v>763</v>
      </c>
      <c r="G786" s="25">
        <f t="shared" si="10"/>
        <v>1.4949740902868269E-2</v>
      </c>
    </row>
    <row r="787" spans="1:7">
      <c r="A787" s="44">
        <v>365.70850000000002</v>
      </c>
      <c r="B787" s="44">
        <v>367.56369999999998</v>
      </c>
      <c r="C787" s="44">
        <v>362.17570000000001</v>
      </c>
      <c r="D787" s="44">
        <v>365.10649999999998</v>
      </c>
      <c r="E787" s="44">
        <v>3137379</v>
      </c>
      <c r="F787" s="44" t="s">
        <v>764</v>
      </c>
      <c r="G787" s="25">
        <f t="shared" si="10"/>
        <v>1.6488339703621957E-3</v>
      </c>
    </row>
    <row r="788" spans="1:7">
      <c r="A788" s="44">
        <v>366.22160000000002</v>
      </c>
      <c r="B788" s="44">
        <v>368.80700000000002</v>
      </c>
      <c r="C788" s="44">
        <v>364.52429999999998</v>
      </c>
      <c r="D788" s="44">
        <v>364.58350000000002</v>
      </c>
      <c r="E788" s="44">
        <v>2688806</v>
      </c>
      <c r="F788" s="44" t="s">
        <v>765</v>
      </c>
      <c r="G788" s="25">
        <f t="shared" si="10"/>
        <v>4.4930722317384486E-3</v>
      </c>
    </row>
    <row r="789" spans="1:7">
      <c r="A789" s="44">
        <v>369.09320000000002</v>
      </c>
      <c r="B789" s="44">
        <v>375.49759999999998</v>
      </c>
      <c r="C789" s="44">
        <v>368.45179999999999</v>
      </c>
      <c r="D789" s="44">
        <v>371.22469999999998</v>
      </c>
      <c r="E789" s="44">
        <v>3405833</v>
      </c>
      <c r="F789" s="44" t="s">
        <v>766</v>
      </c>
      <c r="G789" s="25">
        <f t="shared" si="10"/>
        <v>-5.7418054348213898E-3</v>
      </c>
    </row>
    <row r="790" spans="1:7">
      <c r="A790" s="44">
        <v>372.26080000000002</v>
      </c>
      <c r="B790" s="44">
        <v>379.04020000000003</v>
      </c>
      <c r="C790" s="44">
        <v>368.07679999999999</v>
      </c>
      <c r="D790" s="44">
        <v>378.3494</v>
      </c>
      <c r="E790" s="44">
        <v>3718355</v>
      </c>
      <c r="F790" s="44" t="s">
        <v>767</v>
      </c>
      <c r="G790" s="25">
        <f t="shared" si="10"/>
        <v>-1.6092532458092945E-2</v>
      </c>
    </row>
    <row r="791" spans="1:7">
      <c r="A791" s="44">
        <v>377.34289999999999</v>
      </c>
      <c r="B791" s="44">
        <v>377.51060000000001</v>
      </c>
      <c r="C791" s="44">
        <v>370.14909999999998</v>
      </c>
      <c r="D791" s="44">
        <v>370.14909999999998</v>
      </c>
      <c r="E791" s="44">
        <v>3501927</v>
      </c>
      <c r="F791" s="44" t="s">
        <v>768</v>
      </c>
      <c r="G791" s="25">
        <f t="shared" si="10"/>
        <v>1.9434870974966545E-2</v>
      </c>
    </row>
    <row r="792" spans="1:7">
      <c r="A792" s="44">
        <v>374.99430000000001</v>
      </c>
      <c r="B792" s="44">
        <v>384.85239999999999</v>
      </c>
      <c r="C792" s="44">
        <v>344.39359999999999</v>
      </c>
      <c r="D792" s="44">
        <v>327.99299999999999</v>
      </c>
      <c r="E792" s="44">
        <v>2756242</v>
      </c>
      <c r="F792" s="44" t="s">
        <v>769</v>
      </c>
      <c r="G792" s="25">
        <f t="shared" si="10"/>
        <v>0.1432997045668658</v>
      </c>
    </row>
    <row r="793" spans="1:7">
      <c r="A793" s="44">
        <v>373.57330000000002</v>
      </c>
      <c r="B793" s="44">
        <v>376.34620000000001</v>
      </c>
      <c r="C793" s="44">
        <v>371.39249999999998</v>
      </c>
      <c r="D793" s="44">
        <v>371.76740000000001</v>
      </c>
      <c r="E793" s="44">
        <v>2743884</v>
      </c>
      <c r="F793" s="44" t="s">
        <v>770</v>
      </c>
      <c r="G793" s="25">
        <f t="shared" si="10"/>
        <v>4.8576072027832762E-3</v>
      </c>
    </row>
    <row r="794" spans="1:7">
      <c r="A794" s="44">
        <v>371.31349999999998</v>
      </c>
      <c r="B794" s="44">
        <v>371.649</v>
      </c>
      <c r="C794" s="44">
        <v>364.52429999999998</v>
      </c>
      <c r="D794" s="44">
        <v>365.34339999999997</v>
      </c>
      <c r="E794" s="44">
        <v>3863414</v>
      </c>
      <c r="F794" s="44" t="s">
        <v>771</v>
      </c>
      <c r="G794" s="25">
        <f t="shared" si="10"/>
        <v>1.6341064324687515E-2</v>
      </c>
    </row>
    <row r="795" spans="1:7">
      <c r="A795" s="44">
        <v>363.08359999999999</v>
      </c>
      <c r="B795" s="44">
        <v>365.9058</v>
      </c>
      <c r="C795" s="44">
        <v>358.80090000000001</v>
      </c>
      <c r="D795" s="44">
        <v>359.78769999999997</v>
      </c>
      <c r="E795" s="44">
        <v>3111242</v>
      </c>
      <c r="F795" s="44" t="s">
        <v>772</v>
      </c>
      <c r="G795" s="25">
        <f t="shared" si="10"/>
        <v>9.1606800343646544E-3</v>
      </c>
    </row>
    <row r="796" spans="1:7">
      <c r="A796" s="44">
        <v>364.05070000000001</v>
      </c>
      <c r="B796" s="44">
        <v>370.84969999999998</v>
      </c>
      <c r="C796" s="44">
        <v>363.63619999999997</v>
      </c>
      <c r="D796" s="44">
        <v>369.56689999999998</v>
      </c>
      <c r="E796" s="44">
        <v>2747128</v>
      </c>
      <c r="F796" s="44" t="s">
        <v>773</v>
      </c>
      <c r="G796" s="25">
        <f t="shared" si="10"/>
        <v>-1.4926120277546473E-2</v>
      </c>
    </row>
    <row r="797" spans="1:7">
      <c r="A797" s="44">
        <v>370.05040000000002</v>
      </c>
      <c r="B797" s="44">
        <v>373.33150000000001</v>
      </c>
      <c r="C797" s="44">
        <v>369.03890000000001</v>
      </c>
      <c r="D797" s="44">
        <v>370.05040000000002</v>
      </c>
      <c r="E797" s="44">
        <v>2814656</v>
      </c>
      <c r="F797" s="44" t="s">
        <v>774</v>
      </c>
      <c r="G797" s="25">
        <f t="shared" si="10"/>
        <v>0</v>
      </c>
    </row>
    <row r="798" spans="1:7">
      <c r="A798" s="44">
        <v>370.56360000000001</v>
      </c>
      <c r="B798" s="44">
        <v>372.88249999999999</v>
      </c>
      <c r="C798" s="44">
        <v>369.36950000000002</v>
      </c>
      <c r="D798" s="44">
        <v>370.1096</v>
      </c>
      <c r="E798" s="44">
        <v>4261049</v>
      </c>
      <c r="F798" s="44" t="s">
        <v>775</v>
      </c>
      <c r="G798" s="25">
        <f t="shared" si="10"/>
        <v>1.2266636693563093E-3</v>
      </c>
    </row>
    <row r="799" spans="1:7">
      <c r="A799" s="44">
        <v>374.79689999999999</v>
      </c>
      <c r="B799" s="44">
        <v>376.09460000000001</v>
      </c>
      <c r="C799" s="44">
        <v>371.94510000000002</v>
      </c>
      <c r="D799" s="44">
        <v>372.87270000000001</v>
      </c>
      <c r="E799" s="44">
        <v>3291386</v>
      </c>
      <c r="F799" s="44" t="s">
        <v>776</v>
      </c>
      <c r="G799" s="25">
        <f t="shared" si="10"/>
        <v>5.1604743388293794E-3</v>
      </c>
    </row>
    <row r="800" spans="1:7">
      <c r="A800" s="44">
        <v>372.87270000000001</v>
      </c>
      <c r="B800" s="44">
        <v>372.93189999999998</v>
      </c>
      <c r="C800" s="44">
        <v>366.35980000000001</v>
      </c>
      <c r="D800" s="44">
        <v>367.70179999999999</v>
      </c>
      <c r="E800" s="44">
        <v>3370200</v>
      </c>
      <c r="F800" s="44" t="s">
        <v>777</v>
      </c>
      <c r="G800" s="25">
        <f t="shared" si="10"/>
        <v>1.4062754112163844E-2</v>
      </c>
    </row>
    <row r="801" spans="1:7">
      <c r="A801" s="44">
        <v>366.11309999999997</v>
      </c>
      <c r="B801" s="44">
        <v>366.77420000000001</v>
      </c>
      <c r="C801" s="44">
        <v>362.36360000000002</v>
      </c>
      <c r="D801" s="44">
        <v>363.94209999999998</v>
      </c>
      <c r="E801" s="44">
        <v>3485924</v>
      </c>
      <c r="F801" s="44" t="s">
        <v>778</v>
      </c>
      <c r="G801" s="25">
        <f t="shared" si="10"/>
        <v>5.9652345798961726E-3</v>
      </c>
    </row>
    <row r="802" spans="1:7">
      <c r="A802" s="44">
        <v>366.0736</v>
      </c>
      <c r="B802" s="44">
        <v>370.05040000000002</v>
      </c>
      <c r="C802" s="44">
        <v>364.68220000000002</v>
      </c>
      <c r="D802" s="44">
        <v>366.72489999999999</v>
      </c>
      <c r="E802" s="44">
        <v>3913658</v>
      </c>
      <c r="F802" s="44" t="s">
        <v>779</v>
      </c>
      <c r="G802" s="25">
        <f t="shared" si="10"/>
        <v>-1.7759906676639847E-3</v>
      </c>
    </row>
    <row r="803" spans="1:7">
      <c r="A803" s="44">
        <v>362.81720000000001</v>
      </c>
      <c r="B803" s="44">
        <v>363.85329999999999</v>
      </c>
      <c r="C803" s="44">
        <v>350.6302</v>
      </c>
      <c r="D803" s="44">
        <v>352.59390000000002</v>
      </c>
      <c r="E803" s="44">
        <v>4432804</v>
      </c>
      <c r="F803" s="44" t="s">
        <v>780</v>
      </c>
      <c r="G803" s="25">
        <f t="shared" si="10"/>
        <v>2.8994545850055786E-2</v>
      </c>
    </row>
    <row r="804" spans="1:7">
      <c r="A804" s="44">
        <v>346.56450000000001</v>
      </c>
      <c r="B804" s="44">
        <v>352.26889999999997</v>
      </c>
      <c r="C804" s="44">
        <v>346.07190000000003</v>
      </c>
      <c r="D804" s="44">
        <v>350.85019999999997</v>
      </c>
      <c r="E804" s="44">
        <v>2608546</v>
      </c>
      <c r="F804" s="44" t="s">
        <v>781</v>
      </c>
      <c r="G804" s="25">
        <f t="shared" si="10"/>
        <v>-1.2215184714159943E-2</v>
      </c>
    </row>
    <row r="805" spans="1:7">
      <c r="A805" s="44">
        <v>349.89449999999999</v>
      </c>
      <c r="B805" s="44">
        <v>351.69749999999999</v>
      </c>
      <c r="C805" s="44">
        <v>344.51530000000002</v>
      </c>
      <c r="D805" s="44">
        <v>346.1902</v>
      </c>
      <c r="E805" s="44">
        <v>2661005</v>
      </c>
      <c r="F805" s="44" t="s">
        <v>782</v>
      </c>
      <c r="G805" s="25">
        <f t="shared" si="10"/>
        <v>1.0700187353656965E-2</v>
      </c>
    </row>
    <row r="806" spans="1:7">
      <c r="A806" s="44">
        <v>341.66809999999998</v>
      </c>
      <c r="B806" s="44">
        <v>349.41180000000003</v>
      </c>
      <c r="C806" s="44">
        <v>338.85039999999998</v>
      </c>
      <c r="D806" s="44">
        <v>344.78129999999999</v>
      </c>
      <c r="E806" s="44">
        <v>2933755</v>
      </c>
      <c r="F806" s="44" t="s">
        <v>783</v>
      </c>
      <c r="G806" s="25">
        <f t="shared" si="10"/>
        <v>-9.0294920287150582E-3</v>
      </c>
    </row>
    <row r="807" spans="1:7">
      <c r="A807" s="44">
        <v>342.58429999999998</v>
      </c>
      <c r="B807" s="44">
        <v>342.7518</v>
      </c>
      <c r="C807" s="44">
        <v>338.53640000000001</v>
      </c>
      <c r="D807" s="44">
        <v>340.21980000000002</v>
      </c>
      <c r="E807" s="44">
        <v>1617719</v>
      </c>
      <c r="F807" s="44" t="s">
        <v>784</v>
      </c>
      <c r="G807" s="25">
        <f t="shared" si="10"/>
        <v>6.9499188465809159E-3</v>
      </c>
    </row>
    <row r="808" spans="1:7">
      <c r="A808" s="44">
        <v>343.05720000000002</v>
      </c>
      <c r="B808" s="44">
        <v>344.54489999999998</v>
      </c>
      <c r="C808" s="44">
        <v>338.4563</v>
      </c>
      <c r="D808" s="44">
        <v>339.28390000000002</v>
      </c>
      <c r="E808" s="44">
        <v>1459793</v>
      </c>
      <c r="F808" s="44" t="s">
        <v>785</v>
      </c>
      <c r="G808" s="25">
        <f t="shared" si="10"/>
        <v>1.1121364733192474E-2</v>
      </c>
    </row>
    <row r="809" spans="1:7">
      <c r="A809" s="44">
        <v>336.88990000000001</v>
      </c>
      <c r="B809" s="44">
        <v>344.33800000000002</v>
      </c>
      <c r="C809" s="44">
        <v>336.72239999999999</v>
      </c>
      <c r="D809" s="44">
        <v>341.42180000000002</v>
      </c>
      <c r="E809" s="44">
        <v>1854082</v>
      </c>
      <c r="F809" s="44" t="s">
        <v>786</v>
      </c>
      <c r="G809" s="25">
        <f t="shared" si="10"/>
        <v>-1.3273610531020608E-2</v>
      </c>
    </row>
    <row r="810" spans="1:7">
      <c r="A810" s="44">
        <v>341.0376</v>
      </c>
      <c r="B810" s="44">
        <v>341.7765</v>
      </c>
      <c r="C810" s="44">
        <v>336.75189999999998</v>
      </c>
      <c r="D810" s="44">
        <v>339.00799999999998</v>
      </c>
      <c r="E810" s="44">
        <v>1637700</v>
      </c>
      <c r="F810" s="44" t="s">
        <v>787</v>
      </c>
      <c r="G810" s="25">
        <f t="shared" si="10"/>
        <v>5.9868793656787656E-3</v>
      </c>
    </row>
    <row r="811" spans="1:7">
      <c r="A811" s="44">
        <v>338.5154</v>
      </c>
      <c r="B811" s="44">
        <v>339.44150000000002</v>
      </c>
      <c r="C811" s="44">
        <v>332.69290000000001</v>
      </c>
      <c r="D811" s="44">
        <v>334.00319999999999</v>
      </c>
      <c r="E811" s="44">
        <v>1914737</v>
      </c>
      <c r="F811" s="44" t="s">
        <v>788</v>
      </c>
      <c r="G811" s="25">
        <f t="shared" si="10"/>
        <v>1.3509451406453543E-2</v>
      </c>
    </row>
    <row r="812" spans="1:7">
      <c r="A812" s="44">
        <v>336.46620000000001</v>
      </c>
      <c r="B812" s="44">
        <v>340.48590000000002</v>
      </c>
      <c r="C812" s="44">
        <v>331.45150000000001</v>
      </c>
      <c r="D812" s="44">
        <v>339.0967</v>
      </c>
      <c r="E812" s="44">
        <v>2276404</v>
      </c>
      <c r="F812" s="44" t="s">
        <v>789</v>
      </c>
      <c r="G812" s="25">
        <f t="shared" si="10"/>
        <v>-7.7573742239307464E-3</v>
      </c>
    </row>
    <row r="813" spans="1:7">
      <c r="A813" s="44">
        <v>340.5745</v>
      </c>
      <c r="B813" s="44">
        <v>342.4563</v>
      </c>
      <c r="C813" s="44">
        <v>337.30360000000002</v>
      </c>
      <c r="D813" s="44">
        <v>338.55489999999998</v>
      </c>
      <c r="E813" s="44">
        <v>2086988</v>
      </c>
      <c r="F813" s="44" t="s">
        <v>790</v>
      </c>
      <c r="G813" s="25">
        <f t="shared" si="10"/>
        <v>5.9653545111886253E-3</v>
      </c>
    </row>
    <row r="814" spans="1:7">
      <c r="A814" s="44">
        <v>337.87509999999997</v>
      </c>
      <c r="B814" s="44">
        <v>339.27409999999998</v>
      </c>
      <c r="C814" s="44">
        <v>335.5795</v>
      </c>
      <c r="D814" s="44">
        <v>336.3184</v>
      </c>
      <c r="E814" s="44">
        <v>1895912</v>
      </c>
      <c r="F814" s="44" t="s">
        <v>791</v>
      </c>
      <c r="G814" s="25">
        <f t="shared" si="10"/>
        <v>4.6286495178378129E-3</v>
      </c>
    </row>
    <row r="815" spans="1:7">
      <c r="A815" s="44">
        <v>336.21010000000001</v>
      </c>
      <c r="B815" s="44">
        <v>340.73219999999998</v>
      </c>
      <c r="C815" s="44">
        <v>334.51560000000001</v>
      </c>
      <c r="D815" s="44">
        <v>340.24939999999998</v>
      </c>
      <c r="E815" s="44">
        <v>2457278</v>
      </c>
      <c r="F815" s="44" t="s">
        <v>792</v>
      </c>
      <c r="G815" s="25">
        <f t="shared" si="10"/>
        <v>-1.1871585960180897E-2</v>
      </c>
    </row>
    <row r="816" spans="1:7">
      <c r="A816" s="44">
        <v>340.72230000000002</v>
      </c>
      <c r="B816" s="44">
        <v>343.08679999999998</v>
      </c>
      <c r="C816" s="44">
        <v>338.2987</v>
      </c>
      <c r="D816" s="44">
        <v>339.66809999999998</v>
      </c>
      <c r="E816" s="44">
        <v>5947137</v>
      </c>
      <c r="F816" s="44" t="s">
        <v>793</v>
      </c>
      <c r="G816" s="25">
        <f t="shared" si="10"/>
        <v>3.1036179140755404E-3</v>
      </c>
    </row>
    <row r="817" spans="1:7">
      <c r="A817" s="44">
        <v>341.12619999999998</v>
      </c>
      <c r="B817" s="44">
        <v>348.56450000000001</v>
      </c>
      <c r="C817" s="44">
        <v>337.49079999999998</v>
      </c>
      <c r="D817" s="44">
        <v>346.21969999999999</v>
      </c>
      <c r="E817" s="44">
        <v>2774976</v>
      </c>
      <c r="F817" s="44" t="s">
        <v>794</v>
      </c>
      <c r="G817" s="25">
        <f t="shared" si="10"/>
        <v>-1.4711756725570568E-2</v>
      </c>
    </row>
    <row r="818" spans="1:7">
      <c r="A818" s="44">
        <v>352.21960000000001</v>
      </c>
      <c r="B818" s="44">
        <v>356.74169999999998</v>
      </c>
      <c r="C818" s="44">
        <v>348.53500000000003</v>
      </c>
      <c r="D818" s="44">
        <v>351.71719999999999</v>
      </c>
      <c r="E818" s="44">
        <v>2587188</v>
      </c>
      <c r="F818" s="44" t="s">
        <v>795</v>
      </c>
      <c r="G818" s="25">
        <f t="shared" si="10"/>
        <v>1.4284203331540457E-3</v>
      </c>
    </row>
    <row r="819" spans="1:7">
      <c r="A819" s="44">
        <v>351.86489999999998</v>
      </c>
      <c r="B819" s="44">
        <v>363.79570000000001</v>
      </c>
      <c r="C819" s="44">
        <v>350.47089999999997</v>
      </c>
      <c r="D819" s="44">
        <v>363.77600000000001</v>
      </c>
      <c r="E819" s="44">
        <v>3072366</v>
      </c>
      <c r="F819" s="44" t="s">
        <v>796</v>
      </c>
      <c r="G819" s="25">
        <f t="shared" si="10"/>
        <v>-3.2742951706544732E-2</v>
      </c>
    </row>
    <row r="820" spans="1:7">
      <c r="A820" s="44">
        <v>352.8698</v>
      </c>
      <c r="B820" s="44">
        <v>353.13220000000001</v>
      </c>
      <c r="C820" s="44">
        <v>343.9341</v>
      </c>
      <c r="D820" s="44">
        <v>345.12619999999998</v>
      </c>
      <c r="E820" s="44">
        <v>2427292</v>
      </c>
      <c r="F820" s="44" t="s">
        <v>797</v>
      </c>
      <c r="G820" s="25">
        <f t="shared" si="10"/>
        <v>2.2437009998081958E-2</v>
      </c>
    </row>
    <row r="821" spans="1:7">
      <c r="A821" s="44">
        <v>343.66809999999998</v>
      </c>
      <c r="B821" s="44">
        <v>347.54969999999997</v>
      </c>
      <c r="C821" s="44">
        <v>342.21980000000002</v>
      </c>
      <c r="D821" s="44">
        <v>343.24439999999998</v>
      </c>
      <c r="E821" s="44">
        <v>2301173</v>
      </c>
      <c r="F821" s="44" t="s">
        <v>798</v>
      </c>
      <c r="G821" s="25">
        <f t="shared" si="10"/>
        <v>1.2343974147865922E-3</v>
      </c>
    </row>
    <row r="822" spans="1:7">
      <c r="A822" s="44">
        <v>345.97340000000003</v>
      </c>
      <c r="B822" s="44">
        <v>346.95370000000003</v>
      </c>
      <c r="C822" s="44">
        <v>342.07929999999999</v>
      </c>
      <c r="D822" s="44">
        <v>344.82069999999999</v>
      </c>
      <c r="E822" s="44">
        <v>1998664</v>
      </c>
      <c r="F822" s="44" t="s">
        <v>799</v>
      </c>
      <c r="G822" s="25">
        <f t="shared" si="10"/>
        <v>3.3428967576483171E-3</v>
      </c>
    </row>
    <row r="823" spans="1:7">
      <c r="A823" s="44">
        <v>342.27890000000002</v>
      </c>
      <c r="B823" s="44">
        <v>342.70260000000002</v>
      </c>
      <c r="C823" s="44">
        <v>336.41699999999997</v>
      </c>
      <c r="D823" s="44">
        <v>341.74689999999998</v>
      </c>
      <c r="E823" s="44">
        <v>2454399</v>
      </c>
      <c r="F823" s="44" t="s">
        <v>800</v>
      </c>
      <c r="G823" s="25">
        <f t="shared" si="10"/>
        <v>1.5567076102227517E-3</v>
      </c>
    </row>
    <row r="824" spans="1:7">
      <c r="A824" s="44">
        <v>342.38729999999998</v>
      </c>
      <c r="B824" s="44">
        <v>349.74680000000001</v>
      </c>
      <c r="C824" s="44">
        <v>339.2543</v>
      </c>
      <c r="D824" s="44">
        <v>348.58420000000001</v>
      </c>
      <c r="E824" s="44">
        <v>2353297</v>
      </c>
      <c r="F824" s="44" t="s">
        <v>801</v>
      </c>
      <c r="G824" s="25">
        <f t="shared" si="10"/>
        <v>-1.77773404531818E-2</v>
      </c>
    </row>
    <row r="825" spans="1:7">
      <c r="A825" s="44">
        <v>350.82060000000001</v>
      </c>
      <c r="B825" s="44">
        <v>353.589</v>
      </c>
      <c r="C825" s="44">
        <v>349.20490000000001</v>
      </c>
      <c r="D825" s="44">
        <v>350.73200000000003</v>
      </c>
      <c r="E825" s="44">
        <v>2202602</v>
      </c>
      <c r="F825" s="44" t="s">
        <v>802</v>
      </c>
      <c r="G825" s="25">
        <f t="shared" si="10"/>
        <v>2.5261453189329153E-4</v>
      </c>
    </row>
    <row r="826" spans="1:7">
      <c r="A826" s="44">
        <v>354.7319</v>
      </c>
      <c r="B826" s="44">
        <v>356.9239</v>
      </c>
      <c r="C826" s="44">
        <v>350.79109999999997</v>
      </c>
      <c r="D826" s="44">
        <v>352.16050000000001</v>
      </c>
      <c r="E826" s="44">
        <v>2015586</v>
      </c>
      <c r="F826" s="44" t="s">
        <v>803</v>
      </c>
      <c r="G826" s="25">
        <f t="shared" si="10"/>
        <v>7.3017842716602832E-3</v>
      </c>
    </row>
    <row r="827" spans="1:7">
      <c r="A827" s="44">
        <v>355.46089999999998</v>
      </c>
      <c r="B827" s="44">
        <v>356.2294</v>
      </c>
      <c r="C827" s="44">
        <v>348.81079999999997</v>
      </c>
      <c r="D827" s="44">
        <v>352.6925</v>
      </c>
      <c r="E827" s="44">
        <v>3374744</v>
      </c>
      <c r="F827" s="44" t="s">
        <v>804</v>
      </c>
      <c r="G827" s="25">
        <f t="shared" si="10"/>
        <v>7.8493305074534003E-3</v>
      </c>
    </row>
    <row r="828" spans="1:7">
      <c r="A828" s="44">
        <v>351.12599999999998</v>
      </c>
      <c r="B828" s="44">
        <v>351.12599999999998</v>
      </c>
      <c r="C828" s="44">
        <v>336.42680000000001</v>
      </c>
      <c r="D828" s="44">
        <v>337.7765</v>
      </c>
      <c r="E828" s="44">
        <v>4252283</v>
      </c>
      <c r="F828" s="44" t="s">
        <v>805</v>
      </c>
      <c r="G828" s="25">
        <f t="shared" si="10"/>
        <v>3.9521695559045611E-2</v>
      </c>
    </row>
    <row r="829" spans="1:7">
      <c r="A829" s="44">
        <v>338.05239999999998</v>
      </c>
      <c r="B829" s="44">
        <v>339.6189</v>
      </c>
      <c r="C829" s="44">
        <v>335.70760000000001</v>
      </c>
      <c r="D829" s="44">
        <v>338.56470000000002</v>
      </c>
      <c r="E829" s="44">
        <v>1724326</v>
      </c>
      <c r="F829" s="44" t="s">
        <v>806</v>
      </c>
      <c r="G829" s="25">
        <f t="shared" ref="G829:G892" si="11">A829/D829-1</f>
        <v>-1.513152434379772E-3</v>
      </c>
    </row>
    <row r="830" spans="1:7">
      <c r="A830" s="44">
        <v>339.49079999999998</v>
      </c>
      <c r="B830" s="44">
        <v>345.04730000000001</v>
      </c>
      <c r="C830" s="44">
        <v>338.15089999999998</v>
      </c>
      <c r="D830" s="44">
        <v>341.54989999999998</v>
      </c>
      <c r="E830" s="44">
        <v>2226412</v>
      </c>
      <c r="F830" s="44" t="s">
        <v>807</v>
      </c>
      <c r="G830" s="25">
        <f t="shared" si="11"/>
        <v>-6.0286944894435424E-3</v>
      </c>
    </row>
    <row r="831" spans="1:7">
      <c r="A831" s="44">
        <v>346.0917</v>
      </c>
      <c r="B831" s="44">
        <v>346.2</v>
      </c>
      <c r="C831" s="44">
        <v>342.92419999999998</v>
      </c>
      <c r="D831" s="44">
        <v>343.79610000000002</v>
      </c>
      <c r="E831" s="44">
        <v>944409</v>
      </c>
      <c r="F831" s="44" t="s">
        <v>808</v>
      </c>
      <c r="G831" s="25">
        <f t="shared" si="11"/>
        <v>6.677213615861266E-3</v>
      </c>
    </row>
    <row r="832" spans="1:7">
      <c r="A832" s="44">
        <v>343.48090000000002</v>
      </c>
      <c r="B832" s="44">
        <v>345.60890000000001</v>
      </c>
      <c r="C832" s="44">
        <v>339.0573</v>
      </c>
      <c r="D832" s="44">
        <v>339.53019999999998</v>
      </c>
      <c r="E832" s="44">
        <v>1937368</v>
      </c>
      <c r="F832" s="44" t="s">
        <v>809</v>
      </c>
      <c r="G832" s="25">
        <f t="shared" si="11"/>
        <v>1.1635783797730115E-2</v>
      </c>
    </row>
    <row r="833" spans="1:7">
      <c r="A833" s="44">
        <v>339.8553</v>
      </c>
      <c r="B833" s="44">
        <v>340.21</v>
      </c>
      <c r="C833" s="44">
        <v>332.56479999999999</v>
      </c>
      <c r="D833" s="44">
        <v>334.80119999999999</v>
      </c>
      <c r="E833" s="44">
        <v>2510939</v>
      </c>
      <c r="F833" s="44" t="s">
        <v>810</v>
      </c>
      <c r="G833" s="25">
        <f t="shared" si="11"/>
        <v>1.509582402930465E-2</v>
      </c>
    </row>
    <row r="834" spans="1:7">
      <c r="A834" s="44">
        <v>333.24459999999999</v>
      </c>
      <c r="B834" s="44">
        <v>339.15089999999998</v>
      </c>
      <c r="C834" s="44">
        <v>332.62389999999999</v>
      </c>
      <c r="D834" s="44">
        <v>337.92430000000002</v>
      </c>
      <c r="E834" s="44">
        <v>1965239</v>
      </c>
      <c r="F834" s="44" t="s">
        <v>811</v>
      </c>
      <c r="G834" s="25">
        <f t="shared" si="11"/>
        <v>-1.3848367814921936E-2</v>
      </c>
    </row>
    <row r="835" spans="1:7">
      <c r="A835" s="44">
        <v>338.60410000000002</v>
      </c>
      <c r="B835" s="44">
        <v>343.471</v>
      </c>
      <c r="C835" s="44">
        <v>336.279</v>
      </c>
      <c r="D835" s="44">
        <v>340.54500000000002</v>
      </c>
      <c r="E835" s="44">
        <v>2737666</v>
      </c>
      <c r="F835" s="44" t="s">
        <v>812</v>
      </c>
      <c r="G835" s="25">
        <f t="shared" si="11"/>
        <v>-5.6993936190518069E-3</v>
      </c>
    </row>
    <row r="836" spans="1:7">
      <c r="A836" s="44">
        <v>336.2199</v>
      </c>
      <c r="B836" s="44">
        <v>336.8603</v>
      </c>
      <c r="C836" s="44">
        <v>332.01310000000001</v>
      </c>
      <c r="D836" s="44">
        <v>333.98349999999999</v>
      </c>
      <c r="E836" s="44">
        <v>2004543</v>
      </c>
      <c r="F836" s="44" t="s">
        <v>813</v>
      </c>
      <c r="G836" s="25">
        <f t="shared" si="11"/>
        <v>6.6961391805284709E-3</v>
      </c>
    </row>
    <row r="837" spans="1:7">
      <c r="A837" s="44">
        <v>337.68790000000001</v>
      </c>
      <c r="B837" s="44">
        <v>340.02280000000002</v>
      </c>
      <c r="C837" s="44">
        <v>335.06229999999999</v>
      </c>
      <c r="D837" s="44">
        <v>338.08199999999999</v>
      </c>
      <c r="E837" s="44">
        <v>2579780</v>
      </c>
      <c r="F837" s="44" t="s">
        <v>814</v>
      </c>
      <c r="G837" s="25">
        <f t="shared" si="11"/>
        <v>-1.1656935299719784E-3</v>
      </c>
    </row>
    <row r="838" spans="1:7">
      <c r="A838" s="44">
        <v>338.42680000000001</v>
      </c>
      <c r="B838" s="44">
        <v>346.02269999999999</v>
      </c>
      <c r="C838" s="44">
        <v>334.46629999999999</v>
      </c>
      <c r="D838" s="44">
        <v>341.46120000000002</v>
      </c>
      <c r="E838" s="44">
        <v>2983623</v>
      </c>
      <c r="F838" s="44" t="s">
        <v>815</v>
      </c>
      <c r="G838" s="25">
        <f t="shared" si="11"/>
        <v>-8.8865147782529741E-3</v>
      </c>
    </row>
    <row r="839" spans="1:7">
      <c r="A839" s="44">
        <v>334.34800000000001</v>
      </c>
      <c r="B839" s="44">
        <v>339.41500000000002</v>
      </c>
      <c r="C839" s="44">
        <v>331.04759999999999</v>
      </c>
      <c r="D839" s="44">
        <v>331.75700000000001</v>
      </c>
      <c r="E839" s="44">
        <v>2349019</v>
      </c>
      <c r="F839" s="44" t="s">
        <v>816</v>
      </c>
      <c r="G839" s="25">
        <f t="shared" si="11"/>
        <v>7.8099331739798217E-3</v>
      </c>
    </row>
    <row r="840" spans="1:7">
      <c r="A840" s="44">
        <v>334.26920000000001</v>
      </c>
      <c r="B840" s="44">
        <v>337.5598</v>
      </c>
      <c r="C840" s="44">
        <v>331.38260000000002</v>
      </c>
      <c r="D840" s="44">
        <v>333.98349999999999</v>
      </c>
      <c r="E840" s="44">
        <v>3734766</v>
      </c>
      <c r="F840" s="44" t="s">
        <v>817</v>
      </c>
      <c r="G840" s="25">
        <f t="shared" si="11"/>
        <v>8.5543148089661791E-4</v>
      </c>
    </row>
    <row r="841" spans="1:7">
      <c r="A841" s="44">
        <v>332.27910000000003</v>
      </c>
      <c r="B841" s="44">
        <v>332.40719999999999</v>
      </c>
      <c r="C841" s="44">
        <v>324.28910000000002</v>
      </c>
      <c r="D841" s="44">
        <v>326.2792</v>
      </c>
      <c r="E841" s="44">
        <v>3254972</v>
      </c>
      <c r="F841" s="44" t="s">
        <v>818</v>
      </c>
      <c r="G841" s="25">
        <f t="shared" si="11"/>
        <v>1.8388852246787435E-2</v>
      </c>
    </row>
    <row r="842" spans="1:7">
      <c r="A842" s="44">
        <v>310.9692</v>
      </c>
      <c r="B842" s="44">
        <v>318.89510000000001</v>
      </c>
      <c r="C842" s="44">
        <v>310.4864</v>
      </c>
      <c r="D842" s="44">
        <v>317.51089999999999</v>
      </c>
      <c r="E842" s="44">
        <v>3001178</v>
      </c>
      <c r="F842" s="44" t="s">
        <v>819</v>
      </c>
      <c r="G842" s="25">
        <f t="shared" si="11"/>
        <v>-2.0603072209489426E-2</v>
      </c>
    </row>
    <row r="843" spans="1:7">
      <c r="A843" s="44">
        <v>320.92959999999999</v>
      </c>
      <c r="B843" s="44">
        <v>324.5256</v>
      </c>
      <c r="C843" s="44">
        <v>317.49119999999999</v>
      </c>
      <c r="D843" s="44">
        <v>321.40249999999997</v>
      </c>
      <c r="E843" s="44">
        <v>2387459</v>
      </c>
      <c r="F843" s="44" t="s">
        <v>820</v>
      </c>
      <c r="G843" s="25">
        <f t="shared" si="11"/>
        <v>-1.471363788396074E-3</v>
      </c>
    </row>
    <row r="844" spans="1:7">
      <c r="A844" s="44">
        <v>320.31880000000001</v>
      </c>
      <c r="B844" s="44">
        <v>320.97879999999998</v>
      </c>
      <c r="C844" s="44">
        <v>313.0086</v>
      </c>
      <c r="D844" s="44">
        <v>317.67840000000001</v>
      </c>
      <c r="E844" s="44">
        <v>2742320</v>
      </c>
      <c r="F844" s="44" t="s">
        <v>821</v>
      </c>
      <c r="G844" s="25">
        <f t="shared" si="11"/>
        <v>8.3115502974075994E-3</v>
      </c>
    </row>
    <row r="845" spans="1:7">
      <c r="A845" s="44">
        <v>313.65879999999999</v>
      </c>
      <c r="B845" s="44">
        <v>318.34339999999997</v>
      </c>
      <c r="C845" s="44">
        <v>308.60469999999998</v>
      </c>
      <c r="D845" s="44">
        <v>309.19580000000002</v>
      </c>
      <c r="E845" s="44">
        <v>3246836</v>
      </c>
      <c r="F845" s="44" t="s">
        <v>822</v>
      </c>
      <c r="G845" s="25">
        <f t="shared" si="11"/>
        <v>1.4434219352267963E-2</v>
      </c>
    </row>
    <row r="846" spans="1:7">
      <c r="A846" s="44">
        <v>304.5949</v>
      </c>
      <c r="B846" s="44">
        <v>312.07749999999999</v>
      </c>
      <c r="C846" s="44">
        <v>304.03339999999997</v>
      </c>
      <c r="D846" s="44">
        <v>310.45690000000002</v>
      </c>
      <c r="E846" s="44">
        <v>2861062</v>
      </c>
      <c r="F846" s="44" t="s">
        <v>823</v>
      </c>
      <c r="G846" s="25">
        <f t="shared" si="11"/>
        <v>-1.8881848011753077E-2</v>
      </c>
    </row>
    <row r="847" spans="1:7">
      <c r="A847" s="44">
        <v>315.08730000000003</v>
      </c>
      <c r="B847" s="44">
        <v>328.07229999999998</v>
      </c>
      <c r="C847" s="44">
        <v>314.90019999999998</v>
      </c>
      <c r="D847" s="44">
        <v>326.51569999999998</v>
      </c>
      <c r="E847" s="44">
        <v>3075115</v>
      </c>
      <c r="F847" s="44" t="s">
        <v>824</v>
      </c>
      <c r="G847" s="25">
        <f t="shared" si="11"/>
        <v>-3.5001073455273257E-2</v>
      </c>
    </row>
    <row r="848" spans="1:7">
      <c r="A848" s="44">
        <v>328.2595</v>
      </c>
      <c r="B848" s="44">
        <v>328.70280000000002</v>
      </c>
      <c r="C848" s="44">
        <v>322.25290000000001</v>
      </c>
      <c r="D848" s="44">
        <v>327.30380000000002</v>
      </c>
      <c r="E848" s="44">
        <v>3660459</v>
      </c>
      <c r="F848" s="44" t="s">
        <v>825</v>
      </c>
      <c r="G848" s="25">
        <f t="shared" si="11"/>
        <v>2.9199172145266683E-3</v>
      </c>
    </row>
    <row r="849" spans="1:7">
      <c r="A849" s="44">
        <v>323.3236</v>
      </c>
      <c r="B849" s="44">
        <v>324.565</v>
      </c>
      <c r="C849" s="44">
        <v>318.98869999999999</v>
      </c>
      <c r="D849" s="44">
        <v>324.01330000000002</v>
      </c>
      <c r="E849" s="44">
        <v>3157979</v>
      </c>
      <c r="F849" s="44" t="s">
        <v>826</v>
      </c>
      <c r="G849" s="25">
        <f t="shared" si="11"/>
        <v>-2.1286163253175783E-3</v>
      </c>
    </row>
    <row r="850" spans="1:7">
      <c r="A850" s="44">
        <v>324.59449999999998</v>
      </c>
      <c r="B850" s="44">
        <v>326.89010000000002</v>
      </c>
      <c r="C850" s="44">
        <v>313.11689999999999</v>
      </c>
      <c r="D850" s="44">
        <v>314.5849</v>
      </c>
      <c r="E850" s="44">
        <v>3644429</v>
      </c>
      <c r="F850" s="44" t="s">
        <v>827</v>
      </c>
      <c r="G850" s="25">
        <f t="shared" si="11"/>
        <v>3.1818437566456526E-2</v>
      </c>
    </row>
    <row r="851" spans="1:7">
      <c r="A851" s="44">
        <v>314.64400000000001</v>
      </c>
      <c r="B851" s="44">
        <v>318.29910000000001</v>
      </c>
      <c r="C851" s="44">
        <v>309.4126</v>
      </c>
      <c r="D851" s="44">
        <v>311.50119999999998</v>
      </c>
      <c r="E851" s="44">
        <v>4725832</v>
      </c>
      <c r="F851" s="44" t="s">
        <v>828</v>
      </c>
      <c r="G851" s="25">
        <f t="shared" si="11"/>
        <v>1.0089206718946864E-2</v>
      </c>
    </row>
    <row r="852" spans="1:7">
      <c r="A852" s="44">
        <v>314.78190000000001</v>
      </c>
      <c r="B852" s="44">
        <v>319.64879999999999</v>
      </c>
      <c r="C852" s="44">
        <v>307.66879999999998</v>
      </c>
      <c r="D852" s="44">
        <v>307.66879999999998</v>
      </c>
      <c r="E852" s="44">
        <v>5281438</v>
      </c>
      <c r="F852" s="44" t="s">
        <v>829</v>
      </c>
      <c r="G852" s="25">
        <f t="shared" si="11"/>
        <v>2.3119341317676678E-2</v>
      </c>
    </row>
    <row r="853" spans="1:7">
      <c r="A853" s="44">
        <v>306.80180000000001</v>
      </c>
      <c r="B853" s="44">
        <v>307.48160000000001</v>
      </c>
      <c r="C853" s="44">
        <v>301.33390000000003</v>
      </c>
      <c r="D853" s="44">
        <v>301.38319999999999</v>
      </c>
      <c r="E853" s="44">
        <v>3012354</v>
      </c>
      <c r="F853" s="44" t="s">
        <v>830</v>
      </c>
      <c r="G853" s="25">
        <f t="shared" si="11"/>
        <v>1.7979104342909613E-2</v>
      </c>
    </row>
    <row r="854" spans="1:7">
      <c r="A854" s="44">
        <v>301.07780000000002</v>
      </c>
      <c r="B854" s="44">
        <v>302.45699999999999</v>
      </c>
      <c r="C854" s="44">
        <v>296.0532</v>
      </c>
      <c r="D854" s="44">
        <v>300.01369999999997</v>
      </c>
      <c r="E854" s="44">
        <v>3184066</v>
      </c>
      <c r="F854" s="44" t="s">
        <v>831</v>
      </c>
      <c r="G854" s="25">
        <f t="shared" si="11"/>
        <v>3.5468380277301481E-3</v>
      </c>
    </row>
    <row r="855" spans="1:7">
      <c r="A855" s="44">
        <v>297.8956</v>
      </c>
      <c r="B855" s="44">
        <v>298.23039999999997</v>
      </c>
      <c r="C855" s="44">
        <v>289.15679999999998</v>
      </c>
      <c r="D855" s="44">
        <v>290.15190000000001</v>
      </c>
      <c r="E855" s="44">
        <v>3599622</v>
      </c>
      <c r="F855" s="44" t="s">
        <v>832</v>
      </c>
      <c r="G855" s="25">
        <f t="shared" si="11"/>
        <v>2.6688434575131037E-2</v>
      </c>
    </row>
    <row r="856" spans="1:7">
      <c r="A856" s="44">
        <v>291.89569999999998</v>
      </c>
      <c r="B856" s="44">
        <v>298.25020000000001</v>
      </c>
      <c r="C856" s="44">
        <v>291.23559999999998</v>
      </c>
      <c r="D856" s="44">
        <v>293.34390000000002</v>
      </c>
      <c r="E856" s="44">
        <v>2463932</v>
      </c>
      <c r="F856" s="44" t="s">
        <v>833</v>
      </c>
      <c r="G856" s="25">
        <f t="shared" si="11"/>
        <v>-4.9368676151099189E-3</v>
      </c>
    </row>
    <row r="857" spans="1:7">
      <c r="A857" s="44">
        <v>293.35379999999998</v>
      </c>
      <c r="B857" s="44">
        <v>295.20100000000002</v>
      </c>
      <c r="C857" s="44">
        <v>290.42770000000002</v>
      </c>
      <c r="D857" s="44">
        <v>291.08780000000002</v>
      </c>
      <c r="E857" s="44">
        <v>1914414</v>
      </c>
      <c r="F857" s="44" t="s">
        <v>834</v>
      </c>
      <c r="G857" s="25">
        <f t="shared" si="11"/>
        <v>7.7845928273185816E-3</v>
      </c>
    </row>
    <row r="858" spans="1:7">
      <c r="A858" s="44">
        <v>295.935</v>
      </c>
      <c r="B858" s="44">
        <v>299.20589999999999</v>
      </c>
      <c r="C858" s="44">
        <v>292.1617</v>
      </c>
      <c r="D858" s="44">
        <v>298.68369999999999</v>
      </c>
      <c r="E858" s="44">
        <v>3096016</v>
      </c>
      <c r="F858" s="44" t="s">
        <v>835</v>
      </c>
      <c r="G858" s="25">
        <f t="shared" si="11"/>
        <v>-9.2027117649874368E-3</v>
      </c>
    </row>
    <row r="859" spans="1:7">
      <c r="A859" s="44">
        <v>290.67399999999998</v>
      </c>
      <c r="B859" s="44">
        <v>294.30939999999998</v>
      </c>
      <c r="C859" s="44">
        <v>287.02879999999999</v>
      </c>
      <c r="D859" s="44">
        <v>291.04840000000002</v>
      </c>
      <c r="E859" s="44">
        <v>3417635</v>
      </c>
      <c r="F859" s="44" t="s">
        <v>836</v>
      </c>
      <c r="G859" s="25">
        <f t="shared" si="11"/>
        <v>-1.2863839828702872E-3</v>
      </c>
    </row>
    <row r="860" spans="1:7">
      <c r="A860" s="44">
        <v>284.41800000000001</v>
      </c>
      <c r="B860" s="44">
        <v>294.202</v>
      </c>
      <c r="C860" s="44">
        <v>283.5806</v>
      </c>
      <c r="D860" s="44">
        <v>291.4819</v>
      </c>
      <c r="E860" s="44">
        <v>3106348</v>
      </c>
      <c r="F860" s="44" t="s">
        <v>837</v>
      </c>
      <c r="G860" s="25">
        <f t="shared" si="11"/>
        <v>-2.423443788447921E-2</v>
      </c>
    </row>
    <row r="861" spans="1:7">
      <c r="A861" s="44">
        <v>289.61</v>
      </c>
      <c r="B861" s="44">
        <v>291.05829999999997</v>
      </c>
      <c r="C861" s="44">
        <v>272.77289999999999</v>
      </c>
      <c r="D861" s="44">
        <v>273.17680000000001</v>
      </c>
      <c r="E861" s="44">
        <v>3323054</v>
      </c>
      <c r="F861" s="44" t="s">
        <v>838</v>
      </c>
      <c r="G861" s="25">
        <f t="shared" si="11"/>
        <v>6.015591367934614E-2</v>
      </c>
    </row>
    <row r="862" spans="1:7">
      <c r="A862" s="44">
        <v>279.1866</v>
      </c>
      <c r="B862" s="44">
        <v>283.23579999999998</v>
      </c>
      <c r="C862" s="44">
        <v>279.01909999999998</v>
      </c>
      <c r="D862" s="44">
        <v>282.2998</v>
      </c>
      <c r="E862" s="44">
        <v>2646833</v>
      </c>
      <c r="F862" s="44" t="s">
        <v>839</v>
      </c>
      <c r="G862" s="25">
        <f t="shared" si="11"/>
        <v>-1.1027992226703698E-2</v>
      </c>
    </row>
    <row r="863" spans="1:7">
      <c r="A863" s="44">
        <v>281.81709999999998</v>
      </c>
      <c r="B863" s="44">
        <v>286.08789999999999</v>
      </c>
      <c r="C863" s="44">
        <v>280.21120000000002</v>
      </c>
      <c r="D863" s="44">
        <v>285.54109999999997</v>
      </c>
      <c r="E863" s="44">
        <v>3555031</v>
      </c>
      <c r="F863" s="44" t="s">
        <v>840</v>
      </c>
      <c r="G863" s="25">
        <f t="shared" si="11"/>
        <v>-1.3041905350928418E-2</v>
      </c>
    </row>
    <row r="864" spans="1:7">
      <c r="A864" s="44">
        <v>287.46230000000003</v>
      </c>
      <c r="B864" s="44">
        <v>292.85129999999998</v>
      </c>
      <c r="C864" s="44">
        <v>285.25540000000001</v>
      </c>
      <c r="D864" s="44">
        <v>292.64440000000002</v>
      </c>
      <c r="E864" s="44">
        <v>1783529</v>
      </c>
      <c r="F864" s="44" t="s">
        <v>841</v>
      </c>
      <c r="G864" s="25">
        <f t="shared" si="11"/>
        <v>-1.770783927524322E-2</v>
      </c>
    </row>
    <row r="865" spans="1:7">
      <c r="A865" s="44">
        <v>290.60509999999999</v>
      </c>
      <c r="B865" s="44">
        <v>292.79219999999998</v>
      </c>
      <c r="C865" s="44">
        <v>288.65440000000001</v>
      </c>
      <c r="D865" s="44">
        <v>292.27010000000001</v>
      </c>
      <c r="E865" s="44">
        <v>2210877</v>
      </c>
      <c r="F865" s="44" t="s">
        <v>842</v>
      </c>
      <c r="G865" s="25">
        <f t="shared" si="11"/>
        <v>-5.6967852681475417E-3</v>
      </c>
    </row>
    <row r="866" spans="1:7">
      <c r="A866" s="44">
        <v>294.80200000000002</v>
      </c>
      <c r="B866" s="44">
        <v>300.53590000000003</v>
      </c>
      <c r="C866" s="44">
        <v>294.4375</v>
      </c>
      <c r="D866" s="44">
        <v>298.10250000000002</v>
      </c>
      <c r="E866" s="44">
        <v>2494392</v>
      </c>
      <c r="F866" s="44" t="s">
        <v>843</v>
      </c>
      <c r="G866" s="25">
        <f t="shared" si="11"/>
        <v>-1.1071695138417104E-2</v>
      </c>
    </row>
    <row r="867" spans="1:7">
      <c r="A867" s="44">
        <v>299.21570000000003</v>
      </c>
      <c r="B867" s="44">
        <v>301.57639999999998</v>
      </c>
      <c r="C867" s="44">
        <v>292.37959999999998</v>
      </c>
      <c r="D867" s="44">
        <v>293.0976</v>
      </c>
      <c r="E867" s="44">
        <v>2845321</v>
      </c>
      <c r="F867" s="44" t="s">
        <v>844</v>
      </c>
      <c r="G867" s="25">
        <f t="shared" si="11"/>
        <v>2.0873934143438966E-2</v>
      </c>
    </row>
    <row r="868" spans="1:7">
      <c r="A868" s="44">
        <v>296.33370000000002</v>
      </c>
      <c r="B868" s="44">
        <v>298.98950000000002</v>
      </c>
      <c r="C868" s="44">
        <v>291.13040000000001</v>
      </c>
      <c r="D868" s="44">
        <v>291.33699999999999</v>
      </c>
      <c r="E868" s="44">
        <v>3949221</v>
      </c>
      <c r="F868" s="44" t="s">
        <v>845</v>
      </c>
      <c r="G868" s="25">
        <f t="shared" si="11"/>
        <v>1.715092830639442E-2</v>
      </c>
    </row>
    <row r="869" spans="1:7">
      <c r="A869" s="44">
        <v>285.72050000000002</v>
      </c>
      <c r="B869" s="44">
        <v>287.95330000000001</v>
      </c>
      <c r="C869" s="44">
        <v>280.24669999999998</v>
      </c>
      <c r="D869" s="44">
        <v>283.1336</v>
      </c>
      <c r="E869" s="44">
        <v>5285358</v>
      </c>
      <c r="F869" s="44" t="s">
        <v>846</v>
      </c>
      <c r="G869" s="25">
        <f t="shared" si="11"/>
        <v>9.1366761133260255E-3</v>
      </c>
    </row>
    <row r="870" spans="1:7">
      <c r="A870" s="44">
        <v>279.68110000000001</v>
      </c>
      <c r="B870" s="44">
        <v>285.99099999999999</v>
      </c>
      <c r="C870" s="44">
        <v>279.68110000000001</v>
      </c>
      <c r="D870" s="44">
        <v>282.15980000000002</v>
      </c>
      <c r="E870" s="44">
        <v>3804233</v>
      </c>
      <c r="F870" s="44" t="s">
        <v>847</v>
      </c>
      <c r="G870" s="25">
        <f t="shared" si="11"/>
        <v>-8.7847382936903085E-3</v>
      </c>
    </row>
    <row r="871" spans="1:7">
      <c r="A871" s="44">
        <v>282.07130000000001</v>
      </c>
      <c r="B871" s="44">
        <v>287.28449999999998</v>
      </c>
      <c r="C871" s="44">
        <v>280.17790000000002</v>
      </c>
      <c r="D871" s="44">
        <v>283.62540000000001</v>
      </c>
      <c r="E871" s="44">
        <v>3439692</v>
      </c>
      <c r="F871" s="44" t="s">
        <v>848</v>
      </c>
      <c r="G871" s="25">
        <f t="shared" si="11"/>
        <v>-5.4794105182399688E-3</v>
      </c>
    </row>
    <row r="872" spans="1:7">
      <c r="A872" s="44">
        <v>285.42540000000002</v>
      </c>
      <c r="B872" s="44">
        <v>288.17959999999999</v>
      </c>
      <c r="C872" s="44">
        <v>277.07459999999998</v>
      </c>
      <c r="D872" s="44">
        <v>280.43849999999998</v>
      </c>
      <c r="E872" s="44">
        <v>5611649</v>
      </c>
      <c r="F872" s="44" t="s">
        <v>849</v>
      </c>
      <c r="G872" s="25">
        <f t="shared" si="11"/>
        <v>1.7782508464422753E-2</v>
      </c>
    </row>
    <row r="873" spans="1:7">
      <c r="A873" s="44">
        <v>281.78609999999998</v>
      </c>
      <c r="B873" s="44">
        <v>293.01900000000001</v>
      </c>
      <c r="C873" s="44">
        <v>280.1336</v>
      </c>
      <c r="D873" s="44">
        <v>290.62880000000001</v>
      </c>
      <c r="E873" s="44">
        <v>4073383</v>
      </c>
      <c r="F873" s="44" t="s">
        <v>850</v>
      </c>
      <c r="G873" s="25">
        <f t="shared" si="11"/>
        <v>-3.0426096794261448E-2</v>
      </c>
    </row>
    <row r="874" spans="1:7">
      <c r="A874" s="44">
        <v>285.35660000000001</v>
      </c>
      <c r="B874" s="44">
        <v>290.5009</v>
      </c>
      <c r="C874" s="44">
        <v>284.38279999999997</v>
      </c>
      <c r="D874" s="44">
        <v>285.29759999999999</v>
      </c>
      <c r="E874" s="44">
        <v>3635597</v>
      </c>
      <c r="F874" s="44" t="s">
        <v>851</v>
      </c>
      <c r="G874" s="25">
        <f t="shared" si="11"/>
        <v>2.068015994527439E-4</v>
      </c>
    </row>
    <row r="875" spans="1:7">
      <c r="A875" s="44">
        <v>288.7697</v>
      </c>
      <c r="B875" s="44">
        <v>289.74349999999998</v>
      </c>
      <c r="C875" s="44">
        <v>285.48450000000003</v>
      </c>
      <c r="D875" s="44">
        <v>288.32709999999997</v>
      </c>
      <c r="E875" s="44">
        <v>3245860</v>
      </c>
      <c r="F875" s="44" t="s">
        <v>852</v>
      </c>
      <c r="G875" s="25">
        <f t="shared" si="11"/>
        <v>1.5350620874694521E-3</v>
      </c>
    </row>
    <row r="876" spans="1:7">
      <c r="A876" s="44">
        <v>293.47140000000002</v>
      </c>
      <c r="B876" s="44">
        <v>298.11410000000001</v>
      </c>
      <c r="C876" s="44">
        <v>291.73039999999997</v>
      </c>
      <c r="D876" s="44">
        <v>297.9862</v>
      </c>
      <c r="E876" s="44">
        <v>3176464</v>
      </c>
      <c r="F876" s="44" t="s">
        <v>853</v>
      </c>
      <c r="G876" s="25">
        <f t="shared" si="11"/>
        <v>-1.5151037195682115E-2</v>
      </c>
    </row>
    <row r="877" spans="1:7">
      <c r="A877" s="44">
        <v>299.51080000000002</v>
      </c>
      <c r="B877" s="44">
        <v>309.81909999999999</v>
      </c>
      <c r="C877" s="44">
        <v>299.23540000000003</v>
      </c>
      <c r="D877" s="44">
        <v>309.32729999999998</v>
      </c>
      <c r="E877" s="44">
        <v>2366279</v>
      </c>
      <c r="F877" s="44" t="s">
        <v>854</v>
      </c>
      <c r="G877" s="25">
        <f t="shared" si="11"/>
        <v>-3.173499396917101E-2</v>
      </c>
    </row>
    <row r="878" spans="1:7">
      <c r="A878" s="44">
        <v>308.13709999999998</v>
      </c>
      <c r="B878" s="44">
        <v>309.21910000000003</v>
      </c>
      <c r="C878" s="44">
        <v>304.36989999999997</v>
      </c>
      <c r="D878" s="44">
        <v>306.06169999999997</v>
      </c>
      <c r="E878" s="44">
        <v>2769557</v>
      </c>
      <c r="F878" s="44" t="s">
        <v>855</v>
      </c>
      <c r="G878" s="25">
        <f t="shared" si="11"/>
        <v>6.7809856640017596E-3</v>
      </c>
    </row>
    <row r="879" spans="1:7">
      <c r="A879" s="44">
        <v>308.88470000000001</v>
      </c>
      <c r="B879" s="44">
        <v>310.28140000000002</v>
      </c>
      <c r="C879" s="44">
        <v>305.16660000000002</v>
      </c>
      <c r="D879" s="44">
        <v>306.83879999999999</v>
      </c>
      <c r="E879" s="44">
        <v>2369737</v>
      </c>
      <c r="F879" s="44" t="s">
        <v>856</v>
      </c>
      <c r="G879" s="25">
        <f t="shared" si="11"/>
        <v>6.6676704510642004E-3</v>
      </c>
    </row>
    <row r="880" spans="1:7">
      <c r="A880" s="44">
        <v>309.96660000000003</v>
      </c>
      <c r="B880" s="44">
        <v>310.45850000000002</v>
      </c>
      <c r="C880" s="44">
        <v>304.0453</v>
      </c>
      <c r="D880" s="44">
        <v>307.72399999999999</v>
      </c>
      <c r="E880" s="44">
        <v>3650857</v>
      </c>
      <c r="F880" s="44" t="s">
        <v>857</v>
      </c>
      <c r="G880" s="25">
        <f t="shared" si="11"/>
        <v>7.2876993669652723E-3</v>
      </c>
    </row>
    <row r="881" spans="1:7">
      <c r="A881" s="44">
        <v>311.76670000000001</v>
      </c>
      <c r="B881" s="44">
        <v>320.59949999999998</v>
      </c>
      <c r="C881" s="44">
        <v>310.00599999999997</v>
      </c>
      <c r="D881" s="44">
        <v>318.28800000000001</v>
      </c>
      <c r="E881" s="44">
        <v>2486769</v>
      </c>
      <c r="F881" s="44" t="s">
        <v>858</v>
      </c>
      <c r="G881" s="25">
        <f t="shared" si="11"/>
        <v>-2.0488676921530224E-2</v>
      </c>
    </row>
    <row r="882" spans="1:7">
      <c r="A882" s="44">
        <v>320.51100000000002</v>
      </c>
      <c r="B882" s="44">
        <v>323.09789999999998</v>
      </c>
      <c r="C882" s="44">
        <v>318.05200000000002</v>
      </c>
      <c r="D882" s="44">
        <v>321.68150000000003</v>
      </c>
      <c r="E882" s="44">
        <v>2657942</v>
      </c>
      <c r="F882" s="44" t="s">
        <v>859</v>
      </c>
      <c r="G882" s="25">
        <f t="shared" si="11"/>
        <v>-3.6386923090074852E-3</v>
      </c>
    </row>
    <row r="883" spans="1:7">
      <c r="A883" s="44">
        <v>320.10770000000002</v>
      </c>
      <c r="B883" s="44">
        <v>327.34219999999999</v>
      </c>
      <c r="C883" s="44">
        <v>319.26179999999999</v>
      </c>
      <c r="D883" s="44">
        <v>324.59300000000002</v>
      </c>
      <c r="E883" s="44">
        <v>2316881</v>
      </c>
      <c r="F883" s="44" t="s">
        <v>860</v>
      </c>
      <c r="G883" s="25">
        <f t="shared" si="11"/>
        <v>-1.3818227749828216E-2</v>
      </c>
    </row>
    <row r="884" spans="1:7">
      <c r="A884" s="44">
        <v>332.875</v>
      </c>
      <c r="B884" s="44">
        <v>333.91770000000002</v>
      </c>
      <c r="C884" s="44">
        <v>330.4357</v>
      </c>
      <c r="D884" s="44">
        <v>332.5505</v>
      </c>
      <c r="E884" s="44">
        <v>2097796</v>
      </c>
      <c r="F884" s="44" t="s">
        <v>861</v>
      </c>
      <c r="G884" s="25">
        <f t="shared" si="11"/>
        <v>9.757916466821559E-4</v>
      </c>
    </row>
    <row r="885" spans="1:7">
      <c r="A885" s="44">
        <v>330.34719999999999</v>
      </c>
      <c r="B885" s="44">
        <v>331.49799999999999</v>
      </c>
      <c r="C885" s="44">
        <v>324.7405</v>
      </c>
      <c r="D885" s="44">
        <v>325.12419999999997</v>
      </c>
      <c r="E885" s="44">
        <v>1816725</v>
      </c>
      <c r="F885" s="44" t="s">
        <v>862</v>
      </c>
      <c r="G885" s="25">
        <f t="shared" si="11"/>
        <v>1.6064630070600661E-2</v>
      </c>
    </row>
    <row r="886" spans="1:7">
      <c r="A886" s="44">
        <v>324.6619</v>
      </c>
      <c r="B886" s="44">
        <v>324.87830000000002</v>
      </c>
      <c r="C886" s="44">
        <v>318.1798</v>
      </c>
      <c r="D886" s="44">
        <v>319.21260000000001</v>
      </c>
      <c r="E886" s="44">
        <v>2114014</v>
      </c>
      <c r="F886" s="44" t="s">
        <v>863</v>
      </c>
      <c r="G886" s="25">
        <f t="shared" si="11"/>
        <v>1.7071067996689226E-2</v>
      </c>
    </row>
    <row r="887" spans="1:7">
      <c r="A887" s="44">
        <v>323.23559999999998</v>
      </c>
      <c r="B887" s="44">
        <v>323.80610000000001</v>
      </c>
      <c r="C887" s="44">
        <v>316.77330000000001</v>
      </c>
      <c r="D887" s="44">
        <v>318.77</v>
      </c>
      <c r="E887" s="44">
        <v>1998373</v>
      </c>
      <c r="F887" s="44" t="s">
        <v>864</v>
      </c>
      <c r="G887" s="25">
        <f t="shared" si="11"/>
        <v>1.4008846503748673E-2</v>
      </c>
    </row>
    <row r="888" spans="1:7">
      <c r="A888" s="44">
        <v>318.77</v>
      </c>
      <c r="B888" s="44">
        <v>321.62740000000002</v>
      </c>
      <c r="C888" s="44">
        <v>315.30279999999999</v>
      </c>
      <c r="D888" s="44">
        <v>317.21589999999998</v>
      </c>
      <c r="E888" s="44">
        <v>2043484</v>
      </c>
      <c r="F888" s="44" t="s">
        <v>865</v>
      </c>
      <c r="G888" s="25">
        <f t="shared" si="11"/>
        <v>4.8991869575263358E-3</v>
      </c>
    </row>
    <row r="889" spans="1:7">
      <c r="A889" s="44">
        <v>317.2749</v>
      </c>
      <c r="B889" s="44">
        <v>324.26839999999999</v>
      </c>
      <c r="C889" s="44">
        <v>315.27820000000003</v>
      </c>
      <c r="D889" s="44">
        <v>324.0127</v>
      </c>
      <c r="E889" s="44">
        <v>1936812</v>
      </c>
      <c r="F889" s="44" t="s">
        <v>866</v>
      </c>
      <c r="G889" s="25">
        <f t="shared" si="11"/>
        <v>-2.079486390502594E-2</v>
      </c>
    </row>
    <row r="890" spans="1:7">
      <c r="A890" s="44">
        <v>319.92079999999999</v>
      </c>
      <c r="B890" s="44">
        <v>320.2749</v>
      </c>
      <c r="C890" s="44">
        <v>313.97980000000001</v>
      </c>
      <c r="D890" s="44">
        <v>318.50439999999998</v>
      </c>
      <c r="E890" s="44">
        <v>2493403</v>
      </c>
      <c r="F890" s="44" t="s">
        <v>867</v>
      </c>
      <c r="G890" s="25">
        <f t="shared" si="11"/>
        <v>4.4470343266844736E-3</v>
      </c>
    </row>
    <row r="891" spans="1:7">
      <c r="A891" s="44">
        <v>319.05529999999999</v>
      </c>
      <c r="B891" s="44">
        <v>325.74990000000003</v>
      </c>
      <c r="C891" s="44">
        <v>318.9667</v>
      </c>
      <c r="D891" s="44">
        <v>322.911</v>
      </c>
      <c r="E891" s="44">
        <v>3129021</v>
      </c>
      <c r="F891" s="44" t="s">
        <v>868</v>
      </c>
      <c r="G891" s="25">
        <f t="shared" si="11"/>
        <v>-1.1940441793559242E-2</v>
      </c>
    </row>
    <row r="892" spans="1:7">
      <c r="A892" s="44">
        <v>322.43889999999999</v>
      </c>
      <c r="B892" s="44">
        <v>327.51429999999999</v>
      </c>
      <c r="C892" s="44">
        <v>320.23559999999998</v>
      </c>
      <c r="D892" s="44">
        <v>325.57659999999998</v>
      </c>
      <c r="E892" s="44">
        <v>2618990</v>
      </c>
      <c r="F892" s="44" t="s">
        <v>869</v>
      </c>
      <c r="G892" s="25">
        <f t="shared" si="11"/>
        <v>-9.63736337316623E-3</v>
      </c>
    </row>
    <row r="893" spans="1:7">
      <c r="A893" s="44">
        <v>323.95370000000003</v>
      </c>
      <c r="B893" s="44">
        <v>327.35700000000003</v>
      </c>
      <c r="C893" s="44">
        <v>322.40210000000002</v>
      </c>
      <c r="D893" s="44">
        <v>324.58319999999998</v>
      </c>
      <c r="E893" s="44">
        <v>2308360</v>
      </c>
      <c r="F893" s="44" t="s">
        <v>870</v>
      </c>
      <c r="G893" s="25">
        <f t="shared" ref="G893:G956" si="12">A893/D893-1</f>
        <v>-1.9394102960348381E-3</v>
      </c>
    </row>
    <row r="894" spans="1:7">
      <c r="A894" s="44">
        <v>326.52089999999998</v>
      </c>
      <c r="B894" s="44">
        <v>339.97669999999999</v>
      </c>
      <c r="C894" s="44">
        <v>326.26519999999999</v>
      </c>
      <c r="D894" s="44">
        <v>339.39640000000003</v>
      </c>
      <c r="E894" s="44">
        <v>1925047</v>
      </c>
      <c r="F894" s="44" t="s">
        <v>871</v>
      </c>
      <c r="G894" s="25">
        <f t="shared" si="12"/>
        <v>-3.793646603204992E-2</v>
      </c>
    </row>
    <row r="895" spans="1:7">
      <c r="A895" s="44">
        <v>339.02260000000001</v>
      </c>
      <c r="B895" s="44">
        <v>339.4751</v>
      </c>
      <c r="C895" s="44">
        <v>331.79309999999998</v>
      </c>
      <c r="D895" s="44">
        <v>334.42919999999998</v>
      </c>
      <c r="E895" s="44">
        <v>2228637</v>
      </c>
      <c r="F895" s="44" t="s">
        <v>872</v>
      </c>
      <c r="G895" s="25">
        <f t="shared" si="12"/>
        <v>1.3735044667152474E-2</v>
      </c>
    </row>
    <row r="896" spans="1:7">
      <c r="A896" s="44">
        <v>334.14389999999997</v>
      </c>
      <c r="B896" s="44">
        <v>336.6816</v>
      </c>
      <c r="C896" s="44">
        <v>332.80619999999999</v>
      </c>
      <c r="D896" s="44">
        <v>334.6062</v>
      </c>
      <c r="E896" s="44">
        <v>2218370</v>
      </c>
      <c r="F896" s="44" t="s">
        <v>873</v>
      </c>
      <c r="G896" s="25">
        <f t="shared" si="12"/>
        <v>-1.3816241300969034E-3</v>
      </c>
    </row>
    <row r="897" spans="1:7">
      <c r="A897" s="44">
        <v>335.30459999999999</v>
      </c>
      <c r="B897" s="44">
        <v>339.5489</v>
      </c>
      <c r="C897" s="44">
        <v>333.80950000000001</v>
      </c>
      <c r="D897" s="44">
        <v>337.07510000000002</v>
      </c>
      <c r="E897" s="44">
        <v>2240652</v>
      </c>
      <c r="F897" s="44" t="s">
        <v>874</v>
      </c>
      <c r="G897" s="25">
        <f t="shared" si="12"/>
        <v>-5.2525386775825744E-3</v>
      </c>
    </row>
    <row r="898" spans="1:7">
      <c r="A898" s="44">
        <v>339.84890000000001</v>
      </c>
      <c r="B898" s="44">
        <v>345.24889999999999</v>
      </c>
      <c r="C898" s="44">
        <v>338.63900000000001</v>
      </c>
      <c r="D898" s="44">
        <v>344.26530000000002</v>
      </c>
      <c r="E898" s="44">
        <v>2312442</v>
      </c>
      <c r="F898" s="44" t="s">
        <v>875</v>
      </c>
      <c r="G898" s="25">
        <f t="shared" si="12"/>
        <v>-1.2828478501899609E-2</v>
      </c>
    </row>
    <row r="899" spans="1:7">
      <c r="A899" s="44">
        <v>348.47519999999997</v>
      </c>
      <c r="B899" s="44">
        <v>350.92439999999999</v>
      </c>
      <c r="C899" s="44">
        <v>347.767</v>
      </c>
      <c r="D899" s="44">
        <v>350.7867</v>
      </c>
      <c r="E899" s="44">
        <v>1740744</v>
      </c>
      <c r="F899" s="44" t="s">
        <v>876</v>
      </c>
      <c r="G899" s="25">
        <f t="shared" si="12"/>
        <v>-6.5894744584102938E-3</v>
      </c>
    </row>
    <row r="900" spans="1:7">
      <c r="A900" s="44">
        <v>351.50470000000001</v>
      </c>
      <c r="B900" s="44">
        <v>353.6293</v>
      </c>
      <c r="C900" s="44">
        <v>347.77690000000001</v>
      </c>
      <c r="D900" s="44">
        <v>348.5145</v>
      </c>
      <c r="E900" s="44">
        <v>1934865</v>
      </c>
      <c r="F900" s="44" t="s">
        <v>877</v>
      </c>
      <c r="G900" s="25">
        <f t="shared" si="12"/>
        <v>8.5798438802402455E-3</v>
      </c>
    </row>
    <row r="901" spans="1:7">
      <c r="A901" s="44">
        <v>349.50799999999998</v>
      </c>
      <c r="B901" s="44">
        <v>351.11130000000003</v>
      </c>
      <c r="C901" s="44">
        <v>345.98660000000001</v>
      </c>
      <c r="D901" s="44">
        <v>347.70800000000003</v>
      </c>
      <c r="E901" s="44">
        <v>2439884</v>
      </c>
      <c r="F901" s="44" t="s">
        <v>878</v>
      </c>
      <c r="G901" s="25">
        <f t="shared" si="12"/>
        <v>5.1767575091741236E-3</v>
      </c>
    </row>
    <row r="902" spans="1:7">
      <c r="A902" s="44">
        <v>353.36369999999999</v>
      </c>
      <c r="B902" s="44">
        <v>354.10149999999999</v>
      </c>
      <c r="C902" s="44">
        <v>347.31450000000001</v>
      </c>
      <c r="D902" s="44">
        <v>348.46530000000001</v>
      </c>
      <c r="E902" s="44">
        <v>2448806</v>
      </c>
      <c r="F902" s="44" t="s">
        <v>879</v>
      </c>
      <c r="G902" s="25">
        <f t="shared" si="12"/>
        <v>1.4057066801199447E-2</v>
      </c>
    </row>
    <row r="903" spans="1:7">
      <c r="A903" s="44">
        <v>354.0523</v>
      </c>
      <c r="B903" s="44">
        <v>356.01949999999999</v>
      </c>
      <c r="C903" s="44">
        <v>345.07190000000003</v>
      </c>
      <c r="D903" s="44">
        <v>346.55709999999999</v>
      </c>
      <c r="E903" s="44">
        <v>2526281</v>
      </c>
      <c r="F903" s="44" t="s">
        <v>880</v>
      </c>
      <c r="G903" s="25">
        <f t="shared" si="12"/>
        <v>2.162760480163306E-2</v>
      </c>
    </row>
    <row r="904" spans="1:7">
      <c r="A904" s="44">
        <v>348.46530000000001</v>
      </c>
      <c r="B904" s="44">
        <v>349.62599999999998</v>
      </c>
      <c r="C904" s="44">
        <v>344.51609999999999</v>
      </c>
      <c r="D904" s="44">
        <v>348.92759999999998</v>
      </c>
      <c r="E904" s="44">
        <v>2514337</v>
      </c>
      <c r="F904" s="44" t="s">
        <v>881</v>
      </c>
      <c r="G904" s="25">
        <f t="shared" si="12"/>
        <v>-1.3249166875878293E-3</v>
      </c>
    </row>
    <row r="905" spans="1:7">
      <c r="A905" s="44">
        <v>344.83580000000001</v>
      </c>
      <c r="B905" s="44">
        <v>350.01949999999999</v>
      </c>
      <c r="C905" s="44">
        <v>344.6096</v>
      </c>
      <c r="D905" s="44">
        <v>350.01949999999999</v>
      </c>
      <c r="E905" s="44">
        <v>2609451</v>
      </c>
      <c r="F905" s="44" t="s">
        <v>882</v>
      </c>
      <c r="G905" s="25">
        <f t="shared" si="12"/>
        <v>-1.4809746314133898E-2</v>
      </c>
    </row>
    <row r="906" spans="1:7">
      <c r="A906" s="44">
        <v>347.5899</v>
      </c>
      <c r="B906" s="44">
        <v>348.74079999999998</v>
      </c>
      <c r="C906" s="44">
        <v>345.29809999999998</v>
      </c>
      <c r="D906" s="44">
        <v>348.5342</v>
      </c>
      <c r="E906" s="44">
        <v>2443693</v>
      </c>
      <c r="F906" s="44" t="s">
        <v>883</v>
      </c>
      <c r="G906" s="25">
        <f t="shared" si="12"/>
        <v>-2.7093467441645647E-3</v>
      </c>
    </row>
    <row r="907" spans="1:7">
      <c r="A907" s="44">
        <v>340.86200000000002</v>
      </c>
      <c r="B907" s="44">
        <v>345.36700000000002</v>
      </c>
      <c r="C907" s="44">
        <v>339.69150000000002</v>
      </c>
      <c r="D907" s="44">
        <v>344.65879999999999</v>
      </c>
      <c r="E907" s="44">
        <v>2467497</v>
      </c>
      <c r="F907" s="44" t="s">
        <v>884</v>
      </c>
      <c r="G907" s="25">
        <f t="shared" si="12"/>
        <v>-1.1016112166583159E-2</v>
      </c>
    </row>
    <row r="908" spans="1:7">
      <c r="A908" s="44">
        <v>346.38990000000001</v>
      </c>
      <c r="B908" s="44">
        <v>353.11779999999999</v>
      </c>
      <c r="C908" s="44">
        <v>344.15710000000001</v>
      </c>
      <c r="D908" s="44">
        <v>353.11779999999999</v>
      </c>
      <c r="E908" s="44">
        <v>2477635</v>
      </c>
      <c r="F908" s="44" t="s">
        <v>885</v>
      </c>
      <c r="G908" s="25">
        <f t="shared" si="12"/>
        <v>-1.9052848652772458E-2</v>
      </c>
    </row>
    <row r="909" spans="1:7">
      <c r="A909" s="44">
        <v>351.65230000000003</v>
      </c>
      <c r="B909" s="44">
        <v>351.96699999999998</v>
      </c>
      <c r="C909" s="44">
        <v>344.65879999999999</v>
      </c>
      <c r="D909" s="44">
        <v>344.65879999999999</v>
      </c>
      <c r="E909" s="44">
        <v>1848651</v>
      </c>
      <c r="F909" s="44" t="s">
        <v>886</v>
      </c>
      <c r="G909" s="25">
        <f t="shared" si="12"/>
        <v>2.0291082078855993E-2</v>
      </c>
    </row>
    <row r="910" spans="1:7">
      <c r="A910" s="44">
        <v>350.23590000000002</v>
      </c>
      <c r="B910" s="44">
        <v>352.72930000000002</v>
      </c>
      <c r="C910" s="44">
        <v>343.92099999999999</v>
      </c>
      <c r="D910" s="44">
        <v>348.85879999999997</v>
      </c>
      <c r="E910" s="44">
        <v>2339562</v>
      </c>
      <c r="F910" s="44" t="s">
        <v>887</v>
      </c>
      <c r="G910" s="25">
        <f t="shared" si="12"/>
        <v>3.9474423463017327E-3</v>
      </c>
    </row>
    <row r="911" spans="1:7">
      <c r="A911" s="44">
        <v>348.32760000000002</v>
      </c>
      <c r="B911" s="44">
        <v>350.63909999999998</v>
      </c>
      <c r="C911" s="44">
        <v>342.82920000000001</v>
      </c>
      <c r="D911" s="44">
        <v>344.26530000000002</v>
      </c>
      <c r="E911" s="44">
        <v>2921333</v>
      </c>
      <c r="F911" s="44" t="s">
        <v>888</v>
      </c>
      <c r="G911" s="25">
        <f t="shared" si="12"/>
        <v>1.1799911289345655E-2</v>
      </c>
    </row>
    <row r="912" spans="1:7">
      <c r="A912" s="44">
        <v>343.29149999999998</v>
      </c>
      <c r="B912" s="44">
        <v>345.3965</v>
      </c>
      <c r="C912" s="44">
        <v>338.339</v>
      </c>
      <c r="D912" s="44">
        <v>341.39319999999998</v>
      </c>
      <c r="E912" s="44">
        <v>2878764</v>
      </c>
      <c r="F912" s="44" t="s">
        <v>889</v>
      </c>
      <c r="G912" s="25">
        <f t="shared" si="12"/>
        <v>5.5604505303561425E-3</v>
      </c>
    </row>
    <row r="913" spans="1:7">
      <c r="A913" s="44">
        <v>344.79649999999998</v>
      </c>
      <c r="B913" s="44">
        <v>349.02600000000001</v>
      </c>
      <c r="C913" s="44">
        <v>339.99639999999999</v>
      </c>
      <c r="D913" s="44">
        <v>342.1112</v>
      </c>
      <c r="E913" s="44">
        <v>2289590</v>
      </c>
      <c r="F913" s="44" t="s">
        <v>890</v>
      </c>
      <c r="G913" s="25">
        <f t="shared" si="12"/>
        <v>7.8492022476901457E-3</v>
      </c>
    </row>
    <row r="914" spans="1:7">
      <c r="A914" s="44">
        <v>347.9932</v>
      </c>
      <c r="B914" s="44">
        <v>350.95389999999998</v>
      </c>
      <c r="C914" s="44">
        <v>344.226</v>
      </c>
      <c r="D914" s="44">
        <v>348.32760000000002</v>
      </c>
      <c r="E914" s="44">
        <v>3176867</v>
      </c>
      <c r="F914" s="44" t="s">
        <v>891</v>
      </c>
      <c r="G914" s="25">
        <f t="shared" si="12"/>
        <v>-9.6001580121707342E-4</v>
      </c>
    </row>
    <row r="915" spans="1:7">
      <c r="A915" s="44">
        <v>346.67520000000002</v>
      </c>
      <c r="B915" s="44">
        <v>347.46699999999998</v>
      </c>
      <c r="C915" s="44">
        <v>335.03899999999999</v>
      </c>
      <c r="D915" s="44">
        <v>342.29809999999998</v>
      </c>
      <c r="E915" s="44">
        <v>3635536</v>
      </c>
      <c r="F915" s="44" t="s">
        <v>892</v>
      </c>
      <c r="G915" s="25">
        <f t="shared" si="12"/>
        <v>1.2787392042199697E-2</v>
      </c>
    </row>
    <row r="916" spans="1:7">
      <c r="A916" s="44">
        <v>337.6456</v>
      </c>
      <c r="B916" s="44">
        <v>343.20299999999997</v>
      </c>
      <c r="C916" s="44">
        <v>325.81270000000001</v>
      </c>
      <c r="D916" s="44">
        <v>337.38979999999998</v>
      </c>
      <c r="E916" s="44">
        <v>4580313</v>
      </c>
      <c r="F916" s="44" t="s">
        <v>893</v>
      </c>
      <c r="G916" s="25">
        <f t="shared" si="12"/>
        <v>7.5817348360862624E-4</v>
      </c>
    </row>
    <row r="917" spans="1:7">
      <c r="A917" s="44">
        <v>335.68819999999999</v>
      </c>
      <c r="B917" s="44">
        <v>338.97840000000002</v>
      </c>
      <c r="C917" s="44">
        <v>333.74059999999997</v>
      </c>
      <c r="D917" s="44">
        <v>337.03570000000002</v>
      </c>
      <c r="E917" s="44">
        <v>2254171</v>
      </c>
      <c r="F917" s="44" t="s">
        <v>894</v>
      </c>
      <c r="G917" s="25">
        <f t="shared" si="12"/>
        <v>-3.9980927836428259E-3</v>
      </c>
    </row>
    <row r="918" spans="1:7">
      <c r="A918" s="44">
        <v>338.5702</v>
      </c>
      <c r="B918" s="44">
        <v>339.8784</v>
      </c>
      <c r="C918" s="44">
        <v>334.53739999999999</v>
      </c>
      <c r="D918" s="44">
        <v>338.80619999999999</v>
      </c>
      <c r="E918" s="44">
        <v>2180057</v>
      </c>
      <c r="F918" s="44" t="s">
        <v>895</v>
      </c>
      <c r="G918" s="25">
        <f t="shared" si="12"/>
        <v>-6.965634040935198E-4</v>
      </c>
    </row>
    <row r="919" spans="1:7">
      <c r="A919" s="44">
        <v>338.24560000000002</v>
      </c>
      <c r="B919" s="44">
        <v>345.3374</v>
      </c>
      <c r="C919" s="44">
        <v>334.82260000000002</v>
      </c>
      <c r="D919" s="44">
        <v>343.16370000000001</v>
      </c>
      <c r="E919" s="44">
        <v>2252976</v>
      </c>
      <c r="F919" s="44" t="s">
        <v>896</v>
      </c>
      <c r="G919" s="25">
        <f t="shared" si="12"/>
        <v>-1.4331644052095194E-2</v>
      </c>
    </row>
    <row r="920" spans="1:7">
      <c r="A920" s="44">
        <v>341.23579999999998</v>
      </c>
      <c r="B920" s="44">
        <v>341.54070000000002</v>
      </c>
      <c r="C920" s="44">
        <v>334.48820000000001</v>
      </c>
      <c r="D920" s="44">
        <v>336.26850000000002</v>
      </c>
      <c r="E920" s="44">
        <v>2230803</v>
      </c>
      <c r="F920" s="44" t="s">
        <v>897</v>
      </c>
      <c r="G920" s="25">
        <f t="shared" si="12"/>
        <v>1.4771826680167743E-2</v>
      </c>
    </row>
    <row r="921" spans="1:7">
      <c r="A921" s="44">
        <v>335.67829999999998</v>
      </c>
      <c r="B921" s="44">
        <v>337.68860000000001</v>
      </c>
      <c r="C921" s="44">
        <v>330.77499999999998</v>
      </c>
      <c r="D921" s="44">
        <v>334.80290000000002</v>
      </c>
      <c r="E921" s="44">
        <v>2563621</v>
      </c>
      <c r="F921" s="44" t="s">
        <v>898</v>
      </c>
      <c r="G921" s="25">
        <f t="shared" si="12"/>
        <v>2.614672692500486E-3</v>
      </c>
    </row>
    <row r="922" spans="1:7">
      <c r="A922" s="44">
        <v>334.80290000000002</v>
      </c>
      <c r="B922" s="44">
        <v>336.40620000000001</v>
      </c>
      <c r="C922" s="44">
        <v>326.34379999999999</v>
      </c>
      <c r="D922" s="44">
        <v>326.34379999999999</v>
      </c>
      <c r="E922" s="44">
        <v>2689806</v>
      </c>
      <c r="F922" s="44" t="s">
        <v>899</v>
      </c>
      <c r="G922" s="25">
        <f t="shared" si="12"/>
        <v>2.5920823377064472E-2</v>
      </c>
    </row>
    <row r="923" spans="1:7">
      <c r="A923" s="44">
        <v>325.5865</v>
      </c>
      <c r="B923" s="44">
        <v>331.9753</v>
      </c>
      <c r="C923" s="44">
        <v>324.38639999999998</v>
      </c>
      <c r="D923" s="44">
        <v>330.00290000000001</v>
      </c>
      <c r="E923" s="44">
        <v>2468598</v>
      </c>
      <c r="F923" s="44" t="s">
        <v>900</v>
      </c>
      <c r="G923" s="25">
        <f t="shared" si="12"/>
        <v>-1.3382912695615756E-2</v>
      </c>
    </row>
    <row r="924" spans="1:7">
      <c r="A924" s="44">
        <v>327.12090000000001</v>
      </c>
      <c r="B924" s="44">
        <v>330.0668</v>
      </c>
      <c r="C924" s="44">
        <v>324.3569</v>
      </c>
      <c r="D924" s="44">
        <v>328.1635</v>
      </c>
      <c r="E924" s="44">
        <v>3387487</v>
      </c>
      <c r="F924" s="44" t="s">
        <v>901</v>
      </c>
      <c r="G924" s="25">
        <f t="shared" si="12"/>
        <v>-3.1770748422661477E-3</v>
      </c>
    </row>
    <row r="925" spans="1:7">
      <c r="A925" s="44">
        <v>319.70440000000002</v>
      </c>
      <c r="B925" s="44">
        <v>322.21539999999999</v>
      </c>
      <c r="C925" s="44">
        <v>310.22239999999999</v>
      </c>
      <c r="D925" s="44">
        <v>310.97980000000001</v>
      </c>
      <c r="E925" s="44">
        <v>2744028</v>
      </c>
      <c r="F925" s="44" t="s">
        <v>902</v>
      </c>
      <c r="G925" s="25">
        <f t="shared" si="12"/>
        <v>2.8055198440541718E-2</v>
      </c>
    </row>
    <row r="926" spans="1:7">
      <c r="A926" s="44">
        <v>318.07159999999999</v>
      </c>
      <c r="B926" s="44">
        <v>319.60610000000003</v>
      </c>
      <c r="C926" s="44">
        <v>308.66829999999999</v>
      </c>
      <c r="D926" s="44">
        <v>310.77319999999997</v>
      </c>
      <c r="E926" s="44">
        <v>2442740</v>
      </c>
      <c r="F926" s="44" t="s">
        <v>903</v>
      </c>
      <c r="G926" s="25">
        <f t="shared" si="12"/>
        <v>2.3484650542582308E-2</v>
      </c>
    </row>
    <row r="927" spans="1:7">
      <c r="A927" s="44">
        <v>317.57</v>
      </c>
      <c r="B927" s="44">
        <v>321.99149999999997</v>
      </c>
      <c r="C927" s="44">
        <v>314.96339999999998</v>
      </c>
      <c r="D927" s="44">
        <v>314.96339999999998</v>
      </c>
      <c r="E927" s="44">
        <v>2761667</v>
      </c>
      <c r="F927" s="44" t="s">
        <v>904</v>
      </c>
      <c r="G927" s="25">
        <f t="shared" si="12"/>
        <v>8.2758822136159704E-3</v>
      </c>
    </row>
    <row r="928" spans="1:7">
      <c r="A928" s="44">
        <v>318.87819999999999</v>
      </c>
      <c r="B928" s="44">
        <v>320.87490000000003</v>
      </c>
      <c r="C928" s="44">
        <v>313.92079999999999</v>
      </c>
      <c r="D928" s="44">
        <v>314.14699999999999</v>
      </c>
      <c r="E928" s="44">
        <v>2073925</v>
      </c>
      <c r="F928" s="44" t="s">
        <v>905</v>
      </c>
      <c r="G928" s="25">
        <f t="shared" si="12"/>
        <v>1.5060465323558647E-2</v>
      </c>
    </row>
    <row r="929" spans="1:7">
      <c r="A929" s="44">
        <v>317.76670000000001</v>
      </c>
      <c r="B929" s="44">
        <v>319.65530000000001</v>
      </c>
      <c r="C929" s="44">
        <v>314.11750000000001</v>
      </c>
      <c r="D929" s="44">
        <v>317.49130000000002</v>
      </c>
      <c r="E929" s="44">
        <v>1662060</v>
      </c>
      <c r="F929" s="44" t="s">
        <v>906</v>
      </c>
      <c r="G929" s="25">
        <f t="shared" si="12"/>
        <v>8.6742534362360679E-4</v>
      </c>
    </row>
    <row r="930" spans="1:7">
      <c r="A930" s="44">
        <v>318.7602</v>
      </c>
      <c r="B930" s="44">
        <v>319.53719999999998</v>
      </c>
      <c r="C930" s="44">
        <v>314.28370000000001</v>
      </c>
      <c r="D930" s="44">
        <v>317.06830000000002</v>
      </c>
      <c r="E930" s="44">
        <v>2202143</v>
      </c>
      <c r="F930" s="44" t="s">
        <v>907</v>
      </c>
      <c r="G930" s="25">
        <f t="shared" si="12"/>
        <v>5.3360742780024228E-3</v>
      </c>
    </row>
    <row r="931" spans="1:7">
      <c r="A931" s="44">
        <v>314.44209999999998</v>
      </c>
      <c r="B931" s="44">
        <v>316.59289999999999</v>
      </c>
      <c r="C931" s="44">
        <v>310.07170000000002</v>
      </c>
      <c r="D931" s="44">
        <v>313.29300000000001</v>
      </c>
      <c r="E931" s="44">
        <v>2219210</v>
      </c>
      <c r="F931" s="44" t="s">
        <v>908</v>
      </c>
      <c r="G931" s="25">
        <f t="shared" si="12"/>
        <v>3.6678125588505139E-3</v>
      </c>
    </row>
    <row r="932" spans="1:7">
      <c r="A932" s="44">
        <v>313.54840000000002</v>
      </c>
      <c r="B932" s="44">
        <v>314.57960000000003</v>
      </c>
      <c r="C932" s="44">
        <v>303.91879999999998</v>
      </c>
      <c r="D932" s="44">
        <v>307.47890000000001</v>
      </c>
      <c r="E932" s="44">
        <v>2112392</v>
      </c>
      <c r="F932" s="44" t="s">
        <v>909</v>
      </c>
      <c r="G932" s="25">
        <f t="shared" si="12"/>
        <v>1.9739565869397957E-2</v>
      </c>
    </row>
    <row r="933" spans="1:7">
      <c r="A933" s="44">
        <v>312.54660000000001</v>
      </c>
      <c r="B933" s="44">
        <v>313.23410000000001</v>
      </c>
      <c r="C933" s="44">
        <v>305.74059999999997</v>
      </c>
      <c r="D933" s="44">
        <v>308.48070000000001</v>
      </c>
      <c r="E933" s="44">
        <v>2287773</v>
      </c>
      <c r="F933" s="44" t="s">
        <v>910</v>
      </c>
      <c r="G933" s="25">
        <f t="shared" si="12"/>
        <v>1.3180403182435629E-2</v>
      </c>
    </row>
    <row r="934" spans="1:7">
      <c r="A934" s="44">
        <v>309.83600000000001</v>
      </c>
      <c r="B934" s="44">
        <v>312.59570000000002</v>
      </c>
      <c r="C934" s="44">
        <v>304.14960000000002</v>
      </c>
      <c r="D934" s="44">
        <v>309.6592</v>
      </c>
      <c r="E934" s="44">
        <v>3411672</v>
      </c>
      <c r="F934" s="44" t="s">
        <v>911</v>
      </c>
      <c r="G934" s="25">
        <f t="shared" si="12"/>
        <v>5.7095025757347706E-4</v>
      </c>
    </row>
    <row r="935" spans="1:7">
      <c r="A935" s="44">
        <v>316.81880000000001</v>
      </c>
      <c r="B935" s="44">
        <v>320.2758</v>
      </c>
      <c r="C935" s="44">
        <v>312.71359999999999</v>
      </c>
      <c r="D935" s="44">
        <v>313.40109999999999</v>
      </c>
      <c r="E935" s="44">
        <v>3779496</v>
      </c>
      <c r="F935" s="44" t="s">
        <v>912</v>
      </c>
      <c r="G935" s="25">
        <f t="shared" si="12"/>
        <v>1.0905194653114014E-2</v>
      </c>
    </row>
    <row r="936" spans="1:7">
      <c r="A936" s="44">
        <v>312.59570000000002</v>
      </c>
      <c r="B936" s="44">
        <v>331.11829999999998</v>
      </c>
      <c r="C936" s="44">
        <v>312.42880000000002</v>
      </c>
      <c r="D936" s="44">
        <v>326.74790000000002</v>
      </c>
      <c r="E936" s="44">
        <v>3394334</v>
      </c>
      <c r="F936" s="44" t="s">
        <v>913</v>
      </c>
      <c r="G936" s="25">
        <f t="shared" si="12"/>
        <v>-4.3312290606917436E-2</v>
      </c>
    </row>
    <row r="937" spans="1:7">
      <c r="A937" s="44">
        <v>322.94720000000001</v>
      </c>
      <c r="B937" s="44">
        <v>326.03100000000001</v>
      </c>
      <c r="C937" s="44">
        <v>321.26780000000002</v>
      </c>
      <c r="D937" s="44">
        <v>326.03100000000001</v>
      </c>
      <c r="E937" s="44">
        <v>2810866</v>
      </c>
      <c r="F937" s="44" t="s">
        <v>914</v>
      </c>
      <c r="G937" s="25">
        <f t="shared" si="12"/>
        <v>-9.4586097641021771E-3</v>
      </c>
    </row>
    <row r="938" spans="1:7">
      <c r="A938" s="44">
        <v>324.58730000000003</v>
      </c>
      <c r="B938" s="44">
        <v>324.89170000000001</v>
      </c>
      <c r="C938" s="44">
        <v>313.50909999999999</v>
      </c>
      <c r="D938" s="44">
        <v>313.50909999999999</v>
      </c>
      <c r="E938" s="44">
        <v>4318907</v>
      </c>
      <c r="F938" s="44" t="s">
        <v>915</v>
      </c>
      <c r="G938" s="25">
        <f t="shared" si="12"/>
        <v>3.5336135378526645E-2</v>
      </c>
    </row>
    <row r="939" spans="1:7">
      <c r="A939" s="44">
        <v>311.09309999999999</v>
      </c>
      <c r="B939" s="44">
        <v>314.25549999999998</v>
      </c>
      <c r="C939" s="44">
        <v>307.9307</v>
      </c>
      <c r="D939" s="44">
        <v>313.19479999999999</v>
      </c>
      <c r="E939" s="44">
        <v>2387590</v>
      </c>
      <c r="F939" s="44" t="s">
        <v>916</v>
      </c>
      <c r="G939" s="25">
        <f t="shared" si="12"/>
        <v>-6.7105200980348556E-3</v>
      </c>
    </row>
    <row r="940" spans="1:7">
      <c r="A940" s="44">
        <v>310.49400000000003</v>
      </c>
      <c r="B940" s="44">
        <v>313.33229999999998</v>
      </c>
      <c r="C940" s="44">
        <v>305.78969999999998</v>
      </c>
      <c r="D940" s="44">
        <v>307.86200000000002</v>
      </c>
      <c r="E940" s="44">
        <v>2671671</v>
      </c>
      <c r="F940" s="44" t="s">
        <v>917</v>
      </c>
      <c r="G940" s="25">
        <f t="shared" si="12"/>
        <v>8.5492850692843181E-3</v>
      </c>
    </row>
    <row r="941" spans="1:7">
      <c r="A941" s="44">
        <v>311.7217</v>
      </c>
      <c r="B941" s="44">
        <v>314.50099999999998</v>
      </c>
      <c r="C941" s="44">
        <v>309.24669999999998</v>
      </c>
      <c r="D941" s="44">
        <v>310.39580000000001</v>
      </c>
      <c r="E941" s="44">
        <v>3193831</v>
      </c>
      <c r="F941" s="44" t="s">
        <v>918</v>
      </c>
      <c r="G941" s="25">
        <f t="shared" si="12"/>
        <v>4.271642850837587E-3</v>
      </c>
    </row>
    <row r="942" spans="1:7">
      <c r="A942" s="44">
        <v>305.13170000000002</v>
      </c>
      <c r="B942" s="44">
        <v>308.51510000000002</v>
      </c>
      <c r="C942" s="44">
        <v>298.2176</v>
      </c>
      <c r="D942" s="44">
        <v>301.5077</v>
      </c>
      <c r="E942" s="44">
        <v>6235394</v>
      </c>
      <c r="F942" s="44" t="s">
        <v>919</v>
      </c>
      <c r="G942" s="25">
        <f t="shared" si="12"/>
        <v>1.2019593529452255E-2</v>
      </c>
    </row>
    <row r="943" spans="1:7">
      <c r="A943" s="44">
        <v>303.2559</v>
      </c>
      <c r="B943" s="44">
        <v>310.78859999999997</v>
      </c>
      <c r="C943" s="44">
        <v>299.62209999999999</v>
      </c>
      <c r="D943" s="44">
        <v>310.43509999999998</v>
      </c>
      <c r="E943" s="44">
        <v>4528529</v>
      </c>
      <c r="F943" s="44" t="s">
        <v>920</v>
      </c>
      <c r="G943" s="25">
        <f t="shared" si="12"/>
        <v>-2.3126250865317721E-2</v>
      </c>
    </row>
    <row r="944" spans="1:7">
      <c r="A944" s="44">
        <v>319.56869999999998</v>
      </c>
      <c r="B944" s="44">
        <v>324.71499999999997</v>
      </c>
      <c r="C944" s="44">
        <v>313.71530000000001</v>
      </c>
      <c r="D944" s="44">
        <v>321.55259999999998</v>
      </c>
      <c r="E944" s="44">
        <v>2357895</v>
      </c>
      <c r="F944" s="44" t="s">
        <v>921</v>
      </c>
      <c r="G944" s="25">
        <f t="shared" si="12"/>
        <v>-6.169752631451253E-3</v>
      </c>
    </row>
    <row r="945" spans="1:7">
      <c r="A945" s="44">
        <v>316.37689999999998</v>
      </c>
      <c r="B945" s="44">
        <v>318.20350000000002</v>
      </c>
      <c r="C945" s="44">
        <v>313.94119999999998</v>
      </c>
      <c r="D945" s="44">
        <v>314.37329999999997</v>
      </c>
      <c r="E945" s="44">
        <v>2788401</v>
      </c>
      <c r="F945" s="44" t="s">
        <v>922</v>
      </c>
      <c r="G945" s="25">
        <f t="shared" si="12"/>
        <v>6.3733147821396496E-3</v>
      </c>
    </row>
    <row r="946" spans="1:7">
      <c r="A946" s="44">
        <v>314.01979999999998</v>
      </c>
      <c r="B946" s="44">
        <v>324.98009999999999</v>
      </c>
      <c r="C946" s="44">
        <v>312.23230000000001</v>
      </c>
      <c r="D946" s="44">
        <v>316.23939999999999</v>
      </c>
      <c r="E946" s="44">
        <v>4825094</v>
      </c>
      <c r="F946" s="44" t="s">
        <v>923</v>
      </c>
      <c r="G946" s="25">
        <f t="shared" si="12"/>
        <v>-7.0187332761193488E-3</v>
      </c>
    </row>
    <row r="947" spans="1:7">
      <c r="A947" s="44">
        <v>328.76130000000001</v>
      </c>
      <c r="B947" s="44">
        <v>338.15019999999998</v>
      </c>
      <c r="C947" s="44">
        <v>328.6139</v>
      </c>
      <c r="D947" s="44">
        <v>335.2235</v>
      </c>
      <c r="E947" s="44">
        <v>3302379</v>
      </c>
      <c r="F947" s="44" t="s">
        <v>924</v>
      </c>
      <c r="G947" s="25">
        <f t="shared" si="12"/>
        <v>-1.9277288137615645E-2</v>
      </c>
    </row>
    <row r="948" spans="1:7">
      <c r="A948" s="44">
        <v>342.75630000000001</v>
      </c>
      <c r="B948" s="44">
        <v>355.73</v>
      </c>
      <c r="C948" s="44">
        <v>342.69740000000002</v>
      </c>
      <c r="D948" s="44">
        <v>353.32380000000001</v>
      </c>
      <c r="E948" s="44">
        <v>2251036</v>
      </c>
      <c r="F948" s="44" t="s">
        <v>925</v>
      </c>
      <c r="G948" s="25">
        <f t="shared" si="12"/>
        <v>-2.9908825841904796E-2</v>
      </c>
    </row>
    <row r="949" spans="1:7">
      <c r="A949" s="44">
        <v>355.84780000000001</v>
      </c>
      <c r="B949" s="44">
        <v>360.55220000000003</v>
      </c>
      <c r="C949" s="44">
        <v>354.51710000000003</v>
      </c>
      <c r="D949" s="44">
        <v>358.4701</v>
      </c>
      <c r="E949" s="44">
        <v>1709731</v>
      </c>
      <c r="F949" s="44" t="s">
        <v>926</v>
      </c>
      <c r="G949" s="25">
        <f t="shared" si="12"/>
        <v>-7.3152544661325702E-3</v>
      </c>
    </row>
    <row r="950" spans="1:7">
      <c r="A950" s="44">
        <v>357.50760000000002</v>
      </c>
      <c r="B950" s="44">
        <v>357.95940000000002</v>
      </c>
      <c r="C950" s="44">
        <v>349.95519999999999</v>
      </c>
      <c r="D950" s="44">
        <v>350.54450000000003</v>
      </c>
      <c r="E950" s="44">
        <v>2158826</v>
      </c>
      <c r="F950" s="44" t="s">
        <v>927</v>
      </c>
      <c r="G950" s="25">
        <f t="shared" si="12"/>
        <v>1.9863669234576387E-2</v>
      </c>
    </row>
    <row r="951" spans="1:7">
      <c r="A951" s="44">
        <v>353.697</v>
      </c>
      <c r="B951" s="44">
        <v>361.72089999999997</v>
      </c>
      <c r="C951" s="44">
        <v>352.11090000000002</v>
      </c>
      <c r="D951" s="44">
        <v>355.52370000000002</v>
      </c>
      <c r="E951" s="44">
        <v>2196186</v>
      </c>
      <c r="F951" s="44" t="s">
        <v>928</v>
      </c>
      <c r="G951" s="25">
        <f t="shared" si="12"/>
        <v>-5.138054087533428E-3</v>
      </c>
    </row>
    <row r="952" spans="1:7">
      <c r="A952" s="44">
        <v>351.41849999999999</v>
      </c>
      <c r="B952" s="44">
        <v>354.49250000000001</v>
      </c>
      <c r="C952" s="44">
        <v>349.40519999999998</v>
      </c>
      <c r="D952" s="44">
        <v>353.04880000000003</v>
      </c>
      <c r="E952" s="44">
        <v>2076562</v>
      </c>
      <c r="F952" s="44" t="s">
        <v>929</v>
      </c>
      <c r="G952" s="25">
        <f t="shared" si="12"/>
        <v>-4.6177752197430477E-3</v>
      </c>
    </row>
    <row r="953" spans="1:7">
      <c r="A953" s="44">
        <v>356.58440000000002</v>
      </c>
      <c r="B953" s="44">
        <v>358.51920000000001</v>
      </c>
      <c r="C953" s="44">
        <v>351.3596</v>
      </c>
      <c r="D953" s="44">
        <v>354.04079999999999</v>
      </c>
      <c r="E953" s="44">
        <v>2484201</v>
      </c>
      <c r="F953" s="44" t="s">
        <v>930</v>
      </c>
      <c r="G953" s="25">
        <f t="shared" si="12"/>
        <v>7.1844826923903593E-3</v>
      </c>
    </row>
    <row r="954" spans="1:7">
      <c r="A954" s="44">
        <v>350.6721</v>
      </c>
      <c r="B954" s="44">
        <v>357.92009999999999</v>
      </c>
      <c r="C954" s="44">
        <v>348.50479999999999</v>
      </c>
      <c r="D954" s="44">
        <v>351.79169999999999</v>
      </c>
      <c r="E954" s="44">
        <v>2189987</v>
      </c>
      <c r="F954" s="44" t="s">
        <v>931</v>
      </c>
      <c r="G954" s="25">
        <f t="shared" si="12"/>
        <v>-3.1825651372673347E-3</v>
      </c>
    </row>
    <row r="955" spans="1:7">
      <c r="A955" s="44">
        <v>351.4676</v>
      </c>
      <c r="B955" s="44">
        <v>354.51659999999998</v>
      </c>
      <c r="C955" s="44">
        <v>344.858</v>
      </c>
      <c r="D955" s="44">
        <v>346.77319999999997</v>
      </c>
      <c r="E955" s="44">
        <v>3873789</v>
      </c>
      <c r="F955" s="44" t="s">
        <v>932</v>
      </c>
      <c r="G955" s="25">
        <f t="shared" si="12"/>
        <v>1.3537378321046845E-2</v>
      </c>
    </row>
    <row r="956" spans="1:7">
      <c r="A956" s="44">
        <v>351.37920000000003</v>
      </c>
      <c r="B956" s="44">
        <v>351.38909999999998</v>
      </c>
      <c r="C956" s="44">
        <v>345.8107</v>
      </c>
      <c r="D956" s="44">
        <v>347.06779999999998</v>
      </c>
      <c r="E956" s="44">
        <v>2658928</v>
      </c>
      <c r="F956" s="44" t="s">
        <v>933</v>
      </c>
      <c r="G956" s="25">
        <f t="shared" si="12"/>
        <v>1.2422356669215873E-2</v>
      </c>
    </row>
    <row r="957" spans="1:7">
      <c r="A957" s="44">
        <v>343.63040000000001</v>
      </c>
      <c r="B957" s="44">
        <v>346.93029999999999</v>
      </c>
      <c r="C957" s="44">
        <v>339.81979999999999</v>
      </c>
      <c r="D957" s="44">
        <v>341.77420000000001</v>
      </c>
      <c r="E957" s="44">
        <v>2817394</v>
      </c>
      <c r="F957" s="44" t="s">
        <v>934</v>
      </c>
      <c r="G957" s="25">
        <f t="shared" ref="G957:G1020" si="13">A957/D957-1</f>
        <v>5.4310711575069615E-3</v>
      </c>
    </row>
    <row r="958" spans="1:7">
      <c r="A958" s="44">
        <v>338.59219999999999</v>
      </c>
      <c r="B958" s="44">
        <v>341.51889999999997</v>
      </c>
      <c r="C958" s="44">
        <v>333.14150000000001</v>
      </c>
      <c r="D958" s="44">
        <v>334.48700000000002</v>
      </c>
      <c r="E958" s="44">
        <v>3033400</v>
      </c>
      <c r="F958" s="44" t="s">
        <v>935</v>
      </c>
      <c r="G958" s="25">
        <f t="shared" si="13"/>
        <v>1.2273122722258112E-2</v>
      </c>
    </row>
    <row r="959" spans="1:7">
      <c r="A959" s="44">
        <v>334.59500000000003</v>
      </c>
      <c r="B959" s="44">
        <v>337.8458</v>
      </c>
      <c r="C959" s="44">
        <v>329.96929999999998</v>
      </c>
      <c r="D959" s="44">
        <v>337.73770000000002</v>
      </c>
      <c r="E959" s="44">
        <v>2561500</v>
      </c>
      <c r="F959" s="44" t="s">
        <v>936</v>
      </c>
      <c r="G959" s="25">
        <f t="shared" si="13"/>
        <v>-9.3051501209370224E-3</v>
      </c>
    </row>
    <row r="960" spans="1:7">
      <c r="A960" s="44">
        <v>342.19650000000001</v>
      </c>
      <c r="B960" s="44">
        <v>345.01519999999999</v>
      </c>
      <c r="C960" s="44">
        <v>332.89589999999998</v>
      </c>
      <c r="D960" s="44">
        <v>332.96469999999999</v>
      </c>
      <c r="E960" s="44">
        <v>3420837</v>
      </c>
      <c r="F960" s="44" t="s">
        <v>937</v>
      </c>
      <c r="G960" s="25">
        <f t="shared" si="13"/>
        <v>2.7726062252244832E-2</v>
      </c>
    </row>
    <row r="961" spans="1:7">
      <c r="A961" s="44">
        <v>330.16570000000002</v>
      </c>
      <c r="B961" s="44">
        <v>333.53429999999997</v>
      </c>
      <c r="C961" s="44">
        <v>321.82760000000002</v>
      </c>
      <c r="D961" s="44">
        <v>329.6943</v>
      </c>
      <c r="E961" s="44">
        <v>3428726</v>
      </c>
      <c r="F961" s="44" t="s">
        <v>938</v>
      </c>
      <c r="G961" s="25">
        <f t="shared" si="13"/>
        <v>1.4298093718938532E-3</v>
      </c>
    </row>
    <row r="962" spans="1:7">
      <c r="A962" s="44">
        <v>326.2765</v>
      </c>
      <c r="B962" s="44">
        <v>330.19510000000002</v>
      </c>
      <c r="C962" s="44">
        <v>318.6259</v>
      </c>
      <c r="D962" s="44">
        <v>324.09620000000001</v>
      </c>
      <c r="E962" s="44">
        <v>4380699</v>
      </c>
      <c r="F962" s="44" t="s">
        <v>939</v>
      </c>
      <c r="G962" s="25">
        <f t="shared" si="13"/>
        <v>6.7273235539324627E-3</v>
      </c>
    </row>
    <row r="963" spans="1:7">
      <c r="A963" s="44">
        <v>329.89069999999998</v>
      </c>
      <c r="B963" s="44">
        <v>335.48379999999997</v>
      </c>
      <c r="C963" s="44">
        <v>327.59249999999997</v>
      </c>
      <c r="D963" s="44">
        <v>327.6515</v>
      </c>
      <c r="E963" s="44">
        <v>4521381</v>
      </c>
      <c r="F963" s="44" t="s">
        <v>940</v>
      </c>
      <c r="G963" s="25">
        <f t="shared" si="13"/>
        <v>6.8340904894377275E-3</v>
      </c>
    </row>
    <row r="964" spans="1:7">
      <c r="A964" s="44">
        <v>332.79770000000002</v>
      </c>
      <c r="B964" s="44">
        <v>335.07619999999997</v>
      </c>
      <c r="C964" s="44">
        <v>326.58100000000002</v>
      </c>
      <c r="D964" s="44">
        <v>334.02539999999999</v>
      </c>
      <c r="E964" s="44">
        <v>2802317</v>
      </c>
      <c r="F964" s="44" t="s">
        <v>941</v>
      </c>
      <c r="G964" s="25">
        <f t="shared" si="13"/>
        <v>-3.6754689912802396E-3</v>
      </c>
    </row>
    <row r="965" spans="1:7">
      <c r="A965" s="44">
        <v>323.83109999999999</v>
      </c>
      <c r="B965" s="44">
        <v>327.58269999999999</v>
      </c>
      <c r="C965" s="44">
        <v>319.21519999999998</v>
      </c>
      <c r="D965" s="44">
        <v>322.66239999999999</v>
      </c>
      <c r="E965" s="44">
        <v>2062291</v>
      </c>
      <c r="F965" s="44" t="s">
        <v>942</v>
      </c>
      <c r="G965" s="25">
        <f t="shared" si="13"/>
        <v>3.6220520271341705E-3</v>
      </c>
    </row>
    <row r="966" spans="1:7">
      <c r="A966" s="44">
        <v>326.84609999999998</v>
      </c>
      <c r="B966" s="44">
        <v>329.23270000000002</v>
      </c>
      <c r="C966" s="44">
        <v>320.25619999999998</v>
      </c>
      <c r="D966" s="44">
        <v>321.80790000000002</v>
      </c>
      <c r="E966" s="44">
        <v>3533466</v>
      </c>
      <c r="F966" s="44" t="s">
        <v>943</v>
      </c>
      <c r="G966" s="25">
        <f t="shared" si="13"/>
        <v>1.5655923922315074E-2</v>
      </c>
    </row>
    <row r="967" spans="1:7">
      <c r="A967" s="44">
        <v>315.49299999999999</v>
      </c>
      <c r="B967" s="44">
        <v>319.7602</v>
      </c>
      <c r="C967" s="44">
        <v>307.17450000000002</v>
      </c>
      <c r="D967" s="44">
        <v>316.01350000000002</v>
      </c>
      <c r="E967" s="44">
        <v>3891535</v>
      </c>
      <c r="F967" s="44" t="s">
        <v>944</v>
      </c>
      <c r="G967" s="25">
        <f t="shared" si="13"/>
        <v>-1.647081532909267E-3</v>
      </c>
    </row>
    <row r="968" spans="1:7">
      <c r="A968" s="44">
        <v>320.0401</v>
      </c>
      <c r="B968" s="44">
        <v>325.07830000000001</v>
      </c>
      <c r="C968" s="44">
        <v>312.85109999999997</v>
      </c>
      <c r="D968" s="44">
        <v>319.65710000000001</v>
      </c>
      <c r="E968" s="44">
        <v>4263948</v>
      </c>
      <c r="F968" s="44" t="s">
        <v>945</v>
      </c>
      <c r="G968" s="25">
        <f t="shared" si="13"/>
        <v>1.1981589021485828E-3</v>
      </c>
    </row>
    <row r="969" spans="1:7">
      <c r="A969" s="44">
        <v>319.50979999999998</v>
      </c>
      <c r="B969" s="44">
        <v>327.71039999999999</v>
      </c>
      <c r="C969" s="44">
        <v>317.2706</v>
      </c>
      <c r="D969" s="44">
        <v>326.36489999999998</v>
      </c>
      <c r="E969" s="44">
        <v>5003484</v>
      </c>
      <c r="F969" s="44" t="s">
        <v>946</v>
      </c>
      <c r="G969" s="25">
        <f t="shared" si="13"/>
        <v>-2.100440335342435E-2</v>
      </c>
    </row>
    <row r="970" spans="1:7">
      <c r="A970" s="44">
        <v>322.12220000000002</v>
      </c>
      <c r="B970" s="44">
        <v>336.26459999999997</v>
      </c>
      <c r="C970" s="44">
        <v>319.07769999999999</v>
      </c>
      <c r="D970" s="44">
        <v>334.89940000000001</v>
      </c>
      <c r="E970" s="44">
        <v>5777431</v>
      </c>
      <c r="F970" s="44" t="s">
        <v>947</v>
      </c>
      <c r="G970" s="25">
        <f t="shared" si="13"/>
        <v>-3.8152352616935059E-2</v>
      </c>
    </row>
    <row r="971" spans="1:7">
      <c r="A971" s="44">
        <v>340.91</v>
      </c>
      <c r="B971" s="44">
        <v>344.97590000000002</v>
      </c>
      <c r="C971" s="44">
        <v>334.68340000000001</v>
      </c>
      <c r="D971" s="44">
        <v>340.05549999999999</v>
      </c>
      <c r="E971" s="44">
        <v>3635374</v>
      </c>
      <c r="F971" s="44" t="s">
        <v>948</v>
      </c>
      <c r="G971" s="25">
        <f t="shared" si="13"/>
        <v>2.5128251123713863E-3</v>
      </c>
    </row>
    <row r="972" spans="1:7">
      <c r="A972" s="44">
        <v>347.04809999999998</v>
      </c>
      <c r="B972" s="44">
        <v>361.19049999999999</v>
      </c>
      <c r="C972" s="44">
        <v>342.78579999999999</v>
      </c>
      <c r="D972" s="44">
        <v>355.62200000000001</v>
      </c>
      <c r="E972" s="44">
        <v>3424834</v>
      </c>
      <c r="F972" s="44" t="s">
        <v>949</v>
      </c>
      <c r="G972" s="25">
        <f t="shared" si="13"/>
        <v>-2.4109588270691984E-2</v>
      </c>
    </row>
    <row r="973" spans="1:7">
      <c r="A973" s="44">
        <v>361.9271</v>
      </c>
      <c r="B973" s="44">
        <v>362.63420000000002</v>
      </c>
      <c r="C973" s="44">
        <v>347.33300000000003</v>
      </c>
      <c r="D973" s="44">
        <v>352.94080000000002</v>
      </c>
      <c r="E973" s="44">
        <v>3346618</v>
      </c>
      <c r="F973" s="44" t="s">
        <v>950</v>
      </c>
      <c r="G973" s="25">
        <f t="shared" si="13"/>
        <v>2.546121049195782E-2</v>
      </c>
    </row>
    <row r="974" spans="1:7">
      <c r="A974" s="44">
        <v>351.38909999999998</v>
      </c>
      <c r="B974" s="44">
        <v>356.93799999999999</v>
      </c>
      <c r="C974" s="44">
        <v>347.11689999999999</v>
      </c>
      <c r="D974" s="44">
        <v>355.12110000000001</v>
      </c>
      <c r="E974" s="44">
        <v>2686874</v>
      </c>
      <c r="F974" s="44" t="s">
        <v>951</v>
      </c>
      <c r="G974" s="25">
        <f t="shared" si="13"/>
        <v>-1.0509091124126457E-2</v>
      </c>
    </row>
    <row r="975" spans="1:7">
      <c r="A975" s="44">
        <v>352.61669999999998</v>
      </c>
      <c r="B975" s="44">
        <v>358.40129999999999</v>
      </c>
      <c r="C975" s="44">
        <v>344.31790000000001</v>
      </c>
      <c r="D975" s="44">
        <v>356.5059</v>
      </c>
      <c r="E975" s="44">
        <v>3903942</v>
      </c>
      <c r="F975" s="44" t="s">
        <v>952</v>
      </c>
      <c r="G975" s="25">
        <f t="shared" si="13"/>
        <v>-1.0909216369210162E-2</v>
      </c>
    </row>
    <row r="976" spans="1:7">
      <c r="A976" s="44">
        <v>356.87909999999999</v>
      </c>
      <c r="B976" s="44">
        <v>370.3732</v>
      </c>
      <c r="C976" s="44">
        <v>355.27820000000003</v>
      </c>
      <c r="D976" s="44">
        <v>365.39400000000001</v>
      </c>
      <c r="E976" s="44">
        <v>4741764</v>
      </c>
      <c r="F976" s="44" t="s">
        <v>953</v>
      </c>
      <c r="G976" s="25">
        <f t="shared" si="13"/>
        <v>-2.3303338314258015E-2</v>
      </c>
    </row>
    <row r="977" spans="1:7">
      <c r="A977" s="44">
        <v>372.05270000000002</v>
      </c>
      <c r="B977" s="44">
        <v>375.13650000000001</v>
      </c>
      <c r="C977" s="44">
        <v>362.19229999999999</v>
      </c>
      <c r="D977" s="44">
        <v>362.52620000000002</v>
      </c>
      <c r="E977" s="44">
        <v>6844252</v>
      </c>
      <c r="F977" s="44" t="s">
        <v>954</v>
      </c>
      <c r="G977" s="25">
        <f t="shared" si="13"/>
        <v>2.6278100727616271E-2</v>
      </c>
    </row>
    <row r="978" spans="1:7">
      <c r="A978" s="44">
        <v>355.10140000000001</v>
      </c>
      <c r="B978" s="44">
        <v>367.05369999999999</v>
      </c>
      <c r="C978" s="44">
        <v>349.6311</v>
      </c>
      <c r="D978" s="44">
        <v>350.61320000000001</v>
      </c>
      <c r="E978" s="44">
        <v>5702321</v>
      </c>
      <c r="F978" s="44" t="s">
        <v>955</v>
      </c>
      <c r="G978" s="25">
        <f t="shared" si="13"/>
        <v>1.2801001217295882E-2</v>
      </c>
    </row>
    <row r="979" spans="1:7">
      <c r="A979" s="44">
        <v>337.9538</v>
      </c>
      <c r="B979" s="44">
        <v>343.79739999999998</v>
      </c>
      <c r="C979" s="44">
        <v>337.43329999999997</v>
      </c>
      <c r="D979" s="44">
        <v>341.71530000000001</v>
      </c>
      <c r="E979" s="44">
        <v>3116431</v>
      </c>
      <c r="F979" s="44" t="s">
        <v>956</v>
      </c>
      <c r="G979" s="25">
        <f t="shared" si="13"/>
        <v>-1.1007701440351125E-2</v>
      </c>
    </row>
    <row r="980" spans="1:7">
      <c r="A980" s="44">
        <v>348.2561</v>
      </c>
      <c r="B980" s="44">
        <v>348.7079</v>
      </c>
      <c r="C980" s="44">
        <v>340.93939999999998</v>
      </c>
      <c r="D980" s="44">
        <v>343.03129999999999</v>
      </c>
      <c r="E980" s="44">
        <v>3380449</v>
      </c>
      <c r="F980" s="44" t="s">
        <v>957</v>
      </c>
      <c r="G980" s="25">
        <f t="shared" si="13"/>
        <v>1.5231263152954311E-2</v>
      </c>
    </row>
    <row r="981" spans="1:7">
      <c r="A981" s="44">
        <v>344.89729999999997</v>
      </c>
      <c r="B981" s="44">
        <v>355.61709999999999</v>
      </c>
      <c r="C981" s="44">
        <v>344.33749999999998</v>
      </c>
      <c r="D981" s="44">
        <v>354.05059999999997</v>
      </c>
      <c r="E981" s="44">
        <v>2968820</v>
      </c>
      <c r="F981" s="44" t="s">
        <v>958</v>
      </c>
      <c r="G981" s="25">
        <f t="shared" si="13"/>
        <v>-2.5853084276654226E-2</v>
      </c>
    </row>
    <row r="982" spans="1:7">
      <c r="A982" s="44">
        <v>357.92009999999999</v>
      </c>
      <c r="B982" s="44">
        <v>368.50720000000001</v>
      </c>
      <c r="C982" s="44">
        <v>356.95760000000001</v>
      </c>
      <c r="D982" s="44">
        <v>362.86989999999997</v>
      </c>
      <c r="E982" s="44">
        <v>3605298</v>
      </c>
      <c r="F982" s="44" t="s">
        <v>959</v>
      </c>
      <c r="G982" s="25">
        <f t="shared" si="13"/>
        <v>-1.3640701529666677E-2</v>
      </c>
    </row>
    <row r="983" spans="1:7">
      <c r="A983" s="44">
        <v>358.75490000000002</v>
      </c>
      <c r="B983" s="44">
        <v>365.23680000000002</v>
      </c>
      <c r="C983" s="44">
        <v>357.3603</v>
      </c>
      <c r="D983" s="44">
        <v>360.10039999999998</v>
      </c>
      <c r="E983" s="44">
        <v>3377333</v>
      </c>
      <c r="F983" s="44" t="s">
        <v>960</v>
      </c>
      <c r="G983" s="25">
        <f t="shared" si="13"/>
        <v>-3.7364579433957212E-3</v>
      </c>
    </row>
    <row r="984" spans="1:7">
      <c r="A984" s="44">
        <v>357.3603</v>
      </c>
      <c r="B984" s="44">
        <v>358.14600000000002</v>
      </c>
      <c r="C984" s="44">
        <v>349.69979999999998</v>
      </c>
      <c r="D984" s="44">
        <v>350.42660000000001</v>
      </c>
      <c r="E984" s="44">
        <v>2999255</v>
      </c>
      <c r="F984" s="44" t="s">
        <v>961</v>
      </c>
      <c r="G984" s="25">
        <f t="shared" si="13"/>
        <v>1.9786454567090495E-2</v>
      </c>
    </row>
    <row r="985" spans="1:7">
      <c r="A985" s="44">
        <v>350.41680000000002</v>
      </c>
      <c r="B985" s="44">
        <v>354.30590000000001</v>
      </c>
      <c r="C985" s="44">
        <v>346.9008</v>
      </c>
      <c r="D985" s="44">
        <v>347.65710000000001</v>
      </c>
      <c r="E985" s="44">
        <v>1871358</v>
      </c>
      <c r="F985" s="44" t="s">
        <v>962</v>
      </c>
      <c r="G985" s="25">
        <f t="shared" si="13"/>
        <v>7.9379940751964639E-3</v>
      </c>
    </row>
    <row r="986" spans="1:7">
      <c r="A986" s="44">
        <v>351.41849999999999</v>
      </c>
      <c r="B986" s="44">
        <v>356.45679999999999</v>
      </c>
      <c r="C986" s="44">
        <v>350.4855</v>
      </c>
      <c r="D986" s="44">
        <v>350.79</v>
      </c>
      <c r="E986" s="44">
        <v>3359062</v>
      </c>
      <c r="F986" s="44" t="s">
        <v>963</v>
      </c>
      <c r="G986" s="25">
        <f t="shared" si="13"/>
        <v>1.7916702300520004E-3</v>
      </c>
    </row>
    <row r="987" spans="1:7">
      <c r="A987" s="44">
        <v>348.78649999999999</v>
      </c>
      <c r="B987" s="44">
        <v>350.61320000000001</v>
      </c>
      <c r="C987" s="44">
        <v>336.73599999999999</v>
      </c>
      <c r="D987" s="44">
        <v>338.2484</v>
      </c>
      <c r="E987" s="44">
        <v>3048528</v>
      </c>
      <c r="F987" s="44" t="s">
        <v>964</v>
      </c>
      <c r="G987" s="25">
        <f t="shared" si="13"/>
        <v>3.115491455391961E-2</v>
      </c>
    </row>
    <row r="988" spans="1:7">
      <c r="A988" s="44">
        <v>339.61360000000002</v>
      </c>
      <c r="B988" s="44">
        <v>348.13830000000002</v>
      </c>
      <c r="C988" s="44">
        <v>338.31720000000001</v>
      </c>
      <c r="D988" s="44">
        <v>343.73840000000001</v>
      </c>
      <c r="E988" s="44">
        <v>4038522</v>
      </c>
      <c r="F988" s="44" t="s">
        <v>965</v>
      </c>
      <c r="G988" s="25">
        <f t="shared" si="13"/>
        <v>-1.1999823121303876E-2</v>
      </c>
    </row>
    <row r="989" spans="1:7">
      <c r="A989" s="44">
        <v>341.15550000000002</v>
      </c>
      <c r="B989" s="44">
        <v>345.21159999999998</v>
      </c>
      <c r="C989" s="44">
        <v>339.63229999999999</v>
      </c>
      <c r="D989" s="44">
        <v>344.36700000000002</v>
      </c>
      <c r="E989" s="44">
        <v>1809207</v>
      </c>
      <c r="F989" s="44" t="s">
        <v>966</v>
      </c>
      <c r="G989" s="25">
        <f t="shared" si="13"/>
        <v>-9.3258064797149265E-3</v>
      </c>
    </row>
    <row r="990" spans="1:7">
      <c r="A990" s="44">
        <v>345.96780000000001</v>
      </c>
      <c r="B990" s="44">
        <v>349.5231</v>
      </c>
      <c r="C990" s="44">
        <v>339.46129999999999</v>
      </c>
      <c r="D990" s="44">
        <v>341.08670000000001</v>
      </c>
      <c r="E990" s="44">
        <v>2235107</v>
      </c>
      <c r="F990" s="44" t="s">
        <v>967</v>
      </c>
      <c r="G990" s="25">
        <f t="shared" si="13"/>
        <v>1.4310437786052566E-2</v>
      </c>
    </row>
    <row r="991" spans="1:7">
      <c r="A991" s="44">
        <v>343.29649999999998</v>
      </c>
      <c r="B991" s="44">
        <v>346.58659999999998</v>
      </c>
      <c r="C991" s="44">
        <v>339.61849999999998</v>
      </c>
      <c r="D991" s="44">
        <v>344.89729999999997</v>
      </c>
      <c r="E991" s="44">
        <v>2848450</v>
      </c>
      <c r="F991" s="44" t="s">
        <v>968</v>
      </c>
      <c r="G991" s="25">
        <f t="shared" si="13"/>
        <v>-4.6413816518714457E-3</v>
      </c>
    </row>
    <row r="992" spans="1:7">
      <c r="A992" s="44">
        <v>346.74369999999999</v>
      </c>
      <c r="B992" s="44">
        <v>350.2106</v>
      </c>
      <c r="C992" s="44">
        <v>342.8501</v>
      </c>
      <c r="D992" s="44">
        <v>349.60750000000002</v>
      </c>
      <c r="E992" s="44">
        <v>3864524</v>
      </c>
      <c r="F992" s="44" t="s">
        <v>969</v>
      </c>
      <c r="G992" s="25">
        <f t="shared" si="13"/>
        <v>-8.1914718648771201E-3</v>
      </c>
    </row>
    <row r="993" spans="1:7">
      <c r="A993" s="44">
        <v>356.32560000000001</v>
      </c>
      <c r="B993" s="44">
        <v>360.55259999999998</v>
      </c>
      <c r="C993" s="44">
        <v>354.9624</v>
      </c>
      <c r="D993" s="44">
        <v>356.31580000000002</v>
      </c>
      <c r="E993" s="44">
        <v>2215913</v>
      </c>
      <c r="F993" s="44" t="s">
        <v>970</v>
      </c>
      <c r="G993" s="25">
        <f t="shared" si="13"/>
        <v>2.7503691949704034E-5</v>
      </c>
    </row>
    <row r="994" spans="1:7">
      <c r="A994" s="44">
        <v>359.84649999999999</v>
      </c>
      <c r="B994" s="44">
        <v>362.64159999999998</v>
      </c>
      <c r="C994" s="44">
        <v>356.15890000000002</v>
      </c>
      <c r="D994" s="44">
        <v>357.23770000000002</v>
      </c>
      <c r="E994" s="44">
        <v>3028641</v>
      </c>
      <c r="F994" s="44" t="s">
        <v>971</v>
      </c>
      <c r="G994" s="25">
        <f t="shared" si="13"/>
        <v>7.3027006948034323E-3</v>
      </c>
    </row>
    <row r="995" spans="1:7">
      <c r="A995" s="44">
        <v>356.9631</v>
      </c>
      <c r="B995" s="44">
        <v>360.8032</v>
      </c>
      <c r="C995" s="44">
        <v>351.2747</v>
      </c>
      <c r="D995" s="44">
        <v>352.30450000000002</v>
      </c>
      <c r="E995" s="44">
        <v>3806911</v>
      </c>
      <c r="F995" s="44" t="s">
        <v>972</v>
      </c>
      <c r="G995" s="25">
        <f t="shared" si="13"/>
        <v>1.3223220254069856E-2</v>
      </c>
    </row>
    <row r="996" spans="1:7">
      <c r="A996" s="44">
        <v>350.5</v>
      </c>
      <c r="B996" s="44">
        <v>357.11020000000002</v>
      </c>
      <c r="C996" s="44">
        <v>350.4803</v>
      </c>
      <c r="D996" s="44">
        <v>352.6576</v>
      </c>
      <c r="E996" s="44">
        <v>4095825</v>
      </c>
      <c r="F996" s="44" t="s">
        <v>973</v>
      </c>
      <c r="G996" s="25">
        <f t="shared" si="13"/>
        <v>-6.1181157020293586E-3</v>
      </c>
    </row>
    <row r="997" spans="1:7">
      <c r="A997" s="44">
        <v>355.26639999999998</v>
      </c>
      <c r="B997" s="44">
        <v>361.19459999999998</v>
      </c>
      <c r="C997" s="44">
        <v>352.6968</v>
      </c>
      <c r="D997" s="44">
        <v>357.00229999999999</v>
      </c>
      <c r="E997" s="44">
        <v>2614256</v>
      </c>
      <c r="F997" s="44" t="s">
        <v>974</v>
      </c>
      <c r="G997" s="25">
        <f t="shared" si="13"/>
        <v>-4.8624336593909856E-3</v>
      </c>
    </row>
    <row r="998" spans="1:7">
      <c r="A998" s="44">
        <v>360.4742</v>
      </c>
      <c r="B998" s="44">
        <v>363.62240000000003</v>
      </c>
      <c r="C998" s="44">
        <v>350.2253</v>
      </c>
      <c r="D998" s="44">
        <v>351.81420000000003</v>
      </c>
      <c r="E998" s="44">
        <v>5512630</v>
      </c>
      <c r="F998" s="44" t="s">
        <v>975</v>
      </c>
      <c r="G998" s="25">
        <f t="shared" si="13"/>
        <v>2.46152656714822E-2</v>
      </c>
    </row>
    <row r="999" spans="1:7">
      <c r="A999" s="44">
        <v>343.74259999999998</v>
      </c>
      <c r="B999" s="44">
        <v>343.81119999999999</v>
      </c>
      <c r="C999" s="44">
        <v>336.9117</v>
      </c>
      <c r="D999" s="44">
        <v>341.80070000000001</v>
      </c>
      <c r="E999" s="44">
        <v>3134618</v>
      </c>
      <c r="F999" s="44" t="s">
        <v>976</v>
      </c>
      <c r="G999" s="25">
        <f t="shared" si="13"/>
        <v>5.6813809919054048E-3</v>
      </c>
    </row>
    <row r="1000" spans="1:7">
      <c r="A1000" s="44">
        <v>342.30090000000001</v>
      </c>
      <c r="B1000" s="44">
        <v>344.7724</v>
      </c>
      <c r="C1000" s="44">
        <v>338.99579999999997</v>
      </c>
      <c r="D1000" s="44">
        <v>343.66410000000002</v>
      </c>
      <c r="E1000" s="44">
        <v>2174405</v>
      </c>
      <c r="F1000" s="44" t="s">
        <v>977</v>
      </c>
      <c r="G1000" s="25">
        <f t="shared" si="13"/>
        <v>-3.96666396053591E-3</v>
      </c>
    </row>
    <row r="1001" spans="1:7">
      <c r="A1001" s="44">
        <v>342.62450000000001</v>
      </c>
      <c r="B1001" s="44">
        <v>342.7226</v>
      </c>
      <c r="C1001" s="44">
        <v>334.14109999999999</v>
      </c>
      <c r="D1001" s="44">
        <v>335.66120000000001</v>
      </c>
      <c r="E1001" s="44">
        <v>2482921</v>
      </c>
      <c r="F1001" s="44" t="s">
        <v>978</v>
      </c>
      <c r="G1001" s="25">
        <f t="shared" si="13"/>
        <v>2.0745025043108933E-2</v>
      </c>
    </row>
    <row r="1002" spans="1:7">
      <c r="A1002" s="44">
        <v>335.5926</v>
      </c>
      <c r="B1002" s="44">
        <v>340.05500000000001</v>
      </c>
      <c r="C1002" s="44">
        <v>335.17090000000002</v>
      </c>
      <c r="D1002" s="44">
        <v>336.78910000000002</v>
      </c>
      <c r="E1002" s="44">
        <v>2528000</v>
      </c>
      <c r="F1002" s="44" t="s">
        <v>979</v>
      </c>
      <c r="G1002" s="25">
        <f t="shared" si="13"/>
        <v>-3.5526684206823589E-3</v>
      </c>
    </row>
    <row r="1003" spans="1:7">
      <c r="A1003" s="44">
        <v>342.80110000000002</v>
      </c>
      <c r="B1003" s="44">
        <v>347.11149999999998</v>
      </c>
      <c r="C1003" s="44">
        <v>338.85849999999999</v>
      </c>
      <c r="D1003" s="44">
        <v>340.10399999999998</v>
      </c>
      <c r="E1003" s="44">
        <v>4670069</v>
      </c>
      <c r="F1003" s="44" t="s">
        <v>980</v>
      </c>
      <c r="G1003" s="25">
        <f t="shared" si="13"/>
        <v>7.9302213440595182E-3</v>
      </c>
    </row>
    <row r="1004" spans="1:7">
      <c r="A1004" s="44">
        <v>338.9271</v>
      </c>
      <c r="B1004" s="44">
        <v>343.262</v>
      </c>
      <c r="C1004" s="44">
        <v>335.89760000000001</v>
      </c>
      <c r="D1004" s="44">
        <v>339.3587</v>
      </c>
      <c r="E1004" s="44">
        <v>6053935</v>
      </c>
      <c r="F1004" s="44" t="s">
        <v>981</v>
      </c>
      <c r="G1004" s="25">
        <f t="shared" si="13"/>
        <v>-1.2718106239798521E-3</v>
      </c>
    </row>
    <row r="1005" spans="1:7">
      <c r="A1005" s="44">
        <v>343.3503</v>
      </c>
      <c r="B1005" s="44">
        <v>345.94929999999999</v>
      </c>
      <c r="C1005" s="44">
        <v>335.89659999999998</v>
      </c>
      <c r="D1005" s="44">
        <v>340.02159999999998</v>
      </c>
      <c r="E1005" s="44">
        <v>6790828</v>
      </c>
      <c r="F1005" s="44" t="s">
        <v>982</v>
      </c>
      <c r="G1005" s="25">
        <f t="shared" si="13"/>
        <v>9.7896721855317281E-3</v>
      </c>
    </row>
    <row r="1006" spans="1:7">
      <c r="A1006" s="44">
        <v>339.7706</v>
      </c>
      <c r="B1006" s="44">
        <v>340.20209999999997</v>
      </c>
      <c r="C1006" s="44">
        <v>333.20940000000002</v>
      </c>
      <c r="D1006" s="44">
        <v>335.02370000000002</v>
      </c>
      <c r="E1006" s="44">
        <v>3244218</v>
      </c>
      <c r="F1006" s="44" t="s">
        <v>983</v>
      </c>
      <c r="G1006" s="25">
        <f t="shared" si="13"/>
        <v>1.4168848353116381E-2</v>
      </c>
    </row>
    <row r="1007" spans="1:7">
      <c r="A1007" s="44">
        <v>338.0444</v>
      </c>
      <c r="B1007" s="44">
        <v>344.18389999999999</v>
      </c>
      <c r="C1007" s="44">
        <v>330.19850000000002</v>
      </c>
      <c r="D1007" s="44">
        <v>335.40620000000001</v>
      </c>
      <c r="E1007" s="44">
        <v>4340750</v>
      </c>
      <c r="F1007" s="44" t="s">
        <v>984</v>
      </c>
      <c r="G1007" s="25">
        <f t="shared" si="13"/>
        <v>7.8656864422899098E-3</v>
      </c>
    </row>
    <row r="1008" spans="1:7">
      <c r="A1008" s="44">
        <v>328.55079999999998</v>
      </c>
      <c r="B1008" s="44">
        <v>331.8657</v>
      </c>
      <c r="C1008" s="44">
        <v>324.8338</v>
      </c>
      <c r="D1008" s="44">
        <v>326.02050000000003</v>
      </c>
      <c r="E1008" s="44">
        <v>3738901</v>
      </c>
      <c r="F1008" s="44" t="s">
        <v>985</v>
      </c>
      <c r="G1008" s="25">
        <f t="shared" si="13"/>
        <v>7.7611683927849562E-3</v>
      </c>
    </row>
    <row r="1009" spans="1:7">
      <c r="A1009" s="44">
        <v>322.26420000000002</v>
      </c>
      <c r="B1009" s="44">
        <v>330.39460000000003</v>
      </c>
      <c r="C1009" s="44">
        <v>320.95979999999997</v>
      </c>
      <c r="D1009" s="44">
        <v>322.76440000000002</v>
      </c>
      <c r="E1009" s="44">
        <v>4122885</v>
      </c>
      <c r="F1009" s="44" t="s">
        <v>986</v>
      </c>
      <c r="G1009" s="25">
        <f t="shared" si="13"/>
        <v>-1.5497372076970217E-3</v>
      </c>
    </row>
    <row r="1010" spans="1:7">
      <c r="A1010" s="44">
        <v>318.53739999999999</v>
      </c>
      <c r="B1010" s="44">
        <v>324.59840000000003</v>
      </c>
      <c r="C1010" s="44">
        <v>317.79199999999997</v>
      </c>
      <c r="D1010" s="44">
        <v>323.67649999999998</v>
      </c>
      <c r="E1010" s="44">
        <v>2987773</v>
      </c>
      <c r="F1010" s="44" t="s">
        <v>987</v>
      </c>
      <c r="G1010" s="25">
        <f t="shared" si="13"/>
        <v>-1.5877272523646235E-2</v>
      </c>
    </row>
    <row r="1011" spans="1:7">
      <c r="A1011" s="44">
        <v>318.34120000000001</v>
      </c>
      <c r="B1011" s="44">
        <v>319.84179999999998</v>
      </c>
      <c r="C1011" s="44">
        <v>313.59440000000001</v>
      </c>
      <c r="D1011" s="44">
        <v>315.74220000000003</v>
      </c>
      <c r="E1011" s="44">
        <v>3771285</v>
      </c>
      <c r="F1011" s="44" t="s">
        <v>988</v>
      </c>
      <c r="G1011" s="25">
        <f t="shared" si="13"/>
        <v>8.2313989070830207E-3</v>
      </c>
    </row>
    <row r="1012" spans="1:7">
      <c r="A1012" s="44">
        <v>321.81310000000002</v>
      </c>
      <c r="B1012" s="44">
        <v>323.10759999999999</v>
      </c>
      <c r="C1012" s="44">
        <v>314.9282</v>
      </c>
      <c r="D1012" s="44">
        <v>316.9289</v>
      </c>
      <c r="E1012" s="44">
        <v>4016060</v>
      </c>
      <c r="F1012" s="44" t="s">
        <v>989</v>
      </c>
      <c r="G1012" s="25">
        <f t="shared" si="13"/>
        <v>1.5411027520683795E-2</v>
      </c>
    </row>
    <row r="1013" spans="1:7">
      <c r="A1013" s="44">
        <v>308.27870000000001</v>
      </c>
      <c r="B1013" s="44">
        <v>318.4785</v>
      </c>
      <c r="C1013" s="44">
        <v>299.7217</v>
      </c>
      <c r="D1013" s="44">
        <v>305.39530000000002</v>
      </c>
      <c r="E1013" s="44">
        <v>5048201</v>
      </c>
      <c r="F1013" s="44" t="s">
        <v>990</v>
      </c>
      <c r="G1013" s="25">
        <f t="shared" si="13"/>
        <v>9.4415336450823784E-3</v>
      </c>
    </row>
    <row r="1014" spans="1:7">
      <c r="A1014" s="44">
        <v>306.89589999999998</v>
      </c>
      <c r="B1014" s="44">
        <v>323.45089999999999</v>
      </c>
      <c r="C1014" s="44">
        <v>306.10149999999999</v>
      </c>
      <c r="D1014" s="44">
        <v>323.23509999999999</v>
      </c>
      <c r="E1014" s="44">
        <v>6874263</v>
      </c>
      <c r="F1014" s="44" t="s">
        <v>991</v>
      </c>
      <c r="G1014" s="25">
        <f t="shared" si="13"/>
        <v>-5.0548965752791108E-2</v>
      </c>
    </row>
    <row r="1015" spans="1:7">
      <c r="A1015" s="44">
        <v>324.39240000000001</v>
      </c>
      <c r="B1015" s="44">
        <v>332.30709999999999</v>
      </c>
      <c r="C1015" s="44">
        <v>317.76260000000002</v>
      </c>
      <c r="D1015" s="44">
        <v>330.41419999999999</v>
      </c>
      <c r="E1015" s="44">
        <v>4671397</v>
      </c>
      <c r="F1015" s="44" t="s">
        <v>992</v>
      </c>
      <c r="G1015" s="25">
        <f t="shared" si="13"/>
        <v>-1.8225003646937687E-2</v>
      </c>
    </row>
    <row r="1016" spans="1:7">
      <c r="A1016" s="44">
        <v>334.4255</v>
      </c>
      <c r="B1016" s="44">
        <v>342.77170000000001</v>
      </c>
      <c r="C1016" s="44">
        <v>334.14109999999999</v>
      </c>
      <c r="D1016" s="44">
        <v>340.93770000000001</v>
      </c>
      <c r="E1016" s="44">
        <v>3975906</v>
      </c>
      <c r="F1016" s="44" t="s">
        <v>993</v>
      </c>
      <c r="G1016" s="25">
        <f t="shared" si="13"/>
        <v>-1.9100850389968671E-2</v>
      </c>
    </row>
    <row r="1017" spans="1:7">
      <c r="A1017" s="44">
        <v>337.4658</v>
      </c>
      <c r="B1017" s="44">
        <v>341.61439999999999</v>
      </c>
      <c r="C1017" s="44">
        <v>332.16980000000001</v>
      </c>
      <c r="D1017" s="44">
        <v>336.35759999999999</v>
      </c>
      <c r="E1017" s="44">
        <v>4997890</v>
      </c>
      <c r="F1017" s="44" t="s">
        <v>994</v>
      </c>
      <c r="G1017" s="25">
        <f t="shared" si="13"/>
        <v>3.2947077752962795E-3</v>
      </c>
    </row>
    <row r="1018" spans="1:7">
      <c r="A1018" s="44">
        <v>337.84829999999999</v>
      </c>
      <c r="B1018" s="44">
        <v>354.6191</v>
      </c>
      <c r="C1018" s="44">
        <v>334.65109999999999</v>
      </c>
      <c r="D1018" s="44">
        <v>350.96089999999998</v>
      </c>
      <c r="E1018" s="44">
        <v>5894169</v>
      </c>
      <c r="F1018" s="44" t="s">
        <v>995</v>
      </c>
      <c r="G1018" s="25">
        <f t="shared" si="13"/>
        <v>-3.736199673524887E-2</v>
      </c>
    </row>
    <row r="1019" spans="1:7">
      <c r="A1019" s="44">
        <v>353.87369999999999</v>
      </c>
      <c r="B1019" s="44">
        <v>358.3263</v>
      </c>
      <c r="C1019" s="44">
        <v>348.8082</v>
      </c>
      <c r="D1019" s="44">
        <v>355.2174</v>
      </c>
      <c r="E1019" s="44">
        <v>4952437</v>
      </c>
      <c r="F1019" s="44" t="s">
        <v>996</v>
      </c>
      <c r="G1019" s="25">
        <f t="shared" si="13"/>
        <v>-3.782753885367085E-3</v>
      </c>
    </row>
    <row r="1020" spans="1:7">
      <c r="A1020" s="44">
        <v>361.98450000000003</v>
      </c>
      <c r="B1020" s="44">
        <v>365.4171</v>
      </c>
      <c r="C1020" s="44">
        <v>354.73680000000002</v>
      </c>
      <c r="D1020" s="44">
        <v>360.15050000000002</v>
      </c>
      <c r="E1020" s="44">
        <v>3817947</v>
      </c>
      <c r="F1020" s="44" t="s">
        <v>997</v>
      </c>
      <c r="G1020" s="25">
        <f t="shared" si="13"/>
        <v>5.0923155736282144E-3</v>
      </c>
    </row>
    <row r="1021" spans="1:7">
      <c r="A1021" s="44">
        <v>362.26889999999997</v>
      </c>
      <c r="B1021" s="44">
        <v>363.40660000000003</v>
      </c>
      <c r="C1021" s="44">
        <v>334.7441</v>
      </c>
      <c r="D1021" s="44">
        <v>339.28019999999998</v>
      </c>
      <c r="E1021" s="44">
        <v>7424971</v>
      </c>
      <c r="F1021" s="44" t="s">
        <v>998</v>
      </c>
      <c r="G1021" s="25">
        <f t="shared" ref="G1021:G1084" si="14">A1021/D1021-1</f>
        <v>6.7757269654993069E-2</v>
      </c>
    </row>
    <row r="1022" spans="1:7">
      <c r="A1022" s="44">
        <v>354.2758</v>
      </c>
      <c r="B1022" s="44">
        <v>366.36840000000001</v>
      </c>
      <c r="C1022" s="44">
        <v>353.197</v>
      </c>
      <c r="D1022" s="44">
        <v>364.8091</v>
      </c>
      <c r="E1022" s="44">
        <v>3802450</v>
      </c>
      <c r="F1022" s="44" t="s">
        <v>999</v>
      </c>
      <c r="G1022" s="25">
        <f t="shared" si="14"/>
        <v>-2.8873457378119083E-2</v>
      </c>
    </row>
    <row r="1023" spans="1:7">
      <c r="A1023" s="44">
        <v>361.19990000000001</v>
      </c>
      <c r="B1023" s="44">
        <v>367.11380000000003</v>
      </c>
      <c r="C1023" s="44">
        <v>356.79509999999999</v>
      </c>
      <c r="D1023" s="44">
        <v>357.97329999999999</v>
      </c>
      <c r="E1023" s="44">
        <v>3897893</v>
      </c>
      <c r="F1023" s="44" t="s">
        <v>1000</v>
      </c>
      <c r="G1023" s="25">
        <f t="shared" si="14"/>
        <v>9.0135213995010677E-3</v>
      </c>
    </row>
    <row r="1024" spans="1:7">
      <c r="A1024" s="44">
        <v>362.82799999999997</v>
      </c>
      <c r="B1024" s="44">
        <v>367.59440000000001</v>
      </c>
      <c r="C1024" s="44">
        <v>361.8963</v>
      </c>
      <c r="D1024" s="44">
        <v>367.30020000000002</v>
      </c>
      <c r="E1024" s="44">
        <v>4083825</v>
      </c>
      <c r="F1024" s="44" t="s">
        <v>1001</v>
      </c>
      <c r="G1024" s="25">
        <f t="shared" si="14"/>
        <v>-1.2175871398926619E-2</v>
      </c>
    </row>
    <row r="1025" spans="1:7">
      <c r="A1025" s="44">
        <v>366.50580000000002</v>
      </c>
      <c r="B1025" s="44">
        <v>373.94970000000001</v>
      </c>
      <c r="C1025" s="44">
        <v>365.0052</v>
      </c>
      <c r="D1025" s="44">
        <v>371.31139999999999</v>
      </c>
      <c r="E1025" s="44">
        <v>3972495</v>
      </c>
      <c r="F1025" s="44" t="s">
        <v>1002</v>
      </c>
      <c r="G1025" s="25">
        <f t="shared" si="14"/>
        <v>-1.2942236624030268E-2</v>
      </c>
    </row>
    <row r="1026" spans="1:7">
      <c r="A1026" s="44">
        <v>375.55810000000002</v>
      </c>
      <c r="B1026" s="44">
        <v>377.58819999999997</v>
      </c>
      <c r="C1026" s="44">
        <v>369.5265</v>
      </c>
      <c r="D1026" s="44">
        <v>372.64530000000002</v>
      </c>
      <c r="E1026" s="44">
        <v>3424788</v>
      </c>
      <c r="F1026" s="44" t="s">
        <v>1003</v>
      </c>
      <c r="G1026" s="25">
        <f t="shared" si="14"/>
        <v>7.8165483369843081E-3</v>
      </c>
    </row>
    <row r="1027" spans="1:7">
      <c r="A1027" s="44">
        <v>374.19479999999999</v>
      </c>
      <c r="B1027" s="44">
        <v>375.69540000000001</v>
      </c>
      <c r="C1027" s="44">
        <v>366.2115</v>
      </c>
      <c r="D1027" s="44">
        <v>367.36880000000002</v>
      </c>
      <c r="E1027" s="44">
        <v>5800709</v>
      </c>
      <c r="F1027" s="44" t="s">
        <v>1004</v>
      </c>
      <c r="G1027" s="25">
        <f t="shared" si="14"/>
        <v>1.8580783125839551E-2</v>
      </c>
    </row>
    <row r="1028" spans="1:7">
      <c r="A1028" s="44">
        <v>366.95690000000002</v>
      </c>
      <c r="B1028" s="44">
        <v>370.02670000000001</v>
      </c>
      <c r="C1028" s="44">
        <v>359.69940000000003</v>
      </c>
      <c r="D1028" s="44">
        <v>361.71969999999999</v>
      </c>
      <c r="E1028" s="44">
        <v>3678394</v>
      </c>
      <c r="F1028" s="44" t="s">
        <v>1005</v>
      </c>
      <c r="G1028" s="25">
        <f t="shared" si="14"/>
        <v>1.4478614241911769E-2</v>
      </c>
    </row>
    <row r="1029" spans="1:7">
      <c r="A1029" s="44">
        <v>362.65140000000002</v>
      </c>
      <c r="B1029" s="44">
        <v>373.56720000000001</v>
      </c>
      <c r="C1029" s="44">
        <v>360.56240000000003</v>
      </c>
      <c r="D1029" s="44">
        <v>370.58569999999997</v>
      </c>
      <c r="E1029" s="44">
        <v>4345551</v>
      </c>
      <c r="F1029" s="44" t="s">
        <v>1006</v>
      </c>
      <c r="G1029" s="25">
        <f t="shared" si="14"/>
        <v>-2.141016234571369E-2</v>
      </c>
    </row>
    <row r="1030" spans="1:7">
      <c r="A1030" s="44">
        <v>367.1825</v>
      </c>
      <c r="B1030" s="44">
        <v>372.68450000000001</v>
      </c>
      <c r="C1030" s="44">
        <v>363.42450000000002</v>
      </c>
      <c r="D1030" s="44">
        <v>364.56389999999999</v>
      </c>
      <c r="E1030" s="44">
        <v>3994988</v>
      </c>
      <c r="F1030" s="44" t="s">
        <v>1007</v>
      </c>
      <c r="G1030" s="25">
        <f t="shared" si="14"/>
        <v>7.1828285795714208E-3</v>
      </c>
    </row>
    <row r="1031" spans="1:7">
      <c r="A1031" s="44">
        <v>374.02809999999999</v>
      </c>
      <c r="B1031" s="44">
        <v>380.97179999999997</v>
      </c>
      <c r="C1031" s="44">
        <v>373.27289999999999</v>
      </c>
      <c r="D1031" s="44">
        <v>378.17669999999998</v>
      </c>
      <c r="E1031" s="44">
        <v>5492834</v>
      </c>
      <c r="F1031" s="44" t="s">
        <v>1008</v>
      </c>
      <c r="G1031" s="25">
        <f t="shared" si="14"/>
        <v>-1.097000423347072E-2</v>
      </c>
    </row>
    <row r="1032" spans="1:7">
      <c r="A1032" s="44">
        <v>367.16289999999998</v>
      </c>
      <c r="B1032" s="44">
        <v>372.4588</v>
      </c>
      <c r="C1032" s="44">
        <v>363.40660000000003</v>
      </c>
      <c r="D1032" s="44">
        <v>370.27179999999998</v>
      </c>
      <c r="E1032" s="44">
        <v>5825322</v>
      </c>
      <c r="F1032" s="44" t="s">
        <v>1009</v>
      </c>
      <c r="G1032" s="25">
        <f t="shared" si="14"/>
        <v>-8.3962645818558279E-3</v>
      </c>
    </row>
    <row r="1033" spans="1:7">
      <c r="A1033" s="44">
        <v>368.88900000000001</v>
      </c>
      <c r="B1033" s="44">
        <v>375.03829999999999</v>
      </c>
      <c r="C1033" s="44">
        <v>366.12329999999997</v>
      </c>
      <c r="D1033" s="44">
        <v>374.84210000000002</v>
      </c>
      <c r="E1033" s="44">
        <v>4767606</v>
      </c>
      <c r="F1033" s="44" t="s">
        <v>1010</v>
      </c>
      <c r="G1033" s="25">
        <f t="shared" si="14"/>
        <v>-1.5881620554361486E-2</v>
      </c>
    </row>
    <row r="1034" spans="1:7">
      <c r="A1034" s="44">
        <v>374.84210000000002</v>
      </c>
      <c r="B1034" s="44">
        <v>380.67759999999998</v>
      </c>
      <c r="C1034" s="44">
        <v>369.16419999999999</v>
      </c>
      <c r="D1034" s="44">
        <v>380.10879999999997</v>
      </c>
      <c r="E1034" s="44">
        <v>6045366</v>
      </c>
      <c r="F1034" s="44" t="s">
        <v>1011</v>
      </c>
      <c r="G1034" s="25">
        <f t="shared" si="14"/>
        <v>-1.3855769716459965E-2</v>
      </c>
    </row>
    <row r="1035" spans="1:7">
      <c r="A1035" s="44">
        <v>382.56060000000002</v>
      </c>
      <c r="B1035" s="44">
        <v>385.37540000000001</v>
      </c>
      <c r="C1035" s="44">
        <v>379.04950000000002</v>
      </c>
      <c r="D1035" s="44">
        <v>381.06009999999998</v>
      </c>
      <c r="E1035" s="44">
        <v>4209203</v>
      </c>
      <c r="F1035" s="44" t="s">
        <v>1012</v>
      </c>
      <c r="G1035" s="25">
        <f t="shared" si="14"/>
        <v>3.9376990663677613E-3</v>
      </c>
    </row>
    <row r="1036" spans="1:7">
      <c r="A1036" s="44">
        <v>389.11200000000002</v>
      </c>
      <c r="B1036" s="44">
        <v>392.221</v>
      </c>
      <c r="C1036" s="44">
        <v>375.38150000000002</v>
      </c>
      <c r="D1036" s="44">
        <v>381.79559999999998</v>
      </c>
      <c r="E1036" s="44">
        <v>6115014</v>
      </c>
      <c r="F1036" s="44" t="s">
        <v>1013</v>
      </c>
      <c r="G1036" s="25">
        <f t="shared" si="14"/>
        <v>1.9163133362458895E-2</v>
      </c>
    </row>
    <row r="1037" spans="1:7">
      <c r="A1037" s="44">
        <v>384.51229999999998</v>
      </c>
      <c r="B1037" s="44">
        <v>387.8861</v>
      </c>
      <c r="C1037" s="44">
        <v>375.05790000000002</v>
      </c>
      <c r="D1037" s="44">
        <v>378.33359999999999</v>
      </c>
      <c r="E1037" s="44">
        <v>5841117</v>
      </c>
      <c r="F1037" s="44" t="s">
        <v>1014</v>
      </c>
      <c r="G1037" s="25">
        <f t="shared" si="14"/>
        <v>1.6331354127679942E-2</v>
      </c>
    </row>
    <row r="1038" spans="1:7">
      <c r="A1038" s="44">
        <v>378.94170000000003</v>
      </c>
      <c r="B1038" s="44">
        <v>379.10840000000002</v>
      </c>
      <c r="C1038" s="44">
        <v>369.04590000000002</v>
      </c>
      <c r="D1038" s="44">
        <v>371.38990000000001</v>
      </c>
      <c r="E1038" s="44">
        <v>6345160</v>
      </c>
      <c r="F1038" s="44" t="s">
        <v>1015</v>
      </c>
      <c r="G1038" s="25">
        <f t="shared" si="14"/>
        <v>2.0333886301162174E-2</v>
      </c>
    </row>
    <row r="1039" spans="1:7">
      <c r="A1039" s="44">
        <v>375.14620000000002</v>
      </c>
      <c r="B1039" s="44">
        <v>375.40120000000002</v>
      </c>
      <c r="C1039" s="44">
        <v>348.5385</v>
      </c>
      <c r="D1039" s="44">
        <v>352.13780000000003</v>
      </c>
      <c r="E1039" s="44">
        <v>8813402</v>
      </c>
      <c r="F1039" s="44" t="s">
        <v>1016</v>
      </c>
      <c r="G1039" s="25">
        <f t="shared" si="14"/>
        <v>6.5339193917835603E-2</v>
      </c>
    </row>
    <row r="1040" spans="1:7">
      <c r="A1040" s="44">
        <v>343.78179999999998</v>
      </c>
      <c r="B1040" s="44">
        <v>352.70659999999998</v>
      </c>
      <c r="C1040" s="44">
        <v>327.89370000000002</v>
      </c>
      <c r="D1040" s="44">
        <v>342.35969999999998</v>
      </c>
      <c r="E1040" s="44">
        <v>8417289</v>
      </c>
      <c r="F1040" s="44" t="s">
        <v>1017</v>
      </c>
      <c r="G1040" s="25">
        <f t="shared" si="14"/>
        <v>4.1538183378475591E-3</v>
      </c>
    </row>
    <row r="1041" spans="1:7">
      <c r="A1041" s="44">
        <v>338.02480000000003</v>
      </c>
      <c r="B1041" s="44">
        <v>347.93529999999998</v>
      </c>
      <c r="C1041" s="44">
        <v>334.68049999999999</v>
      </c>
      <c r="D1041" s="44">
        <v>336.74990000000003</v>
      </c>
      <c r="E1041" s="44">
        <v>7438611</v>
      </c>
      <c r="F1041" s="44" t="s">
        <v>1018</v>
      </c>
      <c r="G1041" s="25">
        <f t="shared" si="14"/>
        <v>3.7858957047944841E-3</v>
      </c>
    </row>
    <row r="1042" spans="1:7">
      <c r="A1042" s="44">
        <v>332.23840000000001</v>
      </c>
      <c r="B1042" s="44">
        <v>340.35899999999998</v>
      </c>
      <c r="C1042" s="44">
        <v>326.97179999999997</v>
      </c>
      <c r="D1042" s="44">
        <v>336.7106</v>
      </c>
      <c r="E1042" s="44">
        <v>6994447</v>
      </c>
      <c r="F1042" s="44" t="s">
        <v>1019</v>
      </c>
      <c r="G1042" s="25">
        <f t="shared" si="14"/>
        <v>-1.328202913718779E-2</v>
      </c>
    </row>
    <row r="1043" spans="1:7">
      <c r="A1043" s="44">
        <v>342.69319999999999</v>
      </c>
      <c r="B1043" s="44">
        <v>343.36009999999999</v>
      </c>
      <c r="C1043" s="44">
        <v>324.22570000000002</v>
      </c>
      <c r="D1043" s="44">
        <v>335.9751</v>
      </c>
      <c r="E1043" s="44">
        <v>7474532</v>
      </c>
      <c r="F1043" s="44" t="s">
        <v>1020</v>
      </c>
      <c r="G1043" s="25">
        <f t="shared" si="14"/>
        <v>1.9995827071708661E-2</v>
      </c>
    </row>
    <row r="1044" spans="1:7">
      <c r="A1044" s="44">
        <v>348.24419999999998</v>
      </c>
      <c r="B1044" s="44">
        <v>361.04300000000001</v>
      </c>
      <c r="C1044" s="44">
        <v>347.29289999999997</v>
      </c>
      <c r="D1044" s="44">
        <v>355.52140000000003</v>
      </c>
      <c r="E1044" s="44">
        <v>4867051</v>
      </c>
      <c r="F1044" s="44" t="s">
        <v>1021</v>
      </c>
      <c r="G1044" s="25">
        <f t="shared" si="14"/>
        <v>-2.0469091312084298E-2</v>
      </c>
    </row>
    <row r="1045" spans="1:7">
      <c r="A1045" s="44">
        <v>356.99250000000001</v>
      </c>
      <c r="B1045" s="44">
        <v>365.89</v>
      </c>
      <c r="C1045" s="44">
        <v>354.70740000000001</v>
      </c>
      <c r="D1045" s="44">
        <v>354.86430000000001</v>
      </c>
      <c r="E1045" s="44">
        <v>5043173</v>
      </c>
      <c r="F1045" s="44" t="s">
        <v>1022</v>
      </c>
      <c r="G1045" s="25">
        <f t="shared" si="14"/>
        <v>5.9972220367052742E-3</v>
      </c>
    </row>
    <row r="1046" spans="1:7">
      <c r="A1046" s="44">
        <v>353.78550000000001</v>
      </c>
      <c r="B1046" s="44">
        <v>362.19049999999999</v>
      </c>
      <c r="C1046" s="44">
        <v>352.7851</v>
      </c>
      <c r="D1046" s="44">
        <v>355.43310000000002</v>
      </c>
      <c r="E1046" s="44">
        <v>4464820</v>
      </c>
      <c r="F1046" s="44" t="s">
        <v>1023</v>
      </c>
      <c r="G1046" s="25">
        <f t="shared" si="14"/>
        <v>-4.6354714853512613E-3</v>
      </c>
    </row>
    <row r="1047" spans="1:7">
      <c r="A1047" s="44">
        <v>359.2482</v>
      </c>
      <c r="B1047" s="44">
        <v>364.97579999999999</v>
      </c>
      <c r="C1047" s="44">
        <v>358.1694</v>
      </c>
      <c r="D1047" s="44">
        <v>363.65179999999998</v>
      </c>
      <c r="E1047" s="44">
        <v>4934283</v>
      </c>
      <c r="F1047" s="44" t="s">
        <v>1024</v>
      </c>
      <c r="G1047" s="25">
        <f t="shared" si="14"/>
        <v>-1.2109385956566077E-2</v>
      </c>
    </row>
    <row r="1048" spans="1:7">
      <c r="A1048" s="44">
        <v>364.97579999999999</v>
      </c>
      <c r="B1048" s="44">
        <v>367.565</v>
      </c>
      <c r="C1048" s="44">
        <v>357.13959999999997</v>
      </c>
      <c r="D1048" s="44">
        <v>357.3064</v>
      </c>
      <c r="E1048" s="44">
        <v>4029901</v>
      </c>
      <c r="F1048" s="44" t="s">
        <v>1025</v>
      </c>
      <c r="G1048" s="25">
        <f t="shared" si="14"/>
        <v>2.1464490980290352E-2</v>
      </c>
    </row>
    <row r="1049" spans="1:7">
      <c r="A1049" s="44">
        <v>362.40620000000001</v>
      </c>
      <c r="B1049" s="44">
        <v>370.4092</v>
      </c>
      <c r="C1049" s="44">
        <v>360.7978</v>
      </c>
      <c r="D1049" s="44">
        <v>361.5138</v>
      </c>
      <c r="E1049" s="44">
        <v>3892898</v>
      </c>
      <c r="F1049" s="44" t="s">
        <v>1026</v>
      </c>
      <c r="G1049" s="25">
        <f t="shared" si="14"/>
        <v>2.468508809345682E-3</v>
      </c>
    </row>
    <row r="1050" spans="1:7">
      <c r="A1050" s="44">
        <v>360.23880000000003</v>
      </c>
      <c r="B1050" s="44">
        <v>364.95620000000002</v>
      </c>
      <c r="C1050" s="44">
        <v>360.0034</v>
      </c>
      <c r="D1050" s="44">
        <v>361.8374</v>
      </c>
      <c r="E1050" s="44">
        <v>5783149</v>
      </c>
      <c r="F1050" s="44" t="s">
        <v>1027</v>
      </c>
      <c r="G1050" s="25">
        <f t="shared" si="14"/>
        <v>-4.4180065410595049E-3</v>
      </c>
    </row>
    <row r="1051" spans="1:7">
      <c r="A1051" s="44">
        <v>359.23840000000001</v>
      </c>
      <c r="B1051" s="44">
        <v>360.9744</v>
      </c>
      <c r="C1051" s="44">
        <v>349.23480000000001</v>
      </c>
      <c r="D1051" s="44">
        <v>356.53160000000003</v>
      </c>
      <c r="E1051" s="44">
        <v>4131287</v>
      </c>
      <c r="F1051" s="44" t="s">
        <v>1028</v>
      </c>
      <c r="G1051" s="25">
        <f t="shared" si="14"/>
        <v>7.5920339178912055E-3</v>
      </c>
    </row>
    <row r="1052" spans="1:7">
      <c r="A1052" s="44">
        <v>356.9042</v>
      </c>
      <c r="B1052" s="44">
        <v>363.76949999999999</v>
      </c>
      <c r="C1052" s="44">
        <v>342.0557</v>
      </c>
      <c r="D1052" s="44">
        <v>363.76949999999999</v>
      </c>
      <c r="E1052" s="44">
        <v>6009380</v>
      </c>
      <c r="F1052" s="44" t="s">
        <v>1029</v>
      </c>
      <c r="G1052" s="25">
        <f t="shared" si="14"/>
        <v>-1.8872665245436959E-2</v>
      </c>
    </row>
    <row r="1053" spans="1:7">
      <c r="A1053" s="44">
        <v>362.53370000000001</v>
      </c>
      <c r="B1053" s="44">
        <v>364.63249999999999</v>
      </c>
      <c r="C1053" s="44">
        <v>357.10039999999998</v>
      </c>
      <c r="D1053" s="44">
        <v>359.3365</v>
      </c>
      <c r="E1053" s="44">
        <v>4551189</v>
      </c>
      <c r="F1053" s="44" t="s">
        <v>1030</v>
      </c>
      <c r="G1053" s="25">
        <f t="shared" si="14"/>
        <v>8.8975097158234817E-3</v>
      </c>
    </row>
    <row r="1054" spans="1:7">
      <c r="A1054" s="44">
        <v>362.87700000000001</v>
      </c>
      <c r="B1054" s="44">
        <v>367.01089999999999</v>
      </c>
      <c r="C1054" s="44">
        <v>359.44439999999997</v>
      </c>
      <c r="D1054" s="44">
        <v>361.59219999999999</v>
      </c>
      <c r="E1054" s="44">
        <v>4781145</v>
      </c>
      <c r="F1054" s="44" t="s">
        <v>1031</v>
      </c>
      <c r="G1054" s="25">
        <f t="shared" si="14"/>
        <v>3.5531739899257175E-3</v>
      </c>
    </row>
    <row r="1055" spans="1:7">
      <c r="A1055" s="44">
        <v>366.22140000000002</v>
      </c>
      <c r="B1055" s="44">
        <v>374.6447</v>
      </c>
      <c r="C1055" s="44">
        <v>364.85989999999998</v>
      </c>
      <c r="D1055" s="44">
        <v>366.3193</v>
      </c>
      <c r="E1055" s="44">
        <v>5976597</v>
      </c>
      <c r="F1055" s="44" t="s">
        <v>1032</v>
      </c>
      <c r="G1055" s="25">
        <f t="shared" si="14"/>
        <v>-2.6725318595000047E-4</v>
      </c>
    </row>
    <row r="1056" spans="1:7">
      <c r="A1056" s="44">
        <v>367.68079999999998</v>
      </c>
      <c r="B1056" s="44">
        <v>374.54680000000002</v>
      </c>
      <c r="C1056" s="44">
        <v>364.0127</v>
      </c>
      <c r="D1056" s="44">
        <v>364.35059999999999</v>
      </c>
      <c r="E1056" s="44">
        <v>6854546</v>
      </c>
      <c r="F1056" s="44" t="s">
        <v>1033</v>
      </c>
      <c r="G1056" s="25">
        <f t="shared" si="14"/>
        <v>9.1400974775395216E-3</v>
      </c>
    </row>
    <row r="1057" spans="1:7">
      <c r="A1057" s="44">
        <v>363.33190000000002</v>
      </c>
      <c r="B1057" s="44">
        <v>364.67380000000003</v>
      </c>
      <c r="C1057" s="44">
        <v>351.87220000000002</v>
      </c>
      <c r="D1057" s="44">
        <v>352.40109999999999</v>
      </c>
      <c r="E1057" s="44">
        <v>4714310</v>
      </c>
      <c r="F1057" s="44" t="s">
        <v>1034</v>
      </c>
      <c r="G1057" s="25">
        <f t="shared" si="14"/>
        <v>3.1018064359050079E-2</v>
      </c>
    </row>
    <row r="1058" spans="1:7">
      <c r="A1058" s="44">
        <v>351.94080000000002</v>
      </c>
      <c r="B1058" s="44">
        <v>355.91739999999999</v>
      </c>
      <c r="C1058" s="44">
        <v>349.4529</v>
      </c>
      <c r="D1058" s="44">
        <v>350.59890000000001</v>
      </c>
      <c r="E1058" s="44">
        <v>1983997</v>
      </c>
      <c r="F1058" s="44" t="s">
        <v>1035</v>
      </c>
      <c r="G1058" s="25">
        <f t="shared" si="14"/>
        <v>3.8274506850990431E-3</v>
      </c>
    </row>
    <row r="1059" spans="1:7">
      <c r="A1059" s="44">
        <v>353.57650000000001</v>
      </c>
      <c r="B1059" s="44">
        <v>357.16129999999998</v>
      </c>
      <c r="C1059" s="44">
        <v>351.73509999999999</v>
      </c>
      <c r="D1059" s="44">
        <v>354.56569999999999</v>
      </c>
      <c r="E1059" s="44">
        <v>1557977</v>
      </c>
      <c r="F1059" s="44" t="s">
        <v>1036</v>
      </c>
      <c r="G1059" s="25">
        <f t="shared" si="14"/>
        <v>-2.7898919720660276E-3</v>
      </c>
    </row>
    <row r="1060" spans="1:7">
      <c r="A1060" s="44">
        <v>353.87029999999999</v>
      </c>
      <c r="B1060" s="44">
        <v>355.69209999999998</v>
      </c>
      <c r="C1060" s="44">
        <v>352.79289999999997</v>
      </c>
      <c r="D1060" s="44">
        <v>354.3503</v>
      </c>
      <c r="E1060" s="44">
        <v>1535298</v>
      </c>
      <c r="F1060" s="44" t="s">
        <v>1037</v>
      </c>
      <c r="G1060" s="25">
        <f t="shared" si="14"/>
        <v>-1.3545917697826981E-3</v>
      </c>
    </row>
    <row r="1061" spans="1:7">
      <c r="A1061" s="44">
        <v>353.37079999999997</v>
      </c>
      <c r="B1061" s="44">
        <v>356.65929999999997</v>
      </c>
      <c r="C1061" s="44">
        <v>351.04950000000002</v>
      </c>
      <c r="D1061" s="44">
        <v>351.42169999999999</v>
      </c>
      <c r="E1061" s="44">
        <v>1920249</v>
      </c>
      <c r="F1061" s="44" t="s">
        <v>1038</v>
      </c>
      <c r="G1061" s="25">
        <f t="shared" si="14"/>
        <v>5.5463279586889236E-3</v>
      </c>
    </row>
    <row r="1062" spans="1:7">
      <c r="A1062" s="44">
        <v>352.91039999999998</v>
      </c>
      <c r="B1062" s="44">
        <v>353.66559999999998</v>
      </c>
      <c r="C1062" s="44">
        <v>348.29259999999999</v>
      </c>
      <c r="D1062" s="44">
        <v>352.60680000000002</v>
      </c>
      <c r="E1062" s="44">
        <v>2679603</v>
      </c>
      <c r="F1062" s="44" t="s">
        <v>1039</v>
      </c>
      <c r="G1062" s="25">
        <f t="shared" si="14"/>
        <v>8.6101572629893042E-4</v>
      </c>
    </row>
    <row r="1063" spans="1:7">
      <c r="A1063" s="44">
        <v>353.17489999999998</v>
      </c>
      <c r="B1063" s="44">
        <v>355.02609999999999</v>
      </c>
      <c r="C1063" s="44">
        <v>347.70949999999999</v>
      </c>
      <c r="D1063" s="44">
        <v>350.19729999999998</v>
      </c>
      <c r="E1063" s="44">
        <v>2626991</v>
      </c>
      <c r="F1063" s="44" t="s">
        <v>1040</v>
      </c>
      <c r="G1063" s="25">
        <f t="shared" si="14"/>
        <v>8.5026355143229537E-3</v>
      </c>
    </row>
    <row r="1064" spans="1:7">
      <c r="A1064" s="44">
        <v>350.1386</v>
      </c>
      <c r="B1064" s="44">
        <v>351.2552</v>
      </c>
      <c r="C1064" s="44">
        <v>339.4624</v>
      </c>
      <c r="D1064" s="44">
        <v>339.4624</v>
      </c>
      <c r="E1064" s="44">
        <v>3456400</v>
      </c>
      <c r="F1064" s="44" t="s">
        <v>1041</v>
      </c>
      <c r="G1064" s="25">
        <f t="shared" si="14"/>
        <v>3.1450316736109762E-2</v>
      </c>
    </row>
    <row r="1065" spans="1:7">
      <c r="A1065" s="44">
        <v>343.53699999999998</v>
      </c>
      <c r="B1065" s="44">
        <v>344.77109999999999</v>
      </c>
      <c r="C1065" s="44">
        <v>332.40050000000002</v>
      </c>
      <c r="D1065" s="44">
        <v>333.3408</v>
      </c>
      <c r="E1065" s="44">
        <v>3105438</v>
      </c>
      <c r="F1065" s="44" t="s">
        <v>1042</v>
      </c>
      <c r="G1065" s="25">
        <f t="shared" si="14"/>
        <v>3.0587914830707774E-2</v>
      </c>
    </row>
    <row r="1066" spans="1:7">
      <c r="A1066" s="44">
        <v>330.09870000000001</v>
      </c>
      <c r="B1066" s="44">
        <v>336.47019999999998</v>
      </c>
      <c r="C1066" s="44">
        <v>329.32499999999999</v>
      </c>
      <c r="D1066" s="44">
        <v>334.2321</v>
      </c>
      <c r="E1066" s="44">
        <v>5013898</v>
      </c>
      <c r="F1066" s="44" t="s">
        <v>1043</v>
      </c>
      <c r="G1066" s="25">
        <f t="shared" si="14"/>
        <v>-1.2366855248194253E-2</v>
      </c>
    </row>
    <row r="1067" spans="1:7">
      <c r="A1067" s="44">
        <v>342.13639999999998</v>
      </c>
      <c r="B1067" s="44">
        <v>345.54489999999998</v>
      </c>
      <c r="C1067" s="44">
        <v>337.05290000000002</v>
      </c>
      <c r="D1067" s="44">
        <v>342.0188</v>
      </c>
      <c r="E1067" s="44">
        <v>5898831</v>
      </c>
      <c r="F1067" s="44" t="s">
        <v>1044</v>
      </c>
      <c r="G1067" s="25">
        <f t="shared" si="14"/>
        <v>3.4384074793547548E-4</v>
      </c>
    </row>
    <row r="1068" spans="1:7">
      <c r="A1068" s="44">
        <v>345.67219999999998</v>
      </c>
      <c r="B1068" s="44">
        <v>346.50479999999999</v>
      </c>
      <c r="C1068" s="44">
        <v>338.0324</v>
      </c>
      <c r="D1068" s="44">
        <v>344.47730000000001</v>
      </c>
      <c r="E1068" s="44">
        <v>5369922</v>
      </c>
      <c r="F1068" s="44" t="s">
        <v>1045</v>
      </c>
      <c r="G1068" s="25">
        <f t="shared" si="14"/>
        <v>3.4687336436971528E-3</v>
      </c>
    </row>
    <row r="1069" spans="1:7">
      <c r="A1069" s="44">
        <v>339.2371</v>
      </c>
      <c r="B1069" s="44">
        <v>339.47219999999999</v>
      </c>
      <c r="C1069" s="44">
        <v>328.63929999999999</v>
      </c>
      <c r="D1069" s="44">
        <v>333.01749999999998</v>
      </c>
      <c r="E1069" s="44">
        <v>4918678</v>
      </c>
      <c r="F1069" s="44" t="s">
        <v>1046</v>
      </c>
      <c r="G1069" s="25">
        <f t="shared" si="14"/>
        <v>1.8676495979941032E-2</v>
      </c>
    </row>
    <row r="1070" spans="1:7">
      <c r="A1070" s="44">
        <v>333.55630000000002</v>
      </c>
      <c r="B1070" s="44">
        <v>341.05889999999999</v>
      </c>
      <c r="C1070" s="44">
        <v>330.92149999999998</v>
      </c>
      <c r="D1070" s="44">
        <v>338.22829999999999</v>
      </c>
      <c r="E1070" s="44">
        <v>4518478</v>
      </c>
      <c r="F1070" s="44" t="s">
        <v>1047</v>
      </c>
      <c r="G1070" s="25">
        <f t="shared" si="14"/>
        <v>-1.3813155197243909E-2</v>
      </c>
    </row>
    <row r="1071" spans="1:7">
      <c r="A1071" s="44">
        <v>338.21850000000001</v>
      </c>
      <c r="B1071" s="44">
        <v>342.35180000000003</v>
      </c>
      <c r="C1071" s="44">
        <v>333.3408</v>
      </c>
      <c r="D1071" s="44">
        <v>342.0188</v>
      </c>
      <c r="E1071" s="44">
        <v>4358322</v>
      </c>
      <c r="F1071" s="44" t="s">
        <v>1048</v>
      </c>
      <c r="G1071" s="25">
        <f t="shared" si="14"/>
        <v>-1.1111377503224995E-2</v>
      </c>
    </row>
    <row r="1072" spans="1:7">
      <c r="A1072" s="44">
        <v>342.73379999999997</v>
      </c>
      <c r="B1072" s="44">
        <v>343.05700000000002</v>
      </c>
      <c r="C1072" s="44">
        <v>337.7484</v>
      </c>
      <c r="D1072" s="44">
        <v>339.87380000000002</v>
      </c>
      <c r="E1072" s="44">
        <v>3405910</v>
      </c>
      <c r="F1072" s="44" t="s">
        <v>1049</v>
      </c>
      <c r="G1072" s="25">
        <f t="shared" si="14"/>
        <v>8.4148881143528698E-3</v>
      </c>
    </row>
    <row r="1073" spans="1:7">
      <c r="A1073" s="44">
        <v>337.44470000000001</v>
      </c>
      <c r="B1073" s="44">
        <v>339.41340000000002</v>
      </c>
      <c r="C1073" s="44">
        <v>332.04790000000003</v>
      </c>
      <c r="D1073" s="44">
        <v>333.06650000000002</v>
      </c>
      <c r="E1073" s="44">
        <v>3389627</v>
      </c>
      <c r="F1073" s="44" t="s">
        <v>1050</v>
      </c>
      <c r="G1073" s="25">
        <f t="shared" si="14"/>
        <v>1.3145122670697784E-2</v>
      </c>
    </row>
    <row r="1074" spans="1:7">
      <c r="A1074" s="44">
        <v>335.30950000000001</v>
      </c>
      <c r="B1074" s="44">
        <v>336.9599</v>
      </c>
      <c r="C1074" s="44">
        <v>327.23869999999999</v>
      </c>
      <c r="D1074" s="44">
        <v>332.26339999999999</v>
      </c>
      <c r="E1074" s="44">
        <v>4226942</v>
      </c>
      <c r="F1074" s="44" t="s">
        <v>1051</v>
      </c>
      <c r="G1074" s="25">
        <f t="shared" si="14"/>
        <v>9.1677265687404308E-3</v>
      </c>
    </row>
    <row r="1075" spans="1:7">
      <c r="A1075" s="44">
        <v>332.5376</v>
      </c>
      <c r="B1075" s="44">
        <v>335.38780000000003</v>
      </c>
      <c r="C1075" s="44">
        <v>330.37299999999999</v>
      </c>
      <c r="D1075" s="44">
        <v>330.37299999999999</v>
      </c>
      <c r="E1075" s="44">
        <v>4939515</v>
      </c>
      <c r="F1075" s="44" t="s">
        <v>1052</v>
      </c>
      <c r="G1075" s="25">
        <f t="shared" si="14"/>
        <v>6.5519882072688773E-3</v>
      </c>
    </row>
    <row r="1076" spans="1:7">
      <c r="A1076" s="44">
        <v>326.48450000000003</v>
      </c>
      <c r="B1076" s="44">
        <v>329.84410000000003</v>
      </c>
      <c r="C1076" s="44">
        <v>315.38720000000001</v>
      </c>
      <c r="D1076" s="44">
        <v>318.08069999999998</v>
      </c>
      <c r="E1076" s="44">
        <v>6054959</v>
      </c>
      <c r="F1076" s="44" t="s">
        <v>1053</v>
      </c>
      <c r="G1076" s="25">
        <f t="shared" si="14"/>
        <v>2.6420339240953883E-2</v>
      </c>
    </row>
    <row r="1077" spans="1:7">
      <c r="A1077" s="44">
        <v>315.49489999999997</v>
      </c>
      <c r="B1077" s="44">
        <v>316.05810000000002</v>
      </c>
      <c r="C1077" s="44">
        <v>307.55149999999998</v>
      </c>
      <c r="D1077" s="44">
        <v>313.66340000000002</v>
      </c>
      <c r="E1077" s="44">
        <v>4732940</v>
      </c>
      <c r="F1077" s="44" t="s">
        <v>1054</v>
      </c>
      <c r="G1077" s="25">
        <f t="shared" si="14"/>
        <v>5.8390618733328292E-3</v>
      </c>
    </row>
    <row r="1078" spans="1:7">
      <c r="A1078" s="44">
        <v>313.62419999999997</v>
      </c>
      <c r="B1078" s="44">
        <v>315.5831</v>
      </c>
      <c r="C1078" s="44">
        <v>302.6395</v>
      </c>
      <c r="D1078" s="44">
        <v>303.2321</v>
      </c>
      <c r="E1078" s="44">
        <v>6717594</v>
      </c>
      <c r="F1078" s="44" t="s">
        <v>1055</v>
      </c>
      <c r="G1078" s="25">
        <f t="shared" si="14"/>
        <v>3.4271107841155279E-2</v>
      </c>
    </row>
    <row r="1079" spans="1:7">
      <c r="A1079" s="44">
        <v>299.99</v>
      </c>
      <c r="B1079" s="44">
        <v>315.40679999999998</v>
      </c>
      <c r="C1079" s="44">
        <v>299.7158</v>
      </c>
      <c r="D1079" s="44">
        <v>314.19229999999999</v>
      </c>
      <c r="E1079" s="44">
        <v>8014842</v>
      </c>
      <c r="F1079" s="44" t="s">
        <v>1056</v>
      </c>
      <c r="G1079" s="25">
        <f t="shared" si="14"/>
        <v>-4.5202571800772917E-2</v>
      </c>
    </row>
    <row r="1080" spans="1:7">
      <c r="A1080" s="44">
        <v>308.45260000000002</v>
      </c>
      <c r="B1080" s="44">
        <v>314.17270000000002</v>
      </c>
      <c r="C1080" s="44">
        <v>303.7414</v>
      </c>
      <c r="D1080" s="44">
        <v>311.46940000000001</v>
      </c>
      <c r="E1080" s="44">
        <v>10237559</v>
      </c>
      <c r="F1080" s="44" t="s">
        <v>1057</v>
      </c>
      <c r="G1080" s="25">
        <f t="shared" si="14"/>
        <v>-9.685702672557861E-3</v>
      </c>
    </row>
    <row r="1081" spans="1:7">
      <c r="A1081" s="44">
        <v>316.37650000000002</v>
      </c>
      <c r="B1081" s="44">
        <v>325.00549999999998</v>
      </c>
      <c r="C1081" s="44">
        <v>311.71420000000001</v>
      </c>
      <c r="D1081" s="44">
        <v>323.2278</v>
      </c>
      <c r="E1081" s="44">
        <v>6362190</v>
      </c>
      <c r="F1081" s="44" t="s">
        <v>1058</v>
      </c>
      <c r="G1081" s="25">
        <f t="shared" si="14"/>
        <v>-2.1196505993605674E-2</v>
      </c>
    </row>
    <row r="1082" spans="1:7">
      <c r="A1082" s="44">
        <v>317.51260000000002</v>
      </c>
      <c r="B1082" s="44">
        <v>320.15719999999999</v>
      </c>
      <c r="C1082" s="44">
        <v>312.44880000000001</v>
      </c>
      <c r="D1082" s="44">
        <v>314.98070000000001</v>
      </c>
      <c r="E1082" s="44">
        <v>6613928</v>
      </c>
      <c r="F1082" s="44" t="s">
        <v>1059</v>
      </c>
      <c r="G1082" s="25">
        <f t="shared" si="14"/>
        <v>8.0382702813219797E-3</v>
      </c>
    </row>
    <row r="1083" spans="1:7">
      <c r="A1083" s="44">
        <v>333.01749999999998</v>
      </c>
      <c r="B1083" s="44">
        <v>333.36720000000003</v>
      </c>
      <c r="C1083" s="44">
        <v>318.34519999999998</v>
      </c>
      <c r="D1083" s="44">
        <v>320.23559999999998</v>
      </c>
      <c r="E1083" s="44">
        <v>6414372</v>
      </c>
      <c r="F1083" s="44" t="s">
        <v>1060</v>
      </c>
      <c r="G1083" s="25">
        <f t="shared" si="14"/>
        <v>3.991405078011323E-2</v>
      </c>
    </row>
    <row r="1084" spans="1:7">
      <c r="A1084" s="44">
        <v>322.24349999999998</v>
      </c>
      <c r="B1084" s="44">
        <v>322.91930000000002</v>
      </c>
      <c r="C1084" s="44">
        <v>315.08359999999999</v>
      </c>
      <c r="D1084" s="44">
        <v>318.28640000000001</v>
      </c>
      <c r="E1084" s="44">
        <v>7118598</v>
      </c>
      <c r="F1084" s="44" t="s">
        <v>1061</v>
      </c>
      <c r="G1084" s="25">
        <f t="shared" si="14"/>
        <v>1.2432513610383555E-2</v>
      </c>
    </row>
    <row r="1085" spans="1:7">
      <c r="A1085" s="44">
        <v>314.70159999999998</v>
      </c>
      <c r="B1085" s="44">
        <v>334.46719999999999</v>
      </c>
      <c r="C1085" s="44">
        <v>313.19319999999999</v>
      </c>
      <c r="D1085" s="44">
        <v>332.82170000000002</v>
      </c>
      <c r="E1085" s="44">
        <v>11380660</v>
      </c>
      <c r="F1085" s="44" t="s">
        <v>1062</v>
      </c>
      <c r="G1085" s="25">
        <f t="shared" ref="G1085:G1148" si="15">A1085/D1085-1</f>
        <v>-5.444386588975425E-2</v>
      </c>
    </row>
    <row r="1086" spans="1:7">
      <c r="A1086" s="44">
        <v>332.74329999999998</v>
      </c>
      <c r="B1086" s="44">
        <v>339.53100000000001</v>
      </c>
      <c r="C1086" s="44">
        <v>332.16539999999998</v>
      </c>
      <c r="D1086" s="44">
        <v>338.89429999999999</v>
      </c>
      <c r="E1086" s="44">
        <v>6957896</v>
      </c>
      <c r="F1086" s="44" t="s">
        <v>1063</v>
      </c>
      <c r="G1086" s="25">
        <f t="shared" si="15"/>
        <v>-1.8150201995135395E-2</v>
      </c>
    </row>
    <row r="1087" spans="1:7">
      <c r="A1087" s="44">
        <v>341.06869999999998</v>
      </c>
      <c r="B1087" s="44">
        <v>355.03590000000003</v>
      </c>
      <c r="C1087" s="44">
        <v>337.50349999999997</v>
      </c>
      <c r="D1087" s="44">
        <v>353.3218</v>
      </c>
      <c r="E1087" s="44">
        <v>6534921</v>
      </c>
      <c r="F1087" s="44" t="s">
        <v>1064</v>
      </c>
      <c r="G1087" s="25">
        <f t="shared" si="15"/>
        <v>-3.4679716903966873E-2</v>
      </c>
    </row>
    <row r="1088" spans="1:7">
      <c r="A1088" s="44">
        <v>351.79390000000001</v>
      </c>
      <c r="B1088" s="44">
        <v>360.4425</v>
      </c>
      <c r="C1088" s="44">
        <v>344.00709999999998</v>
      </c>
      <c r="D1088" s="44">
        <v>352.19540000000001</v>
      </c>
      <c r="E1088" s="44">
        <v>11727269</v>
      </c>
      <c r="F1088" s="44" t="s">
        <v>1065</v>
      </c>
      <c r="G1088" s="25">
        <f t="shared" si="15"/>
        <v>-1.1399921747984321E-3</v>
      </c>
    </row>
    <row r="1089" spans="1:7">
      <c r="A1089" s="44">
        <v>361.97050000000002</v>
      </c>
      <c r="B1089" s="44">
        <v>363.4495</v>
      </c>
      <c r="C1089" s="44">
        <v>354.56569999999999</v>
      </c>
      <c r="D1089" s="44">
        <v>357.27890000000002</v>
      </c>
      <c r="E1089" s="44">
        <v>4969009</v>
      </c>
      <c r="F1089" s="44" t="s">
        <v>1066</v>
      </c>
      <c r="G1089" s="25">
        <f t="shared" si="15"/>
        <v>1.3131477957416537E-2</v>
      </c>
    </row>
    <row r="1090" spans="1:7">
      <c r="A1090" s="44">
        <v>353.93889999999999</v>
      </c>
      <c r="B1090" s="44">
        <v>363.50819999999999</v>
      </c>
      <c r="C1090" s="44">
        <v>353.25330000000002</v>
      </c>
      <c r="D1090" s="44">
        <v>357.6413</v>
      </c>
      <c r="E1090" s="44">
        <v>4693196</v>
      </c>
      <c r="F1090" s="44" t="s">
        <v>1067</v>
      </c>
      <c r="G1090" s="25">
        <f t="shared" si="15"/>
        <v>-1.0352271955168524E-2</v>
      </c>
    </row>
    <row r="1091" spans="1:7">
      <c r="A1091" s="44">
        <v>356.03489999999999</v>
      </c>
      <c r="B1091" s="44">
        <v>356.36799999999999</v>
      </c>
      <c r="C1091" s="44">
        <v>348.62040000000002</v>
      </c>
      <c r="D1091" s="44">
        <v>348.74770000000001</v>
      </c>
      <c r="E1091" s="44">
        <v>4724205</v>
      </c>
      <c r="F1091" s="44" t="s">
        <v>1068</v>
      </c>
      <c r="G1091" s="25">
        <f t="shared" si="15"/>
        <v>2.0895334936975818E-2</v>
      </c>
    </row>
    <row r="1092" spans="1:7">
      <c r="A1092" s="44">
        <v>347.06310000000002</v>
      </c>
      <c r="B1092" s="44">
        <v>352.25420000000003</v>
      </c>
      <c r="C1092" s="44">
        <v>345.32940000000002</v>
      </c>
      <c r="D1092" s="44">
        <v>351.02010000000001</v>
      </c>
      <c r="E1092" s="44">
        <v>4472150</v>
      </c>
      <c r="F1092" s="44" t="s">
        <v>1069</v>
      </c>
      <c r="G1092" s="25">
        <f t="shared" si="15"/>
        <v>-1.1272858733730629E-2</v>
      </c>
    </row>
    <row r="1093" spans="1:7">
      <c r="A1093" s="44">
        <v>350.58909999999997</v>
      </c>
      <c r="B1093" s="44">
        <v>352.2346</v>
      </c>
      <c r="C1093" s="44">
        <v>342.32249999999999</v>
      </c>
      <c r="D1093" s="44">
        <v>342.90620000000001</v>
      </c>
      <c r="E1093" s="44">
        <v>6337083</v>
      </c>
      <c r="F1093" s="44" t="s">
        <v>1070</v>
      </c>
      <c r="G1093" s="25">
        <f t="shared" si="15"/>
        <v>2.2405252515119267E-2</v>
      </c>
    </row>
    <row r="1094" spans="1:7">
      <c r="A1094" s="44">
        <v>337.57209999999998</v>
      </c>
      <c r="B1094" s="44">
        <v>343.00810000000001</v>
      </c>
      <c r="C1094" s="44">
        <v>332.67469999999997</v>
      </c>
      <c r="D1094" s="44">
        <v>342.81220000000002</v>
      </c>
      <c r="E1094" s="44">
        <v>4248134</v>
      </c>
      <c r="F1094" s="44" t="s">
        <v>1071</v>
      </c>
      <c r="G1094" s="25">
        <f t="shared" si="15"/>
        <v>-1.5285628691161013E-2</v>
      </c>
    </row>
    <row r="1095" spans="1:7">
      <c r="A1095" s="44">
        <v>342.48899999999998</v>
      </c>
      <c r="B1095" s="44">
        <v>345.89749999999998</v>
      </c>
      <c r="C1095" s="44">
        <v>340.52019999999999</v>
      </c>
      <c r="D1095" s="44">
        <v>340.863</v>
      </c>
      <c r="E1095" s="44">
        <v>3862207</v>
      </c>
      <c r="F1095" s="44" t="s">
        <v>1072</v>
      </c>
      <c r="G1095" s="25">
        <f t="shared" si="15"/>
        <v>4.7702449371154199E-3</v>
      </c>
    </row>
    <row r="1096" spans="1:7">
      <c r="A1096" s="44">
        <v>341.62700000000001</v>
      </c>
      <c r="B1096" s="44">
        <v>342.96890000000002</v>
      </c>
      <c r="C1096" s="44">
        <v>333.99700000000001</v>
      </c>
      <c r="D1096" s="44">
        <v>335.4074</v>
      </c>
      <c r="E1096" s="44">
        <v>7201499</v>
      </c>
      <c r="F1096" s="44" t="s">
        <v>1073</v>
      </c>
      <c r="G1096" s="25">
        <f t="shared" si="15"/>
        <v>1.8543419137442951E-2</v>
      </c>
    </row>
    <row r="1097" spans="1:7">
      <c r="A1097" s="44">
        <v>328.54140000000001</v>
      </c>
      <c r="B1097" s="44">
        <v>331.67570000000001</v>
      </c>
      <c r="C1097" s="44">
        <v>322.56670000000003</v>
      </c>
      <c r="D1097" s="44">
        <v>324.27089999999998</v>
      </c>
      <c r="E1097" s="44">
        <v>4819487</v>
      </c>
      <c r="F1097" s="44" t="s">
        <v>1074</v>
      </c>
      <c r="G1097" s="25">
        <f t="shared" si="15"/>
        <v>1.3169544353193618E-2</v>
      </c>
    </row>
    <row r="1098" spans="1:7">
      <c r="A1098" s="44">
        <v>322.66460000000001</v>
      </c>
      <c r="B1098" s="44">
        <v>322.81150000000002</v>
      </c>
      <c r="C1098" s="44">
        <v>316.69970000000001</v>
      </c>
      <c r="D1098" s="44">
        <v>321.75369999999998</v>
      </c>
      <c r="E1098" s="44">
        <v>3952521</v>
      </c>
      <c r="F1098" s="44" t="s">
        <v>1075</v>
      </c>
      <c r="G1098" s="25">
        <f t="shared" si="15"/>
        <v>2.8310474751340742E-3</v>
      </c>
    </row>
    <row r="1099" spans="1:7">
      <c r="A1099" s="44">
        <v>321.73410000000001</v>
      </c>
      <c r="B1099" s="44">
        <v>328.87439999999998</v>
      </c>
      <c r="C1099" s="44">
        <v>319.9907</v>
      </c>
      <c r="D1099" s="44">
        <v>328.24759999999998</v>
      </c>
      <c r="E1099" s="44">
        <v>5375305</v>
      </c>
      <c r="F1099" s="44" t="s">
        <v>1076</v>
      </c>
      <c r="G1099" s="25">
        <f t="shared" si="15"/>
        <v>-1.9843252471609785E-2</v>
      </c>
    </row>
    <row r="1100" spans="1:7">
      <c r="A1100" s="44">
        <v>327.18970000000002</v>
      </c>
      <c r="B1100" s="44">
        <v>333.89909999999998</v>
      </c>
      <c r="C1100" s="44">
        <v>326.04379999999998</v>
      </c>
      <c r="D1100" s="44">
        <v>328.36509999999998</v>
      </c>
      <c r="E1100" s="44">
        <v>5126224</v>
      </c>
      <c r="F1100" s="44" t="s">
        <v>1077</v>
      </c>
      <c r="G1100" s="25">
        <f t="shared" si="15"/>
        <v>-3.5795521509440764E-3</v>
      </c>
    </row>
    <row r="1101" spans="1:7">
      <c r="A1101" s="44">
        <v>328.62959999999998</v>
      </c>
      <c r="B1101" s="44">
        <v>331.20549999999997</v>
      </c>
      <c r="C1101" s="44">
        <v>324.31009999999998</v>
      </c>
      <c r="D1101" s="44">
        <v>324.43740000000003</v>
      </c>
      <c r="E1101" s="44">
        <v>5843696</v>
      </c>
      <c r="F1101" s="44" t="s">
        <v>1078</v>
      </c>
      <c r="G1101" s="25">
        <f t="shared" si="15"/>
        <v>1.2921444938222226E-2</v>
      </c>
    </row>
    <row r="1102" spans="1:7">
      <c r="A1102" s="44">
        <v>326.19069999999999</v>
      </c>
      <c r="B1102" s="44">
        <v>343.2921</v>
      </c>
      <c r="C1102" s="44">
        <v>322.11610000000002</v>
      </c>
      <c r="D1102" s="44">
        <v>337.1019</v>
      </c>
      <c r="E1102" s="44">
        <v>9505096</v>
      </c>
      <c r="F1102" s="44" t="s">
        <v>1079</v>
      </c>
      <c r="G1102" s="25">
        <f t="shared" si="15"/>
        <v>-3.2367660935758602E-2</v>
      </c>
    </row>
    <row r="1103" spans="1:7">
      <c r="A1103" s="44">
        <v>328.8254</v>
      </c>
      <c r="B1103" s="44">
        <v>343.9092</v>
      </c>
      <c r="C1103" s="44">
        <v>326.94490000000002</v>
      </c>
      <c r="D1103" s="44">
        <v>340.85329999999999</v>
      </c>
      <c r="E1103" s="44">
        <v>9652748</v>
      </c>
      <c r="F1103" s="44" t="s">
        <v>1080</v>
      </c>
      <c r="G1103" s="25">
        <f t="shared" si="15"/>
        <v>-3.5287614935809564E-2</v>
      </c>
    </row>
    <row r="1104" spans="1:7">
      <c r="A1104" s="44">
        <v>349.9819</v>
      </c>
      <c r="B1104" s="44">
        <v>359.80579999999998</v>
      </c>
      <c r="C1104" s="44">
        <v>349.48230000000001</v>
      </c>
      <c r="D1104" s="44">
        <v>355.91739999999999</v>
      </c>
      <c r="E1104" s="44">
        <v>3320059</v>
      </c>
      <c r="F1104" s="44" t="s">
        <v>1081</v>
      </c>
      <c r="G1104" s="25">
        <f t="shared" si="15"/>
        <v>-1.6676622160085475E-2</v>
      </c>
    </row>
    <row r="1105" spans="1:7">
      <c r="A1105" s="44">
        <v>353.44920000000002</v>
      </c>
      <c r="B1105" s="44">
        <v>356.81849999999997</v>
      </c>
      <c r="C1105" s="44">
        <v>351.42410000000001</v>
      </c>
      <c r="D1105" s="44">
        <v>355.0163</v>
      </c>
      <c r="E1105" s="44">
        <v>2447944</v>
      </c>
      <c r="F1105" s="44" t="s">
        <v>1082</v>
      </c>
      <c r="G1105" s="25">
        <f t="shared" si="15"/>
        <v>-4.4141635186890626E-3</v>
      </c>
    </row>
    <row r="1106" spans="1:7">
      <c r="A1106" s="44">
        <v>351.30410000000001</v>
      </c>
      <c r="B1106" s="44">
        <v>354.2131</v>
      </c>
      <c r="C1106" s="44">
        <v>347.61160000000001</v>
      </c>
      <c r="D1106" s="44">
        <v>349.35500000000002</v>
      </c>
      <c r="E1106" s="44">
        <v>2774374</v>
      </c>
      <c r="F1106" s="44" t="s">
        <v>1083</v>
      </c>
      <c r="G1106" s="25">
        <f t="shared" si="15"/>
        <v>5.5791386984584967E-3</v>
      </c>
    </row>
    <row r="1107" spans="1:7">
      <c r="A1107" s="44">
        <v>348.89460000000003</v>
      </c>
      <c r="B1107" s="44">
        <v>349.06119999999999</v>
      </c>
      <c r="C1107" s="44">
        <v>340.13819999999998</v>
      </c>
      <c r="D1107" s="44">
        <v>347.3177</v>
      </c>
      <c r="E1107" s="44">
        <v>2516486</v>
      </c>
      <c r="F1107" s="44" t="s">
        <v>1084</v>
      </c>
      <c r="G1107" s="25">
        <f t="shared" si="15"/>
        <v>4.5402235474898411E-3</v>
      </c>
    </row>
    <row r="1108" spans="1:7">
      <c r="A1108" s="44">
        <v>349.44310000000002</v>
      </c>
      <c r="B1108" s="44">
        <v>355.04509999999999</v>
      </c>
      <c r="C1108" s="44">
        <v>348.68900000000002</v>
      </c>
      <c r="D1108" s="44">
        <v>354.27190000000002</v>
      </c>
      <c r="E1108" s="44">
        <v>2796212</v>
      </c>
      <c r="F1108" s="44" t="s">
        <v>1085</v>
      </c>
      <c r="G1108" s="25">
        <f t="shared" si="15"/>
        <v>-1.3630208887580375E-2</v>
      </c>
    </row>
    <row r="1109" spans="1:7">
      <c r="A1109" s="44">
        <v>354.66370000000001</v>
      </c>
      <c r="B1109" s="44">
        <v>354.84980000000002</v>
      </c>
      <c r="C1109" s="44">
        <v>350.26100000000002</v>
      </c>
      <c r="D1109" s="44">
        <v>351.03969999999998</v>
      </c>
      <c r="E1109" s="44">
        <v>2835441</v>
      </c>
      <c r="F1109" s="44" t="s">
        <v>1086</v>
      </c>
      <c r="G1109" s="25">
        <f t="shared" si="15"/>
        <v>1.0323618667632317E-2</v>
      </c>
    </row>
    <row r="1110" spans="1:7">
      <c r="A1110" s="44">
        <v>351.07889999999998</v>
      </c>
      <c r="B1110" s="44">
        <v>352.548</v>
      </c>
      <c r="C1110" s="44">
        <v>343.04149999999998</v>
      </c>
      <c r="D1110" s="44">
        <v>346.6909</v>
      </c>
      <c r="E1110" s="44">
        <v>3280888</v>
      </c>
      <c r="F1110" s="44" t="s">
        <v>1087</v>
      </c>
      <c r="G1110" s="25">
        <f t="shared" si="15"/>
        <v>1.2656807548164561E-2</v>
      </c>
    </row>
    <row r="1111" spans="1:7">
      <c r="A1111" s="44">
        <v>348.68900000000002</v>
      </c>
      <c r="B1111" s="44">
        <v>349.2833</v>
      </c>
      <c r="C1111" s="44">
        <v>340.59859999999998</v>
      </c>
      <c r="D1111" s="44">
        <v>341.83269999999999</v>
      </c>
      <c r="E1111" s="44">
        <v>4053607</v>
      </c>
      <c r="F1111" s="44" t="s">
        <v>1088</v>
      </c>
      <c r="G1111" s="25">
        <f t="shared" si="15"/>
        <v>2.0057472558944855E-2</v>
      </c>
    </row>
    <row r="1112" spans="1:7">
      <c r="A1112" s="44">
        <v>337.50349999999997</v>
      </c>
      <c r="B1112" s="44">
        <v>338.70819999999998</v>
      </c>
      <c r="C1112" s="44">
        <v>333.83049999999997</v>
      </c>
      <c r="D1112" s="44">
        <v>336.77870000000001</v>
      </c>
      <c r="E1112" s="44">
        <v>4085934</v>
      </c>
      <c r="F1112" s="44" t="s">
        <v>1089</v>
      </c>
      <c r="G1112" s="25">
        <f t="shared" si="15"/>
        <v>2.152155109571785E-3</v>
      </c>
    </row>
    <row r="1113" spans="1:7">
      <c r="A1113" s="44">
        <v>335.3193</v>
      </c>
      <c r="B1113" s="44">
        <v>342.32150000000001</v>
      </c>
      <c r="C1113" s="44">
        <v>330.05959999999999</v>
      </c>
      <c r="D1113" s="44">
        <v>339.13920000000002</v>
      </c>
      <c r="E1113" s="44">
        <v>3755921</v>
      </c>
      <c r="F1113" s="44" t="s">
        <v>1090</v>
      </c>
      <c r="G1113" s="25">
        <f t="shared" si="15"/>
        <v>-1.1263516573725485E-2</v>
      </c>
    </row>
    <row r="1114" spans="1:7">
      <c r="A1114" s="44">
        <v>338.24790000000002</v>
      </c>
      <c r="B1114" s="44">
        <v>342.81220000000002</v>
      </c>
      <c r="C1114" s="44">
        <v>337.54270000000002</v>
      </c>
      <c r="D1114" s="44">
        <v>341.48989999999998</v>
      </c>
      <c r="E1114" s="44">
        <v>3042883</v>
      </c>
      <c r="F1114" s="44" t="s">
        <v>1091</v>
      </c>
      <c r="G1114" s="25">
        <f t="shared" si="15"/>
        <v>-9.4936921999742019E-3</v>
      </c>
    </row>
    <row r="1115" spans="1:7">
      <c r="A1115" s="44">
        <v>340.02069999999998</v>
      </c>
      <c r="B1115" s="44">
        <v>347.59199999999998</v>
      </c>
      <c r="C1115" s="44">
        <v>339.7758</v>
      </c>
      <c r="D1115" s="44">
        <v>346.68110000000001</v>
      </c>
      <c r="E1115" s="44">
        <v>2769768</v>
      </c>
      <c r="F1115" s="44" t="s">
        <v>1092</v>
      </c>
      <c r="G1115" s="25">
        <f t="shared" si="15"/>
        <v>-1.9211892427940414E-2</v>
      </c>
    </row>
    <row r="1116" spans="1:7">
      <c r="A1116" s="44">
        <v>347.6703</v>
      </c>
      <c r="B1116" s="44">
        <v>352.9692</v>
      </c>
      <c r="C1116" s="44">
        <v>346.9357</v>
      </c>
      <c r="D1116" s="44">
        <v>348.68900000000002</v>
      </c>
      <c r="E1116" s="44">
        <v>2336909</v>
      </c>
      <c r="F1116" s="44" t="s">
        <v>1093</v>
      </c>
      <c r="G1116" s="25">
        <f t="shared" si="15"/>
        <v>-2.9215145874977866E-3</v>
      </c>
    </row>
    <row r="1117" spans="1:7">
      <c r="A1117" s="44">
        <v>346.64190000000002</v>
      </c>
      <c r="B1117" s="44">
        <v>350.54989999999998</v>
      </c>
      <c r="C1117" s="44">
        <v>341.83269999999999</v>
      </c>
      <c r="D1117" s="44">
        <v>341.83269999999999</v>
      </c>
      <c r="E1117" s="44">
        <v>3209227</v>
      </c>
      <c r="F1117" s="44" t="s">
        <v>1094</v>
      </c>
      <c r="G1117" s="25">
        <f t="shared" si="15"/>
        <v>1.4068870532280897E-2</v>
      </c>
    </row>
    <row r="1118" spans="1:7">
      <c r="A1118" s="44">
        <v>341.09809999999999</v>
      </c>
      <c r="B1118" s="44">
        <v>341.28399999999999</v>
      </c>
      <c r="C1118" s="44">
        <v>331.72669999999999</v>
      </c>
      <c r="D1118" s="44">
        <v>332.6071</v>
      </c>
      <c r="E1118" s="44">
        <v>3711983</v>
      </c>
      <c r="F1118" s="44" t="s">
        <v>1095</v>
      </c>
      <c r="G1118" s="25">
        <f t="shared" si="15"/>
        <v>2.5528619202656699E-2</v>
      </c>
    </row>
    <row r="1119" spans="1:7">
      <c r="A1119" s="44">
        <v>335.73739999999998</v>
      </c>
      <c r="B1119" s="44">
        <v>340.97579999999999</v>
      </c>
      <c r="C1119" s="44">
        <v>335.46350000000001</v>
      </c>
      <c r="D1119" s="44">
        <v>339.99270000000001</v>
      </c>
      <c r="E1119" s="44">
        <v>4724056</v>
      </c>
      <c r="F1119" s="44" t="s">
        <v>1096</v>
      </c>
      <c r="G1119" s="25">
        <f t="shared" si="15"/>
        <v>-1.251585695810542E-2</v>
      </c>
    </row>
    <row r="1120" spans="1:7">
      <c r="A1120" s="44">
        <v>336.70589999999999</v>
      </c>
      <c r="B1120" s="44">
        <v>352.79770000000002</v>
      </c>
      <c r="C1120" s="44">
        <v>331.95170000000002</v>
      </c>
      <c r="D1120" s="44">
        <v>352.09339999999997</v>
      </c>
      <c r="E1120" s="44">
        <v>7901488</v>
      </c>
      <c r="F1120" s="44" t="s">
        <v>1097</v>
      </c>
      <c r="G1120" s="25">
        <f t="shared" si="15"/>
        <v>-4.3702892471145449E-2</v>
      </c>
    </row>
    <row r="1121" spans="1:7">
      <c r="A1121" s="44">
        <v>352.33800000000002</v>
      </c>
      <c r="B1121" s="44">
        <v>355.27260000000001</v>
      </c>
      <c r="C1121" s="44">
        <v>339.60140000000001</v>
      </c>
      <c r="D1121" s="44">
        <v>342.2133</v>
      </c>
      <c r="E1121" s="44">
        <v>5227260</v>
      </c>
      <c r="F1121" s="44" t="s">
        <v>1098</v>
      </c>
      <c r="G1121" s="25">
        <f t="shared" si="15"/>
        <v>2.9585933685219112E-2</v>
      </c>
    </row>
    <row r="1122" spans="1:7">
      <c r="A1122" s="44">
        <v>340.11009999999999</v>
      </c>
      <c r="B1122" s="44">
        <v>348.24900000000002</v>
      </c>
      <c r="C1122" s="44">
        <v>339.83620000000002</v>
      </c>
      <c r="D1122" s="44">
        <v>347.01639999999998</v>
      </c>
      <c r="E1122" s="44">
        <v>4393567</v>
      </c>
      <c r="F1122" s="44" t="s">
        <v>1099</v>
      </c>
      <c r="G1122" s="25">
        <f t="shared" si="15"/>
        <v>-1.9901941233901321E-2</v>
      </c>
    </row>
    <row r="1123" spans="1:7">
      <c r="A1123" s="44">
        <v>345.50009999999997</v>
      </c>
      <c r="B1123" s="44">
        <v>349.4033</v>
      </c>
      <c r="C1123" s="44">
        <v>344.7371</v>
      </c>
      <c r="D1123" s="44">
        <v>345.1284</v>
      </c>
      <c r="E1123" s="44">
        <v>2808806</v>
      </c>
      <c r="F1123" s="44" t="s">
        <v>1100</v>
      </c>
      <c r="G1123" s="25">
        <f t="shared" si="15"/>
        <v>1.0769904765877136E-3</v>
      </c>
    </row>
    <row r="1124" spans="1:7">
      <c r="A1124" s="44">
        <v>343.53390000000002</v>
      </c>
      <c r="B1124" s="44">
        <v>348.24900000000002</v>
      </c>
      <c r="C1124" s="44">
        <v>341.45030000000003</v>
      </c>
      <c r="D1124" s="44">
        <v>347.75979999999998</v>
      </c>
      <c r="E1124" s="44">
        <v>3266995</v>
      </c>
      <c r="F1124" s="44" t="s">
        <v>1101</v>
      </c>
      <c r="G1124" s="25">
        <f t="shared" si="15"/>
        <v>-1.2151778325154239E-2</v>
      </c>
    </row>
    <row r="1125" spans="1:7">
      <c r="A1125" s="44">
        <v>349.00220000000002</v>
      </c>
      <c r="B1125" s="44">
        <v>354.69540000000001</v>
      </c>
      <c r="C1125" s="44">
        <v>347.4273</v>
      </c>
      <c r="D1125" s="44">
        <v>349.27609999999999</v>
      </c>
      <c r="E1125" s="44">
        <v>4157955</v>
      </c>
      <c r="F1125" s="44" t="s">
        <v>1102</v>
      </c>
      <c r="G1125" s="25">
        <f t="shared" si="15"/>
        <v>-7.8419336450441524E-4</v>
      </c>
    </row>
    <row r="1126" spans="1:7">
      <c r="A1126" s="44">
        <v>350.36189999999999</v>
      </c>
      <c r="B1126" s="44">
        <v>352.08850000000001</v>
      </c>
      <c r="C1126" s="44">
        <v>345.08359999999999</v>
      </c>
      <c r="D1126" s="44">
        <v>346.32190000000003</v>
      </c>
      <c r="E1126" s="44">
        <v>3306211</v>
      </c>
      <c r="F1126" s="44" t="s">
        <v>1103</v>
      </c>
      <c r="G1126" s="25">
        <f t="shared" si="15"/>
        <v>1.1665447665885287E-2</v>
      </c>
    </row>
    <row r="1127" spans="1:7">
      <c r="A1127" s="44">
        <v>346.36099999999999</v>
      </c>
      <c r="B1127" s="44">
        <v>347.06529999999998</v>
      </c>
      <c r="C1127" s="44">
        <v>337.6841</v>
      </c>
      <c r="D1127" s="44">
        <v>338.21230000000003</v>
      </c>
      <c r="E1127" s="44">
        <v>4783236</v>
      </c>
      <c r="F1127" s="44" t="s">
        <v>1104</v>
      </c>
      <c r="G1127" s="25">
        <f t="shared" si="15"/>
        <v>2.4093446631006543E-2</v>
      </c>
    </row>
    <row r="1128" spans="1:7">
      <c r="A1128" s="44">
        <v>335.93310000000002</v>
      </c>
      <c r="B1128" s="44">
        <v>336.38310000000001</v>
      </c>
      <c r="C1128" s="44">
        <v>331.16910000000001</v>
      </c>
      <c r="D1128" s="44">
        <v>331.9126</v>
      </c>
      <c r="E1128" s="44">
        <v>3238824</v>
      </c>
      <c r="F1128" s="44" t="s">
        <v>1105</v>
      </c>
      <c r="G1128" s="25">
        <f t="shared" si="15"/>
        <v>1.2113128576619392E-2</v>
      </c>
    </row>
    <row r="1129" spans="1:7">
      <c r="A1129" s="44">
        <v>330.03440000000001</v>
      </c>
      <c r="B1129" s="44">
        <v>335.7081</v>
      </c>
      <c r="C1129" s="44">
        <v>329.93650000000002</v>
      </c>
      <c r="D1129" s="44">
        <v>334.74939999999998</v>
      </c>
      <c r="E1129" s="44">
        <v>2967251</v>
      </c>
      <c r="F1129" s="44" t="s">
        <v>1106</v>
      </c>
      <c r="G1129" s="25">
        <f t="shared" si="15"/>
        <v>-1.4085163408806611E-2</v>
      </c>
    </row>
    <row r="1130" spans="1:7">
      <c r="A1130" s="44">
        <v>332.29410000000001</v>
      </c>
      <c r="B1130" s="44">
        <v>333.6832</v>
      </c>
      <c r="C1130" s="44">
        <v>328.31270000000001</v>
      </c>
      <c r="D1130" s="44">
        <v>330.95389999999998</v>
      </c>
      <c r="E1130" s="44">
        <v>3956645</v>
      </c>
      <c r="F1130" s="44" t="s">
        <v>1107</v>
      </c>
      <c r="G1130" s="25">
        <f t="shared" si="15"/>
        <v>4.0495065929122553E-3</v>
      </c>
    </row>
    <row r="1131" spans="1:7">
      <c r="A1131" s="44">
        <v>335.5711</v>
      </c>
      <c r="B1131" s="44">
        <v>338.46660000000003</v>
      </c>
      <c r="C1131" s="44">
        <v>333.35059999999999</v>
      </c>
      <c r="D1131" s="44">
        <v>336.5102</v>
      </c>
      <c r="E1131" s="44">
        <v>5529836</v>
      </c>
      <c r="F1131" s="44" t="s">
        <v>1108</v>
      </c>
      <c r="G1131" s="25">
        <f t="shared" si="15"/>
        <v>-2.7907029266869277E-3</v>
      </c>
    </row>
    <row r="1132" spans="1:7">
      <c r="A1132" s="44">
        <v>338.76990000000001</v>
      </c>
      <c r="B1132" s="44">
        <v>340.11009999999999</v>
      </c>
      <c r="C1132" s="44">
        <v>337.18520000000001</v>
      </c>
      <c r="D1132" s="44">
        <v>337.8895</v>
      </c>
      <c r="E1132" s="44">
        <v>3771291</v>
      </c>
      <c r="F1132" s="44" t="s">
        <v>1109</v>
      </c>
      <c r="G1132" s="25">
        <f t="shared" si="15"/>
        <v>2.6055855538571482E-3</v>
      </c>
    </row>
    <row r="1133" spans="1:7">
      <c r="A1133" s="44">
        <v>337.2439</v>
      </c>
      <c r="B1133" s="44">
        <v>339.96339999999998</v>
      </c>
      <c r="C1133" s="44">
        <v>335.29719999999998</v>
      </c>
      <c r="D1133" s="44">
        <v>339.44490000000002</v>
      </c>
      <c r="E1133" s="44">
        <v>3833527</v>
      </c>
      <c r="F1133" s="44" t="s">
        <v>1110</v>
      </c>
      <c r="G1133" s="25">
        <f t="shared" si="15"/>
        <v>-6.4841156841656256E-3</v>
      </c>
    </row>
    <row r="1134" spans="1:7">
      <c r="A1134" s="44">
        <v>338.27100000000002</v>
      </c>
      <c r="B1134" s="44">
        <v>342.25729999999999</v>
      </c>
      <c r="C1134" s="44">
        <v>337.733</v>
      </c>
      <c r="D1134" s="44">
        <v>342.06659999999999</v>
      </c>
      <c r="E1134" s="44">
        <v>3282192</v>
      </c>
      <c r="F1134" s="44" t="s">
        <v>1111</v>
      </c>
      <c r="G1134" s="25">
        <f t="shared" si="15"/>
        <v>-1.1096084797521777E-2</v>
      </c>
    </row>
    <row r="1135" spans="1:7">
      <c r="A1135" s="44">
        <v>340.24709999999999</v>
      </c>
      <c r="B1135" s="44">
        <v>344.3263</v>
      </c>
      <c r="C1135" s="44">
        <v>338.81889999999999</v>
      </c>
      <c r="D1135" s="44">
        <v>342.37959999999998</v>
      </c>
      <c r="E1135" s="44">
        <v>3234238</v>
      </c>
      <c r="F1135" s="44" t="s">
        <v>1112</v>
      </c>
      <c r="G1135" s="25">
        <f t="shared" si="15"/>
        <v>-6.2284668829567513E-3</v>
      </c>
    </row>
    <row r="1136" spans="1:7">
      <c r="A1136" s="44">
        <v>339.82639999999998</v>
      </c>
      <c r="B1136" s="44">
        <v>347.27069999999998</v>
      </c>
      <c r="C1136" s="44">
        <v>339.46449999999999</v>
      </c>
      <c r="D1136" s="44">
        <v>347.20030000000003</v>
      </c>
      <c r="E1136" s="44">
        <v>3437652</v>
      </c>
      <c r="F1136" s="44" t="s">
        <v>1113</v>
      </c>
      <c r="G1136" s="25">
        <f t="shared" si="15"/>
        <v>-2.1238172893283891E-2</v>
      </c>
    </row>
    <row r="1137" spans="1:7">
      <c r="A1137" s="44">
        <v>343.75889999999998</v>
      </c>
      <c r="B1137" s="44">
        <v>345.94029999999998</v>
      </c>
      <c r="C1137" s="44">
        <v>342.30130000000003</v>
      </c>
      <c r="D1137" s="44">
        <v>343.07409999999999</v>
      </c>
      <c r="E1137" s="44">
        <v>3716196</v>
      </c>
      <c r="F1137" s="44" t="s">
        <v>1114</v>
      </c>
      <c r="G1137" s="25">
        <f t="shared" si="15"/>
        <v>1.9960702367214367E-3</v>
      </c>
    </row>
    <row r="1138" spans="1:7">
      <c r="A1138" s="44">
        <v>343.39699999999999</v>
      </c>
      <c r="B1138" s="44">
        <v>344.33609999999999</v>
      </c>
      <c r="C1138" s="44">
        <v>337.48849999999999</v>
      </c>
      <c r="D1138" s="44">
        <v>337.48849999999999</v>
      </c>
      <c r="E1138" s="44">
        <v>5054473</v>
      </c>
      <c r="F1138" s="44" t="s">
        <v>1115</v>
      </c>
      <c r="G1138" s="25">
        <f t="shared" si="15"/>
        <v>1.7507263210450041E-2</v>
      </c>
    </row>
    <row r="1139" spans="1:7">
      <c r="A1139" s="44">
        <v>337.20479999999998</v>
      </c>
      <c r="B1139" s="44">
        <v>340.42309999999998</v>
      </c>
      <c r="C1139" s="44">
        <v>335.55160000000001</v>
      </c>
      <c r="D1139" s="44">
        <v>337.3809</v>
      </c>
      <c r="E1139" s="44">
        <v>4766496</v>
      </c>
      <c r="F1139" s="44" t="s">
        <v>1116</v>
      </c>
      <c r="G1139" s="25">
        <f t="shared" si="15"/>
        <v>-5.219619723583202E-4</v>
      </c>
    </row>
    <row r="1140" spans="1:7">
      <c r="A1140" s="44">
        <v>332.82229999999998</v>
      </c>
      <c r="B1140" s="44">
        <v>336.6472</v>
      </c>
      <c r="C1140" s="44">
        <v>331.55059999999997</v>
      </c>
      <c r="D1140" s="44">
        <v>332.52879999999999</v>
      </c>
      <c r="E1140" s="44">
        <v>5172760</v>
      </c>
      <c r="F1140" s="44" t="s">
        <v>1117</v>
      </c>
      <c r="G1140" s="25">
        <f t="shared" si="15"/>
        <v>8.8263031653190716E-4</v>
      </c>
    </row>
    <row r="1141" spans="1:7">
      <c r="A1141" s="44">
        <v>333.84949999999998</v>
      </c>
      <c r="B1141" s="44">
        <v>342.90300000000002</v>
      </c>
      <c r="C1141" s="44">
        <v>331.94189999999998</v>
      </c>
      <c r="D1141" s="44">
        <v>342.87849999999997</v>
      </c>
      <c r="E1141" s="44">
        <v>7413609</v>
      </c>
      <c r="F1141" s="44" t="s">
        <v>1118</v>
      </c>
      <c r="G1141" s="25">
        <f t="shared" si="15"/>
        <v>-2.6332943010424992E-2</v>
      </c>
    </row>
    <row r="1142" spans="1:7">
      <c r="A1142" s="44">
        <v>341.959</v>
      </c>
      <c r="B1142" s="44">
        <v>344.38010000000003</v>
      </c>
      <c r="C1142" s="44">
        <v>339.73840000000001</v>
      </c>
      <c r="D1142" s="44">
        <v>339.81659999999999</v>
      </c>
      <c r="E1142" s="44">
        <v>4499639</v>
      </c>
      <c r="F1142" s="44" t="s">
        <v>1119</v>
      </c>
      <c r="G1142" s="25">
        <f t="shared" si="15"/>
        <v>6.3045772337195771E-3</v>
      </c>
    </row>
    <row r="1143" spans="1:7">
      <c r="A1143" s="44">
        <v>338.69170000000003</v>
      </c>
      <c r="B1143" s="44">
        <v>347.48590000000002</v>
      </c>
      <c r="C1143" s="44">
        <v>337.17540000000002</v>
      </c>
      <c r="D1143" s="44">
        <v>345.25560000000002</v>
      </c>
      <c r="E1143" s="44">
        <v>6780389</v>
      </c>
      <c r="F1143" s="44" t="s">
        <v>1120</v>
      </c>
      <c r="G1143" s="25">
        <f t="shared" si="15"/>
        <v>-1.9011711902717887E-2</v>
      </c>
    </row>
    <row r="1144" spans="1:7">
      <c r="A1144" s="44">
        <v>345.36320000000001</v>
      </c>
      <c r="B1144" s="44">
        <v>350.24450000000002</v>
      </c>
      <c r="C1144" s="44">
        <v>344.5806</v>
      </c>
      <c r="D1144" s="44">
        <v>347.07510000000002</v>
      </c>
      <c r="E1144" s="44">
        <v>4032096</v>
      </c>
      <c r="F1144" s="44" t="s">
        <v>1121</v>
      </c>
      <c r="G1144" s="25">
        <f t="shared" si="15"/>
        <v>-4.9323619009258302E-3</v>
      </c>
    </row>
    <row r="1145" spans="1:7">
      <c r="A1145" s="44">
        <v>347.98480000000001</v>
      </c>
      <c r="B1145" s="44">
        <v>348.73809999999997</v>
      </c>
      <c r="C1145" s="44">
        <v>343.99740000000003</v>
      </c>
      <c r="D1145" s="44">
        <v>344.786</v>
      </c>
      <c r="E1145" s="44">
        <v>3698298</v>
      </c>
      <c r="F1145" s="44" t="s">
        <v>1122</v>
      </c>
      <c r="G1145" s="25">
        <f t="shared" si="15"/>
        <v>9.277638883249395E-3</v>
      </c>
    </row>
    <row r="1146" spans="1:7">
      <c r="A1146" s="44">
        <v>345.1773</v>
      </c>
      <c r="B1146" s="44">
        <v>350.40109999999999</v>
      </c>
      <c r="C1146" s="44">
        <v>344.13780000000003</v>
      </c>
      <c r="D1146" s="44">
        <v>350.2054</v>
      </c>
      <c r="E1146" s="44">
        <v>3946332</v>
      </c>
      <c r="F1146" s="44" t="s">
        <v>1123</v>
      </c>
      <c r="G1146" s="25">
        <f t="shared" si="15"/>
        <v>-1.435757415505301E-2</v>
      </c>
    </row>
    <row r="1147" spans="1:7">
      <c r="A1147" s="44">
        <v>351.28149999999999</v>
      </c>
      <c r="B1147" s="44">
        <v>354.50959999999998</v>
      </c>
      <c r="C1147" s="44">
        <v>350.69450000000001</v>
      </c>
      <c r="D1147" s="44">
        <v>354.07920000000001</v>
      </c>
      <c r="E1147" s="44">
        <v>2340361</v>
      </c>
      <c r="F1147" s="44" t="s">
        <v>1124</v>
      </c>
      <c r="G1147" s="25">
        <f t="shared" si="15"/>
        <v>-7.9013395873014369E-3</v>
      </c>
    </row>
    <row r="1148" spans="1:7">
      <c r="A1148" s="44">
        <v>353.90309999999999</v>
      </c>
      <c r="B1148" s="44">
        <v>358.12909999999999</v>
      </c>
      <c r="C1148" s="44">
        <v>353.59500000000003</v>
      </c>
      <c r="D1148" s="44">
        <v>355.1259</v>
      </c>
      <c r="E1148" s="44">
        <v>3032033</v>
      </c>
      <c r="F1148" s="44" t="s">
        <v>1125</v>
      </c>
      <c r="G1148" s="25">
        <f t="shared" si="15"/>
        <v>-3.4432858881878747E-3</v>
      </c>
    </row>
    <row r="1149" spans="1:7">
      <c r="A1149" s="44">
        <v>353.1499</v>
      </c>
      <c r="B1149" s="44">
        <v>354.35309999999998</v>
      </c>
      <c r="C1149" s="44">
        <v>348.98259999999999</v>
      </c>
      <c r="D1149" s="44">
        <v>349.68700000000001</v>
      </c>
      <c r="E1149" s="44">
        <v>3537868</v>
      </c>
      <c r="F1149" s="44" t="s">
        <v>1126</v>
      </c>
      <c r="G1149" s="25">
        <f t="shared" ref="G1149:G1212" si="16">A1149/D1149-1</f>
        <v>9.9028559826359608E-3</v>
      </c>
    </row>
    <row r="1150" spans="1:7">
      <c r="A1150" s="44">
        <v>347.26100000000002</v>
      </c>
      <c r="B1150" s="44">
        <v>350.51850000000002</v>
      </c>
      <c r="C1150" s="44">
        <v>345.63709999999998</v>
      </c>
      <c r="D1150" s="44">
        <v>349.57940000000002</v>
      </c>
      <c r="E1150" s="44">
        <v>4135879</v>
      </c>
      <c r="F1150" s="44" t="s">
        <v>1127</v>
      </c>
      <c r="G1150" s="25">
        <f t="shared" si="16"/>
        <v>-6.6319697327702487E-3</v>
      </c>
    </row>
    <row r="1151" spans="1:7">
      <c r="A1151" s="44">
        <v>349.53039999999999</v>
      </c>
      <c r="B1151" s="44">
        <v>352.29880000000003</v>
      </c>
      <c r="C1151" s="44">
        <v>346.99680000000001</v>
      </c>
      <c r="D1151" s="44">
        <v>349.12939999999998</v>
      </c>
      <c r="E1151" s="44">
        <v>2727913</v>
      </c>
      <c r="F1151" s="44" t="s">
        <v>1128</v>
      </c>
      <c r="G1151" s="25">
        <f t="shared" si="16"/>
        <v>1.1485712747194565E-3</v>
      </c>
    </row>
    <row r="1152" spans="1:7">
      <c r="A1152" s="44">
        <v>353.09120000000001</v>
      </c>
      <c r="B1152" s="44">
        <v>357.71960000000001</v>
      </c>
      <c r="C1152" s="44">
        <v>352.73899999999998</v>
      </c>
      <c r="D1152" s="44">
        <v>353.31619999999998</v>
      </c>
      <c r="E1152" s="44">
        <v>2774545</v>
      </c>
      <c r="F1152" s="44" t="s">
        <v>1129</v>
      </c>
      <c r="G1152" s="25">
        <f t="shared" si="16"/>
        <v>-6.3682333275394409E-4</v>
      </c>
    </row>
    <row r="1153" spans="1:7">
      <c r="A1153" s="44">
        <v>355.32150000000001</v>
      </c>
      <c r="B1153" s="44">
        <v>356.52480000000003</v>
      </c>
      <c r="C1153" s="44">
        <v>351.95639999999997</v>
      </c>
      <c r="D1153" s="44">
        <v>354.11829999999998</v>
      </c>
      <c r="E1153" s="44">
        <v>2812781</v>
      </c>
      <c r="F1153" s="44" t="s">
        <v>1130</v>
      </c>
      <c r="G1153" s="25">
        <f t="shared" si="16"/>
        <v>3.3977345988616126E-3</v>
      </c>
    </row>
    <row r="1154" spans="1:7">
      <c r="A1154" s="44">
        <v>355.64440000000002</v>
      </c>
      <c r="B1154" s="44">
        <v>355.88889999999998</v>
      </c>
      <c r="C1154" s="44">
        <v>348.85550000000001</v>
      </c>
      <c r="D1154" s="44">
        <v>352.65100000000001</v>
      </c>
      <c r="E1154" s="44">
        <v>2937742</v>
      </c>
      <c r="F1154" s="44" t="s">
        <v>1131</v>
      </c>
      <c r="G1154" s="25">
        <f t="shared" si="16"/>
        <v>8.4882787798701287E-3</v>
      </c>
    </row>
    <row r="1155" spans="1:7">
      <c r="A1155" s="44">
        <v>354.85199999999998</v>
      </c>
      <c r="B1155" s="44">
        <v>355.5856</v>
      </c>
      <c r="C1155" s="44">
        <v>352.77820000000003</v>
      </c>
      <c r="D1155" s="44">
        <v>354.37270000000001</v>
      </c>
      <c r="E1155" s="44">
        <v>2304638</v>
      </c>
      <c r="F1155" s="44" t="s">
        <v>1132</v>
      </c>
      <c r="G1155" s="25">
        <f t="shared" si="16"/>
        <v>1.3525308241859602E-3</v>
      </c>
    </row>
    <row r="1156" spans="1:7">
      <c r="A1156" s="44">
        <v>354.09879999999998</v>
      </c>
      <c r="B1156" s="44">
        <v>355.31180000000001</v>
      </c>
      <c r="C1156" s="44">
        <v>350.05869999999999</v>
      </c>
      <c r="D1156" s="44">
        <v>354.67590000000001</v>
      </c>
      <c r="E1156" s="44">
        <v>3803216</v>
      </c>
      <c r="F1156" s="44" t="s">
        <v>1133</v>
      </c>
      <c r="G1156" s="25">
        <f t="shared" si="16"/>
        <v>-1.6271192939808499E-3</v>
      </c>
    </row>
    <row r="1157" spans="1:7">
      <c r="A1157" s="44">
        <v>356.30959999999999</v>
      </c>
      <c r="B1157" s="44">
        <v>361.90499999999997</v>
      </c>
      <c r="C1157" s="44">
        <v>355.83019999999999</v>
      </c>
      <c r="D1157" s="44">
        <v>360.52569999999997</v>
      </c>
      <c r="E1157" s="44">
        <v>3267708</v>
      </c>
      <c r="F1157" s="44" t="s">
        <v>1134</v>
      </c>
      <c r="G1157" s="25">
        <f t="shared" si="16"/>
        <v>-1.1694311945029123E-2</v>
      </c>
    </row>
    <row r="1158" spans="1:7">
      <c r="A1158" s="44">
        <v>359.83120000000002</v>
      </c>
      <c r="B1158" s="44">
        <v>364.6343</v>
      </c>
      <c r="C1158" s="44">
        <v>356.18239999999997</v>
      </c>
      <c r="D1158" s="44">
        <v>364.18430000000001</v>
      </c>
      <c r="E1158" s="44">
        <v>3225280</v>
      </c>
      <c r="F1158" s="44" t="s">
        <v>1135</v>
      </c>
      <c r="G1158" s="25">
        <f t="shared" si="16"/>
        <v>-1.1953013899830389E-2</v>
      </c>
    </row>
    <row r="1159" spans="1:7">
      <c r="A1159" s="44">
        <v>362.60930000000002</v>
      </c>
      <c r="B1159" s="44">
        <v>366.34620000000001</v>
      </c>
      <c r="C1159" s="44">
        <v>360.85829999999999</v>
      </c>
      <c r="D1159" s="44">
        <v>366.04289999999997</v>
      </c>
      <c r="E1159" s="44">
        <v>2400796</v>
      </c>
      <c r="F1159" s="44" t="s">
        <v>1136</v>
      </c>
      <c r="G1159" s="25">
        <f t="shared" si="16"/>
        <v>-9.380321268353975E-3</v>
      </c>
    </row>
    <row r="1160" spans="1:7">
      <c r="A1160" s="44">
        <v>366.37549999999999</v>
      </c>
      <c r="B1160" s="44">
        <v>367.32440000000003</v>
      </c>
      <c r="C1160" s="44">
        <v>362.92239999999998</v>
      </c>
      <c r="D1160" s="44">
        <v>363.33319999999998</v>
      </c>
      <c r="E1160" s="44">
        <v>2038730</v>
      </c>
      <c r="F1160" s="44" t="s">
        <v>1137</v>
      </c>
      <c r="G1160" s="25">
        <f t="shared" si="16"/>
        <v>8.3733058250663461E-3</v>
      </c>
    </row>
    <row r="1161" spans="1:7">
      <c r="A1161" s="44">
        <v>363.84190000000001</v>
      </c>
      <c r="B1161" s="44">
        <v>363.86149999999998</v>
      </c>
      <c r="C1161" s="44">
        <v>359.0095</v>
      </c>
      <c r="D1161" s="44">
        <v>360.18329999999997</v>
      </c>
      <c r="E1161" s="44">
        <v>2562647</v>
      </c>
      <c r="F1161" s="44" t="s">
        <v>1138</v>
      </c>
      <c r="G1161" s="25">
        <f t="shared" si="16"/>
        <v>1.0157605863459152E-2</v>
      </c>
    </row>
    <row r="1162" spans="1:7">
      <c r="A1162" s="44">
        <v>359.9975</v>
      </c>
      <c r="B1162" s="44">
        <v>361.22030000000001</v>
      </c>
      <c r="C1162" s="44">
        <v>355.5172</v>
      </c>
      <c r="D1162" s="44">
        <v>359.28339999999997</v>
      </c>
      <c r="E1162" s="44">
        <v>3203182</v>
      </c>
      <c r="F1162" s="44" t="s">
        <v>1139</v>
      </c>
      <c r="G1162" s="25">
        <f t="shared" si="16"/>
        <v>1.9875674745897243E-3</v>
      </c>
    </row>
    <row r="1163" spans="1:7">
      <c r="A1163" s="44">
        <v>359.59640000000002</v>
      </c>
      <c r="B1163" s="44">
        <v>368.46890000000002</v>
      </c>
      <c r="C1163" s="44">
        <v>351.74119999999999</v>
      </c>
      <c r="D1163" s="44">
        <v>368.45909999999998</v>
      </c>
      <c r="E1163" s="44">
        <v>6328497</v>
      </c>
      <c r="F1163" s="44" t="s">
        <v>1140</v>
      </c>
      <c r="G1163" s="25">
        <f t="shared" si="16"/>
        <v>-2.4053415969370717E-2</v>
      </c>
    </row>
    <row r="1164" spans="1:7">
      <c r="A1164" s="44">
        <v>367.08960000000002</v>
      </c>
      <c r="B1164" s="44">
        <v>381.48910000000001</v>
      </c>
      <c r="C1164" s="44">
        <v>365.66140000000001</v>
      </c>
      <c r="D1164" s="44">
        <v>380.82389999999998</v>
      </c>
      <c r="E1164" s="44">
        <v>3430303</v>
      </c>
      <c r="F1164" s="44" t="s">
        <v>1141</v>
      </c>
      <c r="G1164" s="25">
        <f t="shared" si="16"/>
        <v>-3.6064700771143765E-2</v>
      </c>
    </row>
    <row r="1165" spans="1:7">
      <c r="A1165" s="44">
        <v>377.53710000000001</v>
      </c>
      <c r="B1165" s="44">
        <v>380.53050000000002</v>
      </c>
      <c r="C1165" s="44">
        <v>374.73939999999999</v>
      </c>
      <c r="D1165" s="44">
        <v>380.53050000000002</v>
      </c>
      <c r="E1165" s="44">
        <v>2533294</v>
      </c>
      <c r="F1165" s="44" t="s">
        <v>1142</v>
      </c>
      <c r="G1165" s="25">
        <f t="shared" si="16"/>
        <v>-7.866386531434455E-3</v>
      </c>
    </row>
    <row r="1166" spans="1:7">
      <c r="A1166" s="44">
        <v>380.34460000000001</v>
      </c>
      <c r="B1166" s="44">
        <v>386.14550000000003</v>
      </c>
      <c r="C1166" s="44">
        <v>379.06310000000002</v>
      </c>
      <c r="D1166" s="44">
        <v>379.06310000000002</v>
      </c>
      <c r="E1166" s="44">
        <v>3774017</v>
      </c>
      <c r="F1166" s="44" t="s">
        <v>1143</v>
      </c>
      <c r="G1166" s="25">
        <f t="shared" si="16"/>
        <v>3.3807036348301178E-3</v>
      </c>
    </row>
    <row r="1167" spans="1:7">
      <c r="A1167" s="44">
        <v>375.0915</v>
      </c>
      <c r="B1167" s="44">
        <v>383.20100000000002</v>
      </c>
      <c r="C1167" s="44">
        <v>374.00080000000003</v>
      </c>
      <c r="D1167" s="44">
        <v>383.09339999999997</v>
      </c>
      <c r="E1167" s="44">
        <v>3372571</v>
      </c>
      <c r="F1167" s="44" t="s">
        <v>1144</v>
      </c>
      <c r="G1167" s="25">
        <f t="shared" si="16"/>
        <v>-2.0887595557636751E-2</v>
      </c>
    </row>
    <row r="1168" spans="1:7">
      <c r="A1168" s="44">
        <v>381.77280000000002</v>
      </c>
      <c r="B1168" s="44">
        <v>386.6737</v>
      </c>
      <c r="C1168" s="44">
        <v>377.48820000000001</v>
      </c>
      <c r="D1168" s="44">
        <v>381.50869999999998</v>
      </c>
      <c r="E1168" s="44">
        <v>2783822</v>
      </c>
      <c r="F1168" s="44" t="s">
        <v>1145</v>
      </c>
      <c r="G1168" s="25">
        <f t="shared" si="16"/>
        <v>6.9225157905972168E-4</v>
      </c>
    </row>
    <row r="1169" spans="1:7">
      <c r="A1169" s="44">
        <v>384.24770000000001</v>
      </c>
      <c r="B1169" s="44">
        <v>384.33580000000001</v>
      </c>
      <c r="C1169" s="44">
        <v>379.81639999999999</v>
      </c>
      <c r="D1169" s="44">
        <v>383.14229999999998</v>
      </c>
      <c r="E1169" s="44">
        <v>2285814</v>
      </c>
      <c r="F1169" s="44" t="s">
        <v>1146</v>
      </c>
      <c r="G1169" s="25">
        <f t="shared" si="16"/>
        <v>2.8850899522188111E-3</v>
      </c>
    </row>
    <row r="1170" spans="1:7">
      <c r="A1170" s="44">
        <v>384.6977</v>
      </c>
      <c r="B1170" s="44">
        <v>385.91070000000002</v>
      </c>
      <c r="C1170" s="44">
        <v>376.7056</v>
      </c>
      <c r="D1170" s="44">
        <v>376.7056</v>
      </c>
      <c r="E1170" s="44">
        <v>3720272</v>
      </c>
      <c r="F1170" s="44" t="s">
        <v>1147</v>
      </c>
      <c r="G1170" s="25">
        <f t="shared" si="16"/>
        <v>2.1215771679528928E-2</v>
      </c>
    </row>
    <row r="1171" spans="1:7">
      <c r="A1171" s="44">
        <v>373.83940000000001</v>
      </c>
      <c r="B1171" s="44">
        <v>374.52420000000001</v>
      </c>
      <c r="C1171" s="44">
        <v>368.84070000000003</v>
      </c>
      <c r="D1171" s="44">
        <v>372.01990000000001</v>
      </c>
      <c r="E1171" s="44">
        <v>4180644</v>
      </c>
      <c r="F1171" s="44" t="s">
        <v>1148</v>
      </c>
      <c r="G1171" s="25">
        <f t="shared" si="16"/>
        <v>4.8908673971472805E-3</v>
      </c>
    </row>
    <row r="1172" spans="1:7">
      <c r="A1172" s="44">
        <v>371.7851</v>
      </c>
      <c r="B1172" s="44">
        <v>372.61079999999998</v>
      </c>
      <c r="C1172" s="44">
        <v>366.88420000000002</v>
      </c>
      <c r="D1172" s="44">
        <v>367.84289999999999</v>
      </c>
      <c r="E1172" s="44">
        <v>2393131</v>
      </c>
      <c r="F1172" s="44" t="s">
        <v>1149</v>
      </c>
      <c r="G1172" s="25">
        <f t="shared" si="16"/>
        <v>1.0717075142676391E-2</v>
      </c>
    </row>
    <row r="1173" spans="1:7">
      <c r="A1173" s="44">
        <v>366.23860000000002</v>
      </c>
      <c r="B1173" s="44">
        <v>368.40039999999999</v>
      </c>
      <c r="C1173" s="44">
        <v>357.31709999999998</v>
      </c>
      <c r="D1173" s="44">
        <v>359.0095</v>
      </c>
      <c r="E1173" s="44">
        <v>3542605</v>
      </c>
      <c r="F1173" s="44" t="s">
        <v>1150</v>
      </c>
      <c r="G1173" s="25">
        <f t="shared" si="16"/>
        <v>2.0136235949188119E-2</v>
      </c>
    </row>
    <row r="1174" spans="1:7">
      <c r="A1174" s="44">
        <v>357.4932</v>
      </c>
      <c r="B1174" s="44">
        <v>370.3569</v>
      </c>
      <c r="C1174" s="44">
        <v>355.45359999999999</v>
      </c>
      <c r="D1174" s="44">
        <v>369.77</v>
      </c>
      <c r="E1174" s="44">
        <v>6814430</v>
      </c>
      <c r="F1174" s="44" t="s">
        <v>1151</v>
      </c>
      <c r="G1174" s="25">
        <f t="shared" si="16"/>
        <v>-3.3201179111339463E-2</v>
      </c>
    </row>
    <row r="1175" spans="1:7">
      <c r="A1175" s="44">
        <v>378.69139999999999</v>
      </c>
      <c r="B1175" s="44">
        <v>384.89339999999999</v>
      </c>
      <c r="C1175" s="44">
        <v>376.94040000000001</v>
      </c>
      <c r="D1175" s="44">
        <v>384.59010000000001</v>
      </c>
      <c r="E1175" s="44">
        <v>2706530</v>
      </c>
      <c r="F1175" s="44" t="s">
        <v>1152</v>
      </c>
      <c r="G1175" s="25">
        <f t="shared" si="16"/>
        <v>-1.5337628295684191E-2</v>
      </c>
    </row>
    <row r="1176" spans="1:7">
      <c r="A1176" s="44">
        <v>381.7337</v>
      </c>
      <c r="B1176" s="44">
        <v>384.73680000000002</v>
      </c>
      <c r="C1176" s="44">
        <v>379.01420000000002</v>
      </c>
      <c r="D1176" s="44">
        <v>381.6456</v>
      </c>
      <c r="E1176" s="44">
        <v>3772968</v>
      </c>
      <c r="F1176" s="44" t="s">
        <v>1153</v>
      </c>
      <c r="G1176" s="25">
        <f t="shared" si="16"/>
        <v>2.3084243601911858E-4</v>
      </c>
    </row>
    <row r="1177" spans="1:7">
      <c r="A1177" s="44">
        <v>382.29129999999998</v>
      </c>
      <c r="B1177" s="44">
        <v>383.10320000000002</v>
      </c>
      <c r="C1177" s="44">
        <v>374.64150000000001</v>
      </c>
      <c r="D1177" s="44">
        <v>374.64150000000001</v>
      </c>
      <c r="E1177" s="44">
        <v>4140829</v>
      </c>
      <c r="F1177" s="44" t="s">
        <v>1154</v>
      </c>
      <c r="G1177" s="25">
        <f t="shared" si="16"/>
        <v>2.0418987218447482E-2</v>
      </c>
    </row>
    <row r="1178" spans="1:7">
      <c r="A1178" s="44">
        <v>375.35559999999998</v>
      </c>
      <c r="B1178" s="44">
        <v>378.22190000000001</v>
      </c>
      <c r="C1178" s="44">
        <v>367.37329999999997</v>
      </c>
      <c r="D1178" s="44">
        <v>367.37329999999997</v>
      </c>
      <c r="E1178" s="44">
        <v>5161005</v>
      </c>
      <c r="F1178" s="44" t="s">
        <v>1155</v>
      </c>
      <c r="G1178" s="25">
        <f t="shared" si="16"/>
        <v>2.1728035216495023E-2</v>
      </c>
    </row>
    <row r="1179" spans="1:7">
      <c r="A1179" s="44">
        <v>367.38310000000001</v>
      </c>
      <c r="B1179" s="44">
        <v>367.88200000000001</v>
      </c>
      <c r="C1179" s="44">
        <v>363.97890000000001</v>
      </c>
      <c r="D1179" s="44">
        <v>366.83530000000002</v>
      </c>
      <c r="E1179" s="44">
        <v>2648393</v>
      </c>
      <c r="F1179" s="44" t="s">
        <v>1156</v>
      </c>
      <c r="G1179" s="25">
        <f t="shared" si="16"/>
        <v>1.4933132116783376E-3</v>
      </c>
    </row>
    <row r="1180" spans="1:7">
      <c r="A1180" s="44">
        <v>364.82010000000002</v>
      </c>
      <c r="B1180" s="44">
        <v>365.34840000000003</v>
      </c>
      <c r="C1180" s="44">
        <v>361.8365</v>
      </c>
      <c r="D1180" s="44">
        <v>363.75389999999999</v>
      </c>
      <c r="E1180" s="44">
        <v>2404802</v>
      </c>
      <c r="F1180" s="44" t="s">
        <v>1157</v>
      </c>
      <c r="G1180" s="25">
        <f t="shared" si="16"/>
        <v>2.9311025943641322E-3</v>
      </c>
    </row>
    <row r="1181" spans="1:7">
      <c r="A1181" s="44">
        <v>362.13</v>
      </c>
      <c r="B1181" s="44">
        <v>362.5213</v>
      </c>
      <c r="C1181" s="44">
        <v>357.68889999999999</v>
      </c>
      <c r="D1181" s="44">
        <v>359.49860000000001</v>
      </c>
      <c r="E1181" s="44">
        <v>2808993</v>
      </c>
      <c r="F1181" s="44" t="s">
        <v>1158</v>
      </c>
      <c r="G1181" s="25">
        <f t="shared" si="16"/>
        <v>7.3196390750895901E-3</v>
      </c>
    </row>
    <row r="1182" spans="1:7">
      <c r="A1182" s="44">
        <v>365.34840000000003</v>
      </c>
      <c r="B1182" s="44">
        <v>369.48140000000001</v>
      </c>
      <c r="C1182" s="44">
        <v>363.91210000000001</v>
      </c>
      <c r="D1182" s="44">
        <v>368.15260000000001</v>
      </c>
      <c r="E1182" s="44">
        <v>3176557</v>
      </c>
      <c r="F1182" s="44" t="s">
        <v>1159</v>
      </c>
      <c r="G1182" s="25">
        <f t="shared" si="16"/>
        <v>-7.6169501451299748E-3</v>
      </c>
    </row>
    <row r="1183" spans="1:7">
      <c r="A1183" s="44">
        <v>367.49790000000002</v>
      </c>
      <c r="B1183" s="44">
        <v>369.56450000000001</v>
      </c>
      <c r="C1183" s="44">
        <v>362.98390000000001</v>
      </c>
      <c r="D1183" s="44">
        <v>368.01580000000001</v>
      </c>
      <c r="E1183" s="44">
        <v>2740460</v>
      </c>
      <c r="F1183" s="44" t="s">
        <v>1160</v>
      </c>
      <c r="G1183" s="25">
        <f t="shared" si="16"/>
        <v>-1.4072765354096184E-3</v>
      </c>
    </row>
    <row r="1184" spans="1:7">
      <c r="A1184" s="44">
        <v>366.43290000000002</v>
      </c>
      <c r="B1184" s="44">
        <v>366.88240000000002</v>
      </c>
      <c r="C1184" s="44">
        <v>363.61900000000003</v>
      </c>
      <c r="D1184" s="44">
        <v>364.14659999999998</v>
      </c>
      <c r="E1184" s="44">
        <v>2787034</v>
      </c>
      <c r="F1184" s="44" t="s">
        <v>1161</v>
      </c>
      <c r="G1184" s="25">
        <f t="shared" si="16"/>
        <v>6.2785153012552275E-3</v>
      </c>
    </row>
    <row r="1185" spans="1:7">
      <c r="A1185" s="44">
        <v>362.21199999999999</v>
      </c>
      <c r="B1185" s="44">
        <v>362.70049999999998</v>
      </c>
      <c r="C1185" s="44">
        <v>357.21910000000003</v>
      </c>
      <c r="D1185" s="44">
        <v>357.65879999999999</v>
      </c>
      <c r="E1185" s="44">
        <v>3108496</v>
      </c>
      <c r="F1185" s="44" t="s">
        <v>1162</v>
      </c>
      <c r="G1185" s="25">
        <f t="shared" si="16"/>
        <v>1.2730568910928497E-2</v>
      </c>
    </row>
    <row r="1186" spans="1:7">
      <c r="A1186" s="44">
        <v>356.7208</v>
      </c>
      <c r="B1186" s="44">
        <v>361.68430000000001</v>
      </c>
      <c r="C1186" s="44">
        <v>355.9196</v>
      </c>
      <c r="D1186" s="44">
        <v>359.51519999999999</v>
      </c>
      <c r="E1186" s="44">
        <v>2884914</v>
      </c>
      <c r="F1186" s="44" t="s">
        <v>1163</v>
      </c>
      <c r="G1186" s="25">
        <f t="shared" si="16"/>
        <v>-7.7726894440067751E-3</v>
      </c>
    </row>
    <row r="1187" spans="1:7">
      <c r="A1187" s="44">
        <v>359.5641</v>
      </c>
      <c r="B1187" s="44">
        <v>362.87639999999999</v>
      </c>
      <c r="C1187" s="44">
        <v>359.47609999999997</v>
      </c>
      <c r="D1187" s="44">
        <v>360.55090000000001</v>
      </c>
      <c r="E1187" s="44">
        <v>3394538</v>
      </c>
      <c r="F1187" s="44" t="s">
        <v>1164</v>
      </c>
      <c r="G1187" s="25">
        <f t="shared" si="16"/>
        <v>-2.7369228588807193E-3</v>
      </c>
    </row>
    <row r="1188" spans="1:7">
      <c r="A1188" s="44">
        <v>359.25139999999999</v>
      </c>
      <c r="B1188" s="44">
        <v>372.18790000000001</v>
      </c>
      <c r="C1188" s="44">
        <v>356.75009999999997</v>
      </c>
      <c r="D1188" s="44">
        <v>372.18790000000001</v>
      </c>
      <c r="E1188" s="44">
        <v>4800274</v>
      </c>
      <c r="F1188" s="44" t="s">
        <v>1165</v>
      </c>
      <c r="G1188" s="25">
        <f t="shared" si="16"/>
        <v>-3.4757981116527503E-2</v>
      </c>
    </row>
    <row r="1189" spans="1:7">
      <c r="A1189" s="44">
        <v>370.90789999999998</v>
      </c>
      <c r="B1189" s="44">
        <v>370.947</v>
      </c>
      <c r="C1189" s="44">
        <v>364.767</v>
      </c>
      <c r="D1189" s="44">
        <v>366.8433</v>
      </c>
      <c r="E1189" s="44">
        <v>3983881</v>
      </c>
      <c r="F1189" s="44" t="s">
        <v>1166</v>
      </c>
      <c r="G1189" s="25">
        <f t="shared" si="16"/>
        <v>1.1079935220297044E-2</v>
      </c>
    </row>
    <row r="1190" spans="1:7">
      <c r="A1190" s="44">
        <v>366.15940000000001</v>
      </c>
      <c r="B1190" s="44">
        <v>371.3476</v>
      </c>
      <c r="C1190" s="44">
        <v>364.35180000000003</v>
      </c>
      <c r="D1190" s="44">
        <v>370.31189999999998</v>
      </c>
      <c r="E1190" s="44">
        <v>2788325</v>
      </c>
      <c r="F1190" s="44" t="s">
        <v>1167</v>
      </c>
      <c r="G1190" s="25">
        <f t="shared" si="16"/>
        <v>-1.1213520278446243E-2</v>
      </c>
    </row>
    <row r="1191" spans="1:7">
      <c r="A1191" s="44">
        <v>366.54039999999998</v>
      </c>
      <c r="B1191" s="44">
        <v>370.03429999999997</v>
      </c>
      <c r="C1191" s="44">
        <v>365.7099</v>
      </c>
      <c r="D1191" s="44">
        <v>369.3349</v>
      </c>
      <c r="E1191" s="44">
        <v>2241911</v>
      </c>
      <c r="F1191" s="44" t="s">
        <v>1168</v>
      </c>
      <c r="G1191" s="25">
        <f t="shared" si="16"/>
        <v>-7.5663036447409793E-3</v>
      </c>
    </row>
    <row r="1192" spans="1:7">
      <c r="A1192" s="44">
        <v>369.37389999999999</v>
      </c>
      <c r="B1192" s="44">
        <v>370.07740000000001</v>
      </c>
      <c r="C1192" s="44">
        <v>363.49189999999999</v>
      </c>
      <c r="D1192" s="44">
        <v>365.41680000000002</v>
      </c>
      <c r="E1192" s="44">
        <v>3582650</v>
      </c>
      <c r="F1192" s="44" t="s">
        <v>1169</v>
      </c>
      <c r="G1192" s="25">
        <f t="shared" si="16"/>
        <v>1.0829004030465939E-2</v>
      </c>
    </row>
    <row r="1193" spans="1:7">
      <c r="A1193" s="44">
        <v>364.53739999999999</v>
      </c>
      <c r="B1193" s="44">
        <v>367.82040000000001</v>
      </c>
      <c r="C1193" s="44">
        <v>357.80529999999999</v>
      </c>
      <c r="D1193" s="44">
        <v>360.16989999999998</v>
      </c>
      <c r="E1193" s="44">
        <v>3094644</v>
      </c>
      <c r="F1193" s="44" t="s">
        <v>1170</v>
      </c>
      <c r="G1193" s="25">
        <f t="shared" si="16"/>
        <v>1.2126221541555848E-2</v>
      </c>
    </row>
    <row r="1194" spans="1:7">
      <c r="A1194" s="44">
        <v>358.99740000000003</v>
      </c>
      <c r="B1194" s="44">
        <v>361.88459999999998</v>
      </c>
      <c r="C1194" s="44">
        <v>353.70159999999998</v>
      </c>
      <c r="D1194" s="44">
        <v>353.81889999999999</v>
      </c>
      <c r="E1194" s="44">
        <v>5009378</v>
      </c>
      <c r="F1194" s="44" t="s">
        <v>1171</v>
      </c>
      <c r="G1194" s="25">
        <f t="shared" si="16"/>
        <v>1.4636018595954203E-2</v>
      </c>
    </row>
    <row r="1195" spans="1:7">
      <c r="A1195" s="44">
        <v>358.87040000000002</v>
      </c>
      <c r="B1195" s="44">
        <v>360.68770000000001</v>
      </c>
      <c r="C1195" s="44">
        <v>352.94929999999999</v>
      </c>
      <c r="D1195" s="44">
        <v>355.16719999999998</v>
      </c>
      <c r="E1195" s="44">
        <v>3824917</v>
      </c>
      <c r="F1195" s="44" t="s">
        <v>1172</v>
      </c>
      <c r="G1195" s="25">
        <f t="shared" si="16"/>
        <v>1.0426638495897311E-2</v>
      </c>
    </row>
    <row r="1196" spans="1:7">
      <c r="A1196" s="44">
        <v>355.47989999999999</v>
      </c>
      <c r="B1196" s="44">
        <v>360.91250000000002</v>
      </c>
      <c r="C1196" s="44">
        <v>353.01769999999999</v>
      </c>
      <c r="D1196" s="44">
        <v>360.91250000000002</v>
      </c>
      <c r="E1196" s="44">
        <v>3081046</v>
      </c>
      <c r="F1196" s="44" t="s">
        <v>1173</v>
      </c>
      <c r="G1196" s="25">
        <f t="shared" si="16"/>
        <v>-1.5052401897967083E-2</v>
      </c>
    </row>
    <row r="1197" spans="1:7">
      <c r="A1197" s="44">
        <v>359.68130000000002</v>
      </c>
      <c r="B1197" s="44">
        <v>360.29689999999999</v>
      </c>
      <c r="C1197" s="44">
        <v>354.42469999999997</v>
      </c>
      <c r="D1197" s="44">
        <v>358.9153</v>
      </c>
      <c r="E1197" s="44">
        <v>3562471</v>
      </c>
      <c r="F1197" s="44" t="s">
        <v>1174</v>
      </c>
      <c r="G1197" s="25">
        <f t="shared" si="16"/>
        <v>2.1342082658499795E-3</v>
      </c>
    </row>
    <row r="1198" spans="1:7">
      <c r="A1198" s="44">
        <v>358.11799999999999</v>
      </c>
      <c r="B1198" s="44">
        <v>358.22550000000001</v>
      </c>
      <c r="C1198" s="44">
        <v>353.79450000000003</v>
      </c>
      <c r="D1198" s="44">
        <v>357.60989999999998</v>
      </c>
      <c r="E1198" s="44">
        <v>2515618</v>
      </c>
      <c r="F1198" s="44" t="s">
        <v>1175</v>
      </c>
      <c r="G1198" s="25">
        <f t="shared" si="16"/>
        <v>1.4208219627029894E-3</v>
      </c>
    </row>
    <row r="1199" spans="1:7">
      <c r="A1199" s="44">
        <v>357.12139999999999</v>
      </c>
      <c r="B1199" s="44">
        <v>358.44040000000001</v>
      </c>
      <c r="C1199" s="44">
        <v>355.46039999999999</v>
      </c>
      <c r="D1199" s="44">
        <v>357.16050000000001</v>
      </c>
      <c r="E1199" s="44">
        <v>2708482</v>
      </c>
      <c r="F1199" s="44" t="s">
        <v>1176</v>
      </c>
      <c r="G1199" s="25">
        <f t="shared" si="16"/>
        <v>-1.0947459195520537E-4</v>
      </c>
    </row>
    <row r="1200" spans="1:7">
      <c r="A1200" s="44">
        <v>355.94889999999998</v>
      </c>
      <c r="B1200" s="44">
        <v>357.25819999999999</v>
      </c>
      <c r="C1200" s="44">
        <v>353.66250000000002</v>
      </c>
      <c r="D1200" s="44">
        <v>356.33</v>
      </c>
      <c r="E1200" s="44">
        <v>2460441</v>
      </c>
      <c r="F1200" s="44" t="s">
        <v>1177</v>
      </c>
      <c r="G1200" s="25">
        <f t="shared" si="16"/>
        <v>-1.0695142143518632E-3</v>
      </c>
    </row>
    <row r="1201" spans="1:7">
      <c r="A1201" s="44">
        <v>355.00110000000001</v>
      </c>
      <c r="B1201" s="44">
        <v>360.85379999999998</v>
      </c>
      <c r="C1201" s="44">
        <v>355.00110000000001</v>
      </c>
      <c r="D1201" s="44">
        <v>358.52839999999998</v>
      </c>
      <c r="E1201" s="44">
        <v>2521216</v>
      </c>
      <c r="F1201" s="44" t="s">
        <v>1178</v>
      </c>
      <c r="G1201" s="25">
        <f t="shared" si="16"/>
        <v>-9.8382722261332045E-3</v>
      </c>
    </row>
    <row r="1202" spans="1:7">
      <c r="A1202" s="44">
        <v>356.88690000000003</v>
      </c>
      <c r="B1202" s="44">
        <v>359.25139999999999</v>
      </c>
      <c r="C1202" s="44">
        <v>354.90339999999998</v>
      </c>
      <c r="D1202" s="44">
        <v>356.63290000000001</v>
      </c>
      <c r="E1202" s="44">
        <v>3224152</v>
      </c>
      <c r="F1202" s="44" t="s">
        <v>1179</v>
      </c>
      <c r="G1202" s="25">
        <f t="shared" si="16"/>
        <v>7.1221696035350668E-4</v>
      </c>
    </row>
    <row r="1203" spans="1:7">
      <c r="A1203" s="44">
        <v>355.73390000000001</v>
      </c>
      <c r="B1203" s="44">
        <v>362.83730000000003</v>
      </c>
      <c r="C1203" s="44">
        <v>354.95229999999998</v>
      </c>
      <c r="D1203" s="44">
        <v>359.36869999999999</v>
      </c>
      <c r="E1203" s="44">
        <v>2133427</v>
      </c>
      <c r="F1203" s="44" t="s">
        <v>1180</v>
      </c>
      <c r="G1203" s="25">
        <f t="shared" si="16"/>
        <v>-1.011440339684555E-2</v>
      </c>
    </row>
    <row r="1204" spans="1:7">
      <c r="A1204" s="44">
        <v>357.62950000000001</v>
      </c>
      <c r="B1204" s="44">
        <v>358.22550000000001</v>
      </c>
      <c r="C1204" s="44">
        <v>355.36270000000002</v>
      </c>
      <c r="D1204" s="44">
        <v>355.95870000000002</v>
      </c>
      <c r="E1204" s="44">
        <v>2295380</v>
      </c>
      <c r="F1204" s="44" t="s">
        <v>1181</v>
      </c>
      <c r="G1204" s="25">
        <f t="shared" si="16"/>
        <v>4.6938029608489806E-3</v>
      </c>
    </row>
    <row r="1205" spans="1:7">
      <c r="A1205" s="44">
        <v>353.5258</v>
      </c>
      <c r="B1205" s="44">
        <v>358.28410000000002</v>
      </c>
      <c r="C1205" s="44">
        <v>353.43880000000001</v>
      </c>
      <c r="D1205" s="44">
        <v>355.03050000000002</v>
      </c>
      <c r="E1205" s="44">
        <v>2606231</v>
      </c>
      <c r="F1205" s="44" t="s">
        <v>1182</v>
      </c>
      <c r="G1205" s="25">
        <f t="shared" si="16"/>
        <v>-4.2382274198977665E-3</v>
      </c>
    </row>
    <row r="1206" spans="1:7">
      <c r="A1206" s="44">
        <v>358.44040000000001</v>
      </c>
      <c r="B1206" s="44">
        <v>362.66140000000001</v>
      </c>
      <c r="C1206" s="44">
        <v>354.56150000000002</v>
      </c>
      <c r="D1206" s="44">
        <v>355.19659999999999</v>
      </c>
      <c r="E1206" s="44">
        <v>3531164</v>
      </c>
      <c r="F1206" s="44" t="s">
        <v>1183</v>
      </c>
      <c r="G1206" s="25">
        <f t="shared" si="16"/>
        <v>9.1324072358800468E-3</v>
      </c>
    </row>
    <row r="1207" spans="1:7">
      <c r="A1207" s="44">
        <v>351.54230000000001</v>
      </c>
      <c r="B1207" s="44">
        <v>357.02370000000002</v>
      </c>
      <c r="C1207" s="44">
        <v>351.298</v>
      </c>
      <c r="D1207" s="44">
        <v>356.12479999999999</v>
      </c>
      <c r="E1207" s="44">
        <v>3119928</v>
      </c>
      <c r="F1207" s="44" t="s">
        <v>1184</v>
      </c>
      <c r="G1207" s="25">
        <f t="shared" si="16"/>
        <v>-1.2867680094169165E-2</v>
      </c>
    </row>
    <row r="1208" spans="1:7">
      <c r="A1208" s="44">
        <v>352.31420000000003</v>
      </c>
      <c r="B1208" s="44">
        <v>357.0335</v>
      </c>
      <c r="C1208" s="44">
        <v>352.15300000000002</v>
      </c>
      <c r="D1208" s="44">
        <v>355.16719999999998</v>
      </c>
      <c r="E1208" s="44">
        <v>3625914</v>
      </c>
      <c r="F1208" s="44" t="s">
        <v>1185</v>
      </c>
      <c r="G1208" s="25">
        <f t="shared" si="16"/>
        <v>-8.0328363655201018E-3</v>
      </c>
    </row>
    <row r="1209" spans="1:7">
      <c r="A1209" s="44">
        <v>353.70159999999998</v>
      </c>
      <c r="B1209" s="44">
        <v>357.99590000000001</v>
      </c>
      <c r="C1209" s="44">
        <v>352.27510000000001</v>
      </c>
      <c r="D1209" s="44">
        <v>356.19319999999999</v>
      </c>
      <c r="E1209" s="44">
        <v>5416264</v>
      </c>
      <c r="F1209" s="44" t="s">
        <v>1186</v>
      </c>
      <c r="G1209" s="25">
        <f t="shared" si="16"/>
        <v>-6.9950801980498412E-3</v>
      </c>
    </row>
    <row r="1210" spans="1:7">
      <c r="A1210" s="44">
        <v>354.33670000000001</v>
      </c>
      <c r="B1210" s="44">
        <v>361.42540000000002</v>
      </c>
      <c r="C1210" s="44">
        <v>353.75049999999999</v>
      </c>
      <c r="D1210" s="44">
        <v>360.5412</v>
      </c>
      <c r="E1210" s="44">
        <v>3101919</v>
      </c>
      <c r="F1210" s="44" t="s">
        <v>1187</v>
      </c>
      <c r="G1210" s="25">
        <f t="shared" si="16"/>
        <v>-1.7208851582010576E-2</v>
      </c>
    </row>
    <row r="1211" spans="1:7">
      <c r="A1211" s="44">
        <v>358.80200000000002</v>
      </c>
      <c r="B1211" s="44">
        <v>365.1823</v>
      </c>
      <c r="C1211" s="44">
        <v>358.41109999999998</v>
      </c>
      <c r="D1211" s="44">
        <v>364.57650000000001</v>
      </c>
      <c r="E1211" s="44">
        <v>3916510</v>
      </c>
      <c r="F1211" s="44" t="s">
        <v>1188</v>
      </c>
      <c r="G1211" s="25">
        <f t="shared" si="16"/>
        <v>-1.5838925438145357E-2</v>
      </c>
    </row>
    <row r="1212" spans="1:7">
      <c r="A1212" s="44">
        <v>363.84370000000001</v>
      </c>
      <c r="B1212" s="44">
        <v>365.17700000000002</v>
      </c>
      <c r="C1212" s="44">
        <v>361.16649999999998</v>
      </c>
      <c r="D1212" s="44">
        <v>361.59640000000002</v>
      </c>
      <c r="E1212" s="44">
        <v>2351777</v>
      </c>
      <c r="F1212" s="44" t="s">
        <v>1189</v>
      </c>
      <c r="G1212" s="25">
        <f t="shared" si="16"/>
        <v>6.2149401929887382E-3</v>
      </c>
    </row>
    <row r="1213" spans="1:7">
      <c r="A1213" s="44">
        <v>359.17329999999998</v>
      </c>
      <c r="B1213" s="44">
        <v>363.99020000000002</v>
      </c>
      <c r="C1213" s="44">
        <v>359.03649999999999</v>
      </c>
      <c r="D1213" s="44">
        <v>360.678</v>
      </c>
      <c r="E1213" s="44">
        <v>2708772</v>
      </c>
      <c r="F1213" s="44" t="s">
        <v>1190</v>
      </c>
      <c r="G1213" s="25">
        <f t="shared" ref="G1213:G1276" si="17">A1213/D1213-1</f>
        <v>-4.1718652094111519E-3</v>
      </c>
    </row>
    <row r="1214" spans="1:7">
      <c r="A1214" s="44">
        <v>359.27100000000002</v>
      </c>
      <c r="B1214" s="44">
        <v>360.9418</v>
      </c>
      <c r="C1214" s="44">
        <v>354.18040000000002</v>
      </c>
      <c r="D1214" s="44">
        <v>354.62009999999998</v>
      </c>
      <c r="E1214" s="44">
        <v>4087452</v>
      </c>
      <c r="F1214" s="44" t="s">
        <v>1191</v>
      </c>
      <c r="G1214" s="25">
        <f t="shared" si="17"/>
        <v>1.3115161830928423E-2</v>
      </c>
    </row>
    <row r="1215" spans="1:7">
      <c r="A1215" s="44">
        <v>352.70499999999998</v>
      </c>
      <c r="B1215" s="44">
        <v>352.87110000000001</v>
      </c>
      <c r="C1215" s="44">
        <v>347.22359999999998</v>
      </c>
      <c r="D1215" s="44">
        <v>349.13869999999997</v>
      </c>
      <c r="E1215" s="44">
        <v>3578231</v>
      </c>
      <c r="F1215" s="44" t="s">
        <v>1192</v>
      </c>
      <c r="G1215" s="25">
        <f t="shared" si="17"/>
        <v>1.0214565157056432E-2</v>
      </c>
    </row>
    <row r="1216" spans="1:7">
      <c r="A1216" s="44">
        <v>354.74709999999999</v>
      </c>
      <c r="B1216" s="44">
        <v>361.36189999999999</v>
      </c>
      <c r="C1216" s="44">
        <v>354.56150000000002</v>
      </c>
      <c r="D1216" s="44">
        <v>358.58699999999999</v>
      </c>
      <c r="E1216" s="44">
        <v>3421210</v>
      </c>
      <c r="F1216" s="44" t="s">
        <v>1193</v>
      </c>
      <c r="G1216" s="25">
        <f t="shared" si="17"/>
        <v>-1.0708419435171979E-2</v>
      </c>
    </row>
    <row r="1217" spans="1:7">
      <c r="A1217" s="44">
        <v>354.97179999999997</v>
      </c>
      <c r="B1217" s="44">
        <v>355.71440000000001</v>
      </c>
      <c r="C1217" s="44">
        <v>349.8519</v>
      </c>
      <c r="D1217" s="44">
        <v>353.9948</v>
      </c>
      <c r="E1217" s="44">
        <v>2511792</v>
      </c>
      <c r="F1217" s="44" t="s">
        <v>1194</v>
      </c>
      <c r="G1217" s="25">
        <f t="shared" si="17"/>
        <v>2.7599275469583073E-3</v>
      </c>
    </row>
    <row r="1218" spans="1:7">
      <c r="A1218" s="44">
        <v>355.56779999999998</v>
      </c>
      <c r="B1218" s="44">
        <v>356.35309999999998</v>
      </c>
      <c r="C1218" s="44">
        <v>353.20760000000001</v>
      </c>
      <c r="D1218" s="44">
        <v>354.70800000000003</v>
      </c>
      <c r="E1218" s="44">
        <v>2959734</v>
      </c>
      <c r="F1218" s="44" t="s">
        <v>1195</v>
      </c>
      <c r="G1218" s="25">
        <f t="shared" si="17"/>
        <v>2.423965628065794E-3</v>
      </c>
    </row>
    <row r="1219" spans="1:7">
      <c r="A1219" s="44">
        <v>351.767</v>
      </c>
      <c r="B1219" s="44">
        <v>354.5224</v>
      </c>
      <c r="C1219" s="44">
        <v>349.71519999999998</v>
      </c>
      <c r="D1219" s="44">
        <v>351.09280000000001</v>
      </c>
      <c r="E1219" s="44">
        <v>2626369</v>
      </c>
      <c r="F1219" s="44" t="s">
        <v>1196</v>
      </c>
      <c r="G1219" s="25">
        <f t="shared" si="17"/>
        <v>1.9202900201884532E-3</v>
      </c>
    </row>
    <row r="1220" spans="1:7">
      <c r="A1220" s="44">
        <v>348.44499999999999</v>
      </c>
      <c r="B1220" s="44">
        <v>357.00409999999999</v>
      </c>
      <c r="C1220" s="44">
        <v>347.48739999999998</v>
      </c>
      <c r="D1220" s="44">
        <v>356.3886</v>
      </c>
      <c r="E1220" s="44">
        <v>3293468</v>
      </c>
      <c r="F1220" s="44" t="s">
        <v>1197</v>
      </c>
      <c r="G1220" s="25">
        <f t="shared" si="17"/>
        <v>-2.2289152907809084E-2</v>
      </c>
    </row>
    <row r="1221" spans="1:7">
      <c r="A1221" s="44">
        <v>359.18299999999999</v>
      </c>
      <c r="B1221" s="44">
        <v>360.47280000000001</v>
      </c>
      <c r="C1221" s="44">
        <v>351.0342</v>
      </c>
      <c r="D1221" s="44">
        <v>352.73430000000002</v>
      </c>
      <c r="E1221" s="44">
        <v>3073389</v>
      </c>
      <c r="F1221" s="44" t="s">
        <v>1198</v>
      </c>
      <c r="G1221" s="25">
        <f t="shared" si="17"/>
        <v>1.8282032680122073E-2</v>
      </c>
    </row>
    <row r="1222" spans="1:7">
      <c r="A1222" s="44">
        <v>357.94209999999998</v>
      </c>
      <c r="B1222" s="44">
        <v>367.38069999999999</v>
      </c>
      <c r="C1222" s="44">
        <v>357.0335</v>
      </c>
      <c r="D1222" s="44">
        <v>367.1755</v>
      </c>
      <c r="E1222" s="44">
        <v>3193732</v>
      </c>
      <c r="F1222" s="44" t="s">
        <v>1199</v>
      </c>
      <c r="G1222" s="25">
        <f t="shared" si="17"/>
        <v>-2.5147102679781264E-2</v>
      </c>
    </row>
    <row r="1223" spans="1:7">
      <c r="A1223" s="44">
        <v>366.79450000000003</v>
      </c>
      <c r="B1223" s="44">
        <v>369.96019999999999</v>
      </c>
      <c r="C1223" s="44">
        <v>364.9966</v>
      </c>
      <c r="D1223" s="44">
        <v>368.61180000000002</v>
      </c>
      <c r="E1223" s="44">
        <v>2936035</v>
      </c>
      <c r="F1223" s="44" t="s">
        <v>1200</v>
      </c>
      <c r="G1223" s="25">
        <f t="shared" si="17"/>
        <v>-4.9301188947288299E-3</v>
      </c>
    </row>
    <row r="1224" spans="1:7">
      <c r="A1224" s="44">
        <v>366.87259999999998</v>
      </c>
      <c r="B1224" s="44">
        <v>367.11689999999999</v>
      </c>
      <c r="C1224" s="44">
        <v>357.3168</v>
      </c>
      <c r="D1224" s="44">
        <v>362.63209999999998</v>
      </c>
      <c r="E1224" s="44">
        <v>3787276</v>
      </c>
      <c r="F1224" s="44" t="s">
        <v>1201</v>
      </c>
      <c r="G1224" s="25">
        <f t="shared" si="17"/>
        <v>1.1693669699952114E-2</v>
      </c>
    </row>
    <row r="1225" spans="1:7">
      <c r="A1225" s="44">
        <v>360.678</v>
      </c>
      <c r="B1225" s="44">
        <v>367.8888</v>
      </c>
      <c r="C1225" s="44">
        <v>359.59339999999997</v>
      </c>
      <c r="D1225" s="44">
        <v>369.26650000000001</v>
      </c>
      <c r="E1225" s="44">
        <v>2342039</v>
      </c>
      <c r="F1225" s="44" t="s">
        <v>1202</v>
      </c>
      <c r="G1225" s="25">
        <f t="shared" si="17"/>
        <v>-2.3258270111152779E-2</v>
      </c>
    </row>
    <row r="1226" spans="1:7">
      <c r="A1226" s="44">
        <v>367.2928</v>
      </c>
      <c r="B1226" s="44">
        <v>369.54</v>
      </c>
      <c r="C1226" s="44">
        <v>363.06200000000001</v>
      </c>
      <c r="D1226" s="44">
        <v>368.42619999999999</v>
      </c>
      <c r="E1226" s="44">
        <v>3321356</v>
      </c>
      <c r="F1226" s="44" t="s">
        <v>1203</v>
      </c>
      <c r="G1226" s="25">
        <f t="shared" si="17"/>
        <v>-3.076328447868204E-3</v>
      </c>
    </row>
    <row r="1227" spans="1:7">
      <c r="A1227" s="44">
        <v>370.70280000000002</v>
      </c>
      <c r="B1227" s="44">
        <v>377.9966</v>
      </c>
      <c r="C1227" s="44">
        <v>368.21120000000002</v>
      </c>
      <c r="D1227" s="44">
        <v>376.6336</v>
      </c>
      <c r="E1227" s="44">
        <v>3344081</v>
      </c>
      <c r="F1227" s="44" t="s">
        <v>1204</v>
      </c>
      <c r="G1227" s="25">
        <f t="shared" si="17"/>
        <v>-1.574686910567713E-2</v>
      </c>
    </row>
    <row r="1228" spans="1:7">
      <c r="A1228" s="44">
        <v>373.30180000000001</v>
      </c>
      <c r="B1228" s="44">
        <v>376.17439999999999</v>
      </c>
      <c r="C1228" s="44">
        <v>366.99959999999999</v>
      </c>
      <c r="D1228" s="44">
        <v>374.08339999999998</v>
      </c>
      <c r="E1228" s="44">
        <v>4043225</v>
      </c>
      <c r="F1228" s="44" t="s">
        <v>1205</v>
      </c>
      <c r="G1228" s="25">
        <f t="shared" si="17"/>
        <v>-2.0893736530409601E-3</v>
      </c>
    </row>
    <row r="1229" spans="1:7">
      <c r="A1229" s="44">
        <v>380.03379999999999</v>
      </c>
      <c r="B1229" s="44">
        <v>383.39499999999998</v>
      </c>
      <c r="C1229" s="44">
        <v>375.0068</v>
      </c>
      <c r="D1229" s="44">
        <v>382.52539999999999</v>
      </c>
      <c r="E1229" s="44">
        <v>4637096</v>
      </c>
      <c r="F1229" s="44" t="s">
        <v>1206</v>
      </c>
      <c r="G1229" s="25">
        <f t="shared" si="17"/>
        <v>-6.5135543940350038E-3</v>
      </c>
    </row>
    <row r="1230" spans="1:7">
      <c r="A1230" s="44">
        <v>386.58019999999999</v>
      </c>
      <c r="B1230" s="44">
        <v>392.29610000000002</v>
      </c>
      <c r="C1230" s="44">
        <v>381.74369999999999</v>
      </c>
      <c r="D1230" s="44">
        <v>381.74369999999999</v>
      </c>
      <c r="E1230" s="44">
        <v>4065306</v>
      </c>
      <c r="F1230" s="44" t="s">
        <v>1207</v>
      </c>
      <c r="G1230" s="25">
        <f t="shared" si="17"/>
        <v>1.2669495266064645E-2</v>
      </c>
    </row>
    <row r="1231" spans="1:7">
      <c r="A1231" s="44">
        <v>380.15109999999999</v>
      </c>
      <c r="B1231" s="44">
        <v>381.47989999999999</v>
      </c>
      <c r="C1231" s="44">
        <v>377.28829999999999</v>
      </c>
      <c r="D1231" s="44">
        <v>379.32060000000001</v>
      </c>
      <c r="E1231" s="44">
        <v>2270000</v>
      </c>
      <c r="F1231" s="44" t="s">
        <v>1208</v>
      </c>
      <c r="G1231" s="25">
        <f t="shared" si="17"/>
        <v>2.1894408054821124E-3</v>
      </c>
    </row>
    <row r="1232" spans="1:7">
      <c r="A1232" s="44">
        <v>378.58780000000002</v>
      </c>
      <c r="B1232" s="44">
        <v>383.93239999999997</v>
      </c>
      <c r="C1232" s="44">
        <v>378.22620000000001</v>
      </c>
      <c r="D1232" s="44">
        <v>378.93950000000001</v>
      </c>
      <c r="E1232" s="44">
        <v>2255026</v>
      </c>
      <c r="F1232" s="44" t="s">
        <v>1209</v>
      </c>
      <c r="G1232" s="25">
        <f t="shared" si="17"/>
        <v>-9.281164935299735E-4</v>
      </c>
    </row>
    <row r="1233" spans="1:7">
      <c r="A1233" s="44">
        <v>378.18720000000002</v>
      </c>
      <c r="B1233" s="44">
        <v>380.9425</v>
      </c>
      <c r="C1233" s="44">
        <v>374.66969999999998</v>
      </c>
      <c r="D1233" s="44">
        <v>375.53930000000003</v>
      </c>
      <c r="E1233" s="44">
        <v>2295300</v>
      </c>
      <c r="F1233" s="44" t="s">
        <v>1210</v>
      </c>
      <c r="G1233" s="25">
        <f t="shared" si="17"/>
        <v>7.0509264942444361E-3</v>
      </c>
    </row>
    <row r="1234" spans="1:7">
      <c r="A1234" s="44">
        <v>374.572</v>
      </c>
      <c r="B1234" s="44">
        <v>380.57119999999998</v>
      </c>
      <c r="C1234" s="44">
        <v>373.23340000000002</v>
      </c>
      <c r="D1234" s="44">
        <v>374.29840000000002</v>
      </c>
      <c r="E1234" s="44">
        <v>3713712</v>
      </c>
      <c r="F1234" s="44" t="s">
        <v>1211</v>
      </c>
      <c r="G1234" s="25">
        <f t="shared" si="17"/>
        <v>7.3096759163271408E-4</v>
      </c>
    </row>
    <row r="1235" spans="1:7">
      <c r="A1235" s="44">
        <v>374.31790000000001</v>
      </c>
      <c r="B1235" s="44">
        <v>375.29500000000002</v>
      </c>
      <c r="C1235" s="44">
        <v>368.03530000000001</v>
      </c>
      <c r="D1235" s="44">
        <v>369.91129999999998</v>
      </c>
      <c r="E1235" s="44">
        <v>2466385</v>
      </c>
      <c r="F1235" s="44" t="s">
        <v>1212</v>
      </c>
      <c r="G1235" s="25">
        <f t="shared" si="17"/>
        <v>1.1912585530639452E-2</v>
      </c>
    </row>
    <row r="1236" spans="1:7">
      <c r="A1236" s="44">
        <v>367.99630000000002</v>
      </c>
      <c r="B1236" s="44">
        <v>372.56900000000002</v>
      </c>
      <c r="C1236" s="44">
        <v>364.9966</v>
      </c>
      <c r="D1236" s="44">
        <v>371.47460000000001</v>
      </c>
      <c r="E1236" s="44">
        <v>3135947</v>
      </c>
      <c r="F1236" s="44" t="s">
        <v>1213</v>
      </c>
      <c r="G1236" s="25">
        <f t="shared" si="17"/>
        <v>-9.3634934932294023E-3</v>
      </c>
    </row>
    <row r="1237" spans="1:7">
      <c r="A1237" s="44">
        <v>373.39949999999999</v>
      </c>
      <c r="B1237" s="44">
        <v>378.85449999999997</v>
      </c>
      <c r="C1237" s="44">
        <v>372.57870000000003</v>
      </c>
      <c r="D1237" s="44">
        <v>376.07670000000002</v>
      </c>
      <c r="E1237" s="44">
        <v>3361053</v>
      </c>
      <c r="F1237" s="44" t="s">
        <v>1214</v>
      </c>
      <c r="G1237" s="25">
        <f t="shared" si="17"/>
        <v>-7.1187606145236559E-3</v>
      </c>
    </row>
    <row r="1238" spans="1:7">
      <c r="A1238" s="44">
        <v>377.31760000000003</v>
      </c>
      <c r="B1238" s="44">
        <v>380.18040000000002</v>
      </c>
      <c r="C1238" s="44">
        <v>374.87490000000003</v>
      </c>
      <c r="D1238" s="44">
        <v>380.08269999999999</v>
      </c>
      <c r="E1238" s="44">
        <v>2725766</v>
      </c>
      <c r="F1238" s="44" t="s">
        <v>1215</v>
      </c>
      <c r="G1238" s="25">
        <f t="shared" si="17"/>
        <v>-7.2749956785719272E-3</v>
      </c>
    </row>
    <row r="1239" spans="1:7">
      <c r="A1239" s="44">
        <v>377.6302</v>
      </c>
      <c r="B1239" s="44">
        <v>378.49009999999998</v>
      </c>
      <c r="C1239" s="44">
        <v>372.23680000000002</v>
      </c>
      <c r="D1239" s="44">
        <v>372.43220000000002</v>
      </c>
      <c r="E1239" s="44">
        <v>2942155</v>
      </c>
      <c r="F1239" s="44" t="s">
        <v>1216</v>
      </c>
      <c r="G1239" s="25">
        <f t="shared" si="17"/>
        <v>1.3956902759750589E-2</v>
      </c>
    </row>
    <row r="1240" spans="1:7">
      <c r="A1240" s="44">
        <v>369.64749999999998</v>
      </c>
      <c r="B1240" s="44">
        <v>372.21719999999999</v>
      </c>
      <c r="C1240" s="44">
        <v>366.99419999999998</v>
      </c>
      <c r="D1240" s="44">
        <v>368.3578</v>
      </c>
      <c r="E1240" s="44">
        <v>2317388</v>
      </c>
      <c r="F1240" s="44" t="s">
        <v>1217</v>
      </c>
      <c r="G1240" s="25">
        <f t="shared" si="17"/>
        <v>3.5012153943800861E-3</v>
      </c>
    </row>
    <row r="1241" spans="1:7">
      <c r="A1241" s="44">
        <v>369.46190000000001</v>
      </c>
      <c r="B1241" s="44">
        <v>371.38670000000002</v>
      </c>
      <c r="C1241" s="44">
        <v>368.16250000000002</v>
      </c>
      <c r="D1241" s="44">
        <v>370.37060000000002</v>
      </c>
      <c r="E1241" s="44">
        <v>2652779</v>
      </c>
      <c r="F1241" s="44" t="s">
        <v>1218</v>
      </c>
      <c r="G1241" s="25">
        <f t="shared" si="17"/>
        <v>-2.4534884788371958E-3</v>
      </c>
    </row>
    <row r="1242" spans="1:7">
      <c r="A1242" s="44">
        <v>371.1327</v>
      </c>
      <c r="B1242" s="44">
        <v>372.20749999999998</v>
      </c>
      <c r="C1242" s="44">
        <v>367.5566</v>
      </c>
      <c r="D1242" s="44">
        <v>369.41300000000001</v>
      </c>
      <c r="E1242" s="44">
        <v>2896632</v>
      </c>
      <c r="F1242" s="44" t="s">
        <v>1219</v>
      </c>
      <c r="G1242" s="25">
        <f t="shared" si="17"/>
        <v>4.6552232866736709E-3</v>
      </c>
    </row>
    <row r="1243" spans="1:7">
      <c r="A1243" s="44">
        <v>371.36720000000003</v>
      </c>
      <c r="B1243" s="44">
        <v>371.63099999999997</v>
      </c>
      <c r="C1243" s="44">
        <v>365.85649999999998</v>
      </c>
      <c r="D1243" s="44">
        <v>367.45890000000003</v>
      </c>
      <c r="E1243" s="44">
        <v>2429302</v>
      </c>
      <c r="F1243" s="44" t="s">
        <v>1220</v>
      </c>
      <c r="G1243" s="25">
        <f t="shared" si="17"/>
        <v>1.0636019429655974E-2</v>
      </c>
    </row>
    <row r="1244" spans="1:7">
      <c r="A1244" s="44">
        <v>369.08080000000001</v>
      </c>
      <c r="B1244" s="44">
        <v>370.6148</v>
      </c>
      <c r="C1244" s="44">
        <v>364.20519999999999</v>
      </c>
      <c r="D1244" s="44">
        <v>364.4495</v>
      </c>
      <c r="E1244" s="44">
        <v>3528391</v>
      </c>
      <c r="F1244" s="44" t="s">
        <v>1221</v>
      </c>
      <c r="G1244" s="25">
        <f t="shared" si="17"/>
        <v>1.2707659085826828E-2</v>
      </c>
    </row>
    <row r="1245" spans="1:7">
      <c r="A1245" s="44">
        <v>362.14359999999999</v>
      </c>
      <c r="B1245" s="44">
        <v>364.95420000000001</v>
      </c>
      <c r="C1245" s="44">
        <v>360.11369999999999</v>
      </c>
      <c r="D1245" s="44">
        <v>360.25029999999998</v>
      </c>
      <c r="E1245" s="44">
        <v>2958447</v>
      </c>
      <c r="F1245" s="44" t="s">
        <v>1222</v>
      </c>
      <c r="G1245" s="25">
        <f t="shared" si="17"/>
        <v>5.2555126255273699E-3</v>
      </c>
    </row>
    <row r="1246" spans="1:7">
      <c r="A1246" s="44">
        <v>360.66989999999998</v>
      </c>
      <c r="B1246" s="44">
        <v>361.82150000000001</v>
      </c>
      <c r="C1246" s="44">
        <v>353.77019999999999</v>
      </c>
      <c r="D1246" s="44">
        <v>356.11239999999998</v>
      </c>
      <c r="E1246" s="44">
        <v>2662240</v>
      </c>
      <c r="F1246" s="44" t="s">
        <v>1223</v>
      </c>
      <c r="G1246" s="25">
        <f t="shared" si="17"/>
        <v>1.2797925598771576E-2</v>
      </c>
    </row>
    <row r="1247" spans="1:7">
      <c r="A1247" s="44">
        <v>359.45</v>
      </c>
      <c r="B1247" s="44">
        <v>361.59710000000001</v>
      </c>
      <c r="C1247" s="44">
        <v>355.5659</v>
      </c>
      <c r="D1247" s="44">
        <v>357.96660000000003</v>
      </c>
      <c r="E1247" s="44">
        <v>2180282</v>
      </c>
      <c r="F1247" s="44" t="s">
        <v>1224</v>
      </c>
      <c r="G1247" s="25">
        <f t="shared" si="17"/>
        <v>4.1439620344467798E-3</v>
      </c>
    </row>
    <row r="1248" spans="1:7">
      <c r="A1248" s="44">
        <v>354.55090000000001</v>
      </c>
      <c r="B1248" s="44">
        <v>354.64850000000001</v>
      </c>
      <c r="C1248" s="44">
        <v>346.685</v>
      </c>
      <c r="D1248" s="44">
        <v>348.44170000000003</v>
      </c>
      <c r="E1248" s="44">
        <v>3701843</v>
      </c>
      <c r="F1248" s="44" t="s">
        <v>1225</v>
      </c>
      <c r="G1248" s="25">
        <f t="shared" si="17"/>
        <v>1.7532918706343104E-2</v>
      </c>
    </row>
    <row r="1249" spans="1:7">
      <c r="A1249" s="44">
        <v>347.47550000000001</v>
      </c>
      <c r="B1249" s="44">
        <v>352.79430000000002</v>
      </c>
      <c r="C1249" s="44">
        <v>347.21199999999999</v>
      </c>
      <c r="D1249" s="44">
        <v>350.93029999999999</v>
      </c>
      <c r="E1249" s="44">
        <v>4372765</v>
      </c>
      <c r="F1249" s="44" t="s">
        <v>1226</v>
      </c>
      <c r="G1249" s="25">
        <f t="shared" si="17"/>
        <v>-9.8446899569515356E-3</v>
      </c>
    </row>
    <row r="1250" spans="1:7">
      <c r="A1250" s="44">
        <v>349.57369999999997</v>
      </c>
      <c r="B1250" s="44">
        <v>355.7903</v>
      </c>
      <c r="C1250" s="44">
        <v>348.50020000000001</v>
      </c>
      <c r="D1250" s="44">
        <v>352.09160000000003</v>
      </c>
      <c r="E1250" s="44">
        <v>2885757</v>
      </c>
      <c r="F1250" s="44" t="s">
        <v>1227</v>
      </c>
      <c r="G1250" s="25">
        <f t="shared" si="17"/>
        <v>-7.1512640460609234E-3</v>
      </c>
    </row>
    <row r="1251" spans="1:7">
      <c r="A1251" s="44">
        <v>354.1703</v>
      </c>
      <c r="B1251" s="44">
        <v>356.55160000000001</v>
      </c>
      <c r="C1251" s="44">
        <v>349.97390000000001</v>
      </c>
      <c r="D1251" s="44">
        <v>355.4683</v>
      </c>
      <c r="E1251" s="44">
        <v>4055044</v>
      </c>
      <c r="F1251" s="44" t="s">
        <v>1228</v>
      </c>
      <c r="G1251" s="25">
        <f t="shared" si="17"/>
        <v>-3.6515211061014519E-3</v>
      </c>
    </row>
    <row r="1252" spans="1:7">
      <c r="A1252" s="44">
        <v>357.32249999999999</v>
      </c>
      <c r="B1252" s="44">
        <v>357.78120000000001</v>
      </c>
      <c r="C1252" s="44">
        <v>348.65640000000002</v>
      </c>
      <c r="D1252" s="44">
        <v>351.26209999999998</v>
      </c>
      <c r="E1252" s="44">
        <v>2741425</v>
      </c>
      <c r="F1252" s="44" t="s">
        <v>1229</v>
      </c>
      <c r="G1252" s="25">
        <f t="shared" si="17"/>
        <v>1.7253213483606755E-2</v>
      </c>
    </row>
    <row r="1253" spans="1:7">
      <c r="A1253" s="44">
        <v>349.72989999999999</v>
      </c>
      <c r="B1253" s="44">
        <v>350.81319999999999</v>
      </c>
      <c r="C1253" s="44">
        <v>345.62130000000002</v>
      </c>
      <c r="D1253" s="44">
        <v>349.38830000000002</v>
      </c>
      <c r="E1253" s="44">
        <v>2961996</v>
      </c>
      <c r="F1253" s="44" t="s">
        <v>1230</v>
      </c>
      <c r="G1253" s="25">
        <f t="shared" si="17"/>
        <v>9.7770875555935888E-4</v>
      </c>
    </row>
    <row r="1254" spans="1:7">
      <c r="A1254" s="44">
        <v>350.98880000000003</v>
      </c>
      <c r="B1254" s="44">
        <v>356.2002</v>
      </c>
      <c r="C1254" s="44">
        <v>347.42669999999998</v>
      </c>
      <c r="D1254" s="44">
        <v>348.48070000000001</v>
      </c>
      <c r="E1254" s="44">
        <v>3549982</v>
      </c>
      <c r="F1254" s="44" t="s">
        <v>1231</v>
      </c>
      <c r="G1254" s="25">
        <f t="shared" si="17"/>
        <v>7.1972422002137826E-3</v>
      </c>
    </row>
    <row r="1255" spans="1:7">
      <c r="A1255" s="44">
        <v>346.71429999999998</v>
      </c>
      <c r="B1255" s="44">
        <v>350.64729999999997</v>
      </c>
      <c r="C1255" s="44">
        <v>344.9973</v>
      </c>
      <c r="D1255" s="44">
        <v>350.64729999999997</v>
      </c>
      <c r="E1255" s="44">
        <v>3756440</v>
      </c>
      <c r="F1255" s="44" t="s">
        <v>1232</v>
      </c>
      <c r="G1255" s="25">
        <f t="shared" si="17"/>
        <v>-1.1216398928495908E-2</v>
      </c>
    </row>
    <row r="1256" spans="1:7">
      <c r="A1256" s="44">
        <v>349.76889999999997</v>
      </c>
      <c r="B1256" s="44">
        <v>352.94069999999999</v>
      </c>
      <c r="C1256" s="44">
        <v>345.47489999999999</v>
      </c>
      <c r="D1256" s="44">
        <v>347.3682</v>
      </c>
      <c r="E1256" s="44">
        <v>4140708</v>
      </c>
      <c r="F1256" s="44" t="s">
        <v>1233</v>
      </c>
      <c r="G1256" s="25">
        <f t="shared" si="17"/>
        <v>6.9111104585852789E-3</v>
      </c>
    </row>
    <row r="1257" spans="1:7">
      <c r="A1257" s="44">
        <v>347.92439999999999</v>
      </c>
      <c r="B1257" s="44">
        <v>357.45920000000001</v>
      </c>
      <c r="C1257" s="44">
        <v>341.7079</v>
      </c>
      <c r="D1257" s="44">
        <v>356.01479999999998</v>
      </c>
      <c r="E1257" s="44">
        <v>12224317</v>
      </c>
      <c r="F1257" s="44" t="s">
        <v>1234</v>
      </c>
      <c r="G1257" s="25">
        <f t="shared" si="17"/>
        <v>-2.2724897953680601E-2</v>
      </c>
    </row>
    <row r="1258" spans="1:7">
      <c r="A1258" s="44">
        <v>358.16180000000003</v>
      </c>
      <c r="B1258" s="44">
        <v>366.43270000000001</v>
      </c>
      <c r="C1258" s="44">
        <v>356.24900000000002</v>
      </c>
      <c r="D1258" s="44">
        <v>365.9984</v>
      </c>
      <c r="E1258" s="44">
        <v>7205724</v>
      </c>
      <c r="F1258" s="44" t="s">
        <v>1235</v>
      </c>
      <c r="G1258" s="25">
        <f t="shared" si="17"/>
        <v>-2.1411569012323439E-2</v>
      </c>
    </row>
    <row r="1259" spans="1:7">
      <c r="A1259" s="44">
        <v>369.56049999999999</v>
      </c>
      <c r="B1259" s="44">
        <v>375.82589999999999</v>
      </c>
      <c r="C1259" s="44">
        <v>366.81819999999999</v>
      </c>
      <c r="D1259" s="44">
        <v>372.6542</v>
      </c>
      <c r="E1259" s="44">
        <v>3240916</v>
      </c>
      <c r="F1259" s="44" t="s">
        <v>1236</v>
      </c>
      <c r="G1259" s="25">
        <f t="shared" si="17"/>
        <v>-8.3017982891377962E-3</v>
      </c>
    </row>
    <row r="1260" spans="1:7">
      <c r="A1260" s="44">
        <v>373.17140000000001</v>
      </c>
      <c r="B1260" s="44">
        <v>376.0016</v>
      </c>
      <c r="C1260" s="44">
        <v>369.56540000000001</v>
      </c>
      <c r="D1260" s="44">
        <v>373.4837</v>
      </c>
      <c r="E1260" s="44">
        <v>3445088</v>
      </c>
      <c r="F1260" s="44" t="s">
        <v>1237</v>
      </c>
      <c r="G1260" s="25">
        <f t="shared" si="17"/>
        <v>-8.3618107028493593E-4</v>
      </c>
    </row>
    <row r="1261" spans="1:7">
      <c r="A1261" s="44">
        <v>372.56639999999999</v>
      </c>
      <c r="B1261" s="44">
        <v>378.51949999999999</v>
      </c>
      <c r="C1261" s="44">
        <v>369.5215</v>
      </c>
      <c r="D1261" s="44">
        <v>374.07900000000001</v>
      </c>
      <c r="E1261" s="44">
        <v>4216398</v>
      </c>
      <c r="F1261" s="44" t="s">
        <v>1238</v>
      </c>
      <c r="G1261" s="25">
        <f t="shared" si="17"/>
        <v>-4.0435309119197793E-3</v>
      </c>
    </row>
    <row r="1262" spans="1:7">
      <c r="A1262" s="44">
        <v>373.49349999999998</v>
      </c>
      <c r="B1262" s="44">
        <v>374.68720000000002</v>
      </c>
      <c r="C1262" s="44">
        <v>370.10219999999998</v>
      </c>
      <c r="D1262" s="44">
        <v>371.96129999999999</v>
      </c>
      <c r="E1262" s="44">
        <v>2467524</v>
      </c>
      <c r="F1262" s="44" t="s">
        <v>1239</v>
      </c>
      <c r="G1262" s="25">
        <f t="shared" si="17"/>
        <v>4.1192457387366765E-3</v>
      </c>
    </row>
    <row r="1263" spans="1:7">
      <c r="A1263" s="44">
        <v>375.12329999999997</v>
      </c>
      <c r="B1263" s="44">
        <v>380.12</v>
      </c>
      <c r="C1263" s="44">
        <v>373.3861</v>
      </c>
      <c r="D1263" s="44">
        <v>376.21629999999999</v>
      </c>
      <c r="E1263" s="44">
        <v>3729655</v>
      </c>
      <c r="F1263" s="44" t="s">
        <v>1240</v>
      </c>
      <c r="G1263" s="25">
        <f t="shared" si="17"/>
        <v>-2.9052436058725206E-3</v>
      </c>
    </row>
    <row r="1264" spans="1:7">
      <c r="A1264" s="44">
        <v>372.50779999999997</v>
      </c>
      <c r="B1264" s="44">
        <v>374.75240000000002</v>
      </c>
      <c r="C1264" s="44">
        <v>364.01729999999998</v>
      </c>
      <c r="D1264" s="44">
        <v>367.53059999999999</v>
      </c>
      <c r="E1264" s="44">
        <v>4509457</v>
      </c>
      <c r="F1264" s="44" t="s">
        <v>1241</v>
      </c>
      <c r="G1264" s="25">
        <f t="shared" si="17"/>
        <v>1.3542273758974099E-2</v>
      </c>
    </row>
    <row r="1265" spans="1:7">
      <c r="A1265" s="44">
        <v>367.45260000000002</v>
      </c>
      <c r="B1265" s="44">
        <v>377.99250000000001</v>
      </c>
      <c r="C1265" s="44">
        <v>363.74689999999998</v>
      </c>
      <c r="D1265" s="44">
        <v>365.9692</v>
      </c>
      <c r="E1265" s="44">
        <v>5832779</v>
      </c>
      <c r="F1265" s="44" t="s">
        <v>1242</v>
      </c>
      <c r="G1265" s="25">
        <f t="shared" si="17"/>
        <v>4.0533465657766055E-3</v>
      </c>
    </row>
    <row r="1266" spans="1:7">
      <c r="A1266" s="44">
        <v>362.38749999999999</v>
      </c>
      <c r="B1266" s="44">
        <v>373.24950000000001</v>
      </c>
      <c r="C1266" s="44">
        <v>353.07729999999998</v>
      </c>
      <c r="D1266" s="44">
        <v>353.67259999999999</v>
      </c>
      <c r="E1266" s="44">
        <v>7213336</v>
      </c>
      <c r="F1266" s="44" t="s">
        <v>1243</v>
      </c>
      <c r="G1266" s="25">
        <f t="shared" si="17"/>
        <v>2.4641151166361119E-2</v>
      </c>
    </row>
    <row r="1267" spans="1:7">
      <c r="A1267" s="44">
        <v>352.18920000000003</v>
      </c>
      <c r="B1267" s="44">
        <v>353.07240000000002</v>
      </c>
      <c r="C1267" s="44">
        <v>338.07260000000002</v>
      </c>
      <c r="D1267" s="44">
        <v>346.37270000000001</v>
      </c>
      <c r="E1267" s="44">
        <v>4643227</v>
      </c>
      <c r="F1267" s="44" t="s">
        <v>1244</v>
      </c>
      <c r="G1267" s="25">
        <f t="shared" si="17"/>
        <v>1.6792605190882659E-2</v>
      </c>
    </row>
    <row r="1268" spans="1:7">
      <c r="A1268" s="44">
        <v>341.08330000000001</v>
      </c>
      <c r="B1268" s="44">
        <v>352.92110000000002</v>
      </c>
      <c r="C1268" s="44">
        <v>336.37540000000001</v>
      </c>
      <c r="D1268" s="44">
        <v>351.428</v>
      </c>
      <c r="E1268" s="44">
        <v>4571998</v>
      </c>
      <c r="F1268" s="44" t="s">
        <v>1245</v>
      </c>
      <c r="G1268" s="25">
        <f t="shared" si="17"/>
        <v>-2.9436186075099235E-2</v>
      </c>
    </row>
    <row r="1269" spans="1:7">
      <c r="A1269" s="44">
        <v>351.57440000000003</v>
      </c>
      <c r="B1269" s="44">
        <v>356.62959999999998</v>
      </c>
      <c r="C1269" s="44">
        <v>346.89</v>
      </c>
      <c r="D1269" s="44">
        <v>351.3304</v>
      </c>
      <c r="E1269" s="44">
        <v>3692276</v>
      </c>
      <c r="F1269" s="44" t="s">
        <v>1246</v>
      </c>
      <c r="G1269" s="25">
        <f t="shared" si="17"/>
        <v>6.9450295220696567E-4</v>
      </c>
    </row>
    <row r="1270" spans="1:7">
      <c r="A1270" s="44">
        <v>354.08249999999998</v>
      </c>
      <c r="B1270" s="44">
        <v>357.78120000000001</v>
      </c>
      <c r="C1270" s="44">
        <v>350.68630000000002</v>
      </c>
      <c r="D1270" s="44">
        <v>353.28219999999999</v>
      </c>
      <c r="E1270" s="44">
        <v>3559271</v>
      </c>
      <c r="F1270" s="44" t="s">
        <v>1247</v>
      </c>
      <c r="G1270" s="25">
        <f t="shared" si="17"/>
        <v>2.2653278314050951E-3</v>
      </c>
    </row>
    <row r="1271" spans="1:7">
      <c r="A1271" s="44">
        <v>354.16059999999999</v>
      </c>
      <c r="B1271" s="44">
        <v>357.62110000000001</v>
      </c>
      <c r="C1271" s="44">
        <v>350.5301</v>
      </c>
      <c r="D1271" s="44">
        <v>351.99400000000003</v>
      </c>
      <c r="E1271" s="44">
        <v>4383130</v>
      </c>
      <c r="F1271" s="44" t="s">
        <v>1248</v>
      </c>
      <c r="G1271" s="25">
        <f t="shared" si="17"/>
        <v>6.1552185548616745E-3</v>
      </c>
    </row>
    <row r="1272" spans="1:7">
      <c r="A1272" s="44">
        <v>345.32850000000002</v>
      </c>
      <c r="B1272" s="44">
        <v>350.73509999999999</v>
      </c>
      <c r="C1272" s="44">
        <v>338.76060000000001</v>
      </c>
      <c r="D1272" s="44">
        <v>348.48070000000001</v>
      </c>
      <c r="E1272" s="44">
        <v>4868472</v>
      </c>
      <c r="F1272" s="44" t="s">
        <v>1249</v>
      </c>
      <c r="G1272" s="25">
        <f t="shared" si="17"/>
        <v>-9.0455511596481131E-3</v>
      </c>
    </row>
    <row r="1273" spans="1:7">
      <c r="A1273" s="44">
        <v>346.03120000000001</v>
      </c>
      <c r="B1273" s="44">
        <v>358.47410000000002</v>
      </c>
      <c r="C1273" s="44">
        <v>343.72800000000001</v>
      </c>
      <c r="D1273" s="44">
        <v>355.78059999999999</v>
      </c>
      <c r="E1273" s="44">
        <v>5207519</v>
      </c>
      <c r="F1273" s="44" t="s">
        <v>1250</v>
      </c>
      <c r="G1273" s="25">
        <f t="shared" si="17"/>
        <v>-2.7402843212923855E-2</v>
      </c>
    </row>
    <row r="1274" spans="1:7">
      <c r="A1274" s="44">
        <v>358.47410000000002</v>
      </c>
      <c r="B1274" s="44">
        <v>359.90870000000001</v>
      </c>
      <c r="C1274" s="44">
        <v>342.1275</v>
      </c>
      <c r="D1274" s="44">
        <v>344.37209999999999</v>
      </c>
      <c r="E1274" s="44">
        <v>7467407</v>
      </c>
      <c r="F1274" s="44" t="s">
        <v>1251</v>
      </c>
      <c r="G1274" s="25">
        <f t="shared" si="17"/>
        <v>4.094989112068026E-2</v>
      </c>
    </row>
    <row r="1275" spans="1:7">
      <c r="A1275" s="44">
        <v>341.98110000000003</v>
      </c>
      <c r="B1275" s="44">
        <v>345.74810000000002</v>
      </c>
      <c r="C1275" s="44">
        <v>330.26029999999997</v>
      </c>
      <c r="D1275" s="44">
        <v>332.44639999999998</v>
      </c>
      <c r="E1275" s="44">
        <v>6326937</v>
      </c>
      <c r="F1275" s="44" t="s">
        <v>1252</v>
      </c>
      <c r="G1275" s="25">
        <f t="shared" si="17"/>
        <v>2.8680412842491343E-2</v>
      </c>
    </row>
    <row r="1276" spans="1:7">
      <c r="A1276" s="44">
        <v>332.45609999999999</v>
      </c>
      <c r="B1276" s="44">
        <v>335.83280000000002</v>
      </c>
      <c r="C1276" s="44">
        <v>320.85250000000002</v>
      </c>
      <c r="D1276" s="44">
        <v>322.05290000000002</v>
      </c>
      <c r="E1276" s="44">
        <v>4940348</v>
      </c>
      <c r="F1276" s="44" t="s">
        <v>1253</v>
      </c>
      <c r="G1276" s="25">
        <f t="shared" si="17"/>
        <v>3.2302767650904451E-2</v>
      </c>
    </row>
    <row r="1277" spans="1:7">
      <c r="A1277" s="44">
        <v>325.1465</v>
      </c>
      <c r="B1277" s="44">
        <v>330.83120000000002</v>
      </c>
      <c r="C1277" s="44">
        <v>323.02879999999999</v>
      </c>
      <c r="D1277" s="44">
        <v>330.28960000000001</v>
      </c>
      <c r="E1277" s="44">
        <v>4095761</v>
      </c>
      <c r="F1277" s="44" t="s">
        <v>1254</v>
      </c>
      <c r="G1277" s="25">
        <f t="shared" ref="G1277:G1340" si="18">A1277/D1277-1</f>
        <v>-1.5571486356215858E-2</v>
      </c>
    </row>
    <row r="1278" spans="1:7">
      <c r="A1278" s="44">
        <v>330.3091</v>
      </c>
      <c r="B1278" s="44">
        <v>331.76319999999998</v>
      </c>
      <c r="C1278" s="44">
        <v>324.81959999999998</v>
      </c>
      <c r="D1278" s="44">
        <v>326.43470000000002</v>
      </c>
      <c r="E1278" s="44">
        <v>2394934</v>
      </c>
      <c r="F1278" s="44" t="s">
        <v>1255</v>
      </c>
      <c r="G1278" s="25">
        <f t="shared" si="18"/>
        <v>1.1868836248107195E-2</v>
      </c>
    </row>
    <row r="1279" spans="1:7">
      <c r="A1279" s="44">
        <v>329.2063</v>
      </c>
      <c r="B1279" s="44">
        <v>332.185</v>
      </c>
      <c r="C1279" s="44">
        <v>327.75220000000002</v>
      </c>
      <c r="D1279" s="44">
        <v>330.87520000000001</v>
      </c>
      <c r="E1279" s="44">
        <v>2267080</v>
      </c>
      <c r="F1279" s="44" t="s">
        <v>1256</v>
      </c>
      <c r="G1279" s="25">
        <f t="shared" si="18"/>
        <v>-5.0438957044831589E-3</v>
      </c>
    </row>
    <row r="1280" spans="1:7">
      <c r="A1280" s="44">
        <v>332.99290000000002</v>
      </c>
      <c r="B1280" s="44">
        <v>335.71570000000003</v>
      </c>
      <c r="C1280" s="44">
        <v>329.92849999999999</v>
      </c>
      <c r="D1280" s="44">
        <v>334.935</v>
      </c>
      <c r="E1280" s="44">
        <v>2917059</v>
      </c>
      <c r="F1280" s="44" t="s">
        <v>1257</v>
      </c>
      <c r="G1280" s="25">
        <f t="shared" si="18"/>
        <v>-5.7984385029931085E-3</v>
      </c>
    </row>
    <row r="1281" spans="1:7">
      <c r="A1281" s="44">
        <v>332.78800000000001</v>
      </c>
      <c r="B1281" s="44">
        <v>334.8569</v>
      </c>
      <c r="C1281" s="44">
        <v>328.5915</v>
      </c>
      <c r="D1281" s="44">
        <v>333.11</v>
      </c>
      <c r="E1281" s="44">
        <v>3025276</v>
      </c>
      <c r="F1281" s="44" t="s">
        <v>1258</v>
      </c>
      <c r="G1281" s="25">
        <f t="shared" si="18"/>
        <v>-9.6664765392817653E-4</v>
      </c>
    </row>
    <row r="1282" spans="1:7">
      <c r="A1282" s="44">
        <v>334.61290000000002</v>
      </c>
      <c r="B1282" s="44">
        <v>341.17110000000002</v>
      </c>
      <c r="C1282" s="44">
        <v>332.05599999999998</v>
      </c>
      <c r="D1282" s="44">
        <v>337.17959999999999</v>
      </c>
      <c r="E1282" s="44">
        <v>5110767</v>
      </c>
      <c r="F1282" s="44" t="s">
        <v>1259</v>
      </c>
      <c r="G1282" s="25">
        <f t="shared" si="18"/>
        <v>-7.6122636126265686E-3</v>
      </c>
    </row>
    <row r="1283" spans="1:7">
      <c r="A1283" s="44">
        <v>326.16149999999999</v>
      </c>
      <c r="B1283" s="44">
        <v>327.39109999999999</v>
      </c>
      <c r="C1283" s="44">
        <v>324.24869999999999</v>
      </c>
      <c r="D1283" s="44">
        <v>326.9325</v>
      </c>
      <c r="E1283" s="44">
        <v>4246298</v>
      </c>
      <c r="F1283" s="44" t="s">
        <v>1260</v>
      </c>
      <c r="G1283" s="25">
        <f t="shared" si="18"/>
        <v>-2.3582849670804595E-3</v>
      </c>
    </row>
    <row r="1284" spans="1:7">
      <c r="A1284" s="44">
        <v>325.41000000000003</v>
      </c>
      <c r="B1284" s="44">
        <v>328.12310000000002</v>
      </c>
      <c r="C1284" s="44">
        <v>322.05290000000002</v>
      </c>
      <c r="D1284" s="44">
        <v>327.8596</v>
      </c>
      <c r="E1284" s="44">
        <v>2993284</v>
      </c>
      <c r="F1284" s="44" t="s">
        <v>1261</v>
      </c>
      <c r="G1284" s="25">
        <f t="shared" si="18"/>
        <v>-7.4714908454716067E-3</v>
      </c>
    </row>
    <row r="1285" spans="1:7">
      <c r="A1285" s="44">
        <v>328.91359999999997</v>
      </c>
      <c r="B1285" s="44">
        <v>333.26620000000003</v>
      </c>
      <c r="C1285" s="44">
        <v>327.44970000000001</v>
      </c>
      <c r="D1285" s="44">
        <v>331.81200000000001</v>
      </c>
      <c r="E1285" s="44">
        <v>2652788</v>
      </c>
      <c r="F1285" s="44" t="s">
        <v>1262</v>
      </c>
      <c r="G1285" s="25">
        <f t="shared" si="18"/>
        <v>-8.7350668450810742E-3</v>
      </c>
    </row>
    <row r="1286" spans="1:7">
      <c r="A1286" s="44">
        <v>330.59210000000002</v>
      </c>
      <c r="B1286" s="44">
        <v>336.0378</v>
      </c>
      <c r="C1286" s="44">
        <v>329.26490000000001</v>
      </c>
      <c r="D1286" s="44">
        <v>334.27140000000003</v>
      </c>
      <c r="E1286" s="44">
        <v>2964784</v>
      </c>
      <c r="F1286" s="44" t="s">
        <v>1263</v>
      </c>
      <c r="G1286" s="25">
        <f t="shared" si="18"/>
        <v>-1.1006924313596733E-2</v>
      </c>
    </row>
    <row r="1287" spans="1:7">
      <c r="A1287" s="44">
        <v>332.62209999999999</v>
      </c>
      <c r="B1287" s="44">
        <v>334.98379999999997</v>
      </c>
      <c r="C1287" s="44">
        <v>326.99099999999999</v>
      </c>
      <c r="D1287" s="44">
        <v>327.29349999999999</v>
      </c>
      <c r="E1287" s="44">
        <v>4537693</v>
      </c>
      <c r="F1287" s="44" t="s">
        <v>1264</v>
      </c>
      <c r="G1287" s="25">
        <f t="shared" si="18"/>
        <v>1.6280799954780711E-2</v>
      </c>
    </row>
    <row r="1288" spans="1:7">
      <c r="A1288" s="44">
        <v>324.80500000000001</v>
      </c>
      <c r="B1288" s="44">
        <v>327.90839999999997</v>
      </c>
      <c r="C1288" s="44">
        <v>323.09710000000001</v>
      </c>
      <c r="D1288" s="44">
        <v>325.80040000000002</v>
      </c>
      <c r="E1288" s="44">
        <v>4036757</v>
      </c>
      <c r="F1288" s="44" t="s">
        <v>1265</v>
      </c>
      <c r="G1288" s="25">
        <f t="shared" si="18"/>
        <v>-3.0552448677165778E-3</v>
      </c>
    </row>
    <row r="1289" spans="1:7">
      <c r="A1289" s="44">
        <v>326.31760000000003</v>
      </c>
      <c r="B1289" s="44">
        <v>328.06450000000001</v>
      </c>
      <c r="C1289" s="44">
        <v>315.66059999999999</v>
      </c>
      <c r="D1289" s="44">
        <v>315.66059999999999</v>
      </c>
      <c r="E1289" s="44">
        <v>5686040</v>
      </c>
      <c r="F1289" s="44" t="s">
        <v>1266</v>
      </c>
      <c r="G1289" s="25">
        <f t="shared" si="18"/>
        <v>3.3760944508120616E-2</v>
      </c>
    </row>
    <row r="1290" spans="1:7">
      <c r="A1290" s="44">
        <v>313.81610000000001</v>
      </c>
      <c r="B1290" s="44">
        <v>315.72890000000001</v>
      </c>
      <c r="C1290" s="44">
        <v>309.93200000000002</v>
      </c>
      <c r="D1290" s="44">
        <v>313.18180000000001</v>
      </c>
      <c r="E1290" s="44">
        <v>4930713</v>
      </c>
      <c r="F1290" s="44" t="s">
        <v>1267</v>
      </c>
      <c r="G1290" s="25">
        <f t="shared" si="18"/>
        <v>2.0253411916018038E-3</v>
      </c>
    </row>
    <row r="1291" spans="1:7">
      <c r="A1291" s="44">
        <v>308.673</v>
      </c>
      <c r="B1291" s="44">
        <v>317.83690000000001</v>
      </c>
      <c r="C1291" s="44">
        <v>304.85719999999998</v>
      </c>
      <c r="D1291" s="44">
        <v>316.00220000000002</v>
      </c>
      <c r="E1291" s="44">
        <v>7627177</v>
      </c>
      <c r="F1291" s="44" t="s">
        <v>1268</v>
      </c>
      <c r="G1291" s="25">
        <f t="shared" si="18"/>
        <v>-2.319350941227627E-2</v>
      </c>
    </row>
    <row r="1292" spans="1:7">
      <c r="A1292" s="44">
        <v>316.47059999999999</v>
      </c>
      <c r="B1292" s="44">
        <v>321.07690000000002</v>
      </c>
      <c r="C1292" s="44">
        <v>314.22109999999998</v>
      </c>
      <c r="D1292" s="44">
        <v>319.21289999999999</v>
      </c>
      <c r="E1292" s="44">
        <v>6906363</v>
      </c>
      <c r="F1292" s="44" t="s">
        <v>1269</v>
      </c>
      <c r="G1292" s="25">
        <f t="shared" si="18"/>
        <v>-8.5908182282107282E-3</v>
      </c>
    </row>
    <row r="1293" spans="1:7">
      <c r="A1293" s="44">
        <v>307.89229999999998</v>
      </c>
      <c r="B1293" s="44">
        <v>315.22140000000002</v>
      </c>
      <c r="C1293" s="44">
        <v>305.57940000000002</v>
      </c>
      <c r="D1293" s="44">
        <v>312.64499999999998</v>
      </c>
      <c r="E1293" s="44">
        <v>7449381</v>
      </c>
      <c r="F1293" s="44" t="s">
        <v>1270</v>
      </c>
      <c r="G1293" s="25">
        <f t="shared" si="18"/>
        <v>-1.5201586463880812E-2</v>
      </c>
    </row>
    <row r="1294" spans="1:7">
      <c r="A1294" s="44">
        <v>319.80829999999997</v>
      </c>
      <c r="B1294" s="44">
        <v>322.57990000000001</v>
      </c>
      <c r="C1294" s="44">
        <v>317.9735</v>
      </c>
      <c r="D1294" s="44">
        <v>322.05290000000002</v>
      </c>
      <c r="E1294" s="44">
        <v>3503147</v>
      </c>
      <c r="F1294" s="44" t="s">
        <v>1271</v>
      </c>
      <c r="G1294" s="25">
        <f t="shared" si="18"/>
        <v>-6.9696624374444571E-3</v>
      </c>
    </row>
    <row r="1295" spans="1:7">
      <c r="A1295" s="44">
        <v>321.26240000000001</v>
      </c>
      <c r="B1295" s="44">
        <v>322.00409999999999</v>
      </c>
      <c r="C1295" s="44">
        <v>309.59050000000002</v>
      </c>
      <c r="D1295" s="44">
        <v>319.62279999999998</v>
      </c>
      <c r="E1295" s="44">
        <v>6257704</v>
      </c>
      <c r="F1295" s="44" t="s">
        <v>1272</v>
      </c>
      <c r="G1295" s="25">
        <f t="shared" si="18"/>
        <v>5.1297967479166928E-3</v>
      </c>
    </row>
    <row r="1296" spans="1:7">
      <c r="A1296" s="44">
        <v>321.06720000000001</v>
      </c>
      <c r="B1296" s="44">
        <v>327.0788</v>
      </c>
      <c r="C1296" s="44">
        <v>320.98910000000001</v>
      </c>
      <c r="D1296" s="44">
        <v>322.43349999999998</v>
      </c>
      <c r="E1296" s="44">
        <v>3846597</v>
      </c>
      <c r="F1296" s="44" t="s">
        <v>1273</v>
      </c>
      <c r="G1296" s="25">
        <f t="shared" si="18"/>
        <v>-4.2374629187102997E-3</v>
      </c>
    </row>
    <row r="1297" spans="1:7">
      <c r="A1297" s="44">
        <v>326.38589999999999</v>
      </c>
      <c r="B1297" s="44">
        <v>328.74770000000001</v>
      </c>
      <c r="C1297" s="44">
        <v>323.76069999999999</v>
      </c>
      <c r="D1297" s="44">
        <v>326.35669999999999</v>
      </c>
      <c r="E1297" s="44">
        <v>3487267</v>
      </c>
      <c r="F1297" s="44" t="s">
        <v>1274</v>
      </c>
      <c r="G1297" s="25">
        <f t="shared" si="18"/>
        <v>8.9472653694633308E-5</v>
      </c>
    </row>
    <row r="1298" spans="1:7">
      <c r="A1298" s="44">
        <v>326.84460000000001</v>
      </c>
      <c r="B1298" s="44">
        <v>329.7919</v>
      </c>
      <c r="C1298" s="44">
        <v>321.2038</v>
      </c>
      <c r="D1298" s="44">
        <v>322.04309999999998</v>
      </c>
      <c r="E1298" s="44">
        <v>5081012</v>
      </c>
      <c r="F1298" s="44" t="s">
        <v>1275</v>
      </c>
      <c r="G1298" s="25">
        <f t="shared" si="18"/>
        <v>1.4909495033428755E-2</v>
      </c>
    </row>
    <row r="1299" spans="1:7">
      <c r="A1299" s="44">
        <v>318.09059999999999</v>
      </c>
      <c r="B1299" s="44">
        <v>321.2038</v>
      </c>
      <c r="C1299" s="44">
        <v>316.8415</v>
      </c>
      <c r="D1299" s="44">
        <v>319.11540000000002</v>
      </c>
      <c r="E1299" s="44">
        <v>4625193</v>
      </c>
      <c r="F1299" s="44" t="s">
        <v>1276</v>
      </c>
      <c r="G1299" s="25">
        <f t="shared" si="18"/>
        <v>-3.2113774515426519E-3</v>
      </c>
    </row>
    <row r="1300" spans="1:7">
      <c r="A1300" s="44">
        <v>315.47519999999997</v>
      </c>
      <c r="B1300" s="44">
        <v>321.75029999999998</v>
      </c>
      <c r="C1300" s="44">
        <v>314.1284</v>
      </c>
      <c r="D1300" s="44">
        <v>319.65210000000002</v>
      </c>
      <c r="E1300" s="44">
        <v>7911519</v>
      </c>
      <c r="F1300" s="44" t="s">
        <v>1277</v>
      </c>
      <c r="G1300" s="25">
        <f t="shared" si="18"/>
        <v>-1.3067018799501229E-2</v>
      </c>
    </row>
    <row r="1301" spans="1:7">
      <c r="A1301" s="44">
        <v>319.05680000000001</v>
      </c>
      <c r="B1301" s="44">
        <v>341.16129999999998</v>
      </c>
      <c r="C1301" s="44">
        <v>318.82260000000002</v>
      </c>
      <c r="D1301" s="44">
        <v>340.2928</v>
      </c>
      <c r="E1301" s="44">
        <v>8712154</v>
      </c>
      <c r="F1301" s="44" t="s">
        <v>1278</v>
      </c>
      <c r="G1301" s="25">
        <f t="shared" si="18"/>
        <v>-6.2405081741370938E-2</v>
      </c>
    </row>
    <row r="1302" spans="1:7">
      <c r="A1302" s="44">
        <v>337.9896</v>
      </c>
      <c r="B1302" s="44">
        <v>341.33629999999999</v>
      </c>
      <c r="C1302" s="44">
        <v>335.9402</v>
      </c>
      <c r="D1302" s="44">
        <v>341.19060000000002</v>
      </c>
      <c r="E1302" s="44">
        <v>4126032</v>
      </c>
      <c r="F1302" s="44" t="s">
        <v>1279</v>
      </c>
      <c r="G1302" s="25">
        <f t="shared" si="18"/>
        <v>-9.3818528411979685E-3</v>
      </c>
    </row>
    <row r="1303" spans="1:7">
      <c r="A1303" s="44">
        <v>334.6617</v>
      </c>
      <c r="B1303" s="44">
        <v>339.61939999999998</v>
      </c>
      <c r="C1303" s="44">
        <v>327.93770000000001</v>
      </c>
      <c r="D1303" s="44">
        <v>338.72149999999999</v>
      </c>
      <c r="E1303" s="44">
        <v>4858101</v>
      </c>
      <c r="F1303" s="44" t="s">
        <v>1280</v>
      </c>
      <c r="G1303" s="25">
        <f t="shared" si="18"/>
        <v>-1.1985657833943231E-2</v>
      </c>
    </row>
    <row r="1304" spans="1:7">
      <c r="A1304" s="44">
        <v>339.81459999999998</v>
      </c>
      <c r="B1304" s="44">
        <v>344.90890000000002</v>
      </c>
      <c r="C1304" s="44">
        <v>339.4144</v>
      </c>
      <c r="D1304" s="44">
        <v>343.63040000000001</v>
      </c>
      <c r="E1304" s="44">
        <v>2403454</v>
      </c>
      <c r="F1304" s="44" t="s">
        <v>1281</v>
      </c>
      <c r="G1304" s="25">
        <f t="shared" si="18"/>
        <v>-1.110437260498498E-2</v>
      </c>
    </row>
    <row r="1305" spans="1:7">
      <c r="A1305" s="44">
        <v>345.32850000000002</v>
      </c>
      <c r="B1305" s="44">
        <v>346.43130000000002</v>
      </c>
      <c r="C1305" s="44">
        <v>341.07350000000002</v>
      </c>
      <c r="D1305" s="44">
        <v>342.89850000000001</v>
      </c>
      <c r="E1305" s="44">
        <v>3371500</v>
      </c>
      <c r="F1305" s="44" t="s">
        <v>1282</v>
      </c>
      <c r="G1305" s="25">
        <f t="shared" si="18"/>
        <v>7.0866451734259428E-3</v>
      </c>
    </row>
    <row r="1306" spans="1:7">
      <c r="A1306" s="44">
        <v>341.43459999999999</v>
      </c>
      <c r="B1306" s="44">
        <v>343.88409999999999</v>
      </c>
      <c r="C1306" s="44">
        <v>339.99020000000002</v>
      </c>
      <c r="D1306" s="44">
        <v>340.54649999999998</v>
      </c>
      <c r="E1306" s="44">
        <v>3100154</v>
      </c>
      <c r="F1306" s="44" t="s">
        <v>1283</v>
      </c>
      <c r="G1306" s="25">
        <f t="shared" si="18"/>
        <v>2.6078670607392329E-3</v>
      </c>
    </row>
    <row r="1307" spans="1:7">
      <c r="A1307" s="44">
        <v>338.75080000000003</v>
      </c>
      <c r="B1307" s="44">
        <v>345.0668</v>
      </c>
      <c r="C1307" s="44">
        <v>335.8365</v>
      </c>
      <c r="D1307" s="44">
        <v>341.54820000000001</v>
      </c>
      <c r="E1307" s="44">
        <v>3967023</v>
      </c>
      <c r="F1307" s="44" t="s">
        <v>1284</v>
      </c>
      <c r="G1307" s="25">
        <f t="shared" si="18"/>
        <v>-8.1903520498717297E-3</v>
      </c>
    </row>
    <row r="1308" spans="1:7">
      <c r="A1308" s="44">
        <v>338.6241</v>
      </c>
      <c r="B1308" s="44">
        <v>344.06279999999998</v>
      </c>
      <c r="C1308" s="44">
        <v>336.69139999999999</v>
      </c>
      <c r="D1308" s="44">
        <v>339.9692</v>
      </c>
      <c r="E1308" s="44">
        <v>2990661</v>
      </c>
      <c r="F1308" s="44" t="s">
        <v>1285</v>
      </c>
      <c r="G1308" s="25">
        <f t="shared" si="18"/>
        <v>-3.9565348861014815E-3</v>
      </c>
    </row>
    <row r="1309" spans="1:7">
      <c r="A1309" s="44">
        <v>342.59109999999998</v>
      </c>
      <c r="B1309" s="44">
        <v>349.05810000000002</v>
      </c>
      <c r="C1309" s="44">
        <v>338.56659999999999</v>
      </c>
      <c r="D1309" s="44">
        <v>348.93619999999999</v>
      </c>
      <c r="E1309" s="44">
        <v>4638353</v>
      </c>
      <c r="F1309" s="44" t="s">
        <v>1286</v>
      </c>
      <c r="G1309" s="25">
        <f t="shared" si="18"/>
        <v>-1.8184126496477049E-2</v>
      </c>
    </row>
    <row r="1310" spans="1:7">
      <c r="A1310" s="44">
        <v>347.90309999999999</v>
      </c>
      <c r="B1310" s="44">
        <v>350.31060000000002</v>
      </c>
      <c r="C1310" s="44">
        <v>344.30650000000003</v>
      </c>
      <c r="D1310" s="44">
        <v>346.04140000000001</v>
      </c>
      <c r="E1310" s="44">
        <v>2881763</v>
      </c>
      <c r="F1310" s="44" t="s">
        <v>1287</v>
      </c>
      <c r="G1310" s="25">
        <f t="shared" si="18"/>
        <v>5.3799921049908495E-3</v>
      </c>
    </row>
    <row r="1311" spans="1:7">
      <c r="A1311" s="44">
        <v>346.54829999999998</v>
      </c>
      <c r="B1311" s="44">
        <v>348.76080000000002</v>
      </c>
      <c r="C1311" s="44">
        <v>338.4194</v>
      </c>
      <c r="D1311" s="44">
        <v>339.85219999999998</v>
      </c>
      <c r="E1311" s="44">
        <v>4200633</v>
      </c>
      <c r="F1311" s="44" t="s">
        <v>1288</v>
      </c>
      <c r="G1311" s="25">
        <f t="shared" si="18"/>
        <v>1.9702976764605307E-2</v>
      </c>
    </row>
    <row r="1312" spans="1:7">
      <c r="A1312" s="44">
        <v>337.88339999999999</v>
      </c>
      <c r="B1312" s="44">
        <v>339.92039999999997</v>
      </c>
      <c r="C1312" s="44">
        <v>336.03149999999999</v>
      </c>
      <c r="D1312" s="44">
        <v>338.97500000000002</v>
      </c>
      <c r="E1312" s="44">
        <v>2823004</v>
      </c>
      <c r="F1312" s="44" t="s">
        <v>1289</v>
      </c>
      <c r="G1312" s="25">
        <f t="shared" si="18"/>
        <v>-3.2202964820415847E-3</v>
      </c>
    </row>
    <row r="1313" spans="1:7">
      <c r="A1313" s="44">
        <v>335.74880000000002</v>
      </c>
      <c r="B1313" s="44">
        <v>336.84039999999999</v>
      </c>
      <c r="C1313" s="44">
        <v>328.34120000000001</v>
      </c>
      <c r="D1313" s="44">
        <v>329.30610000000001</v>
      </c>
      <c r="E1313" s="44">
        <v>3449092</v>
      </c>
      <c r="F1313" s="44" t="s">
        <v>1290</v>
      </c>
      <c r="G1313" s="25">
        <f t="shared" si="18"/>
        <v>1.9564472082357343E-2</v>
      </c>
    </row>
    <row r="1314" spans="1:7">
      <c r="A1314" s="44">
        <v>327.4932</v>
      </c>
      <c r="B1314" s="44">
        <v>327.85390000000001</v>
      </c>
      <c r="C1314" s="44">
        <v>321.98630000000003</v>
      </c>
      <c r="D1314" s="44">
        <v>322.27870000000001</v>
      </c>
      <c r="E1314" s="44">
        <v>1308938</v>
      </c>
      <c r="F1314" s="44" t="s">
        <v>1291</v>
      </c>
      <c r="G1314" s="25">
        <f t="shared" si="18"/>
        <v>1.6180095054373789E-2</v>
      </c>
    </row>
    <row r="1315" spans="1:7">
      <c r="A1315" s="44">
        <v>320.89460000000003</v>
      </c>
      <c r="B1315" s="44">
        <v>326.72320000000002</v>
      </c>
      <c r="C1315" s="44">
        <v>320.69970000000001</v>
      </c>
      <c r="D1315" s="44">
        <v>325.67059999999998</v>
      </c>
      <c r="E1315" s="44">
        <v>2760577</v>
      </c>
      <c r="F1315" s="44" t="s">
        <v>1292</v>
      </c>
      <c r="G1315" s="25">
        <f t="shared" si="18"/>
        <v>-1.4665124822443198E-2</v>
      </c>
    </row>
    <row r="1316" spans="1:7">
      <c r="A1316" s="44">
        <v>323.82839999999999</v>
      </c>
      <c r="B1316" s="44">
        <v>326.733</v>
      </c>
      <c r="C1316" s="44">
        <v>323.20460000000003</v>
      </c>
      <c r="D1316" s="44">
        <v>325.69979999999998</v>
      </c>
      <c r="E1316" s="44">
        <v>2404432</v>
      </c>
      <c r="F1316" s="44" t="s">
        <v>1293</v>
      </c>
      <c r="G1316" s="25">
        <f t="shared" si="18"/>
        <v>-5.7457818518771298E-3</v>
      </c>
    </row>
    <row r="1317" spans="1:7">
      <c r="A1317" s="44">
        <v>325.90449999999998</v>
      </c>
      <c r="B1317" s="44">
        <v>327.63940000000002</v>
      </c>
      <c r="C1317" s="44">
        <v>318.95499999999998</v>
      </c>
      <c r="D1317" s="44">
        <v>324.77390000000003</v>
      </c>
      <c r="E1317" s="44">
        <v>3642516</v>
      </c>
      <c r="F1317" s="44" t="s">
        <v>1294</v>
      </c>
      <c r="G1317" s="25">
        <f t="shared" si="18"/>
        <v>3.4811910686172176E-3</v>
      </c>
    </row>
    <row r="1318" spans="1:7">
      <c r="A1318" s="44">
        <v>331.71359999999999</v>
      </c>
      <c r="B1318" s="44">
        <v>332.95150000000001</v>
      </c>
      <c r="C1318" s="44">
        <v>325.88499999999999</v>
      </c>
      <c r="D1318" s="44">
        <v>327.99029999999999</v>
      </c>
      <c r="E1318" s="44">
        <v>8443730</v>
      </c>
      <c r="F1318" s="44" t="s">
        <v>1295</v>
      </c>
      <c r="G1318" s="25">
        <f t="shared" si="18"/>
        <v>1.135186010074074E-2</v>
      </c>
    </row>
    <row r="1319" spans="1:7">
      <c r="A1319" s="44">
        <v>328.37049999999999</v>
      </c>
      <c r="B1319" s="44">
        <v>329.76420000000002</v>
      </c>
      <c r="C1319" s="44">
        <v>324.95909999999998</v>
      </c>
      <c r="D1319" s="44">
        <v>326.0702</v>
      </c>
      <c r="E1319" s="44">
        <v>2725483</v>
      </c>
      <c r="F1319" s="44" t="s">
        <v>1296</v>
      </c>
      <c r="G1319" s="25">
        <f t="shared" si="18"/>
        <v>7.0546158465263353E-3</v>
      </c>
    </row>
    <row r="1320" spans="1:7">
      <c r="A1320" s="44">
        <v>323.69200000000001</v>
      </c>
      <c r="B1320" s="44">
        <v>325.54390000000001</v>
      </c>
      <c r="C1320" s="44">
        <v>320.91410000000002</v>
      </c>
      <c r="D1320" s="44">
        <v>325.50490000000002</v>
      </c>
      <c r="E1320" s="44">
        <v>3393284</v>
      </c>
      <c r="F1320" s="44" t="s">
        <v>1297</v>
      </c>
      <c r="G1320" s="25">
        <f t="shared" si="18"/>
        <v>-5.5695014114994779E-3</v>
      </c>
    </row>
    <row r="1321" spans="1:7">
      <c r="A1321" s="44">
        <v>325.20269999999999</v>
      </c>
      <c r="B1321" s="44">
        <v>326.73009999999999</v>
      </c>
      <c r="C1321" s="44">
        <v>319.3254</v>
      </c>
      <c r="D1321" s="44">
        <v>324.7251</v>
      </c>
      <c r="E1321" s="44">
        <v>3106678</v>
      </c>
      <c r="F1321" s="44" t="s">
        <v>1298</v>
      </c>
      <c r="G1321" s="25">
        <f t="shared" si="18"/>
        <v>1.4707825172737277E-3</v>
      </c>
    </row>
    <row r="1322" spans="1:7">
      <c r="A1322" s="44">
        <v>322.76600000000002</v>
      </c>
      <c r="B1322" s="44">
        <v>330.17360000000002</v>
      </c>
      <c r="C1322" s="44">
        <v>319.2962</v>
      </c>
      <c r="D1322" s="44">
        <v>320.6705</v>
      </c>
      <c r="E1322" s="44">
        <v>3552615</v>
      </c>
      <c r="F1322" s="44" t="s">
        <v>1299</v>
      </c>
      <c r="G1322" s="25">
        <f t="shared" si="18"/>
        <v>6.5347451667678857E-3</v>
      </c>
    </row>
    <row r="1323" spans="1:7">
      <c r="A1323" s="44">
        <v>319.13049999999998</v>
      </c>
      <c r="B1323" s="44">
        <v>323.1705</v>
      </c>
      <c r="C1323" s="44">
        <v>317.28829999999999</v>
      </c>
      <c r="D1323" s="44">
        <v>318.80880000000002</v>
      </c>
      <c r="E1323" s="44">
        <v>4178111</v>
      </c>
      <c r="F1323" s="44" t="s">
        <v>1300</v>
      </c>
      <c r="G1323" s="25">
        <f t="shared" si="18"/>
        <v>1.009068758453191E-3</v>
      </c>
    </row>
    <row r="1324" spans="1:7">
      <c r="A1324" s="44">
        <v>323.12670000000003</v>
      </c>
      <c r="B1324" s="44">
        <v>327.04000000000002</v>
      </c>
      <c r="C1324" s="44">
        <v>322.80500000000001</v>
      </c>
      <c r="D1324" s="44">
        <v>326.17739999999998</v>
      </c>
      <c r="E1324" s="44">
        <v>3506826</v>
      </c>
      <c r="F1324" s="44" t="s">
        <v>1301</v>
      </c>
      <c r="G1324" s="25">
        <f t="shared" si="18"/>
        <v>-9.3528858835711937E-3</v>
      </c>
    </row>
    <row r="1325" spans="1:7">
      <c r="A1325" s="44">
        <v>328.32170000000002</v>
      </c>
      <c r="B1325" s="44">
        <v>333.05869999999999</v>
      </c>
      <c r="C1325" s="44">
        <v>326.21640000000002</v>
      </c>
      <c r="D1325" s="44">
        <v>331.79160000000002</v>
      </c>
      <c r="E1325" s="44">
        <v>2962586</v>
      </c>
      <c r="F1325" s="44" t="s">
        <v>1302</v>
      </c>
      <c r="G1325" s="25">
        <f t="shared" si="18"/>
        <v>-1.0458070668455721E-2</v>
      </c>
    </row>
    <row r="1326" spans="1:7">
      <c r="A1326" s="44">
        <v>332.16199999999998</v>
      </c>
      <c r="B1326" s="44">
        <v>334.15030000000002</v>
      </c>
      <c r="C1326" s="44">
        <v>328.1755</v>
      </c>
      <c r="D1326" s="44">
        <v>329.71550000000002</v>
      </c>
      <c r="E1326" s="44">
        <v>2224649</v>
      </c>
      <c r="F1326" s="44" t="s">
        <v>1303</v>
      </c>
      <c r="G1326" s="25">
        <f t="shared" si="18"/>
        <v>7.4200333317662182E-3</v>
      </c>
    </row>
    <row r="1327" spans="1:7">
      <c r="A1327" s="44">
        <v>332.32769999999999</v>
      </c>
      <c r="B1327" s="44">
        <v>339.17970000000003</v>
      </c>
      <c r="C1327" s="44">
        <v>331.44069999999999</v>
      </c>
      <c r="D1327" s="44">
        <v>334.6669</v>
      </c>
      <c r="E1327" s="44">
        <v>2389808</v>
      </c>
      <c r="F1327" s="44" t="s">
        <v>1304</v>
      </c>
      <c r="G1327" s="25">
        <f t="shared" si="18"/>
        <v>-6.9896365610103706E-3</v>
      </c>
    </row>
    <row r="1328" spans="1:7">
      <c r="A1328" s="44">
        <v>335.6318</v>
      </c>
      <c r="B1328" s="44">
        <v>335.63650000000001</v>
      </c>
      <c r="C1328" s="44">
        <v>327.29829999999998</v>
      </c>
      <c r="D1328" s="44">
        <v>328.38990000000001</v>
      </c>
      <c r="E1328" s="44">
        <v>4323636</v>
      </c>
      <c r="F1328" s="44" t="s">
        <v>1305</v>
      </c>
      <c r="G1328" s="25">
        <f t="shared" si="18"/>
        <v>2.2052748881740802E-2</v>
      </c>
    </row>
    <row r="1329" spans="1:7">
      <c r="A1329" s="44">
        <v>326.65499999999997</v>
      </c>
      <c r="B1329" s="44">
        <v>333.64839999999998</v>
      </c>
      <c r="C1329" s="44">
        <v>325.66079999999999</v>
      </c>
      <c r="D1329" s="44">
        <v>329.98840000000001</v>
      </c>
      <c r="E1329" s="44">
        <v>3080295</v>
      </c>
      <c r="F1329" s="44" t="s">
        <v>1306</v>
      </c>
      <c r="G1329" s="25">
        <f t="shared" si="18"/>
        <v>-1.0101567206604933E-2</v>
      </c>
    </row>
    <row r="1330" spans="1:7">
      <c r="A1330" s="44">
        <v>331.60640000000001</v>
      </c>
      <c r="B1330" s="44">
        <v>331.6259</v>
      </c>
      <c r="C1330" s="44">
        <v>325.54390000000001</v>
      </c>
      <c r="D1330" s="44">
        <v>328.25349999999997</v>
      </c>
      <c r="E1330" s="44">
        <v>2972421</v>
      </c>
      <c r="F1330" s="44" t="s">
        <v>1307</v>
      </c>
      <c r="G1330" s="25">
        <f t="shared" si="18"/>
        <v>1.0214361766135216E-2</v>
      </c>
    </row>
    <row r="1331" spans="1:7">
      <c r="A1331" s="44">
        <v>330.30029999999999</v>
      </c>
      <c r="B1331" s="44">
        <v>333.95530000000002</v>
      </c>
      <c r="C1331" s="44">
        <v>329.07220000000001</v>
      </c>
      <c r="D1331" s="44">
        <v>331.07029999999997</v>
      </c>
      <c r="E1331" s="44">
        <v>4210598</v>
      </c>
      <c r="F1331" s="44" t="s">
        <v>1308</v>
      </c>
      <c r="G1331" s="25">
        <f t="shared" si="18"/>
        <v>-2.3257900210317262E-3</v>
      </c>
    </row>
    <row r="1332" spans="1:7">
      <c r="A1332" s="44">
        <v>327.99029999999999</v>
      </c>
      <c r="B1332" s="44">
        <v>329.48649999999998</v>
      </c>
      <c r="C1332" s="44">
        <v>321.82060000000001</v>
      </c>
      <c r="D1332" s="44">
        <v>329.1112</v>
      </c>
      <c r="E1332" s="44">
        <v>4276207</v>
      </c>
      <c r="F1332" s="44" t="s">
        <v>1309</v>
      </c>
      <c r="G1332" s="25">
        <f t="shared" si="18"/>
        <v>-3.4058397283349695E-3</v>
      </c>
    </row>
    <row r="1333" spans="1:7">
      <c r="A1333" s="44">
        <v>330.4855</v>
      </c>
      <c r="B1333" s="44">
        <v>334.19909999999999</v>
      </c>
      <c r="C1333" s="44">
        <v>329.0625</v>
      </c>
      <c r="D1333" s="44">
        <v>334.15030000000002</v>
      </c>
      <c r="E1333" s="44">
        <v>1402271</v>
      </c>
      <c r="F1333" s="44" t="s">
        <v>1310</v>
      </c>
      <c r="G1333" s="25">
        <f t="shared" si="18"/>
        <v>-1.0967519705952666E-2</v>
      </c>
    </row>
    <row r="1334" spans="1:7">
      <c r="A1334" s="44">
        <v>332.67849999999999</v>
      </c>
      <c r="B1334" s="44">
        <v>335.00799999999998</v>
      </c>
      <c r="C1334" s="44">
        <v>330.74959999999999</v>
      </c>
      <c r="D1334" s="44">
        <v>335.00799999999998</v>
      </c>
      <c r="E1334" s="44">
        <v>2535198</v>
      </c>
      <c r="F1334" s="44" t="s">
        <v>1311</v>
      </c>
      <c r="G1334" s="25">
        <f t="shared" si="18"/>
        <v>-6.9535652879930687E-3</v>
      </c>
    </row>
    <row r="1335" spans="1:7">
      <c r="A1335" s="44">
        <v>333.72149999999999</v>
      </c>
      <c r="B1335" s="44">
        <v>335.39789999999999</v>
      </c>
      <c r="C1335" s="44">
        <v>325.65600000000001</v>
      </c>
      <c r="D1335" s="44">
        <v>328.3802</v>
      </c>
      <c r="E1335" s="44">
        <v>3530834</v>
      </c>
      <c r="F1335" s="44" t="s">
        <v>1312</v>
      </c>
      <c r="G1335" s="25">
        <f t="shared" si="18"/>
        <v>1.6265597012243616E-2</v>
      </c>
    </row>
    <row r="1336" spans="1:7">
      <c r="A1336" s="44">
        <v>323.63350000000003</v>
      </c>
      <c r="B1336" s="44">
        <v>324.76409999999998</v>
      </c>
      <c r="C1336" s="44">
        <v>316.15769999999998</v>
      </c>
      <c r="D1336" s="44">
        <v>317.9511</v>
      </c>
      <c r="E1336" s="44">
        <v>3220817</v>
      </c>
      <c r="F1336" s="44" t="s">
        <v>1313</v>
      </c>
      <c r="G1336" s="25">
        <f t="shared" si="18"/>
        <v>1.7871930620777965E-2</v>
      </c>
    </row>
    <row r="1337" spans="1:7">
      <c r="A1337" s="44">
        <v>314.82240000000002</v>
      </c>
      <c r="B1337" s="44">
        <v>326.6696</v>
      </c>
      <c r="C1337" s="44">
        <v>314.82240000000002</v>
      </c>
      <c r="D1337" s="44">
        <v>326.30410000000001</v>
      </c>
      <c r="E1337" s="44">
        <v>4144864</v>
      </c>
      <c r="F1337" s="44" t="s">
        <v>1314</v>
      </c>
      <c r="G1337" s="25">
        <f t="shared" si="18"/>
        <v>-3.5187115331986263E-2</v>
      </c>
    </row>
    <row r="1338" spans="1:7">
      <c r="A1338" s="44">
        <v>325.42689999999999</v>
      </c>
      <c r="B1338" s="44">
        <v>330.57319999999999</v>
      </c>
      <c r="C1338" s="44">
        <v>323.0292</v>
      </c>
      <c r="D1338" s="44">
        <v>326.99619999999999</v>
      </c>
      <c r="E1338" s="44">
        <v>2718742</v>
      </c>
      <c r="F1338" s="44" t="s">
        <v>1315</v>
      </c>
      <c r="G1338" s="25">
        <f t="shared" si="18"/>
        <v>-4.7991383386106756E-3</v>
      </c>
    </row>
    <row r="1339" spans="1:7">
      <c r="A1339" s="44">
        <v>327.4348</v>
      </c>
      <c r="B1339" s="44">
        <v>332.31790000000001</v>
      </c>
      <c r="C1339" s="44">
        <v>326.37720000000002</v>
      </c>
      <c r="D1339" s="44">
        <v>328.00979999999998</v>
      </c>
      <c r="E1339" s="44">
        <v>3203424</v>
      </c>
      <c r="F1339" s="44" t="s">
        <v>1316</v>
      </c>
      <c r="G1339" s="25">
        <f t="shared" si="18"/>
        <v>-1.7529964043756507E-3</v>
      </c>
    </row>
    <row r="1340" spans="1:7">
      <c r="A1340" s="44">
        <v>327.98059999999998</v>
      </c>
      <c r="B1340" s="44">
        <v>329.21839999999997</v>
      </c>
      <c r="C1340" s="44">
        <v>322.34690000000001</v>
      </c>
      <c r="D1340" s="44">
        <v>324.73489999999998</v>
      </c>
      <c r="E1340" s="44">
        <v>3412853</v>
      </c>
      <c r="F1340" s="44" t="s">
        <v>1317</v>
      </c>
      <c r="G1340" s="25">
        <f t="shared" si="18"/>
        <v>9.9949220117703241E-3</v>
      </c>
    </row>
    <row r="1341" spans="1:7">
      <c r="A1341" s="44">
        <v>326.9572</v>
      </c>
      <c r="B1341" s="44">
        <v>333.97489999999999</v>
      </c>
      <c r="C1341" s="44">
        <v>324.73489999999998</v>
      </c>
      <c r="D1341" s="44">
        <v>333.14640000000003</v>
      </c>
      <c r="E1341" s="44">
        <v>3313117</v>
      </c>
      <c r="F1341" s="44" t="s">
        <v>1318</v>
      </c>
      <c r="G1341" s="25">
        <f t="shared" ref="G1341:G1404" si="19">A1341/D1341-1</f>
        <v>-1.8578018552804498E-2</v>
      </c>
    </row>
    <row r="1342" spans="1:7">
      <c r="A1342" s="44">
        <v>326.5478</v>
      </c>
      <c r="B1342" s="44">
        <v>327.60050000000001</v>
      </c>
      <c r="C1342" s="44">
        <v>319.05250000000001</v>
      </c>
      <c r="D1342" s="44">
        <v>321.93759999999997</v>
      </c>
      <c r="E1342" s="44">
        <v>2393997</v>
      </c>
      <c r="F1342" s="44" t="s">
        <v>1319</v>
      </c>
      <c r="G1342" s="25">
        <f t="shared" si="19"/>
        <v>1.432016639249345E-2</v>
      </c>
    </row>
    <row r="1343" spans="1:7">
      <c r="A1343" s="44">
        <v>319.97840000000002</v>
      </c>
      <c r="B1343" s="44">
        <v>324.65690000000001</v>
      </c>
      <c r="C1343" s="44">
        <v>318.03390000000002</v>
      </c>
      <c r="D1343" s="44">
        <v>320.72890000000001</v>
      </c>
      <c r="E1343" s="44">
        <v>3208585</v>
      </c>
      <c r="F1343" s="44" t="s">
        <v>1320</v>
      </c>
      <c r="G1343" s="25">
        <f t="shared" si="19"/>
        <v>-2.3399824587057028E-3</v>
      </c>
    </row>
    <row r="1344" spans="1:7">
      <c r="A1344" s="44">
        <v>323.97460000000001</v>
      </c>
      <c r="B1344" s="44">
        <v>329.15019999999998</v>
      </c>
      <c r="C1344" s="44">
        <v>322.68810000000002</v>
      </c>
      <c r="D1344" s="44">
        <v>328.86750000000001</v>
      </c>
      <c r="E1344" s="44">
        <v>2969922</v>
      </c>
      <c r="F1344" s="44" t="s">
        <v>1321</v>
      </c>
      <c r="G1344" s="25">
        <f t="shared" si="19"/>
        <v>-1.4878028385291953E-2</v>
      </c>
    </row>
    <row r="1345" spans="1:7">
      <c r="A1345" s="44">
        <v>326.30410000000001</v>
      </c>
      <c r="B1345" s="44">
        <v>337.10359999999997</v>
      </c>
      <c r="C1345" s="44">
        <v>324.99810000000002</v>
      </c>
      <c r="D1345" s="44">
        <v>331.38220000000001</v>
      </c>
      <c r="E1345" s="44">
        <v>5330365</v>
      </c>
      <c r="F1345" s="44" t="s">
        <v>1322</v>
      </c>
      <c r="G1345" s="25">
        <f t="shared" si="19"/>
        <v>-1.5323997486889729E-2</v>
      </c>
    </row>
    <row r="1346" spans="1:7">
      <c r="A1346" s="44">
        <v>335.8365</v>
      </c>
      <c r="B1346" s="44">
        <v>347.96159999999998</v>
      </c>
      <c r="C1346" s="44">
        <v>332.26920000000001</v>
      </c>
      <c r="D1346" s="44">
        <v>338.13679999999999</v>
      </c>
      <c r="E1346" s="44">
        <v>10933692</v>
      </c>
      <c r="F1346" s="44" t="s">
        <v>1323</v>
      </c>
      <c r="G1346" s="25">
        <f t="shared" si="19"/>
        <v>-6.8028679516692891E-3</v>
      </c>
    </row>
    <row r="1347" spans="1:7">
      <c r="A1347" s="44">
        <v>305.69929999999999</v>
      </c>
      <c r="B1347" s="44">
        <v>308.47719999999998</v>
      </c>
      <c r="C1347" s="44">
        <v>302.23919999999998</v>
      </c>
      <c r="D1347" s="44">
        <v>307.98009999999999</v>
      </c>
      <c r="E1347" s="44">
        <v>2978524</v>
      </c>
      <c r="F1347" s="44" t="s">
        <v>1324</v>
      </c>
      <c r="G1347" s="25">
        <f t="shared" si="19"/>
        <v>-7.405673288631287E-3</v>
      </c>
    </row>
    <row r="1348" spans="1:7">
      <c r="A1348" s="44">
        <v>308.51620000000003</v>
      </c>
      <c r="B1348" s="44">
        <v>311.26479999999998</v>
      </c>
      <c r="C1348" s="44">
        <v>305.64089999999999</v>
      </c>
      <c r="D1348" s="44">
        <v>307.16140000000001</v>
      </c>
      <c r="E1348" s="44">
        <v>3794406</v>
      </c>
      <c r="F1348" s="44" t="s">
        <v>1325</v>
      </c>
      <c r="G1348" s="25">
        <f t="shared" si="19"/>
        <v>4.410710460363898E-3</v>
      </c>
    </row>
    <row r="1349" spans="1:7">
      <c r="A1349" s="44">
        <v>299.42239999999998</v>
      </c>
      <c r="B1349" s="44">
        <v>304.80250000000001</v>
      </c>
      <c r="C1349" s="44">
        <v>294.58800000000002</v>
      </c>
      <c r="D1349" s="44">
        <v>297.36579999999998</v>
      </c>
      <c r="E1349" s="44">
        <v>4790140</v>
      </c>
      <c r="F1349" s="44" t="s">
        <v>1326</v>
      </c>
      <c r="G1349" s="25">
        <f t="shared" si="19"/>
        <v>6.916060959262893E-3</v>
      </c>
    </row>
    <row r="1350" spans="1:7">
      <c r="A1350" s="44">
        <v>287.91140000000001</v>
      </c>
      <c r="B1350" s="44">
        <v>292.73610000000002</v>
      </c>
      <c r="C1350" s="44">
        <v>284.39280000000002</v>
      </c>
      <c r="D1350" s="44">
        <v>286.99520000000001</v>
      </c>
      <c r="E1350" s="44">
        <v>4097715</v>
      </c>
      <c r="F1350" s="44" t="s">
        <v>1327</v>
      </c>
      <c r="G1350" s="25">
        <f t="shared" si="19"/>
        <v>3.1923878866266797E-3</v>
      </c>
    </row>
    <row r="1351" spans="1:7">
      <c r="A1351" s="44">
        <v>282.62860000000001</v>
      </c>
      <c r="B1351" s="44">
        <v>287.37259999999998</v>
      </c>
      <c r="C1351" s="44">
        <v>280.82549999999998</v>
      </c>
      <c r="D1351" s="44">
        <v>286.79050000000001</v>
      </c>
      <c r="E1351" s="44">
        <v>5095018</v>
      </c>
      <c r="F1351" s="44" t="s">
        <v>1328</v>
      </c>
      <c r="G1351" s="25">
        <f t="shared" si="19"/>
        <v>-1.4511986973069213E-2</v>
      </c>
    </row>
    <row r="1352" spans="1:7">
      <c r="A1352" s="44">
        <v>281.33229999999998</v>
      </c>
      <c r="B1352" s="44">
        <v>284.46100000000001</v>
      </c>
      <c r="C1352" s="44">
        <v>274.08069999999998</v>
      </c>
      <c r="D1352" s="44">
        <v>282.51170000000002</v>
      </c>
      <c r="E1352" s="44">
        <v>6893575</v>
      </c>
      <c r="F1352" s="44" t="s">
        <v>1329</v>
      </c>
      <c r="G1352" s="25">
        <f t="shared" si="19"/>
        <v>-4.1746943577913864E-3</v>
      </c>
    </row>
    <row r="1353" spans="1:7">
      <c r="A1353" s="44">
        <v>285.75729999999999</v>
      </c>
      <c r="B1353" s="44">
        <v>287.82369999999997</v>
      </c>
      <c r="C1353" s="44">
        <v>280.26990000000001</v>
      </c>
      <c r="D1353" s="44">
        <v>285.77679999999998</v>
      </c>
      <c r="E1353" s="44">
        <v>9582260</v>
      </c>
      <c r="F1353" s="44" t="s">
        <v>1330</v>
      </c>
      <c r="G1353" s="25">
        <f t="shared" si="19"/>
        <v>-6.8235070166622336E-5</v>
      </c>
    </row>
    <row r="1354" spans="1:7">
      <c r="A1354" s="44">
        <v>284.00290000000001</v>
      </c>
      <c r="B1354" s="44">
        <v>294.35399999999998</v>
      </c>
      <c r="C1354" s="44">
        <v>281.29329999999999</v>
      </c>
      <c r="D1354" s="44">
        <v>294.05189999999999</v>
      </c>
      <c r="E1354" s="44">
        <v>11518248</v>
      </c>
      <c r="F1354" s="44" t="s">
        <v>1331</v>
      </c>
      <c r="G1354" s="25">
        <f t="shared" si="19"/>
        <v>-3.4174239309455179E-2</v>
      </c>
    </row>
    <row r="1355" spans="1:7">
      <c r="A1355" s="44">
        <v>309.08150000000001</v>
      </c>
      <c r="B1355" s="44">
        <v>311.46460000000002</v>
      </c>
      <c r="C1355" s="44">
        <v>304.44690000000003</v>
      </c>
      <c r="D1355" s="44">
        <v>310.82619999999997</v>
      </c>
      <c r="E1355" s="44">
        <v>4314917</v>
      </c>
      <c r="F1355" s="44" t="s">
        <v>1332</v>
      </c>
      <c r="G1355" s="25">
        <f t="shared" si="19"/>
        <v>-5.6131046867990975E-3</v>
      </c>
    </row>
    <row r="1356" spans="1:7">
      <c r="A1356" s="44">
        <v>310.00740000000002</v>
      </c>
      <c r="B1356" s="44">
        <v>318.95499999999998</v>
      </c>
      <c r="C1356" s="44">
        <v>306.27440000000001</v>
      </c>
      <c r="D1356" s="44">
        <v>318.14600000000002</v>
      </c>
      <c r="E1356" s="44">
        <v>5173344</v>
      </c>
      <c r="F1356" s="44" t="s">
        <v>1333</v>
      </c>
      <c r="G1356" s="25">
        <f t="shared" si="19"/>
        <v>-2.5581336870493465E-2</v>
      </c>
    </row>
    <row r="1357" spans="1:7">
      <c r="A1357" s="44">
        <v>321.26499999999999</v>
      </c>
      <c r="B1357" s="44">
        <v>327.19110000000001</v>
      </c>
      <c r="C1357" s="44">
        <v>319.99790000000002</v>
      </c>
      <c r="D1357" s="44">
        <v>327.19110000000001</v>
      </c>
      <c r="E1357" s="44">
        <v>2945459</v>
      </c>
      <c r="F1357" s="44" t="s">
        <v>1334</v>
      </c>
      <c r="G1357" s="25">
        <f t="shared" si="19"/>
        <v>-1.8112045223724005E-2</v>
      </c>
    </row>
    <row r="1358" spans="1:7">
      <c r="A1358" s="44">
        <v>325.154</v>
      </c>
      <c r="B1358" s="44">
        <v>326.88409999999999</v>
      </c>
      <c r="C1358" s="44">
        <v>320.91410000000002</v>
      </c>
      <c r="D1358" s="44">
        <v>324.9298</v>
      </c>
      <c r="E1358" s="44">
        <v>2256296</v>
      </c>
      <c r="F1358" s="44" t="s">
        <v>1335</v>
      </c>
      <c r="G1358" s="25">
        <f t="shared" si="19"/>
        <v>6.8999519280787958E-4</v>
      </c>
    </row>
    <row r="1359" spans="1:7">
      <c r="A1359" s="44">
        <v>324.97859999999997</v>
      </c>
      <c r="B1359" s="44">
        <v>327.80509999999998</v>
      </c>
      <c r="C1359" s="44">
        <v>322.91219999999998</v>
      </c>
      <c r="D1359" s="44">
        <v>324.07209999999998</v>
      </c>
      <c r="E1359" s="44">
        <v>2725252</v>
      </c>
      <c r="F1359" s="44" t="s">
        <v>1336</v>
      </c>
      <c r="G1359" s="25">
        <f t="shared" si="19"/>
        <v>2.7972170390477835E-3</v>
      </c>
    </row>
    <row r="1360" spans="1:7">
      <c r="A1360" s="44">
        <v>323.32159999999999</v>
      </c>
      <c r="B1360" s="44">
        <v>328.27300000000002</v>
      </c>
      <c r="C1360" s="44">
        <v>323.2826</v>
      </c>
      <c r="D1360" s="44">
        <v>324.60820000000001</v>
      </c>
      <c r="E1360" s="44">
        <v>2679689</v>
      </c>
      <c r="F1360" s="44" t="s">
        <v>1337</v>
      </c>
      <c r="G1360" s="25">
        <f t="shared" si="19"/>
        <v>-3.9635474396518822E-3</v>
      </c>
    </row>
    <row r="1361" spans="1:7">
      <c r="A1361" s="44">
        <v>323.27289999999999</v>
      </c>
      <c r="B1361" s="44">
        <v>332.65910000000002</v>
      </c>
      <c r="C1361" s="44">
        <v>322.0643</v>
      </c>
      <c r="D1361" s="44">
        <v>331.50889999999998</v>
      </c>
      <c r="E1361" s="44">
        <v>2937563</v>
      </c>
      <c r="F1361" s="44" t="s">
        <v>1338</v>
      </c>
      <c r="G1361" s="25">
        <f t="shared" si="19"/>
        <v>-2.4843978547785528E-2</v>
      </c>
    </row>
    <row r="1362" spans="1:7">
      <c r="A1362" s="44">
        <v>330.80720000000002</v>
      </c>
      <c r="B1362" s="44">
        <v>336.24459999999999</v>
      </c>
      <c r="C1362" s="44">
        <v>330.64150000000001</v>
      </c>
      <c r="D1362" s="44">
        <v>331.392</v>
      </c>
      <c r="E1362" s="44">
        <v>3326354</v>
      </c>
      <c r="F1362" s="44" t="s">
        <v>1339</v>
      </c>
      <c r="G1362" s="25">
        <f t="shared" si="19"/>
        <v>-1.7646774816530986E-3</v>
      </c>
    </row>
    <row r="1363" spans="1:7">
      <c r="A1363" s="44">
        <v>329.9982</v>
      </c>
      <c r="B1363" s="44">
        <v>331.01179999999999</v>
      </c>
      <c r="C1363" s="44">
        <v>324.38889999999998</v>
      </c>
      <c r="D1363" s="44">
        <v>329.73500000000001</v>
      </c>
      <c r="E1363" s="44">
        <v>3728078</v>
      </c>
      <c r="F1363" s="44" t="s">
        <v>1340</v>
      </c>
      <c r="G1363" s="25">
        <f t="shared" si="19"/>
        <v>7.9821674981417345E-4</v>
      </c>
    </row>
    <row r="1364" spans="1:7">
      <c r="A1364" s="44">
        <v>334.02359999999999</v>
      </c>
      <c r="B1364" s="44">
        <v>338.3999</v>
      </c>
      <c r="C1364" s="44">
        <v>332.55180000000001</v>
      </c>
      <c r="D1364" s="44">
        <v>337.0061</v>
      </c>
      <c r="E1364" s="44">
        <v>2234659</v>
      </c>
      <c r="F1364" s="44" t="s">
        <v>1341</v>
      </c>
      <c r="G1364" s="25">
        <f t="shared" si="19"/>
        <v>-8.8499881752882592E-3</v>
      </c>
    </row>
    <row r="1365" spans="1:7">
      <c r="A1365" s="44">
        <v>337.08409999999998</v>
      </c>
      <c r="B1365" s="44">
        <v>342.60079999999999</v>
      </c>
      <c r="C1365" s="44">
        <v>336.28489999999999</v>
      </c>
      <c r="D1365" s="44">
        <v>342.5326</v>
      </c>
      <c r="E1365" s="44">
        <v>2523751</v>
      </c>
      <c r="F1365" s="44" t="s">
        <v>1342</v>
      </c>
      <c r="G1365" s="25">
        <f t="shared" si="19"/>
        <v>-1.590651517548991E-2</v>
      </c>
    </row>
    <row r="1366" spans="1:7">
      <c r="A1366" s="44">
        <v>343.12709999999998</v>
      </c>
      <c r="B1366" s="44">
        <v>346.01220000000001</v>
      </c>
      <c r="C1366" s="44">
        <v>341.93799999999999</v>
      </c>
      <c r="D1366" s="44">
        <v>346.01220000000001</v>
      </c>
      <c r="E1366" s="44">
        <v>2943192</v>
      </c>
      <c r="F1366" s="44" t="s">
        <v>1343</v>
      </c>
      <c r="G1366" s="25">
        <f t="shared" si="19"/>
        <v>-8.3381453023911867E-3</v>
      </c>
    </row>
    <row r="1367" spans="1:7">
      <c r="A1367" s="44">
        <v>343.4683</v>
      </c>
      <c r="B1367" s="44">
        <v>344.41370000000001</v>
      </c>
      <c r="C1367" s="44">
        <v>338.21469999999999</v>
      </c>
      <c r="D1367" s="44">
        <v>339.17970000000003</v>
      </c>
      <c r="E1367" s="44">
        <v>3116763</v>
      </c>
      <c r="F1367" s="44" t="s">
        <v>1344</v>
      </c>
      <c r="G1367" s="25">
        <f t="shared" si="19"/>
        <v>1.2644035005632714E-2</v>
      </c>
    </row>
    <row r="1368" spans="1:7">
      <c r="A1368" s="44">
        <v>336.41160000000002</v>
      </c>
      <c r="B1368" s="44">
        <v>338.88729999999998</v>
      </c>
      <c r="C1368" s="44">
        <v>335.52460000000002</v>
      </c>
      <c r="D1368" s="44">
        <v>336.27510000000001</v>
      </c>
      <c r="E1368" s="44">
        <v>1991848</v>
      </c>
      <c r="F1368" s="44" t="s">
        <v>1345</v>
      </c>
      <c r="G1368" s="25">
        <f t="shared" si="19"/>
        <v>4.059176549200405E-4</v>
      </c>
    </row>
    <row r="1369" spans="1:7">
      <c r="A1369" s="44">
        <v>334.80340000000001</v>
      </c>
      <c r="B1369" s="44">
        <v>335.5335</v>
      </c>
      <c r="C1369" s="44">
        <v>331.33269999999999</v>
      </c>
      <c r="D1369" s="44">
        <v>332.73939999999999</v>
      </c>
      <c r="E1369" s="44">
        <v>3068268</v>
      </c>
      <c r="F1369" s="44" t="s">
        <v>1346</v>
      </c>
      <c r="G1369" s="25">
        <f t="shared" si="19"/>
        <v>6.2030525991212393E-3</v>
      </c>
    </row>
    <row r="1370" spans="1:7">
      <c r="A1370" s="44">
        <v>328.50450000000001</v>
      </c>
      <c r="B1370" s="44">
        <v>337.19830000000002</v>
      </c>
      <c r="C1370" s="44">
        <v>327.32650000000001</v>
      </c>
      <c r="D1370" s="44">
        <v>333.012</v>
      </c>
      <c r="E1370" s="44">
        <v>2553410</v>
      </c>
      <c r="F1370" s="44" t="s">
        <v>1347</v>
      </c>
      <c r="G1370" s="25">
        <f t="shared" si="19"/>
        <v>-1.3535548268530873E-2</v>
      </c>
    </row>
    <row r="1371" spans="1:7">
      <c r="A1371" s="44">
        <v>334.1705</v>
      </c>
      <c r="B1371" s="44">
        <v>334.1705</v>
      </c>
      <c r="C1371" s="44">
        <v>330.00380000000001</v>
      </c>
      <c r="D1371" s="44">
        <v>332.64210000000003</v>
      </c>
      <c r="E1371" s="44">
        <v>2081554</v>
      </c>
      <c r="F1371" s="44" t="s">
        <v>1348</v>
      </c>
      <c r="G1371" s="25">
        <f t="shared" si="19"/>
        <v>4.5947280876352803E-3</v>
      </c>
    </row>
    <row r="1372" spans="1:7">
      <c r="A1372" s="44">
        <v>329.86750000000001</v>
      </c>
      <c r="B1372" s="44">
        <v>333.54750000000001</v>
      </c>
      <c r="C1372" s="44">
        <v>327.12209999999999</v>
      </c>
      <c r="D1372" s="44">
        <v>329.32229999999998</v>
      </c>
      <c r="E1372" s="44">
        <v>2184840</v>
      </c>
      <c r="F1372" s="44" t="s">
        <v>1349</v>
      </c>
      <c r="G1372" s="25">
        <f t="shared" si="19"/>
        <v>1.6555210503510498E-3</v>
      </c>
    </row>
    <row r="1373" spans="1:7">
      <c r="A1373" s="44">
        <v>334.28739999999999</v>
      </c>
      <c r="B1373" s="44">
        <v>337.52929999999998</v>
      </c>
      <c r="C1373" s="44">
        <v>331.27910000000003</v>
      </c>
      <c r="D1373" s="44">
        <v>333.18729999999999</v>
      </c>
      <c r="E1373" s="44">
        <v>2503643</v>
      </c>
      <c r="F1373" s="44" t="s">
        <v>1350</v>
      </c>
      <c r="G1373" s="25">
        <f t="shared" si="19"/>
        <v>3.3017464951394793E-3</v>
      </c>
    </row>
    <row r="1374" spans="1:7">
      <c r="A1374" s="44">
        <v>329.22489999999999</v>
      </c>
      <c r="B1374" s="44">
        <v>334.56</v>
      </c>
      <c r="C1374" s="44">
        <v>327.52120000000002</v>
      </c>
      <c r="D1374" s="44">
        <v>327.79379999999998</v>
      </c>
      <c r="E1374" s="44">
        <v>3285410</v>
      </c>
      <c r="F1374" s="44" t="s">
        <v>1351</v>
      </c>
      <c r="G1374" s="25">
        <f t="shared" si="19"/>
        <v>4.3658543877278522E-3</v>
      </c>
    </row>
    <row r="1375" spans="1:7">
      <c r="A1375" s="44">
        <v>327.33620000000002</v>
      </c>
      <c r="B1375" s="44">
        <v>331.70749999999998</v>
      </c>
      <c r="C1375" s="44">
        <v>326.93709999999999</v>
      </c>
      <c r="D1375" s="44">
        <v>329.4391</v>
      </c>
      <c r="E1375" s="44">
        <v>2703855</v>
      </c>
      <c r="F1375" s="44" t="s">
        <v>1352</v>
      </c>
      <c r="G1375" s="25">
        <f t="shared" si="19"/>
        <v>-6.3832738736839811E-3</v>
      </c>
    </row>
    <row r="1376" spans="1:7">
      <c r="A1376" s="44">
        <v>329.4391</v>
      </c>
      <c r="B1376" s="44">
        <v>331.56139999999999</v>
      </c>
      <c r="C1376" s="44">
        <v>326.9273</v>
      </c>
      <c r="D1376" s="44">
        <v>327.70620000000002</v>
      </c>
      <c r="E1376" s="44">
        <v>3122503</v>
      </c>
      <c r="F1376" s="44" t="s">
        <v>1353</v>
      </c>
      <c r="G1376" s="25">
        <f t="shared" si="19"/>
        <v>5.2879683081978879E-3</v>
      </c>
    </row>
    <row r="1377" spans="1:7">
      <c r="A1377" s="44">
        <v>323.00389999999999</v>
      </c>
      <c r="B1377" s="44">
        <v>324.65899999999999</v>
      </c>
      <c r="C1377" s="44">
        <v>313.58</v>
      </c>
      <c r="D1377" s="44">
        <v>317.03609999999998</v>
      </c>
      <c r="E1377" s="44">
        <v>3077606</v>
      </c>
      <c r="F1377" s="44" t="s">
        <v>1354</v>
      </c>
      <c r="G1377" s="25">
        <f t="shared" si="19"/>
        <v>1.8823723859838104E-2</v>
      </c>
    </row>
    <row r="1378" spans="1:7">
      <c r="A1378" s="44">
        <v>319.52839999999998</v>
      </c>
      <c r="B1378" s="44">
        <v>322.03039999999999</v>
      </c>
      <c r="C1378" s="44">
        <v>312.68430000000001</v>
      </c>
      <c r="D1378" s="44">
        <v>314.65089999999998</v>
      </c>
      <c r="E1378" s="44">
        <v>3706328</v>
      </c>
      <c r="F1378" s="44" t="s">
        <v>1355</v>
      </c>
      <c r="G1378" s="25">
        <f t="shared" si="19"/>
        <v>1.550130636842284E-2</v>
      </c>
    </row>
    <row r="1379" spans="1:7">
      <c r="A1379" s="44">
        <v>315.94569999999999</v>
      </c>
      <c r="B1379" s="44">
        <v>326.30430000000001</v>
      </c>
      <c r="C1379" s="44">
        <v>314.91379999999998</v>
      </c>
      <c r="D1379" s="44">
        <v>325.983</v>
      </c>
      <c r="E1379" s="44">
        <v>2893892</v>
      </c>
      <c r="F1379" s="44" t="s">
        <v>1356</v>
      </c>
      <c r="G1379" s="25">
        <f t="shared" si="19"/>
        <v>-3.0790869462518078E-2</v>
      </c>
    </row>
    <row r="1380" spans="1:7">
      <c r="A1380" s="44">
        <v>326.44060000000002</v>
      </c>
      <c r="B1380" s="44">
        <v>327.14150000000001</v>
      </c>
      <c r="C1380" s="44">
        <v>316.5104</v>
      </c>
      <c r="D1380" s="44">
        <v>320.79399999999998</v>
      </c>
      <c r="E1380" s="44">
        <v>3375282</v>
      </c>
      <c r="F1380" s="44" t="s">
        <v>1357</v>
      </c>
      <c r="G1380" s="25">
        <f t="shared" si="19"/>
        <v>1.7601950161162616E-2</v>
      </c>
    </row>
    <row r="1381" spans="1:7">
      <c r="A1381" s="44">
        <v>319.17790000000002</v>
      </c>
      <c r="B1381" s="44">
        <v>322.89690000000002</v>
      </c>
      <c r="C1381" s="44">
        <v>312.32409999999999</v>
      </c>
      <c r="D1381" s="44">
        <v>320.75510000000003</v>
      </c>
      <c r="E1381" s="44">
        <v>4466047</v>
      </c>
      <c r="F1381" s="44" t="s">
        <v>1358</v>
      </c>
      <c r="G1381" s="25">
        <f t="shared" si="19"/>
        <v>-4.9171470695243968E-3</v>
      </c>
    </row>
    <row r="1382" spans="1:7">
      <c r="A1382" s="44">
        <v>326.39190000000002</v>
      </c>
      <c r="B1382" s="44">
        <v>332.11149999999998</v>
      </c>
      <c r="C1382" s="44">
        <v>324.55189999999999</v>
      </c>
      <c r="D1382" s="44">
        <v>329.26389999999998</v>
      </c>
      <c r="E1382" s="44">
        <v>4006023</v>
      </c>
      <c r="F1382" s="44" t="s">
        <v>1359</v>
      </c>
      <c r="G1382" s="25">
        <f t="shared" si="19"/>
        <v>-8.7224867348043578E-3</v>
      </c>
    </row>
    <row r="1383" spans="1:7">
      <c r="A1383" s="44">
        <v>330.45159999999998</v>
      </c>
      <c r="B1383" s="44">
        <v>334.62810000000002</v>
      </c>
      <c r="C1383" s="44">
        <v>327.1123</v>
      </c>
      <c r="D1383" s="44">
        <v>328.22219999999999</v>
      </c>
      <c r="E1383" s="44">
        <v>3713239</v>
      </c>
      <c r="F1383" s="44" t="s">
        <v>1360</v>
      </c>
      <c r="G1383" s="25">
        <f t="shared" si="19"/>
        <v>6.7923498166790885E-3</v>
      </c>
    </row>
    <row r="1384" spans="1:7">
      <c r="A1384" s="44">
        <v>332.80759999999998</v>
      </c>
      <c r="B1384" s="44">
        <v>336.88679999999999</v>
      </c>
      <c r="C1384" s="44">
        <v>330.79719999999998</v>
      </c>
      <c r="D1384" s="44">
        <v>332.2527</v>
      </c>
      <c r="E1384" s="44">
        <v>3049084</v>
      </c>
      <c r="F1384" s="44" t="s">
        <v>1361</v>
      </c>
      <c r="G1384" s="25">
        <f t="shared" si="19"/>
        <v>1.6701143436907984E-3</v>
      </c>
    </row>
    <row r="1385" spans="1:7">
      <c r="A1385" s="44">
        <v>330.16930000000002</v>
      </c>
      <c r="B1385" s="44">
        <v>334.83260000000001</v>
      </c>
      <c r="C1385" s="44">
        <v>329.5754</v>
      </c>
      <c r="D1385" s="44">
        <v>333.67399999999998</v>
      </c>
      <c r="E1385" s="44">
        <v>2396398</v>
      </c>
      <c r="F1385" s="44" t="s">
        <v>1362</v>
      </c>
      <c r="G1385" s="25">
        <f t="shared" si="19"/>
        <v>-1.0503365560397104E-2</v>
      </c>
    </row>
    <row r="1386" spans="1:7">
      <c r="A1386" s="44">
        <v>329.64350000000002</v>
      </c>
      <c r="B1386" s="44">
        <v>331.00650000000002</v>
      </c>
      <c r="C1386" s="44">
        <v>325.18470000000002</v>
      </c>
      <c r="D1386" s="44">
        <v>326.1096</v>
      </c>
      <c r="E1386" s="44">
        <v>3416441</v>
      </c>
      <c r="F1386" s="44" t="s">
        <v>1363</v>
      </c>
      <c r="G1386" s="25">
        <f t="shared" si="19"/>
        <v>1.0836540843937259E-2</v>
      </c>
    </row>
    <row r="1387" spans="1:7">
      <c r="A1387" s="44">
        <v>321.4171</v>
      </c>
      <c r="B1387" s="44">
        <v>325.85640000000001</v>
      </c>
      <c r="C1387" s="44">
        <v>318.65219999999999</v>
      </c>
      <c r="D1387" s="44">
        <v>325.85640000000001</v>
      </c>
      <c r="E1387" s="44">
        <v>2920670</v>
      </c>
      <c r="F1387" s="44" t="s">
        <v>1364</v>
      </c>
      <c r="G1387" s="25">
        <f t="shared" si="19"/>
        <v>-1.3623485682650371E-2</v>
      </c>
    </row>
    <row r="1388" spans="1:7">
      <c r="A1388" s="44">
        <v>324.07490000000001</v>
      </c>
      <c r="B1388" s="44">
        <v>336.00080000000003</v>
      </c>
      <c r="C1388" s="44">
        <v>322.3809</v>
      </c>
      <c r="D1388" s="44">
        <v>333.44040000000001</v>
      </c>
      <c r="E1388" s="44">
        <v>2845917</v>
      </c>
      <c r="F1388" s="44" t="s">
        <v>1365</v>
      </c>
      <c r="G1388" s="25">
        <f t="shared" si="19"/>
        <v>-2.8087478301969449E-2</v>
      </c>
    </row>
    <row r="1389" spans="1:7">
      <c r="A1389" s="44">
        <v>330.65600000000001</v>
      </c>
      <c r="B1389" s="44">
        <v>333.69349999999997</v>
      </c>
      <c r="C1389" s="44">
        <v>323.57830000000001</v>
      </c>
      <c r="D1389" s="44">
        <v>328.46559999999999</v>
      </c>
      <c r="E1389" s="44">
        <v>3344928</v>
      </c>
      <c r="F1389" s="44" t="s">
        <v>1366</v>
      </c>
      <c r="G1389" s="25">
        <f t="shared" si="19"/>
        <v>6.6685826460974873E-3</v>
      </c>
    </row>
    <row r="1390" spans="1:7">
      <c r="A1390" s="44">
        <v>321.1542</v>
      </c>
      <c r="B1390" s="44">
        <v>326.83</v>
      </c>
      <c r="C1390" s="44">
        <v>318.25299999999999</v>
      </c>
      <c r="D1390" s="44">
        <v>320.06380000000001</v>
      </c>
      <c r="E1390" s="44">
        <v>4425652</v>
      </c>
      <c r="F1390" s="44" t="s">
        <v>1367</v>
      </c>
      <c r="G1390" s="25">
        <f t="shared" si="19"/>
        <v>3.406820765109897E-3</v>
      </c>
    </row>
    <row r="1391" spans="1:7">
      <c r="A1391" s="44">
        <v>326.14850000000001</v>
      </c>
      <c r="B1391" s="44">
        <v>337.8116</v>
      </c>
      <c r="C1391" s="44">
        <v>317.91239999999999</v>
      </c>
      <c r="D1391" s="44">
        <v>333.92720000000003</v>
      </c>
      <c r="E1391" s="44">
        <v>6571423</v>
      </c>
      <c r="F1391" s="44" t="s">
        <v>1368</v>
      </c>
      <c r="G1391" s="25">
        <f t="shared" si="19"/>
        <v>-2.3294598343591155E-2</v>
      </c>
    </row>
    <row r="1392" spans="1:7">
      <c r="A1392" s="44">
        <v>334.74489999999997</v>
      </c>
      <c r="B1392" s="44">
        <v>349.44549999999998</v>
      </c>
      <c r="C1392" s="44">
        <v>332.23320000000001</v>
      </c>
      <c r="D1392" s="44">
        <v>348.988</v>
      </c>
      <c r="E1392" s="44">
        <v>6297442</v>
      </c>
      <c r="F1392" s="44" t="s">
        <v>1369</v>
      </c>
      <c r="G1392" s="25">
        <f t="shared" si="19"/>
        <v>-4.0812578082914053E-2</v>
      </c>
    </row>
    <row r="1393" spans="1:7">
      <c r="A1393" s="44">
        <v>351.15899999999999</v>
      </c>
      <c r="B1393" s="44">
        <v>352.03519999999997</v>
      </c>
      <c r="C1393" s="44">
        <v>346.85700000000003</v>
      </c>
      <c r="D1393" s="44">
        <v>347.93650000000002</v>
      </c>
      <c r="E1393" s="44">
        <v>4127221</v>
      </c>
      <c r="F1393" s="44" t="s">
        <v>1370</v>
      </c>
      <c r="G1393" s="25">
        <f t="shared" si="19"/>
        <v>9.261747474036186E-3</v>
      </c>
    </row>
    <row r="1394" spans="1:7">
      <c r="A1394" s="44">
        <v>347.45949999999999</v>
      </c>
      <c r="B1394" s="44">
        <v>349.9323</v>
      </c>
      <c r="C1394" s="44">
        <v>344.20780000000002</v>
      </c>
      <c r="D1394" s="44">
        <v>348.24810000000002</v>
      </c>
      <c r="E1394" s="44">
        <v>4412230</v>
      </c>
      <c r="F1394" s="44" t="s">
        <v>1371</v>
      </c>
      <c r="G1394" s="25">
        <f t="shared" si="19"/>
        <v>-2.2644775377095305E-3</v>
      </c>
    </row>
    <row r="1395" spans="1:7">
      <c r="A1395" s="44">
        <v>348.71539999999999</v>
      </c>
      <c r="B1395" s="44">
        <v>356.93209999999999</v>
      </c>
      <c r="C1395" s="44">
        <v>348.22840000000002</v>
      </c>
      <c r="D1395" s="44">
        <v>356.93209999999999</v>
      </c>
      <c r="E1395" s="44">
        <v>3948240</v>
      </c>
      <c r="F1395" s="44" t="s">
        <v>1372</v>
      </c>
      <c r="G1395" s="25">
        <f t="shared" si="19"/>
        <v>-2.302034476585324E-2</v>
      </c>
    </row>
    <row r="1396" spans="1:7">
      <c r="A1396" s="44">
        <v>356.43560000000002</v>
      </c>
      <c r="B1396" s="44">
        <v>357.53570000000002</v>
      </c>
      <c r="C1396" s="44">
        <v>346.73910000000001</v>
      </c>
      <c r="D1396" s="44">
        <v>348.02409999999998</v>
      </c>
      <c r="E1396" s="44">
        <v>3544720</v>
      </c>
      <c r="F1396" s="44" t="s">
        <v>1373</v>
      </c>
      <c r="G1396" s="25">
        <f t="shared" si="19"/>
        <v>2.4169303217794535E-2</v>
      </c>
    </row>
    <row r="1397" spans="1:7">
      <c r="A1397" s="44">
        <v>346.58330000000001</v>
      </c>
      <c r="B1397" s="44">
        <v>348.53039999999999</v>
      </c>
      <c r="C1397" s="44">
        <v>341.30669999999998</v>
      </c>
      <c r="D1397" s="44">
        <v>342.42619999999999</v>
      </c>
      <c r="E1397" s="44">
        <v>3811724</v>
      </c>
      <c r="F1397" s="44" t="s">
        <v>1374</v>
      </c>
      <c r="G1397" s="25">
        <f t="shared" si="19"/>
        <v>1.2140134136932268E-2</v>
      </c>
    </row>
    <row r="1398" spans="1:7">
      <c r="A1398" s="44">
        <v>341.73500000000001</v>
      </c>
      <c r="B1398" s="44">
        <v>342.97140000000002</v>
      </c>
      <c r="C1398" s="44">
        <v>336.36099999999999</v>
      </c>
      <c r="D1398" s="44">
        <v>338.79489999999998</v>
      </c>
      <c r="E1398" s="44">
        <v>3511970</v>
      </c>
      <c r="F1398" s="44" t="s">
        <v>1375</v>
      </c>
      <c r="G1398" s="25">
        <f t="shared" si="19"/>
        <v>8.6781117425323018E-3</v>
      </c>
    </row>
    <row r="1399" spans="1:7">
      <c r="A1399" s="44">
        <v>338.46390000000002</v>
      </c>
      <c r="B1399" s="44">
        <v>339.24270000000001</v>
      </c>
      <c r="C1399" s="44">
        <v>334.2484</v>
      </c>
      <c r="D1399" s="44">
        <v>335.59190000000001</v>
      </c>
      <c r="E1399" s="44">
        <v>2862965</v>
      </c>
      <c r="F1399" s="44" t="s">
        <v>1376</v>
      </c>
      <c r="G1399" s="25">
        <f t="shared" si="19"/>
        <v>8.558013468143999E-3</v>
      </c>
    </row>
    <row r="1400" spans="1:7">
      <c r="A1400" s="44">
        <v>334.55020000000002</v>
      </c>
      <c r="B1400" s="44">
        <v>334.73520000000002</v>
      </c>
      <c r="C1400" s="44">
        <v>329.78960000000001</v>
      </c>
      <c r="D1400" s="44">
        <v>330.38339999999999</v>
      </c>
      <c r="E1400" s="44">
        <v>2753906</v>
      </c>
      <c r="F1400" s="44" t="s">
        <v>1377</v>
      </c>
      <c r="G1400" s="25">
        <f t="shared" si="19"/>
        <v>1.2612013799724986E-2</v>
      </c>
    </row>
    <row r="1401" spans="1:7">
      <c r="A1401" s="44">
        <v>328.1832</v>
      </c>
      <c r="B1401" s="44">
        <v>329.8383</v>
      </c>
      <c r="C1401" s="44">
        <v>327.0831</v>
      </c>
      <c r="D1401" s="44">
        <v>329.05939999999998</v>
      </c>
      <c r="E1401" s="44">
        <v>2681080</v>
      </c>
      <c r="F1401" s="44" t="s">
        <v>1378</v>
      </c>
      <c r="G1401" s="25">
        <f t="shared" si="19"/>
        <v>-2.6627411342754481E-3</v>
      </c>
    </row>
    <row r="1402" spans="1:7">
      <c r="A1402" s="44">
        <v>328.3974</v>
      </c>
      <c r="B1402" s="44">
        <v>329.05939999999998</v>
      </c>
      <c r="C1402" s="44">
        <v>321.45600000000002</v>
      </c>
      <c r="D1402" s="44">
        <v>321.45600000000002</v>
      </c>
      <c r="E1402" s="44">
        <v>2966407</v>
      </c>
      <c r="F1402" s="44" t="s">
        <v>1379</v>
      </c>
      <c r="G1402" s="25">
        <f t="shared" si="19"/>
        <v>2.1593624010751045E-2</v>
      </c>
    </row>
    <row r="1403" spans="1:7">
      <c r="A1403" s="44">
        <v>323.60750000000002</v>
      </c>
      <c r="B1403" s="44">
        <v>325.613</v>
      </c>
      <c r="C1403" s="44">
        <v>321.27100000000002</v>
      </c>
      <c r="D1403" s="44">
        <v>321.31</v>
      </c>
      <c r="E1403" s="44">
        <v>3420991</v>
      </c>
      <c r="F1403" s="44" t="s">
        <v>1380</v>
      </c>
      <c r="G1403" s="25">
        <f t="shared" si="19"/>
        <v>7.1504154866017799E-3</v>
      </c>
    </row>
    <row r="1404" spans="1:7">
      <c r="A1404" s="44">
        <v>322.24459999999999</v>
      </c>
      <c r="B1404" s="44">
        <v>322.63400000000001</v>
      </c>
      <c r="C1404" s="44">
        <v>317.71769999999998</v>
      </c>
      <c r="D1404" s="44">
        <v>321.46570000000003</v>
      </c>
      <c r="E1404" s="44">
        <v>3022140</v>
      </c>
      <c r="F1404" s="44" t="s">
        <v>1381</v>
      </c>
      <c r="G1404" s="25">
        <f t="shared" si="19"/>
        <v>2.4229645651152598E-3</v>
      </c>
    </row>
    <row r="1405" spans="1:7">
      <c r="A1405" s="44">
        <v>321.49489999999997</v>
      </c>
      <c r="B1405" s="44">
        <v>322.46850000000001</v>
      </c>
      <c r="C1405" s="44">
        <v>318.03399999999999</v>
      </c>
      <c r="D1405" s="44">
        <v>318.35039999999998</v>
      </c>
      <c r="E1405" s="44">
        <v>2904051</v>
      </c>
      <c r="F1405" s="44" t="s">
        <v>1382</v>
      </c>
      <c r="G1405" s="25">
        <f t="shared" ref="G1405:G1443" si="20">A1405/D1405-1</f>
        <v>9.8774809141122244E-3</v>
      </c>
    </row>
    <row r="1406" spans="1:7">
      <c r="A1406" s="44">
        <v>318.15570000000002</v>
      </c>
      <c r="B1406" s="44">
        <v>318.9735</v>
      </c>
      <c r="C1406" s="44">
        <v>316.2183</v>
      </c>
      <c r="D1406" s="44">
        <v>317.05560000000003</v>
      </c>
      <c r="E1406" s="44">
        <v>1444904</v>
      </c>
      <c r="F1406" s="44" t="s">
        <v>1383</v>
      </c>
      <c r="G1406" s="25">
        <f t="shared" si="20"/>
        <v>3.4697384307358359E-3</v>
      </c>
    </row>
    <row r="1407" spans="1:7">
      <c r="A1407" s="44">
        <v>317.56180000000001</v>
      </c>
      <c r="B1407" s="44">
        <v>321.10610000000003</v>
      </c>
      <c r="C1407" s="44">
        <v>317.01049999999998</v>
      </c>
      <c r="D1407" s="44">
        <v>317.30869999999999</v>
      </c>
      <c r="E1407" s="44">
        <v>2527126</v>
      </c>
      <c r="F1407" s="44" t="s">
        <v>1384</v>
      </c>
      <c r="G1407" s="25">
        <f t="shared" si="20"/>
        <v>7.9764595171827324E-4</v>
      </c>
    </row>
    <row r="1408" spans="1:7">
      <c r="A1408" s="44">
        <v>318.96370000000002</v>
      </c>
      <c r="B1408" s="44">
        <v>322.63400000000001</v>
      </c>
      <c r="C1408" s="44">
        <v>317.57150000000001</v>
      </c>
      <c r="D1408" s="44">
        <v>319.9665</v>
      </c>
      <c r="E1408" s="44">
        <v>3126682</v>
      </c>
      <c r="F1408" s="44" t="s">
        <v>1385</v>
      </c>
      <c r="G1408" s="25">
        <f t="shared" si="20"/>
        <v>-3.134078098800952E-3</v>
      </c>
    </row>
    <row r="1409" spans="1:7">
      <c r="A1409" s="44">
        <v>319.84960000000001</v>
      </c>
      <c r="B1409" s="44">
        <v>325.70069999999998</v>
      </c>
      <c r="C1409" s="44">
        <v>315.02080000000001</v>
      </c>
      <c r="D1409" s="44">
        <v>316.4033</v>
      </c>
      <c r="E1409" s="44">
        <v>5273319</v>
      </c>
      <c r="F1409" s="44" t="s">
        <v>1386</v>
      </c>
      <c r="G1409" s="25">
        <f t="shared" si="20"/>
        <v>1.0892111428673523E-2</v>
      </c>
    </row>
    <row r="1410" spans="1:7">
      <c r="A1410" s="44">
        <v>314.33940000000001</v>
      </c>
      <c r="B1410" s="44">
        <v>321.0179</v>
      </c>
      <c r="C1410" s="44">
        <v>313.34339999999997</v>
      </c>
      <c r="D1410" s="44">
        <v>318.53539999999998</v>
      </c>
      <c r="E1410" s="44">
        <v>3752382</v>
      </c>
      <c r="F1410" s="44" t="s">
        <v>1387</v>
      </c>
      <c r="G1410" s="25">
        <f t="shared" si="20"/>
        <v>-1.3172790214211583E-2</v>
      </c>
    </row>
    <row r="1411" spans="1:7">
      <c r="A1411" s="44">
        <v>319.34339999999997</v>
      </c>
      <c r="B1411" s="44">
        <v>319.64519999999999</v>
      </c>
      <c r="C1411" s="44">
        <v>315.36160000000001</v>
      </c>
      <c r="D1411" s="44">
        <v>319.32389999999998</v>
      </c>
      <c r="E1411" s="44">
        <v>3662668</v>
      </c>
      <c r="F1411" s="44" t="s">
        <v>1388</v>
      </c>
      <c r="G1411" s="25">
        <f t="shared" si="20"/>
        <v>6.1066522111241639E-5</v>
      </c>
    </row>
    <row r="1412" spans="1:7">
      <c r="A1412" s="44">
        <v>321.40730000000002</v>
      </c>
      <c r="B1412" s="44">
        <v>322.45389999999998</v>
      </c>
      <c r="C1412" s="44">
        <v>317.27949999999998</v>
      </c>
      <c r="D1412" s="44">
        <v>318.7398</v>
      </c>
      <c r="E1412" s="44">
        <v>4839813</v>
      </c>
      <c r="F1412" s="44" t="s">
        <v>1389</v>
      </c>
      <c r="G1412" s="25">
        <f t="shared" si="20"/>
        <v>8.3688952556286722E-3</v>
      </c>
    </row>
    <row r="1413" spans="1:7">
      <c r="A1413" s="44">
        <v>319.32389999999998</v>
      </c>
      <c r="B1413" s="44">
        <v>320.95949999999999</v>
      </c>
      <c r="C1413" s="44">
        <v>307.51479999999998</v>
      </c>
      <c r="D1413" s="44">
        <v>308.0016</v>
      </c>
      <c r="E1413" s="44">
        <v>5799100</v>
      </c>
      <c r="F1413" s="44" t="s">
        <v>1390</v>
      </c>
      <c r="G1413" s="25">
        <f t="shared" si="20"/>
        <v>3.6760523321956784E-2</v>
      </c>
    </row>
    <row r="1414" spans="1:7">
      <c r="A1414" s="44">
        <v>306.07389999999998</v>
      </c>
      <c r="B1414" s="44">
        <v>307.33960000000002</v>
      </c>
      <c r="C1414" s="44">
        <v>302.87099999999998</v>
      </c>
      <c r="D1414" s="44">
        <v>304.23390000000001</v>
      </c>
      <c r="E1414" s="44">
        <v>3409339</v>
      </c>
      <c r="F1414" s="44" t="s">
        <v>1391</v>
      </c>
      <c r="G1414" s="25">
        <f t="shared" si="20"/>
        <v>6.0479782167601748E-3</v>
      </c>
    </row>
    <row r="1415" spans="1:7">
      <c r="A1415" s="44">
        <v>304.32159999999999</v>
      </c>
      <c r="B1415" s="44">
        <v>305.20749999999998</v>
      </c>
      <c r="C1415" s="44">
        <v>301.11860000000001</v>
      </c>
      <c r="D1415" s="44">
        <v>302.77359999999999</v>
      </c>
      <c r="E1415" s="44">
        <v>3908500</v>
      </c>
      <c r="F1415" s="44" t="s">
        <v>1392</v>
      </c>
      <c r="G1415" s="25">
        <f t="shared" si="20"/>
        <v>5.1127310967666872E-3</v>
      </c>
    </row>
    <row r="1416" spans="1:7">
      <c r="A1416" s="44">
        <v>300.3689</v>
      </c>
      <c r="B1416" s="44">
        <v>301.8877</v>
      </c>
      <c r="C1416" s="44">
        <v>297.52629999999999</v>
      </c>
      <c r="D1416" s="44">
        <v>301.80009999999999</v>
      </c>
      <c r="E1416" s="44">
        <v>4684553</v>
      </c>
      <c r="F1416" s="44" t="s">
        <v>1393</v>
      </c>
      <c r="G1416" s="25">
        <f t="shared" si="20"/>
        <v>-4.742211815039088E-3</v>
      </c>
    </row>
    <row r="1417" spans="1:7">
      <c r="A1417" s="44">
        <v>300.82650000000001</v>
      </c>
      <c r="B1417" s="44">
        <v>304.5455</v>
      </c>
      <c r="C1417" s="44">
        <v>295.02420000000001</v>
      </c>
      <c r="D1417" s="44">
        <v>295.9588</v>
      </c>
      <c r="E1417" s="44">
        <v>3941573</v>
      </c>
      <c r="F1417" s="44" t="s">
        <v>1394</v>
      </c>
      <c r="G1417" s="25">
        <f t="shared" si="20"/>
        <v>1.6447221707886372E-2</v>
      </c>
    </row>
    <row r="1418" spans="1:7">
      <c r="A1418" s="44">
        <v>301.11860000000001</v>
      </c>
      <c r="B1418" s="44">
        <v>303.41609999999997</v>
      </c>
      <c r="C1418" s="44">
        <v>296.07560000000001</v>
      </c>
      <c r="D1418" s="44">
        <v>296.44549999999998</v>
      </c>
      <c r="E1418" s="44">
        <v>3542405</v>
      </c>
      <c r="F1418" s="44" t="s">
        <v>1395</v>
      </c>
      <c r="G1418" s="25">
        <f t="shared" si="20"/>
        <v>1.5763774454326418E-2</v>
      </c>
    </row>
    <row r="1419" spans="1:7">
      <c r="A1419" s="44">
        <v>298.22710000000001</v>
      </c>
      <c r="B1419" s="44">
        <v>301.9948</v>
      </c>
      <c r="C1419" s="44">
        <v>297.93509999999998</v>
      </c>
      <c r="D1419" s="44">
        <v>300.33969999999999</v>
      </c>
      <c r="E1419" s="44">
        <v>2116279</v>
      </c>
      <c r="F1419" s="44" t="s">
        <v>1396</v>
      </c>
      <c r="G1419" s="25">
        <f t="shared" si="20"/>
        <v>-7.0340351275571811E-3</v>
      </c>
    </row>
    <row r="1420" spans="1:7">
      <c r="A1420" s="44">
        <v>300.6902</v>
      </c>
      <c r="B1420" s="44">
        <v>301.80009999999999</v>
      </c>
      <c r="C1420" s="44">
        <v>297.92860000000002</v>
      </c>
      <c r="D1420" s="44">
        <v>298.93779999999998</v>
      </c>
      <c r="E1420" s="44">
        <v>2311575</v>
      </c>
      <c r="F1420" s="44" t="s">
        <v>1397</v>
      </c>
      <c r="G1420" s="25">
        <f t="shared" si="20"/>
        <v>5.862089036582363E-3</v>
      </c>
    </row>
    <row r="1421" spans="1:7">
      <c r="A1421" s="44">
        <v>298.80149999999998</v>
      </c>
      <c r="B1421" s="44">
        <v>302.51069999999999</v>
      </c>
      <c r="C1421" s="44">
        <v>296.48450000000003</v>
      </c>
      <c r="D1421" s="44">
        <v>298.3732</v>
      </c>
      <c r="E1421" s="44">
        <v>2500686</v>
      </c>
      <c r="F1421" s="44" t="s">
        <v>1398</v>
      </c>
      <c r="G1421" s="25">
        <f t="shared" si="20"/>
        <v>1.4354506369873565E-3</v>
      </c>
    </row>
    <row r="1422" spans="1:7">
      <c r="A1422" s="44">
        <v>301.70269999999999</v>
      </c>
      <c r="B1422" s="44">
        <v>308.84859999999998</v>
      </c>
      <c r="C1422" s="44">
        <v>300.5539</v>
      </c>
      <c r="D1422" s="44">
        <v>305.25619999999998</v>
      </c>
      <c r="E1422" s="44">
        <v>3118539</v>
      </c>
      <c r="F1422" s="44" t="s">
        <v>1399</v>
      </c>
      <c r="G1422" s="25">
        <f t="shared" si="20"/>
        <v>-1.1641041197525182E-2</v>
      </c>
    </row>
    <row r="1423" spans="1:7">
      <c r="A1423" s="44">
        <v>305.08089999999999</v>
      </c>
      <c r="B1423" s="44">
        <v>305.2756</v>
      </c>
      <c r="C1423" s="44">
        <v>299.97949999999997</v>
      </c>
      <c r="D1423" s="44">
        <v>299.97949999999997</v>
      </c>
      <c r="E1423" s="44">
        <v>3303094</v>
      </c>
      <c r="F1423" s="44" t="s">
        <v>1400</v>
      </c>
      <c r="G1423" s="25">
        <f t="shared" si="20"/>
        <v>1.7005828731630146E-2</v>
      </c>
    </row>
    <row r="1424" spans="1:7">
      <c r="A1424" s="44">
        <v>299.46350000000001</v>
      </c>
      <c r="B1424" s="44">
        <v>305.73809999999997</v>
      </c>
      <c r="C1424" s="44">
        <v>298.1979</v>
      </c>
      <c r="D1424" s="44">
        <v>304.72070000000002</v>
      </c>
      <c r="E1424" s="44">
        <v>3563246</v>
      </c>
      <c r="F1424" s="44" t="s">
        <v>1401</v>
      </c>
      <c r="G1424" s="25">
        <f t="shared" si="20"/>
        <v>-1.7252520094630963E-2</v>
      </c>
    </row>
    <row r="1425" spans="1:7">
      <c r="A1425" s="44">
        <v>303.70819999999998</v>
      </c>
      <c r="B1425" s="44">
        <v>306.65809999999999</v>
      </c>
      <c r="C1425" s="44">
        <v>293.93380000000002</v>
      </c>
      <c r="D1425" s="44">
        <v>293.93380000000002</v>
      </c>
      <c r="E1425" s="44">
        <v>5279419</v>
      </c>
      <c r="F1425" s="44" t="s">
        <v>1402</v>
      </c>
      <c r="G1425" s="25">
        <f t="shared" si="20"/>
        <v>3.3253746251706851E-2</v>
      </c>
    </row>
    <row r="1426" spans="1:7">
      <c r="A1426" s="44">
        <v>296.0172</v>
      </c>
      <c r="B1426" s="44">
        <v>297.166</v>
      </c>
      <c r="C1426" s="44">
        <v>291.49020000000002</v>
      </c>
      <c r="D1426" s="44">
        <v>293.74880000000002</v>
      </c>
      <c r="E1426" s="44">
        <v>3170227</v>
      </c>
      <c r="F1426" s="44" t="s">
        <v>1403</v>
      </c>
      <c r="G1426" s="25">
        <f t="shared" si="20"/>
        <v>7.7222443121469642E-3</v>
      </c>
    </row>
    <row r="1427" spans="1:7">
      <c r="A1427" s="44">
        <v>291.43180000000001</v>
      </c>
      <c r="B1427" s="44">
        <v>295.50119999999998</v>
      </c>
      <c r="C1427" s="44">
        <v>291.0034</v>
      </c>
      <c r="D1427" s="44">
        <v>294.95600000000002</v>
      </c>
      <c r="E1427" s="44">
        <v>3312109</v>
      </c>
      <c r="F1427" s="44" t="s">
        <v>1404</v>
      </c>
      <c r="G1427" s="25">
        <f t="shared" si="20"/>
        <v>-1.1948222785771456E-2</v>
      </c>
    </row>
    <row r="1428" spans="1:7">
      <c r="A1428" s="44">
        <v>297.63330000000002</v>
      </c>
      <c r="B1428" s="44">
        <v>298.66039999999998</v>
      </c>
      <c r="C1428" s="44">
        <v>293.4178</v>
      </c>
      <c r="D1428" s="44">
        <v>294.98520000000002</v>
      </c>
      <c r="E1428" s="44">
        <v>5257336</v>
      </c>
      <c r="F1428" s="44" t="s">
        <v>1405</v>
      </c>
      <c r="G1428" s="25">
        <f t="shared" si="20"/>
        <v>8.9770605440544493E-3</v>
      </c>
    </row>
    <row r="1429" spans="1:7">
      <c r="A1429" s="44">
        <v>291.04230000000001</v>
      </c>
      <c r="B1429" s="44">
        <v>291.1884</v>
      </c>
      <c r="C1429" s="44">
        <v>281.01490000000001</v>
      </c>
      <c r="D1429" s="44">
        <v>284.27620000000002</v>
      </c>
      <c r="E1429" s="44">
        <v>4795870</v>
      </c>
      <c r="F1429" s="44" t="s">
        <v>1406</v>
      </c>
      <c r="G1429" s="25">
        <f t="shared" si="20"/>
        <v>2.380114831983815E-2</v>
      </c>
    </row>
    <row r="1430" spans="1:7">
      <c r="A1430" s="44">
        <v>282.5043</v>
      </c>
      <c r="B1430" s="44">
        <v>290.72109999999998</v>
      </c>
      <c r="C1430" s="44">
        <v>282.35140000000001</v>
      </c>
      <c r="D1430" s="44">
        <v>289.9812</v>
      </c>
      <c r="E1430" s="44">
        <v>4853693</v>
      </c>
      <c r="F1430" s="44" t="s">
        <v>1407</v>
      </c>
      <c r="G1430" s="25">
        <f t="shared" si="20"/>
        <v>-2.5784085313116822E-2</v>
      </c>
    </row>
    <row r="1431" spans="1:7">
      <c r="A1431" s="44">
        <v>287.85879999999997</v>
      </c>
      <c r="B1431" s="44">
        <v>289.10500000000002</v>
      </c>
      <c r="C1431" s="44">
        <v>283.7894</v>
      </c>
      <c r="D1431" s="44">
        <v>286.22329999999999</v>
      </c>
      <c r="E1431" s="44">
        <v>3030945</v>
      </c>
      <c r="F1431" s="44" t="s">
        <v>1408</v>
      </c>
      <c r="G1431" s="25">
        <f t="shared" si="20"/>
        <v>5.7140700984161796E-3</v>
      </c>
    </row>
    <row r="1432" spans="1:7">
      <c r="A1432" s="44">
        <v>286.79770000000002</v>
      </c>
      <c r="B1432" s="44">
        <v>292.76549999999997</v>
      </c>
      <c r="C1432" s="44">
        <v>282.87430000000001</v>
      </c>
      <c r="D1432" s="44">
        <v>291.69459999999998</v>
      </c>
      <c r="E1432" s="44">
        <v>5043174</v>
      </c>
      <c r="F1432" s="44" t="s">
        <v>1409</v>
      </c>
      <c r="G1432" s="25">
        <f t="shared" si="20"/>
        <v>-1.678776364046497E-2</v>
      </c>
    </row>
    <row r="1433" spans="1:7">
      <c r="A1433" s="44">
        <v>292.2106</v>
      </c>
      <c r="B1433" s="44">
        <v>293.56380000000001</v>
      </c>
      <c r="C1433" s="44">
        <v>289.5333</v>
      </c>
      <c r="D1433" s="44">
        <v>292.95049999999998</v>
      </c>
      <c r="E1433" s="44">
        <v>4115338</v>
      </c>
      <c r="F1433" s="44" t="s">
        <v>1410</v>
      </c>
      <c r="G1433" s="25">
        <f t="shared" si="20"/>
        <v>-2.5256826665255305E-3</v>
      </c>
    </row>
    <row r="1434" spans="1:7">
      <c r="A1434" s="44">
        <v>291.58749999999998</v>
      </c>
      <c r="B1434" s="44">
        <v>299.24889999999999</v>
      </c>
      <c r="C1434" s="44">
        <v>291.0917</v>
      </c>
      <c r="D1434" s="44">
        <v>294.7765</v>
      </c>
      <c r="E1434" s="44">
        <v>3633458</v>
      </c>
      <c r="F1434" s="44" t="s">
        <v>1411</v>
      </c>
      <c r="G1434" s="25">
        <f t="shared" si="20"/>
        <v>-1.0818365778818895E-2</v>
      </c>
    </row>
    <row r="1435" spans="1:7">
      <c r="A1435" s="44">
        <v>297.09050000000002</v>
      </c>
      <c r="B1435" s="44">
        <v>298.78739999999999</v>
      </c>
      <c r="C1435" s="44">
        <v>294.75709999999998</v>
      </c>
      <c r="D1435" s="44">
        <v>298.14049999999997</v>
      </c>
      <c r="E1435" s="44">
        <v>3013275</v>
      </c>
      <c r="F1435" s="44" t="s">
        <v>1412</v>
      </c>
      <c r="G1435" s="25">
        <f t="shared" si="20"/>
        <v>-3.5218294730167132E-3</v>
      </c>
    </row>
    <row r="1436" spans="1:7">
      <c r="A1436" s="44">
        <v>294.02789999999999</v>
      </c>
      <c r="B1436" s="44">
        <v>298.37380000000002</v>
      </c>
      <c r="C1436" s="44">
        <v>292.94869999999997</v>
      </c>
      <c r="D1436" s="44">
        <v>295.88490000000002</v>
      </c>
      <c r="E1436" s="44">
        <v>3290139</v>
      </c>
      <c r="F1436" s="44" t="s">
        <v>1413</v>
      </c>
      <c r="G1436" s="25">
        <f t="shared" si="20"/>
        <v>-6.2760891143820441E-3</v>
      </c>
    </row>
    <row r="1437" spans="1:7">
      <c r="A1437" s="44">
        <v>292.81259999999997</v>
      </c>
      <c r="B1437" s="44">
        <v>294.85419999999999</v>
      </c>
      <c r="C1437" s="44">
        <v>286.93049999999999</v>
      </c>
      <c r="D1437" s="44">
        <v>287.74709999999999</v>
      </c>
      <c r="E1437" s="44">
        <v>3801254</v>
      </c>
      <c r="F1437" s="44" t="s">
        <v>1414</v>
      </c>
      <c r="G1437" s="25">
        <f t="shared" si="20"/>
        <v>1.7604000179324064E-2</v>
      </c>
    </row>
    <row r="1438" spans="1:7">
      <c r="A1438" s="44">
        <v>287.49439999999998</v>
      </c>
      <c r="B1438" s="44">
        <v>288.36939999999998</v>
      </c>
      <c r="C1438" s="44">
        <v>282.93450000000001</v>
      </c>
      <c r="D1438" s="44">
        <v>284.95679999999999</v>
      </c>
      <c r="E1438" s="44">
        <v>4283481</v>
      </c>
      <c r="F1438" s="44" t="s">
        <v>1415</v>
      </c>
      <c r="G1438" s="25">
        <f t="shared" si="20"/>
        <v>8.9052094914034985E-3</v>
      </c>
    </row>
    <row r="1439" spans="1:7">
      <c r="A1439" s="44">
        <v>284.80119999999999</v>
      </c>
      <c r="B1439" s="44">
        <v>285.01510000000002</v>
      </c>
      <c r="C1439" s="44">
        <v>277.2371</v>
      </c>
      <c r="D1439" s="44">
        <v>283.25540000000001</v>
      </c>
      <c r="E1439" s="44">
        <v>3642182</v>
      </c>
      <c r="F1439" s="44" t="s">
        <v>1416</v>
      </c>
      <c r="G1439" s="25">
        <f t="shared" si="20"/>
        <v>5.4572657749860642E-3</v>
      </c>
    </row>
    <row r="1440" spans="1:7">
      <c r="A1440" s="44">
        <v>281.3109</v>
      </c>
      <c r="B1440" s="44">
        <v>289.83260000000001</v>
      </c>
      <c r="C1440" s="44">
        <v>281.1456</v>
      </c>
      <c r="D1440" s="44">
        <v>288.64159999999998</v>
      </c>
      <c r="E1440" s="44">
        <v>4922491</v>
      </c>
      <c r="F1440" s="44" t="s">
        <v>1417</v>
      </c>
      <c r="G1440" s="25">
        <f t="shared" si="20"/>
        <v>-2.5397240037472013E-2</v>
      </c>
    </row>
    <row r="1441" spans="1:7">
      <c r="A1441" s="44">
        <v>289.74029999999999</v>
      </c>
      <c r="B1441" s="44">
        <v>290.10969999999998</v>
      </c>
      <c r="C1441" s="44">
        <v>282.60489999999999</v>
      </c>
      <c r="D1441" s="44">
        <v>285.99709999999999</v>
      </c>
      <c r="E1441" s="44">
        <v>3294769</v>
      </c>
      <c r="F1441" s="44" t="s">
        <v>1418</v>
      </c>
      <c r="G1441" s="25">
        <f t="shared" si="20"/>
        <v>1.30882446010816E-2</v>
      </c>
    </row>
    <row r="1442" spans="1:7">
      <c r="A1442" s="44">
        <v>285.85129999999998</v>
      </c>
      <c r="B1442" s="44">
        <v>297.03699999999998</v>
      </c>
      <c r="C1442" s="44">
        <v>284.92759999999998</v>
      </c>
      <c r="D1442" s="44">
        <v>296.53629999999998</v>
      </c>
      <c r="E1442" s="44">
        <v>5086046</v>
      </c>
      <c r="F1442" s="44" t="s">
        <v>1419</v>
      </c>
      <c r="G1442" s="25">
        <f t="shared" si="20"/>
        <v>-3.6032688072252905E-2</v>
      </c>
    </row>
    <row r="1443" spans="1:7">
      <c r="A1443" s="44">
        <v>298.36410000000001</v>
      </c>
      <c r="B1443" s="44">
        <v>301.81560000000002</v>
      </c>
      <c r="C1443" s="44">
        <v>295.97239999999999</v>
      </c>
      <c r="D1443" s="44">
        <v>298.51</v>
      </c>
      <c r="E1443" s="44">
        <v>3801490</v>
      </c>
      <c r="F1443" s="44" t="s">
        <v>1420</v>
      </c>
      <c r="G1443" s="25">
        <f t="shared" si="20"/>
        <v>-4.8876084553273191E-4</v>
      </c>
    </row>
    <row r="1444" spans="1:7">
      <c r="G1444" s="25"/>
    </row>
    <row r="1445" spans="1:7">
      <c r="G1445" s="25"/>
    </row>
    <row r="1446" spans="1:7">
      <c r="G1446" s="25"/>
    </row>
    <row r="1447" spans="1:7">
      <c r="G1447" s="25"/>
    </row>
    <row r="1448" spans="1:7">
      <c r="G1448" s="25"/>
    </row>
    <row r="1449" spans="1:7">
      <c r="G1449" s="25"/>
    </row>
    <row r="1450" spans="1:7">
      <c r="G1450" s="25"/>
    </row>
    <row r="1451" spans="1:7">
      <c r="G1451" s="25"/>
    </row>
    <row r="1452" spans="1:7">
      <c r="G1452" s="25"/>
    </row>
    <row r="1453" spans="1:7">
      <c r="G1453" s="25"/>
    </row>
    <row r="1454" spans="1:7">
      <c r="G1454" s="25"/>
    </row>
    <row r="1455" spans="1:7">
      <c r="G1455" s="25"/>
    </row>
    <row r="1456" spans="1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  <row r="1556" spans="7:7">
      <c r="G1556" s="25"/>
    </row>
    <row r="1557" spans="7:7">
      <c r="G1557" s="25"/>
    </row>
    <row r="1558" spans="7:7">
      <c r="G1558" s="25"/>
    </row>
    <row r="1559" spans="7:7">
      <c r="G1559" s="25"/>
    </row>
    <row r="1560" spans="7:7">
      <c r="G1560" s="25"/>
    </row>
    <row r="1561" spans="7:7">
      <c r="G1561" s="25"/>
    </row>
    <row r="1562" spans="7:7">
      <c r="G1562" s="25"/>
    </row>
    <row r="1563" spans="7:7">
      <c r="G1563" s="25"/>
    </row>
    <row r="1564" spans="7:7">
      <c r="G1564" s="25"/>
    </row>
    <row r="1565" spans="7:7">
      <c r="G1565" s="25"/>
    </row>
    <row r="1566" spans="7:7">
      <c r="G1566" s="25"/>
    </row>
    <row r="1567" spans="7:7">
      <c r="G1567" s="25"/>
    </row>
    <row r="1568" spans="7:7">
      <c r="G1568" s="25"/>
    </row>
    <row r="1569" spans="7:7">
      <c r="G1569" s="25"/>
    </row>
    <row r="1570" spans="7:7">
      <c r="G1570" s="25"/>
    </row>
    <row r="1571" spans="7:7">
      <c r="G1571" s="25"/>
    </row>
    <row r="1572" spans="7:7">
      <c r="G1572" s="25"/>
    </row>
    <row r="1573" spans="7:7">
      <c r="G1573" s="25"/>
    </row>
    <row r="1574" spans="7:7">
      <c r="G1574" s="25"/>
    </row>
    <row r="1575" spans="7:7">
      <c r="G1575" s="25"/>
    </row>
    <row r="1576" spans="7:7">
      <c r="G1576" s="25"/>
    </row>
    <row r="1577" spans="7:7">
      <c r="G1577" s="25"/>
    </row>
    <row r="1578" spans="7:7">
      <c r="G1578" s="25"/>
    </row>
    <row r="1579" spans="7:7">
      <c r="G1579" s="25"/>
    </row>
    <row r="1580" spans="7:7">
      <c r="G1580" s="25"/>
    </row>
    <row r="1581" spans="7:7">
      <c r="G1581" s="25"/>
    </row>
    <row r="1582" spans="7:7">
      <c r="G1582" s="25"/>
    </row>
    <row r="1583" spans="7:7">
      <c r="G1583" s="25"/>
    </row>
    <row r="1584" spans="7:7">
      <c r="G1584" s="25"/>
    </row>
    <row r="1585" spans="7:7">
      <c r="G1585" s="25"/>
    </row>
    <row r="1586" spans="7:7">
      <c r="G1586" s="25"/>
    </row>
    <row r="1587" spans="7:7">
      <c r="G1587" s="25"/>
    </row>
    <row r="1588" spans="7:7">
      <c r="G1588" s="25"/>
    </row>
    <row r="1589" spans="7:7">
      <c r="G1589" s="25"/>
    </row>
    <row r="1590" spans="7:7">
      <c r="G1590" s="25"/>
    </row>
    <row r="1591" spans="7:7">
      <c r="G1591" s="25"/>
    </row>
    <row r="1592" spans="7:7">
      <c r="G1592" s="25"/>
    </row>
    <row r="1593" spans="7:7">
      <c r="G1593" s="25"/>
    </row>
    <row r="1594" spans="7:7">
      <c r="G1594" s="25"/>
    </row>
    <row r="1595" spans="7:7">
      <c r="G1595" s="25"/>
    </row>
    <row r="1596" spans="7:7">
      <c r="G1596" s="25"/>
    </row>
    <row r="1597" spans="7:7">
      <c r="G1597" s="25"/>
    </row>
    <row r="1598" spans="7:7">
      <c r="G1598" s="25"/>
    </row>
    <row r="1599" spans="7:7">
      <c r="G1599" s="25"/>
    </row>
    <row r="1600" spans="7:7">
      <c r="G1600" s="25"/>
    </row>
    <row r="1601" spans="7:7">
      <c r="G1601" s="25"/>
    </row>
    <row r="1602" spans="7:7">
      <c r="G1602" s="25"/>
    </row>
    <row r="1603" spans="7:7">
      <c r="G1603" s="25"/>
    </row>
    <row r="1604" spans="7:7">
      <c r="G1604" s="25"/>
    </row>
    <row r="1605" spans="7:7">
      <c r="G1605" s="25"/>
    </row>
    <row r="1606" spans="7:7">
      <c r="G1606" s="25"/>
    </row>
    <row r="1607" spans="7:7">
      <c r="G1607" s="25"/>
    </row>
    <row r="1608" spans="7:7">
      <c r="G1608" s="25"/>
    </row>
    <row r="1609" spans="7:7">
      <c r="G1609" s="25"/>
    </row>
    <row r="1610" spans="7:7">
      <c r="G1610" s="25"/>
    </row>
    <row r="1611" spans="7:7">
      <c r="G1611" s="25"/>
    </row>
    <row r="1612" spans="7:7">
      <c r="G1612" s="25"/>
    </row>
    <row r="1613" spans="7:7">
      <c r="G1613" s="25"/>
    </row>
    <row r="1614" spans="7:7">
      <c r="G1614" s="25"/>
    </row>
    <row r="1615" spans="7:7">
      <c r="G1615" s="25"/>
    </row>
    <row r="1616" spans="7:7">
      <c r="G1616" s="25"/>
    </row>
    <row r="1617" spans="7:7">
      <c r="G1617" s="25"/>
    </row>
    <row r="1618" spans="7:7">
      <c r="G1618" s="25"/>
    </row>
    <row r="1619" spans="7:7">
      <c r="G1619" s="25"/>
    </row>
    <row r="1620" spans="7:7">
      <c r="G1620" s="25"/>
    </row>
    <row r="1621" spans="7:7">
      <c r="G1621" s="25"/>
    </row>
  </sheetData>
  <sortState xmlns:xlrd2="http://schemas.microsoft.com/office/spreadsheetml/2017/richdata2" ref="I210:I244">
    <sortCondition ref="I210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B8F0-FD82-4C1B-B356-035AF0BB3EBB}">
  <dimension ref="A1"/>
  <sheetViews>
    <sheetView workbookViewId="0">
      <selection sqref="A1:XFD1048576"/>
    </sheetView>
  </sheetViews>
  <sheetFormatPr defaultRowHeight="14.25"/>
  <cols>
    <col min="1" max="1" width="3.140625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M&amp;A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2026-01-10T12:21:44Z</dcterms:modified>
</cp:coreProperties>
</file>