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6BC19080-6DC4-471F-B303-D8B5AA57B22C}" xr6:coauthVersionLast="47" xr6:coauthVersionMax="47" xr10:uidLastSave="{00000000-0000-0000-0000-000000000000}"/>
  <bookViews>
    <workbookView xWindow="-12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1" i="3" l="1"/>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K265" i="3" s="1"/>
  <c r="K266" i="3" s="1"/>
  <c r="G1503" i="3"/>
  <c r="DI80" i="2"/>
  <c r="DI86" i="2"/>
  <c r="DI84" i="2"/>
  <c r="DI79" i="2"/>
  <c r="DF78" i="2"/>
  <c r="DD78" i="2"/>
  <c r="DC78" i="2"/>
  <c r="DA78" i="2"/>
  <c r="DA79" i="2" s="1"/>
  <c r="BR48" i="2"/>
  <c r="BQ48" i="2"/>
  <c r="BP48" i="2"/>
  <c r="BO48" i="2"/>
  <c r="BN48" i="2"/>
  <c r="BM48" i="2"/>
  <c r="BL48" i="2"/>
  <c r="BK48" i="2"/>
  <c r="BJ48" i="2"/>
  <c r="BI48" i="2"/>
  <c r="BH48" i="2"/>
  <c r="BG48" i="2"/>
  <c r="BF48" i="2"/>
  <c r="BE48" i="2"/>
  <c r="BD48" i="2"/>
  <c r="BC48" i="2"/>
  <c r="BB48" i="2"/>
  <c r="BA48" i="2"/>
  <c r="AZ48" i="2"/>
  <c r="AY48" i="2"/>
  <c r="BS48" i="2"/>
  <c r="BR46" i="2"/>
  <c r="BQ46" i="2"/>
  <c r="CY46" i="2" s="1"/>
  <c r="BP46" i="2"/>
  <c r="BO46" i="2"/>
  <c r="BN46" i="2"/>
  <c r="BM46" i="2"/>
  <c r="BL46" i="2"/>
  <c r="BK46" i="2"/>
  <c r="BJ46" i="2"/>
  <c r="BI46" i="2"/>
  <c r="CW46" i="2" s="1"/>
  <c r="BH46" i="2"/>
  <c r="BG46" i="2"/>
  <c r="BF46" i="2"/>
  <c r="BE46" i="2"/>
  <c r="BD46" i="2"/>
  <c r="BC46" i="2"/>
  <c r="CV46" i="2" s="1"/>
  <c r="BB46" i="2"/>
  <c r="BA46" i="2"/>
  <c r="CU46" i="2" s="1"/>
  <c r="AZ46" i="2"/>
  <c r="AY46" i="2"/>
  <c r="BS46" i="2"/>
  <c r="CY26" i="2"/>
  <c r="CX26" i="2"/>
  <c r="CW26" i="2"/>
  <c r="CV26" i="2"/>
  <c r="CU26" i="2"/>
  <c r="CT26" i="2"/>
  <c r="CS26" i="2"/>
  <c r="CR26" i="2"/>
  <c r="CQ26" i="2"/>
  <c r="CP26" i="2"/>
  <c r="CO26" i="2"/>
  <c r="CN26" i="2"/>
  <c r="CM26" i="2"/>
  <c r="CL26" i="2"/>
  <c r="CK26" i="2"/>
  <c r="CJ26" i="2"/>
  <c r="CY25" i="2"/>
  <c r="CX25" i="2"/>
  <c r="CW25" i="2"/>
  <c r="CV25" i="2"/>
  <c r="CU25" i="2"/>
  <c r="CT25" i="2"/>
  <c r="CS25" i="2"/>
  <c r="CR25" i="2"/>
  <c r="CQ25" i="2"/>
  <c r="CP25" i="2"/>
  <c r="CO25" i="2"/>
  <c r="CN25" i="2"/>
  <c r="CM25" i="2"/>
  <c r="CL25" i="2"/>
  <c r="CK25" i="2"/>
  <c r="CJ25" i="2"/>
  <c r="CY24" i="2"/>
  <c r="CX24" i="2"/>
  <c r="CW24" i="2"/>
  <c r="CV24" i="2"/>
  <c r="CU24" i="2"/>
  <c r="CT24" i="2"/>
  <c r="CS24" i="2"/>
  <c r="CR24" i="2"/>
  <c r="CQ24" i="2"/>
  <c r="CP24" i="2"/>
  <c r="CO24" i="2"/>
  <c r="CN24" i="2"/>
  <c r="CM24" i="2"/>
  <c r="CL24" i="2"/>
  <c r="CK24" i="2"/>
  <c r="CJ24" i="2"/>
  <c r="CY23" i="2"/>
  <c r="CX23" i="2"/>
  <c r="CW23" i="2"/>
  <c r="CV23" i="2"/>
  <c r="CU23" i="2"/>
  <c r="CT23" i="2"/>
  <c r="CS23" i="2"/>
  <c r="CR23" i="2"/>
  <c r="CQ23" i="2"/>
  <c r="CP23" i="2"/>
  <c r="CO23" i="2"/>
  <c r="CN23" i="2"/>
  <c r="CM23" i="2"/>
  <c r="CL23" i="2"/>
  <c r="CK23" i="2"/>
  <c r="CJ23" i="2"/>
  <c r="CY22" i="2"/>
  <c r="CX22" i="2"/>
  <c r="CW22" i="2"/>
  <c r="CV22" i="2"/>
  <c r="CU22" i="2"/>
  <c r="CT22" i="2"/>
  <c r="CS22" i="2"/>
  <c r="CR22" i="2"/>
  <c r="CQ22" i="2"/>
  <c r="CP22" i="2"/>
  <c r="CO22" i="2"/>
  <c r="CN22" i="2"/>
  <c r="CM22" i="2"/>
  <c r="CL22" i="2"/>
  <c r="CK22" i="2"/>
  <c r="CJ22" i="2"/>
  <c r="CY21" i="2"/>
  <c r="CX21" i="2"/>
  <c r="CW21" i="2"/>
  <c r="CV21" i="2"/>
  <c r="CU21" i="2"/>
  <c r="CT21" i="2"/>
  <c r="CS21" i="2"/>
  <c r="CR21" i="2"/>
  <c r="CQ21" i="2"/>
  <c r="CP21" i="2"/>
  <c r="CO21" i="2"/>
  <c r="CN21" i="2"/>
  <c r="CM21" i="2"/>
  <c r="CL21" i="2"/>
  <c r="CK21" i="2"/>
  <c r="CJ21" i="2"/>
  <c r="CY20" i="2"/>
  <c r="CX20" i="2"/>
  <c r="CW20" i="2"/>
  <c r="CV20" i="2"/>
  <c r="CU20" i="2"/>
  <c r="CT20" i="2"/>
  <c r="CS20" i="2"/>
  <c r="CR20" i="2"/>
  <c r="CQ20" i="2"/>
  <c r="CP20" i="2"/>
  <c r="CO20" i="2"/>
  <c r="CN20" i="2"/>
  <c r="CM20" i="2"/>
  <c r="CL20" i="2"/>
  <c r="CK20" i="2"/>
  <c r="CJ20" i="2"/>
  <c r="CY19" i="2"/>
  <c r="CX19" i="2"/>
  <c r="CW19" i="2"/>
  <c r="CV19" i="2"/>
  <c r="CU19" i="2"/>
  <c r="CT19" i="2"/>
  <c r="CS19" i="2"/>
  <c r="CR19" i="2"/>
  <c r="CQ19" i="2"/>
  <c r="CP19" i="2"/>
  <c r="CO19" i="2"/>
  <c r="CN19" i="2"/>
  <c r="CM19" i="2"/>
  <c r="CL19" i="2"/>
  <c r="CK19" i="2"/>
  <c r="CJ19" i="2"/>
  <c r="CY18" i="2"/>
  <c r="CX18" i="2"/>
  <c r="CW18" i="2"/>
  <c r="CV18" i="2"/>
  <c r="CU18" i="2"/>
  <c r="CT18" i="2"/>
  <c r="CS18" i="2"/>
  <c r="CR18" i="2"/>
  <c r="CQ18" i="2"/>
  <c r="CP18" i="2"/>
  <c r="CO18" i="2"/>
  <c r="CN18" i="2"/>
  <c r="CM18" i="2"/>
  <c r="CL18" i="2"/>
  <c r="CK18" i="2"/>
  <c r="CJ18" i="2"/>
  <c r="CY17" i="2"/>
  <c r="CX17" i="2"/>
  <c r="CW17" i="2"/>
  <c r="CV17" i="2"/>
  <c r="CU17" i="2"/>
  <c r="CT17" i="2"/>
  <c r="CS17" i="2"/>
  <c r="CR17" i="2"/>
  <c r="CQ17" i="2"/>
  <c r="CP17" i="2"/>
  <c r="CO17" i="2"/>
  <c r="CN17" i="2"/>
  <c r="CM17" i="2"/>
  <c r="CL17" i="2"/>
  <c r="CK17" i="2"/>
  <c r="CJ17" i="2"/>
  <c r="DI26" i="2"/>
  <c r="DH26" i="2"/>
  <c r="DG26" i="2"/>
  <c r="DF26" i="2"/>
  <c r="DE26" i="2"/>
  <c r="DD26" i="2"/>
  <c r="DC26" i="2"/>
  <c r="DB26" i="2"/>
  <c r="DA26" i="2"/>
  <c r="CZ26" i="2"/>
  <c r="CI74" i="2"/>
  <c r="CJ74" i="2"/>
  <c r="CK74" i="2"/>
  <c r="CL74" i="2"/>
  <c r="CM74" i="2"/>
  <c r="CN74" i="2"/>
  <c r="CO74" i="2"/>
  <c r="CP74" i="2"/>
  <c r="CQ74" i="2"/>
  <c r="CR74" i="2"/>
  <c r="CS74" i="2"/>
  <c r="CT74" i="2"/>
  <c r="CU74" i="2"/>
  <c r="CV74" i="2"/>
  <c r="CW74" i="2"/>
  <c r="CX74" i="2"/>
  <c r="CY74" i="2"/>
  <c r="CX46" i="2"/>
  <c r="CT46" i="2"/>
  <c r="CS46" i="2"/>
  <c r="CR46" i="2"/>
  <c r="CQ46" i="2"/>
  <c r="CP46" i="2"/>
  <c r="CO46" i="2"/>
  <c r="CN46" i="2"/>
  <c r="CM46" i="2"/>
  <c r="CL46" i="2"/>
  <c r="CK46" i="2"/>
  <c r="CJ46" i="2"/>
  <c r="CI46" i="2"/>
  <c r="CY34" i="2"/>
  <c r="CX34" i="2"/>
  <c r="CW34" i="2"/>
  <c r="CV34" i="2"/>
  <c r="CU34" i="2"/>
  <c r="CT34" i="2"/>
  <c r="CS34" i="2"/>
  <c r="CR34" i="2"/>
  <c r="CQ34" i="2"/>
  <c r="CP34" i="2"/>
  <c r="CO34" i="2"/>
  <c r="CN34" i="2"/>
  <c r="CM34" i="2"/>
  <c r="CL34" i="2"/>
  <c r="CK34" i="2"/>
  <c r="CJ34" i="2"/>
  <c r="CI34" i="2"/>
  <c r="CY33" i="2"/>
  <c r="CX33" i="2"/>
  <c r="CW33" i="2"/>
  <c r="CV33" i="2"/>
  <c r="CU33" i="2"/>
  <c r="CT33" i="2"/>
  <c r="CS33" i="2"/>
  <c r="CR33" i="2"/>
  <c r="CQ33" i="2"/>
  <c r="CP33" i="2"/>
  <c r="CO33" i="2"/>
  <c r="CN33" i="2"/>
  <c r="CM33" i="2"/>
  <c r="CL33" i="2"/>
  <c r="CK33" i="2"/>
  <c r="CJ33" i="2"/>
  <c r="CI33" i="2"/>
  <c r="CY32" i="2"/>
  <c r="CX32" i="2"/>
  <c r="CW32" i="2"/>
  <c r="CV32" i="2"/>
  <c r="CU32" i="2"/>
  <c r="CT32" i="2"/>
  <c r="CS32" i="2"/>
  <c r="CR32" i="2"/>
  <c r="CQ32" i="2"/>
  <c r="CP32" i="2"/>
  <c r="CO32" i="2"/>
  <c r="CN32" i="2"/>
  <c r="CM32" i="2"/>
  <c r="CL32" i="2"/>
  <c r="CK32" i="2"/>
  <c r="CJ32" i="2"/>
  <c r="CI32" i="2"/>
  <c r="CY31" i="2"/>
  <c r="CX31" i="2"/>
  <c r="CW31" i="2"/>
  <c r="CV31" i="2"/>
  <c r="CU31" i="2"/>
  <c r="CT31" i="2"/>
  <c r="CS31" i="2"/>
  <c r="CR31" i="2"/>
  <c r="CQ31" i="2"/>
  <c r="CP31" i="2"/>
  <c r="CO31" i="2"/>
  <c r="CN31" i="2"/>
  <c r="CM31" i="2"/>
  <c r="CL31" i="2"/>
  <c r="CK31" i="2"/>
  <c r="CJ31" i="2"/>
  <c r="CI31" i="2"/>
  <c r="CY14" i="2"/>
  <c r="CX14" i="2"/>
  <c r="CW14" i="2"/>
  <c r="CV14" i="2"/>
  <c r="CU14" i="2"/>
  <c r="CT14" i="2"/>
  <c r="CS14" i="2"/>
  <c r="CR14" i="2"/>
  <c r="CQ14" i="2"/>
  <c r="CP14" i="2"/>
  <c r="CO14" i="2"/>
  <c r="CN14" i="2"/>
  <c r="CM14" i="2"/>
  <c r="CL14" i="2"/>
  <c r="CK14" i="2"/>
  <c r="CJ14" i="2"/>
  <c r="CI14" i="2"/>
  <c r="CY13" i="2"/>
  <c r="CZ13" i="2" s="1"/>
  <c r="DA13" i="2" s="1"/>
  <c r="DB13" i="2" s="1"/>
  <c r="DC13" i="2" s="1"/>
  <c r="DD13" i="2" s="1"/>
  <c r="DE13" i="2" s="1"/>
  <c r="DF13" i="2" s="1"/>
  <c r="DG13" i="2" s="1"/>
  <c r="DH13" i="2" s="1"/>
  <c r="DI13" i="2" s="1"/>
  <c r="CX13" i="2"/>
  <c r="CW13" i="2"/>
  <c r="CV13" i="2"/>
  <c r="CU13" i="2"/>
  <c r="CT13" i="2"/>
  <c r="CS13" i="2"/>
  <c r="CR13" i="2"/>
  <c r="CQ13" i="2"/>
  <c r="CP13" i="2"/>
  <c r="CO13" i="2"/>
  <c r="CN13" i="2"/>
  <c r="CM13" i="2"/>
  <c r="CL13" i="2"/>
  <c r="CK13" i="2"/>
  <c r="CJ13" i="2"/>
  <c r="CI13" i="2"/>
  <c r="CY12" i="2"/>
  <c r="CZ12" i="2" s="1"/>
  <c r="DA12" i="2" s="1"/>
  <c r="DB12" i="2" s="1"/>
  <c r="DC12" i="2" s="1"/>
  <c r="DD12" i="2" s="1"/>
  <c r="DE12" i="2" s="1"/>
  <c r="DF12" i="2" s="1"/>
  <c r="DG12" i="2" s="1"/>
  <c r="DH12" i="2" s="1"/>
  <c r="DI12" i="2" s="1"/>
  <c r="CX12" i="2"/>
  <c r="CW12" i="2"/>
  <c r="CV12" i="2"/>
  <c r="CU12" i="2"/>
  <c r="CT12" i="2"/>
  <c r="CS12" i="2"/>
  <c r="CR12" i="2"/>
  <c r="CQ12" i="2"/>
  <c r="CP12" i="2"/>
  <c r="CO12" i="2"/>
  <c r="CN12" i="2"/>
  <c r="CM12" i="2"/>
  <c r="CL12" i="2"/>
  <c r="CK12" i="2"/>
  <c r="CJ12" i="2"/>
  <c r="CI12" i="2"/>
  <c r="CY11" i="2"/>
  <c r="CZ11" i="2" s="1"/>
  <c r="DA11" i="2" s="1"/>
  <c r="DB11" i="2" s="1"/>
  <c r="DC11" i="2" s="1"/>
  <c r="DD11" i="2" s="1"/>
  <c r="DE11" i="2" s="1"/>
  <c r="DF11" i="2" s="1"/>
  <c r="DG11" i="2" s="1"/>
  <c r="DH11" i="2" s="1"/>
  <c r="DI11" i="2" s="1"/>
  <c r="CX11" i="2"/>
  <c r="CW11" i="2"/>
  <c r="CV11" i="2"/>
  <c r="CU11" i="2"/>
  <c r="CT11" i="2"/>
  <c r="CS11" i="2"/>
  <c r="CR11" i="2"/>
  <c r="CQ11" i="2"/>
  <c r="CP11" i="2"/>
  <c r="CO11" i="2"/>
  <c r="CN11" i="2"/>
  <c r="CM11" i="2"/>
  <c r="CL11" i="2"/>
  <c r="CK11" i="2"/>
  <c r="CJ11" i="2"/>
  <c r="CI11" i="2"/>
  <c r="CY10" i="2"/>
  <c r="CZ10" i="2" s="1"/>
  <c r="DA10" i="2" s="1"/>
  <c r="DB10" i="2" s="1"/>
  <c r="DC10" i="2" s="1"/>
  <c r="DD10" i="2" s="1"/>
  <c r="DE10" i="2" s="1"/>
  <c r="DF10" i="2" s="1"/>
  <c r="DG10" i="2" s="1"/>
  <c r="DH10" i="2" s="1"/>
  <c r="DI10" i="2" s="1"/>
  <c r="CX10" i="2"/>
  <c r="CW10" i="2"/>
  <c r="CV10" i="2"/>
  <c r="CU10" i="2"/>
  <c r="CT10" i="2"/>
  <c r="CS10" i="2"/>
  <c r="CR10" i="2"/>
  <c r="CQ10" i="2"/>
  <c r="CP10" i="2"/>
  <c r="CO10" i="2"/>
  <c r="CN10" i="2"/>
  <c r="CM10" i="2"/>
  <c r="CL10" i="2"/>
  <c r="CK10" i="2"/>
  <c r="CJ10" i="2"/>
  <c r="CI10" i="2"/>
  <c r="CY9" i="2"/>
  <c r="CZ9" i="2" s="1"/>
  <c r="DA9" i="2" s="1"/>
  <c r="DB9" i="2" s="1"/>
  <c r="DC9" i="2" s="1"/>
  <c r="DD9" i="2" s="1"/>
  <c r="DE9" i="2" s="1"/>
  <c r="DF9" i="2" s="1"/>
  <c r="DG9" i="2" s="1"/>
  <c r="DH9" i="2" s="1"/>
  <c r="DI9" i="2" s="1"/>
  <c r="CX9" i="2"/>
  <c r="CW9" i="2"/>
  <c r="CV9" i="2"/>
  <c r="CU9" i="2"/>
  <c r="CT9" i="2"/>
  <c r="CS9" i="2"/>
  <c r="CR9" i="2"/>
  <c r="CQ9" i="2"/>
  <c r="CP9" i="2"/>
  <c r="CO9" i="2"/>
  <c r="CN9" i="2"/>
  <c r="CM9" i="2"/>
  <c r="CL9" i="2"/>
  <c r="CK9" i="2"/>
  <c r="CJ9" i="2"/>
  <c r="CI9" i="2"/>
  <c r="CY8" i="2"/>
  <c r="CZ8" i="2" s="1"/>
  <c r="DA8" i="2" s="1"/>
  <c r="DB8" i="2" s="1"/>
  <c r="DC8" i="2" s="1"/>
  <c r="DD8" i="2" s="1"/>
  <c r="DE8" i="2" s="1"/>
  <c r="DF8" i="2" s="1"/>
  <c r="DG8" i="2" s="1"/>
  <c r="DH8" i="2" s="1"/>
  <c r="DI8" i="2" s="1"/>
  <c r="CX8" i="2"/>
  <c r="CW8" i="2"/>
  <c r="CV8" i="2"/>
  <c r="CU8" i="2"/>
  <c r="CT8" i="2"/>
  <c r="CS8" i="2"/>
  <c r="CR8" i="2"/>
  <c r="CQ8" i="2"/>
  <c r="CP8" i="2"/>
  <c r="CO8" i="2"/>
  <c r="CN8" i="2"/>
  <c r="CM8" i="2"/>
  <c r="CL8" i="2"/>
  <c r="CK8" i="2"/>
  <c r="CJ8" i="2"/>
  <c r="CI8" i="2"/>
  <c r="CY7" i="2"/>
  <c r="CZ7" i="2" s="1"/>
  <c r="DA7" i="2" s="1"/>
  <c r="DB7" i="2" s="1"/>
  <c r="DC7" i="2" s="1"/>
  <c r="DD7" i="2" s="1"/>
  <c r="DE7" i="2" s="1"/>
  <c r="DF7" i="2" s="1"/>
  <c r="DG7" i="2" s="1"/>
  <c r="DH7" i="2" s="1"/>
  <c r="DI7" i="2" s="1"/>
  <c r="CX7" i="2"/>
  <c r="CW7" i="2"/>
  <c r="CV7" i="2"/>
  <c r="CU7" i="2"/>
  <c r="CT7" i="2"/>
  <c r="CS7" i="2"/>
  <c r="CR7" i="2"/>
  <c r="CQ7" i="2"/>
  <c r="CP7" i="2"/>
  <c r="CO7" i="2"/>
  <c r="CN7" i="2"/>
  <c r="CM7" i="2"/>
  <c r="CL7" i="2"/>
  <c r="CK7" i="2"/>
  <c r="CJ7" i="2"/>
  <c r="CI7" i="2"/>
  <c r="CY6" i="2"/>
  <c r="CX6" i="2"/>
  <c r="CW6" i="2"/>
  <c r="CV6" i="2"/>
  <c r="CU6" i="2"/>
  <c r="CT6" i="2"/>
  <c r="CS6" i="2"/>
  <c r="CR6" i="2"/>
  <c r="CQ6" i="2"/>
  <c r="CP6" i="2"/>
  <c r="CO6" i="2"/>
  <c r="CN6" i="2"/>
  <c r="CM6" i="2"/>
  <c r="CL6" i="2"/>
  <c r="CK6" i="2"/>
  <c r="CJ6" i="2"/>
  <c r="CI6" i="2"/>
  <c r="CY5" i="2"/>
  <c r="CZ5" i="2" s="1"/>
  <c r="DA5" i="2" s="1"/>
  <c r="DB5" i="2" s="1"/>
  <c r="DC5" i="2" s="1"/>
  <c r="DD5" i="2" s="1"/>
  <c r="DE5" i="2" s="1"/>
  <c r="DF5" i="2" s="1"/>
  <c r="DG5" i="2" s="1"/>
  <c r="DH5" i="2" s="1"/>
  <c r="DI5" i="2" s="1"/>
  <c r="CX5" i="2"/>
  <c r="CW5" i="2"/>
  <c r="CV5" i="2"/>
  <c r="CU5" i="2"/>
  <c r="CT5" i="2"/>
  <c r="CS5" i="2"/>
  <c r="CR5" i="2"/>
  <c r="CQ5" i="2"/>
  <c r="CP5" i="2"/>
  <c r="CO5" i="2"/>
  <c r="CN5" i="2"/>
  <c r="CM5" i="2"/>
  <c r="CL5" i="2"/>
  <c r="CK5" i="2"/>
  <c r="CJ5" i="2"/>
  <c r="CI5" i="2"/>
  <c r="CV4" i="2"/>
  <c r="CX4" i="2"/>
  <c r="CY4" i="2"/>
  <c r="CZ4" i="2" s="1"/>
  <c r="DA4" i="2" s="1"/>
  <c r="DB4" i="2" s="1"/>
  <c r="DC4" i="2" s="1"/>
  <c r="DD4" i="2" s="1"/>
  <c r="DE4" i="2" s="1"/>
  <c r="DF4" i="2" s="1"/>
  <c r="DG4" i="2" s="1"/>
  <c r="DH4" i="2" s="1"/>
  <c r="DI4" i="2" s="1"/>
  <c r="CW4" i="2"/>
  <c r="CU4" i="2"/>
  <c r="CU16" i="2" s="1"/>
  <c r="CT4" i="2"/>
  <c r="CS4" i="2"/>
  <c r="CR4" i="2"/>
  <c r="CQ4" i="2"/>
  <c r="CP4" i="2"/>
  <c r="CO4" i="2"/>
  <c r="CN4" i="2"/>
  <c r="CM4" i="2"/>
  <c r="CM16" i="2" s="1"/>
  <c r="CL4" i="2"/>
  <c r="CK4" i="2"/>
  <c r="CJ4" i="2"/>
  <c r="CK16" i="2" s="1"/>
  <c r="CI4" i="2"/>
  <c r="CJ3" i="2"/>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FC3" i="2" s="1"/>
  <c r="FD3" i="2" s="1"/>
  <c r="FE3" i="2" s="1"/>
  <c r="FF3" i="2" s="1"/>
  <c r="FG3" i="2" s="1"/>
  <c r="C5" i="1"/>
  <c r="C8" i="1" s="1"/>
  <c r="DI81" i="2" l="1"/>
  <c r="DI83" i="2" s="1"/>
  <c r="DI85" i="2" s="1"/>
  <c r="DI87" i="2" s="1"/>
  <c r="DJ87" i="2" s="1"/>
  <c r="CN16" i="2"/>
  <c r="CQ16" i="2"/>
  <c r="CV16" i="2"/>
  <c r="CL16" i="2"/>
  <c r="CT16" i="2"/>
  <c r="CR16" i="2"/>
  <c r="CS16" i="2"/>
  <c r="CJ16" i="2"/>
  <c r="CW16" i="2"/>
  <c r="CO16" i="2"/>
  <c r="CP16" i="2"/>
  <c r="CX16" i="2"/>
  <c r="CZ6" i="2"/>
  <c r="DA6" i="2" s="1"/>
  <c r="DB6" i="2" s="1"/>
  <c r="DC6" i="2" s="1"/>
  <c r="DD6" i="2" s="1"/>
  <c r="DE6" i="2" s="1"/>
  <c r="DF6" i="2" s="1"/>
  <c r="DG6" i="2" s="1"/>
  <c r="DH6" i="2" s="1"/>
  <c r="DI6" i="2" s="1"/>
  <c r="DI14" i="2" s="1"/>
  <c r="CY16" i="2"/>
  <c r="CY28" i="2"/>
  <c r="K262" i="3"/>
  <c r="K263" i="3"/>
  <c r="P283" i="3" s="1"/>
  <c r="K264" i="3"/>
  <c r="DH88" i="2" l="1" a="1"/>
  <c r="DH88" i="2" s="1"/>
  <c r="DE14" i="2"/>
  <c r="DF14" i="2"/>
  <c r="DH14" i="2"/>
  <c r="CZ14" i="2"/>
  <c r="DB14" i="2"/>
  <c r="DG14" i="2"/>
  <c r="DC14" i="2"/>
  <c r="DA14" i="2"/>
  <c r="DD14" i="2"/>
  <c r="P273" i="3"/>
  <c r="P272" i="3"/>
  <c r="P275" i="3"/>
  <c r="P282" i="3"/>
  <c r="P274" i="3"/>
  <c r="P285" i="3"/>
  <c r="P281" i="3"/>
  <c r="P277" i="3"/>
  <c r="P280" i="3"/>
  <c r="P284" i="3"/>
  <c r="P279" i="3"/>
  <c r="P276" i="3"/>
  <c r="P27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<sst xmlns="http://schemas.openxmlformats.org/spreadsheetml/2006/main" count="1563" uniqueCount="1534">
  <si>
    <t>Master</t>
  </si>
  <si>
    <t xml:space="preserve">Price </t>
  </si>
  <si>
    <t>SO</t>
  </si>
  <si>
    <t>MC</t>
  </si>
  <si>
    <t>Cash</t>
  </si>
  <si>
    <t>Debt</t>
  </si>
  <si>
    <t>EV</t>
  </si>
  <si>
    <t>Investor Relations Contact:</t>
  </si>
  <si>
    <t>SEC filings</t>
  </si>
  <si>
    <t>Godel Terminal</t>
  </si>
  <si>
    <t>Company Overview:</t>
  </si>
  <si>
    <t>[Bold Title]</t>
  </si>
  <si>
    <t>Line Titles</t>
  </si>
  <si>
    <t>&lt;-- General</t>
  </si>
  <si>
    <t>&lt;-- Info</t>
  </si>
  <si>
    <t>[Godel Snapshot]</t>
  </si>
  <si>
    <t>[Company] Major Acquisitions (1990s - Present)</t>
  </si>
  <si>
    <t>19--'s</t>
  </si>
  <si>
    <t>2000s</t>
  </si>
  <si>
    <t>2010s</t>
  </si>
  <si>
    <t>2020s</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</si>
  <si>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</si>
  <si>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</si>
  <si>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</si>
  <si>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</si>
  <si>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</si>
  <si>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</si>
  <si>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</si>
  <si>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</si>
  <si>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</si>
  <si>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</si>
  <si>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</si>
  <si>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</si>
  <si>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</si>
  <si>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</si>
  <si>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</si>
  <si>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</si>
  <si>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</si>
  <si>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</si>
  <si>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</si>
  <si>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</si>
  <si>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</si>
  <si>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</si>
  <si>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</si>
  <si>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</si>
  <si>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</si>
  <si>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</si>
  <si>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</si>
  <si>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</si>
  <si>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</si>
  <si>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</si>
  <si>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Q2 2008</t>
  </si>
  <si>
    <t>Q3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</si>
  <si>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</si>
  <si>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</si>
  <si>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</si>
  <si>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</si>
  <si>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</si>
  <si>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</si>
  <si>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</si>
  <si>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</si>
  <si>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</si>
  <si>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</si>
  <si>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</si>
  <si>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</si>
  <si>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</si>
  <si>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</si>
  <si>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</si>
  <si>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</si>
  <si>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</si>
  <si>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</si>
  <si>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</si>
  <si>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</si>
  <si>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</si>
  <si>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</si>
  <si>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</si>
  <si>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</si>
  <si>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</si>
  <si>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</si>
  <si>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</si>
  <si>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</si>
  <si>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</si>
  <si>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</si>
  <si>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</si>
  <si>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</si>
  <si>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</si>
  <si>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</si>
  <si>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</si>
  <si>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</si>
  <si>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</si>
  <si>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</si>
  <si>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</si>
  <si>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</si>
  <si>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</si>
  <si>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</si>
  <si>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</si>
  <si>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</si>
  <si>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</si>
  <si>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</si>
  <si>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</si>
  <si>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</si>
  <si>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</si>
  <si>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</si>
  <si>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</si>
  <si>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</si>
  <si>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</si>
  <si>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</si>
  <si>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</si>
  <si>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</si>
  <si>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</si>
  <si>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</si>
  <si>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</si>
  <si>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</si>
  <si>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</si>
  <si>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</si>
  <si>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</si>
  <si>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</si>
  <si>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</si>
  <si>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</si>
  <si>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</si>
  <si>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</si>
  <si>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</si>
  <si>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</si>
  <si>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</si>
  <si>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</si>
  <si>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</si>
  <si>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</si>
  <si>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</si>
  <si>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</si>
  <si>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Q1 2008</t>
  </si>
  <si>
    <t>Q4 2008</t>
  </si>
  <si>
    <t>Product D</t>
  </si>
  <si>
    <t>Product A</t>
  </si>
  <si>
    <t>Product B</t>
  </si>
  <si>
    <t>Product C</t>
  </si>
  <si>
    <t>Product E</t>
  </si>
  <si>
    <t>Product F</t>
  </si>
  <si>
    <t>Product G</t>
  </si>
  <si>
    <t>Product H</t>
  </si>
  <si>
    <t>Product I</t>
  </si>
  <si>
    <t>Product J</t>
  </si>
  <si>
    <t>[Segment A] % of Ttl Revenues</t>
  </si>
  <si>
    <t>[Segment B] % of Ttl Revenues</t>
  </si>
  <si>
    <t>Product A Growth Y/y</t>
  </si>
  <si>
    <t>Product B Growth Y/y</t>
  </si>
  <si>
    <t>Product C Growth Y/y</t>
  </si>
  <si>
    <t>Product D Growth Y/y</t>
  </si>
  <si>
    <t>Product E Growth Y/y</t>
  </si>
  <si>
    <t>Product F Growth Y/y</t>
  </si>
  <si>
    <t>Product J Growth Y/y</t>
  </si>
  <si>
    <t>Product H Growth Y/y</t>
  </si>
  <si>
    <t>Product G Growth Y/y</t>
  </si>
  <si>
    <t>Product I Growth Y/y</t>
  </si>
  <si>
    <t>U.S. Revenues</t>
  </si>
  <si>
    <t>[Region C] Revenues</t>
  </si>
  <si>
    <t>[Region B] Revenues</t>
  </si>
  <si>
    <t>[Region A] Revenues</t>
  </si>
  <si>
    <t>U.S. % of Revenues</t>
  </si>
  <si>
    <t>[Region A] Revenues % of Revenues</t>
  </si>
  <si>
    <t>[Region B] Revenues % of Revenues</t>
  </si>
  <si>
    <t>[Region C] Revenues % of Revenues</t>
  </si>
  <si>
    <t>[Region A] Revenue Growth Y/y</t>
  </si>
  <si>
    <t>[Region B] Revenue Growth Y/y</t>
  </si>
  <si>
    <t>U.S. Revenue Growth Y/y</t>
  </si>
  <si>
    <t>[Region C]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</si>
  <si>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</si>
  <si>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</si>
  <si>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</si>
  <si>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</si>
  <si>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</si>
  <si>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</si>
  <si>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</si>
  <si>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</si>
  <si>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</si>
  <si>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</si>
  <si>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</si>
  <si>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</si>
  <si>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</si>
  <si>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</si>
  <si>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</si>
  <si>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</si>
  <si>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</si>
  <si>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</si>
  <si>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</si>
  <si>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</si>
  <si>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</si>
  <si>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</si>
  <si>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</si>
  <si>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</si>
  <si>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</si>
  <si>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</si>
  <si>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</si>
  <si>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[Godel Snapshot of projected sales]</t>
  </si>
  <si>
    <t>Earnings Scope:</t>
  </si>
  <si>
    <t>[Godel Snapshot of projected earnings/EPS]</t>
  </si>
  <si>
    <t>Balance Sheet Scope:</t>
  </si>
  <si>
    <t>[Godel Snapshot of projected balances (assets, liabilities, equity)]</t>
  </si>
  <si>
    <t>[Equity Preformance Compared to Peers]</t>
  </si>
  <si>
    <t>Use Godel CMS command</t>
  </si>
  <si>
    <t>Mean</t>
  </si>
  <si>
    <t>-3σ</t>
  </si>
  <si>
    <t>-2σ</t>
  </si>
  <si>
    <t>-1σ</t>
  </si>
  <si>
    <t>1σ</t>
  </si>
  <si>
    <t>2σ</t>
  </si>
  <si>
    <t>3σ</t>
  </si>
  <si>
    <t>Phone:</t>
  </si>
  <si>
    <t xml:space="preserve">Email: </t>
  </si>
  <si>
    <t>EPS Growth</t>
  </si>
  <si>
    <t>&lt;- Sharpe Ratio (Risk Adjusted Return)</t>
  </si>
  <si>
    <t>Earnings Calls</t>
  </si>
  <si>
    <t>Equity Analysis</t>
  </si>
  <si>
    <t>https://app.godelterminal.com/</t>
  </si>
  <si>
    <t>Address:</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</si>
  <si>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</si>
  <si>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</si>
  <si>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</si>
  <si>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</si>
  <si>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</si>
  <si>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Y/y Total Revenues, Net Income, FCF</t>
  </si>
  <si>
    <t>Q/q Total Revenues, Net Income, FCF</t>
  </si>
  <si>
    <t>Institutional Ownership Snapshot Q2'25</t>
  </si>
  <si>
    <t>Company IR Page</t>
  </si>
  <si>
    <t>Company Homepage</t>
  </si>
  <si>
    <t>MacroTrends</t>
  </si>
  <si>
    <t>ROIC, WACC</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</si>
  <si>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</si>
  <si>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</si>
  <si>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</si>
  <si>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</si>
  <si>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</si>
  <si>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</si>
  <si>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</si>
  <si>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</si>
  <si>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</si>
  <si>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</si>
  <si>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</si>
  <si>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</si>
  <si>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</si>
  <si>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</si>
  <si>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</si>
  <si>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</si>
  <si>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CNMD</t>
  </si>
  <si>
    <t>CONMED Corporation (CNMD)</t>
  </si>
  <si>
    <t>9/19/25</t>
  </si>
  <si>
    <t>Fiscal Year: [January - December]</t>
  </si>
  <si>
    <t>Registered Exchange: NYSE</t>
  </si>
  <si>
    <t>11311 Concept Boulevard, Largo, FL 33773-4908 U.S.</t>
  </si>
  <si>
    <t>(727) 392-6464</t>
  </si>
  <si>
    <t>https://www.sec.gov/edgar/browse/?CIK=816956&amp;owner=exclude</t>
  </si>
  <si>
    <t>https://www.conmed.com/</t>
  </si>
  <si>
    <t>https://www.conmed.com/en/investor-relations</t>
  </si>
  <si>
    <t>https://seekingalpha.com/symbol/CNMD/earnings/transcripts</t>
  </si>
  <si>
    <t>https://stockanalysis.com/stocks/cnmd/company/</t>
  </si>
  <si>
    <t>https://www.macrotrends.net/stocks/charts/CNMD/conmed/income-statement?freq=A</t>
  </si>
  <si>
    <t>https://www.gurufocus.com/term/wacc/CNMD</t>
  </si>
  <si>
    <t>Founder(s): Eugene "Gene" Corasanti</t>
  </si>
  <si>
    <t>Founded: 1970</t>
  </si>
  <si>
    <t>Headquarters: Largo, FL</t>
  </si>
  <si>
    <t>Current CEO: Patrick Beyer</t>
  </si>
  <si>
    <t>Employees: 3,900</t>
  </si>
  <si>
    <t>Industry:  Medical Devices</t>
  </si>
  <si>
    <t>Sector: Healthcare</t>
  </si>
  <si>
    <t>IPO: July 23, 1987</t>
  </si>
  <si>
    <t>CONMED Corporation, a medical technology company, develops, manufactures, and sells devices and equipment for surgical procedures in the United States and internationally</t>
  </si>
  <si>
    <t>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t>
  </si>
  <si>
    <t>as well as provides supporting products that enable surgeons to perform minimally invasive sports medicine surgeries</t>
  </si>
  <si>
    <t>It markets orthopedic surgery products under the Hall, CONMED Linvatec, Concept, and Shutt brands</t>
  </si>
  <si>
    <t>The Company also provides battery-powered and autoclavable bone power tool systems for use in orthopedic, arthroscopic, oral/maxillofacial, podiatric, spinal, and cardiothoracic surgeries under Hall surgical brand name</t>
  </si>
  <si>
    <t>In addition, the company offers general surgery products, including clinical insufflation systems under AirSeal brand; smoke removal devices under Buffalo Filter brand</t>
  </si>
  <si>
    <t>Endomechanical products, such as tissue retrieval bags, trocars, suction irrigation devices, graspers, scissors, and dissectors used in minimally invasive surgeries</t>
  </si>
  <si>
    <t>and electrosurgical solution comprising monopolar and bipolar generators, argon beam coagulation generators, handpieces, smoke management systems and other accessories</t>
  </si>
  <si>
    <t>Further, the company provides endoscopic technologies, including therapeutic and diagnostic products for use in gastroenterology procedures, and products for the treatment of diseases of the dilatation, hemostasis, biliary, structure management, and infection prevention</t>
  </si>
  <si>
    <t>and patient monitoring, including ECG and EEG electrodes, and cardiac defibrillation pads</t>
  </si>
  <si>
    <t>It markets its products directly to hospitals, surgery centers, and other healthcare institutions, as well as through medical specialty distributors</t>
  </si>
  <si>
    <t>The Company was incorporated in 1970 and is headquartered in Largo, Florida</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</si>
  <si>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</si>
  <si>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</si>
  <si>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</si>
  <si>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</si>
  <si>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</si>
  <si>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</si>
  <si>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</si>
  <si>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</si>
  <si>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</si>
  <si>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</si>
  <si>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</si>
  <si>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</si>
  <si>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</si>
  <si>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</si>
  <si>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</si>
  <si>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</si>
  <si>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</si>
  <si>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</si>
  <si>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</si>
  <si>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</si>
  <si>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</si>
  <si>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</si>
  <si>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</si>
  <si>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</si>
  <si>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</si>
  <si>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</si>
  <si>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</si>
  <si>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</si>
  <si>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</si>
  <si>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</si>
  <si>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</si>
  <si>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</si>
  <si>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</si>
  <si>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</si>
  <si>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</si>
  <si>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</si>
  <si>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</si>
  <si>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</si>
  <si>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</si>
  <si>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</si>
  <si>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</si>
  <si>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</si>
  <si>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</si>
  <si>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</si>
  <si>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</si>
  <si>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</si>
  <si>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</si>
  <si>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</si>
  <si>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</si>
  <si>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</si>
  <si>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</si>
  <si>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</si>
  <si>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</si>
  <si>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</si>
  <si>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</si>
  <si>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</si>
  <si>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</si>
  <si>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</si>
  <si>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</si>
  <si>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</si>
  <si>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</si>
  <si>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</si>
  <si>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</si>
  <si>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</si>
  <si>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</si>
  <si>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</si>
  <si>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</si>
  <si>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</si>
  <si>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</si>
  <si>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</si>
  <si>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</si>
  <si>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</si>
  <si>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</si>
  <si>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</si>
  <si>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</si>
  <si>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</si>
  <si>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</si>
  <si>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</si>
  <si>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</si>
  <si>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</si>
  <si>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</si>
  <si>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</si>
  <si>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</si>
  <si>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</si>
  <si>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</si>
  <si>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</si>
  <si>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</si>
  <si>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</si>
  <si>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</si>
  <si>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</si>
  <si>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</si>
  <si>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</si>
  <si>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</si>
  <si>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</si>
  <si>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</si>
  <si>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</si>
  <si>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</si>
  <si>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</si>
  <si>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</si>
  <si>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</si>
  <si>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</si>
  <si>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</si>
  <si>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</si>
  <si>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</si>
  <si>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</si>
  <si>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</si>
  <si>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</si>
  <si>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</si>
  <si>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</si>
  <si>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</si>
  <si>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</si>
  <si>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</si>
  <si>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</si>
  <si>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</si>
  <si>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</si>
  <si>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</si>
  <si>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</si>
  <si>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</si>
  <si>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</si>
  <si>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</si>
  <si>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</si>
  <si>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</si>
  <si>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</si>
  <si>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</si>
  <si>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</si>
  <si>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</si>
  <si>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</si>
  <si>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</si>
  <si>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</si>
  <si>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</si>
  <si>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</si>
  <si>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</si>
  <si>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</si>
  <si>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</si>
  <si>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</si>
  <si>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</si>
  <si>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</si>
  <si>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</si>
  <si>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</si>
  <si>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</si>
  <si>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</si>
  <si>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</si>
  <si>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</si>
  <si>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</si>
  <si>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</si>
  <si>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</si>
  <si>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</si>
  <si>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</si>
  <si>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</si>
  <si>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</si>
  <si>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</si>
  <si>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</si>
  <si>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</si>
  <si>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</si>
  <si>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</si>
  <si>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</si>
  <si>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</si>
  <si>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</si>
  <si>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</si>
  <si>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</si>
  <si>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</si>
  <si>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</si>
  <si>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</si>
  <si>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</si>
  <si>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</si>
  <si>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</si>
  <si>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</si>
  <si>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</si>
  <si>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</si>
  <si>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</si>
  <si>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</si>
  <si>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</si>
  <si>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</si>
  <si>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</si>
  <si>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</si>
  <si>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</si>
  <si>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</si>
  <si>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</si>
  <si>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</si>
  <si>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</si>
  <si>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</si>
  <si>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</si>
  <si>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</si>
  <si>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</si>
  <si>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</si>
  <si>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</si>
  <si>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</si>
  <si>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</si>
  <si>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</si>
  <si>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</si>
  <si>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</si>
  <si>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</si>
  <si>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</si>
  <si>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</si>
  <si>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</si>
  <si>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</si>
  <si>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</si>
  <si>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</si>
  <si>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</si>
  <si>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</si>
  <si>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</si>
  <si>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</si>
  <si>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</si>
  <si>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</si>
  <si>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</si>
  <si>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</si>
  <si>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</si>
  <si>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</si>
  <si>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</si>
  <si>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</si>
  <si>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</si>
  <si>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</si>
  <si>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</si>
  <si>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</si>
  <si>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</si>
  <si>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</si>
  <si>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</si>
  <si>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</si>
  <si>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</si>
  <si>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</si>
  <si>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</si>
  <si>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</si>
  <si>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</si>
  <si>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</si>
  <si>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</si>
  <si>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</si>
  <si>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</si>
  <si>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</si>
  <si>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</si>
  <si>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</si>
  <si>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</si>
  <si>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</si>
  <si>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</si>
  <si>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</si>
  <si>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</si>
  <si>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</si>
  <si>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</si>
  <si>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</si>
  <si>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</si>
  <si>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</si>
  <si>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</si>
  <si>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</si>
  <si>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</si>
  <si>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</si>
  <si>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</si>
  <si>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</si>
  <si>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</si>
  <si>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</si>
  <si>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</si>
  <si>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</si>
  <si>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</si>
  <si>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</si>
  <si>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</si>
  <si>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</si>
  <si>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</si>
  <si>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</si>
  <si>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</si>
  <si>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</si>
  <si>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</si>
  <si>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</si>
  <si>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</si>
  <si>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</si>
  <si>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</si>
  <si>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</si>
  <si>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</si>
  <si>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</si>
  <si>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</si>
  <si>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</si>
  <si>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</si>
  <si>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</si>
  <si>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</si>
  <si>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</si>
  <si>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</si>
  <si>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</si>
  <si>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</si>
  <si>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</si>
  <si>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</si>
  <si>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</si>
  <si>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</si>
  <si>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</si>
  <si>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</si>
  <si>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</si>
  <si>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</si>
  <si>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</si>
  <si>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</si>
  <si>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</si>
  <si>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</si>
  <si>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</si>
  <si>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</si>
  <si>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</si>
  <si>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</si>
  <si>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</si>
  <si>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</si>
  <si>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</si>
  <si>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</si>
  <si>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</si>
  <si>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</si>
  <si>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</si>
  <si>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</si>
  <si>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</si>
  <si>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</si>
  <si>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</si>
  <si>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</si>
  <si>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</si>
  <si>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</si>
  <si>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</si>
  <si>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</si>
  <si>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</si>
  <si>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</si>
  <si>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</si>
  <si>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</si>
  <si>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</si>
  <si>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</si>
  <si>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</si>
  <si>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</si>
  <si>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</si>
  <si>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</si>
  <si>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</si>
  <si>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</si>
  <si>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</si>
  <si>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</si>
  <si>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</si>
  <si>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</si>
  <si>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</si>
  <si>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</si>
  <si>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</si>
  <si>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</si>
  <si>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</si>
  <si>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</si>
  <si>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</si>
  <si>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</si>
  <si>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</si>
  <si>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</si>
  <si>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</si>
  <si>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</si>
  <si>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</si>
  <si>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</si>
  <si>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</si>
  <si>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</si>
  <si>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</si>
  <si>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</si>
  <si>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</si>
  <si>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</si>
  <si>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</si>
  <si>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</si>
  <si>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</si>
  <si>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</si>
  <si>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</si>
  <si>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</si>
  <si>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</si>
  <si>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</si>
  <si>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</si>
  <si>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</si>
  <si>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</si>
  <si>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</si>
  <si>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</si>
  <si>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</si>
  <si>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</si>
  <si>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</si>
  <si>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</si>
  <si>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</si>
  <si>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</si>
  <si>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</si>
  <si>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</si>
  <si>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</si>
  <si>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</si>
  <si>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</si>
  <si>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</si>
  <si>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</si>
  <si>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</si>
  <si>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</si>
  <si>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</si>
  <si>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</si>
  <si>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</si>
  <si>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</si>
  <si>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</si>
  <si>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</si>
  <si>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</si>
  <si>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</si>
  <si>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</si>
  <si>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</si>
  <si>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</si>
  <si>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</si>
  <si>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</si>
  <si>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</si>
  <si>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</si>
  <si>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</si>
  <si>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</si>
  <si>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</si>
  <si>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</si>
  <si>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</si>
  <si>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</si>
  <si>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</si>
  <si>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</si>
  <si>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</si>
  <si>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</si>
  <si>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</si>
  <si>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</si>
  <si>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</si>
  <si>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</si>
  <si>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</si>
  <si>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</si>
  <si>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</si>
  <si>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</si>
  <si>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</si>
  <si>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</si>
  <si>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</si>
  <si>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</si>
  <si>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</si>
  <si>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</si>
  <si>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</si>
  <si>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</si>
  <si>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</si>
  <si>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</si>
  <si>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</si>
  <si>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</si>
  <si>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</si>
  <si>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</si>
  <si>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</si>
  <si>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</si>
  <si>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</si>
  <si>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</si>
  <si>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</si>
  <si>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</si>
  <si>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</si>
  <si>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</si>
  <si>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</si>
  <si>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</si>
  <si>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</si>
  <si>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</si>
  <si>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</si>
  <si>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</si>
  <si>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</si>
  <si>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</si>
  <si>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</si>
  <si>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</si>
  <si>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</si>
  <si>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</si>
  <si>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</si>
  <si>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</si>
  <si>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</si>
  <si>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</si>
  <si>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</si>
  <si>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</si>
  <si>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</si>
  <si>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</si>
  <si>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</si>
  <si>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</si>
  <si>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</si>
  <si>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</si>
  <si>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</si>
  <si>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</si>
  <si>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</si>
  <si>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</si>
  <si>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</si>
  <si>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</si>
  <si>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</si>
  <si>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</si>
  <si>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</si>
  <si>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</si>
  <si>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</si>
  <si>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</si>
  <si>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</si>
  <si>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</si>
  <si>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</si>
  <si>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</si>
  <si>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</si>
  <si>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</si>
  <si>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</si>
  <si>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</si>
  <si>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</si>
  <si>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</si>
  <si>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</si>
  <si>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</si>
  <si>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</si>
  <si>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</si>
  <si>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</si>
  <si>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</si>
  <si>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</si>
  <si>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</si>
  <si>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</si>
  <si>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</si>
  <si>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</si>
  <si>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</si>
  <si>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</si>
  <si>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</si>
  <si>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</si>
  <si>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</si>
  <si>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</si>
  <si>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</si>
  <si>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</si>
  <si>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</si>
  <si>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</si>
  <si>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</si>
  <si>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</si>
  <si>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</si>
  <si>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</si>
  <si>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</si>
  <si>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</si>
  <si>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</si>
  <si>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</si>
  <si>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</si>
  <si>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</si>
  <si>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</si>
  <si>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</si>
  <si>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</si>
  <si>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</si>
  <si>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</si>
  <si>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</si>
  <si>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</si>
  <si>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</si>
  <si>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</si>
  <si>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</si>
  <si>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</si>
  <si>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</si>
  <si>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</si>
  <si>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</si>
  <si>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</si>
  <si>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</si>
  <si>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</si>
  <si>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</si>
  <si>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</si>
  <si>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</si>
  <si>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</si>
  <si>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</si>
  <si>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</si>
  <si>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</si>
  <si>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</si>
  <si>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</si>
  <si>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</si>
  <si>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</si>
  <si>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</si>
  <si>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</si>
  <si>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</si>
  <si>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</si>
  <si>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</si>
  <si>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</si>
  <si>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</si>
  <si>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</si>
  <si>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</si>
  <si>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</si>
  <si>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</si>
  <si>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</si>
  <si>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</si>
  <si>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</si>
  <si>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</si>
  <si>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</si>
  <si>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</si>
  <si>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</si>
  <si>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</si>
  <si>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</si>
  <si>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</si>
  <si>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</si>
  <si>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</si>
  <si>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</si>
  <si>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</si>
  <si>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</si>
  <si>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</si>
  <si>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</si>
  <si>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</si>
  <si>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</si>
  <si>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</si>
  <si>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</si>
  <si>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</si>
  <si>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</si>
  <si>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</si>
  <si>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</si>
  <si>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</si>
  <si>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</si>
  <si>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</si>
  <si>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</si>
  <si>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</si>
  <si>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</si>
  <si>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</si>
  <si>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</si>
  <si>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</si>
  <si>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</si>
  <si>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</si>
  <si>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</si>
  <si>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</si>
  <si>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</si>
  <si>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</si>
  <si>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</si>
  <si>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</si>
  <si>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</si>
  <si>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</si>
  <si>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</si>
  <si>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</si>
  <si>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</si>
  <si>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</si>
  <si>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</si>
  <si>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</si>
  <si>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</si>
  <si>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</si>
  <si>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</si>
  <si>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</si>
  <si>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</si>
  <si>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</si>
  <si>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</si>
  <si>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</si>
  <si>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</si>
  <si>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</si>
  <si>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</si>
  <si>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</si>
  <si>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</si>
  <si>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</si>
  <si>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</si>
  <si>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</si>
  <si>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</si>
  <si>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</si>
  <si>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</si>
  <si>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</si>
  <si>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</si>
  <si>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</si>
  <si>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</si>
  <si>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</si>
  <si>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</si>
  <si>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</si>
  <si>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</si>
  <si>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</si>
  <si>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</si>
  <si>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</si>
  <si>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</si>
  <si>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</si>
  <si>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</si>
  <si>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</si>
  <si>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</si>
  <si>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</si>
  <si>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</si>
  <si>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</si>
  <si>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</si>
  <si>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</si>
  <si>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</si>
  <si>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</si>
  <si>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</si>
  <si>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</si>
  <si>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</si>
  <si>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</si>
  <si>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</si>
  <si>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</si>
  <si>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</si>
  <si>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</si>
  <si>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</si>
  <si>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</si>
  <si>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</si>
  <si>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</si>
  <si>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</si>
  <si>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</si>
  <si>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</si>
  <si>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</si>
  <si>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</si>
  <si>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</si>
  <si>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</si>
  <si>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</si>
  <si>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</si>
  <si>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</si>
  <si>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</si>
  <si>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</si>
  <si>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</si>
  <si>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</si>
  <si>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</si>
  <si>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</si>
  <si>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</si>
  <si>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</si>
  <si>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</si>
  <si>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</si>
  <si>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</si>
  <si>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</si>
  <si>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</si>
  <si>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</si>
  <si>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</si>
  <si>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</si>
  <si>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</si>
  <si>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</si>
  <si>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</si>
  <si>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</si>
  <si>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</si>
  <si>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</si>
  <si>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</si>
  <si>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</si>
  <si>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</si>
  <si>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</si>
  <si>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</si>
  <si>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</si>
  <si>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</si>
  <si>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</si>
  <si>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</si>
  <si>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</si>
  <si>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</si>
  <si>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</si>
  <si>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</si>
  <si>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</si>
  <si>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</si>
  <si>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</si>
  <si>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</si>
  <si>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</si>
  <si>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</si>
  <si>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</si>
  <si>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</si>
  <si>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</si>
  <si>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</si>
  <si>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</si>
  <si>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</si>
  <si>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</si>
  <si>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</si>
  <si>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</si>
  <si>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</si>
  <si>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</si>
  <si>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</si>
  <si>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</si>
  <si>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</si>
  <si>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</si>
  <si>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</si>
  <si>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</si>
  <si>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</si>
  <si>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</si>
  <si>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</si>
  <si>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</si>
  <si>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</si>
  <si>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</si>
  <si>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</si>
  <si>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</si>
  <si>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</si>
  <si>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</si>
  <si>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</si>
  <si>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</si>
  <si>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</si>
  <si>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</si>
  <si>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</si>
  <si>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</si>
  <si>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</si>
  <si>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</si>
  <si>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</si>
  <si>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</si>
  <si>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</si>
  <si>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</si>
  <si>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</si>
  <si>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</si>
  <si>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</si>
  <si>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</si>
  <si>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</si>
  <si>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</si>
  <si>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</si>
  <si>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</si>
  <si>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</si>
  <si>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</si>
  <si>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</si>
  <si>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</si>
  <si>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</si>
  <si>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</si>
  <si>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</si>
  <si>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</si>
  <si>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</si>
  <si>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</si>
  <si>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</si>
  <si>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</si>
  <si>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</si>
  <si>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</si>
  <si>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</si>
  <si>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</si>
  <si>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</si>
  <si>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</si>
  <si>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</si>
  <si>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</si>
  <si>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</si>
  <si>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</si>
  <si>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</si>
  <si>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</si>
  <si>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</si>
  <si>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</si>
  <si>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</si>
  <si>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</si>
  <si>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</si>
  <si>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</si>
  <si>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</si>
  <si>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</si>
  <si>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</si>
  <si>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</si>
  <si>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</si>
  <si>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</si>
  <si>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</si>
  <si>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</si>
  <si>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</si>
  <si>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</si>
  <si>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</si>
  <si>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</si>
  <si>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</si>
  <si>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</si>
  <si>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</si>
  <si>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</si>
  <si>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</si>
  <si>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</si>
  <si>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</si>
  <si>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</si>
  <si>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</si>
  <si>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</si>
  <si>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</si>
  <si>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</si>
  <si>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</si>
  <si>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</si>
  <si>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</si>
  <si>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</si>
  <si>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</si>
  <si>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</si>
  <si>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</si>
  <si>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</si>
  <si>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</si>
  <si>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</si>
  <si>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</si>
  <si>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</si>
  <si>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</si>
  <si>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</si>
  <si>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</si>
  <si>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</si>
  <si>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</si>
  <si>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</si>
  <si>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</si>
  <si>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</si>
  <si>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</si>
  <si>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</si>
  <si>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</si>
  <si>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</si>
  <si>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</si>
  <si>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</si>
  <si>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</si>
  <si>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</si>
  <si>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</si>
  <si>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</si>
  <si>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</si>
  <si>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</si>
  <si>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</si>
  <si>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</si>
  <si>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</si>
  <si>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</si>
  <si>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</si>
  <si>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</si>
  <si>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</si>
  <si>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</si>
  <si>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</si>
  <si>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</si>
  <si>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</si>
  <si>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</si>
  <si>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</si>
  <si>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</si>
  <si>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</si>
  <si>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</si>
  <si>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</si>
  <si>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</si>
  <si>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</si>
  <si>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</si>
  <si>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</si>
  <si>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</si>
  <si>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</si>
  <si>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</si>
  <si>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</si>
  <si>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</si>
  <si>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</si>
  <si>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</si>
  <si>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</si>
  <si>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</si>
  <si>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</si>
  <si>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</si>
  <si>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</si>
  <si>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</si>
  <si>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</si>
  <si>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</si>
  <si>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</si>
  <si>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</si>
  <si>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</si>
  <si>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</si>
  <si>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</si>
  <si>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</si>
  <si>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</si>
  <si>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</si>
  <si>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</si>
  <si>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</si>
  <si>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</si>
  <si>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</si>
  <si>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</si>
  <si>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</si>
  <si>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</si>
  <si>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</si>
  <si>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</si>
  <si>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</si>
  <si>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</si>
  <si>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</si>
  <si>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</si>
  <si>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</si>
  <si>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</si>
  <si>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</si>
  <si>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</si>
  <si>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</si>
  <si>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</si>
  <si>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</si>
  <si>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</si>
  <si>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</si>
  <si>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</si>
  <si>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</si>
  <si>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</si>
  <si>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</si>
  <si>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</si>
  <si>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</si>
  <si>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</si>
  <si>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</si>
  <si>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</si>
  <si>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</si>
  <si>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</si>
  <si>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</si>
  <si>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</si>
  <si>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</si>
  <si>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</si>
  <si>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</si>
  <si>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</si>
  <si>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</si>
  <si>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</si>
  <si>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</si>
  <si>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</si>
  <si>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</si>
  <si>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</si>
  <si>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</si>
  <si>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</si>
  <si>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</si>
  <si>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</si>
  <si>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</si>
  <si>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</si>
  <si>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</si>
  <si>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</si>
  <si>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</si>
  <si>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</si>
  <si>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</si>
  <si>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</si>
  <si>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</si>
  <si>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</si>
  <si>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</si>
  <si>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</si>
  <si>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</si>
  <si>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</si>
  <si>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</si>
  <si>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</si>
  <si>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</si>
  <si>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</si>
  <si>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</si>
  <si>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</si>
  <si>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</si>
  <si>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</si>
  <si>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</si>
  <si>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</si>
  <si>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</si>
  <si>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</si>
  <si>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</si>
  <si>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</si>
  <si>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</si>
  <si>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</si>
  <si>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</si>
  <si>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</si>
  <si>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</si>
  <si>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</si>
  <si>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</si>
  <si>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</si>
  <si>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</si>
  <si>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</si>
  <si>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</si>
  <si>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</si>
  <si>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</si>
  <si>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</si>
  <si>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</si>
  <si>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</si>
  <si>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</si>
  <si>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</si>
  <si>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</si>
  <si>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</si>
  <si>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</si>
  <si>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</si>
  <si>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</si>
  <si>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</si>
  <si>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</si>
  <si>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</si>
  <si>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</si>
  <si>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</si>
  <si>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</si>
  <si>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</si>
  <si>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</si>
  <si>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</si>
  <si>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</si>
  <si>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</si>
  <si>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</si>
  <si>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</si>
  <si>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</si>
  <si>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</si>
  <si>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</si>
  <si>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</si>
  <si>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</si>
  <si>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</si>
  <si>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</si>
  <si>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</si>
  <si>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</si>
  <si>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</si>
  <si>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</si>
  <si>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</si>
  <si>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</si>
  <si>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</si>
  <si>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</si>
  <si>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</si>
  <si>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</si>
  <si>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</si>
  <si>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</si>
  <si>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</si>
  <si>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</si>
  <si>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</si>
  <si>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</si>
  <si>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</si>
  <si>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</si>
  <si>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</si>
  <si>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</si>
  <si>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</si>
  <si>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</si>
  <si>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</si>
  <si>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</si>
  <si>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</si>
  <si>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</si>
  <si>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</si>
  <si>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</si>
  <si>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</si>
  <si>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</si>
  <si>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</si>
  <si>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</si>
  <si>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</si>
  <si>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</si>
  <si>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</si>
  <si>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</si>
  <si>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</si>
  <si>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</si>
  <si>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</si>
  <si>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</si>
  <si>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</si>
  <si>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</si>
  <si>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</si>
  <si>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</si>
  <si>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</si>
  <si>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</si>
  <si>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</si>
  <si>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</si>
  <si>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</si>
  <si>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</si>
  <si>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</si>
  <si>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</si>
  <si>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</si>
  <si>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</si>
  <si>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</si>
  <si>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</si>
  <si>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</si>
  <si>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</si>
  <si>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</si>
  <si>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</si>
  <si>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</si>
  <si>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</si>
  <si>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</si>
  <si>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</si>
  <si>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</si>
  <si>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</si>
  <si>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</si>
  <si>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</si>
  <si>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</si>
  <si>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</si>
  <si>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</si>
  <si>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</si>
  <si>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</si>
  <si>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</si>
  <si>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</si>
  <si>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</si>
  <si>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</si>
  <si>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</si>
  <si>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</si>
  <si>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</si>
  <si>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</si>
  <si>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</si>
  <si>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</si>
  <si>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</si>
  <si>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</si>
  <si>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</si>
  <si>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</si>
  <si>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</si>
  <si>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</si>
  <si>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</si>
  <si>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</si>
  <si>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</si>
  <si>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</si>
  <si>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</si>
  <si>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</si>
  <si>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</si>
  <si>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</si>
  <si>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</si>
  <si>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</si>
  <si>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</si>
  <si>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</si>
  <si>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</si>
  <si>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</si>
  <si>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</si>
  <si>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</si>
  <si>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</si>
  <si>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</si>
  <si>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</si>
  <si>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</si>
  <si>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</si>
  <si>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</si>
  <si>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</si>
  <si>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</si>
  <si>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</si>
  <si>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</si>
  <si>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</si>
  <si>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</si>
  <si>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</si>
  <si>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</si>
  <si>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</si>
  <si>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</si>
  <si>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</si>
  <si>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</si>
  <si>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</si>
  <si>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</si>
  <si>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</si>
  <si>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</si>
  <si>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</si>
  <si>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</si>
  <si>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</si>
  <si>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</si>
  <si>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</si>
  <si>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</si>
  <si>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</si>
  <si>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</si>
  <si>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</si>
  <si>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</si>
  <si>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</si>
  <si>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</si>
  <si>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</si>
  <si>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</si>
  <si>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</si>
  <si>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</si>
  <si>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</si>
  <si>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</si>
  <si>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</si>
  <si>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</si>
  <si>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</si>
  <si>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</si>
  <si>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</si>
  <si>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</si>
  <si>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</si>
  <si>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</si>
  <si>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</si>
  <si>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</si>
  <si>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</si>
  <si>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</si>
  <si>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</si>
  <si>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</si>
  <si>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</si>
  <si>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</si>
  <si>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</si>
  <si>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</si>
  <si>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</si>
  <si>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</si>
  <si>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</si>
  <si>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</si>
  <si>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</si>
  <si>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</si>
  <si>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</si>
  <si>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</si>
  <si>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</si>
  <si>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</si>
  <si>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</si>
  <si>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</si>
  <si>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</si>
  <si>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</si>
  <si>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</si>
  <si>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</si>
  <si>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</si>
  <si>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</si>
  <si>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</si>
  <si>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</si>
  <si>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</si>
  <si>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</si>
  <si>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</si>
  <si>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</si>
  <si>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</si>
  <si>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</si>
  <si>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</si>
  <si>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</si>
  <si>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</si>
  <si>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</si>
  <si>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</si>
  <si>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</si>
  <si>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</si>
  <si>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</si>
  <si>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</si>
  <si>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</si>
  <si>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</si>
  <si>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</si>
  <si>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</si>
  <si>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</si>
  <si>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</si>
  <si>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</si>
  <si>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</si>
  <si>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</si>
  <si>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</si>
  <si>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</si>
  <si>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</si>
  <si>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</si>
  <si>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</si>
  <si>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</si>
  <si>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</si>
  <si>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</si>
  <si>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</si>
  <si>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</si>
  <si>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</si>
  <si>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</si>
  <si>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</si>
  <si>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</si>
  <si>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</si>
  <si>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</si>
  <si>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</si>
  <si>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</si>
  <si>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</si>
  <si>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</si>
  <si>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</si>
  <si>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</si>
  <si>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</si>
  <si>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</si>
  <si>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</si>
  <si>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</si>
  <si>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</si>
  <si>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</si>
  <si>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</si>
  <si>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</si>
  <si>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</si>
  <si>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</si>
  <si>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</si>
  <si>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</si>
  <si>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</si>
  <si>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</si>
  <si>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</si>
  <si>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</si>
  <si>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</si>
  <si>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</si>
  <si>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</si>
  <si>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</si>
  <si>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</si>
  <si>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</si>
  <si>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</si>
  <si>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</si>
  <si>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</si>
  <si>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</si>
  <si>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</si>
  <si>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</si>
  <si>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</si>
  <si>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</si>
  <si>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</si>
  <si>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</si>
  <si>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</si>
  <si>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1256 Trading Days? (From: 9/20/20 - 9/20/25)</t>
  </si>
  <si>
    <t>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</si>
</sst>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20">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u/>
      <sz val="11"/>
      <color rgb="FF00B0F0"/>
      <name val="Calibri"/>
      <family val="2"/>
      <scheme val="minor"/>
    </font>
    <font>
      <sz val="1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72">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 fontId="2" fillId="0" borderId="0" xfId="0" applyNumberFormat="1" applyFont="1" applyAlignment="1">
      <alignment horizontal="left" indent="5"/>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9" fontId="13" fillId="0" borderId="0" xfId="0" applyNumberFormat="1" applyFont="1"/>
    <xf numFmtId="0" fontId="11" fillId="0" borderId="0" xfId="0" applyFont="1" applyAlignment="1">
      <alignment horizontal="left" indent="1"/>
    </xf>
    <xf numFmtId="9" fontId="12"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6"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0" fontId="18" fillId="0" borderId="0" xfId="3" applyFont="1"/>
    <xf numFmtId="0" fontId="17" fillId="0" borderId="0" xfId="0" applyFont="1" applyAlignment="1">
      <alignment horizontal="center"/>
    </xf>
    <xf numFmtId="0" fontId="19" fillId="0" borderId="0" xfId="0" applyFont="1"/>
    <xf numFmtId="10" fontId="0" fillId="0" borderId="0" xfId="0" applyNumberFormat="1" applyFill="1" applyBorder="1" applyAlignment="1"/>
    <xf numFmtId="0" fontId="0" fillId="0" borderId="0" xfId="0" applyFill="1" applyBorder="1" applyAlignment="1"/>
    <xf numFmtId="0" fontId="0" fillId="0" borderId="18" xfId="0" applyFill="1" applyBorder="1" applyAlignment="1"/>
    <xf numFmtId="0" fontId="9" fillId="0" borderId="17" xfId="0" applyFont="1" applyFill="1" applyBorder="1" applyAlignment="1">
      <alignment horizontal="center"/>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(Ticker)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[1]Model!$B$6</c:f>
              <c:strCache>
                <c:ptCount val="1"/>
                <c:pt idx="0">
                  <c:v>Medical</c:v>
                </c:pt>
              </c:strCache>
            </c:strRef>
          </c:tx>
          <c:spPr>
            <a:solidFill>
              <a:schemeClr val="accent5">
                <a:lumMod val="5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[1]Model!$AW$6:$BQ$6</c:f>
              <c:numCache>
                <c:formatCode>General</c:formatCode>
                <c:ptCount val="21"/>
                <c:pt idx="0">
                  <c:v>600</c:v>
                </c:pt>
                <c:pt idx="1">
                  <c:v>705</c:v>
                </c:pt>
                <c:pt idx="2">
                  <c:v>622</c:v>
                </c:pt>
                <c:pt idx="3">
                  <c:v>640</c:v>
                </c:pt>
                <c:pt idx="4">
                  <c:v>636</c:v>
                </c:pt>
                <c:pt idx="5">
                  <c:v>709</c:v>
                </c:pt>
                <c:pt idx="6">
                  <c:v>664</c:v>
                </c:pt>
                <c:pt idx="7">
                  <c:v>666</c:v>
                </c:pt>
                <c:pt idx="8">
                  <c:v>765</c:v>
                </c:pt>
                <c:pt idx="9">
                  <c:v>936</c:v>
                </c:pt>
                <c:pt idx="10">
                  <c:v>778</c:v>
                </c:pt>
                <c:pt idx="11">
                  <c:v>841</c:v>
                </c:pt>
                <c:pt idx="12">
                  <c:v>798</c:v>
                </c:pt>
                <c:pt idx="13">
                  <c:v>1042</c:v>
                </c:pt>
                <c:pt idx="14">
                  <c:v>864</c:v>
                </c:pt>
                <c:pt idx="15">
                  <c:v>908</c:v>
                </c:pt>
                <c:pt idx="16">
                  <c:v>938</c:v>
                </c:pt>
                <c:pt idx="17">
                  <c:v>1142</c:v>
                </c:pt>
                <c:pt idx="18">
                  <c:v>945</c:v>
                </c:pt>
              </c:numCache>
            </c:numRef>
          </c:val>
          <c:extLst>
            <c:ext xmlns:c16="http://schemas.microsoft.com/office/drawing/2014/chart" uri="{C3380CC4-5D6E-409C-BE32-E72D297353CC}">
              <c16:uniqueId val="{00000000-763E-43B3-B662-D76C6E829219}"/>
            </c:ext>
          </c:extLst>
        </c:ser>
        <c:ser>
          <c:idx val="1"/>
          <c:order val="1"/>
          <c:tx>
            <c:strRef>
              <c:f>[1]Model!$B$12</c:f>
              <c:strCache>
                <c:ptCount val="1"/>
                <c:pt idx="0">
                  <c:v>Trauma and Extremities</c:v>
                </c:pt>
              </c:strCache>
            </c:strRef>
          </c:tx>
          <c:spPr>
            <a:solidFill>
              <a:schemeClr val="accent5">
                <a:lumMod val="75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[1]Model!$AW$12:$BQ$12</c:f>
              <c:numCache>
                <c:formatCode>General</c:formatCode>
                <c:ptCount val="21"/>
                <c:pt idx="0">
                  <c:v>430</c:v>
                </c:pt>
                <c:pt idx="1">
                  <c:v>570</c:v>
                </c:pt>
                <c:pt idx="2">
                  <c:v>640</c:v>
                </c:pt>
                <c:pt idx="3">
                  <c:v>674</c:v>
                </c:pt>
                <c:pt idx="4">
                  <c:v>639</c:v>
                </c:pt>
                <c:pt idx="5">
                  <c:v>711</c:v>
                </c:pt>
                <c:pt idx="6">
                  <c:v>685</c:v>
                </c:pt>
                <c:pt idx="7">
                  <c:v>676</c:v>
                </c:pt>
                <c:pt idx="8">
                  <c:v>672</c:v>
                </c:pt>
                <c:pt idx="9">
                  <c:v>774</c:v>
                </c:pt>
                <c:pt idx="10">
                  <c:v>769</c:v>
                </c:pt>
                <c:pt idx="11">
                  <c:v>766</c:v>
                </c:pt>
                <c:pt idx="12">
                  <c:v>752</c:v>
                </c:pt>
                <c:pt idx="13">
                  <c:v>860</c:v>
                </c:pt>
                <c:pt idx="14">
                  <c:v>830</c:v>
                </c:pt>
                <c:pt idx="15">
                  <c:v>832</c:v>
                </c:pt>
                <c:pt idx="16">
                  <c:v>849</c:v>
                </c:pt>
                <c:pt idx="17">
                  <c:v>996</c:v>
                </c:pt>
                <c:pt idx="18">
                  <c:v>945</c:v>
                </c:pt>
              </c:numCache>
            </c:numRef>
          </c:val>
          <c:extLst>
            <c:ext xmlns:c16="http://schemas.microsoft.com/office/drawing/2014/chart" uri="{C3380CC4-5D6E-409C-BE32-E72D297353CC}">
              <c16:uniqueId val="{00000001-763E-43B3-B662-D76C6E829219}"/>
            </c:ext>
          </c:extLst>
        </c:ser>
        <c:ser>
          <c:idx val="2"/>
          <c:order val="2"/>
          <c:tx>
            <c:strRef>
              <c:f>[1]Model!$B$5</c:f>
              <c:strCache>
                <c:ptCount val="1"/>
                <c:pt idx="0">
                  <c:v>Endoscopy</c:v>
                </c:pt>
              </c:strCache>
            </c:strRef>
          </c:tx>
          <c:spPr>
            <a:solidFill>
              <a:srgbClr val="5881CC"/>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[1]Model!$AW$5:$BQ$5</c:f>
              <c:numCache>
                <c:formatCode>General</c:formatCode>
                <c:ptCount val="21"/>
                <c:pt idx="0">
                  <c:v>467</c:v>
                </c:pt>
                <c:pt idx="1">
                  <c:v>525</c:v>
                </c:pt>
                <c:pt idx="2">
                  <c:v>469</c:v>
                </c:pt>
                <c:pt idx="3">
                  <c:v>518</c:v>
                </c:pt>
                <c:pt idx="4">
                  <c:v>525</c:v>
                </c:pt>
                <c:pt idx="5">
                  <c:v>629</c:v>
                </c:pt>
                <c:pt idx="6">
                  <c:v>538</c:v>
                </c:pt>
                <c:pt idx="7">
                  <c:v>600</c:v>
                </c:pt>
                <c:pt idx="8">
                  <c:v>590</c:v>
                </c:pt>
                <c:pt idx="9">
                  <c:v>997</c:v>
                </c:pt>
                <c:pt idx="10">
                  <c:v>707</c:v>
                </c:pt>
                <c:pt idx="11">
                  <c:v>713</c:v>
                </c:pt>
                <c:pt idx="12">
                  <c:v>746</c:v>
                </c:pt>
                <c:pt idx="13">
                  <c:v>902</c:v>
                </c:pt>
                <c:pt idx="14">
                  <c:v>778</c:v>
                </c:pt>
                <c:pt idx="15">
                  <c:v>768</c:v>
                </c:pt>
                <c:pt idx="16">
                  <c:v>837</c:v>
                </c:pt>
                <c:pt idx="17">
                  <c:v>1006</c:v>
                </c:pt>
                <c:pt idx="18">
                  <c:v>867</c:v>
                </c:pt>
              </c:numCache>
            </c:numRef>
          </c:val>
          <c:extLst>
            <c:ext xmlns:c16="http://schemas.microsoft.com/office/drawing/2014/chart" uri="{C3380CC4-5D6E-409C-BE32-E72D297353CC}">
              <c16:uniqueId val="{00000002-763E-43B3-B662-D76C6E829219}"/>
            </c:ext>
          </c:extLst>
        </c:ser>
        <c:ser>
          <c:idx val="3"/>
          <c:order val="3"/>
          <c:tx>
            <c:strRef>
              <c:f>[1]Model!$B$4</c:f>
              <c:strCache>
                <c:ptCount val="1"/>
                <c:pt idx="0">
                  <c:v>Instruments</c:v>
                </c:pt>
              </c:strCache>
            </c:strRef>
          </c:tx>
          <c:spPr>
            <a:solidFill>
              <a:schemeClr val="accent1">
                <a:lumMod val="60000"/>
                <a:lumOff val="4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[1]Model!$AW$4:$BQ$4</c:f>
              <c:numCache>
                <c:formatCode>General</c:formatCode>
                <c:ptCount val="21"/>
                <c:pt idx="0">
                  <c:v>467</c:v>
                </c:pt>
                <c:pt idx="1">
                  <c:v>555</c:v>
                </c:pt>
                <c:pt idx="2">
                  <c:v>469</c:v>
                </c:pt>
                <c:pt idx="3">
                  <c:v>517</c:v>
                </c:pt>
                <c:pt idx="4">
                  <c:v>525</c:v>
                </c:pt>
                <c:pt idx="5">
                  <c:v>600</c:v>
                </c:pt>
                <c:pt idx="6">
                  <c:v>528</c:v>
                </c:pt>
                <c:pt idx="7">
                  <c:v>563</c:v>
                </c:pt>
                <c:pt idx="8">
                  <c:v>535</c:v>
                </c:pt>
                <c:pt idx="9">
                  <c:v>653</c:v>
                </c:pt>
                <c:pt idx="10">
                  <c:v>566</c:v>
                </c:pt>
                <c:pt idx="11">
                  <c:v>622</c:v>
                </c:pt>
                <c:pt idx="12">
                  <c:v>620</c:v>
                </c:pt>
                <c:pt idx="13">
                  <c:v>726</c:v>
                </c:pt>
                <c:pt idx="14">
                  <c:v>667</c:v>
                </c:pt>
                <c:pt idx="15">
                  <c:v>698</c:v>
                </c:pt>
                <c:pt idx="16">
                  <c:v>679</c:v>
                </c:pt>
                <c:pt idx="17">
                  <c:v>790</c:v>
                </c:pt>
                <c:pt idx="18">
                  <c:v>730</c:v>
                </c:pt>
              </c:numCache>
            </c:numRef>
          </c:val>
          <c:extLst>
            <c:ext xmlns:c16="http://schemas.microsoft.com/office/drawing/2014/chart" uri="{C3380CC4-5D6E-409C-BE32-E72D297353CC}">
              <c16:uniqueId val="{00000003-763E-43B3-B662-D76C6E829219}"/>
            </c:ext>
          </c:extLst>
        </c:ser>
        <c:ser>
          <c:idx val="4"/>
          <c:order val="4"/>
          <c:tx>
            <c:strRef>
              <c:f>[1]Model!$B$10</c:f>
              <c:strCache>
                <c:ptCount val="1"/>
                <c:pt idx="0">
                  <c:v>Knees</c:v>
                </c:pt>
              </c:strCache>
            </c:strRef>
          </c:tx>
          <c:spPr>
            <a:solidFill>
              <a:srgbClr val="CDE1F3"/>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[1]Model!$AW$10:$BQ$10</c:f>
              <c:numCache>
                <c:formatCode>General</c:formatCode>
                <c:ptCount val="21"/>
                <c:pt idx="0">
                  <c:v>435</c:v>
                </c:pt>
                <c:pt idx="1">
                  <c:v>459</c:v>
                </c:pt>
                <c:pt idx="2">
                  <c:v>412</c:v>
                </c:pt>
                <c:pt idx="3">
                  <c:v>474</c:v>
                </c:pt>
                <c:pt idx="4">
                  <c:v>439</c:v>
                </c:pt>
                <c:pt idx="5">
                  <c:v>523</c:v>
                </c:pt>
                <c:pt idx="6">
                  <c:v>464</c:v>
                </c:pt>
                <c:pt idx="7">
                  <c:v>500</c:v>
                </c:pt>
                <c:pt idx="8">
                  <c:v>481</c:v>
                </c:pt>
                <c:pt idx="9">
                  <c:v>552</c:v>
                </c:pt>
                <c:pt idx="10">
                  <c:v>566</c:v>
                </c:pt>
                <c:pt idx="11">
                  <c:v>562</c:v>
                </c:pt>
                <c:pt idx="12">
                  <c:v>515</c:v>
                </c:pt>
                <c:pt idx="13">
                  <c:v>630</c:v>
                </c:pt>
                <c:pt idx="14">
                  <c:v>588</c:v>
                </c:pt>
                <c:pt idx="15">
                  <c:v>602</c:v>
                </c:pt>
                <c:pt idx="16">
                  <c:v>570</c:v>
                </c:pt>
                <c:pt idx="17">
                  <c:v>687</c:v>
                </c:pt>
                <c:pt idx="18">
                  <c:v>639</c:v>
                </c:pt>
              </c:numCache>
            </c:numRef>
          </c:val>
          <c:extLst>
            <c:ext xmlns:c16="http://schemas.microsoft.com/office/drawing/2014/chart" uri="{C3380CC4-5D6E-409C-BE32-E72D297353CC}">
              <c16:uniqueId val="{00000004-763E-43B3-B662-D76C6E829219}"/>
            </c:ext>
          </c:extLst>
        </c:ser>
        <c:ser>
          <c:idx val="5"/>
          <c:order val="5"/>
          <c:tx>
            <c:strRef>
              <c:f>[1]Model!$B$8</c:f>
              <c:strCache>
                <c:ptCount val="1"/>
                <c:pt idx="0">
                  <c:v>Neuro Cranial</c:v>
                </c:pt>
              </c:strCache>
            </c:strRef>
          </c:tx>
          <c:spPr>
            <a:solidFill>
              <a:srgbClr val="94346D"/>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[1]Model!$AW$8:$BQ$8</c:f>
              <c:numCache>
                <c:formatCode>General</c:formatCode>
                <c:ptCount val="21"/>
                <c:pt idx="0">
                  <c:v>518</c:v>
                </c:pt>
                <c:pt idx="1">
                  <c:v>312</c:v>
                </c:pt>
                <c:pt idx="2">
                  <c:v>281</c:v>
                </c:pt>
                <c:pt idx="3">
                  <c:v>310</c:v>
                </c:pt>
                <c:pt idx="4">
                  <c:v>299</c:v>
                </c:pt>
                <c:pt idx="5">
                  <c:v>324</c:v>
                </c:pt>
                <c:pt idx="6">
                  <c:v>323</c:v>
                </c:pt>
                <c:pt idx="7">
                  <c:v>337</c:v>
                </c:pt>
                <c:pt idx="8">
                  <c:v>332</c:v>
                </c:pt>
                <c:pt idx="9">
                  <c:v>384</c:v>
                </c:pt>
                <c:pt idx="10">
                  <c:v>355</c:v>
                </c:pt>
                <c:pt idx="11">
                  <c:v>373</c:v>
                </c:pt>
                <c:pt idx="12">
                  <c:v>384</c:v>
                </c:pt>
                <c:pt idx="13">
                  <c:v>764</c:v>
                </c:pt>
                <c:pt idx="14">
                  <c:v>478</c:v>
                </c:pt>
                <c:pt idx="15">
                  <c:v>416</c:v>
                </c:pt>
                <c:pt idx="16">
                  <c:v>441</c:v>
                </c:pt>
                <c:pt idx="17">
                  <c:v>801</c:v>
                </c:pt>
                <c:pt idx="18">
                  <c:v>563</c:v>
                </c:pt>
              </c:numCache>
            </c:numRef>
          </c:val>
          <c:extLst>
            <c:ext xmlns:c16="http://schemas.microsoft.com/office/drawing/2014/chart" uri="{C3380CC4-5D6E-409C-BE32-E72D297353CC}">
              <c16:uniqueId val="{00000005-763E-43B3-B662-D76C6E829219}"/>
            </c:ext>
          </c:extLst>
        </c:ser>
        <c:ser>
          <c:idx val="6"/>
          <c:order val="6"/>
          <c:tx>
            <c:strRef>
              <c:f>[1]Model!$B$11</c:f>
              <c:strCache>
                <c:ptCount val="1"/>
                <c:pt idx="0">
                  <c:v>Hips</c:v>
                </c:pt>
              </c:strCache>
            </c:strRef>
          </c:tx>
          <c:spPr>
            <a:solidFill>
              <a:srgbClr val="B03E82"/>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[1]Model!$AW$11:$BQ$11</c:f>
              <c:numCache>
                <c:formatCode>General</c:formatCode>
                <c:ptCount val="21"/>
                <c:pt idx="0">
                  <c:v>334</c:v>
                </c:pt>
                <c:pt idx="1">
                  <c:v>340</c:v>
                </c:pt>
                <c:pt idx="2">
                  <c:v>309</c:v>
                </c:pt>
                <c:pt idx="3">
                  <c:v>353</c:v>
                </c:pt>
                <c:pt idx="4">
                  <c:v>328</c:v>
                </c:pt>
                <c:pt idx="5">
                  <c:v>352</c:v>
                </c:pt>
                <c:pt idx="6">
                  <c:v>327</c:v>
                </c:pt>
                <c:pt idx="7">
                  <c:v>364</c:v>
                </c:pt>
                <c:pt idx="8">
                  <c:v>347</c:v>
                </c:pt>
                <c:pt idx="9">
                  <c:v>375</c:v>
                </c:pt>
                <c:pt idx="10">
                  <c:v>375</c:v>
                </c:pt>
                <c:pt idx="11">
                  <c:v>393</c:v>
                </c:pt>
                <c:pt idx="12">
                  <c:v>362</c:v>
                </c:pt>
                <c:pt idx="13">
                  <c:v>414</c:v>
                </c:pt>
                <c:pt idx="14">
                  <c:v>393</c:v>
                </c:pt>
                <c:pt idx="15">
                  <c:v>428</c:v>
                </c:pt>
                <c:pt idx="16">
                  <c:v>420</c:v>
                </c:pt>
                <c:pt idx="17">
                  <c:v>463</c:v>
                </c:pt>
                <c:pt idx="18">
                  <c:v>443</c:v>
                </c:pt>
              </c:numCache>
            </c:numRef>
          </c:val>
          <c:extLst>
            <c:ext xmlns:c16="http://schemas.microsoft.com/office/drawing/2014/chart" uri="{C3380CC4-5D6E-409C-BE32-E72D297353CC}">
              <c16:uniqueId val="{00000006-763E-43B3-B662-D76C6E829219}"/>
            </c:ext>
          </c:extLst>
        </c:ser>
        <c:ser>
          <c:idx val="7"/>
          <c:order val="7"/>
          <c:tx>
            <c:strRef>
              <c:f>[1]Model!$B$7</c:f>
              <c:strCache>
                <c:ptCount val="1"/>
                <c:pt idx="0">
                  <c:v>Vascular</c:v>
                </c:pt>
              </c:strCache>
            </c:strRef>
          </c:tx>
          <c:spPr>
            <a:solidFill>
              <a:srgbClr val="CF73A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[1]Model!$AW$7:$BQ$7</c:f>
              <c:numCache>
                <c:formatCode>General</c:formatCode>
                <c:ptCount val="21"/>
                <c:pt idx="0">
                  <c:v>66</c:v>
                </c:pt>
                <c:pt idx="1">
                  <c:v>82</c:v>
                </c:pt>
                <c:pt idx="2">
                  <c:v>289</c:v>
                </c:pt>
                <c:pt idx="3">
                  <c:v>301</c:v>
                </c:pt>
                <c:pt idx="4">
                  <c:v>295</c:v>
                </c:pt>
                <c:pt idx="5">
                  <c:v>303</c:v>
                </c:pt>
                <c:pt idx="6">
                  <c:v>301</c:v>
                </c:pt>
                <c:pt idx="7">
                  <c:v>306</c:v>
                </c:pt>
                <c:pt idx="8">
                  <c:v>294</c:v>
                </c:pt>
                <c:pt idx="9">
                  <c:v>299</c:v>
                </c:pt>
                <c:pt idx="10">
                  <c:v>284</c:v>
                </c:pt>
                <c:pt idx="11">
                  <c:v>311</c:v>
                </c:pt>
                <c:pt idx="12">
                  <c:v>311</c:v>
                </c:pt>
                <c:pt idx="13">
                  <c:v>320</c:v>
                </c:pt>
                <c:pt idx="14">
                  <c:v>310</c:v>
                </c:pt>
                <c:pt idx="15">
                  <c:v>327</c:v>
                </c:pt>
                <c:pt idx="16">
                  <c:v>329</c:v>
                </c:pt>
                <c:pt idx="17">
                  <c:v>341</c:v>
                </c:pt>
                <c:pt idx="18">
                  <c:v>406</c:v>
                </c:pt>
              </c:numCache>
            </c:numRef>
          </c:val>
          <c:extLst>
            <c:ext xmlns:c16="http://schemas.microsoft.com/office/drawing/2014/chart" uri="{C3380CC4-5D6E-409C-BE32-E72D297353CC}">
              <c16:uniqueId val="{00000007-763E-43B3-B662-D76C6E829219}"/>
            </c:ext>
          </c:extLst>
        </c:ser>
        <c:ser>
          <c:idx val="8"/>
          <c:order val="8"/>
          <c:tx>
            <c:strRef>
              <c:f>[1]Model!$B$13</c:f>
              <c:strCache>
                <c:ptCount val="1"/>
                <c:pt idx="0">
                  <c:v>Spinal Implants</c:v>
                </c:pt>
              </c:strCache>
            </c:strRef>
          </c:tx>
          <c:spPr>
            <a:solidFill>
              <a:srgbClr val="E1A9C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[1]Model!$AW$13:$BQ$13</c:f>
              <c:numCache>
                <c:formatCode>General</c:formatCode>
                <c:ptCount val="21"/>
                <c:pt idx="0">
                  <c:v>302</c:v>
                </c:pt>
                <c:pt idx="1">
                  <c:v>307</c:v>
                </c:pt>
                <c:pt idx="2">
                  <c:v>278</c:v>
                </c:pt>
                <c:pt idx="3">
                  <c:v>307</c:v>
                </c:pt>
                <c:pt idx="4">
                  <c:v>282</c:v>
                </c:pt>
                <c:pt idx="5">
                  <c:v>300</c:v>
                </c:pt>
                <c:pt idx="6">
                  <c:v>279</c:v>
                </c:pt>
                <c:pt idx="7">
                  <c:v>290</c:v>
                </c:pt>
                <c:pt idx="8">
                  <c:v>280</c:v>
                </c:pt>
                <c:pt idx="9">
                  <c:v>297</c:v>
                </c:pt>
                <c:pt idx="10">
                  <c:v>284</c:v>
                </c:pt>
                <c:pt idx="11">
                  <c:v>296</c:v>
                </c:pt>
                <c:pt idx="12">
                  <c:v>291</c:v>
                </c:pt>
                <c:pt idx="13">
                  <c:v>122</c:v>
                </c:pt>
                <c:pt idx="14">
                  <c:v>171</c:v>
                </c:pt>
                <c:pt idx="15">
                  <c:v>307</c:v>
                </c:pt>
                <c:pt idx="16">
                  <c:v>304</c:v>
                </c:pt>
                <c:pt idx="17">
                  <c:v>85</c:v>
                </c:pt>
                <c:pt idx="18">
                  <c:v>166</c:v>
                </c:pt>
              </c:numCache>
            </c:numRef>
          </c:val>
          <c:extLst>
            <c:ext xmlns:c16="http://schemas.microsoft.com/office/drawing/2014/chart" uri="{C3380CC4-5D6E-409C-BE32-E72D297353CC}">
              <c16:uniqueId val="{00000008-763E-43B3-B662-D76C6E829219}"/>
            </c:ext>
          </c:extLst>
        </c:ser>
        <c:ser>
          <c:idx val="9"/>
          <c:order val="9"/>
          <c:tx>
            <c:strRef>
              <c:f>[1]Model!$B$14</c:f>
              <c:strCache>
                <c:ptCount val="1"/>
                <c:pt idx="0">
                  <c:v>Other</c:v>
                </c:pt>
              </c:strCache>
            </c:strRef>
          </c:tx>
          <c:spPr>
            <a:solidFill>
              <a:srgbClr val="F0D4E5"/>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[1]Model!$AW$14:$BQ$14</c:f>
              <c:numCache>
                <c:formatCode>General</c:formatCode>
                <c:ptCount val="21"/>
                <c:pt idx="0">
                  <c:v>118</c:v>
                </c:pt>
                <c:pt idx="1">
                  <c:v>157</c:v>
                </c:pt>
                <c:pt idx="2">
                  <c:v>123</c:v>
                </c:pt>
                <c:pt idx="3">
                  <c:v>127</c:v>
                </c:pt>
                <c:pt idx="4">
                  <c:v>123</c:v>
                </c:pt>
                <c:pt idx="5">
                  <c:v>176</c:v>
                </c:pt>
                <c:pt idx="6">
                  <c:v>97</c:v>
                </c:pt>
                <c:pt idx="7">
                  <c:v>114</c:v>
                </c:pt>
                <c:pt idx="8">
                  <c:v>111</c:v>
                </c:pt>
                <c:pt idx="9">
                  <c:v>153</c:v>
                </c:pt>
                <c:pt idx="10">
                  <c:v>94</c:v>
                </c:pt>
                <c:pt idx="11">
                  <c:v>119</c:v>
                </c:pt>
                <c:pt idx="12">
                  <c:v>130</c:v>
                </c:pt>
                <c:pt idx="13">
                  <c:v>35</c:v>
                </c:pt>
                <c:pt idx="14">
                  <c:v>164</c:v>
                </c:pt>
                <c:pt idx="15">
                  <c:v>136</c:v>
                </c:pt>
                <c:pt idx="16">
                  <c:v>127</c:v>
                </c:pt>
                <c:pt idx="17">
                  <c:v>125</c:v>
                </c:pt>
                <c:pt idx="18">
                  <c:v>162</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(BSX)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(Ticker) Historical Return Histogram + Normal Distribution Overlay</a:t>
            </a:r>
          </a:p>
        </c:rich>
      </c:tx>
      <c:layout>
        <c:manualLayout>
          <c:xMode val="edge"/>
          <c:yMode val="edge"/>
          <c:x val="0.30108591378517141"/>
          <c:y val="1.8888948670044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152794667284949E-2"/>
          <c:y val="7.3102355294668728E-2"/>
          <c:w val="0.94945999344094489"/>
          <c:h val="0.8723512307833301"/>
        </c:manualLayout>
      </c:layout>
      <c:scatterChart>
        <c:scatterStyle val="smoothMarker"/>
        <c:varyColors val="0"/>
        <c:ser>
          <c:idx val="0"/>
          <c:order val="0"/>
          <c:spPr>
            <a:ln w="1905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strRef>
              <c:f>'[1]Notes | Quant Analysis'!$I$182:$I$262</c:f>
              <c:strCache>
                <c:ptCount val="81"/>
                <c:pt idx="6">
                  <c:v>Notes:</c:v>
                </c:pt>
                <c:pt idx="42">
                  <c:v>Notes:</c:v>
                </c:pt>
              </c:strCache>
            </c:strRef>
          </c:xVal>
          <c:yVal>
            <c:numRef>
              <c:f>'[1]Notes | Quant Analysis'!$J$182:$J$262</c:f>
              <c:numCache>
                <c:formatCode>General</c:formatCode>
                <c:ptCount val="81"/>
                <c:pt idx="6">
                  <c:v>0</c:v>
                </c:pt>
                <c:pt idx="7">
                  <c:v>0</c:v>
                </c:pt>
                <c:pt idx="8">
                  <c:v>0</c:v>
                </c:pt>
                <c:pt idx="42">
                  <c:v>0</c:v>
                </c:pt>
                <c:pt idx="43">
                  <c:v>0</c:v>
                </c:pt>
                <c:pt idx="44">
                  <c:v>0</c:v>
                </c:pt>
                <c:pt idx="76">
                  <c:v>0</c:v>
                </c:pt>
                <c:pt idx="77">
                  <c:v>0</c:v>
                </c:pt>
              </c:numCache>
            </c:numRef>
          </c:yVal>
          <c:smooth val="1"/>
          <c:extLst>
            <c:ext xmlns:c16="http://schemas.microsoft.com/office/drawing/2014/chart" uri="{C3380CC4-5D6E-409C-BE32-E72D297353CC}">
              <c16:uniqueId val="{00000000-64C8-46E7-8417-05DC731C65AA}"/>
            </c:ext>
          </c:extLst>
        </c:ser>
        <c:ser>
          <c:idx val="1"/>
          <c:order val="1"/>
          <c:tx>
            <c:strRef>
              <c:f>'[1]Notes | Quant Analysis'!$L$180</c:f>
              <c:strCache>
                <c:ptCount val="1"/>
              </c:strCache>
            </c:strRef>
          </c:tx>
          <c:spPr>
            <a:ln w="19050" cap="rnd">
              <a:solidFill>
                <a:srgbClr val="FFC000"/>
              </a:solidFill>
              <a:round/>
            </a:ln>
            <a:effectLst/>
          </c:spPr>
          <c:marker>
            <c:symbol val="none"/>
          </c:marker>
          <c:xVal>
            <c:numRef>
              <c:f>'[1]Notes | Quant Analysis'!$L$182:$L$264</c:f>
              <c:numCache>
                <c:formatCode>General</c:formatCode>
                <c:ptCount val="83"/>
              </c:numCache>
            </c:numRef>
          </c:xVal>
          <c:yVal>
            <c:numRef>
              <c:f>'[1]Notes | Quant Analysis'!$M$182:$M$264</c:f>
              <c:numCache>
                <c:formatCode>General</c:formatCode>
                <c:ptCount val="83"/>
              </c:numCache>
            </c:numRef>
          </c:yVal>
          <c:smooth val="1"/>
          <c:extLst>
            <c:ext xmlns:c16="http://schemas.microsoft.com/office/drawing/2014/chart" uri="{C3380CC4-5D6E-409C-BE32-E72D297353CC}">
              <c16:uniqueId val="{00000001-64C8-46E7-8417-05DC731C65AA}"/>
            </c:ext>
          </c:extLst>
        </c:ser>
        <c:ser>
          <c:idx val="2"/>
          <c:order val="2"/>
          <c:tx>
            <c:strRef>
              <c:f>'[1]Notes | Quant Analysis'!$O$182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64C8-46E7-8417-05DC731C65AA}"/>
                </c:ext>
              </c:extLst>
            </c:dLbl>
            <c:dLbl>
              <c:idx val="1"/>
              <c:layout>
                <c:manualLayout>
                  <c:x val="-6.5761321986558208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Analysis'!$P$182:$P$183</c:f>
              <c:numCache>
                <c:formatCode>General</c:formatCode>
                <c:ptCount val="2"/>
              </c:numCache>
            </c:numRef>
          </c:xVal>
          <c:yVal>
            <c:numRef>
              <c:f>'[1]Notes | Quant Analysis'!$Q$182:$Q$183</c:f>
              <c:numCache>
                <c:formatCode>General</c:formatCode>
                <c:ptCount val="2"/>
              </c:numCache>
            </c:numRef>
          </c:yVal>
          <c:smooth val="1"/>
          <c:extLst>
            <c:ext xmlns:c16="http://schemas.microsoft.com/office/drawing/2014/chart" uri="{C3380CC4-5D6E-409C-BE32-E72D297353CC}">
              <c16:uniqueId val="{00000004-64C8-46E7-8417-05DC731C65AA}"/>
            </c:ext>
          </c:extLst>
        </c:ser>
        <c:ser>
          <c:idx val="3"/>
          <c:order val="3"/>
          <c:tx>
            <c:strRef>
              <c:f>'[1]Notes | Quant Analysis'!$O$184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64C8-46E7-8417-05DC731C65AA}"/>
                </c:ext>
              </c:extLst>
            </c:dLbl>
            <c:dLbl>
              <c:idx val="1"/>
              <c:layout>
                <c:manualLayout>
                  <c:x val="-4.0576134842769972E-2"/>
                  <c:y val="-4.958333821358315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Analysis'!$P$184:$P$185</c:f>
              <c:numCache>
                <c:formatCode>General</c:formatCode>
                <c:ptCount val="2"/>
              </c:numCache>
            </c:numRef>
          </c:xVal>
          <c:yVal>
            <c:numRef>
              <c:f>'[1]Notes | Quant Analysis'!$Q$184:$Q$185</c:f>
              <c:numCache>
                <c:formatCode>General</c:formatCode>
                <c:ptCount val="2"/>
              </c:numCache>
            </c:numRef>
          </c:yVal>
          <c:smooth val="1"/>
          <c:extLst>
            <c:ext xmlns:c16="http://schemas.microsoft.com/office/drawing/2014/chart" uri="{C3380CC4-5D6E-409C-BE32-E72D297353CC}">
              <c16:uniqueId val="{00000007-64C8-46E7-8417-05DC731C65AA}"/>
            </c:ext>
          </c:extLst>
        </c:ser>
        <c:ser>
          <c:idx val="4"/>
          <c:order val="4"/>
          <c:tx>
            <c:strRef>
              <c:f>'[1]Notes | Quant Analysis'!$O$186</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64C8-46E7-8417-05DC731C65AA}"/>
                </c:ext>
              </c:extLst>
            </c:dLbl>
            <c:dLbl>
              <c:idx val="1"/>
              <c:layout>
                <c:manualLayout>
                  <c:x val="-5.3168728414664079E-2"/>
                  <c:y val="-3.541667015255957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Analysis'!$P$186:$P$187</c:f>
              <c:numCache>
                <c:formatCode>General</c:formatCode>
                <c:ptCount val="2"/>
              </c:numCache>
            </c:numRef>
          </c:xVal>
          <c:yVal>
            <c:numRef>
              <c:f>'[1]Notes | Quant Analysis'!$Q$186:$Q$187</c:f>
              <c:numCache>
                <c:formatCode>General</c:formatCode>
                <c:ptCount val="2"/>
              </c:numCache>
            </c:numRef>
          </c:yVal>
          <c:smooth val="1"/>
          <c:extLst>
            <c:ext xmlns:c16="http://schemas.microsoft.com/office/drawing/2014/chart" uri="{C3380CC4-5D6E-409C-BE32-E72D297353CC}">
              <c16:uniqueId val="{0000000A-64C8-46E7-8417-05DC731C65AA}"/>
            </c:ext>
          </c:extLst>
        </c:ser>
        <c:ser>
          <c:idx val="5"/>
          <c:order val="5"/>
          <c:tx>
            <c:strRef>
              <c:f>'[1]Notes | Quant Analysis'!$O$188</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64C8-46E7-8417-05DC731C65AA}"/>
                </c:ext>
              </c:extLst>
            </c:dLbl>
            <c:dLbl>
              <c:idx val="1"/>
              <c:layout>
                <c:manualLayout>
                  <c:x val="-9.5144040320977827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Analysis'!$P$188:$P$189</c:f>
              <c:numCache>
                <c:formatCode>General</c:formatCode>
                <c:ptCount val="2"/>
              </c:numCache>
            </c:numRef>
          </c:xVal>
          <c:yVal>
            <c:numRef>
              <c:f>'[1]Notes | Quant Analysis'!$Q$188:$Q$189</c:f>
              <c:numCache>
                <c:formatCode>General</c:formatCode>
                <c:ptCount val="2"/>
              </c:numCache>
            </c:numRef>
          </c:yVal>
          <c:smooth val="1"/>
          <c:extLst>
            <c:ext xmlns:c16="http://schemas.microsoft.com/office/drawing/2014/chart" uri="{C3380CC4-5D6E-409C-BE32-E72D297353CC}">
              <c16:uniqueId val="{0000000D-64C8-46E7-8417-05DC731C65AA}"/>
            </c:ext>
          </c:extLst>
        </c:ser>
        <c:ser>
          <c:idx val="6"/>
          <c:order val="6"/>
          <c:tx>
            <c:strRef>
              <c:f>'[1]Notes | Quant Analysis'!$O$190</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64C8-46E7-8417-05DC731C65AA}"/>
                </c:ext>
              </c:extLst>
            </c:dLbl>
            <c:dLbl>
              <c:idx val="1"/>
              <c:layout>
                <c:manualLayout>
                  <c:x val="-2.3786010080244464E-2"/>
                  <c:y val="-2.833333612204761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201295968475098E-2"/>
                      <c:h val="4.9276393738927629E-2"/>
                    </c:manualLayout>
                  </c15:layout>
                </c:ext>
                <c:ext xmlns:c16="http://schemas.microsoft.com/office/drawing/2014/chart" uri="{C3380CC4-5D6E-409C-BE32-E72D297353CC}">
                  <c16:uniqueId val="{0000000F-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Analysis'!$P$190:$P$191</c:f>
              <c:numCache>
                <c:formatCode>General</c:formatCode>
                <c:ptCount val="2"/>
              </c:numCache>
            </c:numRef>
          </c:xVal>
          <c:yVal>
            <c:numRef>
              <c:f>'[1]Notes | Quant Analysis'!$Q$190:$Q$191</c:f>
              <c:numCache>
                <c:formatCode>General</c:formatCode>
                <c:ptCount val="2"/>
              </c:numCache>
            </c:numRef>
          </c:yVal>
          <c:smooth val="1"/>
          <c:extLst>
            <c:ext xmlns:c16="http://schemas.microsoft.com/office/drawing/2014/chart" uri="{C3380CC4-5D6E-409C-BE32-E72D297353CC}">
              <c16:uniqueId val="{00000010-64C8-46E7-8417-05DC731C65AA}"/>
            </c:ext>
          </c:extLst>
        </c:ser>
        <c:ser>
          <c:idx val="7"/>
          <c:order val="7"/>
          <c:tx>
            <c:strRef>
              <c:f>'[1]Notes | Quant Analysis'!$O$192</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64C8-46E7-8417-05DC731C65AA}"/>
                </c:ext>
              </c:extLst>
            </c:dLbl>
            <c:dLbl>
              <c:idx val="1"/>
              <c:layout>
                <c:manualLayout>
                  <c:x val="-3.7777780715682475E-2"/>
                  <c:y val="-6.138889493110313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Analysis'!$P$192:$P$193</c:f>
              <c:numCache>
                <c:formatCode>General</c:formatCode>
                <c:ptCount val="2"/>
              </c:numCache>
            </c:numRef>
          </c:xVal>
          <c:yVal>
            <c:numRef>
              <c:f>'[1]Notes | Quant Analysis'!$Q$192:$Q$193</c:f>
              <c:numCache>
                <c:formatCode>General</c:formatCode>
                <c:ptCount val="2"/>
              </c:numCache>
            </c:numRef>
          </c:yVal>
          <c:smooth val="1"/>
          <c:extLst>
            <c:ext xmlns:c16="http://schemas.microsoft.com/office/drawing/2014/chart" uri="{C3380CC4-5D6E-409C-BE32-E72D297353CC}">
              <c16:uniqueId val="{00000013-64C8-46E7-8417-05DC731C65AA}"/>
            </c:ext>
          </c:extLst>
        </c:ser>
        <c:ser>
          <c:idx val="8"/>
          <c:order val="8"/>
          <c:tx>
            <c:strRef>
              <c:f>'[1]Notes | Quant Analysis'!$O$194</c:f>
              <c:strCache>
                <c:ptCount val="1"/>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4-64C8-46E7-8417-05DC731C65AA}"/>
                </c:ext>
              </c:extLst>
            </c:dLbl>
            <c:dLbl>
              <c:idx val="1"/>
              <c:layout>
                <c:manualLayout>
                  <c:x val="-3.3580249525050995E-2"/>
                  <c:y val="-3.7777781496063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64C8-46E7-8417-05DC731C65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Analysis'!$P$194:$P$195</c:f>
              <c:numCache>
                <c:formatCode>General</c:formatCode>
                <c:ptCount val="2"/>
              </c:numCache>
            </c:numRef>
          </c:xVal>
          <c:yVal>
            <c:numRef>
              <c:f>'[1]Notes | Quant Analysis'!$Q$194:$Q$195</c:f>
              <c:numCache>
                <c:formatCode>General</c:formatCode>
                <c:ptCount val="2"/>
              </c:numCache>
            </c:numRef>
          </c:yVal>
          <c:smooth val="1"/>
          <c:extLst>
            <c:ext xmlns:c16="http://schemas.microsoft.com/office/drawing/2014/chart" uri="{C3380CC4-5D6E-409C-BE32-E72D297353CC}">
              <c16:uniqueId val="{00000016-64C8-46E7-8417-05DC731C65AA}"/>
            </c:ext>
          </c:extLst>
        </c:ser>
        <c:dLbls>
          <c:showLegendKey val="0"/>
          <c:showVal val="0"/>
          <c:showCatName val="0"/>
          <c:showSerName val="0"/>
          <c:showPercent val="0"/>
          <c:showBubbleSize val="0"/>
        </c:dLbls>
        <c:axId val="1297843279"/>
        <c:axId val="1297840879"/>
      </c:scatterChart>
      <c:valAx>
        <c:axId val="1297843279"/>
        <c:scaling>
          <c:orientation val="minMax"/>
          <c:max val="4.5000000000000012E-2"/>
          <c:min val="-4.5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5.000000000000001E-3"/>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(BSX)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9524</xdr:colOff>
      <xdr:row>2</xdr:row>
      <xdr:rowOff>9525</xdr:rowOff>
    </xdr:from>
    <xdr:to>
      <xdr:col>8</xdr:col>
      <xdr:colOff>4481</xdr:colOff>
      <xdr:row>8</xdr:row>
      <xdr:rowOff>0</xdr:rowOff>
    </xdr:to>
    <xdr:pic>
      <xdr:nvPicPr>
        <xdr:cNvPr id="3" name="Picture 2">
          <a:extLst>
            <a:ext uri="{FF2B5EF4-FFF2-40B4-BE49-F238E27FC236}">
              <a16:creationId xmlns:a16="http://schemas.microsoft.com/office/drawing/2014/main" id="{037BB309-EF11-F66B-F647-40C66400E248}"/>
            </a:ext>
          </a:extLst>
        </xdr:cNvPr>
        <xdr:cNvPicPr>
          <a:picLocks noChangeAspect="1"/>
        </xdr:cNvPicPr>
      </xdr:nvPicPr>
      <xdr:blipFill rotWithShape="1">
        <a:blip xmlns:r="http://schemas.openxmlformats.org/officeDocument/2006/relationships" r:embed="rId1"/>
        <a:srcRect t="4572" b="10843"/>
        <a:stretch>
          <a:fillRect/>
        </a:stretch>
      </xdr:blipFill>
      <xdr:spPr>
        <a:xfrm>
          <a:off x="3162299" y="390525"/>
          <a:ext cx="1819275" cy="1076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71</xdr:col>
      <xdr:colOff>0</xdr:colOff>
      <xdr:row>0</xdr:row>
      <xdr:rowOff>0</xdr:rowOff>
    </xdr:from>
    <xdr:to>
      <xdr:col>71</xdr:col>
      <xdr:colOff>0</xdr:colOff>
      <xdr:row>130</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4700825" y="0"/>
          <a:ext cx="0" cy="2377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0</xdr:colOff>
      <xdr:row>0</xdr:row>
      <xdr:rowOff>0</xdr:rowOff>
    </xdr:from>
    <xdr:to>
      <xdr:col>103</xdr:col>
      <xdr:colOff>0</xdr:colOff>
      <xdr:row>129</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129</xdr:row>
      <xdr:rowOff>190499</xdr:rowOff>
    </xdr:from>
    <xdr:to>
      <xdr:col>23</xdr:col>
      <xdr:colOff>0</xdr:colOff>
      <xdr:row>160</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166</xdr:row>
      <xdr:rowOff>0</xdr:rowOff>
    </xdr:from>
    <xdr:to>
      <xdr:col>23</xdr:col>
      <xdr:colOff>0</xdr:colOff>
      <xdr:row>194</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231</xdr:row>
      <xdr:rowOff>0</xdr:rowOff>
    </xdr:from>
    <xdr:to>
      <xdr:col>23</xdr:col>
      <xdr:colOff>0</xdr:colOff>
      <xdr:row>259</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199</xdr:row>
      <xdr:rowOff>0</xdr:rowOff>
    </xdr:from>
    <xdr:to>
      <xdr:col>23</xdr:col>
      <xdr:colOff>0</xdr:colOff>
      <xdr:row>227</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https://d.docs.live.net/Users/User/Desktop/Equity%20Research/Models/Health%20Care/MedTech/SYK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Y1" t="str">
            <v>Q1 2021</v>
          </cell>
          <cell r="BC1" t="str">
            <v>Q1 2022</v>
          </cell>
          <cell r="BG1" t="str">
            <v>Q1 2023</v>
          </cell>
          <cell r="BK1" t="str">
            <v>Q1 2024</v>
          </cell>
          <cell r="BO1" t="str">
            <v>Q1 2025</v>
          </cell>
        </row>
        <row r="4">
          <cell r="B4" t="str">
            <v>Instruments</v>
          </cell>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cell r="BP4"/>
          <cell r="BQ4"/>
        </row>
        <row r="5">
          <cell r="B5" t="str">
            <v>Endoscopy</v>
          </cell>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cell r="BP5"/>
          <cell r="BQ5"/>
        </row>
        <row r="6">
          <cell r="B6" t="str">
            <v>Medical</v>
          </cell>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cell r="BP6"/>
          <cell r="BQ6"/>
        </row>
        <row r="7">
          <cell r="B7" t="str">
            <v>Vascular</v>
          </cell>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cell r="BP7"/>
          <cell r="BQ7"/>
        </row>
        <row r="8">
          <cell r="B8" t="str">
            <v>Neuro Cranial</v>
          </cell>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cell r="BP8"/>
          <cell r="BQ8"/>
        </row>
        <row r="10">
          <cell r="B10" t="str">
            <v>Knees</v>
          </cell>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cell r="BP10"/>
          <cell r="BQ10"/>
        </row>
        <row r="11">
          <cell r="B11" t="str">
            <v>Hips</v>
          </cell>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cell r="BP11"/>
          <cell r="BQ11"/>
        </row>
        <row r="12">
          <cell r="B12" t="str">
            <v>Trauma and Extremities</v>
          </cell>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cell r="BP12"/>
          <cell r="BQ12"/>
        </row>
        <row r="13">
          <cell r="B13" t="str">
            <v>Spinal Implants</v>
          </cell>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cell r="BP13"/>
          <cell r="BQ13"/>
        </row>
        <row r="14">
          <cell r="B14" t="str">
            <v>Other</v>
          </cell>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cell r="BP14"/>
          <cell r="BQ14"/>
        </row>
      </sheetData>
      <sheetData sheetId="2">
        <row r="188">
          <cell r="I188" t="str">
            <v>Notes:</v>
          </cell>
          <cell r="J188" t="str">
            <v>[X]</v>
          </cell>
        </row>
        <row r="189">
          <cell r="J189" t="str">
            <v>[Y]</v>
          </cell>
        </row>
        <row r="190">
          <cell r="J190" t="str">
            <v>[Z]</v>
          </cell>
        </row>
        <row r="224">
          <cell r="I224" t="str">
            <v>Notes:</v>
          </cell>
          <cell r="J224" t="str">
            <v>[X]</v>
          </cell>
        </row>
        <row r="225">
          <cell r="J225" t="str">
            <v>[Y]</v>
          </cell>
        </row>
        <row r="226">
          <cell r="J226" t="str">
            <v>[Z]</v>
          </cell>
        </row>
        <row r="258">
          <cell r="J258" t="str">
            <v xml:space="preserve">The return distribution fits a Gaussian curve well, implying that daily change follows a roughly normal distribution </v>
          </cell>
        </row>
        <row r="259">
          <cell r="J259" t="str">
            <v xml:space="preserve">There is slight implied upside to mean 1-day returns </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row r="50">
          <cell r="AW50">
            <v>2543</v>
          </cell>
          <cell r="AX50">
            <v>2003</v>
          </cell>
          <cell r="AY50">
            <v>2659</v>
          </cell>
          <cell r="AZ50">
            <v>2708</v>
          </cell>
          <cell r="BA50">
            <v>2752</v>
          </cell>
          <cell r="BB50">
            <v>3077</v>
          </cell>
          <cell r="BC50">
            <v>2932</v>
          </cell>
          <cell r="BD50">
            <v>3127</v>
          </cell>
          <cell r="BE50">
            <v>3026</v>
          </cell>
          <cell r="BF50">
            <v>3244</v>
          </cell>
          <cell r="BG50">
            <v>3170</v>
          </cell>
          <cell r="BH50">
            <v>3242</v>
          </cell>
          <cell r="BI50">
            <v>3389</v>
          </cell>
          <cell r="BJ50">
            <v>3599</v>
          </cell>
          <cell r="BK50">
            <v>3527</v>
          </cell>
          <cell r="BL50">
            <v>3725</v>
          </cell>
          <cell r="BM50">
            <v>3857</v>
          </cell>
          <cell r="BN50">
            <v>4120</v>
          </cell>
          <cell r="BO50">
            <v>4209</v>
          </cell>
          <cell r="BP50">
            <v>4561</v>
          </cell>
          <cell r="BQ50">
            <v>4663</v>
          </cell>
        </row>
        <row r="70">
          <cell r="AW70">
            <v>11</v>
          </cell>
          <cell r="AX70">
            <v>-152</v>
          </cell>
          <cell r="AY70">
            <v>-169</v>
          </cell>
          <cell r="AZ70">
            <v>196</v>
          </cell>
          <cell r="BA70">
            <v>327</v>
          </cell>
          <cell r="BB70">
            <v>172</v>
          </cell>
          <cell r="BC70">
            <v>405</v>
          </cell>
          <cell r="BD70">
            <v>80</v>
          </cell>
          <cell r="BE70">
            <v>97</v>
          </cell>
          <cell r="BF70">
            <v>246</v>
          </cell>
          <cell r="BG70">
            <v>174</v>
          </cell>
          <cell r="BH70">
            <v>124</v>
          </cell>
          <cell r="BI70">
            <v>300</v>
          </cell>
          <cell r="BJ70">
            <v>261</v>
          </cell>
          <cell r="BK70">
            <v>504</v>
          </cell>
          <cell r="BL70">
            <v>504</v>
          </cell>
          <cell r="BM70">
            <v>495</v>
          </cell>
          <cell r="BN70">
            <v>324</v>
          </cell>
          <cell r="BO70">
            <v>468</v>
          </cell>
          <cell r="BP70">
            <v>565</v>
          </cell>
          <cell r="BQ70">
            <v>674</v>
          </cell>
        </row>
        <row r="115">
          <cell r="AZ115">
            <v>1.4515077424612877</v>
          </cell>
          <cell r="BA115">
            <v>1.3834364868847628</v>
          </cell>
          <cell r="BB115">
            <v>1.3083722072182666</v>
          </cell>
          <cell r="BC115">
            <v>1.1499254102436598</v>
          </cell>
          <cell r="BD115">
            <v>1.1015679850222326</v>
          </cell>
          <cell r="BE115">
            <v>0.77889564810481982</v>
          </cell>
          <cell r="BF115">
            <v>0.85784187483904195</v>
          </cell>
          <cell r="BG115">
            <v>0.94561848408002258</v>
          </cell>
          <cell r="BH115">
            <v>1.0236655272153563</v>
          </cell>
          <cell r="BI115">
            <v>0.89468528043105555</v>
          </cell>
          <cell r="BJ115">
            <v>0.79701885138097328</v>
          </cell>
          <cell r="BK115">
            <v>0.89561039528281283</v>
          </cell>
          <cell r="BL115">
            <v>0.8169841913254966</v>
          </cell>
          <cell r="BM115">
            <v>1.1438161106590725</v>
          </cell>
          <cell r="BN115">
            <v>1.144906743185079</v>
          </cell>
          <cell r="BO115">
            <v>1.016579259008628</v>
          </cell>
          <cell r="BP115">
            <v>0.64223194748358858</v>
          </cell>
          <cell r="BQ115">
            <v>0.88335310399367339</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conmed.com/" TargetMode="External"/><Relationship Id="rId2" Type="http://schemas.openxmlformats.org/officeDocument/2006/relationships/hyperlink" Target="000%20Med-Devices%20Master%20List%20000.xlsx" TargetMode="External"/><Relationship Id="rId1" Type="http://schemas.openxmlformats.org/officeDocument/2006/relationships/hyperlink" Target="https://app.godeltermina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tabSelected="1" zoomScale="85" zoomScaleNormal="85" workbookViewId="0">
      <selection activeCell="C4" sqref="C4"/>
    </sheetView>
  </sheetViews>
  <sheetFormatPr defaultColWidth="9.140625" defaultRowHeight="14.25"/>
  <cols>
    <col min="1" max="1" width="3.42578125" style="1" customWidth="1"/>
    <col min="2" max="4" width="11.5703125" style="1" customWidth="1"/>
    <col min="5" max="16384" width="9.140625" style="1"/>
  </cols>
  <sheetData>
    <row r="1" spans="1:18" ht="15">
      <c r="A1" s="65" t="s">
        <v>0</v>
      </c>
    </row>
    <row r="2" spans="1:18" ht="15">
      <c r="B2" s="2" t="s">
        <v>242</v>
      </c>
    </row>
    <row r="3" spans="1:18">
      <c r="B3" s="1" t="s">
        <v>1</v>
      </c>
      <c r="C3" s="44">
        <v>50.01</v>
      </c>
      <c r="D3" s="43" t="s">
        <v>244</v>
      </c>
    </row>
    <row r="4" spans="1:18">
      <c r="B4" s="1" t="s">
        <v>2</v>
      </c>
      <c r="C4" s="45">
        <v>30.954000000000001</v>
      </c>
      <c r="D4" s="1" t="s">
        <v>238</v>
      </c>
    </row>
    <row r="5" spans="1:18">
      <c r="B5" s="1" t="s">
        <v>3</v>
      </c>
      <c r="C5" s="46">
        <f>C3*C4</f>
        <v>1548.00954</v>
      </c>
    </row>
    <row r="6" spans="1:18">
      <c r="B6" s="1" t="s">
        <v>4</v>
      </c>
      <c r="C6" s="47">
        <v>33.93</v>
      </c>
      <c r="D6" s="1" t="s">
        <v>238</v>
      </c>
    </row>
    <row r="7" spans="1:18">
      <c r="B7" s="1" t="s">
        <v>5</v>
      </c>
      <c r="C7" s="47">
        <v>881</v>
      </c>
      <c r="D7" s="1" t="s">
        <v>238</v>
      </c>
    </row>
    <row r="8" spans="1:18">
      <c r="B8" s="1" t="s">
        <v>6</v>
      </c>
      <c r="C8" s="47">
        <f>C5-C6+C7</f>
        <v>2395.0795399999997</v>
      </c>
    </row>
    <row r="10" spans="1:18" ht="15">
      <c r="B10" s="2" t="s">
        <v>243</v>
      </c>
    </row>
    <row r="12" spans="1:18" ht="15">
      <c r="B12" s="1" t="s">
        <v>256</v>
      </c>
      <c r="F12" s="1" t="s">
        <v>246</v>
      </c>
      <c r="N12" s="1" t="s">
        <v>218</v>
      </c>
      <c r="Q12" s="2"/>
    </row>
    <row r="13" spans="1:18">
      <c r="B13" s="1" t="s">
        <v>257</v>
      </c>
      <c r="F13" s="1" t="s">
        <v>213</v>
      </c>
      <c r="G13" s="1" t="s">
        <v>247</v>
      </c>
      <c r="N13" s="1" t="s">
        <v>8</v>
      </c>
      <c r="Q13" s="48" t="s">
        <v>249</v>
      </c>
    </row>
    <row r="14" spans="1:18" ht="15">
      <c r="B14" s="1" t="s">
        <v>258</v>
      </c>
      <c r="F14" s="1" t="s">
        <v>7</v>
      </c>
      <c r="N14" s="1" t="s">
        <v>223</v>
      </c>
      <c r="Q14" s="65" t="s">
        <v>250</v>
      </c>
    </row>
    <row r="15" spans="1:18">
      <c r="B15" s="1" t="s">
        <v>259</v>
      </c>
      <c r="F15" s="1" t="s">
        <v>214</v>
      </c>
      <c r="O15" s="1" t="s">
        <v>222</v>
      </c>
      <c r="R15" s="48" t="s">
        <v>251</v>
      </c>
    </row>
    <row r="16" spans="1:18">
      <c r="B16" s="1" t="s">
        <v>260</v>
      </c>
      <c r="F16" s="1" t="s">
        <v>206</v>
      </c>
      <c r="G16" s="1" t="s">
        <v>248</v>
      </c>
      <c r="I16" s="1" t="s">
        <v>207</v>
      </c>
      <c r="N16" s="1" t="s">
        <v>210</v>
      </c>
      <c r="Q16" s="48" t="s">
        <v>252</v>
      </c>
    </row>
    <row r="17" spans="1:17">
      <c r="B17" s="1" t="s">
        <v>261</v>
      </c>
      <c r="N17" s="1" t="s">
        <v>211</v>
      </c>
      <c r="Q17" s="48" t="s">
        <v>253</v>
      </c>
    </row>
    <row r="18" spans="1:17">
      <c r="B18" s="1" t="s">
        <v>262</v>
      </c>
      <c r="N18" s="1" t="s">
        <v>224</v>
      </c>
      <c r="Q18" s="48" t="s">
        <v>254</v>
      </c>
    </row>
    <row r="19" spans="1:17">
      <c r="B19" s="1" t="s">
        <v>263</v>
      </c>
      <c r="N19" s="1" t="s">
        <v>225</v>
      </c>
      <c r="Q19" s="48" t="s">
        <v>255</v>
      </c>
    </row>
    <row r="20" spans="1:17">
      <c r="B20" s="1" t="s">
        <v>245</v>
      </c>
      <c r="N20" s="1" t="s">
        <v>9</v>
      </c>
      <c r="Q20" s="48" t="s">
        <v>212</v>
      </c>
    </row>
    <row r="21" spans="1:17" ht="15">
      <c r="N21" s="2"/>
    </row>
    <row r="24" spans="1:17" ht="15">
      <c r="A24" s="2" t="s">
        <v>10</v>
      </c>
    </row>
    <row r="25" spans="1:17">
      <c r="B25" s="1" t="s">
        <v>264</v>
      </c>
    </row>
    <row r="26" spans="1:17">
      <c r="C26" s="1" t="s">
        <v>274</v>
      </c>
    </row>
    <row r="27" spans="1:17">
      <c r="B27" s="1" t="s">
        <v>265</v>
      </c>
    </row>
    <row r="28" spans="1:17">
      <c r="C28" s="1" t="s">
        <v>266</v>
      </c>
    </row>
    <row r="29" spans="1:17">
      <c r="B29" s="1" t="s">
        <v>267</v>
      </c>
    </row>
    <row r="30" spans="1:17">
      <c r="C30" s="1" t="s">
        <v>268</v>
      </c>
    </row>
    <row r="31" spans="1:17">
      <c r="B31" s="1" t="s">
        <v>269</v>
      </c>
    </row>
    <row r="32" spans="1:17">
      <c r="C32" s="1" t="s">
        <v>270</v>
      </c>
    </row>
    <row r="33" spans="1:3">
      <c r="C33" s="1" t="s">
        <v>271</v>
      </c>
    </row>
    <row r="34" spans="1:3">
      <c r="B34" s="1" t="s">
        <v>272</v>
      </c>
    </row>
    <row r="35" spans="1:3">
      <c r="C35" s="1" t="s">
        <v>273</v>
      </c>
    </row>
    <row r="36" spans="1:3">
      <c r="B36" s="1" t="s">
        <v>275</v>
      </c>
    </row>
    <row r="38" spans="1:3" ht="15">
      <c r="A38" s="2" t="s">
        <v>215</v>
      </c>
    </row>
    <row r="39" spans="1:3">
      <c r="B39" s="1" t="s">
        <v>216</v>
      </c>
    </row>
  </sheetData>
  <hyperlinks>
    <hyperlink ref="Q20" r:id="rId1" xr:uid="{14375537-5C3D-4253-9650-337AB6789785}"/>
    <hyperlink ref="A1" r:id="rId2" xr:uid="{9A0ACF37-9E15-4DC6-8474-1CE72A329014}"/>
    <hyperlink ref="Q14" r:id="rId3" xr:uid="{198AEC22-2074-4AD5-A884-FF9C488819F6}"/>
  </hyperlinks>
  <pageMargins left="0.7" right="0.7" top="0.75" bottom="0.75" header="0.3" footer="0.3"/>
  <ignoredErrors>
    <ignoredError sqref="D3" twoDigitTextYear="1"/>
  </ignoredError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J122"/>
  <sheetViews>
    <sheetView zoomScale="85" zoomScaleNormal="85" workbookViewId="0">
      <pane xSplit="2" ySplit="3" topLeftCell="CG45" activePane="bottomRight" state="frozen"/>
      <selection pane="topRight" activeCell="C1" sqref="C1"/>
      <selection pane="bottomLeft" activeCell="A4" sqref="A4"/>
      <selection pane="bottomRight" activeCell="DI80" sqref="DI80"/>
    </sheetView>
  </sheetViews>
  <sheetFormatPr defaultColWidth="9.140625" defaultRowHeight="14.25"/>
  <cols>
    <col min="1" max="1" width="3.140625" style="1" customWidth="1"/>
    <col min="2" max="2" width="36.42578125" style="1" customWidth="1"/>
    <col min="3" max="4" width="9.140625" style="1" customWidth="1"/>
    <col min="5" max="71" width="9.140625" style="1"/>
    <col min="72" max="78" width="9.140625" style="35"/>
    <col min="79" max="103" width="9.140625" style="1"/>
    <col min="104" max="165" width="9.140625" style="35"/>
    <col min="166" max="16384" width="9.140625" style="1"/>
  </cols>
  <sheetData>
    <row r="1" spans="2:166" ht="15">
      <c r="B1" s="1" t="s">
        <v>125</v>
      </c>
      <c r="AY1" s="33" t="s">
        <v>97</v>
      </c>
      <c r="BC1" s="33" t="s">
        <v>101</v>
      </c>
      <c r="BG1" s="33" t="s">
        <v>105</v>
      </c>
      <c r="BK1" s="33" t="s">
        <v>109</v>
      </c>
      <c r="BO1" s="33" t="s">
        <v>113</v>
      </c>
      <c r="BS1" s="33" t="s">
        <v>117</v>
      </c>
    </row>
    <row r="2" spans="2:166">
      <c r="B2" s="1" t="s">
        <v>126</v>
      </c>
    </row>
    <row r="3" spans="2:166" ht="15">
      <c r="B3" s="2" t="s">
        <v>127</v>
      </c>
      <c r="C3" s="2" t="s">
        <v>129</v>
      </c>
      <c r="D3" s="33" t="s">
        <v>51</v>
      </c>
      <c r="E3" s="33" t="s">
        <v>52</v>
      </c>
      <c r="F3" s="33" t="s">
        <v>130</v>
      </c>
      <c r="G3" s="33" t="s">
        <v>53</v>
      </c>
      <c r="H3" s="33" t="s">
        <v>54</v>
      </c>
      <c r="I3" s="33" t="s">
        <v>55</v>
      </c>
      <c r="J3" s="33" t="s">
        <v>56</v>
      </c>
      <c r="K3" s="33" t="s">
        <v>57</v>
      </c>
      <c r="L3" s="33" t="s">
        <v>58</v>
      </c>
      <c r="M3" s="33" t="s">
        <v>59</v>
      </c>
      <c r="N3" s="33" t="s">
        <v>60</v>
      </c>
      <c r="O3" s="33" t="s">
        <v>61</v>
      </c>
      <c r="P3" s="33" t="s">
        <v>62</v>
      </c>
      <c r="Q3" s="33" t="s">
        <v>63</v>
      </c>
      <c r="R3" s="33" t="s">
        <v>64</v>
      </c>
      <c r="S3" s="33" t="s">
        <v>65</v>
      </c>
      <c r="T3" s="33" t="s">
        <v>66</v>
      </c>
      <c r="U3" s="33" t="s">
        <v>67</v>
      </c>
      <c r="V3" s="33" t="s">
        <v>68</v>
      </c>
      <c r="W3" s="33" t="s">
        <v>69</v>
      </c>
      <c r="X3" s="33" t="s">
        <v>70</v>
      </c>
      <c r="Y3" s="33" t="s">
        <v>71</v>
      </c>
      <c r="Z3" s="33" t="s">
        <v>72</v>
      </c>
      <c r="AA3" s="33" t="s">
        <v>73</v>
      </c>
      <c r="AB3" s="33" t="s">
        <v>74</v>
      </c>
      <c r="AC3" s="33" t="s">
        <v>75</v>
      </c>
      <c r="AD3" s="33" t="s">
        <v>76</v>
      </c>
      <c r="AE3" s="33" t="s">
        <v>77</v>
      </c>
      <c r="AF3" s="33" t="s">
        <v>78</v>
      </c>
      <c r="AG3" s="33" t="s">
        <v>79</v>
      </c>
      <c r="AH3" s="33" t="s">
        <v>80</v>
      </c>
      <c r="AI3" s="33" t="s">
        <v>81</v>
      </c>
      <c r="AJ3" s="33" t="s">
        <v>82</v>
      </c>
      <c r="AK3" s="33" t="s">
        <v>83</v>
      </c>
      <c r="AL3" s="33" t="s">
        <v>84</v>
      </c>
      <c r="AM3" s="33" t="s">
        <v>85</v>
      </c>
      <c r="AN3" s="33" t="s">
        <v>86</v>
      </c>
      <c r="AO3" s="33" t="s">
        <v>87</v>
      </c>
      <c r="AP3" s="33" t="s">
        <v>88</v>
      </c>
      <c r="AQ3" s="33" t="s">
        <v>89</v>
      </c>
      <c r="AR3" s="33" t="s">
        <v>90</v>
      </c>
      <c r="AS3" s="33" t="s">
        <v>91</v>
      </c>
      <c r="AT3" s="33" t="s">
        <v>92</v>
      </c>
      <c r="AU3" s="33" t="s">
        <v>93</v>
      </c>
      <c r="AV3" s="33" t="s">
        <v>94</v>
      </c>
      <c r="AW3" s="33" t="s">
        <v>95</v>
      </c>
      <c r="AX3" s="33" t="s">
        <v>96</v>
      </c>
      <c r="AY3" s="33" t="s">
        <v>97</v>
      </c>
      <c r="AZ3" s="33" t="s">
        <v>98</v>
      </c>
      <c r="BA3" s="33" t="s">
        <v>99</v>
      </c>
      <c r="BB3" s="33" t="s">
        <v>100</v>
      </c>
      <c r="BC3" s="33" t="s">
        <v>101</v>
      </c>
      <c r="BD3" s="33" t="s">
        <v>102</v>
      </c>
      <c r="BE3" s="33" t="s">
        <v>103</v>
      </c>
      <c r="BF3" s="33" t="s">
        <v>104</v>
      </c>
      <c r="BG3" s="33" t="s">
        <v>105</v>
      </c>
      <c r="BH3" s="33" t="s">
        <v>106</v>
      </c>
      <c r="BI3" s="33" t="s">
        <v>107</v>
      </c>
      <c r="BJ3" s="33" t="s">
        <v>108</v>
      </c>
      <c r="BK3" s="33" t="s">
        <v>109</v>
      </c>
      <c r="BL3" s="33" t="s">
        <v>110</v>
      </c>
      <c r="BM3" s="33" t="s">
        <v>111</v>
      </c>
      <c r="BN3" s="33" t="s">
        <v>112</v>
      </c>
      <c r="BO3" s="33" t="s">
        <v>113</v>
      </c>
      <c r="BP3" s="33" t="s">
        <v>114</v>
      </c>
      <c r="BQ3" s="33" t="s">
        <v>115</v>
      </c>
      <c r="BR3" s="33" t="s">
        <v>116</v>
      </c>
      <c r="BS3" s="33" t="s">
        <v>117</v>
      </c>
      <c r="BT3" s="34" t="s">
        <v>118</v>
      </c>
      <c r="BU3" s="34" t="s">
        <v>119</v>
      </c>
      <c r="BV3" s="34" t="s">
        <v>120</v>
      </c>
      <c r="BW3" s="34" t="s">
        <v>121</v>
      </c>
      <c r="BX3" s="34" t="s">
        <v>122</v>
      </c>
      <c r="BY3" s="34" t="s">
        <v>123</v>
      </c>
      <c r="BZ3" s="34" t="s">
        <v>124</v>
      </c>
      <c r="CI3" s="2">
        <v>2008</v>
      </c>
      <c r="CJ3" s="2">
        <f>CI3+1</f>
        <v>2009</v>
      </c>
      <c r="CK3" s="2">
        <f t="shared" ref="CK3:EV3" si="0">CJ3+1</f>
        <v>2010</v>
      </c>
      <c r="CL3" s="2">
        <f t="shared" si="0"/>
        <v>2011</v>
      </c>
      <c r="CM3" s="2">
        <f t="shared" si="0"/>
        <v>2012</v>
      </c>
      <c r="CN3" s="2">
        <f t="shared" si="0"/>
        <v>2013</v>
      </c>
      <c r="CO3" s="2">
        <f t="shared" si="0"/>
        <v>2014</v>
      </c>
      <c r="CP3" s="2">
        <f t="shared" si="0"/>
        <v>2015</v>
      </c>
      <c r="CQ3" s="2">
        <f t="shared" si="0"/>
        <v>2016</v>
      </c>
      <c r="CR3" s="2">
        <f t="shared" si="0"/>
        <v>2017</v>
      </c>
      <c r="CS3" s="2">
        <f t="shared" si="0"/>
        <v>2018</v>
      </c>
      <c r="CT3" s="2">
        <f t="shared" si="0"/>
        <v>2019</v>
      </c>
      <c r="CU3" s="2">
        <f t="shared" si="0"/>
        <v>2020</v>
      </c>
      <c r="CV3" s="2">
        <f t="shared" si="0"/>
        <v>2021</v>
      </c>
      <c r="CW3" s="2">
        <f t="shared" si="0"/>
        <v>2022</v>
      </c>
      <c r="CX3" s="2">
        <f t="shared" si="0"/>
        <v>2023</v>
      </c>
      <c r="CY3" s="2">
        <f t="shared" si="0"/>
        <v>2024</v>
      </c>
      <c r="CZ3" s="34">
        <f t="shared" si="0"/>
        <v>2025</v>
      </c>
      <c r="DA3" s="34">
        <f t="shared" si="0"/>
        <v>2026</v>
      </c>
      <c r="DB3" s="34">
        <f t="shared" si="0"/>
        <v>2027</v>
      </c>
      <c r="DC3" s="34">
        <f t="shared" si="0"/>
        <v>2028</v>
      </c>
      <c r="DD3" s="34">
        <f t="shared" si="0"/>
        <v>2029</v>
      </c>
      <c r="DE3" s="34">
        <f t="shared" si="0"/>
        <v>2030</v>
      </c>
      <c r="DF3" s="34">
        <f t="shared" si="0"/>
        <v>2031</v>
      </c>
      <c r="DG3" s="34">
        <f t="shared" si="0"/>
        <v>2032</v>
      </c>
      <c r="DH3" s="34">
        <f t="shared" si="0"/>
        <v>2033</v>
      </c>
      <c r="DI3" s="34">
        <f t="shared" si="0"/>
        <v>2034</v>
      </c>
      <c r="DJ3" s="34">
        <f t="shared" si="0"/>
        <v>2035</v>
      </c>
      <c r="DK3" s="34">
        <f t="shared" si="0"/>
        <v>2036</v>
      </c>
      <c r="DL3" s="34">
        <f t="shared" si="0"/>
        <v>2037</v>
      </c>
      <c r="DM3" s="34">
        <f t="shared" si="0"/>
        <v>2038</v>
      </c>
      <c r="DN3" s="34">
        <f t="shared" si="0"/>
        <v>2039</v>
      </c>
      <c r="DO3" s="34">
        <f t="shared" si="0"/>
        <v>2040</v>
      </c>
      <c r="DP3" s="34">
        <f t="shared" si="0"/>
        <v>2041</v>
      </c>
      <c r="DQ3" s="34">
        <f t="shared" si="0"/>
        <v>2042</v>
      </c>
      <c r="DR3" s="34">
        <f t="shared" si="0"/>
        <v>2043</v>
      </c>
      <c r="DS3" s="34">
        <f t="shared" si="0"/>
        <v>2044</v>
      </c>
      <c r="DT3" s="34">
        <f t="shared" si="0"/>
        <v>2045</v>
      </c>
      <c r="DU3" s="34">
        <f t="shared" si="0"/>
        <v>2046</v>
      </c>
      <c r="DV3" s="34">
        <f t="shared" si="0"/>
        <v>2047</v>
      </c>
      <c r="DW3" s="34">
        <f t="shared" si="0"/>
        <v>2048</v>
      </c>
      <c r="DX3" s="34">
        <f t="shared" si="0"/>
        <v>2049</v>
      </c>
      <c r="DY3" s="34">
        <f t="shared" si="0"/>
        <v>2050</v>
      </c>
      <c r="DZ3" s="34">
        <f t="shared" si="0"/>
        <v>2051</v>
      </c>
      <c r="EA3" s="34">
        <f t="shared" si="0"/>
        <v>2052</v>
      </c>
      <c r="EB3" s="34">
        <f t="shared" si="0"/>
        <v>2053</v>
      </c>
      <c r="EC3" s="34">
        <f t="shared" si="0"/>
        <v>2054</v>
      </c>
      <c r="ED3" s="34">
        <f t="shared" si="0"/>
        <v>2055</v>
      </c>
      <c r="EE3" s="34">
        <f t="shared" si="0"/>
        <v>2056</v>
      </c>
      <c r="EF3" s="34">
        <f t="shared" si="0"/>
        <v>2057</v>
      </c>
      <c r="EG3" s="34">
        <f t="shared" si="0"/>
        <v>2058</v>
      </c>
      <c r="EH3" s="34">
        <f t="shared" si="0"/>
        <v>2059</v>
      </c>
      <c r="EI3" s="34">
        <f t="shared" si="0"/>
        <v>2060</v>
      </c>
      <c r="EJ3" s="34">
        <f t="shared" si="0"/>
        <v>2061</v>
      </c>
      <c r="EK3" s="34">
        <f t="shared" si="0"/>
        <v>2062</v>
      </c>
      <c r="EL3" s="34">
        <f t="shared" si="0"/>
        <v>2063</v>
      </c>
      <c r="EM3" s="34">
        <f t="shared" si="0"/>
        <v>2064</v>
      </c>
      <c r="EN3" s="34">
        <f t="shared" si="0"/>
        <v>2065</v>
      </c>
      <c r="EO3" s="34">
        <f t="shared" si="0"/>
        <v>2066</v>
      </c>
      <c r="EP3" s="34">
        <f t="shared" si="0"/>
        <v>2067</v>
      </c>
      <c r="EQ3" s="34">
        <f t="shared" si="0"/>
        <v>2068</v>
      </c>
      <c r="ER3" s="34">
        <f t="shared" si="0"/>
        <v>2069</v>
      </c>
      <c r="ES3" s="34">
        <f t="shared" si="0"/>
        <v>2070</v>
      </c>
      <c r="ET3" s="34">
        <f t="shared" si="0"/>
        <v>2071</v>
      </c>
      <c r="EU3" s="34">
        <f t="shared" si="0"/>
        <v>2072</v>
      </c>
      <c r="EV3" s="34">
        <f t="shared" si="0"/>
        <v>2073</v>
      </c>
      <c r="EW3" s="34">
        <f t="shared" ref="EW3:FG3" si="1">EV3+1</f>
        <v>2074</v>
      </c>
      <c r="EX3" s="34">
        <f t="shared" si="1"/>
        <v>2075</v>
      </c>
      <c r="EY3" s="34">
        <f t="shared" si="1"/>
        <v>2076</v>
      </c>
      <c r="EZ3" s="34">
        <f t="shared" si="1"/>
        <v>2077</v>
      </c>
      <c r="FA3" s="34">
        <f t="shared" si="1"/>
        <v>2078</v>
      </c>
      <c r="FB3" s="34">
        <f t="shared" si="1"/>
        <v>2079</v>
      </c>
      <c r="FC3" s="34">
        <f t="shared" si="1"/>
        <v>2080</v>
      </c>
      <c r="FD3" s="34">
        <f t="shared" si="1"/>
        <v>2081</v>
      </c>
      <c r="FE3" s="34">
        <f t="shared" si="1"/>
        <v>2082</v>
      </c>
      <c r="FF3" s="34">
        <f t="shared" si="1"/>
        <v>2083</v>
      </c>
      <c r="FG3" s="34">
        <f t="shared" si="1"/>
        <v>2084</v>
      </c>
      <c r="FH3" s="34"/>
      <c r="FI3" s="34"/>
      <c r="FJ3" s="2"/>
    </row>
    <row r="4" spans="2:166">
      <c r="B4" s="36" t="s">
        <v>132</v>
      </c>
      <c r="CI4" s="1">
        <f>SUM(C4:F4)</f>
        <v>0</v>
      </c>
      <c r="CJ4" s="1">
        <f>SUM(G4:J4)</f>
        <v>0</v>
      </c>
      <c r="CK4" s="1">
        <f>SUM(K4:N4)</f>
        <v>0</v>
      </c>
      <c r="CL4" s="1">
        <f>SUM(O4:R4)</f>
        <v>0</v>
      </c>
      <c r="CM4" s="1">
        <f>SUM(S4:V4)</f>
        <v>0</v>
      </c>
      <c r="CN4" s="1">
        <f>SUM(W4:Z4)</f>
        <v>0</v>
      </c>
      <c r="CO4" s="1">
        <f>SUM(AA4:AD4)</f>
        <v>0</v>
      </c>
      <c r="CP4" s="1">
        <f>SUM(AE4:AH4)</f>
        <v>0</v>
      </c>
      <c r="CQ4" s="1">
        <f>SUM(AI4:AL4)</f>
        <v>0</v>
      </c>
      <c r="CR4" s="1">
        <f>SUM(AM4:AP4)</f>
        <v>0</v>
      </c>
      <c r="CS4" s="1">
        <f>SUM(AQ4:AT4)</f>
        <v>0</v>
      </c>
      <c r="CT4" s="1">
        <f>SUM(AU4:AX4)</f>
        <v>0</v>
      </c>
      <c r="CU4" s="1">
        <f>SUM(AY4:BB4)</f>
        <v>0</v>
      </c>
      <c r="CV4" s="1">
        <f>SUM(BC4:BF4)</f>
        <v>0</v>
      </c>
      <c r="CW4" s="1">
        <f>SUM(BG4:BJ4)</f>
        <v>0</v>
      </c>
      <c r="CX4" s="1">
        <f>SUM(BK4:BN4)</f>
        <v>0</v>
      </c>
      <c r="CY4" s="1">
        <f>SUM(BO4:BR4)</f>
        <v>0</v>
      </c>
      <c r="CZ4" s="35">
        <f t="shared" ref="CZ4:DI4" si="2">CY4*(1+CZ16)</f>
        <v>0</v>
      </c>
      <c r="DA4" s="35">
        <f t="shared" si="2"/>
        <v>0</v>
      </c>
      <c r="DB4" s="35">
        <f t="shared" si="2"/>
        <v>0</v>
      </c>
      <c r="DC4" s="35">
        <f t="shared" si="2"/>
        <v>0</v>
      </c>
      <c r="DD4" s="35">
        <f t="shared" si="2"/>
        <v>0</v>
      </c>
      <c r="DE4" s="35">
        <f t="shared" si="2"/>
        <v>0</v>
      </c>
      <c r="DF4" s="35">
        <f t="shared" si="2"/>
        <v>0</v>
      </c>
      <c r="DG4" s="35">
        <f t="shared" si="2"/>
        <v>0</v>
      </c>
      <c r="DH4" s="35">
        <f t="shared" si="2"/>
        <v>0</v>
      </c>
      <c r="DI4" s="35">
        <f t="shared" si="2"/>
        <v>0</v>
      </c>
    </row>
    <row r="5" spans="2:166">
      <c r="B5" s="36" t="s">
        <v>133</v>
      </c>
      <c r="CI5" s="1">
        <f t="shared" ref="CI5:CI14" si="3">SUM(C5:F5)</f>
        <v>0</v>
      </c>
      <c r="CJ5" s="1">
        <f t="shared" ref="CJ5:CJ14" si="4">SUM(G5:J5)</f>
        <v>0</v>
      </c>
      <c r="CK5" s="1">
        <f t="shared" ref="CK5:CK14" si="5">SUM(K5:N5)</f>
        <v>0</v>
      </c>
      <c r="CL5" s="1">
        <f t="shared" ref="CL5:CL14" si="6">SUM(O5:R5)</f>
        <v>0</v>
      </c>
      <c r="CM5" s="1">
        <f t="shared" ref="CM5:CM14" si="7">SUM(S5:V5)</f>
        <v>0</v>
      </c>
      <c r="CN5" s="1">
        <f t="shared" ref="CN5:CN14" si="8">SUM(W5:Z5)</f>
        <v>0</v>
      </c>
      <c r="CO5" s="1">
        <f t="shared" ref="CO5:CO14" si="9">SUM(AA5:AD5)</f>
        <v>0</v>
      </c>
      <c r="CP5" s="1">
        <f t="shared" ref="CP5:CP14" si="10">SUM(AE5:AH5)</f>
        <v>0</v>
      </c>
      <c r="CQ5" s="1">
        <f t="shared" ref="CQ5:CQ14" si="11">SUM(AI5:AL5)</f>
        <v>0</v>
      </c>
      <c r="CR5" s="1">
        <f t="shared" ref="CR5:CR14" si="12">SUM(AM5:AP5)</f>
        <v>0</v>
      </c>
      <c r="CS5" s="1">
        <f t="shared" ref="CS5:CS14" si="13">SUM(AQ5:AT5)</f>
        <v>0</v>
      </c>
      <c r="CT5" s="1">
        <f t="shared" ref="CT5:CT14" si="14">SUM(AU5:AX5)</f>
        <v>0</v>
      </c>
      <c r="CU5" s="1">
        <f t="shared" ref="CU5:CU14" si="15">SUM(AY5:BB5)</f>
        <v>0</v>
      </c>
      <c r="CV5" s="1">
        <f t="shared" ref="CV5:CV14" si="16">SUM(BC5:BF5)</f>
        <v>0</v>
      </c>
      <c r="CW5" s="1">
        <f t="shared" ref="CW5:CW14" si="17">SUM(BG5:BJ5)</f>
        <v>0</v>
      </c>
      <c r="CX5" s="1">
        <f t="shared" ref="CX5:CX14" si="18">SUM(BK5:BN5)</f>
        <v>0</v>
      </c>
      <c r="CY5" s="1">
        <f t="shared" ref="CY5:CY14" si="19">SUM(BO5:BR5)</f>
        <v>0</v>
      </c>
      <c r="CZ5" s="35">
        <f t="shared" ref="CZ5:DI5" si="20">CY5*(1+CZ17)</f>
        <v>0</v>
      </c>
      <c r="DA5" s="35">
        <f t="shared" si="20"/>
        <v>0</v>
      </c>
      <c r="DB5" s="35">
        <f t="shared" si="20"/>
        <v>0</v>
      </c>
      <c r="DC5" s="35">
        <f t="shared" si="20"/>
        <v>0</v>
      </c>
      <c r="DD5" s="35">
        <f t="shared" si="20"/>
        <v>0</v>
      </c>
      <c r="DE5" s="35">
        <f t="shared" si="20"/>
        <v>0</v>
      </c>
      <c r="DF5" s="35">
        <f t="shared" si="20"/>
        <v>0</v>
      </c>
      <c r="DG5" s="35">
        <f t="shared" si="20"/>
        <v>0</v>
      </c>
      <c r="DH5" s="35">
        <f t="shared" si="20"/>
        <v>0</v>
      </c>
      <c r="DI5" s="35">
        <f t="shared" si="20"/>
        <v>0</v>
      </c>
    </row>
    <row r="6" spans="2:166">
      <c r="B6" s="36" t="s">
        <v>134</v>
      </c>
      <c r="CI6" s="1">
        <f t="shared" si="3"/>
        <v>0</v>
      </c>
      <c r="CJ6" s="1">
        <f t="shared" si="4"/>
        <v>0</v>
      </c>
      <c r="CK6" s="1">
        <f t="shared" si="5"/>
        <v>0</v>
      </c>
      <c r="CL6" s="1">
        <f t="shared" si="6"/>
        <v>0</v>
      </c>
      <c r="CM6" s="1">
        <f t="shared" si="7"/>
        <v>0</v>
      </c>
      <c r="CN6" s="1">
        <f t="shared" si="8"/>
        <v>0</v>
      </c>
      <c r="CO6" s="1">
        <f t="shared" si="9"/>
        <v>0</v>
      </c>
      <c r="CP6" s="1">
        <f t="shared" si="10"/>
        <v>0</v>
      </c>
      <c r="CQ6" s="1">
        <f t="shared" si="11"/>
        <v>0</v>
      </c>
      <c r="CR6" s="1">
        <f t="shared" si="12"/>
        <v>0</v>
      </c>
      <c r="CS6" s="1">
        <f t="shared" si="13"/>
        <v>0</v>
      </c>
      <c r="CT6" s="1">
        <f t="shared" si="14"/>
        <v>0</v>
      </c>
      <c r="CU6" s="1">
        <f t="shared" si="15"/>
        <v>0</v>
      </c>
      <c r="CV6" s="1">
        <f t="shared" si="16"/>
        <v>0</v>
      </c>
      <c r="CW6" s="1">
        <f t="shared" si="17"/>
        <v>0</v>
      </c>
      <c r="CX6" s="1">
        <f t="shared" si="18"/>
        <v>0</v>
      </c>
      <c r="CY6" s="1">
        <f t="shared" si="19"/>
        <v>0</v>
      </c>
      <c r="CZ6" s="35">
        <f t="shared" ref="CZ6:DI6" si="21">CY6*(1+CZ18)</f>
        <v>0</v>
      </c>
      <c r="DA6" s="35">
        <f t="shared" si="21"/>
        <v>0</v>
      </c>
      <c r="DB6" s="35">
        <f t="shared" si="21"/>
        <v>0</v>
      </c>
      <c r="DC6" s="35">
        <f t="shared" si="21"/>
        <v>0</v>
      </c>
      <c r="DD6" s="35">
        <f t="shared" si="21"/>
        <v>0</v>
      </c>
      <c r="DE6" s="35">
        <f t="shared" si="21"/>
        <v>0</v>
      </c>
      <c r="DF6" s="35">
        <f t="shared" si="21"/>
        <v>0</v>
      </c>
      <c r="DG6" s="35">
        <f t="shared" si="21"/>
        <v>0</v>
      </c>
      <c r="DH6" s="35">
        <f t="shared" si="21"/>
        <v>0</v>
      </c>
      <c r="DI6" s="35">
        <f t="shared" si="21"/>
        <v>0</v>
      </c>
    </row>
    <row r="7" spans="2:166">
      <c r="B7" s="36" t="s">
        <v>131</v>
      </c>
      <c r="CI7" s="1">
        <f t="shared" si="3"/>
        <v>0</v>
      </c>
      <c r="CJ7" s="1">
        <f t="shared" si="4"/>
        <v>0</v>
      </c>
      <c r="CK7" s="1">
        <f t="shared" si="5"/>
        <v>0</v>
      </c>
      <c r="CL7" s="1">
        <f t="shared" si="6"/>
        <v>0</v>
      </c>
      <c r="CM7" s="1">
        <f t="shared" si="7"/>
        <v>0</v>
      </c>
      <c r="CN7" s="1">
        <f t="shared" si="8"/>
        <v>0</v>
      </c>
      <c r="CO7" s="1">
        <f t="shared" si="9"/>
        <v>0</v>
      </c>
      <c r="CP7" s="1">
        <f t="shared" si="10"/>
        <v>0</v>
      </c>
      <c r="CQ7" s="1">
        <f t="shared" si="11"/>
        <v>0</v>
      </c>
      <c r="CR7" s="1">
        <f t="shared" si="12"/>
        <v>0</v>
      </c>
      <c r="CS7" s="1">
        <f t="shared" si="13"/>
        <v>0</v>
      </c>
      <c r="CT7" s="1">
        <f t="shared" si="14"/>
        <v>0</v>
      </c>
      <c r="CU7" s="1">
        <f t="shared" si="15"/>
        <v>0</v>
      </c>
      <c r="CV7" s="1">
        <f t="shared" si="16"/>
        <v>0</v>
      </c>
      <c r="CW7" s="1">
        <f t="shared" si="17"/>
        <v>0</v>
      </c>
      <c r="CX7" s="1">
        <f t="shared" si="18"/>
        <v>0</v>
      </c>
      <c r="CY7" s="1">
        <f t="shared" si="19"/>
        <v>0</v>
      </c>
      <c r="CZ7" s="35">
        <f t="shared" ref="CZ7:DI7" si="22">CY7*(1+CZ19)</f>
        <v>0</v>
      </c>
      <c r="DA7" s="35">
        <f t="shared" si="22"/>
        <v>0</v>
      </c>
      <c r="DB7" s="35">
        <f t="shared" si="22"/>
        <v>0</v>
      </c>
      <c r="DC7" s="35">
        <f t="shared" si="22"/>
        <v>0</v>
      </c>
      <c r="DD7" s="35">
        <f t="shared" si="22"/>
        <v>0</v>
      </c>
      <c r="DE7" s="35">
        <f t="shared" si="22"/>
        <v>0</v>
      </c>
      <c r="DF7" s="35">
        <f t="shared" si="22"/>
        <v>0</v>
      </c>
      <c r="DG7" s="35">
        <f t="shared" si="22"/>
        <v>0</v>
      </c>
      <c r="DH7" s="35">
        <f t="shared" si="22"/>
        <v>0</v>
      </c>
      <c r="DI7" s="35">
        <f t="shared" si="22"/>
        <v>0</v>
      </c>
    </row>
    <row r="8" spans="2:166">
      <c r="B8" s="36" t="s">
        <v>135</v>
      </c>
      <c r="CI8" s="1">
        <f t="shared" si="3"/>
        <v>0</v>
      </c>
      <c r="CJ8" s="1">
        <f t="shared" si="4"/>
        <v>0</v>
      </c>
      <c r="CK8" s="1">
        <f t="shared" si="5"/>
        <v>0</v>
      </c>
      <c r="CL8" s="1">
        <f t="shared" si="6"/>
        <v>0</v>
      </c>
      <c r="CM8" s="1">
        <f t="shared" si="7"/>
        <v>0</v>
      </c>
      <c r="CN8" s="1">
        <f t="shared" si="8"/>
        <v>0</v>
      </c>
      <c r="CO8" s="1">
        <f t="shared" si="9"/>
        <v>0</v>
      </c>
      <c r="CP8" s="1">
        <f t="shared" si="10"/>
        <v>0</v>
      </c>
      <c r="CQ8" s="1">
        <f t="shared" si="11"/>
        <v>0</v>
      </c>
      <c r="CR8" s="1">
        <f t="shared" si="12"/>
        <v>0</v>
      </c>
      <c r="CS8" s="1">
        <f t="shared" si="13"/>
        <v>0</v>
      </c>
      <c r="CT8" s="1">
        <f t="shared" si="14"/>
        <v>0</v>
      </c>
      <c r="CU8" s="1">
        <f t="shared" si="15"/>
        <v>0</v>
      </c>
      <c r="CV8" s="1">
        <f t="shared" si="16"/>
        <v>0</v>
      </c>
      <c r="CW8" s="1">
        <f t="shared" si="17"/>
        <v>0</v>
      </c>
      <c r="CX8" s="1">
        <f t="shared" si="18"/>
        <v>0</v>
      </c>
      <c r="CY8" s="1">
        <f t="shared" si="19"/>
        <v>0</v>
      </c>
      <c r="CZ8" s="35">
        <f t="shared" ref="CZ8:DI8" si="23">CY8*(1+CZ20)</f>
        <v>0</v>
      </c>
      <c r="DA8" s="35">
        <f t="shared" si="23"/>
        <v>0</v>
      </c>
      <c r="DB8" s="35">
        <f t="shared" si="23"/>
        <v>0</v>
      </c>
      <c r="DC8" s="35">
        <f t="shared" si="23"/>
        <v>0</v>
      </c>
      <c r="DD8" s="35">
        <f t="shared" si="23"/>
        <v>0</v>
      </c>
      <c r="DE8" s="35">
        <f t="shared" si="23"/>
        <v>0</v>
      </c>
      <c r="DF8" s="35">
        <f t="shared" si="23"/>
        <v>0</v>
      </c>
      <c r="DG8" s="35">
        <f t="shared" si="23"/>
        <v>0</v>
      </c>
      <c r="DH8" s="35">
        <f t="shared" si="23"/>
        <v>0</v>
      </c>
      <c r="DI8" s="35">
        <f t="shared" si="23"/>
        <v>0</v>
      </c>
    </row>
    <row r="9" spans="2:166">
      <c r="B9" s="36" t="s">
        <v>136</v>
      </c>
      <c r="CI9" s="1">
        <f t="shared" si="3"/>
        <v>0</v>
      </c>
      <c r="CJ9" s="1">
        <f t="shared" si="4"/>
        <v>0</v>
      </c>
      <c r="CK9" s="1">
        <f t="shared" si="5"/>
        <v>0</v>
      </c>
      <c r="CL9" s="1">
        <f t="shared" si="6"/>
        <v>0</v>
      </c>
      <c r="CM9" s="1">
        <f t="shared" si="7"/>
        <v>0</v>
      </c>
      <c r="CN9" s="1">
        <f t="shared" si="8"/>
        <v>0</v>
      </c>
      <c r="CO9" s="1">
        <f t="shared" si="9"/>
        <v>0</v>
      </c>
      <c r="CP9" s="1">
        <f t="shared" si="10"/>
        <v>0</v>
      </c>
      <c r="CQ9" s="1">
        <f t="shared" si="11"/>
        <v>0</v>
      </c>
      <c r="CR9" s="1">
        <f t="shared" si="12"/>
        <v>0</v>
      </c>
      <c r="CS9" s="1">
        <f t="shared" si="13"/>
        <v>0</v>
      </c>
      <c r="CT9" s="1">
        <f t="shared" si="14"/>
        <v>0</v>
      </c>
      <c r="CU9" s="1">
        <f t="shared" si="15"/>
        <v>0</v>
      </c>
      <c r="CV9" s="1">
        <f t="shared" si="16"/>
        <v>0</v>
      </c>
      <c r="CW9" s="1">
        <f t="shared" si="17"/>
        <v>0</v>
      </c>
      <c r="CX9" s="1">
        <f t="shared" si="18"/>
        <v>0</v>
      </c>
      <c r="CY9" s="1">
        <f t="shared" si="19"/>
        <v>0</v>
      </c>
      <c r="CZ9" s="35">
        <f t="shared" ref="CZ9:DI9" si="24">CY9*(1+CZ21)</f>
        <v>0</v>
      </c>
      <c r="DA9" s="35">
        <f t="shared" si="24"/>
        <v>0</v>
      </c>
      <c r="DB9" s="35">
        <f t="shared" si="24"/>
        <v>0</v>
      </c>
      <c r="DC9" s="35">
        <f t="shared" si="24"/>
        <v>0</v>
      </c>
      <c r="DD9" s="35">
        <f t="shared" si="24"/>
        <v>0</v>
      </c>
      <c r="DE9" s="35">
        <f t="shared" si="24"/>
        <v>0</v>
      </c>
      <c r="DF9" s="35">
        <f t="shared" si="24"/>
        <v>0</v>
      </c>
      <c r="DG9" s="35">
        <f t="shared" si="24"/>
        <v>0</v>
      </c>
      <c r="DH9" s="35">
        <f t="shared" si="24"/>
        <v>0</v>
      </c>
      <c r="DI9" s="35">
        <f t="shared" si="24"/>
        <v>0</v>
      </c>
    </row>
    <row r="10" spans="2:166">
      <c r="B10" s="36" t="s">
        <v>137</v>
      </c>
      <c r="CI10" s="1">
        <f t="shared" si="3"/>
        <v>0</v>
      </c>
      <c r="CJ10" s="1">
        <f t="shared" si="4"/>
        <v>0</v>
      </c>
      <c r="CK10" s="1">
        <f t="shared" si="5"/>
        <v>0</v>
      </c>
      <c r="CL10" s="1">
        <f t="shared" si="6"/>
        <v>0</v>
      </c>
      <c r="CM10" s="1">
        <f t="shared" si="7"/>
        <v>0</v>
      </c>
      <c r="CN10" s="1">
        <f t="shared" si="8"/>
        <v>0</v>
      </c>
      <c r="CO10" s="1">
        <f t="shared" si="9"/>
        <v>0</v>
      </c>
      <c r="CP10" s="1">
        <f t="shared" si="10"/>
        <v>0</v>
      </c>
      <c r="CQ10" s="1">
        <f t="shared" si="11"/>
        <v>0</v>
      </c>
      <c r="CR10" s="1">
        <f t="shared" si="12"/>
        <v>0</v>
      </c>
      <c r="CS10" s="1">
        <f t="shared" si="13"/>
        <v>0</v>
      </c>
      <c r="CT10" s="1">
        <f t="shared" si="14"/>
        <v>0</v>
      </c>
      <c r="CU10" s="1">
        <f t="shared" si="15"/>
        <v>0</v>
      </c>
      <c r="CV10" s="1">
        <f t="shared" si="16"/>
        <v>0</v>
      </c>
      <c r="CW10" s="1">
        <f t="shared" si="17"/>
        <v>0</v>
      </c>
      <c r="CX10" s="1">
        <f t="shared" si="18"/>
        <v>0</v>
      </c>
      <c r="CY10" s="1">
        <f t="shared" si="19"/>
        <v>0</v>
      </c>
      <c r="CZ10" s="35">
        <f t="shared" ref="CZ10:DI10" si="25">CY10*(1+CZ22)</f>
        <v>0</v>
      </c>
      <c r="DA10" s="35">
        <f t="shared" si="25"/>
        <v>0</v>
      </c>
      <c r="DB10" s="35">
        <f t="shared" si="25"/>
        <v>0</v>
      </c>
      <c r="DC10" s="35">
        <f t="shared" si="25"/>
        <v>0</v>
      </c>
      <c r="DD10" s="35">
        <f t="shared" si="25"/>
        <v>0</v>
      </c>
      <c r="DE10" s="35">
        <f t="shared" si="25"/>
        <v>0</v>
      </c>
      <c r="DF10" s="35">
        <f t="shared" si="25"/>
        <v>0</v>
      </c>
      <c r="DG10" s="35">
        <f t="shared" si="25"/>
        <v>0</v>
      </c>
      <c r="DH10" s="35">
        <f t="shared" si="25"/>
        <v>0</v>
      </c>
      <c r="DI10" s="35">
        <f t="shared" si="25"/>
        <v>0</v>
      </c>
    </row>
    <row r="11" spans="2:166">
      <c r="B11" s="36" t="s">
        <v>138</v>
      </c>
      <c r="CI11" s="1">
        <f t="shared" si="3"/>
        <v>0</v>
      </c>
      <c r="CJ11" s="1">
        <f t="shared" si="4"/>
        <v>0</v>
      </c>
      <c r="CK11" s="1">
        <f t="shared" si="5"/>
        <v>0</v>
      </c>
      <c r="CL11" s="1">
        <f t="shared" si="6"/>
        <v>0</v>
      </c>
      <c r="CM11" s="1">
        <f t="shared" si="7"/>
        <v>0</v>
      </c>
      <c r="CN11" s="1">
        <f t="shared" si="8"/>
        <v>0</v>
      </c>
      <c r="CO11" s="1">
        <f t="shared" si="9"/>
        <v>0</v>
      </c>
      <c r="CP11" s="1">
        <f t="shared" si="10"/>
        <v>0</v>
      </c>
      <c r="CQ11" s="1">
        <f t="shared" si="11"/>
        <v>0</v>
      </c>
      <c r="CR11" s="1">
        <f t="shared" si="12"/>
        <v>0</v>
      </c>
      <c r="CS11" s="1">
        <f t="shared" si="13"/>
        <v>0</v>
      </c>
      <c r="CT11" s="1">
        <f t="shared" si="14"/>
        <v>0</v>
      </c>
      <c r="CU11" s="1">
        <f t="shared" si="15"/>
        <v>0</v>
      </c>
      <c r="CV11" s="1">
        <f t="shared" si="16"/>
        <v>0</v>
      </c>
      <c r="CW11" s="1">
        <f t="shared" si="17"/>
        <v>0</v>
      </c>
      <c r="CX11" s="1">
        <f t="shared" si="18"/>
        <v>0</v>
      </c>
      <c r="CY11" s="1">
        <f t="shared" si="19"/>
        <v>0</v>
      </c>
      <c r="CZ11" s="35">
        <f t="shared" ref="CZ11:DI11" si="26">CY11*(1+CZ23)</f>
        <v>0</v>
      </c>
      <c r="DA11" s="35">
        <f t="shared" si="26"/>
        <v>0</v>
      </c>
      <c r="DB11" s="35">
        <f t="shared" si="26"/>
        <v>0</v>
      </c>
      <c r="DC11" s="35">
        <f t="shared" si="26"/>
        <v>0</v>
      </c>
      <c r="DD11" s="35">
        <f t="shared" si="26"/>
        <v>0</v>
      </c>
      <c r="DE11" s="35">
        <f t="shared" si="26"/>
        <v>0</v>
      </c>
      <c r="DF11" s="35">
        <f t="shared" si="26"/>
        <v>0</v>
      </c>
      <c r="DG11" s="35">
        <f t="shared" si="26"/>
        <v>0</v>
      </c>
      <c r="DH11" s="35">
        <f t="shared" si="26"/>
        <v>0</v>
      </c>
      <c r="DI11" s="35">
        <f t="shared" si="26"/>
        <v>0</v>
      </c>
    </row>
    <row r="12" spans="2:166">
      <c r="B12" s="36" t="s">
        <v>139</v>
      </c>
      <c r="C12" s="36"/>
      <c r="CI12" s="1">
        <f t="shared" si="3"/>
        <v>0</v>
      </c>
      <c r="CJ12" s="1">
        <f t="shared" si="4"/>
        <v>0</v>
      </c>
      <c r="CK12" s="1">
        <f t="shared" si="5"/>
        <v>0</v>
      </c>
      <c r="CL12" s="1">
        <f t="shared" si="6"/>
        <v>0</v>
      </c>
      <c r="CM12" s="1">
        <f t="shared" si="7"/>
        <v>0</v>
      </c>
      <c r="CN12" s="1">
        <f t="shared" si="8"/>
        <v>0</v>
      </c>
      <c r="CO12" s="1">
        <f t="shared" si="9"/>
        <v>0</v>
      </c>
      <c r="CP12" s="1">
        <f t="shared" si="10"/>
        <v>0</v>
      </c>
      <c r="CQ12" s="1">
        <f t="shared" si="11"/>
        <v>0</v>
      </c>
      <c r="CR12" s="1">
        <f t="shared" si="12"/>
        <v>0</v>
      </c>
      <c r="CS12" s="1">
        <f t="shared" si="13"/>
        <v>0</v>
      </c>
      <c r="CT12" s="1">
        <f t="shared" si="14"/>
        <v>0</v>
      </c>
      <c r="CU12" s="1">
        <f t="shared" si="15"/>
        <v>0</v>
      </c>
      <c r="CV12" s="1">
        <f t="shared" si="16"/>
        <v>0</v>
      </c>
      <c r="CW12" s="1">
        <f t="shared" si="17"/>
        <v>0</v>
      </c>
      <c r="CX12" s="1">
        <f t="shared" si="18"/>
        <v>0</v>
      </c>
      <c r="CY12" s="1">
        <f t="shared" si="19"/>
        <v>0</v>
      </c>
      <c r="CZ12" s="35">
        <f t="shared" ref="CZ12:DI12" si="27">CY12*(1+CZ24)</f>
        <v>0</v>
      </c>
      <c r="DA12" s="35">
        <f t="shared" si="27"/>
        <v>0</v>
      </c>
      <c r="DB12" s="35">
        <f t="shared" si="27"/>
        <v>0</v>
      </c>
      <c r="DC12" s="35">
        <f t="shared" si="27"/>
        <v>0</v>
      </c>
      <c r="DD12" s="35">
        <f t="shared" si="27"/>
        <v>0</v>
      </c>
      <c r="DE12" s="35">
        <f t="shared" si="27"/>
        <v>0</v>
      </c>
      <c r="DF12" s="35">
        <f t="shared" si="27"/>
        <v>0</v>
      </c>
      <c r="DG12" s="35">
        <f t="shared" si="27"/>
        <v>0</v>
      </c>
      <c r="DH12" s="35">
        <f t="shared" si="27"/>
        <v>0</v>
      </c>
      <c r="DI12" s="35">
        <f t="shared" si="27"/>
        <v>0</v>
      </c>
    </row>
    <row r="13" spans="2:166">
      <c r="B13" s="36" t="s">
        <v>140</v>
      </c>
      <c r="C13" s="36"/>
      <c r="CI13" s="1">
        <f t="shared" si="3"/>
        <v>0</v>
      </c>
      <c r="CJ13" s="1">
        <f t="shared" si="4"/>
        <v>0</v>
      </c>
      <c r="CK13" s="1">
        <f t="shared" si="5"/>
        <v>0</v>
      </c>
      <c r="CL13" s="1">
        <f t="shared" si="6"/>
        <v>0</v>
      </c>
      <c r="CM13" s="1">
        <f t="shared" si="7"/>
        <v>0</v>
      </c>
      <c r="CN13" s="1">
        <f t="shared" si="8"/>
        <v>0</v>
      </c>
      <c r="CO13" s="1">
        <f t="shared" si="9"/>
        <v>0</v>
      </c>
      <c r="CP13" s="1">
        <f t="shared" si="10"/>
        <v>0</v>
      </c>
      <c r="CQ13" s="1">
        <f t="shared" si="11"/>
        <v>0</v>
      </c>
      <c r="CR13" s="1">
        <f t="shared" si="12"/>
        <v>0</v>
      </c>
      <c r="CS13" s="1">
        <f t="shared" si="13"/>
        <v>0</v>
      </c>
      <c r="CT13" s="1">
        <f t="shared" si="14"/>
        <v>0</v>
      </c>
      <c r="CU13" s="1">
        <f t="shared" si="15"/>
        <v>0</v>
      </c>
      <c r="CV13" s="1">
        <f t="shared" si="16"/>
        <v>0</v>
      </c>
      <c r="CW13" s="1">
        <f t="shared" si="17"/>
        <v>0</v>
      </c>
      <c r="CX13" s="1">
        <f t="shared" si="18"/>
        <v>0</v>
      </c>
      <c r="CY13" s="1">
        <f t="shared" si="19"/>
        <v>0</v>
      </c>
      <c r="CZ13" s="35">
        <f t="shared" ref="CZ13:DI13" si="28">CY13*(1+CZ25)</f>
        <v>0</v>
      </c>
      <c r="DA13" s="35">
        <f t="shared" si="28"/>
        <v>0</v>
      </c>
      <c r="DB13" s="35">
        <f t="shared" si="28"/>
        <v>0</v>
      </c>
      <c r="DC13" s="35">
        <f t="shared" si="28"/>
        <v>0</v>
      </c>
      <c r="DD13" s="35">
        <f t="shared" si="28"/>
        <v>0</v>
      </c>
      <c r="DE13" s="35">
        <f t="shared" si="28"/>
        <v>0</v>
      </c>
      <c r="DF13" s="35">
        <f t="shared" si="28"/>
        <v>0</v>
      </c>
      <c r="DG13" s="35">
        <f t="shared" si="28"/>
        <v>0</v>
      </c>
      <c r="DH13" s="35">
        <f t="shared" si="28"/>
        <v>0</v>
      </c>
      <c r="DI13" s="35">
        <f t="shared" si="28"/>
        <v>0</v>
      </c>
    </row>
    <row r="14" spans="2:166" s="2" customFormat="1" ht="15">
      <c r="B14" s="33" t="s">
        <v>128</v>
      </c>
      <c r="C14" s="50"/>
      <c r="BT14" s="34"/>
      <c r="BU14" s="34"/>
      <c r="BV14" s="34"/>
      <c r="BW14" s="34"/>
      <c r="BX14" s="34"/>
      <c r="BY14" s="34"/>
      <c r="BZ14" s="34"/>
      <c r="CI14" s="2">
        <f t="shared" si="3"/>
        <v>0</v>
      </c>
      <c r="CJ14" s="2">
        <f t="shared" si="4"/>
        <v>0</v>
      </c>
      <c r="CK14" s="2">
        <f t="shared" si="5"/>
        <v>0</v>
      </c>
      <c r="CL14" s="2">
        <f t="shared" si="6"/>
        <v>0</v>
      </c>
      <c r="CM14" s="2">
        <f t="shared" si="7"/>
        <v>0</v>
      </c>
      <c r="CN14" s="2">
        <f t="shared" si="8"/>
        <v>0</v>
      </c>
      <c r="CO14" s="2">
        <f t="shared" si="9"/>
        <v>0</v>
      </c>
      <c r="CP14" s="2">
        <f t="shared" si="10"/>
        <v>0</v>
      </c>
      <c r="CQ14" s="2">
        <f t="shared" si="11"/>
        <v>0</v>
      </c>
      <c r="CR14" s="2">
        <f t="shared" si="12"/>
        <v>0</v>
      </c>
      <c r="CS14" s="2">
        <f t="shared" si="13"/>
        <v>0</v>
      </c>
      <c r="CT14" s="2">
        <f t="shared" si="14"/>
        <v>0</v>
      </c>
      <c r="CU14" s="2">
        <f t="shared" si="15"/>
        <v>0</v>
      </c>
      <c r="CV14" s="2">
        <f t="shared" si="16"/>
        <v>0</v>
      </c>
      <c r="CW14" s="2">
        <f t="shared" si="17"/>
        <v>0</v>
      </c>
      <c r="CX14" s="2">
        <f t="shared" si="18"/>
        <v>0</v>
      </c>
      <c r="CY14" s="2">
        <f t="shared" si="19"/>
        <v>0</v>
      </c>
      <c r="CZ14" s="34">
        <f>SUM(CZ4:CZ13)</f>
        <v>0</v>
      </c>
      <c r="DA14" s="34">
        <f t="shared" ref="DA14:DI14" si="29">SUM(DA4:DA13)</f>
        <v>0</v>
      </c>
      <c r="DB14" s="34">
        <f t="shared" si="29"/>
        <v>0</v>
      </c>
      <c r="DC14" s="34">
        <f t="shared" si="29"/>
        <v>0</v>
      </c>
      <c r="DD14" s="34">
        <f t="shared" si="29"/>
        <v>0</v>
      </c>
      <c r="DE14" s="34">
        <f t="shared" si="29"/>
        <v>0</v>
      </c>
      <c r="DF14" s="34">
        <f t="shared" si="29"/>
        <v>0</v>
      </c>
      <c r="DG14" s="34">
        <f t="shared" si="29"/>
        <v>0</v>
      </c>
      <c r="DH14" s="34">
        <f t="shared" si="29"/>
        <v>0</v>
      </c>
      <c r="DI14" s="34">
        <f t="shared" si="29"/>
        <v>0</v>
      </c>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row>
    <row r="15" spans="2:166">
      <c r="B15" s="36"/>
      <c r="C15" s="36"/>
    </row>
    <row r="16" spans="2:166">
      <c r="B16" s="37" t="s">
        <v>143</v>
      </c>
      <c r="CJ16" s="1" t="e">
        <f t="shared" ref="CJ16:CY16" si="30">CJ4/CI4-1</f>
        <v>#DIV/0!</v>
      </c>
      <c r="CK16" s="1" t="e">
        <f t="shared" si="30"/>
        <v>#DIV/0!</v>
      </c>
      <c r="CL16" s="1" t="e">
        <f t="shared" si="30"/>
        <v>#DIV/0!</v>
      </c>
      <c r="CM16" s="1" t="e">
        <f t="shared" si="30"/>
        <v>#DIV/0!</v>
      </c>
      <c r="CN16" s="1" t="e">
        <f t="shared" si="30"/>
        <v>#DIV/0!</v>
      </c>
      <c r="CO16" s="1" t="e">
        <f t="shared" si="30"/>
        <v>#DIV/0!</v>
      </c>
      <c r="CP16" s="1" t="e">
        <f t="shared" si="30"/>
        <v>#DIV/0!</v>
      </c>
      <c r="CQ16" s="1" t="e">
        <f t="shared" si="30"/>
        <v>#DIV/0!</v>
      </c>
      <c r="CR16" s="1" t="e">
        <f t="shared" si="30"/>
        <v>#DIV/0!</v>
      </c>
      <c r="CS16" s="1" t="e">
        <f t="shared" si="30"/>
        <v>#DIV/0!</v>
      </c>
      <c r="CT16" s="1" t="e">
        <f t="shared" si="30"/>
        <v>#DIV/0!</v>
      </c>
      <c r="CU16" s="1" t="e">
        <f t="shared" si="30"/>
        <v>#DIV/0!</v>
      </c>
      <c r="CV16" s="1" t="e">
        <f t="shared" si="30"/>
        <v>#DIV/0!</v>
      </c>
      <c r="CW16" s="1" t="e">
        <f t="shared" si="30"/>
        <v>#DIV/0!</v>
      </c>
      <c r="CX16" s="1" t="e">
        <f t="shared" si="30"/>
        <v>#DIV/0!</v>
      </c>
      <c r="CY16" s="1" t="e">
        <f t="shared" si="30"/>
        <v>#DIV/0!</v>
      </c>
      <c r="CZ16" s="49">
        <v>1</v>
      </c>
      <c r="DA16" s="49">
        <v>1</v>
      </c>
      <c r="DB16" s="49">
        <v>1</v>
      </c>
      <c r="DC16" s="49">
        <v>1</v>
      </c>
      <c r="DD16" s="49">
        <v>1</v>
      </c>
      <c r="DE16" s="49">
        <v>1</v>
      </c>
      <c r="DF16" s="49">
        <v>1</v>
      </c>
      <c r="DG16" s="49">
        <v>1</v>
      </c>
      <c r="DH16" s="49">
        <v>1</v>
      </c>
      <c r="DI16" s="49">
        <v>1</v>
      </c>
    </row>
    <row r="17" spans="2:165">
      <c r="B17" s="37" t="s">
        <v>144</v>
      </c>
      <c r="CJ17" s="1" t="e">
        <f t="shared" ref="CJ17:CY17" si="31">CJ5/CI5-1</f>
        <v>#DIV/0!</v>
      </c>
      <c r="CK17" s="1" t="e">
        <f t="shared" si="31"/>
        <v>#DIV/0!</v>
      </c>
      <c r="CL17" s="1" t="e">
        <f t="shared" si="31"/>
        <v>#DIV/0!</v>
      </c>
      <c r="CM17" s="1" t="e">
        <f t="shared" si="31"/>
        <v>#DIV/0!</v>
      </c>
      <c r="CN17" s="1" t="e">
        <f t="shared" si="31"/>
        <v>#DIV/0!</v>
      </c>
      <c r="CO17" s="1" t="e">
        <f t="shared" si="31"/>
        <v>#DIV/0!</v>
      </c>
      <c r="CP17" s="1" t="e">
        <f t="shared" si="31"/>
        <v>#DIV/0!</v>
      </c>
      <c r="CQ17" s="1" t="e">
        <f t="shared" si="31"/>
        <v>#DIV/0!</v>
      </c>
      <c r="CR17" s="1" t="e">
        <f t="shared" si="31"/>
        <v>#DIV/0!</v>
      </c>
      <c r="CS17" s="1" t="e">
        <f t="shared" si="31"/>
        <v>#DIV/0!</v>
      </c>
      <c r="CT17" s="1" t="e">
        <f t="shared" si="31"/>
        <v>#DIV/0!</v>
      </c>
      <c r="CU17" s="1" t="e">
        <f t="shared" si="31"/>
        <v>#DIV/0!</v>
      </c>
      <c r="CV17" s="1" t="e">
        <f t="shared" si="31"/>
        <v>#DIV/0!</v>
      </c>
      <c r="CW17" s="1" t="e">
        <f t="shared" si="31"/>
        <v>#DIV/0!</v>
      </c>
      <c r="CX17" s="1" t="e">
        <f t="shared" si="31"/>
        <v>#DIV/0!</v>
      </c>
      <c r="CY17" s="1" t="e">
        <f t="shared" si="31"/>
        <v>#DIV/0!</v>
      </c>
      <c r="CZ17" s="49">
        <v>1</v>
      </c>
      <c r="DA17" s="49">
        <v>1</v>
      </c>
      <c r="DB17" s="49">
        <v>1</v>
      </c>
      <c r="DC17" s="49">
        <v>1</v>
      </c>
      <c r="DD17" s="49">
        <v>1</v>
      </c>
      <c r="DE17" s="49">
        <v>1</v>
      </c>
      <c r="DF17" s="49">
        <v>1</v>
      </c>
      <c r="DG17" s="49">
        <v>1</v>
      </c>
      <c r="DH17" s="49">
        <v>1</v>
      </c>
      <c r="DI17" s="49">
        <v>1</v>
      </c>
    </row>
    <row r="18" spans="2:165">
      <c r="B18" s="37" t="s">
        <v>145</v>
      </c>
      <c r="CJ18" s="1" t="e">
        <f t="shared" ref="CJ18:CY18" si="32">CJ6/CI6-1</f>
        <v>#DIV/0!</v>
      </c>
      <c r="CK18" s="1" t="e">
        <f t="shared" si="32"/>
        <v>#DIV/0!</v>
      </c>
      <c r="CL18" s="1" t="e">
        <f t="shared" si="32"/>
        <v>#DIV/0!</v>
      </c>
      <c r="CM18" s="1" t="e">
        <f t="shared" si="32"/>
        <v>#DIV/0!</v>
      </c>
      <c r="CN18" s="1" t="e">
        <f t="shared" si="32"/>
        <v>#DIV/0!</v>
      </c>
      <c r="CO18" s="1" t="e">
        <f t="shared" si="32"/>
        <v>#DIV/0!</v>
      </c>
      <c r="CP18" s="1" t="e">
        <f t="shared" si="32"/>
        <v>#DIV/0!</v>
      </c>
      <c r="CQ18" s="1" t="e">
        <f t="shared" si="32"/>
        <v>#DIV/0!</v>
      </c>
      <c r="CR18" s="1" t="e">
        <f t="shared" si="32"/>
        <v>#DIV/0!</v>
      </c>
      <c r="CS18" s="1" t="e">
        <f t="shared" si="32"/>
        <v>#DIV/0!</v>
      </c>
      <c r="CT18" s="1" t="e">
        <f t="shared" si="32"/>
        <v>#DIV/0!</v>
      </c>
      <c r="CU18" s="1" t="e">
        <f t="shared" si="32"/>
        <v>#DIV/0!</v>
      </c>
      <c r="CV18" s="1" t="e">
        <f t="shared" si="32"/>
        <v>#DIV/0!</v>
      </c>
      <c r="CW18" s="1" t="e">
        <f t="shared" si="32"/>
        <v>#DIV/0!</v>
      </c>
      <c r="CX18" s="1" t="e">
        <f t="shared" si="32"/>
        <v>#DIV/0!</v>
      </c>
      <c r="CY18" s="1" t="e">
        <f t="shared" si="32"/>
        <v>#DIV/0!</v>
      </c>
      <c r="CZ18" s="49">
        <v>1</v>
      </c>
      <c r="DA18" s="49">
        <v>1</v>
      </c>
      <c r="DB18" s="49">
        <v>1</v>
      </c>
      <c r="DC18" s="49">
        <v>1</v>
      </c>
      <c r="DD18" s="49">
        <v>1</v>
      </c>
      <c r="DE18" s="49">
        <v>1</v>
      </c>
      <c r="DF18" s="49">
        <v>1</v>
      </c>
      <c r="DG18" s="49">
        <v>1</v>
      </c>
      <c r="DH18" s="49">
        <v>1</v>
      </c>
      <c r="DI18" s="49">
        <v>1</v>
      </c>
    </row>
    <row r="19" spans="2:165">
      <c r="B19" s="37" t="s">
        <v>146</v>
      </c>
      <c r="CJ19" s="1" t="e">
        <f t="shared" ref="CJ19:CY19" si="33">CJ7/CI7-1</f>
        <v>#DIV/0!</v>
      </c>
      <c r="CK19" s="1" t="e">
        <f t="shared" si="33"/>
        <v>#DIV/0!</v>
      </c>
      <c r="CL19" s="1" t="e">
        <f t="shared" si="33"/>
        <v>#DIV/0!</v>
      </c>
      <c r="CM19" s="1" t="e">
        <f t="shared" si="33"/>
        <v>#DIV/0!</v>
      </c>
      <c r="CN19" s="1" t="e">
        <f t="shared" si="33"/>
        <v>#DIV/0!</v>
      </c>
      <c r="CO19" s="1" t="e">
        <f t="shared" si="33"/>
        <v>#DIV/0!</v>
      </c>
      <c r="CP19" s="1" t="e">
        <f t="shared" si="33"/>
        <v>#DIV/0!</v>
      </c>
      <c r="CQ19" s="1" t="e">
        <f t="shared" si="33"/>
        <v>#DIV/0!</v>
      </c>
      <c r="CR19" s="1" t="e">
        <f t="shared" si="33"/>
        <v>#DIV/0!</v>
      </c>
      <c r="CS19" s="1" t="e">
        <f t="shared" si="33"/>
        <v>#DIV/0!</v>
      </c>
      <c r="CT19" s="1" t="e">
        <f t="shared" si="33"/>
        <v>#DIV/0!</v>
      </c>
      <c r="CU19" s="1" t="e">
        <f t="shared" si="33"/>
        <v>#DIV/0!</v>
      </c>
      <c r="CV19" s="1" t="e">
        <f t="shared" si="33"/>
        <v>#DIV/0!</v>
      </c>
      <c r="CW19" s="1" t="e">
        <f t="shared" si="33"/>
        <v>#DIV/0!</v>
      </c>
      <c r="CX19" s="1" t="e">
        <f t="shared" si="33"/>
        <v>#DIV/0!</v>
      </c>
      <c r="CY19" s="1" t="e">
        <f t="shared" si="33"/>
        <v>#DIV/0!</v>
      </c>
      <c r="CZ19" s="49">
        <v>1</v>
      </c>
      <c r="DA19" s="49">
        <v>1</v>
      </c>
      <c r="DB19" s="49">
        <v>1</v>
      </c>
      <c r="DC19" s="49">
        <v>1</v>
      </c>
      <c r="DD19" s="49">
        <v>1</v>
      </c>
      <c r="DE19" s="49">
        <v>1</v>
      </c>
      <c r="DF19" s="49">
        <v>1</v>
      </c>
      <c r="DG19" s="49">
        <v>1</v>
      </c>
      <c r="DH19" s="49">
        <v>1</v>
      </c>
      <c r="DI19" s="49">
        <v>1</v>
      </c>
    </row>
    <row r="20" spans="2:165">
      <c r="B20" s="37" t="s">
        <v>147</v>
      </c>
      <c r="CJ20" s="1" t="e">
        <f t="shared" ref="CJ20:CY20" si="34">CJ8/CI8-1</f>
        <v>#DIV/0!</v>
      </c>
      <c r="CK20" s="1" t="e">
        <f t="shared" si="34"/>
        <v>#DIV/0!</v>
      </c>
      <c r="CL20" s="1" t="e">
        <f t="shared" si="34"/>
        <v>#DIV/0!</v>
      </c>
      <c r="CM20" s="1" t="e">
        <f t="shared" si="34"/>
        <v>#DIV/0!</v>
      </c>
      <c r="CN20" s="1" t="e">
        <f t="shared" si="34"/>
        <v>#DIV/0!</v>
      </c>
      <c r="CO20" s="1" t="e">
        <f t="shared" si="34"/>
        <v>#DIV/0!</v>
      </c>
      <c r="CP20" s="1" t="e">
        <f t="shared" si="34"/>
        <v>#DIV/0!</v>
      </c>
      <c r="CQ20" s="1" t="e">
        <f t="shared" si="34"/>
        <v>#DIV/0!</v>
      </c>
      <c r="CR20" s="1" t="e">
        <f t="shared" si="34"/>
        <v>#DIV/0!</v>
      </c>
      <c r="CS20" s="1" t="e">
        <f t="shared" si="34"/>
        <v>#DIV/0!</v>
      </c>
      <c r="CT20" s="1" t="e">
        <f t="shared" si="34"/>
        <v>#DIV/0!</v>
      </c>
      <c r="CU20" s="1" t="e">
        <f t="shared" si="34"/>
        <v>#DIV/0!</v>
      </c>
      <c r="CV20" s="1" t="e">
        <f t="shared" si="34"/>
        <v>#DIV/0!</v>
      </c>
      <c r="CW20" s="1" t="e">
        <f t="shared" si="34"/>
        <v>#DIV/0!</v>
      </c>
      <c r="CX20" s="1" t="e">
        <f t="shared" si="34"/>
        <v>#DIV/0!</v>
      </c>
      <c r="CY20" s="1" t="e">
        <f t="shared" si="34"/>
        <v>#DIV/0!</v>
      </c>
      <c r="CZ20" s="49">
        <v>1</v>
      </c>
      <c r="DA20" s="49">
        <v>1</v>
      </c>
      <c r="DB20" s="49">
        <v>1</v>
      </c>
      <c r="DC20" s="49">
        <v>1</v>
      </c>
      <c r="DD20" s="49">
        <v>1</v>
      </c>
      <c r="DE20" s="49">
        <v>1</v>
      </c>
      <c r="DF20" s="49">
        <v>1</v>
      </c>
      <c r="DG20" s="49">
        <v>1</v>
      </c>
      <c r="DH20" s="49">
        <v>1</v>
      </c>
      <c r="DI20" s="49">
        <v>1</v>
      </c>
    </row>
    <row r="21" spans="2:165">
      <c r="B21" s="37" t="s">
        <v>148</v>
      </c>
      <c r="CJ21" s="1" t="e">
        <f t="shared" ref="CJ21:CY21" si="35">CJ9/CI9-1</f>
        <v>#DIV/0!</v>
      </c>
      <c r="CK21" s="1" t="e">
        <f t="shared" si="35"/>
        <v>#DIV/0!</v>
      </c>
      <c r="CL21" s="1" t="e">
        <f t="shared" si="35"/>
        <v>#DIV/0!</v>
      </c>
      <c r="CM21" s="1" t="e">
        <f t="shared" si="35"/>
        <v>#DIV/0!</v>
      </c>
      <c r="CN21" s="1" t="e">
        <f t="shared" si="35"/>
        <v>#DIV/0!</v>
      </c>
      <c r="CO21" s="1" t="e">
        <f t="shared" si="35"/>
        <v>#DIV/0!</v>
      </c>
      <c r="CP21" s="1" t="e">
        <f t="shared" si="35"/>
        <v>#DIV/0!</v>
      </c>
      <c r="CQ21" s="1" t="e">
        <f t="shared" si="35"/>
        <v>#DIV/0!</v>
      </c>
      <c r="CR21" s="1" t="e">
        <f t="shared" si="35"/>
        <v>#DIV/0!</v>
      </c>
      <c r="CS21" s="1" t="e">
        <f t="shared" si="35"/>
        <v>#DIV/0!</v>
      </c>
      <c r="CT21" s="1" t="e">
        <f t="shared" si="35"/>
        <v>#DIV/0!</v>
      </c>
      <c r="CU21" s="1" t="e">
        <f t="shared" si="35"/>
        <v>#DIV/0!</v>
      </c>
      <c r="CV21" s="1" t="e">
        <f t="shared" si="35"/>
        <v>#DIV/0!</v>
      </c>
      <c r="CW21" s="1" t="e">
        <f t="shared" si="35"/>
        <v>#DIV/0!</v>
      </c>
      <c r="CX21" s="1" t="e">
        <f t="shared" si="35"/>
        <v>#DIV/0!</v>
      </c>
      <c r="CY21" s="1" t="e">
        <f t="shared" si="35"/>
        <v>#DIV/0!</v>
      </c>
      <c r="CZ21" s="49">
        <v>1</v>
      </c>
      <c r="DA21" s="49">
        <v>1</v>
      </c>
      <c r="DB21" s="49">
        <v>1</v>
      </c>
      <c r="DC21" s="49">
        <v>1</v>
      </c>
      <c r="DD21" s="49">
        <v>1</v>
      </c>
      <c r="DE21" s="49">
        <v>1</v>
      </c>
      <c r="DF21" s="49">
        <v>1</v>
      </c>
      <c r="DG21" s="49">
        <v>1</v>
      </c>
      <c r="DH21" s="49">
        <v>1</v>
      </c>
      <c r="DI21" s="49">
        <v>1</v>
      </c>
    </row>
    <row r="22" spans="2:165">
      <c r="B22" s="37" t="s">
        <v>151</v>
      </c>
      <c r="CJ22" s="1" t="e">
        <f t="shared" ref="CJ22:CY22" si="36">CJ10/CI10-1</f>
        <v>#DIV/0!</v>
      </c>
      <c r="CK22" s="1" t="e">
        <f t="shared" si="36"/>
        <v>#DIV/0!</v>
      </c>
      <c r="CL22" s="1" t="e">
        <f t="shared" si="36"/>
        <v>#DIV/0!</v>
      </c>
      <c r="CM22" s="1" t="e">
        <f t="shared" si="36"/>
        <v>#DIV/0!</v>
      </c>
      <c r="CN22" s="1" t="e">
        <f t="shared" si="36"/>
        <v>#DIV/0!</v>
      </c>
      <c r="CO22" s="1" t="e">
        <f t="shared" si="36"/>
        <v>#DIV/0!</v>
      </c>
      <c r="CP22" s="1" t="e">
        <f t="shared" si="36"/>
        <v>#DIV/0!</v>
      </c>
      <c r="CQ22" s="1" t="e">
        <f t="shared" si="36"/>
        <v>#DIV/0!</v>
      </c>
      <c r="CR22" s="1" t="e">
        <f t="shared" si="36"/>
        <v>#DIV/0!</v>
      </c>
      <c r="CS22" s="1" t="e">
        <f t="shared" si="36"/>
        <v>#DIV/0!</v>
      </c>
      <c r="CT22" s="1" t="e">
        <f t="shared" si="36"/>
        <v>#DIV/0!</v>
      </c>
      <c r="CU22" s="1" t="e">
        <f t="shared" si="36"/>
        <v>#DIV/0!</v>
      </c>
      <c r="CV22" s="1" t="e">
        <f t="shared" si="36"/>
        <v>#DIV/0!</v>
      </c>
      <c r="CW22" s="1" t="e">
        <f t="shared" si="36"/>
        <v>#DIV/0!</v>
      </c>
      <c r="CX22" s="1" t="e">
        <f t="shared" si="36"/>
        <v>#DIV/0!</v>
      </c>
      <c r="CY22" s="1" t="e">
        <f t="shared" si="36"/>
        <v>#DIV/0!</v>
      </c>
      <c r="CZ22" s="49">
        <v>1</v>
      </c>
      <c r="DA22" s="49">
        <v>1</v>
      </c>
      <c r="DB22" s="49">
        <v>1</v>
      </c>
      <c r="DC22" s="49">
        <v>1</v>
      </c>
      <c r="DD22" s="49">
        <v>1</v>
      </c>
      <c r="DE22" s="49">
        <v>1</v>
      </c>
      <c r="DF22" s="49">
        <v>1</v>
      </c>
      <c r="DG22" s="49">
        <v>1</v>
      </c>
      <c r="DH22" s="49">
        <v>1</v>
      </c>
      <c r="DI22" s="49">
        <v>1</v>
      </c>
    </row>
    <row r="23" spans="2:165">
      <c r="B23" s="37" t="s">
        <v>150</v>
      </c>
      <c r="CJ23" s="1" t="e">
        <f t="shared" ref="CJ23:CY23" si="37">CJ11/CI11-1</f>
        <v>#DIV/0!</v>
      </c>
      <c r="CK23" s="1" t="e">
        <f t="shared" si="37"/>
        <v>#DIV/0!</v>
      </c>
      <c r="CL23" s="1" t="e">
        <f t="shared" si="37"/>
        <v>#DIV/0!</v>
      </c>
      <c r="CM23" s="1" t="e">
        <f t="shared" si="37"/>
        <v>#DIV/0!</v>
      </c>
      <c r="CN23" s="1" t="e">
        <f t="shared" si="37"/>
        <v>#DIV/0!</v>
      </c>
      <c r="CO23" s="1" t="e">
        <f t="shared" si="37"/>
        <v>#DIV/0!</v>
      </c>
      <c r="CP23" s="1" t="e">
        <f t="shared" si="37"/>
        <v>#DIV/0!</v>
      </c>
      <c r="CQ23" s="1" t="e">
        <f t="shared" si="37"/>
        <v>#DIV/0!</v>
      </c>
      <c r="CR23" s="1" t="e">
        <f t="shared" si="37"/>
        <v>#DIV/0!</v>
      </c>
      <c r="CS23" s="1" t="e">
        <f t="shared" si="37"/>
        <v>#DIV/0!</v>
      </c>
      <c r="CT23" s="1" t="e">
        <f t="shared" si="37"/>
        <v>#DIV/0!</v>
      </c>
      <c r="CU23" s="1" t="e">
        <f t="shared" si="37"/>
        <v>#DIV/0!</v>
      </c>
      <c r="CV23" s="1" t="e">
        <f t="shared" si="37"/>
        <v>#DIV/0!</v>
      </c>
      <c r="CW23" s="1" t="e">
        <f t="shared" si="37"/>
        <v>#DIV/0!</v>
      </c>
      <c r="CX23" s="1" t="e">
        <f t="shared" si="37"/>
        <v>#DIV/0!</v>
      </c>
      <c r="CY23" s="1" t="e">
        <f t="shared" si="37"/>
        <v>#DIV/0!</v>
      </c>
      <c r="CZ23" s="49">
        <v>1</v>
      </c>
      <c r="DA23" s="49">
        <v>1</v>
      </c>
      <c r="DB23" s="49">
        <v>1</v>
      </c>
      <c r="DC23" s="49">
        <v>1</v>
      </c>
      <c r="DD23" s="49">
        <v>1</v>
      </c>
      <c r="DE23" s="49">
        <v>1</v>
      </c>
      <c r="DF23" s="49">
        <v>1</v>
      </c>
      <c r="DG23" s="49">
        <v>1</v>
      </c>
      <c r="DH23" s="49">
        <v>1</v>
      </c>
      <c r="DI23" s="49">
        <v>1</v>
      </c>
    </row>
    <row r="24" spans="2:165">
      <c r="B24" s="37" t="s">
        <v>152</v>
      </c>
      <c r="CJ24" s="1" t="e">
        <f t="shared" ref="CJ24:CY24" si="38">CJ12/CI12-1</f>
        <v>#DIV/0!</v>
      </c>
      <c r="CK24" s="1" t="e">
        <f t="shared" si="38"/>
        <v>#DIV/0!</v>
      </c>
      <c r="CL24" s="1" t="e">
        <f t="shared" si="38"/>
        <v>#DIV/0!</v>
      </c>
      <c r="CM24" s="1" t="e">
        <f t="shared" si="38"/>
        <v>#DIV/0!</v>
      </c>
      <c r="CN24" s="1" t="e">
        <f t="shared" si="38"/>
        <v>#DIV/0!</v>
      </c>
      <c r="CO24" s="1" t="e">
        <f t="shared" si="38"/>
        <v>#DIV/0!</v>
      </c>
      <c r="CP24" s="1" t="e">
        <f t="shared" si="38"/>
        <v>#DIV/0!</v>
      </c>
      <c r="CQ24" s="1" t="e">
        <f t="shared" si="38"/>
        <v>#DIV/0!</v>
      </c>
      <c r="CR24" s="1" t="e">
        <f t="shared" si="38"/>
        <v>#DIV/0!</v>
      </c>
      <c r="CS24" s="1" t="e">
        <f t="shared" si="38"/>
        <v>#DIV/0!</v>
      </c>
      <c r="CT24" s="1" t="e">
        <f t="shared" si="38"/>
        <v>#DIV/0!</v>
      </c>
      <c r="CU24" s="1" t="e">
        <f t="shared" si="38"/>
        <v>#DIV/0!</v>
      </c>
      <c r="CV24" s="1" t="e">
        <f t="shared" si="38"/>
        <v>#DIV/0!</v>
      </c>
      <c r="CW24" s="1" t="e">
        <f t="shared" si="38"/>
        <v>#DIV/0!</v>
      </c>
      <c r="CX24" s="1" t="e">
        <f t="shared" si="38"/>
        <v>#DIV/0!</v>
      </c>
      <c r="CY24" s="1" t="e">
        <f t="shared" si="38"/>
        <v>#DIV/0!</v>
      </c>
      <c r="CZ24" s="49">
        <v>1</v>
      </c>
      <c r="DA24" s="49">
        <v>1</v>
      </c>
      <c r="DB24" s="49">
        <v>1</v>
      </c>
      <c r="DC24" s="49">
        <v>1</v>
      </c>
      <c r="DD24" s="49">
        <v>1</v>
      </c>
      <c r="DE24" s="49">
        <v>1</v>
      </c>
      <c r="DF24" s="49">
        <v>1</v>
      </c>
      <c r="DG24" s="49">
        <v>1</v>
      </c>
      <c r="DH24" s="49">
        <v>1</v>
      </c>
      <c r="DI24" s="49">
        <v>1</v>
      </c>
    </row>
    <row r="25" spans="2:165">
      <c r="B25" s="37" t="s">
        <v>149</v>
      </c>
      <c r="CJ25" s="1" t="e">
        <f t="shared" ref="CJ25:CY25" si="39">CJ13/CI13-1</f>
        <v>#DIV/0!</v>
      </c>
      <c r="CK25" s="1" t="e">
        <f t="shared" si="39"/>
        <v>#DIV/0!</v>
      </c>
      <c r="CL25" s="1" t="e">
        <f t="shared" si="39"/>
        <v>#DIV/0!</v>
      </c>
      <c r="CM25" s="1" t="e">
        <f t="shared" si="39"/>
        <v>#DIV/0!</v>
      </c>
      <c r="CN25" s="1" t="e">
        <f t="shared" si="39"/>
        <v>#DIV/0!</v>
      </c>
      <c r="CO25" s="1" t="e">
        <f t="shared" si="39"/>
        <v>#DIV/0!</v>
      </c>
      <c r="CP25" s="1" t="e">
        <f t="shared" si="39"/>
        <v>#DIV/0!</v>
      </c>
      <c r="CQ25" s="1" t="e">
        <f t="shared" si="39"/>
        <v>#DIV/0!</v>
      </c>
      <c r="CR25" s="1" t="e">
        <f t="shared" si="39"/>
        <v>#DIV/0!</v>
      </c>
      <c r="CS25" s="1" t="e">
        <f t="shared" si="39"/>
        <v>#DIV/0!</v>
      </c>
      <c r="CT25" s="1" t="e">
        <f t="shared" si="39"/>
        <v>#DIV/0!</v>
      </c>
      <c r="CU25" s="1" t="e">
        <f t="shared" si="39"/>
        <v>#DIV/0!</v>
      </c>
      <c r="CV25" s="1" t="e">
        <f t="shared" si="39"/>
        <v>#DIV/0!</v>
      </c>
      <c r="CW25" s="1" t="e">
        <f t="shared" si="39"/>
        <v>#DIV/0!</v>
      </c>
      <c r="CX25" s="1" t="e">
        <f t="shared" si="39"/>
        <v>#DIV/0!</v>
      </c>
      <c r="CY25" s="1" t="e">
        <f t="shared" si="39"/>
        <v>#DIV/0!</v>
      </c>
      <c r="CZ25" s="49">
        <v>1</v>
      </c>
      <c r="DA25" s="49">
        <v>1</v>
      </c>
      <c r="DB25" s="49">
        <v>1</v>
      </c>
      <c r="DC25" s="49">
        <v>1</v>
      </c>
      <c r="DD25" s="49">
        <v>1</v>
      </c>
      <c r="DE25" s="49">
        <v>1</v>
      </c>
      <c r="DF25" s="49">
        <v>1</v>
      </c>
      <c r="DG25" s="49">
        <v>1</v>
      </c>
      <c r="DH25" s="49">
        <v>1</v>
      </c>
      <c r="DI25" s="49">
        <v>1</v>
      </c>
    </row>
    <row r="26" spans="2:165" s="2" customFormat="1" ht="15">
      <c r="B26" s="33" t="s">
        <v>226</v>
      </c>
      <c r="BT26" s="34"/>
      <c r="BU26" s="34"/>
      <c r="BV26" s="34"/>
      <c r="BW26" s="34"/>
      <c r="BX26" s="34"/>
      <c r="BY26" s="34"/>
      <c r="BZ26" s="34"/>
      <c r="CJ26" s="2" t="e">
        <f t="shared" ref="CJ26:CY26" si="40">CJ14/CI14-1</f>
        <v>#DIV/0!</v>
      </c>
      <c r="CK26" s="2" t="e">
        <f t="shared" si="40"/>
        <v>#DIV/0!</v>
      </c>
      <c r="CL26" s="2" t="e">
        <f t="shared" si="40"/>
        <v>#DIV/0!</v>
      </c>
      <c r="CM26" s="2" t="e">
        <f t="shared" si="40"/>
        <v>#DIV/0!</v>
      </c>
      <c r="CN26" s="2" t="e">
        <f t="shared" si="40"/>
        <v>#DIV/0!</v>
      </c>
      <c r="CO26" s="2" t="e">
        <f t="shared" si="40"/>
        <v>#DIV/0!</v>
      </c>
      <c r="CP26" s="2" t="e">
        <f t="shared" si="40"/>
        <v>#DIV/0!</v>
      </c>
      <c r="CQ26" s="2" t="e">
        <f t="shared" si="40"/>
        <v>#DIV/0!</v>
      </c>
      <c r="CR26" s="2" t="e">
        <f t="shared" si="40"/>
        <v>#DIV/0!</v>
      </c>
      <c r="CS26" s="2" t="e">
        <f t="shared" si="40"/>
        <v>#DIV/0!</v>
      </c>
      <c r="CT26" s="2" t="e">
        <f t="shared" si="40"/>
        <v>#DIV/0!</v>
      </c>
      <c r="CU26" s="2" t="e">
        <f t="shared" si="40"/>
        <v>#DIV/0!</v>
      </c>
      <c r="CV26" s="2" t="e">
        <f t="shared" si="40"/>
        <v>#DIV/0!</v>
      </c>
      <c r="CW26" s="2" t="e">
        <f t="shared" si="40"/>
        <v>#DIV/0!</v>
      </c>
      <c r="CX26" s="2" t="e">
        <f t="shared" si="40"/>
        <v>#DIV/0!</v>
      </c>
      <c r="CY26" s="2" t="e">
        <f t="shared" si="40"/>
        <v>#DIV/0!</v>
      </c>
      <c r="CZ26" s="51" t="e">
        <f>CZ14/CY14-1</f>
        <v>#DIV/0!</v>
      </c>
      <c r="DA26" s="51" t="e">
        <f t="shared" ref="DA26:DI26" si="41">DA14/CZ14-1</f>
        <v>#DIV/0!</v>
      </c>
      <c r="DB26" s="51" t="e">
        <f t="shared" si="41"/>
        <v>#DIV/0!</v>
      </c>
      <c r="DC26" s="51" t="e">
        <f t="shared" si="41"/>
        <v>#DIV/0!</v>
      </c>
      <c r="DD26" s="51" t="e">
        <f t="shared" si="41"/>
        <v>#DIV/0!</v>
      </c>
      <c r="DE26" s="51" t="e">
        <f t="shared" si="41"/>
        <v>#DIV/0!</v>
      </c>
      <c r="DF26" s="51" t="e">
        <f t="shared" si="41"/>
        <v>#DIV/0!</v>
      </c>
      <c r="DG26" s="51" t="e">
        <f t="shared" si="41"/>
        <v>#DIV/0!</v>
      </c>
      <c r="DH26" s="51" t="e">
        <f t="shared" si="41"/>
        <v>#DIV/0!</v>
      </c>
      <c r="DI26" s="51" t="e">
        <f t="shared" si="41"/>
        <v>#DIV/0!</v>
      </c>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row>
    <row r="28" spans="2:165" ht="15">
      <c r="B28" s="33" t="s">
        <v>141</v>
      </c>
      <c r="CY28" s="1" t="e">
        <f>CY4/CY14</f>
        <v>#DIV/0!</v>
      </c>
    </row>
    <row r="29" spans="2:165" ht="15">
      <c r="B29" s="33" t="s">
        <v>142</v>
      </c>
    </row>
    <row r="31" spans="2:165">
      <c r="B31" s="1" t="s">
        <v>153</v>
      </c>
      <c r="CI31" s="1">
        <f t="shared" ref="CI31:CI34" si="42">SUM(C31:F31)</f>
        <v>0</v>
      </c>
      <c r="CJ31" s="1">
        <f t="shared" ref="CJ31:CJ34" si="43">SUM(G31:J31)</f>
        <v>0</v>
      </c>
      <c r="CK31" s="1">
        <f t="shared" ref="CK31:CK34" si="44">SUM(K31:N31)</f>
        <v>0</v>
      </c>
      <c r="CL31" s="1">
        <f t="shared" ref="CL31:CL34" si="45">SUM(O31:R31)</f>
        <v>0</v>
      </c>
      <c r="CM31" s="1">
        <f t="shared" ref="CM31:CM34" si="46">SUM(S31:V31)</f>
        <v>0</v>
      </c>
      <c r="CN31" s="1">
        <f t="shared" ref="CN31:CN34" si="47">SUM(W31:Z31)</f>
        <v>0</v>
      </c>
      <c r="CO31" s="1">
        <f t="shared" ref="CO31:CO34" si="48">SUM(AA31:AD31)</f>
        <v>0</v>
      </c>
      <c r="CP31" s="1">
        <f t="shared" ref="CP31:CP34" si="49">SUM(AE31:AH31)</f>
        <v>0</v>
      </c>
      <c r="CQ31" s="1">
        <f t="shared" ref="CQ31:CQ34" si="50">SUM(AI31:AL31)</f>
        <v>0</v>
      </c>
      <c r="CR31" s="1">
        <f t="shared" ref="CR31:CR34" si="51">SUM(AM31:AP31)</f>
        <v>0</v>
      </c>
      <c r="CS31" s="1">
        <f t="shared" ref="CS31:CS34" si="52">SUM(AQ31:AT31)</f>
        <v>0</v>
      </c>
      <c r="CT31" s="1">
        <f t="shared" ref="CT31:CT34" si="53">SUM(AU31:AX31)</f>
        <v>0</v>
      </c>
      <c r="CU31" s="1">
        <f t="shared" ref="CU31:CU34" si="54">SUM(AY31:BB31)</f>
        <v>0</v>
      </c>
      <c r="CV31" s="1">
        <f t="shared" ref="CV31:CV34" si="55">SUM(BC31:BF31)</f>
        <v>0</v>
      </c>
      <c r="CW31" s="1">
        <f t="shared" ref="CW31:CW34" si="56">SUM(BG31:BJ31)</f>
        <v>0</v>
      </c>
      <c r="CX31" s="1">
        <f t="shared" ref="CX31:CX34" si="57">SUM(BK31:BN31)</f>
        <v>0</v>
      </c>
      <c r="CY31" s="1">
        <f t="shared" ref="CY31:CY34" si="58">SUM(BO31:BR31)</f>
        <v>0</v>
      </c>
    </row>
    <row r="32" spans="2:165">
      <c r="B32" s="1" t="s">
        <v>156</v>
      </c>
      <c r="CI32" s="1">
        <f t="shared" si="42"/>
        <v>0</v>
      </c>
      <c r="CJ32" s="1">
        <f t="shared" si="43"/>
        <v>0</v>
      </c>
      <c r="CK32" s="1">
        <f t="shared" si="44"/>
        <v>0</v>
      </c>
      <c r="CL32" s="1">
        <f t="shared" si="45"/>
        <v>0</v>
      </c>
      <c r="CM32" s="1">
        <f t="shared" si="46"/>
        <v>0</v>
      </c>
      <c r="CN32" s="1">
        <f t="shared" si="47"/>
        <v>0</v>
      </c>
      <c r="CO32" s="1">
        <f t="shared" si="48"/>
        <v>0</v>
      </c>
      <c r="CP32" s="1">
        <f t="shared" si="49"/>
        <v>0</v>
      </c>
      <c r="CQ32" s="1">
        <f t="shared" si="50"/>
        <v>0</v>
      </c>
      <c r="CR32" s="1">
        <f t="shared" si="51"/>
        <v>0</v>
      </c>
      <c r="CS32" s="1">
        <f t="shared" si="52"/>
        <v>0</v>
      </c>
      <c r="CT32" s="1">
        <f t="shared" si="53"/>
        <v>0</v>
      </c>
      <c r="CU32" s="1">
        <f t="shared" si="54"/>
        <v>0</v>
      </c>
      <c r="CV32" s="1">
        <f t="shared" si="55"/>
        <v>0</v>
      </c>
      <c r="CW32" s="1">
        <f t="shared" si="56"/>
        <v>0</v>
      </c>
      <c r="CX32" s="1">
        <f t="shared" si="57"/>
        <v>0</v>
      </c>
      <c r="CY32" s="1">
        <f t="shared" si="58"/>
        <v>0</v>
      </c>
    </row>
    <row r="33" spans="2:165">
      <c r="B33" s="1" t="s">
        <v>155</v>
      </c>
      <c r="CI33" s="1">
        <f t="shared" si="42"/>
        <v>0</v>
      </c>
      <c r="CJ33" s="1">
        <f t="shared" si="43"/>
        <v>0</v>
      </c>
      <c r="CK33" s="1">
        <f t="shared" si="44"/>
        <v>0</v>
      </c>
      <c r="CL33" s="1">
        <f t="shared" si="45"/>
        <v>0</v>
      </c>
      <c r="CM33" s="1">
        <f t="shared" si="46"/>
        <v>0</v>
      </c>
      <c r="CN33" s="1">
        <f t="shared" si="47"/>
        <v>0</v>
      </c>
      <c r="CO33" s="1">
        <f t="shared" si="48"/>
        <v>0</v>
      </c>
      <c r="CP33" s="1">
        <f t="shared" si="49"/>
        <v>0</v>
      </c>
      <c r="CQ33" s="1">
        <f t="shared" si="50"/>
        <v>0</v>
      </c>
      <c r="CR33" s="1">
        <f t="shared" si="51"/>
        <v>0</v>
      </c>
      <c r="CS33" s="1">
        <f t="shared" si="52"/>
        <v>0</v>
      </c>
      <c r="CT33" s="1">
        <f t="shared" si="53"/>
        <v>0</v>
      </c>
      <c r="CU33" s="1">
        <f t="shared" si="54"/>
        <v>0</v>
      </c>
      <c r="CV33" s="1">
        <f t="shared" si="55"/>
        <v>0</v>
      </c>
      <c r="CW33" s="1">
        <f t="shared" si="56"/>
        <v>0</v>
      </c>
      <c r="CX33" s="1">
        <f t="shared" si="57"/>
        <v>0</v>
      </c>
      <c r="CY33" s="1">
        <f t="shared" si="58"/>
        <v>0</v>
      </c>
    </row>
    <row r="34" spans="2:165">
      <c r="B34" s="1" t="s">
        <v>154</v>
      </c>
      <c r="CI34" s="1">
        <f t="shared" si="42"/>
        <v>0</v>
      </c>
      <c r="CJ34" s="1">
        <f t="shared" si="43"/>
        <v>0</v>
      </c>
      <c r="CK34" s="1">
        <f t="shared" si="44"/>
        <v>0</v>
      </c>
      <c r="CL34" s="1">
        <f t="shared" si="45"/>
        <v>0</v>
      </c>
      <c r="CM34" s="1">
        <f t="shared" si="46"/>
        <v>0</v>
      </c>
      <c r="CN34" s="1">
        <f t="shared" si="47"/>
        <v>0</v>
      </c>
      <c r="CO34" s="1">
        <f t="shared" si="48"/>
        <v>0</v>
      </c>
      <c r="CP34" s="1">
        <f t="shared" si="49"/>
        <v>0</v>
      </c>
      <c r="CQ34" s="1">
        <f t="shared" si="50"/>
        <v>0</v>
      </c>
      <c r="CR34" s="1">
        <f t="shared" si="51"/>
        <v>0</v>
      </c>
      <c r="CS34" s="1">
        <f t="shared" si="52"/>
        <v>0</v>
      </c>
      <c r="CT34" s="1">
        <f t="shared" si="53"/>
        <v>0</v>
      </c>
      <c r="CU34" s="1">
        <f t="shared" si="54"/>
        <v>0</v>
      </c>
      <c r="CV34" s="1">
        <f t="shared" si="55"/>
        <v>0</v>
      </c>
      <c r="CW34" s="1">
        <f t="shared" si="56"/>
        <v>0</v>
      </c>
      <c r="CX34" s="1">
        <f t="shared" si="57"/>
        <v>0</v>
      </c>
      <c r="CY34" s="1">
        <f t="shared" si="58"/>
        <v>0</v>
      </c>
    </row>
    <row r="36" spans="2:165">
      <c r="B36" s="1" t="s">
        <v>163</v>
      </c>
    </row>
    <row r="37" spans="2:165">
      <c r="B37" s="1" t="s">
        <v>161</v>
      </c>
    </row>
    <row r="38" spans="2:165">
      <c r="B38" s="1" t="s">
        <v>162</v>
      </c>
    </row>
    <row r="39" spans="2:165">
      <c r="B39" s="1" t="s">
        <v>164</v>
      </c>
    </row>
    <row r="41" spans="2:165">
      <c r="B41" s="38" t="s">
        <v>157</v>
      </c>
    </row>
    <row r="42" spans="2:165">
      <c r="B42" s="1" t="s">
        <v>158</v>
      </c>
    </row>
    <row r="43" spans="2:165">
      <c r="B43" s="1" t="s">
        <v>159</v>
      </c>
    </row>
    <row r="44" spans="2:165">
      <c r="B44" s="1" t="s">
        <v>160</v>
      </c>
    </row>
    <row r="46" spans="2:165" s="2" customFormat="1" ht="15">
      <c r="B46" s="2" t="s">
        <v>127</v>
      </c>
      <c r="AY46" s="2">
        <f t="shared" ref="AY46:BR46" si="59">AY14</f>
        <v>0</v>
      </c>
      <c r="AZ46" s="2">
        <f t="shared" si="59"/>
        <v>0</v>
      </c>
      <c r="BA46" s="2">
        <f t="shared" si="59"/>
        <v>0</v>
      </c>
      <c r="BB46" s="2">
        <f t="shared" si="59"/>
        <v>0</v>
      </c>
      <c r="BC46" s="2">
        <f t="shared" si="59"/>
        <v>0</v>
      </c>
      <c r="BD46" s="2">
        <f t="shared" si="59"/>
        <v>0</v>
      </c>
      <c r="BE46" s="2">
        <f t="shared" si="59"/>
        <v>0</v>
      </c>
      <c r="BF46" s="2">
        <f t="shared" si="59"/>
        <v>0</v>
      </c>
      <c r="BG46" s="2">
        <f t="shared" si="59"/>
        <v>0</v>
      </c>
      <c r="BH46" s="2">
        <f t="shared" si="59"/>
        <v>0</v>
      </c>
      <c r="BI46" s="2">
        <f t="shared" si="59"/>
        <v>0</v>
      </c>
      <c r="BJ46" s="2">
        <f t="shared" si="59"/>
        <v>0</v>
      </c>
      <c r="BK46" s="2">
        <f t="shared" si="59"/>
        <v>0</v>
      </c>
      <c r="BL46" s="2">
        <f t="shared" si="59"/>
        <v>0</v>
      </c>
      <c r="BM46" s="2">
        <f t="shared" si="59"/>
        <v>0</v>
      </c>
      <c r="BN46" s="2">
        <f t="shared" si="59"/>
        <v>0</v>
      </c>
      <c r="BO46" s="2">
        <f t="shared" si="59"/>
        <v>0</v>
      </c>
      <c r="BP46" s="2">
        <f t="shared" si="59"/>
        <v>0</v>
      </c>
      <c r="BQ46" s="2">
        <f t="shared" si="59"/>
        <v>0</v>
      </c>
      <c r="BR46" s="2">
        <f t="shared" si="59"/>
        <v>0</v>
      </c>
      <c r="BS46" s="2">
        <f>BS14</f>
        <v>0</v>
      </c>
      <c r="BT46" s="34"/>
      <c r="BU46" s="34"/>
      <c r="BV46" s="34"/>
      <c r="BW46" s="34"/>
      <c r="BX46" s="34"/>
      <c r="BY46" s="34"/>
      <c r="BZ46" s="34"/>
      <c r="CI46" s="2">
        <f>SUM(C46:F46)</f>
        <v>0</v>
      </c>
      <c r="CJ46" s="2">
        <f>SUM(G46:J46)</f>
        <v>0</v>
      </c>
      <c r="CK46" s="2">
        <f>SUM(K46:N46)</f>
        <v>0</v>
      </c>
      <c r="CL46" s="2">
        <f>SUM(O46:R46)</f>
        <v>0</v>
      </c>
      <c r="CM46" s="2">
        <f>SUM(S46:V46)</f>
        <v>0</v>
      </c>
      <c r="CN46" s="2">
        <f>SUM(W46:Z46)</f>
        <v>0</v>
      </c>
      <c r="CO46" s="2">
        <f>SUM(AA46:AD46)</f>
        <v>0</v>
      </c>
      <c r="CP46" s="2">
        <f>SUM(AE46:AH46)</f>
        <v>0</v>
      </c>
      <c r="CQ46" s="2">
        <f>SUM(AI46:AL46)</f>
        <v>0</v>
      </c>
      <c r="CR46" s="2">
        <f>SUM(AM46:AP46)</f>
        <v>0</v>
      </c>
      <c r="CS46" s="2">
        <f>SUM(AQ46:AT46)</f>
        <v>0</v>
      </c>
      <c r="CT46" s="2">
        <f>SUM(AU46:AX46)</f>
        <v>0</v>
      </c>
      <c r="CU46" s="2">
        <f>SUM(AY46:BB46)</f>
        <v>0</v>
      </c>
      <c r="CV46" s="2">
        <f>SUM(BC46:BF46)</f>
        <v>0</v>
      </c>
      <c r="CW46" s="2">
        <f>SUM(BG46:BJ46)</f>
        <v>0</v>
      </c>
      <c r="CX46" s="2">
        <f>SUM(BK46:BN46)</f>
        <v>0</v>
      </c>
      <c r="CY46" s="2">
        <f>SUM(BO46:BR46)</f>
        <v>0</v>
      </c>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row>
    <row r="47" spans="2:165">
      <c r="B47" s="1" t="s">
        <v>165</v>
      </c>
    </row>
    <row r="48" spans="2:165">
      <c r="B48" s="1" t="s">
        <v>166</v>
      </c>
      <c r="AY48" s="1">
        <f t="shared" ref="AY48:BR48" si="60">AY46-AY47</f>
        <v>0</v>
      </c>
      <c r="AZ48" s="1">
        <f t="shared" si="60"/>
        <v>0</v>
      </c>
      <c r="BA48" s="1">
        <f t="shared" si="60"/>
        <v>0</v>
      </c>
      <c r="BB48" s="1">
        <f t="shared" si="60"/>
        <v>0</v>
      </c>
      <c r="BC48" s="1">
        <f t="shared" si="60"/>
        <v>0</v>
      </c>
      <c r="BD48" s="1">
        <f t="shared" si="60"/>
        <v>0</v>
      </c>
      <c r="BE48" s="1">
        <f t="shared" si="60"/>
        <v>0</v>
      </c>
      <c r="BF48" s="1">
        <f t="shared" si="60"/>
        <v>0</v>
      </c>
      <c r="BG48" s="1">
        <f t="shared" si="60"/>
        <v>0</v>
      </c>
      <c r="BH48" s="1">
        <f t="shared" si="60"/>
        <v>0</v>
      </c>
      <c r="BI48" s="1">
        <f t="shared" si="60"/>
        <v>0</v>
      </c>
      <c r="BJ48" s="1">
        <f t="shared" si="60"/>
        <v>0</v>
      </c>
      <c r="BK48" s="1">
        <f t="shared" si="60"/>
        <v>0</v>
      </c>
      <c r="BL48" s="1">
        <f t="shared" si="60"/>
        <v>0</v>
      </c>
      <c r="BM48" s="1">
        <f t="shared" si="60"/>
        <v>0</v>
      </c>
      <c r="BN48" s="1">
        <f t="shared" si="60"/>
        <v>0</v>
      </c>
      <c r="BO48" s="1">
        <f t="shared" si="60"/>
        <v>0</v>
      </c>
      <c r="BP48" s="1">
        <f t="shared" si="60"/>
        <v>0</v>
      </c>
      <c r="BQ48" s="1">
        <f t="shared" si="60"/>
        <v>0</v>
      </c>
      <c r="BR48" s="1">
        <f t="shared" si="60"/>
        <v>0</v>
      </c>
      <c r="BS48" s="1">
        <f>BS46-BS47</f>
        <v>0</v>
      </c>
    </row>
    <row r="66" spans="2:114">
      <c r="B66" s="37" t="s">
        <v>167</v>
      </c>
    </row>
    <row r="67" spans="2:114">
      <c r="B67" s="37" t="s">
        <v>168</v>
      </c>
    </row>
    <row r="68" spans="2:114">
      <c r="B68" s="37" t="s">
        <v>169</v>
      </c>
    </row>
    <row r="69" spans="2:114">
      <c r="B69" s="37" t="s">
        <v>170</v>
      </c>
    </row>
    <row r="70" spans="2:114">
      <c r="B70" s="37" t="s">
        <v>171</v>
      </c>
    </row>
    <row r="71" spans="2:114">
      <c r="B71" s="37" t="s">
        <v>172</v>
      </c>
    </row>
    <row r="72" spans="2:114">
      <c r="B72" s="37" t="s">
        <v>208</v>
      </c>
    </row>
    <row r="74" spans="2:114">
      <c r="B74" s="1" t="s">
        <v>173</v>
      </c>
      <c r="CI74" s="1">
        <f>F74</f>
        <v>0</v>
      </c>
      <c r="CJ74" s="1">
        <f>J74</f>
        <v>0</v>
      </c>
      <c r="CK74" s="1">
        <f>N74</f>
        <v>0</v>
      </c>
      <c r="CL74" s="1">
        <f>R74</f>
        <v>0</v>
      </c>
      <c r="CM74" s="1">
        <f>V74</f>
        <v>0</v>
      </c>
      <c r="CN74" s="1">
        <f>Z74</f>
        <v>0</v>
      </c>
      <c r="CO74" s="1">
        <f>AD74</f>
        <v>0</v>
      </c>
      <c r="CP74" s="1">
        <f>AH74</f>
        <v>0</v>
      </c>
      <c r="CQ74" s="1">
        <f>AL74</f>
        <v>0</v>
      </c>
      <c r="CR74" s="1">
        <f>AP74</f>
        <v>0</v>
      </c>
      <c r="CS74" s="1">
        <f>AT74</f>
        <v>0</v>
      </c>
      <c r="CT74" s="1">
        <f>AX74</f>
        <v>0</v>
      </c>
      <c r="CU74" s="1">
        <f>BB74</f>
        <v>0</v>
      </c>
      <c r="CV74" s="1">
        <f>BF74</f>
        <v>0</v>
      </c>
      <c r="CW74" s="1">
        <f>BJ74</f>
        <v>0</v>
      </c>
      <c r="CX74" s="1">
        <f>BN74</f>
        <v>0</v>
      </c>
      <c r="CY74" s="1">
        <f>BR74</f>
        <v>0</v>
      </c>
    </row>
    <row r="75" spans="2:114">
      <c r="B75" s="1" t="s">
        <v>174</v>
      </c>
    </row>
    <row r="76" spans="2:114">
      <c r="B76" s="1" t="s">
        <v>175</v>
      </c>
      <c r="DA76" s="52" t="s">
        <v>227</v>
      </c>
      <c r="DB76" s="53"/>
      <c r="DC76" s="53"/>
      <c r="DD76" s="52" t="s">
        <v>228</v>
      </c>
      <c r="DE76" s="53"/>
      <c r="DF76" s="54" t="s">
        <v>229</v>
      </c>
      <c r="DG76" s="53"/>
      <c r="DH76" s="55" t="s">
        <v>230</v>
      </c>
      <c r="DI76" s="56">
        <v>0.06</v>
      </c>
      <c r="DJ76" s="53"/>
    </row>
    <row r="77" spans="2:114" ht="13.5" customHeight="1">
      <c r="DA77" s="53">
        <v>2025</v>
      </c>
      <c r="DB77" s="53"/>
      <c r="DC77" s="53">
        <v>2023</v>
      </c>
      <c r="DD77" s="53">
        <v>2024</v>
      </c>
      <c r="DE77" s="53"/>
      <c r="DF77" s="54" t="s">
        <v>231</v>
      </c>
      <c r="DG77" s="53"/>
      <c r="DH77" s="55" t="s">
        <v>232</v>
      </c>
      <c r="DI77" s="56">
        <v>2.5000000000000001E-2</v>
      </c>
      <c r="DJ77" s="53"/>
    </row>
    <row r="78" spans="2:114" ht="13.5" customHeight="1">
      <c r="DA78" s="57" t="e">
        <f>AVERAGE(CZ56)*(1-CZ70)</f>
        <v>#DIV/0!</v>
      </c>
      <c r="DB78" s="53"/>
      <c r="DC78" s="58">
        <f>SUM(CX73:CX78)-CX89+CX79+CX82+CX81</f>
        <v>0</v>
      </c>
      <c r="DD78" s="58">
        <f>SUM(CY73:CY78)-CY89+CY79+CY82+CY81</f>
        <v>0</v>
      </c>
      <c r="DE78" s="53"/>
      <c r="DF78" s="58">
        <f>AVERAGE(DC78:DD78)</f>
        <v>0</v>
      </c>
      <c r="DG78" s="53"/>
      <c r="DH78" s="55" t="s">
        <v>233</v>
      </c>
      <c r="DI78" s="56">
        <v>4.3400000000000001E-2</v>
      </c>
      <c r="DJ78" s="53"/>
    </row>
    <row r="79" spans="2:114" ht="13.5" customHeight="1">
      <c r="DA79" s="59" t="e">
        <f>DA78/DF78</f>
        <v>#DIV/0!</v>
      </c>
      <c r="DB79" s="53"/>
      <c r="DC79" s="53"/>
      <c r="DD79" s="53"/>
      <c r="DE79" s="53"/>
      <c r="DF79" s="53"/>
      <c r="DG79" s="53"/>
      <c r="DH79" s="55" t="s">
        <v>234</v>
      </c>
      <c r="DI79" s="56">
        <f>13.4%-DI78</f>
        <v>9.0600000000000014E-2</v>
      </c>
      <c r="DJ79" s="53"/>
    </row>
    <row r="80" spans="2:114" ht="13.5" customHeight="1">
      <c r="DA80" s="53"/>
      <c r="DB80" s="53"/>
      <c r="DC80" s="53"/>
      <c r="DD80" s="53"/>
      <c r="DE80" s="53"/>
      <c r="DF80" s="53"/>
      <c r="DG80" s="53"/>
      <c r="DH80" s="55" t="s">
        <v>235</v>
      </c>
      <c r="DI80" s="53">
        <f>'Notes | Quant Analysis'!K267</f>
        <v>1.19</v>
      </c>
      <c r="DJ80" s="53"/>
    </row>
    <row r="81" spans="105:114" ht="13.5" customHeight="1">
      <c r="DA81" s="53"/>
      <c r="DB81" s="53"/>
      <c r="DC81" s="53"/>
      <c r="DD81" s="53"/>
      <c r="DE81" s="53"/>
      <c r="DF81" s="53"/>
      <c r="DG81" s="53"/>
      <c r="DH81" s="55" t="s">
        <v>236</v>
      </c>
      <c r="DI81" s="56">
        <f>+DI78+(DI79*DI80)</f>
        <v>0.15121400000000002</v>
      </c>
      <c r="DJ81" s="60"/>
    </row>
    <row r="82" spans="105:114" ht="13.5" customHeight="1">
      <c r="DA82" s="60"/>
      <c r="DB82" s="60"/>
      <c r="DC82" s="60"/>
      <c r="DD82" s="60"/>
      <c r="DE82" s="60"/>
      <c r="DF82" s="60"/>
      <c r="DG82" s="60"/>
      <c r="DH82" s="55"/>
      <c r="DI82" s="53"/>
      <c r="DJ82" s="53"/>
    </row>
    <row r="83" spans="105:114" ht="13.5" customHeight="1">
      <c r="DA83" s="53"/>
      <c r="DB83" s="53"/>
      <c r="DC83" s="53"/>
      <c r="DD83" s="53"/>
      <c r="DE83" s="53"/>
      <c r="DF83" s="53"/>
      <c r="DG83" s="53"/>
      <c r="DH83" s="55" t="s">
        <v>237</v>
      </c>
      <c r="DI83" s="58">
        <f>NPV(DI81,CZ62:EW62)</f>
        <v>0</v>
      </c>
      <c r="DJ83" s="53"/>
    </row>
    <row r="84" spans="105:114" ht="13.5" customHeight="1">
      <c r="DA84" s="53"/>
      <c r="DB84" s="53"/>
      <c r="DC84" s="53"/>
      <c r="DD84" s="53"/>
      <c r="DE84" s="53"/>
      <c r="DF84" s="53"/>
      <c r="DG84" s="53"/>
      <c r="DH84" s="55" t="s">
        <v>187</v>
      </c>
      <c r="DI84" s="58">
        <f>Main!C4</f>
        <v>30.954000000000001</v>
      </c>
      <c r="DJ84" s="61" t="s">
        <v>238</v>
      </c>
    </row>
    <row r="85" spans="105:114" ht="13.5" customHeight="1">
      <c r="DA85" s="53"/>
      <c r="DB85" s="53"/>
      <c r="DC85" s="53"/>
      <c r="DD85" s="53"/>
      <c r="DE85" s="53"/>
      <c r="DF85" s="53"/>
      <c r="DG85" s="53"/>
      <c r="DH85" s="55" t="s">
        <v>239</v>
      </c>
      <c r="DI85" s="62">
        <f>DI83/DI84</f>
        <v>0</v>
      </c>
      <c r="DJ85" s="52"/>
    </row>
    <row r="86" spans="105:114" ht="13.5" customHeight="1">
      <c r="DA86" s="53"/>
      <c r="DB86" s="53"/>
      <c r="DC86" s="53"/>
      <c r="DD86" s="53"/>
      <c r="DE86" s="53"/>
      <c r="DF86" s="53"/>
      <c r="DG86" s="53"/>
      <c r="DH86" s="55" t="s">
        <v>240</v>
      </c>
      <c r="DI86" s="62">
        <f>Main!C3</f>
        <v>50.01</v>
      </c>
      <c r="DJ86" s="63"/>
    </row>
    <row r="87" spans="105:114" ht="13.5" customHeight="1">
      <c r="DA87" s="60"/>
      <c r="DB87" s="60"/>
      <c r="DC87" s="60"/>
      <c r="DD87" s="60"/>
      <c r="DE87" s="60"/>
      <c r="DF87" s="60"/>
      <c r="DG87" s="60"/>
      <c r="DH87" s="55" t="s">
        <v>241</v>
      </c>
      <c r="DI87" s="56">
        <f>DI85/DI86-1</f>
        <v>-1</v>
      </c>
      <c r="DJ87" s="64" t="str">
        <f>IF(DI87&gt;0,"Upside","Downside")</f>
        <v>Downside</v>
      </c>
    </row>
    <row r="88" spans="105:114" ht="13.5" customHeight="1">
      <c r="DH88" s="66" t="str" cm="1">
        <f t="array" ref="DH88">_xlfn.IFS(DI87&gt;=25%,"Strong Buy",DI87&gt;=10.00001%,"Buy",AND(DI87&lt;=10%,DI87&gt;=-4.9999%),"Hold",AND(DI87&lt;=-5%,DI87&gt;=-14.999999%),"Sell",DI87&lt;=-15%,"Strong Sell")</f>
        <v>Strong Sell</v>
      </c>
      <c r="DI88" s="66"/>
    </row>
    <row r="89" spans="105:114" ht="13.5" customHeight="1"/>
    <row r="90" spans="105:114" ht="13.5" customHeight="1"/>
    <row r="91" spans="105:114" ht="13.5" customHeight="1"/>
    <row r="92" spans="105:114" ht="13.5" customHeight="1"/>
    <row r="93" spans="105:114" ht="13.5" customHeight="1"/>
    <row r="108" spans="2:2">
      <c r="B108" s="1" t="s">
        <v>176</v>
      </c>
    </row>
    <row r="109" spans="2:2">
      <c r="B109" s="1" t="s">
        <v>177</v>
      </c>
    </row>
    <row r="110" spans="2:2">
      <c r="B110" s="1" t="s">
        <v>178</v>
      </c>
    </row>
    <row r="111" spans="2:2">
      <c r="B111" s="1" t="s">
        <v>179</v>
      </c>
    </row>
    <row r="112" spans="2:2">
      <c r="B112" s="1" t="s">
        <v>180</v>
      </c>
    </row>
    <row r="113" spans="2:2">
      <c r="B113" s="1" t="s">
        <v>181</v>
      </c>
    </row>
    <row r="114" spans="2:2">
      <c r="B114" s="1" t="s">
        <v>182</v>
      </c>
    </row>
    <row r="117" spans="2:2">
      <c r="B117" s="1" t="s">
        <v>183</v>
      </c>
    </row>
    <row r="118" spans="2:2">
      <c r="B118" s="1" t="s">
        <v>184</v>
      </c>
    </row>
    <row r="119" spans="2:2">
      <c r="B119" s="1" t="s">
        <v>185</v>
      </c>
    </row>
    <row r="120" spans="2:2">
      <c r="B120" s="1" t="s">
        <v>186</v>
      </c>
    </row>
    <row r="121" spans="2:2">
      <c r="B121" s="1" t="s">
        <v>187</v>
      </c>
    </row>
    <row r="122" spans="2:2">
      <c r="B122" s="1" t="s">
        <v>188</v>
      </c>
    </row>
  </sheetData>
  <mergeCells count="1">
    <mergeCell ref="DH88:DI88"/>
  </mergeCells>
  <conditionalFormatting sqref="DH8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Sell",DH88)))</formula>
    </cfRule>
    <cfRule type="containsText" dxfId="3" priority="3" operator="containsText" text="Sell">
      <formula>NOT(ISERROR(SEARCH("Sell",DH88)))</formula>
    </cfRule>
    <cfRule type="containsText" dxfId="2" priority="4" operator="containsText" text="Hold">
      <formula>NOT(ISERROR(SEARCH("Hold",DH88)))</formula>
    </cfRule>
    <cfRule type="beginsWith" dxfId="1" priority="5" operator="beginsWith" text="Buy">
      <formula>LEFT(DH88,LEN("Buy"))="Buy"</formula>
    </cfRule>
    <cfRule type="beginsWith" dxfId="0" priority="6" operator="beginsWith" text="Strong">
      <formula>LEFT(DH88,LEN("Strong"))="Strong"</formula>
    </cfRule>
  </conditionalFormatting>
  <pageMargins left="0.7" right="0.7" top="0.75" bottom="0.75" header="0.3" footer="0.3"/>
  <ignoredErrors>
    <ignoredError sqref="CZ26:DI26 CJ16:CY16 CJ17:CY28"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8"/>
  <sheetViews>
    <sheetView topLeftCell="A250" zoomScaleNormal="100" workbookViewId="0">
      <selection activeCell="Y268" sqref="Y268"/>
    </sheetView>
  </sheetViews>
  <sheetFormatPr defaultColWidth="9.140625" defaultRowHeight="14.25"/>
  <cols>
    <col min="1" max="7" width="9.140625" style="1"/>
    <col min="8" max="8" width="3.140625" style="1" customWidth="1"/>
    <col min="9" max="28" width="9.140625" style="1"/>
    <col min="29" max="29" width="2.85546875" style="1" customWidth="1"/>
    <col min="30" max="16384" width="9.140625" style="1"/>
  </cols>
  <sheetData>
    <row r="1" spans="8:79">
      <c r="CA1" s="1">
        <v>0</v>
      </c>
    </row>
    <row r="2" spans="8:79" ht="15">
      <c r="H2" s="2" t="s">
        <v>217</v>
      </c>
      <c r="AD2" s="2" t="s">
        <v>189</v>
      </c>
    </row>
    <row r="36" spans="8:30" ht="15">
      <c r="H36" s="2" t="s">
        <v>221</v>
      </c>
    </row>
    <row r="37" spans="8:30" ht="15">
      <c r="I37" s="1" t="s">
        <v>15</v>
      </c>
      <c r="AD37" s="2" t="s">
        <v>190</v>
      </c>
    </row>
    <row r="38" spans="8:30" ht="15">
      <c r="AD38" s="2" t="s">
        <v>191</v>
      </c>
    </row>
    <row r="39" spans="8:30">
      <c r="AD39" s="1" t="s">
        <v>192</v>
      </c>
    </row>
    <row r="69" spans="8:9" ht="15">
      <c r="H69" s="2" t="s">
        <v>16</v>
      </c>
    </row>
    <row r="70" spans="8:9">
      <c r="I70" s="1" t="s">
        <v>17</v>
      </c>
    </row>
    <row r="76" spans="8:9">
      <c r="I76" s="1" t="s">
        <v>18</v>
      </c>
    </row>
    <row r="92" spans="9:9">
      <c r="I92" s="1" t="s">
        <v>19</v>
      </c>
    </row>
    <row r="109" spans="9:9">
      <c r="I109" s="1" t="s">
        <v>20</v>
      </c>
    </row>
    <row r="130" spans="8:30" ht="15">
      <c r="H130" s="2" t="s">
        <v>21</v>
      </c>
    </row>
    <row r="137" spans="8:30" ht="15">
      <c r="AD137" s="2" t="s">
        <v>193</v>
      </c>
    </row>
    <row r="138" spans="8:30">
      <c r="AD138" s="1" t="s">
        <v>194</v>
      </c>
    </row>
    <row r="162" spans="8:10">
      <c r="I162" s="1" t="s">
        <v>22</v>
      </c>
      <c r="J162" s="1" t="s">
        <v>23</v>
      </c>
    </row>
    <row r="163" spans="8:10">
      <c r="J163" s="1" t="s">
        <v>24</v>
      </c>
    </row>
    <row r="164" spans="8:10">
      <c r="J164" s="1" t="s">
        <v>25</v>
      </c>
    </row>
    <row r="166" spans="8:10" ht="15">
      <c r="H166" s="2" t="s">
        <v>220</v>
      </c>
    </row>
    <row r="195" spans="8:10">
      <c r="I195" s="1" t="s">
        <v>22</v>
      </c>
      <c r="J195" s="1" t="s">
        <v>23</v>
      </c>
    </row>
    <row r="196" spans="8:10">
      <c r="J196" s="1" t="s">
        <v>24</v>
      </c>
    </row>
    <row r="197" spans="8:10">
      <c r="J197" s="1" t="s">
        <v>25</v>
      </c>
    </row>
    <row r="199" spans="8:10" ht="15">
      <c r="H199" s="2" t="s">
        <v>219</v>
      </c>
    </row>
    <row r="215" ht="15" customHeight="1"/>
    <row r="228" spans="9:30">
      <c r="I228" s="1" t="s">
        <v>22</v>
      </c>
      <c r="J228" s="1" t="s">
        <v>23</v>
      </c>
    </row>
    <row r="229" spans="9:30">
      <c r="J229" s="1" t="s">
        <v>24</v>
      </c>
    </row>
    <row r="230" spans="9:30">
      <c r="J230" s="1" t="s">
        <v>25</v>
      </c>
    </row>
    <row r="232" spans="9:30" ht="15">
      <c r="AD232" s="2" t="s">
        <v>195</v>
      </c>
    </row>
    <row r="233" spans="9:30">
      <c r="AD233" s="1" t="s">
        <v>196</v>
      </c>
    </row>
    <row r="246" spans="1:7">
      <c r="A246" s="1" t="s">
        <v>1532</v>
      </c>
    </row>
    <row r="247" spans="1:7">
      <c r="A247" s="24" t="s">
        <v>26</v>
      </c>
      <c r="B247" s="24" t="s">
        <v>27</v>
      </c>
      <c r="C247" s="24" t="s">
        <v>28</v>
      </c>
      <c r="D247" s="24" t="s">
        <v>29</v>
      </c>
      <c r="E247" s="24" t="s">
        <v>30</v>
      </c>
      <c r="F247" s="24" t="s">
        <v>31</v>
      </c>
      <c r="G247" s="24" t="s">
        <v>32</v>
      </c>
    </row>
    <row r="248" spans="1:7">
      <c r="A248" s="67">
        <v>50.01</v>
      </c>
      <c r="B248" s="67">
        <v>51.57</v>
      </c>
      <c r="C248" s="67">
        <v>49.734999999999999</v>
      </c>
      <c r="D248" s="67">
        <v>51.5</v>
      </c>
      <c r="E248" s="67">
        <v>563299</v>
      </c>
      <c r="F248" s="67" t="s">
        <v>276</v>
      </c>
      <c r="G248" s="25">
        <f t="shared" ref="G248:G311" si="0">A248/D248-1</f>
        <v>-2.8932038834951546E-2</v>
      </c>
    </row>
    <row r="249" spans="1:7">
      <c r="A249" s="67">
        <v>51.42</v>
      </c>
      <c r="B249" s="67">
        <v>51.76</v>
      </c>
      <c r="C249" s="67">
        <v>50.58</v>
      </c>
      <c r="D249" s="67">
        <v>50.58</v>
      </c>
      <c r="E249" s="67">
        <v>309368</v>
      </c>
      <c r="F249" s="67" t="s">
        <v>277</v>
      </c>
      <c r="G249" s="25">
        <f t="shared" si="0"/>
        <v>1.6607354685646669E-2</v>
      </c>
    </row>
    <row r="250" spans="1:7">
      <c r="A250" s="67">
        <v>50.48</v>
      </c>
      <c r="B250" s="67">
        <v>53.58</v>
      </c>
      <c r="C250" s="67">
        <v>50.21</v>
      </c>
      <c r="D250" s="67">
        <v>53.01</v>
      </c>
      <c r="E250" s="67">
        <v>516943</v>
      </c>
      <c r="F250" s="67" t="s">
        <v>278</v>
      </c>
      <c r="G250" s="25">
        <f t="shared" si="0"/>
        <v>-4.7726843991699686E-2</v>
      </c>
    </row>
    <row r="251" spans="1:7">
      <c r="A251" s="67">
        <v>52.74</v>
      </c>
      <c r="B251" s="67">
        <v>52.83</v>
      </c>
      <c r="C251" s="67">
        <v>51.39</v>
      </c>
      <c r="D251" s="67">
        <v>51.75</v>
      </c>
      <c r="E251" s="67">
        <v>231623</v>
      </c>
      <c r="F251" s="67" t="s">
        <v>279</v>
      </c>
      <c r="G251" s="25">
        <f t="shared" si="0"/>
        <v>1.9130434782608674E-2</v>
      </c>
    </row>
    <row r="252" spans="1:7">
      <c r="A252" s="67">
        <v>51.79</v>
      </c>
      <c r="B252" s="67">
        <v>53.15</v>
      </c>
      <c r="C252" s="67">
        <v>51.5901</v>
      </c>
      <c r="D252" s="67">
        <v>53.06</v>
      </c>
      <c r="E252" s="67">
        <v>313019</v>
      </c>
      <c r="F252" s="67" t="s">
        <v>280</v>
      </c>
      <c r="G252" s="25">
        <f t="shared" si="0"/>
        <v>-2.3935167734640106E-2</v>
      </c>
    </row>
    <row r="253" spans="1:7">
      <c r="A253" s="67">
        <v>52.9</v>
      </c>
      <c r="B253" s="67">
        <v>53.875</v>
      </c>
      <c r="C253" s="67">
        <v>52.84</v>
      </c>
      <c r="D253" s="67">
        <v>53.72</v>
      </c>
      <c r="E253" s="67">
        <v>192688</v>
      </c>
      <c r="F253" s="67" t="s">
        <v>281</v>
      </c>
      <c r="G253" s="25">
        <f t="shared" si="0"/>
        <v>-1.5264333581533895E-2</v>
      </c>
    </row>
    <row r="254" spans="1:7">
      <c r="A254" s="67">
        <v>54.05</v>
      </c>
      <c r="B254" s="67">
        <v>54.12</v>
      </c>
      <c r="C254" s="67">
        <v>52.71</v>
      </c>
      <c r="D254" s="67">
        <v>52.71</v>
      </c>
      <c r="E254" s="67">
        <v>279238</v>
      </c>
      <c r="F254" s="67" t="s">
        <v>282</v>
      </c>
      <c r="G254" s="25">
        <f t="shared" si="0"/>
        <v>2.5422121039650802E-2</v>
      </c>
    </row>
    <row r="255" spans="1:7">
      <c r="A255" s="67">
        <v>52.81</v>
      </c>
      <c r="B255" s="67">
        <v>53.92</v>
      </c>
      <c r="C255" s="67">
        <v>52.35</v>
      </c>
      <c r="D255" s="67">
        <v>53.92</v>
      </c>
      <c r="E255" s="67">
        <v>447420</v>
      </c>
      <c r="F255" s="67" t="s">
        <v>283</v>
      </c>
      <c r="G255" s="25">
        <f t="shared" si="0"/>
        <v>-2.058605341246289E-2</v>
      </c>
    </row>
    <row r="256" spans="1:7">
      <c r="A256" s="67">
        <v>53.98</v>
      </c>
      <c r="B256" s="67">
        <v>54.22</v>
      </c>
      <c r="C256" s="67">
        <v>53.18</v>
      </c>
      <c r="D256" s="67">
        <v>53.71</v>
      </c>
      <c r="E256" s="67">
        <v>343885</v>
      </c>
      <c r="F256" s="67" t="s">
        <v>284</v>
      </c>
      <c r="G256" s="25">
        <f t="shared" si="0"/>
        <v>5.0269968348537475E-3</v>
      </c>
    </row>
    <row r="257" spans="1:17">
      <c r="A257" s="67">
        <v>53.83</v>
      </c>
      <c r="B257" s="67">
        <v>54.805</v>
      </c>
      <c r="C257" s="67">
        <v>53.47</v>
      </c>
      <c r="D257" s="67">
        <v>54.7</v>
      </c>
      <c r="E257" s="67">
        <v>389843</v>
      </c>
      <c r="F257" s="67" t="s">
        <v>285</v>
      </c>
      <c r="G257" s="25">
        <f t="shared" si="0"/>
        <v>-1.5904936014625282E-2</v>
      </c>
    </row>
    <row r="258" spans="1:17">
      <c r="A258" s="67">
        <v>54.97</v>
      </c>
      <c r="B258" s="67">
        <v>56.634999999999998</v>
      </c>
      <c r="C258" s="67">
        <v>54.65</v>
      </c>
      <c r="D258" s="67">
        <v>54.82</v>
      </c>
      <c r="E258" s="67">
        <v>412311</v>
      </c>
      <c r="F258" s="67" t="s">
        <v>286</v>
      </c>
      <c r="G258" s="25">
        <f t="shared" si="0"/>
        <v>2.7362276541407216E-3</v>
      </c>
    </row>
    <row r="259" spans="1:17">
      <c r="A259" s="67">
        <v>54.69</v>
      </c>
      <c r="B259" s="67">
        <v>54.79</v>
      </c>
      <c r="C259" s="67">
        <v>52.08</v>
      </c>
      <c r="D259" s="67">
        <v>52.84</v>
      </c>
      <c r="E259" s="67">
        <v>395642</v>
      </c>
      <c r="F259" s="67" t="s">
        <v>287</v>
      </c>
      <c r="G259" s="25">
        <f t="shared" si="0"/>
        <v>3.5011355034064939E-2</v>
      </c>
    </row>
    <row r="260" spans="1:17">
      <c r="A260" s="67">
        <v>52.87</v>
      </c>
      <c r="B260" s="67">
        <v>53.75</v>
      </c>
      <c r="C260" s="67">
        <v>52.02</v>
      </c>
      <c r="D260" s="67">
        <v>53.01</v>
      </c>
      <c r="E260" s="67">
        <v>311973</v>
      </c>
      <c r="F260" s="67" t="s">
        <v>288</v>
      </c>
      <c r="G260" s="25">
        <f t="shared" si="0"/>
        <v>-2.6410111299755012E-3</v>
      </c>
    </row>
    <row r="261" spans="1:17">
      <c r="A261" s="67">
        <v>53.55</v>
      </c>
      <c r="B261" s="67">
        <v>54.36</v>
      </c>
      <c r="C261" s="67">
        <v>53.28</v>
      </c>
      <c r="D261" s="67">
        <v>53.54</v>
      </c>
      <c r="E261" s="67">
        <v>299132</v>
      </c>
      <c r="F261" s="67" t="s">
        <v>289</v>
      </c>
      <c r="G261" s="25">
        <f t="shared" si="0"/>
        <v>1.8677624206198118E-4</v>
      </c>
      <c r="I261" s="26"/>
      <c r="J261" s="26" t="s">
        <v>33</v>
      </c>
      <c r="K261" s="27">
        <f>MIN(G248:G1503)</f>
        <v>-0.11492101519802356</v>
      </c>
    </row>
    <row r="262" spans="1:17">
      <c r="A262" s="67">
        <v>54.36</v>
      </c>
      <c r="B262" s="67">
        <v>55.15</v>
      </c>
      <c r="C262" s="67">
        <v>53.585000000000001</v>
      </c>
      <c r="D262" s="67">
        <v>53.86</v>
      </c>
      <c r="E262" s="67">
        <v>228637</v>
      </c>
      <c r="F262" s="67" t="s">
        <v>290</v>
      </c>
      <c r="G262" s="25">
        <f t="shared" si="0"/>
        <v>9.2833271444485721E-3</v>
      </c>
      <c r="I262" s="26"/>
      <c r="J262" s="26" t="s">
        <v>34</v>
      </c>
      <c r="K262" s="27">
        <f>MAX(G242:G1204)</f>
        <v>9.9961255327392529E-2</v>
      </c>
    </row>
    <row r="263" spans="1:17">
      <c r="A263" s="67">
        <v>53.73</v>
      </c>
      <c r="B263" s="67">
        <v>54.39</v>
      </c>
      <c r="C263" s="67">
        <v>53.18</v>
      </c>
      <c r="D263" s="67">
        <v>54.39</v>
      </c>
      <c r="E263" s="67">
        <v>252119</v>
      </c>
      <c r="F263" s="67" t="s">
        <v>291</v>
      </c>
      <c r="G263" s="25">
        <f t="shared" si="0"/>
        <v>-1.213458356315511E-2</v>
      </c>
      <c r="I263" s="26"/>
      <c r="J263" s="26" t="s">
        <v>35</v>
      </c>
      <c r="K263" s="27">
        <f>AVERAGE(G242:G1204)</f>
        <v>-3.919045057976897E-4</v>
      </c>
    </row>
    <row r="264" spans="1:17">
      <c r="A264" s="67">
        <v>54.43</v>
      </c>
      <c r="B264" s="67">
        <v>55.07</v>
      </c>
      <c r="C264" s="67">
        <v>54.235399999999998</v>
      </c>
      <c r="D264" s="67">
        <v>54.65</v>
      </c>
      <c r="E264" s="67">
        <v>188843</v>
      </c>
      <c r="F264" s="67" t="s">
        <v>292</v>
      </c>
      <c r="G264" s="25">
        <f t="shared" si="0"/>
        <v>-4.02561756633113E-3</v>
      </c>
      <c r="I264" s="26"/>
      <c r="J264" s="26" t="s">
        <v>36</v>
      </c>
      <c r="K264" s="27">
        <f>MEDIAN(G242:G1204)</f>
        <v>-4.703668861710808E-4</v>
      </c>
    </row>
    <row r="265" spans="1:17" ht="15">
      <c r="A265" s="67">
        <v>54.73</v>
      </c>
      <c r="B265" s="67">
        <v>54.87</v>
      </c>
      <c r="C265" s="67">
        <v>53.95</v>
      </c>
      <c r="D265" s="67">
        <v>54.21</v>
      </c>
      <c r="E265" s="67">
        <v>254817</v>
      </c>
      <c r="F265" s="67" t="s">
        <v>293</v>
      </c>
      <c r="G265" s="25">
        <f t="shared" si="0"/>
        <v>9.5923261390886694E-3</v>
      </c>
      <c r="I265" s="26"/>
      <c r="J265" s="26" t="s">
        <v>37</v>
      </c>
      <c r="K265" s="27">
        <f>_xlfn.STDEV.P(G242:G1204)</f>
        <v>2.1847838578123599E-2</v>
      </c>
      <c r="M265" s="2"/>
    </row>
    <row r="266" spans="1:17" ht="15">
      <c r="A266" s="67">
        <v>54.28</v>
      </c>
      <c r="B266" s="67">
        <v>55.734999999999999</v>
      </c>
      <c r="C266" s="67">
        <v>54.23</v>
      </c>
      <c r="D266" s="67">
        <v>55.7</v>
      </c>
      <c r="E266" s="67">
        <v>241089</v>
      </c>
      <c r="F266" s="67" t="s">
        <v>294</v>
      </c>
      <c r="G266" s="25">
        <f t="shared" si="0"/>
        <v>-2.549371633752251E-2</v>
      </c>
      <c r="I266" s="26"/>
      <c r="J266" s="28" t="s">
        <v>38</v>
      </c>
      <c r="K266" s="27">
        <f>3*K265</f>
        <v>6.5543515734370797E-2</v>
      </c>
      <c r="L266" s="26"/>
      <c r="M266" s="2" t="s">
        <v>209</v>
      </c>
    </row>
    <row r="267" spans="1:17" ht="15">
      <c r="A267" s="67">
        <v>55.81</v>
      </c>
      <c r="B267" s="67">
        <v>56.12</v>
      </c>
      <c r="C267" s="67">
        <v>53.23</v>
      </c>
      <c r="D267" s="67">
        <v>53.53</v>
      </c>
      <c r="E267" s="67">
        <v>509181</v>
      </c>
      <c r="F267" s="67" t="s">
        <v>295</v>
      </c>
      <c r="G267" s="25">
        <f t="shared" si="0"/>
        <v>4.2592938539137037E-2</v>
      </c>
      <c r="I267" s="26"/>
      <c r="J267" s="28" t="s">
        <v>39</v>
      </c>
      <c r="K267" s="26">
        <v>1.19</v>
      </c>
      <c r="L267" s="26"/>
      <c r="M267" s="2" t="s">
        <v>40</v>
      </c>
    </row>
    <row r="268" spans="1:17">
      <c r="A268" s="67">
        <v>53.07</v>
      </c>
      <c r="B268" s="67">
        <v>53.99</v>
      </c>
      <c r="C268" s="67">
        <v>52.6</v>
      </c>
      <c r="D268" s="67">
        <v>52.79</v>
      </c>
      <c r="E268" s="67">
        <v>405721</v>
      </c>
      <c r="F268" s="67" t="s">
        <v>296</v>
      </c>
      <c r="G268" s="25">
        <f t="shared" si="0"/>
        <v>5.304034855086126E-3</v>
      </c>
    </row>
    <row r="269" spans="1:17">
      <c r="A269" s="67">
        <v>53.46</v>
      </c>
      <c r="B269" s="67">
        <v>54.74</v>
      </c>
      <c r="C269" s="67">
        <v>53.44</v>
      </c>
      <c r="D269" s="67">
        <v>54.45</v>
      </c>
      <c r="E269" s="67">
        <v>321677</v>
      </c>
      <c r="F269" s="67" t="s">
        <v>297</v>
      </c>
      <c r="G269" s="25">
        <f t="shared" si="0"/>
        <v>-1.8181818181818188E-2</v>
      </c>
      <c r="I269" s="29" t="s">
        <v>41</v>
      </c>
      <c r="J269" s="30">
        <v>1256</v>
      </c>
    </row>
    <row r="270" spans="1:17" ht="15" thickBot="1">
      <c r="A270" s="67">
        <v>54.5</v>
      </c>
      <c r="B270" s="67">
        <v>55.37</v>
      </c>
      <c r="C270" s="67">
        <v>53.49</v>
      </c>
      <c r="D270" s="67">
        <v>53.49</v>
      </c>
      <c r="E270" s="67">
        <v>254573</v>
      </c>
      <c r="F270" s="67" t="s">
        <v>298</v>
      </c>
      <c r="G270" s="25">
        <f t="shared" si="0"/>
        <v>1.8882034025051286E-2</v>
      </c>
      <c r="I270" s="1" t="s">
        <v>42</v>
      </c>
      <c r="L270" s="1" t="s">
        <v>43</v>
      </c>
      <c r="P270" s="1" t="s">
        <v>44</v>
      </c>
    </row>
    <row r="271" spans="1:17" ht="15" customHeight="1">
      <c r="A271" s="67">
        <v>53.39</v>
      </c>
      <c r="B271" s="67">
        <v>54.63</v>
      </c>
      <c r="C271" s="67">
        <v>52.924999999999997</v>
      </c>
      <c r="D271" s="67">
        <v>53.23</v>
      </c>
      <c r="E271" s="67">
        <v>394210</v>
      </c>
      <c r="F271" s="67" t="s">
        <v>299</v>
      </c>
      <c r="G271" s="25">
        <f t="shared" si="0"/>
        <v>3.0058237835808299E-3</v>
      </c>
      <c r="I271" s="71" t="s">
        <v>45</v>
      </c>
      <c r="J271" s="71" t="s">
        <v>46</v>
      </c>
      <c r="L271" s="31" t="s">
        <v>47</v>
      </c>
      <c r="M271" s="32" t="s">
        <v>48</v>
      </c>
      <c r="P271" s="31" t="s">
        <v>49</v>
      </c>
      <c r="Q271" s="32" t="s">
        <v>50</v>
      </c>
    </row>
    <row r="272" spans="1:17" ht="15">
      <c r="A272" s="67">
        <v>53.12</v>
      </c>
      <c r="B272" s="67">
        <v>53.58</v>
      </c>
      <c r="C272" s="67">
        <v>52.505000000000003</v>
      </c>
      <c r="D272" s="67">
        <v>53.25</v>
      </c>
      <c r="E272" s="67">
        <v>308668</v>
      </c>
      <c r="F272" s="67" t="s">
        <v>300</v>
      </c>
      <c r="G272" s="25">
        <f t="shared" si="0"/>
        <v>-2.4413145539906589E-3</v>
      </c>
      <c r="I272" s="68">
        <v>-6.7499999999999991E-2</v>
      </c>
      <c r="J272" s="69">
        <v>4</v>
      </c>
      <c r="O272" s="1" t="s">
        <v>199</v>
      </c>
      <c r="P272" s="25">
        <f>K263</f>
        <v>-3.919045057976897E-4</v>
      </c>
    </row>
    <row r="273" spans="1:16" ht="15">
      <c r="A273" s="67">
        <v>52.64</v>
      </c>
      <c r="B273" s="67">
        <v>54.436300000000003</v>
      </c>
      <c r="C273" s="67">
        <v>51.994999999999997</v>
      </c>
      <c r="D273" s="67">
        <v>54.2</v>
      </c>
      <c r="E273" s="67">
        <v>471186</v>
      </c>
      <c r="F273" s="67" t="s">
        <v>301</v>
      </c>
      <c r="G273" s="25">
        <f t="shared" si="0"/>
        <v>-2.8782287822878283E-2</v>
      </c>
      <c r="I273" s="68">
        <v>-6.4999999999999988E-2</v>
      </c>
      <c r="J273" s="69">
        <v>0</v>
      </c>
      <c r="P273" s="25">
        <f>K263</f>
        <v>-3.919045057976897E-4</v>
      </c>
    </row>
    <row r="274" spans="1:16" ht="15">
      <c r="A274" s="67">
        <v>55.19</v>
      </c>
      <c r="B274" s="67">
        <v>55.7</v>
      </c>
      <c r="C274" s="67">
        <v>54.045000000000002</v>
      </c>
      <c r="D274" s="67">
        <v>54.44</v>
      </c>
      <c r="E274" s="67">
        <v>506094</v>
      </c>
      <c r="F274" s="67" t="s">
        <v>302</v>
      </c>
      <c r="G274" s="25">
        <f t="shared" si="0"/>
        <v>1.3776634827332934E-2</v>
      </c>
      <c r="I274" s="68">
        <v>-6.2499999999999986E-2</v>
      </c>
      <c r="J274" s="69">
        <v>1</v>
      </c>
      <c r="O274" s="39" t="s">
        <v>200</v>
      </c>
      <c r="P274" s="1">
        <f>($K$265*-3)+$K$263</f>
        <v>-6.5935420240168491E-2</v>
      </c>
    </row>
    <row r="275" spans="1:16" ht="15">
      <c r="A275" s="67">
        <v>54.01</v>
      </c>
      <c r="B275" s="67">
        <v>54.23</v>
      </c>
      <c r="C275" s="67">
        <v>52.81</v>
      </c>
      <c r="D275" s="67">
        <v>52.81</v>
      </c>
      <c r="E275" s="67">
        <v>494682</v>
      </c>
      <c r="F275" s="67" t="s">
        <v>303</v>
      </c>
      <c r="G275" s="25">
        <f t="shared" si="0"/>
        <v>2.2722969134633564E-2</v>
      </c>
      <c r="I275" s="68">
        <v>-5.9999999999999984E-2</v>
      </c>
      <c r="J275" s="69">
        <v>1</v>
      </c>
      <c r="O275" s="40"/>
      <c r="P275" s="1">
        <f>($K$265*-3)+$K$263</f>
        <v>-6.5935420240168491E-2</v>
      </c>
    </row>
    <row r="276" spans="1:16" ht="15">
      <c r="A276" s="67">
        <v>52.48</v>
      </c>
      <c r="B276" s="67">
        <v>55.32</v>
      </c>
      <c r="C276" s="67">
        <v>52.33</v>
      </c>
      <c r="D276" s="67">
        <v>54.59</v>
      </c>
      <c r="E276" s="67">
        <v>817332</v>
      </c>
      <c r="F276" s="67" t="s">
        <v>304</v>
      </c>
      <c r="G276" s="25">
        <f t="shared" si="0"/>
        <v>-3.8651767723026365E-2</v>
      </c>
      <c r="I276" s="68">
        <v>-5.7499999999999982E-2</v>
      </c>
      <c r="J276" s="69">
        <v>4</v>
      </c>
      <c r="O276" s="39" t="s">
        <v>201</v>
      </c>
      <c r="P276" s="1">
        <f>($K$265*-2)+$K$263</f>
        <v>-4.4087581662044885E-2</v>
      </c>
    </row>
    <row r="277" spans="1:16" ht="15">
      <c r="A277" s="67">
        <v>54.67</v>
      </c>
      <c r="B277" s="67">
        <v>54.9</v>
      </c>
      <c r="C277" s="67">
        <v>52.975000000000001</v>
      </c>
      <c r="D277" s="67">
        <v>53.38</v>
      </c>
      <c r="E277" s="67">
        <v>552572</v>
      </c>
      <c r="F277" s="67" t="s">
        <v>305</v>
      </c>
      <c r="G277" s="25">
        <f t="shared" si="0"/>
        <v>2.4166354439865145E-2</v>
      </c>
      <c r="I277" s="68">
        <v>-5.4999999999999979E-2</v>
      </c>
      <c r="J277" s="69">
        <v>1</v>
      </c>
      <c r="O277" s="40"/>
      <c r="P277" s="1">
        <f>($K$265*-2)+$K$263</f>
        <v>-4.4087581662044885E-2</v>
      </c>
    </row>
    <row r="278" spans="1:16" ht="15">
      <c r="A278" s="67">
        <v>53.38</v>
      </c>
      <c r="B278" s="67">
        <v>53.42</v>
      </c>
      <c r="C278" s="67">
        <v>51.06</v>
      </c>
      <c r="D278" s="67">
        <v>51.7</v>
      </c>
      <c r="E278" s="67">
        <v>1438827</v>
      </c>
      <c r="F278" s="67" t="s">
        <v>306</v>
      </c>
      <c r="G278" s="25">
        <f t="shared" si="0"/>
        <v>3.2495164410057953E-2</v>
      </c>
      <c r="I278" s="68">
        <v>-5.2499999999999977E-2</v>
      </c>
      <c r="J278" s="69">
        <v>4</v>
      </c>
      <c r="O278" s="41" t="s">
        <v>202</v>
      </c>
      <c r="P278" s="1">
        <f>($K$265*-1)+$K$263</f>
        <v>-2.2239743083921289E-2</v>
      </c>
    </row>
    <row r="279" spans="1:16" ht="15">
      <c r="A279" s="67">
        <v>51.06</v>
      </c>
      <c r="B279" s="67">
        <v>53.79</v>
      </c>
      <c r="C279" s="67">
        <v>51.05</v>
      </c>
      <c r="D279" s="67">
        <v>53.56</v>
      </c>
      <c r="E279" s="67">
        <v>527396</v>
      </c>
      <c r="F279" s="67" t="s">
        <v>307</v>
      </c>
      <c r="G279" s="25">
        <f t="shared" si="0"/>
        <v>-4.6676624346527307E-2</v>
      </c>
      <c r="I279" s="68">
        <v>-4.9999999999999975E-2</v>
      </c>
      <c r="J279" s="69">
        <v>2</v>
      </c>
      <c r="P279" s="1">
        <f>($K$265*-1)+$K$263</f>
        <v>-2.2239743083921289E-2</v>
      </c>
    </row>
    <row r="280" spans="1:16" ht="15">
      <c r="A280" s="67">
        <v>53.5</v>
      </c>
      <c r="B280" s="67">
        <v>53.79</v>
      </c>
      <c r="C280" s="67">
        <v>52.57</v>
      </c>
      <c r="D280" s="67">
        <v>53.77</v>
      </c>
      <c r="E280" s="67">
        <v>531658</v>
      </c>
      <c r="F280" s="67" t="s">
        <v>308</v>
      </c>
      <c r="G280" s="25">
        <f t="shared" si="0"/>
        <v>-5.0213873907384299E-3</v>
      </c>
      <c r="I280" s="68">
        <v>-4.7499999999999973E-2</v>
      </c>
      <c r="J280" s="69">
        <v>2</v>
      </c>
      <c r="O280" s="1" t="s">
        <v>203</v>
      </c>
      <c r="P280" s="1">
        <f>($K$265*1)+$K$263</f>
        <v>2.1455934072325909E-2</v>
      </c>
    </row>
    <row r="281" spans="1:16" ht="15" customHeight="1">
      <c r="A281" s="67">
        <v>53.48</v>
      </c>
      <c r="B281" s="67">
        <v>53.76</v>
      </c>
      <c r="C281" s="67">
        <v>51.26</v>
      </c>
      <c r="D281" s="67">
        <v>52.27</v>
      </c>
      <c r="E281" s="67">
        <v>439843</v>
      </c>
      <c r="F281" s="67" t="s">
        <v>309</v>
      </c>
      <c r="G281" s="25">
        <f t="shared" si="0"/>
        <v>2.3149033862636115E-2</v>
      </c>
      <c r="I281" s="68">
        <v>-4.4999999999999971E-2</v>
      </c>
      <c r="J281" s="69">
        <v>4</v>
      </c>
      <c r="P281" s="1">
        <f>($K$265*1)+$K$263</f>
        <v>2.1455934072325909E-2</v>
      </c>
    </row>
    <row r="282" spans="1:16" ht="15">
      <c r="A282" s="67">
        <v>52.29</v>
      </c>
      <c r="B282" s="67">
        <v>52.35</v>
      </c>
      <c r="C282" s="67">
        <v>49.914999999999999</v>
      </c>
      <c r="D282" s="67">
        <v>50.9</v>
      </c>
      <c r="E282" s="67">
        <v>624600</v>
      </c>
      <c r="F282" s="67" t="s">
        <v>310</v>
      </c>
      <c r="G282" s="25">
        <f t="shared" si="0"/>
        <v>2.7308447937131719E-2</v>
      </c>
      <c r="I282" s="68">
        <v>-4.2499999999999968E-2</v>
      </c>
      <c r="J282" s="69">
        <v>6</v>
      </c>
      <c r="O282" s="42" t="s">
        <v>204</v>
      </c>
      <c r="P282" s="1">
        <f>($K$265*2)+$K$263</f>
        <v>4.3303772650449511E-2</v>
      </c>
    </row>
    <row r="283" spans="1:16" ht="15">
      <c r="A283" s="67">
        <v>51.15</v>
      </c>
      <c r="B283" s="67">
        <v>53</v>
      </c>
      <c r="C283" s="67">
        <v>49.68</v>
      </c>
      <c r="D283" s="67">
        <v>52.22</v>
      </c>
      <c r="E283" s="67">
        <v>1208609</v>
      </c>
      <c r="F283" s="67" t="s">
        <v>311</v>
      </c>
      <c r="G283" s="25">
        <f t="shared" si="0"/>
        <v>-2.0490233626962895E-2</v>
      </c>
      <c r="I283" s="68">
        <v>-3.9999999999999966E-2</v>
      </c>
      <c r="J283" s="69">
        <v>6</v>
      </c>
      <c r="P283" s="1">
        <f>($K$265*2)+$K$263</f>
        <v>4.3303772650449511E-2</v>
      </c>
    </row>
    <row r="284" spans="1:16" ht="15">
      <c r="A284" s="67">
        <v>50.14</v>
      </c>
      <c r="B284" s="67">
        <v>51.23</v>
      </c>
      <c r="C284" s="67">
        <v>49.805</v>
      </c>
      <c r="D284" s="67">
        <v>50.15</v>
      </c>
      <c r="E284" s="67">
        <v>655433</v>
      </c>
      <c r="F284" s="67" t="s">
        <v>312</v>
      </c>
      <c r="G284" s="25">
        <f t="shared" si="0"/>
        <v>-1.9940179461608309E-4</v>
      </c>
      <c r="I284" s="68">
        <v>-3.7499999999999964E-2</v>
      </c>
      <c r="J284" s="69">
        <v>13</v>
      </c>
      <c r="O284" s="42" t="s">
        <v>205</v>
      </c>
      <c r="P284" s="1">
        <f>($K$265*3)+$K$263</f>
        <v>6.5151611228573103E-2</v>
      </c>
    </row>
    <row r="285" spans="1:16" ht="15">
      <c r="A285" s="67">
        <v>50.29</v>
      </c>
      <c r="B285" s="67">
        <v>50.994999999999997</v>
      </c>
      <c r="C285" s="67">
        <v>49.5901</v>
      </c>
      <c r="D285" s="67">
        <v>50.34</v>
      </c>
      <c r="E285" s="67">
        <v>415830</v>
      </c>
      <c r="F285" s="67" t="s">
        <v>313</v>
      </c>
      <c r="G285" s="25">
        <f t="shared" si="0"/>
        <v>-9.9324592769178821E-4</v>
      </c>
      <c r="I285" s="68">
        <v>-3.4999999999999962E-2</v>
      </c>
      <c r="J285" s="69">
        <v>13</v>
      </c>
      <c r="O285" s="42"/>
      <c r="P285" s="1">
        <f>($K$265*3)+$K$263</f>
        <v>6.5151611228573103E-2</v>
      </c>
    </row>
    <row r="286" spans="1:16" ht="15">
      <c r="A286" s="67">
        <v>50.02</v>
      </c>
      <c r="B286" s="67">
        <v>51.424999999999997</v>
      </c>
      <c r="C286" s="67">
        <v>49.814999999999998</v>
      </c>
      <c r="D286" s="67">
        <v>50.66</v>
      </c>
      <c r="E286" s="67">
        <v>459216</v>
      </c>
      <c r="F286" s="67" t="s">
        <v>314</v>
      </c>
      <c r="G286" s="25">
        <f t="shared" si="0"/>
        <v>-1.2633241215949331E-2</v>
      </c>
      <c r="I286" s="68">
        <v>-3.2499999999999959E-2</v>
      </c>
      <c r="J286" s="69">
        <v>9</v>
      </c>
    </row>
    <row r="287" spans="1:16" ht="15">
      <c r="A287" s="67">
        <v>50.95</v>
      </c>
      <c r="B287" s="67">
        <v>50.98</v>
      </c>
      <c r="C287" s="67">
        <v>49.21</v>
      </c>
      <c r="D287" s="67">
        <v>49.89</v>
      </c>
      <c r="E287" s="67">
        <v>322750</v>
      </c>
      <c r="F287" s="67" t="s">
        <v>315</v>
      </c>
      <c r="G287" s="25">
        <f t="shared" si="0"/>
        <v>2.1246742834235333E-2</v>
      </c>
      <c r="I287" s="68">
        <v>-2.9999999999999961E-2</v>
      </c>
      <c r="J287" s="69">
        <v>13</v>
      </c>
    </row>
    <row r="288" spans="1:16" ht="15">
      <c r="A288" s="67">
        <v>49.56</v>
      </c>
      <c r="B288" s="67">
        <v>50.74</v>
      </c>
      <c r="C288" s="67">
        <v>49.42</v>
      </c>
      <c r="D288" s="67">
        <v>49.99</v>
      </c>
      <c r="E288" s="67">
        <v>420656</v>
      </c>
      <c r="F288" s="67" t="s">
        <v>316</v>
      </c>
      <c r="G288" s="25">
        <f t="shared" si="0"/>
        <v>-8.6017203440688084E-3</v>
      </c>
      <c r="I288" s="68">
        <v>-2.7499999999999962E-2</v>
      </c>
      <c r="J288" s="69">
        <v>20</v>
      </c>
    </row>
    <row r="289" spans="1:10" ht="15">
      <c r="A289" s="67">
        <v>50.19</v>
      </c>
      <c r="B289" s="67">
        <v>50.265000000000001</v>
      </c>
      <c r="C289" s="67">
        <v>48.15</v>
      </c>
      <c r="D289" s="67">
        <v>48.73</v>
      </c>
      <c r="E289" s="67">
        <v>703942</v>
      </c>
      <c r="F289" s="67" t="s">
        <v>317</v>
      </c>
      <c r="G289" s="25">
        <f t="shared" si="0"/>
        <v>2.9961009644982495E-2</v>
      </c>
      <c r="I289" s="68">
        <v>-2.4999999999999963E-2</v>
      </c>
      <c r="J289" s="69">
        <v>22</v>
      </c>
    </row>
    <row r="290" spans="1:10" ht="15">
      <c r="A290" s="67">
        <v>48.03</v>
      </c>
      <c r="B290" s="67">
        <v>49.06</v>
      </c>
      <c r="C290" s="67">
        <v>47.36</v>
      </c>
      <c r="D290" s="67">
        <v>47.81</v>
      </c>
      <c r="E290" s="67">
        <v>658914</v>
      </c>
      <c r="F290" s="67" t="s">
        <v>318</v>
      </c>
      <c r="G290" s="25">
        <f t="shared" si="0"/>
        <v>4.6015477933485371E-3</v>
      </c>
      <c r="I290" s="68">
        <v>-2.2499999999999964E-2</v>
      </c>
      <c r="J290" s="69">
        <v>21</v>
      </c>
    </row>
    <row r="291" spans="1:10" ht="15">
      <c r="A291" s="67">
        <v>47.84</v>
      </c>
      <c r="B291" s="67">
        <v>48.234999999999999</v>
      </c>
      <c r="C291" s="67">
        <v>47.33</v>
      </c>
      <c r="D291" s="67">
        <v>47.9</v>
      </c>
      <c r="E291" s="67">
        <v>486598</v>
      </c>
      <c r="F291" s="67" t="s">
        <v>319</v>
      </c>
      <c r="G291" s="25">
        <f t="shared" si="0"/>
        <v>-1.2526096033401712E-3</v>
      </c>
      <c r="I291" s="68">
        <v>-1.9999999999999966E-2</v>
      </c>
      <c r="J291" s="69">
        <v>30</v>
      </c>
    </row>
    <row r="292" spans="1:10" ht="15">
      <c r="A292" s="67">
        <v>47.64</v>
      </c>
      <c r="B292" s="67">
        <v>49.83</v>
      </c>
      <c r="C292" s="67">
        <v>47.53</v>
      </c>
      <c r="D292" s="67">
        <v>49.83</v>
      </c>
      <c r="E292" s="67">
        <v>468446</v>
      </c>
      <c r="F292" s="67" t="s">
        <v>320</v>
      </c>
      <c r="G292" s="25">
        <f t="shared" si="0"/>
        <v>-4.3949428055388262E-2</v>
      </c>
      <c r="I292" s="68">
        <v>-1.7499999999999967E-2</v>
      </c>
      <c r="J292" s="69">
        <v>42</v>
      </c>
    </row>
    <row r="293" spans="1:10" ht="15">
      <c r="A293" s="67">
        <v>49.25</v>
      </c>
      <c r="B293" s="67">
        <v>50.5</v>
      </c>
      <c r="C293" s="67">
        <v>49.055</v>
      </c>
      <c r="D293" s="67">
        <v>49.64</v>
      </c>
      <c r="E293" s="67">
        <v>532831</v>
      </c>
      <c r="F293" s="67" t="s">
        <v>321</v>
      </c>
      <c r="G293" s="25">
        <f t="shared" si="0"/>
        <v>-7.8565672844480572E-3</v>
      </c>
      <c r="I293" s="68">
        <v>-1.4999999999999966E-2</v>
      </c>
      <c r="J293" s="69">
        <v>46</v>
      </c>
    </row>
    <row r="294" spans="1:10" ht="15">
      <c r="A294" s="67">
        <v>49.94</v>
      </c>
      <c r="B294" s="67">
        <v>50.19</v>
      </c>
      <c r="C294" s="67">
        <v>48.52</v>
      </c>
      <c r="D294" s="67">
        <v>49.05</v>
      </c>
      <c r="E294" s="67">
        <v>709256</v>
      </c>
      <c r="F294" s="67" t="s">
        <v>322</v>
      </c>
      <c r="G294" s="25">
        <f t="shared" si="0"/>
        <v>1.8144750254841968E-2</v>
      </c>
      <c r="I294" s="68">
        <v>-1.2499999999999966E-2</v>
      </c>
      <c r="J294" s="69">
        <v>51</v>
      </c>
    </row>
    <row r="295" spans="1:10" ht="15">
      <c r="A295" s="67">
        <v>48.8</v>
      </c>
      <c r="B295" s="67">
        <v>50.58</v>
      </c>
      <c r="C295" s="67">
        <v>48.74</v>
      </c>
      <c r="D295" s="67">
        <v>50.27</v>
      </c>
      <c r="E295" s="67">
        <v>337085</v>
      </c>
      <c r="F295" s="67" t="s">
        <v>323</v>
      </c>
      <c r="G295" s="25">
        <f t="shared" si="0"/>
        <v>-2.9242092699423239E-2</v>
      </c>
      <c r="I295" s="68">
        <v>-9.9999999999999655E-3</v>
      </c>
      <c r="J295" s="69">
        <v>57</v>
      </c>
    </row>
    <row r="296" spans="1:10" ht="15">
      <c r="A296" s="67">
        <v>50.06</v>
      </c>
      <c r="B296" s="67">
        <v>51.604999999999997</v>
      </c>
      <c r="C296" s="67">
        <v>49.835000000000001</v>
      </c>
      <c r="D296" s="67">
        <v>51.1</v>
      </c>
      <c r="E296" s="67">
        <v>349162</v>
      </c>
      <c r="F296" s="67" t="s">
        <v>324</v>
      </c>
      <c r="G296" s="25">
        <f t="shared" si="0"/>
        <v>-2.0352250489236723E-2</v>
      </c>
      <c r="I296" s="68">
        <v>-7.499999999999965E-3</v>
      </c>
      <c r="J296" s="69">
        <v>53</v>
      </c>
    </row>
    <row r="297" spans="1:10" ht="15">
      <c r="A297" s="67">
        <v>51.27</v>
      </c>
      <c r="B297" s="67">
        <v>53.43</v>
      </c>
      <c r="C297" s="67">
        <v>51.17</v>
      </c>
      <c r="D297" s="67">
        <v>53.43</v>
      </c>
      <c r="E297" s="67">
        <v>333935</v>
      </c>
      <c r="F297" s="67" t="s">
        <v>325</v>
      </c>
      <c r="G297" s="25">
        <f t="shared" si="0"/>
        <v>-4.0426726558113302E-2</v>
      </c>
      <c r="I297" s="68">
        <v>-4.9999999999999645E-3</v>
      </c>
      <c r="J297" s="69">
        <v>61</v>
      </c>
    </row>
    <row r="298" spans="1:10" ht="15">
      <c r="A298" s="67">
        <v>53.57</v>
      </c>
      <c r="B298" s="67">
        <v>54.81</v>
      </c>
      <c r="C298" s="67">
        <v>52.390900000000002</v>
      </c>
      <c r="D298" s="67">
        <v>52.82</v>
      </c>
      <c r="E298" s="67">
        <v>440428</v>
      </c>
      <c r="F298" s="67" t="s">
        <v>326</v>
      </c>
      <c r="G298" s="25">
        <f t="shared" si="0"/>
        <v>1.4199166982203693E-2</v>
      </c>
      <c r="I298" s="68">
        <v>-2.4999999999999645E-3</v>
      </c>
      <c r="J298" s="69">
        <v>61</v>
      </c>
    </row>
    <row r="299" spans="1:10" ht="15">
      <c r="A299" s="67">
        <v>52.91</v>
      </c>
      <c r="B299" s="67">
        <v>53.09</v>
      </c>
      <c r="C299" s="67">
        <v>51.2</v>
      </c>
      <c r="D299" s="67">
        <v>52.66</v>
      </c>
      <c r="E299" s="67">
        <v>321825</v>
      </c>
      <c r="F299" s="67" t="s">
        <v>327</v>
      </c>
      <c r="G299" s="25">
        <f t="shared" si="0"/>
        <v>4.747436384352488E-3</v>
      </c>
      <c r="I299" s="68">
        <v>3.5561831257524545E-17</v>
      </c>
      <c r="J299" s="69">
        <v>73</v>
      </c>
    </row>
    <row r="300" spans="1:10" ht="15">
      <c r="A300" s="67">
        <v>52.45</v>
      </c>
      <c r="B300" s="67">
        <v>54.21</v>
      </c>
      <c r="C300" s="67">
        <v>51.41</v>
      </c>
      <c r="D300" s="67">
        <v>51.41</v>
      </c>
      <c r="E300" s="67">
        <v>449532</v>
      </c>
      <c r="F300" s="67" t="s">
        <v>328</v>
      </c>
      <c r="G300" s="25">
        <f t="shared" si="0"/>
        <v>2.0229527329313379E-2</v>
      </c>
      <c r="I300" s="68">
        <v>2.5000000000000356E-3</v>
      </c>
      <c r="J300" s="69">
        <v>68</v>
      </c>
    </row>
    <row r="301" spans="1:10" ht="15">
      <c r="A301" s="67">
        <v>51.93</v>
      </c>
      <c r="B301" s="67">
        <v>53.920999999999999</v>
      </c>
      <c r="C301" s="67">
        <v>51.72</v>
      </c>
      <c r="D301" s="67">
        <v>53.51</v>
      </c>
      <c r="E301" s="67">
        <v>435779</v>
      </c>
      <c r="F301" s="67" t="s">
        <v>329</v>
      </c>
      <c r="G301" s="25">
        <f t="shared" si="0"/>
        <v>-2.9527191179218759E-2</v>
      </c>
      <c r="I301" s="68">
        <v>5.0000000000000357E-3</v>
      </c>
      <c r="J301" s="69">
        <v>71</v>
      </c>
    </row>
    <row r="302" spans="1:10" ht="15">
      <c r="A302" s="67">
        <v>54.33</v>
      </c>
      <c r="B302" s="67">
        <v>55.3</v>
      </c>
      <c r="C302" s="67">
        <v>53.945</v>
      </c>
      <c r="D302" s="67">
        <v>55.3</v>
      </c>
      <c r="E302" s="67">
        <v>250665</v>
      </c>
      <c r="F302" s="67" t="s">
        <v>330</v>
      </c>
      <c r="G302" s="25">
        <f t="shared" si="0"/>
        <v>-1.754068716094026E-2</v>
      </c>
      <c r="I302" s="68">
        <v>7.5000000000000362E-3</v>
      </c>
      <c r="J302" s="69">
        <v>72</v>
      </c>
    </row>
    <row r="303" spans="1:10" ht="15">
      <c r="A303" s="67">
        <v>54.22</v>
      </c>
      <c r="B303" s="67">
        <v>54.66</v>
      </c>
      <c r="C303" s="67">
        <v>53.22</v>
      </c>
      <c r="D303" s="67">
        <v>54.38</v>
      </c>
      <c r="E303" s="67">
        <v>494145</v>
      </c>
      <c r="F303" s="67" t="s">
        <v>331</v>
      </c>
      <c r="G303" s="25">
        <f t="shared" si="0"/>
        <v>-2.9422581831556327E-3</v>
      </c>
      <c r="I303" s="68">
        <v>1.0000000000000037E-2</v>
      </c>
      <c r="J303" s="69">
        <v>65</v>
      </c>
    </row>
    <row r="304" spans="1:10" ht="15">
      <c r="A304" s="67">
        <v>54.07</v>
      </c>
      <c r="B304" s="67">
        <v>55.191400000000002</v>
      </c>
      <c r="C304" s="67">
        <v>51.92</v>
      </c>
      <c r="D304" s="67">
        <v>51.95</v>
      </c>
      <c r="E304" s="67">
        <v>396908</v>
      </c>
      <c r="F304" s="67" t="s">
        <v>332</v>
      </c>
      <c r="G304" s="25">
        <f t="shared" si="0"/>
        <v>4.0808469682386939E-2</v>
      </c>
      <c r="I304" s="68">
        <v>1.2500000000000037E-2</v>
      </c>
      <c r="J304" s="69">
        <v>55</v>
      </c>
    </row>
    <row r="305" spans="1:30" ht="15">
      <c r="A305" s="67">
        <v>52.08</v>
      </c>
      <c r="B305" s="67">
        <v>52.92</v>
      </c>
      <c r="C305" s="67">
        <v>51.77</v>
      </c>
      <c r="D305" s="67">
        <v>52.28</v>
      </c>
      <c r="E305" s="67">
        <v>280241</v>
      </c>
      <c r="F305" s="67" t="s">
        <v>333</v>
      </c>
      <c r="G305" s="25">
        <f t="shared" si="0"/>
        <v>-3.8255547054323324E-3</v>
      </c>
      <c r="I305" s="68">
        <v>1.5000000000000038E-2</v>
      </c>
      <c r="J305" s="69">
        <v>56</v>
      </c>
    </row>
    <row r="306" spans="1:30" ht="15">
      <c r="A306" s="67">
        <v>52.17</v>
      </c>
      <c r="B306" s="67">
        <v>53.046700000000001</v>
      </c>
      <c r="C306" s="67">
        <v>51.43</v>
      </c>
      <c r="D306" s="67">
        <v>52.52</v>
      </c>
      <c r="E306" s="67">
        <v>1210977</v>
      </c>
      <c r="F306" s="67" t="s">
        <v>334</v>
      </c>
      <c r="G306" s="25">
        <f t="shared" si="0"/>
        <v>-6.6641279512567042E-3</v>
      </c>
      <c r="I306" s="68">
        <v>1.7500000000000036E-2</v>
      </c>
      <c r="J306" s="69">
        <v>47</v>
      </c>
    </row>
    <row r="307" spans="1:30" ht="15">
      <c r="A307" s="67">
        <v>52.34</v>
      </c>
      <c r="B307" s="67">
        <v>52.6</v>
      </c>
      <c r="C307" s="67">
        <v>51.71</v>
      </c>
      <c r="D307" s="67">
        <v>52.47</v>
      </c>
      <c r="E307" s="67">
        <v>263473</v>
      </c>
      <c r="F307" s="67" t="s">
        <v>335</v>
      </c>
      <c r="G307" s="25">
        <f t="shared" si="0"/>
        <v>-2.477606251191089E-3</v>
      </c>
      <c r="I307" s="68">
        <v>2.0000000000000035E-2</v>
      </c>
      <c r="J307" s="69">
        <v>30</v>
      </c>
    </row>
    <row r="308" spans="1:30" ht="15">
      <c r="A308" s="67">
        <v>52.41</v>
      </c>
      <c r="B308" s="67">
        <v>53.3</v>
      </c>
      <c r="C308" s="67">
        <v>52.14</v>
      </c>
      <c r="D308" s="67">
        <v>52.59</v>
      </c>
      <c r="E308" s="67">
        <v>269738</v>
      </c>
      <c r="F308" s="67" t="s">
        <v>336</v>
      </c>
      <c r="G308" s="25">
        <f t="shared" si="0"/>
        <v>-3.4227039361096612E-3</v>
      </c>
      <c r="I308" s="68">
        <v>2.2500000000000034E-2</v>
      </c>
      <c r="J308" s="69">
        <v>28</v>
      </c>
    </row>
    <row r="309" spans="1:30" ht="15">
      <c r="A309" s="67">
        <v>52.84</v>
      </c>
      <c r="B309" s="67">
        <v>53.05</v>
      </c>
      <c r="C309" s="67">
        <v>51.523499999999999</v>
      </c>
      <c r="D309" s="67">
        <v>52.3</v>
      </c>
      <c r="E309" s="67">
        <v>510080</v>
      </c>
      <c r="F309" s="67" t="s">
        <v>337</v>
      </c>
      <c r="G309" s="25">
        <f t="shared" si="0"/>
        <v>1.0325047801147402E-2</v>
      </c>
      <c r="I309" s="68">
        <v>2.5000000000000033E-2</v>
      </c>
      <c r="J309" s="69">
        <v>31</v>
      </c>
    </row>
    <row r="310" spans="1:30" ht="15">
      <c r="A310" s="67">
        <v>51.67</v>
      </c>
      <c r="B310" s="67">
        <v>52.695</v>
      </c>
      <c r="C310" s="67">
        <v>50.8</v>
      </c>
      <c r="D310" s="67">
        <v>51.88</v>
      </c>
      <c r="E310" s="67">
        <v>350829</v>
      </c>
      <c r="F310" s="67" t="s">
        <v>338</v>
      </c>
      <c r="G310" s="25">
        <f t="shared" si="0"/>
        <v>-4.0478026214341156E-3</v>
      </c>
      <c r="I310" s="68">
        <v>2.7500000000000031E-2</v>
      </c>
      <c r="J310" s="69">
        <v>21</v>
      </c>
    </row>
    <row r="311" spans="1:30" ht="15">
      <c r="A311" s="67">
        <v>52.19</v>
      </c>
      <c r="B311" s="67">
        <v>52.85</v>
      </c>
      <c r="C311" s="67">
        <v>51.3</v>
      </c>
      <c r="D311" s="67">
        <v>52.48</v>
      </c>
      <c r="E311" s="67">
        <v>407933</v>
      </c>
      <c r="F311" s="67" t="s">
        <v>339</v>
      </c>
      <c r="G311" s="25">
        <f t="shared" si="0"/>
        <v>-5.5259146341463117E-3</v>
      </c>
      <c r="I311" s="68">
        <v>3.000000000000003E-2</v>
      </c>
      <c r="J311" s="69">
        <v>15</v>
      </c>
    </row>
    <row r="312" spans="1:30" ht="15">
      <c r="A312" s="67">
        <v>52.08</v>
      </c>
      <c r="B312" s="67">
        <v>53.12</v>
      </c>
      <c r="C312" s="67">
        <v>51.82</v>
      </c>
      <c r="D312" s="67">
        <v>52.09</v>
      </c>
      <c r="E312" s="67">
        <v>591518</v>
      </c>
      <c r="F312" s="67" t="s">
        <v>340</v>
      </c>
      <c r="G312" s="25">
        <f t="shared" ref="G312:G375" si="1">A312/D312-1</f>
        <v>-1.9197542714544102E-4</v>
      </c>
      <c r="I312" s="68">
        <v>3.2500000000000029E-2</v>
      </c>
      <c r="J312" s="69">
        <v>11</v>
      </c>
    </row>
    <row r="313" spans="1:30" ht="15">
      <c r="A313" s="67">
        <v>52.24</v>
      </c>
      <c r="B313" s="67">
        <v>53.125</v>
      </c>
      <c r="C313" s="67">
        <v>52.07</v>
      </c>
      <c r="D313" s="67">
        <v>52.75</v>
      </c>
      <c r="E313" s="67">
        <v>470274</v>
      </c>
      <c r="F313" s="67" t="s">
        <v>341</v>
      </c>
      <c r="G313" s="25">
        <f t="shared" si="1"/>
        <v>-9.6682464454975747E-3</v>
      </c>
      <c r="I313" s="68">
        <v>3.5000000000000031E-2</v>
      </c>
      <c r="J313" s="69">
        <v>15</v>
      </c>
    </row>
    <row r="314" spans="1:30" ht="15">
      <c r="A314" s="67">
        <v>53.38</v>
      </c>
      <c r="B314" s="67">
        <v>54.29</v>
      </c>
      <c r="C314" s="67">
        <v>52.65</v>
      </c>
      <c r="D314" s="67">
        <v>54</v>
      </c>
      <c r="E314" s="67">
        <v>454442</v>
      </c>
      <c r="F314" s="67" t="s">
        <v>342</v>
      </c>
      <c r="G314" s="25">
        <f t="shared" si="1"/>
        <v>-1.1481481481481426E-2</v>
      </c>
      <c r="I314" s="68">
        <v>3.7500000000000033E-2</v>
      </c>
      <c r="J314" s="69">
        <v>7</v>
      </c>
    </row>
    <row r="315" spans="1:30" ht="15">
      <c r="A315" s="67">
        <v>53.55</v>
      </c>
      <c r="B315" s="67">
        <v>55.4</v>
      </c>
      <c r="C315" s="67">
        <v>53.48</v>
      </c>
      <c r="D315" s="67">
        <v>53.93</v>
      </c>
      <c r="E315" s="67">
        <v>325631</v>
      </c>
      <c r="F315" s="67" t="s">
        <v>343</v>
      </c>
      <c r="G315" s="25">
        <f t="shared" si="1"/>
        <v>-7.046170962358711E-3</v>
      </c>
      <c r="I315" s="68">
        <v>4.0000000000000036E-2</v>
      </c>
      <c r="J315" s="69">
        <v>4</v>
      </c>
    </row>
    <row r="316" spans="1:30" ht="15">
      <c r="A316" s="67">
        <v>54.769999999999982</v>
      </c>
      <c r="B316" s="67">
        <v>55.203417318537369</v>
      </c>
      <c r="C316" s="67">
        <v>53.549456976532639</v>
      </c>
      <c r="D316" s="67">
        <v>55.188471893760216</v>
      </c>
      <c r="E316" s="67">
        <v>469475.11393098423</v>
      </c>
      <c r="F316" s="67" t="s">
        <v>344</v>
      </c>
      <c r="G316" s="25">
        <f t="shared" si="1"/>
        <v>-7.5825961364867078E-3</v>
      </c>
      <c r="I316" s="68">
        <v>4.2500000000000038E-2</v>
      </c>
      <c r="J316" s="69">
        <v>6</v>
      </c>
    </row>
    <row r="317" spans="1:30" ht="15">
      <c r="A317" s="67">
        <v>56.742796070583942</v>
      </c>
      <c r="B317" s="67">
        <v>59.298463707476792</v>
      </c>
      <c r="C317" s="67">
        <v>56.678032563216284</v>
      </c>
      <c r="D317" s="67">
        <v>59.283518282699639</v>
      </c>
      <c r="E317" s="67">
        <v>333354.86105532234</v>
      </c>
      <c r="F317" s="67" t="s">
        <v>345</v>
      </c>
      <c r="G317" s="25">
        <f t="shared" si="1"/>
        <v>-4.2857142857142816E-2</v>
      </c>
      <c r="I317" s="68">
        <v>4.500000000000004E-2</v>
      </c>
      <c r="J317" s="69">
        <v>6</v>
      </c>
    </row>
    <row r="318" spans="1:30" ht="15">
      <c r="A318" s="67">
        <v>59.153991267964329</v>
      </c>
      <c r="B318" s="67">
        <v>60.130425686738207</v>
      </c>
      <c r="C318" s="67">
        <v>58.680719483354544</v>
      </c>
      <c r="D318" s="67">
        <v>59.602354011278862</v>
      </c>
      <c r="E318" s="67">
        <v>215450.88533868911</v>
      </c>
      <c r="F318" s="67" t="s">
        <v>346</v>
      </c>
      <c r="G318" s="25">
        <f t="shared" si="1"/>
        <v>-7.5225677031093285E-3</v>
      </c>
      <c r="I318" s="68">
        <v>4.7500000000000042E-2</v>
      </c>
      <c r="J318" s="69">
        <v>3</v>
      </c>
      <c r="AD318" s="2" t="s">
        <v>197</v>
      </c>
    </row>
    <row r="319" spans="1:30" ht="15">
      <c r="A319" s="67">
        <v>58.825191922866999</v>
      </c>
      <c r="B319" s="67">
        <v>58.979627978897568</v>
      </c>
      <c r="C319" s="67">
        <v>56.648141713661978</v>
      </c>
      <c r="D319" s="67">
        <v>57.450212843369094</v>
      </c>
      <c r="E319" s="67">
        <v>369531.48420668259</v>
      </c>
      <c r="F319" s="67" t="s">
        <v>347</v>
      </c>
      <c r="G319" s="25">
        <f t="shared" si="1"/>
        <v>2.3933402705515139E-2</v>
      </c>
      <c r="I319" s="68">
        <v>5.0000000000000044E-2</v>
      </c>
      <c r="J319" s="69">
        <v>6</v>
      </c>
      <c r="AD319" s="1" t="s">
        <v>198</v>
      </c>
    </row>
    <row r="320" spans="1:30" ht="15">
      <c r="A320" s="67">
        <v>56.742796070583942</v>
      </c>
      <c r="B320" s="67">
        <v>57.240976896488981</v>
      </c>
      <c r="C320" s="67">
        <v>55.985561215208278</v>
      </c>
      <c r="D320" s="67">
        <v>57.161267964344169</v>
      </c>
      <c r="E320" s="67">
        <v>241246.73963848827</v>
      </c>
      <c r="F320" s="67" t="s">
        <v>348</v>
      </c>
      <c r="G320" s="25">
        <f t="shared" si="1"/>
        <v>-7.3208994247864201E-3</v>
      </c>
      <c r="I320" s="68">
        <v>5.2500000000000047E-2</v>
      </c>
      <c r="J320" s="69">
        <v>2</v>
      </c>
    </row>
    <row r="321" spans="1:10" ht="15">
      <c r="A321" s="67">
        <v>56.413996725486612</v>
      </c>
      <c r="B321" s="67">
        <v>57.151204711660895</v>
      </c>
      <c r="C321" s="67">
        <v>55.796252501364364</v>
      </c>
      <c r="D321" s="67">
        <v>56.423960342004719</v>
      </c>
      <c r="E321" s="67">
        <v>278660.86525470158</v>
      </c>
      <c r="F321" s="67" t="s">
        <v>349</v>
      </c>
      <c r="G321" s="25">
        <f t="shared" si="1"/>
        <v>-1.7658484902005611E-4</v>
      </c>
      <c r="I321" s="68">
        <v>5.5000000000000049E-2</v>
      </c>
      <c r="J321" s="69">
        <v>1</v>
      </c>
    </row>
    <row r="322" spans="1:10" ht="15">
      <c r="A322" s="67">
        <v>56.364178642896114</v>
      </c>
      <c r="B322" s="67">
        <v>57.211086046934682</v>
      </c>
      <c r="C322" s="67">
        <v>56.184833545570299</v>
      </c>
      <c r="D322" s="67">
        <v>56.683014371475338</v>
      </c>
      <c r="E322" s="67">
        <v>214102.98119408442</v>
      </c>
      <c r="F322" s="67" t="s">
        <v>350</v>
      </c>
      <c r="G322" s="25">
        <f t="shared" si="1"/>
        <v>-5.624890138864469E-3</v>
      </c>
      <c r="I322" s="68">
        <v>5.7500000000000051E-2</v>
      </c>
      <c r="J322" s="69">
        <v>3</v>
      </c>
    </row>
    <row r="323" spans="1:10" ht="15">
      <c r="A323" s="67">
        <v>56.702941604511537</v>
      </c>
      <c r="B323" s="67">
        <v>56.782650536656348</v>
      </c>
      <c r="C323" s="67">
        <v>54.192110241950139</v>
      </c>
      <c r="D323" s="67">
        <v>55.228326359832622</v>
      </c>
      <c r="E323" s="67">
        <v>240761.97589921497</v>
      </c>
      <c r="F323" s="67" t="s">
        <v>351</v>
      </c>
      <c r="G323" s="25">
        <f t="shared" si="1"/>
        <v>2.6700342774670816E-2</v>
      </c>
      <c r="I323" s="68">
        <v>6.0000000000000053E-2</v>
      </c>
      <c r="J323" s="69">
        <v>1</v>
      </c>
    </row>
    <row r="324" spans="1:10" ht="15">
      <c r="A324" s="67">
        <v>55.178508277242123</v>
      </c>
      <c r="B324" s="67">
        <v>56.638178097143879</v>
      </c>
      <c r="C324" s="67">
        <v>54.899527014735298</v>
      </c>
      <c r="D324" s="67">
        <v>56.184833545570299</v>
      </c>
      <c r="E324" s="67">
        <v>252603.05787840066</v>
      </c>
      <c r="F324" s="67" t="s">
        <v>352</v>
      </c>
      <c r="G324" s="25">
        <f t="shared" si="1"/>
        <v>-1.7910977123603455E-2</v>
      </c>
      <c r="I324" s="68">
        <v>6.2500000000000056E-2</v>
      </c>
      <c r="J324" s="69">
        <v>0</v>
      </c>
    </row>
    <row r="325" spans="1:10" ht="15">
      <c r="A325" s="67">
        <v>56.543523740221922</v>
      </c>
      <c r="B325" s="67">
        <v>57.350576678188091</v>
      </c>
      <c r="C325" s="67">
        <v>56.214724395124598</v>
      </c>
      <c r="D325" s="67">
        <v>56.942068400945956</v>
      </c>
      <c r="E325" s="67">
        <v>285088.25031951803</v>
      </c>
      <c r="F325" s="67" t="s">
        <v>353</v>
      </c>
      <c r="G325" s="25">
        <f t="shared" si="1"/>
        <v>-6.9991251093614038E-3</v>
      </c>
      <c r="I325" s="68">
        <v>6.5000000000000058E-2</v>
      </c>
      <c r="J325" s="69">
        <v>2</v>
      </c>
    </row>
    <row r="326" spans="1:10" ht="15">
      <c r="A326" s="67">
        <v>57.480103692923393</v>
      </c>
      <c r="B326" s="67">
        <v>57.798939421502624</v>
      </c>
      <c r="C326" s="67">
        <v>56.722868837547736</v>
      </c>
      <c r="D326" s="67">
        <v>57.380467527742397</v>
      </c>
      <c r="E326" s="67">
        <v>252385.26547379961</v>
      </c>
      <c r="F326" s="67" t="s">
        <v>354</v>
      </c>
      <c r="G326" s="25">
        <f t="shared" si="1"/>
        <v>1.7364125716268219E-3</v>
      </c>
      <c r="I326" s="68">
        <v>6.750000000000006E-2</v>
      </c>
      <c r="J326" s="69">
        <v>5</v>
      </c>
    </row>
    <row r="327" spans="1:10" ht="15.75" thickBot="1">
      <c r="A327" s="67">
        <v>56.862359468801152</v>
      </c>
      <c r="B327" s="67">
        <v>58.038066217937043</v>
      </c>
      <c r="C327" s="67">
        <v>56.573414589776228</v>
      </c>
      <c r="D327" s="67">
        <v>57.430285610332895</v>
      </c>
      <c r="E327" s="67">
        <v>213464.65875479282</v>
      </c>
      <c r="F327" s="67" t="s">
        <v>355</v>
      </c>
      <c r="G327" s="25">
        <f t="shared" si="1"/>
        <v>-9.8889659958362186E-3</v>
      </c>
      <c r="I327" s="70" t="s">
        <v>1533</v>
      </c>
      <c r="J327" s="70">
        <v>5</v>
      </c>
    </row>
    <row r="328" spans="1:10">
      <c r="A328" s="67">
        <v>57.569776241586304</v>
      </c>
      <c r="B328" s="67">
        <v>58.055801455339264</v>
      </c>
      <c r="C328" s="67">
        <v>56.035379297798784</v>
      </c>
      <c r="D328" s="67">
        <v>56.284469710751303</v>
      </c>
      <c r="E328" s="67">
        <v>443443.4014971701</v>
      </c>
      <c r="F328" s="67" t="s">
        <v>356</v>
      </c>
      <c r="G328" s="25">
        <f t="shared" si="1"/>
        <v>2.2835900159320355E-2</v>
      </c>
    </row>
    <row r="329" spans="1:10">
      <c r="A329" s="67">
        <v>55.198435510278316</v>
      </c>
      <c r="B329" s="67">
        <v>55.71654356921956</v>
      </c>
      <c r="C329" s="67">
        <v>54.570727669637975</v>
      </c>
      <c r="D329" s="67">
        <v>55.128690194651611</v>
      </c>
      <c r="E329" s="67">
        <v>333820.55541354767</v>
      </c>
      <c r="F329" s="67" t="s">
        <v>357</v>
      </c>
      <c r="G329" s="25">
        <f t="shared" si="1"/>
        <v>1.2651364540032795E-3</v>
      </c>
    </row>
    <row r="330" spans="1:10">
      <c r="A330" s="67">
        <v>55.856034200472976</v>
      </c>
      <c r="B330" s="67">
        <v>57.181195197380376</v>
      </c>
      <c r="C330" s="67">
        <v>55.61690740403855</v>
      </c>
      <c r="D330" s="67">
        <v>56.952032017464056</v>
      </c>
      <c r="E330" s="67">
        <v>261308.73215263837</v>
      </c>
      <c r="F330" s="67" t="s">
        <v>358</v>
      </c>
      <c r="G330" s="25">
        <f t="shared" si="1"/>
        <v>-1.9244226731980341E-2</v>
      </c>
    </row>
    <row r="331" spans="1:10">
      <c r="A331" s="67">
        <v>57.201122430416575</v>
      </c>
      <c r="B331" s="67">
        <v>59.004537020192814</v>
      </c>
      <c r="C331" s="67">
        <v>57.081559032199365</v>
      </c>
      <c r="D331" s="67">
        <v>59.004537020192814</v>
      </c>
      <c r="E331" s="67">
        <v>290272.11100967688</v>
      </c>
      <c r="F331" s="67" t="s">
        <v>359</v>
      </c>
      <c r="G331" s="25">
        <f t="shared" si="1"/>
        <v>-3.0563998649104973E-2</v>
      </c>
    </row>
    <row r="332" spans="1:10">
      <c r="A332" s="67">
        <v>59.622281244315069</v>
      </c>
      <c r="B332" s="67">
        <v>60.578788430052739</v>
      </c>
      <c r="C332" s="67">
        <v>59.188863925777682</v>
      </c>
      <c r="D332" s="67">
        <v>59.512681462615951</v>
      </c>
      <c r="E332" s="67">
        <v>351009.09329925152</v>
      </c>
      <c r="F332" s="67" t="s">
        <v>360</v>
      </c>
      <c r="G332" s="25">
        <f t="shared" si="1"/>
        <v>1.8416206261511192E-3</v>
      </c>
    </row>
    <row r="333" spans="1:10">
      <c r="A333" s="67">
        <v>60.050716754593402</v>
      </c>
      <c r="B333" s="67">
        <v>60.120462070220107</v>
      </c>
      <c r="C333" s="67">
        <v>58.197484082226651</v>
      </c>
      <c r="D333" s="67">
        <v>59.03442786974712</v>
      </c>
      <c r="E333" s="67">
        <v>241129.31239729785</v>
      </c>
      <c r="F333" s="67" t="s">
        <v>361</v>
      </c>
      <c r="G333" s="25">
        <f t="shared" si="1"/>
        <v>1.7215189873417858E-2</v>
      </c>
    </row>
    <row r="334" spans="1:10">
      <c r="A334" s="67">
        <v>60.070643987629602</v>
      </c>
      <c r="B334" s="67">
        <v>60.284861742768769</v>
      </c>
      <c r="C334" s="67">
        <v>58.865046388939405</v>
      </c>
      <c r="D334" s="67">
        <v>59.552535928688364</v>
      </c>
      <c r="E334" s="67">
        <v>277718.4363702758</v>
      </c>
      <c r="F334" s="67" t="s">
        <v>362</v>
      </c>
      <c r="G334" s="25">
        <f t="shared" si="1"/>
        <v>8.700016730801341E-3</v>
      </c>
    </row>
    <row r="335" spans="1:10">
      <c r="A335" s="67">
        <v>59.48279061306166</v>
      </c>
      <c r="B335" s="67">
        <v>59.731881026014179</v>
      </c>
      <c r="C335" s="67">
        <v>57.60963070765871</v>
      </c>
      <c r="D335" s="67">
        <v>58.446574495179171</v>
      </c>
      <c r="E335" s="67">
        <v>325229.29742559802</v>
      </c>
      <c r="F335" s="67" t="s">
        <v>363</v>
      </c>
      <c r="G335" s="25">
        <f t="shared" si="1"/>
        <v>1.772928741902513E-2</v>
      </c>
    </row>
    <row r="336" spans="1:10">
      <c r="A336" s="67">
        <v>58.406720029106765</v>
      </c>
      <c r="B336" s="67">
        <v>59.547554120429311</v>
      </c>
      <c r="C336" s="67">
        <v>58.097847917045648</v>
      </c>
      <c r="D336" s="67">
        <v>59.462863380025453</v>
      </c>
      <c r="E336" s="67">
        <v>407228.63958371384</v>
      </c>
      <c r="F336" s="67" t="s">
        <v>364</v>
      </c>
      <c r="G336" s="25">
        <f t="shared" si="1"/>
        <v>-1.7761394101876826E-2</v>
      </c>
    </row>
    <row r="337" spans="1:7">
      <c r="A337" s="67">
        <v>59.831517191195182</v>
      </c>
      <c r="B337" s="67">
        <v>60.628606512643245</v>
      </c>
      <c r="C337" s="67">
        <v>59.218754775331988</v>
      </c>
      <c r="D337" s="67">
        <v>60.499079497907935</v>
      </c>
      <c r="E337" s="67">
        <v>257040.20175278443</v>
      </c>
      <c r="F337" s="67" t="s">
        <v>365</v>
      </c>
      <c r="G337" s="25">
        <f t="shared" si="1"/>
        <v>-1.103425559947302E-2</v>
      </c>
    </row>
    <row r="338" spans="1:7">
      <c r="A338" s="67">
        <v>60.509043114426035</v>
      </c>
      <c r="B338" s="67">
        <v>60.857769692559557</v>
      </c>
      <c r="C338" s="67">
        <v>58.596028742950686</v>
      </c>
      <c r="D338" s="67">
        <v>59.014500636710913</v>
      </c>
      <c r="E338" s="67">
        <v>588899.62187328842</v>
      </c>
      <c r="F338" s="67" t="s">
        <v>366</v>
      </c>
      <c r="G338" s="25">
        <f t="shared" si="1"/>
        <v>2.5325004220834169E-2</v>
      </c>
    </row>
    <row r="339" spans="1:7">
      <c r="A339" s="67">
        <v>56.872323085319252</v>
      </c>
      <c r="B339" s="67">
        <v>58.212429507003804</v>
      </c>
      <c r="C339" s="67">
        <v>56.58836001455338</v>
      </c>
      <c r="D339" s="67">
        <v>57.569776241586304</v>
      </c>
      <c r="E339" s="67">
        <v>286857.68815044739</v>
      </c>
      <c r="F339" s="67" t="s">
        <v>367</v>
      </c>
      <c r="G339" s="25">
        <f t="shared" si="1"/>
        <v>-1.2114918656974671E-2</v>
      </c>
    </row>
    <row r="340" spans="1:7">
      <c r="A340" s="67">
        <v>57.539885392032005</v>
      </c>
      <c r="B340" s="67">
        <v>58.366865563034366</v>
      </c>
      <c r="C340" s="67">
        <v>55.985561215208278</v>
      </c>
      <c r="D340" s="67">
        <v>56.418978533745666</v>
      </c>
      <c r="E340" s="67">
        <v>334936.61603067379</v>
      </c>
      <c r="F340" s="67" t="s">
        <v>368</v>
      </c>
      <c r="G340" s="25">
        <f t="shared" si="1"/>
        <v>1.9867549668874274E-2</v>
      </c>
    </row>
    <row r="341" spans="1:7">
      <c r="A341" s="67">
        <v>55.806216117882464</v>
      </c>
      <c r="B341" s="67">
        <v>56.578396398035274</v>
      </c>
      <c r="C341" s="67">
        <v>54.630509368746573</v>
      </c>
      <c r="D341" s="67">
        <v>55.915815899581574</v>
      </c>
      <c r="E341" s="67">
        <v>381180.86872375396</v>
      </c>
      <c r="F341" s="67" t="s">
        <v>369</v>
      </c>
      <c r="G341" s="25">
        <f t="shared" si="1"/>
        <v>-1.960085531005018E-3</v>
      </c>
    </row>
    <row r="342" spans="1:7">
      <c r="A342" s="67">
        <v>55.706579952701453</v>
      </c>
      <c r="B342" s="67">
        <v>57.161267964344169</v>
      </c>
      <c r="C342" s="67">
        <v>55.477416772785141</v>
      </c>
      <c r="D342" s="67">
        <v>56.294433327269402</v>
      </c>
      <c r="E342" s="67">
        <v>420421.64031404065</v>
      </c>
      <c r="F342" s="67" t="s">
        <v>370</v>
      </c>
      <c r="G342" s="25">
        <f t="shared" si="1"/>
        <v>-1.0442477876106304E-2</v>
      </c>
    </row>
    <row r="343" spans="1:7">
      <c r="A343" s="67">
        <v>56.762723303620142</v>
      </c>
      <c r="B343" s="67">
        <v>57.094013552846995</v>
      </c>
      <c r="C343" s="67">
        <v>56.214724395124598</v>
      </c>
      <c r="D343" s="67">
        <v>56.971959250500255</v>
      </c>
      <c r="E343" s="67">
        <v>490402.2541537339</v>
      </c>
      <c r="F343" s="67" t="s">
        <v>371</v>
      </c>
      <c r="G343" s="25">
        <f t="shared" si="1"/>
        <v>-3.672612801678854E-3</v>
      </c>
    </row>
    <row r="344" spans="1:7">
      <c r="A344" s="67">
        <v>57.470140076405293</v>
      </c>
      <c r="B344" s="67">
        <v>57.918502819719833</v>
      </c>
      <c r="C344" s="67">
        <v>55.666725486629055</v>
      </c>
      <c r="D344" s="67">
        <v>57.509994542477699</v>
      </c>
      <c r="E344" s="67">
        <v>697369.27222932281</v>
      </c>
      <c r="F344" s="67" t="s">
        <v>372</v>
      </c>
      <c r="G344" s="25">
        <f t="shared" si="1"/>
        <v>-6.9300069300071154E-4</v>
      </c>
    </row>
    <row r="345" spans="1:7">
      <c r="A345" s="67">
        <v>56.981922867018355</v>
      </c>
      <c r="B345" s="67">
        <v>59.771735492086577</v>
      </c>
      <c r="C345" s="67">
        <v>54.417088702928858</v>
      </c>
      <c r="D345" s="67">
        <v>54.799890849554288</v>
      </c>
      <c r="E345" s="67">
        <v>1411417.2273142235</v>
      </c>
      <c r="F345" s="67" t="s">
        <v>373</v>
      </c>
      <c r="G345" s="25">
        <f t="shared" si="1"/>
        <v>3.9818181818181753E-2</v>
      </c>
    </row>
    <row r="346" spans="1:7">
      <c r="A346" s="67">
        <v>48.931320720392925</v>
      </c>
      <c r="B346" s="67">
        <v>50.86426232490448</v>
      </c>
      <c r="C346" s="67">
        <v>48.213940331089674</v>
      </c>
      <c r="D346" s="67">
        <v>50.86426232490448</v>
      </c>
      <c r="E346" s="67">
        <v>612921.02008398774</v>
      </c>
      <c r="F346" s="67" t="s">
        <v>374</v>
      </c>
      <c r="G346" s="25">
        <f t="shared" si="1"/>
        <v>-3.8001958863859042E-2</v>
      </c>
    </row>
    <row r="347" spans="1:7">
      <c r="A347" s="67">
        <v>50.98382572312169</v>
      </c>
      <c r="B347" s="67">
        <v>51.701206112424948</v>
      </c>
      <c r="C347" s="67">
        <v>50.323935401127876</v>
      </c>
      <c r="D347" s="67">
        <v>50.515535746770958</v>
      </c>
      <c r="E347" s="67">
        <v>509178.56892459391</v>
      </c>
      <c r="F347" s="67" t="s">
        <v>375</v>
      </c>
      <c r="G347" s="25">
        <f t="shared" si="1"/>
        <v>9.2702169625245023E-3</v>
      </c>
    </row>
    <row r="348" spans="1:7">
      <c r="A348" s="67">
        <v>50.655026378024367</v>
      </c>
      <c r="B348" s="67">
        <v>51.611533563762038</v>
      </c>
      <c r="C348" s="67">
        <v>49.628773876659984</v>
      </c>
      <c r="D348" s="67">
        <v>49.828046207021998</v>
      </c>
      <c r="E348" s="67">
        <v>768364.57787109748</v>
      </c>
      <c r="F348" s="67" t="s">
        <v>376</v>
      </c>
      <c r="G348" s="25">
        <f t="shared" si="1"/>
        <v>1.6596680663867325E-2</v>
      </c>
    </row>
    <row r="349" spans="1:7">
      <c r="A349" s="67">
        <v>50.525499363289057</v>
      </c>
      <c r="B349" s="67">
        <v>51.003752956157889</v>
      </c>
      <c r="C349" s="67">
        <v>49.840500727669628</v>
      </c>
      <c r="D349" s="67">
        <v>50.495608513734751</v>
      </c>
      <c r="E349" s="67">
        <v>451007.92386342899</v>
      </c>
      <c r="F349" s="67" t="s">
        <v>377</v>
      </c>
      <c r="G349" s="25">
        <f t="shared" si="1"/>
        <v>5.9194948697727234E-4</v>
      </c>
    </row>
    <row r="350" spans="1:7">
      <c r="A350" s="67">
        <v>50.814444242313975</v>
      </c>
      <c r="B350" s="67">
        <v>50.829389667091128</v>
      </c>
      <c r="C350" s="67">
        <v>49.464374204111323</v>
      </c>
      <c r="D350" s="67">
        <v>49.997427687829713</v>
      </c>
      <c r="E350" s="67">
        <v>348587.28190615308</v>
      </c>
      <c r="F350" s="67" t="s">
        <v>378</v>
      </c>
      <c r="G350" s="25">
        <f t="shared" si="1"/>
        <v>1.6341171781586228E-2</v>
      </c>
    </row>
    <row r="351" spans="1:7">
      <c r="A351" s="67">
        <v>49.529137711478974</v>
      </c>
      <c r="B351" s="67">
        <v>50.924044024013085</v>
      </c>
      <c r="C351" s="67">
        <v>48.453067127524093</v>
      </c>
      <c r="D351" s="67">
        <v>49.339828997635067</v>
      </c>
      <c r="E351" s="67">
        <v>611065.26821252529</v>
      </c>
      <c r="F351" s="67" t="s">
        <v>379</v>
      </c>
      <c r="G351" s="25">
        <f t="shared" si="1"/>
        <v>3.8368336025846883E-3</v>
      </c>
    </row>
    <row r="352" spans="1:7">
      <c r="A352" s="67">
        <v>47.845286519919945</v>
      </c>
      <c r="B352" s="67">
        <v>48.428158086228834</v>
      </c>
      <c r="C352" s="67">
        <v>47.088051664544281</v>
      </c>
      <c r="D352" s="67">
        <v>48.02463161724576</v>
      </c>
      <c r="E352" s="67">
        <v>407195.5190797883</v>
      </c>
      <c r="F352" s="67" t="s">
        <v>380</v>
      </c>
      <c r="G352" s="25">
        <f t="shared" si="1"/>
        <v>-3.734439834024883E-3</v>
      </c>
    </row>
    <row r="353" spans="1:7">
      <c r="A353" s="67">
        <v>47.486596325268316</v>
      </c>
      <c r="B353" s="67">
        <v>47.944922685100948</v>
      </c>
      <c r="C353" s="67">
        <v>45.832635983263586</v>
      </c>
      <c r="D353" s="67">
        <v>47.944922685100948</v>
      </c>
      <c r="E353" s="67">
        <v>532653.98064633936</v>
      </c>
      <c r="F353" s="67" t="s">
        <v>381</v>
      </c>
      <c r="G353" s="25">
        <f t="shared" si="1"/>
        <v>-9.5594347464671436E-3</v>
      </c>
    </row>
    <row r="354" spans="1:7">
      <c r="A354" s="67">
        <v>48.413212661451695</v>
      </c>
      <c r="B354" s="67">
        <v>48.592557758777502</v>
      </c>
      <c r="C354" s="67">
        <v>47.516487174822615</v>
      </c>
      <c r="D354" s="67">
        <v>47.636050573039832</v>
      </c>
      <c r="E354" s="67">
        <v>392331.43837867456</v>
      </c>
      <c r="F354" s="67" t="s">
        <v>382</v>
      </c>
      <c r="G354" s="25">
        <f t="shared" si="1"/>
        <v>1.631457854005447E-2</v>
      </c>
    </row>
    <row r="355" spans="1:7">
      <c r="A355" s="67">
        <v>47.855250136438045</v>
      </c>
      <c r="B355" s="67">
        <v>48.791830089139516</v>
      </c>
      <c r="C355" s="67">
        <v>47.07818768419137</v>
      </c>
      <c r="D355" s="67">
        <v>48.742012006549018</v>
      </c>
      <c r="E355" s="67">
        <v>695847.73635201773</v>
      </c>
      <c r="F355" s="67" t="s">
        <v>383</v>
      </c>
      <c r="G355" s="25">
        <f t="shared" si="1"/>
        <v>-1.8192968111202079E-2</v>
      </c>
    </row>
    <row r="356" spans="1:7">
      <c r="A356" s="67">
        <v>48.313576496270684</v>
      </c>
      <c r="B356" s="67">
        <v>50.894153174458779</v>
      </c>
      <c r="C356" s="67">
        <v>47.715759505184636</v>
      </c>
      <c r="D356" s="67">
        <v>50.664989994542466</v>
      </c>
      <c r="E356" s="67">
        <v>483167.933175096</v>
      </c>
      <c r="F356" s="67" t="s">
        <v>384</v>
      </c>
      <c r="G356" s="25">
        <f t="shared" si="1"/>
        <v>-4.6411012782694105E-2</v>
      </c>
    </row>
    <row r="357" spans="1:7">
      <c r="A357" s="67">
        <v>50.794517009277769</v>
      </c>
      <c r="B357" s="67">
        <v>52.368768419137702</v>
      </c>
      <c r="C357" s="67">
        <v>50.037282153902112</v>
      </c>
      <c r="D357" s="67">
        <v>52.368768419137702</v>
      </c>
      <c r="E357" s="67">
        <v>706912.99561803928</v>
      </c>
      <c r="F357" s="67" t="s">
        <v>385</v>
      </c>
      <c r="G357" s="25">
        <f t="shared" si="1"/>
        <v>-3.0060882800609035E-2</v>
      </c>
    </row>
    <row r="358" spans="1:7">
      <c r="A358" s="67">
        <v>51.541788248135333</v>
      </c>
      <c r="B358" s="67">
        <v>52.712513189012178</v>
      </c>
      <c r="C358" s="67">
        <v>50.176772785155528</v>
      </c>
      <c r="D358" s="67">
        <v>52.328913953065296</v>
      </c>
      <c r="E358" s="67">
        <v>794758.60854482406</v>
      </c>
      <c r="F358" s="67" t="s">
        <v>386</v>
      </c>
      <c r="G358" s="25">
        <f t="shared" si="1"/>
        <v>-1.5041888804265047E-2</v>
      </c>
    </row>
    <row r="359" spans="1:7">
      <c r="A359" s="67">
        <v>52.099750773148976</v>
      </c>
      <c r="B359" s="67">
        <v>55.397707840640336</v>
      </c>
      <c r="C359" s="67">
        <v>50.764626159723477</v>
      </c>
      <c r="D359" s="67">
        <v>55.397707840640336</v>
      </c>
      <c r="E359" s="67">
        <v>608817.08855212724</v>
      </c>
      <c r="F359" s="67" t="s">
        <v>387</v>
      </c>
      <c r="G359" s="25">
        <f t="shared" si="1"/>
        <v>-5.9532374100719432E-2</v>
      </c>
    </row>
    <row r="360" spans="1:7">
      <c r="A360" s="67">
        <v>56.573414589776228</v>
      </c>
      <c r="B360" s="67">
        <v>56.961995633982156</v>
      </c>
      <c r="C360" s="67">
        <v>50.834371475350181</v>
      </c>
      <c r="D360" s="67">
        <v>51.432188466436223</v>
      </c>
      <c r="E360" s="67">
        <v>907528.90615300369</v>
      </c>
      <c r="F360" s="67" t="s">
        <v>388</v>
      </c>
      <c r="G360" s="25">
        <f t="shared" si="1"/>
        <v>9.9961255327392529E-2</v>
      </c>
    </row>
    <row r="361" spans="1:7">
      <c r="A361" s="67">
        <v>51.681278879388742</v>
      </c>
      <c r="B361" s="67">
        <v>56.732832454065836</v>
      </c>
      <c r="C361" s="67">
        <v>50.824407858832075</v>
      </c>
      <c r="D361" s="67">
        <v>55.248253592868828</v>
      </c>
      <c r="E361" s="67">
        <v>867520.34106262575</v>
      </c>
      <c r="F361" s="67" t="s">
        <v>389</v>
      </c>
      <c r="G361" s="25">
        <f t="shared" si="1"/>
        <v>-6.4562669071235423E-2</v>
      </c>
    </row>
    <row r="362" spans="1:7">
      <c r="A362" s="67">
        <v>55.228326359832622</v>
      </c>
      <c r="B362" s="67">
        <v>58.257265781335256</v>
      </c>
      <c r="C362" s="67">
        <v>51.551751864653433</v>
      </c>
      <c r="D362" s="67">
        <v>52.578004366017815</v>
      </c>
      <c r="E362" s="67">
        <v>734937.96019718843</v>
      </c>
      <c r="F362" s="67" t="s">
        <v>390</v>
      </c>
      <c r="G362" s="25">
        <f t="shared" si="1"/>
        <v>5.0407428463141946E-2</v>
      </c>
    </row>
    <row r="363" spans="1:7">
      <c r="A363" s="67">
        <v>56.035379297798784</v>
      </c>
      <c r="B363" s="67">
        <v>56.952032017464056</v>
      </c>
      <c r="C363" s="67">
        <v>54.769999999999982</v>
      </c>
      <c r="D363" s="67">
        <v>56.613269055848633</v>
      </c>
      <c r="E363" s="67">
        <v>572572.21708964778</v>
      </c>
      <c r="F363" s="67" t="s">
        <v>391</v>
      </c>
      <c r="G363" s="25">
        <f t="shared" si="1"/>
        <v>-1.0207673354452718E-2</v>
      </c>
    </row>
    <row r="364" spans="1:7">
      <c r="A364" s="67">
        <v>57.689339639803514</v>
      </c>
      <c r="B364" s="67">
        <v>59.452899763507354</v>
      </c>
      <c r="C364" s="67">
        <v>57.460176459887201</v>
      </c>
      <c r="D364" s="67">
        <v>58.785337456794601</v>
      </c>
      <c r="E364" s="67">
        <v>552052.55943034519</v>
      </c>
      <c r="F364" s="67" t="s">
        <v>392</v>
      </c>
      <c r="G364" s="25">
        <f t="shared" si="1"/>
        <v>-1.8644067796610209E-2</v>
      </c>
    </row>
    <row r="365" spans="1:7">
      <c r="A365" s="67">
        <v>60.210134618883011</v>
      </c>
      <c r="B365" s="67">
        <v>60.90758777515007</v>
      </c>
      <c r="C365" s="67">
        <v>58.217411315262858</v>
      </c>
      <c r="D365" s="67">
        <v>58.217411315262858</v>
      </c>
      <c r="E365" s="67">
        <v>322667.97845535888</v>
      </c>
      <c r="F365" s="67" t="s">
        <v>393</v>
      </c>
      <c r="G365" s="25">
        <f t="shared" si="1"/>
        <v>3.4228991956186894E-2</v>
      </c>
    </row>
    <row r="366" spans="1:7">
      <c r="A366" s="67">
        <v>59.183882117518628</v>
      </c>
      <c r="B366" s="67">
        <v>60.045734946334349</v>
      </c>
      <c r="C366" s="67">
        <v>58.516319810805875</v>
      </c>
      <c r="D366" s="67">
        <v>59.831517191195182</v>
      </c>
      <c r="E366" s="67">
        <v>340304.14496987412</v>
      </c>
      <c r="F366" s="67" t="s">
        <v>394</v>
      </c>
      <c r="G366" s="25">
        <f t="shared" si="1"/>
        <v>-1.0824313072439695E-2</v>
      </c>
    </row>
    <row r="367" spans="1:7">
      <c r="A367" s="67">
        <v>60.170280152810612</v>
      </c>
      <c r="B367" s="67">
        <v>60.728242677824255</v>
      </c>
      <c r="C367" s="67">
        <v>57.938430052756033</v>
      </c>
      <c r="D367" s="67">
        <v>58.197484082226651</v>
      </c>
      <c r="E367" s="67">
        <v>461044.44020449161</v>
      </c>
      <c r="F367" s="67" t="s">
        <v>395</v>
      </c>
      <c r="G367" s="25">
        <f t="shared" si="1"/>
        <v>3.3898305084745894E-2</v>
      </c>
    </row>
    <row r="368" spans="1:7">
      <c r="A368" s="67">
        <v>58.635883209023092</v>
      </c>
      <c r="B368" s="67">
        <v>59.532608695652158</v>
      </c>
      <c r="C368" s="67">
        <v>57.92348462797888</v>
      </c>
      <c r="D368" s="67">
        <v>59.283518282699639</v>
      </c>
      <c r="E368" s="67">
        <v>380313.71371188614</v>
      </c>
      <c r="F368" s="67" t="s">
        <v>396</v>
      </c>
      <c r="G368" s="25">
        <f t="shared" si="1"/>
        <v>-1.0924369747899121E-2</v>
      </c>
    </row>
    <row r="369" spans="1:7">
      <c r="A369" s="67">
        <v>59.632244860833168</v>
      </c>
      <c r="B369" s="67">
        <v>60.598715663088939</v>
      </c>
      <c r="C369" s="67">
        <v>59.363227214844443</v>
      </c>
      <c r="D369" s="67">
        <v>60.598715663088939</v>
      </c>
      <c r="E369" s="67">
        <v>199198.75442760641</v>
      </c>
      <c r="F369" s="67" t="s">
        <v>397</v>
      </c>
      <c r="G369" s="25">
        <f t="shared" si="1"/>
        <v>-1.5948701085169215E-2</v>
      </c>
    </row>
    <row r="370" spans="1:7">
      <c r="A370" s="67">
        <v>60.130425686738207</v>
      </c>
      <c r="B370" s="67">
        <v>61.027151173367272</v>
      </c>
      <c r="C370" s="67">
        <v>59.403081680916848</v>
      </c>
      <c r="D370" s="67">
        <v>60.170280152810612</v>
      </c>
      <c r="E370" s="67">
        <v>295377.68687237549</v>
      </c>
      <c r="F370" s="67" t="s">
        <v>398</v>
      </c>
      <c r="G370" s="25">
        <f t="shared" si="1"/>
        <v>-6.623613180990473E-4</v>
      </c>
    </row>
    <row r="371" spans="1:7">
      <c r="A371" s="67">
        <v>59.462863380025453</v>
      </c>
      <c r="B371" s="67">
        <v>60.937478624704362</v>
      </c>
      <c r="C371" s="67">
        <v>58.705628524649796</v>
      </c>
      <c r="D371" s="67">
        <v>60.210134618883011</v>
      </c>
      <c r="E371" s="67">
        <v>552274.36644148268</v>
      </c>
      <c r="F371" s="67" t="s">
        <v>399</v>
      </c>
      <c r="G371" s="25">
        <f t="shared" si="1"/>
        <v>-1.2411054112195896E-2</v>
      </c>
    </row>
    <row r="372" spans="1:7">
      <c r="A372" s="67">
        <v>60.578788430052739</v>
      </c>
      <c r="B372" s="67">
        <v>60.812933418228106</v>
      </c>
      <c r="C372" s="67">
        <v>59.682062943423666</v>
      </c>
      <c r="D372" s="67">
        <v>60.140389303256306</v>
      </c>
      <c r="E372" s="67">
        <v>305673.14533503749</v>
      </c>
      <c r="F372" s="67" t="s">
        <v>400</v>
      </c>
      <c r="G372" s="25">
        <f t="shared" si="1"/>
        <v>7.2895957587806315E-3</v>
      </c>
    </row>
    <row r="373" spans="1:7">
      <c r="A373" s="67">
        <v>59.423008913953048</v>
      </c>
      <c r="B373" s="67">
        <v>60.394461524467879</v>
      </c>
      <c r="C373" s="67">
        <v>57.818866654538823</v>
      </c>
      <c r="D373" s="67">
        <v>58.117775150081847</v>
      </c>
      <c r="E373" s="67">
        <v>601028.75187146268</v>
      </c>
      <c r="F373" s="67" t="s">
        <v>401</v>
      </c>
      <c r="G373" s="25">
        <f t="shared" si="1"/>
        <v>2.2458426195782533E-2</v>
      </c>
    </row>
    <row r="374" spans="1:7">
      <c r="A374" s="67">
        <v>58.745482990722195</v>
      </c>
      <c r="B374" s="67">
        <v>59.353263598326343</v>
      </c>
      <c r="C374" s="67">
        <v>57.788975804984524</v>
      </c>
      <c r="D374" s="67">
        <v>58.436610878661071</v>
      </c>
      <c r="E374" s="67">
        <v>318476.72923133109</v>
      </c>
      <c r="F374" s="67" t="s">
        <v>402</v>
      </c>
      <c r="G374" s="25">
        <f t="shared" si="1"/>
        <v>5.2855924978687518E-3</v>
      </c>
    </row>
    <row r="375" spans="1:7">
      <c r="A375" s="67">
        <v>58.69566490813169</v>
      </c>
      <c r="B375" s="67">
        <v>60.807951609969059</v>
      </c>
      <c r="C375" s="67">
        <v>58.028102601418944</v>
      </c>
      <c r="D375" s="67">
        <v>60.279879934509715</v>
      </c>
      <c r="E375" s="67">
        <v>491749.15464670456</v>
      </c>
      <c r="F375" s="67" t="s">
        <v>403</v>
      </c>
      <c r="G375" s="25">
        <f t="shared" si="1"/>
        <v>-2.6280991735537218E-2</v>
      </c>
    </row>
    <row r="376" spans="1:7">
      <c r="A376" s="67">
        <v>60.389479716208825</v>
      </c>
      <c r="B376" s="67">
        <v>61.057042022921578</v>
      </c>
      <c r="C376" s="67">
        <v>59.208791158813881</v>
      </c>
      <c r="D376" s="67">
        <v>60.748169910860454</v>
      </c>
      <c r="E376" s="67">
        <v>409360.39565455553</v>
      </c>
      <c r="F376" s="67" t="s">
        <v>404</v>
      </c>
      <c r="G376" s="25">
        <f t="shared" ref="G376:G439" si="2">A376/D376-1</f>
        <v>-5.904543217976066E-3</v>
      </c>
    </row>
    <row r="377" spans="1:7">
      <c r="A377" s="67">
        <v>61.166641804620689</v>
      </c>
      <c r="B377" s="67">
        <v>62.182930689466964</v>
      </c>
      <c r="C377" s="67">
        <v>58.531265235583028</v>
      </c>
      <c r="D377" s="67">
        <v>58.775373840276501</v>
      </c>
      <c r="E377" s="67">
        <v>528245.94266934472</v>
      </c>
      <c r="F377" s="67" t="s">
        <v>405</v>
      </c>
      <c r="G377" s="25">
        <f t="shared" si="2"/>
        <v>4.0684861840990072E-2</v>
      </c>
    </row>
    <row r="378" spans="1:7">
      <c r="A378" s="67">
        <v>58.615955975986886</v>
      </c>
      <c r="B378" s="67">
        <v>59.37319083136255</v>
      </c>
      <c r="C378" s="67">
        <v>57.988248135346538</v>
      </c>
      <c r="D378" s="67">
        <v>58.884973621975611</v>
      </c>
      <c r="E378" s="67">
        <v>459961.50009129097</v>
      </c>
      <c r="F378" s="67" t="s">
        <v>406</v>
      </c>
      <c r="G378" s="25">
        <f t="shared" si="2"/>
        <v>-4.5685279187818173E-3</v>
      </c>
    </row>
    <row r="379" spans="1:7">
      <c r="A379" s="67">
        <v>58.077920684009428</v>
      </c>
      <c r="B379" s="67">
        <v>60.034041452474099</v>
      </c>
      <c r="C379" s="67">
        <v>57.750245631423972</v>
      </c>
      <c r="D379" s="67">
        <v>58.604186677555759</v>
      </c>
      <c r="E379" s="67">
        <v>322865.6840526801</v>
      </c>
      <c r="F379" s="67" t="s">
        <v>407</v>
      </c>
      <c r="G379" s="25">
        <f t="shared" si="2"/>
        <v>-8.9800067773635472E-3</v>
      </c>
    </row>
    <row r="380" spans="1:7">
      <c r="A380" s="67">
        <v>58.703482148036194</v>
      </c>
      <c r="B380" s="67">
        <v>61.39438939805612</v>
      </c>
      <c r="C380" s="67">
        <v>58.395666189546837</v>
      </c>
      <c r="D380" s="67">
        <v>61.39438939805612</v>
      </c>
      <c r="E380" s="67">
        <v>500908.04504317953</v>
      </c>
      <c r="F380" s="67" t="s">
        <v>408</v>
      </c>
      <c r="G380" s="25">
        <f t="shared" si="2"/>
        <v>-4.3829856056930239E-2</v>
      </c>
    </row>
    <row r="381" spans="1:7">
      <c r="A381" s="67">
        <v>61.493684868536562</v>
      </c>
      <c r="B381" s="67">
        <v>63.241980217285672</v>
      </c>
      <c r="C381" s="67">
        <v>61.146150721855022</v>
      </c>
      <c r="D381" s="67">
        <v>62.625653232013583</v>
      </c>
      <c r="E381" s="67">
        <v>721343.07489997125</v>
      </c>
      <c r="F381" s="67" t="s">
        <v>409</v>
      </c>
      <c r="G381" s="25">
        <f t="shared" si="2"/>
        <v>-1.8075154590137976E-2</v>
      </c>
    </row>
    <row r="382" spans="1:7">
      <c r="A382" s="67">
        <v>62.168894067803556</v>
      </c>
      <c r="B382" s="67">
        <v>64.412971700661515</v>
      </c>
      <c r="C382" s="67">
        <v>60.997207516134367</v>
      </c>
      <c r="D382" s="67">
        <v>62.178823614851602</v>
      </c>
      <c r="E382" s="67">
        <v>691082.88291475992</v>
      </c>
      <c r="F382" s="67" t="s">
        <v>410</v>
      </c>
      <c r="G382" s="25">
        <f t="shared" si="2"/>
        <v>-1.5969338869370464E-4</v>
      </c>
    </row>
    <row r="383" spans="1:7">
      <c r="A383" s="67">
        <v>62.297978179428135</v>
      </c>
      <c r="B383" s="67">
        <v>62.834173720022505</v>
      </c>
      <c r="C383" s="67">
        <v>58.031450403824579</v>
      </c>
      <c r="D383" s="67">
        <v>58.405595736594876</v>
      </c>
      <c r="E383" s="67">
        <v>664244.80070309504</v>
      </c>
      <c r="F383" s="67" t="s">
        <v>411</v>
      </c>
      <c r="G383" s="25">
        <f t="shared" si="2"/>
        <v>6.6643998639918545E-2</v>
      </c>
    </row>
    <row r="384" spans="1:7">
      <c r="A384" s="67">
        <v>58.723341242132285</v>
      </c>
      <c r="B384" s="67">
        <v>58.832566259660773</v>
      </c>
      <c r="C384" s="67">
        <v>56.250884027169327</v>
      </c>
      <c r="D384" s="67">
        <v>56.787079567763698</v>
      </c>
      <c r="E384" s="67">
        <v>663576.08943480928</v>
      </c>
      <c r="F384" s="67" t="s">
        <v>412</v>
      </c>
      <c r="G384" s="25">
        <f t="shared" si="2"/>
        <v>3.4096870082182207E-2</v>
      </c>
    </row>
    <row r="385" spans="1:7">
      <c r="A385" s="67">
        <v>57.194190996733511</v>
      </c>
      <c r="B385" s="67">
        <v>58.693552600988156</v>
      </c>
      <c r="C385" s="67">
        <v>56.425842646155864</v>
      </c>
      <c r="D385" s="67">
        <v>57.869400196000505</v>
      </c>
      <c r="E385" s="67">
        <v>375772.42767936795</v>
      </c>
      <c r="F385" s="67" t="s">
        <v>413</v>
      </c>
      <c r="G385" s="25">
        <f t="shared" si="2"/>
        <v>-1.1667810569663706E-2</v>
      </c>
    </row>
    <row r="386" spans="1:7">
      <c r="A386" s="67">
        <v>57.293486467213953</v>
      </c>
      <c r="B386" s="67">
        <v>58.236793436778129</v>
      </c>
      <c r="C386" s="67">
        <v>54.830958799299033</v>
      </c>
      <c r="D386" s="67">
        <v>57.293486467213953</v>
      </c>
      <c r="E386" s="67">
        <v>754147.18957146222</v>
      </c>
      <c r="F386" s="67" t="s">
        <v>414</v>
      </c>
      <c r="G386" s="25">
        <f t="shared" si="2"/>
        <v>0</v>
      </c>
    </row>
    <row r="387" spans="1:7">
      <c r="A387" s="67">
        <v>57.919047931240719</v>
      </c>
      <c r="B387" s="67">
        <v>60.25249148753106</v>
      </c>
      <c r="C387" s="67">
        <v>57.710527443231797</v>
      </c>
      <c r="D387" s="67">
        <v>59.011298106525558</v>
      </c>
      <c r="E387" s="67">
        <v>579776.69798483269</v>
      </c>
      <c r="F387" s="67" t="s">
        <v>415</v>
      </c>
      <c r="G387" s="25">
        <f t="shared" si="2"/>
        <v>-1.8509170452633339E-2</v>
      </c>
    </row>
    <row r="388" spans="1:7">
      <c r="A388" s="67">
        <v>58.753129883276422</v>
      </c>
      <c r="B388" s="67">
        <v>59.885098246753437</v>
      </c>
      <c r="C388" s="67">
        <v>58.316229813162479</v>
      </c>
      <c r="D388" s="67">
        <v>58.792848071468597</v>
      </c>
      <c r="E388" s="67">
        <v>611532.42646613473</v>
      </c>
      <c r="F388" s="67" t="s">
        <v>416</v>
      </c>
      <c r="G388" s="25">
        <f t="shared" si="2"/>
        <v>-6.7556156054715544E-4</v>
      </c>
    </row>
    <row r="389" spans="1:7">
      <c r="A389" s="67">
        <v>59.011298106525558</v>
      </c>
      <c r="B389" s="67">
        <v>60.734074519361194</v>
      </c>
      <c r="C389" s="67">
        <v>58.57439803641163</v>
      </c>
      <c r="D389" s="67">
        <v>60.669532463548911</v>
      </c>
      <c r="E389" s="67">
        <v>519903.87628174096</v>
      </c>
      <c r="F389" s="67" t="s">
        <v>417</v>
      </c>
      <c r="G389" s="25">
        <f t="shared" si="2"/>
        <v>-2.7332242225859282E-2</v>
      </c>
    </row>
    <row r="390" spans="1:7">
      <c r="A390" s="67">
        <v>60.987277969086321</v>
      </c>
      <c r="B390" s="67">
        <v>62.33769636762031</v>
      </c>
      <c r="C390" s="67">
        <v>60.957489327942191</v>
      </c>
      <c r="D390" s="67">
        <v>61.761782638833758</v>
      </c>
      <c r="E390" s="67">
        <v>307043.21005262499</v>
      </c>
      <c r="F390" s="67" t="s">
        <v>418</v>
      </c>
      <c r="G390" s="25">
        <f t="shared" si="2"/>
        <v>-1.2540192926045024E-2</v>
      </c>
    </row>
    <row r="391" spans="1:7">
      <c r="A391" s="67">
        <v>62.297978179428135</v>
      </c>
      <c r="B391" s="67">
        <v>63.012905566887298</v>
      </c>
      <c r="C391" s="67">
        <v>60.729109745837171</v>
      </c>
      <c r="D391" s="67">
        <v>61.533403056728737</v>
      </c>
      <c r="E391" s="67">
        <v>633304.81940147886</v>
      </c>
      <c r="F391" s="67" t="s">
        <v>419</v>
      </c>
      <c r="G391" s="25">
        <f t="shared" si="2"/>
        <v>1.2425367113119368E-2</v>
      </c>
    </row>
    <row r="392" spans="1:7">
      <c r="A392" s="67">
        <v>61.533403056728737</v>
      </c>
      <c r="B392" s="67">
        <v>62.595864590869446</v>
      </c>
      <c r="C392" s="67">
        <v>60.699321104693048</v>
      </c>
      <c r="D392" s="67">
        <v>60.699321104693048</v>
      </c>
      <c r="E392" s="67">
        <v>489293.21513784979</v>
      </c>
      <c r="F392" s="67" t="s">
        <v>420</v>
      </c>
      <c r="G392" s="25">
        <f t="shared" si="2"/>
        <v>1.3741207263209487E-2</v>
      </c>
    </row>
    <row r="393" spans="1:7">
      <c r="A393" s="67">
        <v>60.699321104693048</v>
      </c>
      <c r="B393" s="67">
        <v>61.101169873727386</v>
      </c>
      <c r="C393" s="67">
        <v>59.08080493586187</v>
      </c>
      <c r="D393" s="67">
        <v>60.818475669269574</v>
      </c>
      <c r="E393" s="67">
        <v>580232.91214828659</v>
      </c>
      <c r="F393" s="67" t="s">
        <v>421</v>
      </c>
      <c r="G393" s="25">
        <f t="shared" si="2"/>
        <v>-1.9591836734693668E-3</v>
      </c>
    </row>
    <row r="394" spans="1:7">
      <c r="A394" s="67">
        <v>60.878052951557841</v>
      </c>
      <c r="B394" s="67">
        <v>62.576005496773362</v>
      </c>
      <c r="C394" s="67">
        <v>60.307103996295304</v>
      </c>
      <c r="D394" s="67">
        <v>62.198682708947693</v>
      </c>
      <c r="E394" s="67">
        <v>383471.6711222055</v>
      </c>
      <c r="F394" s="67" t="s">
        <v>422</v>
      </c>
      <c r="G394" s="25">
        <f t="shared" si="2"/>
        <v>-2.1232439335887587E-2</v>
      </c>
    </row>
    <row r="395" spans="1:7">
      <c r="A395" s="67">
        <v>62.576005496773362</v>
      </c>
      <c r="B395" s="67">
        <v>63.181707866704052</v>
      </c>
      <c r="C395" s="67">
        <v>61.573121244920912</v>
      </c>
      <c r="D395" s="67">
        <v>61.573121244920912</v>
      </c>
      <c r="E395" s="67">
        <v>392186.06661087438</v>
      </c>
      <c r="F395" s="67" t="s">
        <v>423</v>
      </c>
      <c r="G395" s="25">
        <f t="shared" si="2"/>
        <v>1.6287695532978708E-2</v>
      </c>
    </row>
    <row r="396" spans="1:7">
      <c r="A396" s="67">
        <v>62.36748500876444</v>
      </c>
      <c r="B396" s="67">
        <v>63.429946542905149</v>
      </c>
      <c r="C396" s="67">
        <v>61.821359921122017</v>
      </c>
      <c r="D396" s="67">
        <v>62.059669050275076</v>
      </c>
      <c r="E396" s="67">
        <v>395818.65929868538</v>
      </c>
      <c r="F396" s="67" t="s">
        <v>424</v>
      </c>
      <c r="G396" s="25">
        <f t="shared" si="2"/>
        <v>4.9600000000000755E-3</v>
      </c>
    </row>
    <row r="397" spans="1:7">
      <c r="A397" s="67">
        <v>62.705089608397934</v>
      </c>
      <c r="B397" s="67">
        <v>65.038533164688275</v>
      </c>
      <c r="C397" s="67">
        <v>62.019950862082901</v>
      </c>
      <c r="D397" s="67">
        <v>64.432830794757592</v>
      </c>
      <c r="E397" s="67">
        <v>471275.2734196278</v>
      </c>
      <c r="F397" s="67" t="s">
        <v>425</v>
      </c>
      <c r="G397" s="25">
        <f t="shared" si="2"/>
        <v>-2.6814609338881135E-2</v>
      </c>
    </row>
    <row r="398" spans="1:7">
      <c r="A398" s="67">
        <v>63.916494348259306</v>
      </c>
      <c r="B398" s="67">
        <v>64.04557845988387</v>
      </c>
      <c r="C398" s="67">
        <v>61.875972429886254</v>
      </c>
      <c r="D398" s="67">
        <v>62.506498667437057</v>
      </c>
      <c r="E398" s="67">
        <v>593001.87324857933</v>
      </c>
      <c r="F398" s="67" t="s">
        <v>426</v>
      </c>
      <c r="G398" s="25">
        <f t="shared" si="2"/>
        <v>2.2557585385226453E-2</v>
      </c>
    </row>
    <row r="399" spans="1:7">
      <c r="A399" s="67">
        <v>62.059669050275076</v>
      </c>
      <c r="B399" s="67">
        <v>63.896635254163208</v>
      </c>
      <c r="C399" s="67">
        <v>61.265305286431555</v>
      </c>
      <c r="D399" s="67">
        <v>63.489523825193409</v>
      </c>
      <c r="E399" s="67">
        <v>999603.50174837152</v>
      </c>
      <c r="F399" s="67" t="s">
        <v>427</v>
      </c>
      <c r="G399" s="25">
        <f t="shared" si="2"/>
        <v>-2.2521113543947369E-2</v>
      </c>
    </row>
    <row r="400" spans="1:7">
      <c r="A400" s="67">
        <v>64.601633094574339</v>
      </c>
      <c r="B400" s="67">
        <v>66.627260692375316</v>
      </c>
      <c r="C400" s="67">
        <v>63.976071630547573</v>
      </c>
      <c r="D400" s="67">
        <v>65.952051493108328</v>
      </c>
      <c r="E400" s="67">
        <v>484976.80475249968</v>
      </c>
      <c r="F400" s="67" t="s">
        <v>428</v>
      </c>
      <c r="G400" s="25">
        <f t="shared" si="2"/>
        <v>-2.0475760313158786E-2</v>
      </c>
    </row>
    <row r="401" spans="1:7">
      <c r="A401" s="67">
        <v>66.845710727432277</v>
      </c>
      <c r="B401" s="67">
        <v>66.984724386104901</v>
      </c>
      <c r="C401" s="67">
        <v>65.078251352880457</v>
      </c>
      <c r="D401" s="67">
        <v>66.051346963588756</v>
      </c>
      <c r="E401" s="67">
        <v>531910.46625237656</v>
      </c>
      <c r="F401" s="67" t="s">
        <v>429</v>
      </c>
      <c r="G401" s="25">
        <f t="shared" si="2"/>
        <v>1.2026458208057811E-2</v>
      </c>
    </row>
    <row r="402" spans="1:7">
      <c r="A402" s="67">
        <v>65.961981040156374</v>
      </c>
      <c r="B402" s="67">
        <v>67.977679090909305</v>
      </c>
      <c r="C402" s="67">
        <v>64.949167241255878</v>
      </c>
      <c r="D402" s="67">
        <v>67.093949403633374</v>
      </c>
      <c r="E402" s="67">
        <v>833421.70191239112</v>
      </c>
      <c r="F402" s="67" t="s">
        <v>430</v>
      </c>
      <c r="G402" s="25">
        <f t="shared" si="2"/>
        <v>-1.6871392629865034E-2</v>
      </c>
    </row>
    <row r="403" spans="1:7">
      <c r="A403" s="67">
        <v>66.885428915624459</v>
      </c>
      <c r="B403" s="67">
        <v>72.287102509760402</v>
      </c>
      <c r="C403" s="67">
        <v>66.200290169309426</v>
      </c>
      <c r="D403" s="67">
        <v>69.61605435383656</v>
      </c>
      <c r="E403" s="67">
        <v>1240605.4314860827</v>
      </c>
      <c r="F403" s="67" t="s">
        <v>431</v>
      </c>
      <c r="G403" s="25">
        <f t="shared" si="2"/>
        <v>-3.9224076451290779E-2</v>
      </c>
    </row>
    <row r="404" spans="1:7">
      <c r="A404" s="67">
        <v>73.47864815552569</v>
      </c>
      <c r="B404" s="67">
        <v>74.173716448888769</v>
      </c>
      <c r="C404" s="67">
        <v>71.498696474145717</v>
      </c>
      <c r="D404" s="67">
        <v>72.306961603856493</v>
      </c>
      <c r="E404" s="67">
        <v>577420.09502129571</v>
      </c>
      <c r="F404" s="67" t="s">
        <v>432</v>
      </c>
      <c r="G404" s="25">
        <f t="shared" si="2"/>
        <v>1.6204339467179363E-2</v>
      </c>
    </row>
    <row r="405" spans="1:7">
      <c r="A405" s="67">
        <v>72.366538886144752</v>
      </c>
      <c r="B405" s="67">
        <v>72.674354844634124</v>
      </c>
      <c r="C405" s="67">
        <v>70.589149964544887</v>
      </c>
      <c r="D405" s="67">
        <v>70.609009058640964</v>
      </c>
      <c r="E405" s="67">
        <v>525938.39122084924</v>
      </c>
      <c r="F405" s="67" t="s">
        <v>433</v>
      </c>
      <c r="G405" s="25">
        <f t="shared" si="2"/>
        <v>2.4891013922092586E-2</v>
      </c>
    </row>
    <row r="406" spans="1:7">
      <c r="A406" s="67">
        <v>70.708304529121406</v>
      </c>
      <c r="B406" s="67">
        <v>71.125345505139251</v>
      </c>
      <c r="C406" s="67">
        <v>67.957819996813214</v>
      </c>
      <c r="D406" s="67">
        <v>69.834504388893535</v>
      </c>
      <c r="E406" s="67">
        <v>553115.86454307486</v>
      </c>
      <c r="F406" s="67" t="s">
        <v>434</v>
      </c>
      <c r="G406" s="25">
        <f t="shared" si="2"/>
        <v>1.2512441347931169E-2</v>
      </c>
    </row>
    <row r="407" spans="1:7">
      <c r="A407" s="67">
        <v>71.274288710859921</v>
      </c>
      <c r="B407" s="67">
        <v>72.416186621384981</v>
      </c>
      <c r="C407" s="67">
        <v>69.65080776850472</v>
      </c>
      <c r="D407" s="67">
        <v>70.122461253286815</v>
      </c>
      <c r="E407" s="67">
        <v>455256.41583927802</v>
      </c>
      <c r="F407" s="67" t="s">
        <v>435</v>
      </c>
      <c r="G407" s="25">
        <f t="shared" si="2"/>
        <v>1.642594165958644E-2</v>
      </c>
    </row>
    <row r="408" spans="1:7">
      <c r="A408" s="67">
        <v>70.360770382439867</v>
      </c>
      <c r="B408" s="67">
        <v>71.879991080790603</v>
      </c>
      <c r="C408" s="67">
        <v>70.067848744522564</v>
      </c>
      <c r="D408" s="67">
        <v>70.499784041112477</v>
      </c>
      <c r="E408" s="67">
        <v>331573.02987436397</v>
      </c>
      <c r="F408" s="67" t="s">
        <v>436</v>
      </c>
      <c r="G408" s="25">
        <f t="shared" si="2"/>
        <v>-1.9718309859153571E-3</v>
      </c>
    </row>
    <row r="409" spans="1:7">
      <c r="A409" s="67">
        <v>69.894081671181794</v>
      </c>
      <c r="B409" s="67">
        <v>70.90689547008229</v>
      </c>
      <c r="C409" s="67">
        <v>69.556477071548301</v>
      </c>
      <c r="D409" s="67">
        <v>70.489854494064431</v>
      </c>
      <c r="E409" s="67">
        <v>258873.84263981652</v>
      </c>
      <c r="F409" s="67" t="s">
        <v>437</v>
      </c>
      <c r="G409" s="25">
        <f t="shared" si="2"/>
        <v>-8.4518946330468525E-3</v>
      </c>
    </row>
    <row r="410" spans="1:7">
      <c r="A410" s="67">
        <v>70.469995399968354</v>
      </c>
      <c r="B410" s="67">
        <v>72.76372076806652</v>
      </c>
      <c r="C410" s="67">
        <v>70.251545364911379</v>
      </c>
      <c r="D410" s="67">
        <v>70.956543205322504</v>
      </c>
      <c r="E410" s="67">
        <v>449050.69470196404</v>
      </c>
      <c r="F410" s="67" t="s">
        <v>438</v>
      </c>
      <c r="G410" s="25">
        <f t="shared" si="2"/>
        <v>-6.8569829275118011E-3</v>
      </c>
    </row>
    <row r="411" spans="1:7">
      <c r="A411" s="67">
        <v>70.678515887977284</v>
      </c>
      <c r="B411" s="67">
        <v>70.698374982073361</v>
      </c>
      <c r="C411" s="67">
        <v>67.858524526332786</v>
      </c>
      <c r="D411" s="67">
        <v>68.037256373197565</v>
      </c>
      <c r="E411" s="67">
        <v>396224.51869796118</v>
      </c>
      <c r="F411" s="67" t="s">
        <v>439</v>
      </c>
      <c r="G411" s="25">
        <f t="shared" si="2"/>
        <v>3.8820782253356834E-2</v>
      </c>
    </row>
    <row r="412" spans="1:7">
      <c r="A412" s="67">
        <v>68.285495049398662</v>
      </c>
      <c r="B412" s="67">
        <v>68.662817837224353</v>
      </c>
      <c r="C412" s="67">
        <v>67.301874118819427</v>
      </c>
      <c r="D412" s="67">
        <v>67.987608637957351</v>
      </c>
      <c r="E412" s="67">
        <v>377638.57523980981</v>
      </c>
      <c r="F412" s="67" t="s">
        <v>440</v>
      </c>
      <c r="G412" s="25">
        <f t="shared" si="2"/>
        <v>4.3814809405577915E-3</v>
      </c>
    </row>
    <row r="413" spans="1:7">
      <c r="A413" s="67">
        <v>68.007467732053428</v>
      </c>
      <c r="B413" s="67">
        <v>70.877106828938153</v>
      </c>
      <c r="C413" s="67">
        <v>67.074090309537297</v>
      </c>
      <c r="D413" s="67">
        <v>70.509713588160537</v>
      </c>
      <c r="E413" s="67">
        <v>508760.36696911865</v>
      </c>
      <c r="F413" s="67" t="s">
        <v>441</v>
      </c>
      <c r="G413" s="25">
        <f t="shared" si="2"/>
        <v>-3.5487959442332295E-2</v>
      </c>
    </row>
    <row r="414" spans="1:7">
      <c r="A414" s="67">
        <v>70.499784041112477</v>
      </c>
      <c r="B414" s="67">
        <v>71.621822857541446</v>
      </c>
      <c r="C414" s="67">
        <v>69.129506548482411</v>
      </c>
      <c r="D414" s="67">
        <v>69.864293030037672</v>
      </c>
      <c r="E414" s="67">
        <v>421095.74382082798</v>
      </c>
      <c r="F414" s="67" t="s">
        <v>442</v>
      </c>
      <c r="G414" s="25">
        <f t="shared" si="2"/>
        <v>9.0960773166570696E-3</v>
      </c>
    </row>
    <row r="415" spans="1:7">
      <c r="A415" s="67">
        <v>70.450136305872263</v>
      </c>
      <c r="B415" s="67">
        <v>70.996261393514686</v>
      </c>
      <c r="C415" s="67">
        <v>67.232963062305998</v>
      </c>
      <c r="D415" s="67">
        <v>67.769158602900376</v>
      </c>
      <c r="E415" s="67">
        <v>523856.72526972491</v>
      </c>
      <c r="F415" s="67" t="s">
        <v>443</v>
      </c>
      <c r="G415" s="25">
        <f t="shared" si="2"/>
        <v>3.9560439560439642E-2</v>
      </c>
    </row>
    <row r="416" spans="1:7">
      <c r="A416" s="67">
        <v>67.213103968209907</v>
      </c>
      <c r="B416" s="67">
        <v>67.764193829376367</v>
      </c>
      <c r="C416" s="67">
        <v>65.907368531392123</v>
      </c>
      <c r="D416" s="67">
        <v>66.736485709903803</v>
      </c>
      <c r="E416" s="67">
        <v>401011.24258073518</v>
      </c>
      <c r="F416" s="67" t="s">
        <v>444</v>
      </c>
      <c r="G416" s="25">
        <f t="shared" si="2"/>
        <v>7.1417943758367297E-3</v>
      </c>
    </row>
    <row r="417" spans="1:7">
      <c r="A417" s="67">
        <v>66.388951563222264</v>
      </c>
      <c r="B417" s="67">
        <v>67.813841564616581</v>
      </c>
      <c r="C417" s="67">
        <v>66.036452643016702</v>
      </c>
      <c r="D417" s="67">
        <v>67.471272191459065</v>
      </c>
      <c r="E417" s="67">
        <v>411620.99139306921</v>
      </c>
      <c r="F417" s="67" t="s">
        <v>445</v>
      </c>
      <c r="G417" s="25">
        <f t="shared" si="2"/>
        <v>-1.604120676968368E-2</v>
      </c>
    </row>
    <row r="418" spans="1:7">
      <c r="A418" s="67">
        <v>67.530849473747324</v>
      </c>
      <c r="B418" s="67">
        <v>68.076974561389747</v>
      </c>
      <c r="C418" s="67">
        <v>66.498176580750751</v>
      </c>
      <c r="D418" s="67">
        <v>67.987608637957351</v>
      </c>
      <c r="E418" s="67">
        <v>493212.82998147618</v>
      </c>
      <c r="F418" s="67" t="s">
        <v>446</v>
      </c>
      <c r="G418" s="25">
        <f t="shared" si="2"/>
        <v>-6.7182707755221172E-3</v>
      </c>
    </row>
    <row r="419" spans="1:7">
      <c r="A419" s="67">
        <v>67.312399438690363</v>
      </c>
      <c r="B419" s="67">
        <v>69.556477071548301</v>
      </c>
      <c r="C419" s="67">
        <v>65.574728705282666</v>
      </c>
      <c r="D419" s="67">
        <v>69.199013377818716</v>
      </c>
      <c r="E419" s="67">
        <v>527041.16055635049</v>
      </c>
      <c r="F419" s="67" t="s">
        <v>447</v>
      </c>
      <c r="G419" s="25">
        <f t="shared" si="2"/>
        <v>-2.7263595924809758E-2</v>
      </c>
    </row>
    <row r="420" spans="1:7">
      <c r="A420" s="67">
        <v>69.010351983905878</v>
      </c>
      <c r="B420" s="67">
        <v>70.728163623217498</v>
      </c>
      <c r="C420" s="67">
        <v>67.277646024022204</v>
      </c>
      <c r="D420" s="67">
        <v>67.888313167476909</v>
      </c>
      <c r="E420" s="67">
        <v>378059.54106833908</v>
      </c>
      <c r="F420" s="67" t="s">
        <v>448</v>
      </c>
      <c r="G420" s="25">
        <f t="shared" si="2"/>
        <v>1.6527716834868977E-2</v>
      </c>
    </row>
    <row r="421" spans="1:7">
      <c r="A421" s="67">
        <v>68.335142784638876</v>
      </c>
      <c r="B421" s="67">
        <v>69.377745224683508</v>
      </c>
      <c r="C421" s="67">
        <v>67.312399438690363</v>
      </c>
      <c r="D421" s="67">
        <v>67.312399438690363</v>
      </c>
      <c r="E421" s="67">
        <v>514122.14225880697</v>
      </c>
      <c r="F421" s="67" t="s">
        <v>449</v>
      </c>
      <c r="G421" s="25">
        <f t="shared" si="2"/>
        <v>1.5193981413187396E-2</v>
      </c>
    </row>
    <row r="422" spans="1:7">
      <c r="A422" s="67">
        <v>68.275565502350631</v>
      </c>
      <c r="B422" s="67">
        <v>68.970633795713695</v>
      </c>
      <c r="C422" s="67">
        <v>66.128300953211109</v>
      </c>
      <c r="D422" s="67">
        <v>67.471272191459065</v>
      </c>
      <c r="E422" s="67">
        <v>235986.59522556842</v>
      </c>
      <c r="F422" s="67" t="s">
        <v>450</v>
      </c>
      <c r="G422" s="25">
        <f t="shared" si="2"/>
        <v>1.192052980132452E-2</v>
      </c>
    </row>
    <row r="423" spans="1:7">
      <c r="A423" s="67">
        <v>68.05711546729367</v>
      </c>
      <c r="B423" s="67">
        <v>70.489854494064431</v>
      </c>
      <c r="C423" s="67">
        <v>67.481201738507096</v>
      </c>
      <c r="D423" s="67">
        <v>68.176270031870175</v>
      </c>
      <c r="E423" s="67">
        <v>316668.01967763464</v>
      </c>
      <c r="F423" s="67" t="s">
        <v>451</v>
      </c>
      <c r="G423" s="25">
        <f t="shared" si="2"/>
        <v>-1.7477424992714541E-3</v>
      </c>
    </row>
    <row r="424" spans="1:7">
      <c r="A424" s="67">
        <v>68.096833655485824</v>
      </c>
      <c r="B424" s="67">
        <v>69.566406618596346</v>
      </c>
      <c r="C424" s="67">
        <v>67.173385780017739</v>
      </c>
      <c r="D424" s="67">
        <v>67.749299508804299</v>
      </c>
      <c r="E424" s="67">
        <v>365604.793696518</v>
      </c>
      <c r="F424" s="67" t="s">
        <v>452</v>
      </c>
      <c r="G424" s="25">
        <f t="shared" si="2"/>
        <v>5.1297083394399312E-3</v>
      </c>
    </row>
    <row r="425" spans="1:7">
      <c r="A425" s="67">
        <v>67.471272191459065</v>
      </c>
      <c r="B425" s="67">
        <v>67.739369961756253</v>
      </c>
      <c r="C425" s="67">
        <v>65.371172990797746</v>
      </c>
      <c r="D425" s="67">
        <v>67.014513027249023</v>
      </c>
      <c r="E425" s="67">
        <v>291970.01494354062</v>
      </c>
      <c r="F425" s="67" t="s">
        <v>453</v>
      </c>
      <c r="G425" s="25">
        <f t="shared" si="2"/>
        <v>6.8158245666027906E-3</v>
      </c>
    </row>
    <row r="426" spans="1:7">
      <c r="A426" s="67">
        <v>66.875499368576413</v>
      </c>
      <c r="B426" s="67">
        <v>70.013236235758328</v>
      </c>
      <c r="C426" s="67">
        <v>66.299585639789868</v>
      </c>
      <c r="D426" s="67">
        <v>68.722395119512598</v>
      </c>
      <c r="E426" s="67">
        <v>301759.98819505458</v>
      </c>
      <c r="F426" s="67" t="s">
        <v>454</v>
      </c>
      <c r="G426" s="25">
        <f t="shared" si="2"/>
        <v>-2.6874729085392235E-2</v>
      </c>
    </row>
    <row r="427" spans="1:7">
      <c r="A427" s="67">
        <v>67.957819996813214</v>
      </c>
      <c r="B427" s="67">
        <v>70.023165782806373</v>
      </c>
      <c r="C427" s="67">
        <v>67.431554003266882</v>
      </c>
      <c r="D427" s="67">
        <v>68.781972401800871</v>
      </c>
      <c r="E427" s="67">
        <v>256882.81526421287</v>
      </c>
      <c r="F427" s="67" t="s">
        <v>455</v>
      </c>
      <c r="G427" s="25">
        <f t="shared" si="2"/>
        <v>-1.1982099032770366E-2</v>
      </c>
    </row>
    <row r="428" spans="1:7">
      <c r="A428" s="67">
        <v>68.652888290176293</v>
      </c>
      <c r="B428" s="67">
        <v>69.338027036491326</v>
      </c>
      <c r="C428" s="67">
        <v>67.123738044777511</v>
      </c>
      <c r="D428" s="67">
        <v>69.139436095530456</v>
      </c>
      <c r="E428" s="67">
        <v>312120.98447234859</v>
      </c>
      <c r="F428" s="67" t="s">
        <v>456</v>
      </c>
      <c r="G428" s="25">
        <f t="shared" si="2"/>
        <v>-7.0371966106563821E-3</v>
      </c>
    </row>
    <row r="429" spans="1:7">
      <c r="A429" s="67">
        <v>70.122461253286815</v>
      </c>
      <c r="B429" s="67">
        <v>70.698374982073361</v>
      </c>
      <c r="C429" s="67">
        <v>69.417463412875676</v>
      </c>
      <c r="D429" s="67">
        <v>69.933799859373977</v>
      </c>
      <c r="E429" s="67">
        <v>254614.83668562945</v>
      </c>
      <c r="F429" s="67" t="s">
        <v>457</v>
      </c>
      <c r="G429" s="25">
        <f t="shared" si="2"/>
        <v>2.6977140423114498E-3</v>
      </c>
    </row>
    <row r="430" spans="1:7">
      <c r="A430" s="67">
        <v>70.728163623217498</v>
      </c>
      <c r="B430" s="67">
        <v>70.887036375986199</v>
      </c>
      <c r="C430" s="67">
        <v>69.233766792486861</v>
      </c>
      <c r="D430" s="67">
        <v>69.347956583539386</v>
      </c>
      <c r="E430" s="67">
        <v>326539.56764711713</v>
      </c>
      <c r="F430" s="67" t="s">
        <v>458</v>
      </c>
      <c r="G430" s="25">
        <f t="shared" si="2"/>
        <v>1.9902634593356172E-2</v>
      </c>
    </row>
    <row r="431" spans="1:7">
      <c r="A431" s="67">
        <v>69.864293030037672</v>
      </c>
      <c r="B431" s="67">
        <v>69.9635885005181</v>
      </c>
      <c r="C431" s="67">
        <v>67.321733212915518</v>
      </c>
      <c r="D431" s="67">
        <v>68.553592819695865</v>
      </c>
      <c r="E431" s="67">
        <v>127312.95736687431</v>
      </c>
      <c r="F431" s="67" t="s">
        <v>459</v>
      </c>
      <c r="G431" s="25">
        <f t="shared" si="2"/>
        <v>1.9119351100810977E-2</v>
      </c>
    </row>
    <row r="432" spans="1:7">
      <c r="A432" s="67">
        <v>68.692606478368475</v>
      </c>
      <c r="B432" s="67">
        <v>69.000422436857832</v>
      </c>
      <c r="C432" s="67">
        <v>66.657049333519453</v>
      </c>
      <c r="D432" s="67">
        <v>67.798947244044513</v>
      </c>
      <c r="E432" s="67">
        <v>408569.49268387392</v>
      </c>
      <c r="F432" s="67" t="s">
        <v>460</v>
      </c>
      <c r="G432" s="25">
        <f t="shared" si="2"/>
        <v>1.3181019332161759E-2</v>
      </c>
    </row>
    <row r="433" spans="1:7">
      <c r="A433" s="67">
        <v>68.146481390726052</v>
      </c>
      <c r="B433" s="67">
        <v>70.986331846466641</v>
      </c>
      <c r="C433" s="67">
        <v>67.669863132419948</v>
      </c>
      <c r="D433" s="67">
        <v>68.811761042944994</v>
      </c>
      <c r="E433" s="67">
        <v>1409010.8977081697</v>
      </c>
      <c r="F433" s="67" t="s">
        <v>461</v>
      </c>
      <c r="G433" s="25">
        <f t="shared" si="2"/>
        <v>-9.6681096681096035E-3</v>
      </c>
    </row>
    <row r="434" spans="1:7">
      <c r="A434" s="67">
        <v>69.308238395347189</v>
      </c>
      <c r="B434" s="67">
        <v>70.12508549072092</v>
      </c>
      <c r="C434" s="67">
        <v>68.090393634971804</v>
      </c>
      <c r="D434" s="67">
        <v>68.526045419171126</v>
      </c>
      <c r="E434" s="67">
        <v>530654.08747236361</v>
      </c>
      <c r="F434" s="67" t="s">
        <v>462</v>
      </c>
      <c r="G434" s="25">
        <f t="shared" si="2"/>
        <v>1.1414535471752751E-2</v>
      </c>
    </row>
    <row r="435" spans="1:7">
      <c r="A435" s="67">
        <v>68.634958365220953</v>
      </c>
      <c r="B435" s="67">
        <v>71.77363144683882</v>
      </c>
      <c r="C435" s="67">
        <v>68.357725411639578</v>
      </c>
      <c r="D435" s="67">
        <v>70.189443140659463</v>
      </c>
      <c r="E435" s="67">
        <v>684553.97364687745</v>
      </c>
      <c r="F435" s="67" t="s">
        <v>463</v>
      </c>
      <c r="G435" s="25">
        <f t="shared" si="2"/>
        <v>-2.2146988291719683E-2</v>
      </c>
    </row>
    <row r="436" spans="1:7">
      <c r="A436" s="67">
        <v>70.526083155722574</v>
      </c>
      <c r="B436" s="67">
        <v>71.644916146961748</v>
      </c>
      <c r="C436" s="67">
        <v>68.986450145654501</v>
      </c>
      <c r="D436" s="67">
        <v>70.397367855845502</v>
      </c>
      <c r="E436" s="67">
        <v>304066.88278221723</v>
      </c>
      <c r="F436" s="67" t="s">
        <v>464</v>
      </c>
      <c r="G436" s="25">
        <f t="shared" si="2"/>
        <v>1.8284106891701679E-3</v>
      </c>
    </row>
    <row r="437" spans="1:7">
      <c r="A437" s="67">
        <v>70.615193747945156</v>
      </c>
      <c r="B437" s="67">
        <v>72.199382054124527</v>
      </c>
      <c r="C437" s="67">
        <v>70.006271367757464</v>
      </c>
      <c r="D437" s="67">
        <v>71.516200847084676</v>
      </c>
      <c r="E437" s="67">
        <v>457904.15013824013</v>
      </c>
      <c r="F437" s="67" t="s">
        <v>465</v>
      </c>
      <c r="G437" s="25">
        <f t="shared" si="2"/>
        <v>-1.2598643223037609E-2</v>
      </c>
    </row>
    <row r="438" spans="1:7">
      <c r="A438" s="67">
        <v>71.833038508320541</v>
      </c>
      <c r="B438" s="67">
        <v>73.025932302873613</v>
      </c>
      <c r="C438" s="67">
        <v>70.30825726362292</v>
      </c>
      <c r="D438" s="67">
        <v>72.585527953755758</v>
      </c>
      <c r="E438" s="67">
        <v>311494.28263998876</v>
      </c>
      <c r="F438" s="67" t="s">
        <v>466</v>
      </c>
      <c r="G438" s="25">
        <f t="shared" si="2"/>
        <v>-1.0366934933842886E-2</v>
      </c>
    </row>
    <row r="439" spans="1:7">
      <c r="A439" s="67">
        <v>71.941951454370383</v>
      </c>
      <c r="B439" s="67">
        <v>74.011297429317182</v>
      </c>
      <c r="C439" s="67">
        <v>71.441942020232517</v>
      </c>
      <c r="D439" s="67">
        <v>72.555824423014883</v>
      </c>
      <c r="E439" s="67">
        <v>247811.95421572021</v>
      </c>
      <c r="F439" s="67" t="s">
        <v>467</v>
      </c>
      <c r="G439" s="25">
        <f t="shared" si="2"/>
        <v>-8.4606986899562475E-3</v>
      </c>
    </row>
    <row r="440" spans="1:7">
      <c r="A440" s="67">
        <v>72.595429130669359</v>
      </c>
      <c r="B440" s="67">
        <v>75.536078674014817</v>
      </c>
      <c r="C440" s="67">
        <v>71.912247923629508</v>
      </c>
      <c r="D440" s="67">
        <v>73.961791544749076</v>
      </c>
      <c r="E440" s="67">
        <v>419749.090058434</v>
      </c>
      <c r="F440" s="67" t="s">
        <v>468</v>
      </c>
      <c r="G440" s="25">
        <f t="shared" ref="G440:G503" si="3">A440/D440-1</f>
        <v>-1.847389558232948E-2</v>
      </c>
    </row>
    <row r="441" spans="1:7">
      <c r="A441" s="67">
        <v>74.001396252403552</v>
      </c>
      <c r="B441" s="67">
        <v>75.585584558582923</v>
      </c>
      <c r="C441" s="67">
        <v>71.78353262375245</v>
      </c>
      <c r="D441" s="67">
        <v>73.951890367835446</v>
      </c>
      <c r="E441" s="67">
        <v>458282.89299201558</v>
      </c>
      <c r="F441" s="67" t="s">
        <v>469</v>
      </c>
      <c r="G441" s="25">
        <f t="shared" si="3"/>
        <v>6.6943365912441877E-4</v>
      </c>
    </row>
    <row r="442" spans="1:7">
      <c r="A442" s="67">
        <v>73.951890367835446</v>
      </c>
      <c r="B442" s="67">
        <v>74.18951861376236</v>
      </c>
      <c r="C442" s="67">
        <v>71.352831428009935</v>
      </c>
      <c r="D442" s="67">
        <v>71.615212616220887</v>
      </c>
      <c r="E442" s="67">
        <v>324857.34050212853</v>
      </c>
      <c r="F442" s="67" t="s">
        <v>470</v>
      </c>
      <c r="G442" s="25">
        <f t="shared" si="3"/>
        <v>3.2628231715747136E-2</v>
      </c>
    </row>
    <row r="443" spans="1:7">
      <c r="A443" s="67">
        <v>71.526102023998291</v>
      </c>
      <c r="B443" s="67">
        <v>72.80830443431222</v>
      </c>
      <c r="C443" s="67">
        <v>70.57558904029068</v>
      </c>
      <c r="D443" s="67">
        <v>72.298393823260739</v>
      </c>
      <c r="E443" s="67">
        <v>254728.30371613085</v>
      </c>
      <c r="F443" s="67" t="s">
        <v>471</v>
      </c>
      <c r="G443" s="25">
        <f t="shared" si="3"/>
        <v>-1.0682004930156253E-2</v>
      </c>
    </row>
    <row r="444" spans="1:7">
      <c r="A444" s="67">
        <v>71.872643215975032</v>
      </c>
      <c r="B444" s="67">
        <v>73.803372714131143</v>
      </c>
      <c r="C444" s="67">
        <v>71.011240824490002</v>
      </c>
      <c r="D444" s="67">
        <v>72.951871499559729</v>
      </c>
      <c r="E444" s="67">
        <v>417330.18569898838</v>
      </c>
      <c r="F444" s="67" t="s">
        <v>472</v>
      </c>
      <c r="G444" s="25">
        <f t="shared" si="3"/>
        <v>-1.4793702497285621E-2</v>
      </c>
    </row>
    <row r="445" spans="1:7">
      <c r="A445" s="67">
        <v>73.070685622523172</v>
      </c>
      <c r="B445" s="67">
        <v>75.308351605001533</v>
      </c>
      <c r="C445" s="67">
        <v>72.526120892274022</v>
      </c>
      <c r="D445" s="67">
        <v>74.011297429317182</v>
      </c>
      <c r="E445" s="67">
        <v>250895.42603592374</v>
      </c>
      <c r="F445" s="67" t="s">
        <v>473</v>
      </c>
      <c r="G445" s="25">
        <f t="shared" si="3"/>
        <v>-1.270903010033464E-2</v>
      </c>
    </row>
    <row r="446" spans="1:7">
      <c r="A446" s="67">
        <v>74.18951861376236</v>
      </c>
      <c r="B446" s="67">
        <v>75.239043366606182</v>
      </c>
      <c r="C446" s="67">
        <v>73.654855060426826</v>
      </c>
      <c r="D446" s="67">
        <v>74.922205705370317</v>
      </c>
      <c r="E446" s="67">
        <v>362914.43243042479</v>
      </c>
      <c r="F446" s="67" t="s">
        <v>474</v>
      </c>
      <c r="G446" s="25">
        <f t="shared" si="3"/>
        <v>-9.7793048764371893E-3</v>
      </c>
    </row>
    <row r="447" spans="1:7">
      <c r="A447" s="67">
        <v>75.209339835865322</v>
      </c>
      <c r="B447" s="67">
        <v>75.674695150805519</v>
      </c>
      <c r="C447" s="67">
        <v>72.98157503030059</v>
      </c>
      <c r="D447" s="67">
        <v>73.59544799894509</v>
      </c>
      <c r="E447" s="67">
        <v>281496.83864003321</v>
      </c>
      <c r="F447" s="67" t="s">
        <v>475</v>
      </c>
      <c r="G447" s="25">
        <f t="shared" si="3"/>
        <v>2.1929234494820538E-2</v>
      </c>
    </row>
    <row r="448" spans="1:7">
      <c r="A448" s="67">
        <v>73.308313868450085</v>
      </c>
      <c r="B448" s="67">
        <v>73.743965652649408</v>
      </c>
      <c r="C448" s="67">
        <v>72.328097354001599</v>
      </c>
      <c r="D448" s="67">
        <v>72.328097354001599</v>
      </c>
      <c r="E448" s="67">
        <v>178879.74484765282</v>
      </c>
      <c r="F448" s="67" t="s">
        <v>476</v>
      </c>
      <c r="G448" s="25">
        <f t="shared" si="3"/>
        <v>1.3552361396304002E-2</v>
      </c>
    </row>
    <row r="449" spans="1:7">
      <c r="A449" s="67">
        <v>72.437010300051426</v>
      </c>
      <c r="B449" s="67">
        <v>75.209339835865322</v>
      </c>
      <c r="C449" s="67">
        <v>72.130073815729176</v>
      </c>
      <c r="D449" s="67">
        <v>73.506337406722494</v>
      </c>
      <c r="E449" s="67">
        <v>291346.17280008056</v>
      </c>
      <c r="F449" s="67" t="s">
        <v>477</v>
      </c>
      <c r="G449" s="25">
        <f t="shared" si="3"/>
        <v>-1.4547413793103425E-2</v>
      </c>
    </row>
    <row r="450" spans="1:7">
      <c r="A450" s="67">
        <v>73.159796214745768</v>
      </c>
      <c r="B450" s="67">
        <v>76.293518707906827</v>
      </c>
      <c r="C450" s="67">
        <v>72.912266791905239</v>
      </c>
      <c r="D450" s="67">
        <v>76.140050465745702</v>
      </c>
      <c r="E450" s="67">
        <v>408815.03636517387</v>
      </c>
      <c r="F450" s="67" t="s">
        <v>478</v>
      </c>
      <c r="G450" s="25">
        <f t="shared" si="3"/>
        <v>-3.9141742522756928E-2</v>
      </c>
    </row>
    <row r="451" spans="1:7">
      <c r="A451" s="67">
        <v>76.773725788217448</v>
      </c>
      <c r="B451" s="67">
        <v>77.229179926244015</v>
      </c>
      <c r="C451" s="67">
        <v>73.734064475735792</v>
      </c>
      <c r="D451" s="67">
        <v>75.466770435619466</v>
      </c>
      <c r="E451" s="67">
        <v>640519.81449553359</v>
      </c>
      <c r="F451" s="67" t="s">
        <v>479</v>
      </c>
      <c r="G451" s="25">
        <f t="shared" si="3"/>
        <v>1.7318289162949529E-2</v>
      </c>
    </row>
    <row r="452" spans="1:7">
      <c r="A452" s="67">
        <v>74.169716259935115</v>
      </c>
      <c r="B452" s="67">
        <v>74.476652744257365</v>
      </c>
      <c r="C452" s="67">
        <v>71.001339647576373</v>
      </c>
      <c r="D452" s="67">
        <v>71.595410262393642</v>
      </c>
      <c r="E452" s="67">
        <v>422958.80949656264</v>
      </c>
      <c r="F452" s="67" t="s">
        <v>480</v>
      </c>
      <c r="G452" s="25">
        <f t="shared" si="3"/>
        <v>3.59562992670448E-2</v>
      </c>
    </row>
    <row r="453" spans="1:7">
      <c r="A453" s="67">
        <v>71.001339647576373</v>
      </c>
      <c r="B453" s="67">
        <v>71.169659655107935</v>
      </c>
      <c r="C453" s="67">
        <v>69.358833409375791</v>
      </c>
      <c r="D453" s="67">
        <v>70.26865255596843</v>
      </c>
      <c r="E453" s="67">
        <v>319355.97430342284</v>
      </c>
      <c r="F453" s="67" t="s">
        <v>481</v>
      </c>
      <c r="G453" s="25">
        <f t="shared" si="3"/>
        <v>1.0426940960969189E-2</v>
      </c>
    </row>
    <row r="454" spans="1:7">
      <c r="A454" s="67">
        <v>69.99141960238704</v>
      </c>
      <c r="B454" s="67">
        <v>71.075598474428546</v>
      </c>
      <c r="C454" s="67">
        <v>69.575570172014949</v>
      </c>
      <c r="D454" s="67">
        <v>71.040944355230863</v>
      </c>
      <c r="E454" s="67">
        <v>265178.57653750188</v>
      </c>
      <c r="F454" s="67" t="s">
        <v>482</v>
      </c>
      <c r="G454" s="25">
        <f t="shared" si="3"/>
        <v>-1.4773519163763016E-2</v>
      </c>
    </row>
    <row r="455" spans="1:7">
      <c r="A455" s="67">
        <v>71.040944355230863</v>
      </c>
      <c r="B455" s="67">
        <v>71.981556162024873</v>
      </c>
      <c r="C455" s="67">
        <v>68.644859542134583</v>
      </c>
      <c r="D455" s="67">
        <v>69.803297241028247</v>
      </c>
      <c r="E455" s="67">
        <v>287870.8283738374</v>
      </c>
      <c r="F455" s="67" t="s">
        <v>483</v>
      </c>
      <c r="G455" s="25">
        <f t="shared" si="3"/>
        <v>1.7730496453900457E-2</v>
      </c>
    </row>
    <row r="456" spans="1:7">
      <c r="A456" s="67">
        <v>70.070629017696007</v>
      </c>
      <c r="B456" s="67">
        <v>72.872662084250749</v>
      </c>
      <c r="C456" s="67">
        <v>69.694384294978406</v>
      </c>
      <c r="D456" s="67">
        <v>71.278572601157762</v>
      </c>
      <c r="E456" s="67">
        <v>414810.28324520268</v>
      </c>
      <c r="F456" s="67" t="s">
        <v>484</v>
      </c>
      <c r="G456" s="25">
        <f t="shared" si="3"/>
        <v>-1.6946798166411869E-2</v>
      </c>
    </row>
    <row r="457" spans="1:7">
      <c r="A457" s="67">
        <v>71.526102023998291</v>
      </c>
      <c r="B457" s="67">
        <v>72.209283231038157</v>
      </c>
      <c r="C457" s="67">
        <v>69.318139572260819</v>
      </c>
      <c r="D457" s="67">
        <v>70.892426701526546</v>
      </c>
      <c r="E457" s="67">
        <v>339338.44726861326</v>
      </c>
      <c r="F457" s="67" t="s">
        <v>485</v>
      </c>
      <c r="G457" s="25">
        <f t="shared" si="3"/>
        <v>8.9385474860335101E-3</v>
      </c>
    </row>
    <row r="458" spans="1:7">
      <c r="A458" s="67">
        <v>70.486478448068084</v>
      </c>
      <c r="B458" s="67">
        <v>75.605386912410168</v>
      </c>
      <c r="C458" s="67">
        <v>70.328059617450151</v>
      </c>
      <c r="D458" s="67">
        <v>74.902403351543072</v>
      </c>
      <c r="E458" s="67">
        <v>478720.86736267991</v>
      </c>
      <c r="F458" s="67" t="s">
        <v>486</v>
      </c>
      <c r="G458" s="25">
        <f t="shared" si="3"/>
        <v>-5.895571711830816E-2</v>
      </c>
    </row>
    <row r="459" spans="1:7">
      <c r="A459" s="67">
        <v>74.902403351543072</v>
      </c>
      <c r="B459" s="67">
        <v>76.407382242413462</v>
      </c>
      <c r="C459" s="67">
        <v>74.070704490798903</v>
      </c>
      <c r="D459" s="67">
        <v>74.308332736725802</v>
      </c>
      <c r="E459" s="67">
        <v>656889.5856261783</v>
      </c>
      <c r="F459" s="67" t="s">
        <v>487</v>
      </c>
      <c r="G459" s="25">
        <f t="shared" si="3"/>
        <v>7.9946702198534503E-3</v>
      </c>
    </row>
    <row r="460" spans="1:7">
      <c r="A460" s="67">
        <v>74.031099783144413</v>
      </c>
      <c r="B460" s="67">
        <v>74.55982263033178</v>
      </c>
      <c r="C460" s="67">
        <v>72.734045607460061</v>
      </c>
      <c r="D460" s="67">
        <v>73.91228566018097</v>
      </c>
      <c r="E460" s="67">
        <v>492291.98129916028</v>
      </c>
      <c r="F460" s="67" t="s">
        <v>488</v>
      </c>
      <c r="G460" s="25">
        <f t="shared" si="3"/>
        <v>1.6075016744807602E-3</v>
      </c>
    </row>
    <row r="461" spans="1:7">
      <c r="A461" s="67">
        <v>74.120210375367009</v>
      </c>
      <c r="B461" s="67">
        <v>75.248944543519812</v>
      </c>
      <c r="C461" s="67">
        <v>73.024447126336568</v>
      </c>
      <c r="D461" s="67">
        <v>73.258807983881979</v>
      </c>
      <c r="E461" s="67">
        <v>353379.20234377513</v>
      </c>
      <c r="F461" s="67" t="s">
        <v>489</v>
      </c>
      <c r="G461" s="25">
        <f t="shared" si="3"/>
        <v>1.175834572239487E-2</v>
      </c>
    </row>
    <row r="462" spans="1:7">
      <c r="A462" s="67">
        <v>72.704342076719215</v>
      </c>
      <c r="B462" s="67">
        <v>76.021236342782245</v>
      </c>
      <c r="C462" s="67">
        <v>72.548398540329657</v>
      </c>
      <c r="D462" s="67">
        <v>74.100408021539764</v>
      </c>
      <c r="E462" s="67">
        <v>468746.2955656508</v>
      </c>
      <c r="F462" s="67" t="s">
        <v>490</v>
      </c>
      <c r="G462" s="25">
        <f t="shared" si="3"/>
        <v>-1.884019241047552E-2</v>
      </c>
    </row>
    <row r="463" spans="1:7">
      <c r="A463" s="67">
        <v>74.021198606230797</v>
      </c>
      <c r="B463" s="67">
        <v>75.833113981423452</v>
      </c>
      <c r="C463" s="67">
        <v>73.001377384127835</v>
      </c>
      <c r="D463" s="67">
        <v>75.060822182161004</v>
      </c>
      <c r="E463" s="67">
        <v>490198.2908034898</v>
      </c>
      <c r="F463" s="67" t="s">
        <v>491</v>
      </c>
      <c r="G463" s="25">
        <f t="shared" si="3"/>
        <v>-1.3850415512465353E-2</v>
      </c>
    </row>
    <row r="464" spans="1:7">
      <c r="A464" s="67">
        <v>74.892502174629442</v>
      </c>
      <c r="B464" s="67">
        <v>77.219278749330385</v>
      </c>
      <c r="C464" s="67">
        <v>73.446930345240787</v>
      </c>
      <c r="D464" s="67">
        <v>76.35787635784537</v>
      </c>
      <c r="E464" s="67">
        <v>661672.85537412588</v>
      </c>
      <c r="F464" s="67" t="s">
        <v>492</v>
      </c>
      <c r="G464" s="25">
        <f t="shared" si="3"/>
        <v>-1.9190871369294871E-2</v>
      </c>
    </row>
    <row r="465" spans="1:7">
      <c r="A465" s="67">
        <v>73.278610337709225</v>
      </c>
      <c r="B465" s="67">
        <v>73.793471537217513</v>
      </c>
      <c r="C465" s="67">
        <v>69.446854872137891</v>
      </c>
      <c r="D465" s="67">
        <v>69.872605479423584</v>
      </c>
      <c r="E465" s="67">
        <v>650703.4523478467</v>
      </c>
      <c r="F465" s="67" t="s">
        <v>493</v>
      </c>
      <c r="G465" s="25">
        <f t="shared" si="3"/>
        <v>4.874592603089134E-2</v>
      </c>
    </row>
    <row r="466" spans="1:7">
      <c r="A466" s="67">
        <v>69.773593710287372</v>
      </c>
      <c r="B466" s="67">
        <v>71.040944355230863</v>
      </c>
      <c r="C466" s="67">
        <v>67.872567742872135</v>
      </c>
      <c r="D466" s="67">
        <v>70.238949025227569</v>
      </c>
      <c r="E466" s="67">
        <v>630903.78593341191</v>
      </c>
      <c r="F466" s="67" t="s">
        <v>494</v>
      </c>
      <c r="G466" s="25">
        <f t="shared" si="3"/>
        <v>-6.6253171694390378E-3</v>
      </c>
    </row>
    <row r="467" spans="1:7">
      <c r="A467" s="67">
        <v>69.704285471892035</v>
      </c>
      <c r="B467" s="67">
        <v>70.743909047822243</v>
      </c>
      <c r="C467" s="67">
        <v>67.931974804353871</v>
      </c>
      <c r="D467" s="67">
        <v>68.090393634971804</v>
      </c>
      <c r="E467" s="67">
        <v>460297.80497410073</v>
      </c>
      <c r="F467" s="67" t="s">
        <v>495</v>
      </c>
      <c r="G467" s="25">
        <f t="shared" si="3"/>
        <v>2.3702195724880193E-2</v>
      </c>
    </row>
    <row r="468" spans="1:7">
      <c r="A468" s="67">
        <v>67.565631258549885</v>
      </c>
      <c r="B468" s="67">
        <v>68.347824234725948</v>
      </c>
      <c r="C468" s="67">
        <v>63.714073439151306</v>
      </c>
      <c r="D468" s="67">
        <v>64.615080538290826</v>
      </c>
      <c r="E468" s="67">
        <v>802798.50257650274</v>
      </c>
      <c r="F468" s="67" t="s">
        <v>496</v>
      </c>
      <c r="G468" s="25">
        <f t="shared" si="3"/>
        <v>4.5663499846766653E-2</v>
      </c>
    </row>
    <row r="469" spans="1:7">
      <c r="A469" s="67">
        <v>64.615080538290826</v>
      </c>
      <c r="B469" s="67">
        <v>65.161625503922707</v>
      </c>
      <c r="C469" s="67">
        <v>63.91209697742373</v>
      </c>
      <c r="D469" s="67">
        <v>63.961602861991828</v>
      </c>
      <c r="E469" s="67">
        <v>537534.07765881182</v>
      </c>
      <c r="F469" s="67" t="s">
        <v>497</v>
      </c>
      <c r="G469" s="25">
        <f t="shared" si="3"/>
        <v>1.0216718266254032E-2</v>
      </c>
    </row>
    <row r="470" spans="1:7">
      <c r="A470" s="67">
        <v>64.040812277300816</v>
      </c>
      <c r="B470" s="67">
        <v>64.337847584709436</v>
      </c>
      <c r="C470" s="67">
        <v>62.347711025071604</v>
      </c>
      <c r="D470" s="67">
        <v>62.496228678775921</v>
      </c>
      <c r="E470" s="67">
        <v>480525.70330853766</v>
      </c>
      <c r="F470" s="67" t="s">
        <v>498</v>
      </c>
      <c r="G470" s="25">
        <f t="shared" si="3"/>
        <v>2.471482889733867E-2</v>
      </c>
    </row>
    <row r="471" spans="1:7">
      <c r="A471" s="67">
        <v>63.129904001247667</v>
      </c>
      <c r="B471" s="67">
        <v>63.322976951063275</v>
      </c>
      <c r="C471" s="67">
        <v>61.733838056427103</v>
      </c>
      <c r="D471" s="67">
        <v>61.733838056427103</v>
      </c>
      <c r="E471" s="67">
        <v>336175.18695388106</v>
      </c>
      <c r="F471" s="67" t="s">
        <v>499</v>
      </c>
      <c r="G471" s="25">
        <f t="shared" si="3"/>
        <v>2.2614274258219602E-2</v>
      </c>
    </row>
    <row r="472" spans="1:7">
      <c r="A472" s="67">
        <v>61.53581451815468</v>
      </c>
      <c r="B472" s="67">
        <v>62.525932209516782</v>
      </c>
      <c r="C472" s="67">
        <v>61.04075567247363</v>
      </c>
      <c r="D472" s="67">
        <v>61.793245117908825</v>
      </c>
      <c r="E472" s="67">
        <v>379489.22969257995</v>
      </c>
      <c r="F472" s="67" t="s">
        <v>500</v>
      </c>
      <c r="G472" s="25">
        <f t="shared" si="3"/>
        <v>-4.1659990386155865E-3</v>
      </c>
    </row>
    <row r="473" spans="1:7">
      <c r="A473" s="67">
        <v>61.69423334877262</v>
      </c>
      <c r="B473" s="67">
        <v>62.996238112913787</v>
      </c>
      <c r="C473" s="67">
        <v>61.397198041363986</v>
      </c>
      <c r="D473" s="67">
        <v>61.892256887045036</v>
      </c>
      <c r="E473" s="67">
        <v>246192.95476344827</v>
      </c>
      <c r="F473" s="67" t="s">
        <v>501</v>
      </c>
      <c r="G473" s="25">
        <f t="shared" si="3"/>
        <v>-3.1994880819068428E-3</v>
      </c>
    </row>
    <row r="474" spans="1:7">
      <c r="A474" s="67">
        <v>61.684332171858998</v>
      </c>
      <c r="B474" s="67">
        <v>62.277808716061443</v>
      </c>
      <c r="C474" s="67">
        <v>61.100162733955358</v>
      </c>
      <c r="D474" s="67">
        <v>62.268501609762637</v>
      </c>
      <c r="E474" s="67">
        <v>299955.25036163139</v>
      </c>
      <c r="F474" s="67" t="s">
        <v>502</v>
      </c>
      <c r="G474" s="25">
        <f t="shared" si="3"/>
        <v>-9.3814596915248183E-3</v>
      </c>
    </row>
    <row r="475" spans="1:7">
      <c r="A475" s="67">
        <v>62.42692044038057</v>
      </c>
      <c r="B475" s="67">
        <v>63.387334601001811</v>
      </c>
      <c r="C475" s="67">
        <v>62.357612201985226</v>
      </c>
      <c r="D475" s="67">
        <v>63.387334601001811</v>
      </c>
      <c r="E475" s="67">
        <v>301976.22222937696</v>
      </c>
      <c r="F475" s="67" t="s">
        <v>503</v>
      </c>
      <c r="G475" s="25">
        <f t="shared" si="3"/>
        <v>-1.5151515151515138E-2</v>
      </c>
    </row>
    <row r="476" spans="1:7">
      <c r="A476" s="67">
        <v>63.20911341655664</v>
      </c>
      <c r="B476" s="67">
        <v>65.565593521998437</v>
      </c>
      <c r="C476" s="67">
        <v>63.090299293593183</v>
      </c>
      <c r="D476" s="67">
        <v>65.565593521998437</v>
      </c>
      <c r="E476" s="67">
        <v>396717.48462511564</v>
      </c>
      <c r="F476" s="67" t="s">
        <v>504</v>
      </c>
      <c r="G476" s="25">
        <f t="shared" si="3"/>
        <v>-3.59408033826637E-2</v>
      </c>
    </row>
    <row r="477" spans="1:7">
      <c r="A477" s="67">
        <v>65.72401235261637</v>
      </c>
      <c r="B477" s="67">
        <v>65.951739421629654</v>
      </c>
      <c r="C477" s="67">
        <v>64.466562884586509</v>
      </c>
      <c r="D477" s="67">
        <v>64.654685245945302</v>
      </c>
      <c r="E477" s="67">
        <v>314993.86660887353</v>
      </c>
      <c r="F477" s="67" t="s">
        <v>505</v>
      </c>
      <c r="G477" s="25">
        <f t="shared" si="3"/>
        <v>1.6539050535987698E-2</v>
      </c>
    </row>
    <row r="478" spans="1:7">
      <c r="A478" s="67">
        <v>64.080416984955292</v>
      </c>
      <c r="B478" s="67">
        <v>66.011146483111389</v>
      </c>
      <c r="C478" s="67">
        <v>64.001207569646326</v>
      </c>
      <c r="D478" s="67">
        <v>64.832906430390494</v>
      </c>
      <c r="E478" s="67">
        <v>320549.77177852293</v>
      </c>
      <c r="F478" s="67" t="s">
        <v>506</v>
      </c>
      <c r="G478" s="25">
        <f t="shared" si="3"/>
        <v>-1.1606597434331123E-2</v>
      </c>
    </row>
    <row r="479" spans="1:7">
      <c r="A479" s="67">
        <v>64.832906430390494</v>
      </c>
      <c r="B479" s="67">
        <v>66.70422886706487</v>
      </c>
      <c r="C479" s="67">
        <v>64.050713454214417</v>
      </c>
      <c r="D479" s="67">
        <v>64.268539346314085</v>
      </c>
      <c r="E479" s="67">
        <v>351830.90155754128</v>
      </c>
      <c r="F479" s="67" t="s">
        <v>507</v>
      </c>
      <c r="G479" s="25">
        <f t="shared" si="3"/>
        <v>8.7813896163921878E-3</v>
      </c>
    </row>
    <row r="480" spans="1:7">
      <c r="A480" s="67">
        <v>64.169527577177874</v>
      </c>
      <c r="B480" s="67">
        <v>64.981424084094797</v>
      </c>
      <c r="C480" s="67">
        <v>63.32792753952009</v>
      </c>
      <c r="D480" s="67">
        <v>63.704172262237691</v>
      </c>
      <c r="E480" s="67">
        <v>372194.13733839395</v>
      </c>
      <c r="F480" s="67" t="s">
        <v>508</v>
      </c>
      <c r="G480" s="25">
        <f t="shared" si="3"/>
        <v>7.3049424930058393E-3</v>
      </c>
    </row>
    <row r="481" spans="1:7">
      <c r="A481" s="67">
        <v>63.95170168507822</v>
      </c>
      <c r="B481" s="67">
        <v>64.488840532642143</v>
      </c>
      <c r="C481" s="67">
        <v>62.248699255935392</v>
      </c>
      <c r="D481" s="67">
        <v>63.35763107026095</v>
      </c>
      <c r="E481" s="67">
        <v>467440.39020583319</v>
      </c>
      <c r="F481" s="67" t="s">
        <v>509</v>
      </c>
      <c r="G481" s="25">
        <f t="shared" si="3"/>
        <v>9.3764650726677612E-3</v>
      </c>
    </row>
    <row r="482" spans="1:7">
      <c r="A482" s="67">
        <v>63.387334601001811</v>
      </c>
      <c r="B482" s="67">
        <v>63.67446873149683</v>
      </c>
      <c r="C482" s="67">
        <v>61.238779210746053</v>
      </c>
      <c r="D482" s="67">
        <v>61.278383918400536</v>
      </c>
      <c r="E482" s="67">
        <v>372472.89207877265</v>
      </c>
      <c r="F482" s="67" t="s">
        <v>510</v>
      </c>
      <c r="G482" s="25">
        <f t="shared" si="3"/>
        <v>3.4415899175957332E-2</v>
      </c>
    </row>
    <row r="483" spans="1:7">
      <c r="A483" s="67">
        <v>61.199174503091569</v>
      </c>
      <c r="B483" s="67">
        <v>62.516031032603166</v>
      </c>
      <c r="C483" s="67">
        <v>60.838969686974032</v>
      </c>
      <c r="D483" s="67">
        <v>61.921960417785904</v>
      </c>
      <c r="E483" s="67">
        <v>616814.55177296675</v>
      </c>
      <c r="F483" s="67" t="s">
        <v>511</v>
      </c>
      <c r="G483" s="25">
        <f t="shared" si="3"/>
        <v>-1.1672529581068125E-2</v>
      </c>
    </row>
    <row r="484" spans="1:7">
      <c r="A484" s="67">
        <v>62.357612201985226</v>
      </c>
      <c r="B484" s="67">
        <v>63.654666377669592</v>
      </c>
      <c r="C484" s="67">
        <v>62.016021598465301</v>
      </c>
      <c r="D484" s="67">
        <v>63.298224008779222</v>
      </c>
      <c r="E484" s="67">
        <v>446112.62262403249</v>
      </c>
      <c r="F484" s="67" t="s">
        <v>512</v>
      </c>
      <c r="G484" s="25">
        <f t="shared" si="3"/>
        <v>-1.4860003128421728E-2</v>
      </c>
    </row>
    <row r="485" spans="1:7">
      <c r="A485" s="67">
        <v>63.347729893347328</v>
      </c>
      <c r="B485" s="67">
        <v>64.481414649956932</v>
      </c>
      <c r="C485" s="67">
        <v>62.783362809270926</v>
      </c>
      <c r="D485" s="67">
        <v>63.387334601001811</v>
      </c>
      <c r="E485" s="67">
        <v>327214.63602402667</v>
      </c>
      <c r="F485" s="67" t="s">
        <v>513</v>
      </c>
      <c r="G485" s="25">
        <f t="shared" si="3"/>
        <v>-6.2480474851611678E-4</v>
      </c>
    </row>
    <row r="486" spans="1:7">
      <c r="A486" s="67">
        <v>63.417038131742679</v>
      </c>
      <c r="B486" s="67">
        <v>65.753715883357231</v>
      </c>
      <c r="C486" s="67">
        <v>62.931880462975251</v>
      </c>
      <c r="D486" s="67">
        <v>65.634901760393788</v>
      </c>
      <c r="E486" s="67">
        <v>595978.64491060236</v>
      </c>
      <c r="F486" s="67" t="s">
        <v>514</v>
      </c>
      <c r="G486" s="25">
        <f t="shared" si="3"/>
        <v>-3.3790918690601912E-2</v>
      </c>
    </row>
    <row r="487" spans="1:7">
      <c r="A487" s="67">
        <v>65.931937067802423</v>
      </c>
      <c r="B487" s="67">
        <v>69.119125916297023</v>
      </c>
      <c r="C487" s="67">
        <v>65.31539078139123</v>
      </c>
      <c r="D487" s="67">
        <v>67.654741850772481</v>
      </c>
      <c r="E487" s="67">
        <v>466166.80423620442</v>
      </c>
      <c r="F487" s="67" t="s">
        <v>515</v>
      </c>
      <c r="G487" s="25">
        <f t="shared" si="3"/>
        <v>-2.5464656812527409E-2</v>
      </c>
    </row>
    <row r="488" spans="1:7">
      <c r="A488" s="67">
        <v>65.902233537061562</v>
      </c>
      <c r="B488" s="67">
        <v>66.892351228423664</v>
      </c>
      <c r="C488" s="67">
        <v>65.377471160639644</v>
      </c>
      <c r="D488" s="67">
        <v>66.268577082865534</v>
      </c>
      <c r="E488" s="67">
        <v>384211.90058392345</v>
      </c>
      <c r="F488" s="67" t="s">
        <v>516</v>
      </c>
      <c r="G488" s="25">
        <f t="shared" si="3"/>
        <v>-5.5281637531748862E-3</v>
      </c>
    </row>
    <row r="489" spans="1:7">
      <c r="A489" s="67">
        <v>66.763635928546591</v>
      </c>
      <c r="B489" s="67">
        <v>68.179504227194386</v>
      </c>
      <c r="C489" s="67">
        <v>66.219071198297428</v>
      </c>
      <c r="D489" s="67">
        <v>67.436915958672813</v>
      </c>
      <c r="E489" s="67">
        <v>358947.22728474531</v>
      </c>
      <c r="F489" s="67" t="s">
        <v>517</v>
      </c>
      <c r="G489" s="25">
        <f t="shared" si="3"/>
        <v>-9.9838496549697897E-3</v>
      </c>
    </row>
    <row r="490" spans="1:7">
      <c r="A490" s="67">
        <v>67.605235966204376</v>
      </c>
      <c r="B490" s="67">
        <v>71.238967893503286</v>
      </c>
      <c r="C490" s="67">
        <v>67.219090066573159</v>
      </c>
      <c r="D490" s="67">
        <v>71.050845532144493</v>
      </c>
      <c r="E490" s="67">
        <v>528934.08992575156</v>
      </c>
      <c r="F490" s="67" t="s">
        <v>518</v>
      </c>
      <c r="G490" s="25">
        <f t="shared" si="3"/>
        <v>-4.8494983277591941E-2</v>
      </c>
    </row>
    <row r="491" spans="1:7">
      <c r="A491" s="67">
        <v>71.209264362762426</v>
      </c>
      <c r="B491" s="67">
        <v>75.496473966360327</v>
      </c>
      <c r="C491" s="67">
        <v>70.139937256091358</v>
      </c>
      <c r="D491" s="67">
        <v>73.87268095252648</v>
      </c>
      <c r="E491" s="67">
        <v>480615.59161250031</v>
      </c>
      <c r="F491" s="67" t="s">
        <v>519</v>
      </c>
      <c r="G491" s="25">
        <f t="shared" si="3"/>
        <v>-3.6054148237501638E-2</v>
      </c>
    </row>
    <row r="492" spans="1:7">
      <c r="A492" s="67">
        <v>74.021198606230797</v>
      </c>
      <c r="B492" s="67">
        <v>76.506394011549673</v>
      </c>
      <c r="C492" s="67">
        <v>73.808323302587951</v>
      </c>
      <c r="D492" s="67">
        <v>74.258826852157696</v>
      </c>
      <c r="E492" s="67">
        <v>332938.19803028059</v>
      </c>
      <c r="F492" s="67" t="s">
        <v>520</v>
      </c>
      <c r="G492" s="25">
        <f t="shared" si="3"/>
        <v>-3.1999999999999806E-3</v>
      </c>
    </row>
    <row r="493" spans="1:7">
      <c r="A493" s="67">
        <v>73.169697391659398</v>
      </c>
      <c r="B493" s="67">
        <v>73.724163298822162</v>
      </c>
      <c r="C493" s="67">
        <v>72.971673853386974</v>
      </c>
      <c r="D493" s="67">
        <v>73.536040937463369</v>
      </c>
      <c r="E493" s="67">
        <v>353801.3743781168</v>
      </c>
      <c r="F493" s="67" t="s">
        <v>521</v>
      </c>
      <c r="G493" s="25">
        <f t="shared" si="3"/>
        <v>-4.9818230779586914E-3</v>
      </c>
    </row>
    <row r="494" spans="1:7">
      <c r="A494" s="67">
        <v>72.595429130669359</v>
      </c>
      <c r="B494" s="67">
        <v>75.773706919941716</v>
      </c>
      <c r="C494" s="67">
        <v>72.555824423014883</v>
      </c>
      <c r="D494" s="67">
        <v>75.773706919941716</v>
      </c>
      <c r="E494" s="67">
        <v>496100.61943672574</v>
      </c>
      <c r="F494" s="67" t="s">
        <v>522</v>
      </c>
      <c r="G494" s="25">
        <f t="shared" si="3"/>
        <v>-4.1944335554684575E-2</v>
      </c>
    </row>
    <row r="495" spans="1:7">
      <c r="A495" s="67">
        <v>75.496473966360327</v>
      </c>
      <c r="B495" s="67">
        <v>76.179655173400178</v>
      </c>
      <c r="C495" s="67">
        <v>74.169716259935115</v>
      </c>
      <c r="D495" s="67">
        <v>74.555862159566331</v>
      </c>
      <c r="E495" s="67">
        <v>234067.12355697487</v>
      </c>
      <c r="F495" s="67" t="s">
        <v>523</v>
      </c>
      <c r="G495" s="25">
        <f t="shared" si="3"/>
        <v>1.2616201859229736E-2</v>
      </c>
    </row>
    <row r="496" spans="1:7">
      <c r="A496" s="67">
        <v>74.753885697838754</v>
      </c>
      <c r="B496" s="67">
        <v>75.813311627596192</v>
      </c>
      <c r="C496" s="67">
        <v>74.45685039043012</v>
      </c>
      <c r="D496" s="67">
        <v>74.922205705370317</v>
      </c>
      <c r="E496" s="67">
        <v>244001.29611626794</v>
      </c>
      <c r="F496" s="67" t="s">
        <v>524</v>
      </c>
      <c r="G496" s="25">
        <f t="shared" si="3"/>
        <v>-2.2465970662085555E-3</v>
      </c>
    </row>
    <row r="497" spans="1:7">
      <c r="A497" s="67">
        <v>74.496455098084596</v>
      </c>
      <c r="B497" s="67">
        <v>75.338055135742394</v>
      </c>
      <c r="C497" s="67">
        <v>73.476633875981634</v>
      </c>
      <c r="D497" s="67">
        <v>74.605368044134437</v>
      </c>
      <c r="E497" s="67">
        <v>777158.11636637943</v>
      </c>
      <c r="F497" s="67" t="s">
        <v>525</v>
      </c>
      <c r="G497" s="25">
        <f t="shared" si="3"/>
        <v>-1.4598540145986938E-3</v>
      </c>
    </row>
    <row r="498" spans="1:7">
      <c r="A498" s="67">
        <v>74.605368044134437</v>
      </c>
      <c r="B498" s="67">
        <v>76.734121080562957</v>
      </c>
      <c r="C498" s="67">
        <v>74.278629205984942</v>
      </c>
      <c r="D498" s="67">
        <v>76.734121080562957</v>
      </c>
      <c r="E498" s="67">
        <v>283708.69690608158</v>
      </c>
      <c r="F498" s="67" t="s">
        <v>526</v>
      </c>
      <c r="G498" s="25">
        <f t="shared" si="3"/>
        <v>-2.7741935483870939E-2</v>
      </c>
    </row>
    <row r="499" spans="1:7">
      <c r="A499" s="67">
        <v>75.258845720433428</v>
      </c>
      <c r="B499" s="67">
        <v>76.437085773154337</v>
      </c>
      <c r="C499" s="67">
        <v>73.550892702833792</v>
      </c>
      <c r="D499" s="67">
        <v>73.932088014008215</v>
      </c>
      <c r="E499" s="67">
        <v>250563.14230554478</v>
      </c>
      <c r="F499" s="67" t="s">
        <v>527</v>
      </c>
      <c r="G499" s="25">
        <f t="shared" si="3"/>
        <v>1.7945627427346844E-2</v>
      </c>
    </row>
    <row r="500" spans="1:7">
      <c r="A500" s="67">
        <v>74.060803313885273</v>
      </c>
      <c r="B500" s="67">
        <v>75.357857489569639</v>
      </c>
      <c r="C500" s="67">
        <v>73.986544487033115</v>
      </c>
      <c r="D500" s="67">
        <v>74.912304528456687</v>
      </c>
      <c r="E500" s="67">
        <v>323661.52306514164</v>
      </c>
      <c r="F500" s="67" t="s">
        <v>528</v>
      </c>
      <c r="G500" s="25">
        <f t="shared" si="3"/>
        <v>-1.1366640232619685E-2</v>
      </c>
    </row>
    <row r="501" spans="1:7">
      <c r="A501" s="67">
        <v>74.219222144503206</v>
      </c>
      <c r="B501" s="67">
        <v>75.625189266237399</v>
      </c>
      <c r="C501" s="67">
        <v>73.91228566018097</v>
      </c>
      <c r="D501" s="67">
        <v>74.654873928702543</v>
      </c>
      <c r="E501" s="67">
        <v>311207.44805206289</v>
      </c>
      <c r="F501" s="67" t="s">
        <v>529</v>
      </c>
      <c r="G501" s="25">
        <f t="shared" si="3"/>
        <v>-5.8355437665783549E-3</v>
      </c>
    </row>
    <row r="502" spans="1:7">
      <c r="A502" s="67">
        <v>74.456850390430134</v>
      </c>
      <c r="B502" s="67">
        <v>77.211951353152941</v>
      </c>
      <c r="C502" s="67">
        <v>74.239602285842679</v>
      </c>
      <c r="D502" s="67">
        <v>76.649081263994532</v>
      </c>
      <c r="E502" s="67">
        <v>525512.43297056097</v>
      </c>
      <c r="F502" s="67" t="s">
        <v>530</v>
      </c>
      <c r="G502" s="25">
        <f t="shared" si="3"/>
        <v>-2.8600876062870539E-2</v>
      </c>
    </row>
    <row r="503" spans="1:7">
      <c r="A503" s="67">
        <v>75.957837294852595</v>
      </c>
      <c r="B503" s="67">
        <v>76.70833074706384</v>
      </c>
      <c r="C503" s="67">
        <v>72.467055250685888</v>
      </c>
      <c r="D503" s="67">
        <v>72.471992707608322</v>
      </c>
      <c r="E503" s="67">
        <v>671801.30421456893</v>
      </c>
      <c r="F503" s="67" t="s">
        <v>531</v>
      </c>
      <c r="G503" s="25">
        <f t="shared" si="3"/>
        <v>4.809919607575952E-2</v>
      </c>
    </row>
    <row r="504" spans="1:7">
      <c r="A504" s="67">
        <v>72.392993396849249</v>
      </c>
      <c r="B504" s="67">
        <v>72.580616759902057</v>
      </c>
      <c r="C504" s="67">
        <v>69.213271138796401</v>
      </c>
      <c r="D504" s="67">
        <v>70.714258043218862</v>
      </c>
      <c r="E504" s="67">
        <v>346502.26358911337</v>
      </c>
      <c r="F504" s="67" t="s">
        <v>532</v>
      </c>
      <c r="G504" s="25">
        <f t="shared" ref="G504:G567" si="4">A504/D504-1</f>
        <v>2.3739701159055882E-2</v>
      </c>
    </row>
    <row r="505" spans="1:7">
      <c r="A505" s="67">
        <v>71.138879338548904</v>
      </c>
      <c r="B505" s="67">
        <v>71.415376926205653</v>
      </c>
      <c r="C505" s="67">
        <v>69.835390711024118</v>
      </c>
      <c r="D505" s="67">
        <v>70.921631233961421</v>
      </c>
      <c r="E505" s="67">
        <v>198482.74433455561</v>
      </c>
      <c r="F505" s="67" t="s">
        <v>533</v>
      </c>
      <c r="G505" s="25">
        <f t="shared" si="4"/>
        <v>3.0632135895296564E-3</v>
      </c>
    </row>
    <row r="506" spans="1:7">
      <c r="A506" s="67">
        <v>70.714258043218862</v>
      </c>
      <c r="B506" s="67">
        <v>73.281735642888862</v>
      </c>
      <c r="C506" s="67">
        <v>70.141513040215543</v>
      </c>
      <c r="D506" s="67">
        <v>73.173111590595127</v>
      </c>
      <c r="E506" s="67">
        <v>367743.96790116251</v>
      </c>
      <c r="F506" s="67" t="s">
        <v>534</v>
      </c>
      <c r="G506" s="25">
        <f t="shared" si="4"/>
        <v>-3.3603238866396601E-2</v>
      </c>
    </row>
    <row r="507" spans="1:7">
      <c r="A507" s="67">
        <v>73.242235987509318</v>
      </c>
      <c r="B507" s="67">
        <v>74.032229095100092</v>
      </c>
      <c r="C507" s="67">
        <v>71.38575218467102</v>
      </c>
      <c r="D507" s="67">
        <v>73.024987882921863</v>
      </c>
      <c r="E507" s="67">
        <v>516506.78477991198</v>
      </c>
      <c r="F507" s="67" t="s">
        <v>535</v>
      </c>
      <c r="G507" s="25">
        <f t="shared" si="4"/>
        <v>2.9749830966867563E-3</v>
      </c>
    </row>
    <row r="508" spans="1:7">
      <c r="A508" s="67">
        <v>73.380484781337714</v>
      </c>
      <c r="B508" s="67">
        <v>73.479233919786552</v>
      </c>
      <c r="C508" s="67">
        <v>69.697141917195736</v>
      </c>
      <c r="D508" s="67">
        <v>70.50688485247629</v>
      </c>
      <c r="E508" s="67">
        <v>557292.96340653731</v>
      </c>
      <c r="F508" s="67" t="s">
        <v>536</v>
      </c>
      <c r="G508" s="25">
        <f t="shared" si="4"/>
        <v>4.0756302521008259E-2</v>
      </c>
    </row>
    <row r="509" spans="1:7">
      <c r="A509" s="67">
        <v>70.437760455562085</v>
      </c>
      <c r="B509" s="67">
        <v>72.481867621453205</v>
      </c>
      <c r="C509" s="67">
        <v>70.013139160232058</v>
      </c>
      <c r="D509" s="67">
        <v>70.645133646304672</v>
      </c>
      <c r="E509" s="67">
        <v>231577.71661821689</v>
      </c>
      <c r="F509" s="67" t="s">
        <v>537</v>
      </c>
      <c r="G509" s="25">
        <f t="shared" si="4"/>
        <v>-2.9354207436400603E-3</v>
      </c>
    </row>
    <row r="510" spans="1:7">
      <c r="A510" s="67">
        <v>70.269886920199042</v>
      </c>
      <c r="B510" s="67">
        <v>72.778115036799747</v>
      </c>
      <c r="C510" s="67">
        <v>70.230387264819512</v>
      </c>
      <c r="D510" s="67">
        <v>71.839998221535708</v>
      </c>
      <c r="E510" s="67">
        <v>371902.99152862182</v>
      </c>
      <c r="F510" s="67" t="s">
        <v>538</v>
      </c>
      <c r="G510" s="25">
        <f t="shared" si="4"/>
        <v>-2.1855670103092972E-2</v>
      </c>
    </row>
    <row r="511" spans="1:7">
      <c r="A511" s="67">
        <v>72.304119172245279</v>
      </c>
      <c r="B511" s="67">
        <v>73.903855215116593</v>
      </c>
      <c r="C511" s="67">
        <v>70.921631233961421</v>
      </c>
      <c r="D511" s="67">
        <v>73.419984436717243</v>
      </c>
      <c r="E511" s="67">
        <v>415817.29871264222</v>
      </c>
      <c r="F511" s="67" t="s">
        <v>539</v>
      </c>
      <c r="G511" s="25">
        <f t="shared" si="4"/>
        <v>-1.5198386012104881E-2</v>
      </c>
    </row>
    <row r="512" spans="1:7">
      <c r="A512" s="67">
        <v>73.034862796766745</v>
      </c>
      <c r="B512" s="67">
        <v>73.153361762905362</v>
      </c>
      <c r="C512" s="67">
        <v>69.766266314109942</v>
      </c>
      <c r="D512" s="67">
        <v>70.704383129373966</v>
      </c>
      <c r="E512" s="67">
        <v>401603.50381733704</v>
      </c>
      <c r="F512" s="67" t="s">
        <v>540</v>
      </c>
      <c r="G512" s="25">
        <f t="shared" si="4"/>
        <v>3.2960893854748763E-2</v>
      </c>
    </row>
    <row r="513" spans="1:7">
      <c r="A513" s="67">
        <v>69.845265624869015</v>
      </c>
      <c r="B513" s="67">
        <v>71.533875892344284</v>
      </c>
      <c r="C513" s="67">
        <v>68.996023034208932</v>
      </c>
      <c r="D513" s="67">
        <v>71.454876581585211</v>
      </c>
      <c r="E513" s="67">
        <v>220274.32686177653</v>
      </c>
      <c r="F513" s="67" t="s">
        <v>541</v>
      </c>
      <c r="G513" s="25">
        <f t="shared" si="4"/>
        <v>-2.2526257600884447E-2</v>
      </c>
    </row>
    <row r="514" spans="1:7">
      <c r="A514" s="67">
        <v>71.711624341552209</v>
      </c>
      <c r="B514" s="67">
        <v>72.353493741469705</v>
      </c>
      <c r="C514" s="67">
        <v>70.892006492426788</v>
      </c>
      <c r="D514" s="67">
        <v>71.38575218467102</v>
      </c>
      <c r="E514" s="67">
        <v>237840.0497353847</v>
      </c>
      <c r="F514" s="67" t="s">
        <v>542</v>
      </c>
      <c r="G514" s="25">
        <f t="shared" si="4"/>
        <v>4.564946742287912E-3</v>
      </c>
    </row>
    <row r="515" spans="1:7">
      <c r="A515" s="67">
        <v>71.454876581585211</v>
      </c>
      <c r="B515" s="67">
        <v>72.442367966073661</v>
      </c>
      <c r="C515" s="67">
        <v>71.119129510859125</v>
      </c>
      <c r="D515" s="67">
        <v>71.642499944638004</v>
      </c>
      <c r="E515" s="67">
        <v>356921.59499961458</v>
      </c>
      <c r="F515" s="67" t="s">
        <v>543</v>
      </c>
      <c r="G515" s="25">
        <f t="shared" si="4"/>
        <v>-2.618883528600735E-3</v>
      </c>
    </row>
    <row r="516" spans="1:7">
      <c r="A516" s="67">
        <v>71.050005113944934</v>
      </c>
      <c r="B516" s="67">
        <v>71.435126753895432</v>
      </c>
      <c r="C516" s="67">
        <v>67.14615542364669</v>
      </c>
      <c r="D516" s="67">
        <v>67.682659492839278</v>
      </c>
      <c r="E516" s="67">
        <v>415522.61259732919</v>
      </c>
      <c r="F516" s="67" t="s">
        <v>544</v>
      </c>
      <c r="G516" s="25">
        <f t="shared" si="4"/>
        <v>4.9751969652757522E-2</v>
      </c>
    </row>
    <row r="517" spans="1:7">
      <c r="A517" s="67">
        <v>67.29753785288878</v>
      </c>
      <c r="B517" s="67">
        <v>67.603660182080191</v>
      </c>
      <c r="C517" s="67">
        <v>66.31498392532275</v>
      </c>
      <c r="D517" s="67">
        <v>67.277788025199001</v>
      </c>
      <c r="E517" s="67">
        <v>362907.47000860213</v>
      </c>
      <c r="F517" s="67" t="s">
        <v>545</v>
      </c>
      <c r="G517" s="25">
        <f t="shared" si="4"/>
        <v>2.9355643622497318E-4</v>
      </c>
    </row>
    <row r="518" spans="1:7">
      <c r="A518" s="67">
        <v>67.060539920611532</v>
      </c>
      <c r="B518" s="67">
        <v>67.534535785166</v>
      </c>
      <c r="C518" s="67">
        <v>66.36929595146961</v>
      </c>
      <c r="D518" s="67">
        <v>67.534535785166</v>
      </c>
      <c r="E518" s="67">
        <v>289220.75117439835</v>
      </c>
      <c r="F518" s="67" t="s">
        <v>546</v>
      </c>
      <c r="G518" s="25">
        <f t="shared" si="4"/>
        <v>-7.0185699663694034E-3</v>
      </c>
    </row>
    <row r="519" spans="1:7">
      <c r="A519" s="67">
        <v>67.119789403680855</v>
      </c>
      <c r="B519" s="67">
        <v>67.82090828666766</v>
      </c>
      <c r="C519" s="67">
        <v>66.891283897310231</v>
      </c>
      <c r="D519" s="67">
        <v>67.129664317525737</v>
      </c>
      <c r="E519" s="67">
        <v>230174.16006899395</v>
      </c>
      <c r="F519" s="67" t="s">
        <v>547</v>
      </c>
      <c r="G519" s="25">
        <f t="shared" si="4"/>
        <v>-1.4710208884960441E-4</v>
      </c>
    </row>
    <row r="520" spans="1:7">
      <c r="A520" s="67">
        <v>67.33703750826831</v>
      </c>
      <c r="B520" s="67">
        <v>67.993719278953151</v>
      </c>
      <c r="C520" s="67">
        <v>66.171797674571934</v>
      </c>
      <c r="D520" s="67">
        <v>66.616168797591726</v>
      </c>
      <c r="E520" s="67">
        <v>226979.19548544535</v>
      </c>
      <c r="F520" s="67" t="s">
        <v>548</v>
      </c>
      <c r="G520" s="25">
        <f t="shared" si="4"/>
        <v>1.0821227394011368E-2</v>
      </c>
    </row>
    <row r="521" spans="1:7">
      <c r="A521" s="67">
        <v>66.517419659142888</v>
      </c>
      <c r="B521" s="67">
        <v>66.675418280661034</v>
      </c>
      <c r="C521" s="67">
        <v>65.292930342377204</v>
      </c>
      <c r="D521" s="67">
        <v>65.638552326948158</v>
      </c>
      <c r="E521" s="67">
        <v>295447.64094436361</v>
      </c>
      <c r="F521" s="67" t="s">
        <v>549</v>
      </c>
      <c r="G521" s="25">
        <f t="shared" si="4"/>
        <v>1.3389499022115281E-2</v>
      </c>
    </row>
    <row r="522" spans="1:7">
      <c r="A522" s="67">
        <v>65.964424483829347</v>
      </c>
      <c r="B522" s="67">
        <v>68.354153634291421</v>
      </c>
      <c r="C522" s="67">
        <v>65.707676723862349</v>
      </c>
      <c r="D522" s="67">
        <v>66.932166040628047</v>
      </c>
      <c r="E522" s="67">
        <v>324209.41086574137</v>
      </c>
      <c r="F522" s="67" t="s">
        <v>550</v>
      </c>
      <c r="G522" s="25">
        <f t="shared" si="4"/>
        <v>-1.4458542342874137E-2</v>
      </c>
    </row>
    <row r="523" spans="1:7">
      <c r="A523" s="67">
        <v>66.171797674571934</v>
      </c>
      <c r="B523" s="67">
        <v>66.899578824939923</v>
      </c>
      <c r="C523" s="67">
        <v>64.947308357806222</v>
      </c>
      <c r="D523" s="67">
        <v>66.201422416106581</v>
      </c>
      <c r="E523" s="67">
        <v>206755.22157164227</v>
      </c>
      <c r="F523" s="67" t="s">
        <v>551</v>
      </c>
      <c r="G523" s="25">
        <f t="shared" si="4"/>
        <v>-4.4749403341282079E-4</v>
      </c>
    </row>
    <row r="524" spans="1:7">
      <c r="A524" s="67">
        <v>66.310046468400316</v>
      </c>
      <c r="B524" s="67">
        <v>66.65566845297127</v>
      </c>
      <c r="C524" s="67">
        <v>64.611561287080164</v>
      </c>
      <c r="D524" s="67">
        <v>65.599052671568629</v>
      </c>
      <c r="E524" s="67">
        <v>244501.37367534748</v>
      </c>
      <c r="F524" s="67" t="s">
        <v>552</v>
      </c>
      <c r="G524" s="25">
        <f t="shared" si="4"/>
        <v>1.0838476591901181E-2</v>
      </c>
    </row>
    <row r="525" spans="1:7">
      <c r="A525" s="67">
        <v>65.213931031618117</v>
      </c>
      <c r="B525" s="67">
        <v>66.606293883746858</v>
      </c>
      <c r="C525" s="67">
        <v>64.907808702426692</v>
      </c>
      <c r="D525" s="67">
        <v>66.448295262228697</v>
      </c>
      <c r="E525" s="67">
        <v>702904.36038544413</v>
      </c>
      <c r="F525" s="67" t="s">
        <v>553</v>
      </c>
      <c r="G525" s="25">
        <f t="shared" si="4"/>
        <v>-1.8576311487591091E-2</v>
      </c>
    </row>
    <row r="526" spans="1:7">
      <c r="A526" s="67">
        <v>66.231047157641228</v>
      </c>
      <c r="B526" s="67">
        <v>67.016102808309554</v>
      </c>
      <c r="C526" s="67">
        <v>66.033548880743538</v>
      </c>
      <c r="D526" s="67">
        <v>66.547044400677535</v>
      </c>
      <c r="E526" s="67">
        <v>337678.89546979201</v>
      </c>
      <c r="F526" s="67" t="s">
        <v>554</v>
      </c>
      <c r="G526" s="25">
        <f t="shared" si="4"/>
        <v>-4.7484790028193835E-3</v>
      </c>
    </row>
    <row r="527" spans="1:7">
      <c r="A527" s="67">
        <v>66.971665696007577</v>
      </c>
      <c r="B527" s="67">
        <v>67.880157769736968</v>
      </c>
      <c r="C527" s="67">
        <v>65.796550948466304</v>
      </c>
      <c r="D527" s="67">
        <v>65.796550948466304</v>
      </c>
      <c r="E527" s="67">
        <v>321518.75447953265</v>
      </c>
      <c r="F527" s="67" t="s">
        <v>555</v>
      </c>
      <c r="G527" s="25">
        <f t="shared" si="4"/>
        <v>1.7859822902596356E-2</v>
      </c>
    </row>
    <row r="528" spans="1:7">
      <c r="A528" s="67">
        <v>65.618802499258393</v>
      </c>
      <c r="B528" s="67">
        <v>66.714917936040578</v>
      </c>
      <c r="C528" s="67">
        <v>64.883121417814479</v>
      </c>
      <c r="D528" s="67">
        <v>65.075682237789735</v>
      </c>
      <c r="E528" s="67">
        <v>513961.95245076536</v>
      </c>
      <c r="F528" s="67" t="s">
        <v>556</v>
      </c>
      <c r="G528" s="25">
        <f t="shared" si="4"/>
        <v>8.3459787556905418E-3</v>
      </c>
    </row>
    <row r="529" spans="1:7">
      <c r="A529" s="67">
        <v>64.601686373235268</v>
      </c>
      <c r="B529" s="67">
        <v>65.717551637707231</v>
      </c>
      <c r="C529" s="67">
        <v>64.014128999464631</v>
      </c>
      <c r="D529" s="67">
        <v>64.502937234786415</v>
      </c>
      <c r="E529" s="67">
        <v>445716.293745692</v>
      </c>
      <c r="F529" s="67" t="s">
        <v>557</v>
      </c>
      <c r="G529" s="25">
        <f t="shared" si="4"/>
        <v>1.5309246785060182E-3</v>
      </c>
    </row>
    <row r="530" spans="1:7">
      <c r="A530" s="67">
        <v>64.80905956397784</v>
      </c>
      <c r="B530" s="67">
        <v>67.188913800595046</v>
      </c>
      <c r="C530" s="67">
        <v>64.611561287080164</v>
      </c>
      <c r="D530" s="67">
        <v>66.300171554555433</v>
      </c>
      <c r="E530" s="67">
        <v>548363.26524560817</v>
      </c>
      <c r="F530" s="67" t="s">
        <v>558</v>
      </c>
      <c r="G530" s="25">
        <f t="shared" si="4"/>
        <v>-2.2490318736967718E-2</v>
      </c>
    </row>
    <row r="531" spans="1:7">
      <c r="A531" s="67">
        <v>67.811033372822777</v>
      </c>
      <c r="B531" s="67">
        <v>68.067781132789776</v>
      </c>
      <c r="C531" s="67">
        <v>63.658632101048788</v>
      </c>
      <c r="D531" s="67">
        <v>63.673444471816119</v>
      </c>
      <c r="E531" s="67">
        <v>734805.39820190927</v>
      </c>
      <c r="F531" s="67" t="s">
        <v>559</v>
      </c>
      <c r="G531" s="25">
        <f t="shared" si="4"/>
        <v>6.4981389578163684E-2</v>
      </c>
    </row>
    <row r="532" spans="1:7">
      <c r="A532" s="67">
        <v>64.522687062476194</v>
      </c>
      <c r="B532" s="67">
        <v>66.334733753012515</v>
      </c>
      <c r="C532" s="67">
        <v>61.737961358218726</v>
      </c>
      <c r="D532" s="67">
        <v>62.606953776568574</v>
      </c>
      <c r="E532" s="67">
        <v>1244724.7837374525</v>
      </c>
      <c r="F532" s="67" t="s">
        <v>560</v>
      </c>
      <c r="G532" s="25">
        <f t="shared" si="4"/>
        <v>3.0599369085173578E-2</v>
      </c>
    </row>
    <row r="533" spans="1:7">
      <c r="A533" s="67">
        <v>68.17640518508351</v>
      </c>
      <c r="B533" s="67">
        <v>69.519393467987825</v>
      </c>
      <c r="C533" s="67">
        <v>66.724792849885461</v>
      </c>
      <c r="D533" s="67">
        <v>68.601026480413537</v>
      </c>
      <c r="E533" s="67">
        <v>911844.91747889237</v>
      </c>
      <c r="F533" s="67" t="s">
        <v>561</v>
      </c>
      <c r="G533" s="25">
        <f t="shared" si="4"/>
        <v>-6.1897221822367898E-3</v>
      </c>
    </row>
    <row r="534" spans="1:7">
      <c r="A534" s="67">
        <v>68.650401049637964</v>
      </c>
      <c r="B534" s="67">
        <v>70.8130071816677</v>
      </c>
      <c r="C534" s="67">
        <v>68.038156391255129</v>
      </c>
      <c r="D534" s="67">
        <v>69.084897258812887</v>
      </c>
      <c r="E534" s="67">
        <v>755256.20953780902</v>
      </c>
      <c r="F534" s="67" t="s">
        <v>562</v>
      </c>
      <c r="G534" s="25">
        <f t="shared" si="4"/>
        <v>-6.2893081761006275E-3</v>
      </c>
    </row>
    <row r="535" spans="1:7">
      <c r="A535" s="67">
        <v>69.203396224951504</v>
      </c>
      <c r="B535" s="67">
        <v>71.089504769324463</v>
      </c>
      <c r="C535" s="67">
        <v>69.124396914192431</v>
      </c>
      <c r="D535" s="67">
        <v>70.32913640326835</v>
      </c>
      <c r="E535" s="67">
        <v>574401.97343476338</v>
      </c>
      <c r="F535" s="67" t="s">
        <v>563</v>
      </c>
      <c r="G535" s="25">
        <f t="shared" si="4"/>
        <v>-1.6006739679865212E-2</v>
      </c>
    </row>
    <row r="536" spans="1:7">
      <c r="A536" s="67">
        <v>70.111888298680896</v>
      </c>
      <c r="B536" s="67">
        <v>70.8130071816677</v>
      </c>
      <c r="C536" s="67">
        <v>69.440394157228738</v>
      </c>
      <c r="D536" s="67">
        <v>70.111888298680896</v>
      </c>
      <c r="E536" s="67">
        <v>417499.3387041713</v>
      </c>
      <c r="F536" s="67" t="s">
        <v>564</v>
      </c>
      <c r="G536" s="25">
        <f t="shared" si="4"/>
        <v>0</v>
      </c>
    </row>
    <row r="537" spans="1:7">
      <c r="A537" s="67">
        <v>69.716891744885501</v>
      </c>
      <c r="B537" s="67">
        <v>73.182986504440009</v>
      </c>
      <c r="C537" s="67">
        <v>69.657642261816207</v>
      </c>
      <c r="D537" s="67">
        <v>70.842631923202347</v>
      </c>
      <c r="E537" s="67">
        <v>560680.33473204286</v>
      </c>
      <c r="F537" s="67" t="s">
        <v>565</v>
      </c>
      <c r="G537" s="25">
        <f t="shared" si="4"/>
        <v>-1.5890716476163913E-2</v>
      </c>
    </row>
    <row r="538" spans="1:7">
      <c r="A538" s="67">
        <v>70.704383129373966</v>
      </c>
      <c r="B538" s="67">
        <v>73.903855215116593</v>
      </c>
      <c r="C538" s="67">
        <v>69.746516486420163</v>
      </c>
      <c r="D538" s="67">
        <v>72.610241501436704</v>
      </c>
      <c r="E538" s="67">
        <v>410157.50249791861</v>
      </c>
      <c r="F538" s="67" t="s">
        <v>566</v>
      </c>
      <c r="G538" s="25">
        <f t="shared" si="4"/>
        <v>-2.6247790017679962E-2</v>
      </c>
    </row>
    <row r="539" spans="1:7">
      <c r="A539" s="67">
        <v>72.333743913779941</v>
      </c>
      <c r="B539" s="67">
        <v>72.442367966073661</v>
      </c>
      <c r="C539" s="67">
        <v>69.499643640298046</v>
      </c>
      <c r="D539" s="67">
        <v>69.77614122795481</v>
      </c>
      <c r="E539" s="67">
        <v>436161.78000693419</v>
      </c>
      <c r="F539" s="67" t="s">
        <v>567</v>
      </c>
      <c r="G539" s="25">
        <f t="shared" si="4"/>
        <v>3.6654401358618971E-2</v>
      </c>
    </row>
    <row r="540" spans="1:7">
      <c r="A540" s="67">
        <v>69.73664157257528</v>
      </c>
      <c r="B540" s="67">
        <v>70.783382440133053</v>
      </c>
      <c r="C540" s="67">
        <v>68.423278031205626</v>
      </c>
      <c r="D540" s="67">
        <v>70.497009938631393</v>
      </c>
      <c r="E540" s="67">
        <v>405583.28537465748</v>
      </c>
      <c r="F540" s="67" t="s">
        <v>568</v>
      </c>
      <c r="G540" s="25">
        <f t="shared" si="4"/>
        <v>-1.07858243451463E-2</v>
      </c>
    </row>
    <row r="541" spans="1:7">
      <c r="A541" s="67">
        <v>70.072388643301352</v>
      </c>
      <c r="B541" s="67">
        <v>70.862381750892126</v>
      </c>
      <c r="C541" s="67">
        <v>66.665543366816166</v>
      </c>
      <c r="D541" s="67">
        <v>70.862381750892126</v>
      </c>
      <c r="E541" s="67">
        <v>598713.07161455764</v>
      </c>
      <c r="F541" s="67" t="s">
        <v>569</v>
      </c>
      <c r="G541" s="25">
        <f t="shared" si="4"/>
        <v>-1.1148272017837302E-2</v>
      </c>
    </row>
    <row r="542" spans="1:7">
      <c r="A542" s="67">
        <v>70.694508215529098</v>
      </c>
      <c r="B542" s="67">
        <v>74.239602285842679</v>
      </c>
      <c r="C542" s="67">
        <v>70.645133646304672</v>
      </c>
      <c r="D542" s="67">
        <v>72.225119861486206</v>
      </c>
      <c r="E542" s="67">
        <v>494786.0889470962</v>
      </c>
      <c r="F542" s="67" t="s">
        <v>570</v>
      </c>
      <c r="G542" s="25">
        <f t="shared" si="4"/>
        <v>-2.1192234071643279E-2</v>
      </c>
    </row>
    <row r="543" spans="1:7">
      <c r="A543" s="67">
        <v>72.679365898350895</v>
      </c>
      <c r="B543" s="67">
        <v>74.486475131964795</v>
      </c>
      <c r="C543" s="67">
        <v>71.800498566156165</v>
      </c>
      <c r="D543" s="67">
        <v>72.284369344555515</v>
      </c>
      <c r="E543" s="67">
        <v>641927.62585809245</v>
      </c>
      <c r="F543" s="67" t="s">
        <v>571</v>
      </c>
      <c r="G543" s="25">
        <f t="shared" si="4"/>
        <v>5.464480874316946E-3</v>
      </c>
    </row>
    <row r="544" spans="1:7">
      <c r="A544" s="67">
        <v>72.620116415281601</v>
      </c>
      <c r="B544" s="67">
        <v>72.955863486007658</v>
      </c>
      <c r="C544" s="67">
        <v>67.741908975908572</v>
      </c>
      <c r="D544" s="67">
        <v>68.136905529703967</v>
      </c>
      <c r="E544" s="67">
        <v>569565.47554220294</v>
      </c>
      <c r="F544" s="67" t="s">
        <v>572</v>
      </c>
      <c r="G544" s="25">
        <f t="shared" si="4"/>
        <v>6.579710144927553E-2</v>
      </c>
    </row>
    <row r="545" spans="1:7">
      <c r="A545" s="67">
        <v>67.574035440545543</v>
      </c>
      <c r="B545" s="67">
        <v>67.919657425116512</v>
      </c>
      <c r="C545" s="67">
        <v>66.863041643713842</v>
      </c>
      <c r="D545" s="67">
        <v>67.485161215941588</v>
      </c>
      <c r="E545" s="67">
        <v>349353.93403832818</v>
      </c>
      <c r="F545" s="67" t="s">
        <v>573</v>
      </c>
      <c r="G545" s="25">
        <f t="shared" si="4"/>
        <v>1.3169446883229963E-3</v>
      </c>
    </row>
    <row r="546" spans="1:7">
      <c r="A546" s="67">
        <v>67.485161215941588</v>
      </c>
      <c r="B546" s="67">
        <v>68.551651911189126</v>
      </c>
      <c r="C546" s="67">
        <v>66.74454267757524</v>
      </c>
      <c r="D546" s="67">
        <v>67.544410699010896</v>
      </c>
      <c r="E546" s="67">
        <v>255106.02315836516</v>
      </c>
      <c r="F546" s="67" t="s">
        <v>574</v>
      </c>
      <c r="G546" s="25">
        <f t="shared" si="4"/>
        <v>-8.7719298245614308E-4</v>
      </c>
    </row>
    <row r="547" spans="1:7">
      <c r="A547" s="67">
        <v>66.932166040628047</v>
      </c>
      <c r="B547" s="67">
        <v>68.186280098928393</v>
      </c>
      <c r="C547" s="67">
        <v>65.460803877740233</v>
      </c>
      <c r="D547" s="67">
        <v>65.964424483829347</v>
      </c>
      <c r="E547" s="67">
        <v>385163.86671770859</v>
      </c>
      <c r="F547" s="67" t="s">
        <v>575</v>
      </c>
      <c r="G547" s="25">
        <f t="shared" si="4"/>
        <v>1.4670658682634841E-2</v>
      </c>
    </row>
    <row r="548" spans="1:7">
      <c r="A548" s="67">
        <v>64.433812837872225</v>
      </c>
      <c r="B548" s="67">
        <v>64.502937234786415</v>
      </c>
      <c r="C548" s="67">
        <v>63.001950330363954</v>
      </c>
      <c r="D548" s="67">
        <v>63.643819730281464</v>
      </c>
      <c r="E548" s="67">
        <v>321572.42583386798</v>
      </c>
      <c r="F548" s="67" t="s">
        <v>576</v>
      </c>
      <c r="G548" s="25">
        <f t="shared" si="4"/>
        <v>1.2412723041117069E-2</v>
      </c>
    </row>
    <row r="549" spans="1:7">
      <c r="A549" s="67">
        <v>63.288322831865614</v>
      </c>
      <c r="B549" s="67">
        <v>65.57515538006399</v>
      </c>
      <c r="C549" s="67">
        <v>62.755077484241838</v>
      </c>
      <c r="D549" s="67">
        <v>65.273180514687425</v>
      </c>
      <c r="E549" s="67">
        <v>427121.70113614551</v>
      </c>
      <c r="F549" s="67" t="s">
        <v>577</v>
      </c>
      <c r="G549" s="25">
        <f t="shared" si="4"/>
        <v>-3.0408472012102838E-2</v>
      </c>
    </row>
    <row r="550" spans="1:7">
      <c r="A550" s="67">
        <v>65.273180514687425</v>
      </c>
      <c r="B550" s="67">
        <v>68.7885510943279</v>
      </c>
      <c r="C550" s="67">
        <v>64.80905956397784</v>
      </c>
      <c r="D550" s="67">
        <v>68.038156391255129</v>
      </c>
      <c r="E550" s="67">
        <v>442625.63386962534</v>
      </c>
      <c r="F550" s="67" t="s">
        <v>578</v>
      </c>
      <c r="G550" s="25">
        <f t="shared" si="4"/>
        <v>-4.0638606676342559E-2</v>
      </c>
    </row>
    <row r="551" spans="1:7">
      <c r="A551" s="67">
        <v>67.998656735875585</v>
      </c>
      <c r="B551" s="67">
        <v>68.591151566568655</v>
      </c>
      <c r="C551" s="67">
        <v>66.087860906890398</v>
      </c>
      <c r="D551" s="67">
        <v>66.803792160644548</v>
      </c>
      <c r="E551" s="67">
        <v>370751.58907806879</v>
      </c>
      <c r="F551" s="67" t="s">
        <v>579</v>
      </c>
      <c r="G551" s="25">
        <f t="shared" si="4"/>
        <v>1.788617886178856E-2</v>
      </c>
    </row>
    <row r="552" spans="1:7">
      <c r="A552" s="67">
        <v>66.665543366816166</v>
      </c>
      <c r="B552" s="67">
        <v>66.863535389406096</v>
      </c>
      <c r="C552" s="67">
        <v>65.757051293086775</v>
      </c>
      <c r="D552" s="67">
        <v>66.65566845297127</v>
      </c>
      <c r="E552" s="67">
        <v>139421.97589027014</v>
      </c>
      <c r="F552" s="67" t="s">
        <v>580</v>
      </c>
      <c r="G552" s="25">
        <f t="shared" si="4"/>
        <v>1.4814814814823052E-4</v>
      </c>
    </row>
    <row r="553" spans="1:7">
      <c r="A553" s="67">
        <v>66.201422416106581</v>
      </c>
      <c r="B553" s="67">
        <v>66.784042332954769</v>
      </c>
      <c r="C553" s="67">
        <v>65.060869867022404</v>
      </c>
      <c r="D553" s="67">
        <v>66.428545434538918</v>
      </c>
      <c r="E553" s="67">
        <v>225282.97815503526</v>
      </c>
      <c r="F553" s="67" t="s">
        <v>581</v>
      </c>
      <c r="G553" s="25">
        <f t="shared" si="4"/>
        <v>-3.4190575293591152E-3</v>
      </c>
    </row>
    <row r="554" spans="1:7">
      <c r="A554" s="67">
        <v>66.152047846882155</v>
      </c>
      <c r="B554" s="67">
        <v>69.519393467987825</v>
      </c>
      <c r="C554" s="67">
        <v>66.043423794588421</v>
      </c>
      <c r="D554" s="67">
        <v>68.206029926618157</v>
      </c>
      <c r="E554" s="67">
        <v>324320.80424266384</v>
      </c>
      <c r="F554" s="67" t="s">
        <v>582</v>
      </c>
      <c r="G554" s="25">
        <f t="shared" si="4"/>
        <v>-3.0114376719270308E-2</v>
      </c>
    </row>
    <row r="555" spans="1:7">
      <c r="A555" s="67">
        <v>68.452902772740273</v>
      </c>
      <c r="B555" s="67">
        <v>68.531902083499361</v>
      </c>
      <c r="C555" s="67">
        <v>66.81366707448943</v>
      </c>
      <c r="D555" s="67">
        <v>67.188913800595046</v>
      </c>
      <c r="E555" s="67">
        <v>682106.20424695895</v>
      </c>
      <c r="F555" s="67" t="s">
        <v>583</v>
      </c>
      <c r="G555" s="25">
        <f t="shared" si="4"/>
        <v>1.8812463256907552E-2</v>
      </c>
    </row>
    <row r="556" spans="1:7">
      <c r="A556" s="67">
        <v>66.65566845297127</v>
      </c>
      <c r="B556" s="67">
        <v>67.030915179076885</v>
      </c>
      <c r="C556" s="67">
        <v>65.934799742294686</v>
      </c>
      <c r="D556" s="67">
        <v>66.586544056057093</v>
      </c>
      <c r="E556" s="67">
        <v>228790.85686102964</v>
      </c>
      <c r="F556" s="67" t="s">
        <v>584</v>
      </c>
      <c r="G556" s="25">
        <f t="shared" si="4"/>
        <v>1.0381135992878487E-3</v>
      </c>
    </row>
    <row r="557" spans="1:7">
      <c r="A557" s="67">
        <v>66.606293883746858</v>
      </c>
      <c r="B557" s="67">
        <v>66.774167419109887</v>
      </c>
      <c r="C557" s="67">
        <v>65.441054050050454</v>
      </c>
      <c r="D557" s="67">
        <v>65.668177068482805</v>
      </c>
      <c r="E557" s="67">
        <v>234710.90851092665</v>
      </c>
      <c r="F557" s="67" t="s">
        <v>585</v>
      </c>
      <c r="G557" s="25">
        <f t="shared" si="4"/>
        <v>1.4285714285714457E-2</v>
      </c>
    </row>
    <row r="558" spans="1:7">
      <c r="A558" s="67">
        <v>66.082923449967964</v>
      </c>
      <c r="B558" s="67">
        <v>68.038156391255129</v>
      </c>
      <c r="C558" s="67">
        <v>65.786676034621436</v>
      </c>
      <c r="D558" s="67">
        <v>67.396286991337618</v>
      </c>
      <c r="E558" s="67">
        <v>315846.80626005383</v>
      </c>
      <c r="F558" s="67" t="s">
        <v>586</v>
      </c>
      <c r="G558" s="25">
        <f t="shared" si="4"/>
        <v>-1.9487179487179485E-2</v>
      </c>
    </row>
    <row r="559" spans="1:7">
      <c r="A559" s="67">
        <v>67.287662939043884</v>
      </c>
      <c r="B559" s="67">
        <v>69.005897948053814</v>
      </c>
      <c r="C559" s="67">
        <v>66.675418280661034</v>
      </c>
      <c r="D559" s="67">
        <v>67.109914489835958</v>
      </c>
      <c r="E559" s="67">
        <v>428402.72497075377</v>
      </c>
      <c r="F559" s="67" t="s">
        <v>587</v>
      </c>
      <c r="G559" s="25">
        <f t="shared" si="4"/>
        <v>2.6486168334314275E-3</v>
      </c>
    </row>
    <row r="560" spans="1:7">
      <c r="A560" s="67">
        <v>66.260671899175875</v>
      </c>
      <c r="B560" s="67">
        <v>66.833416902179209</v>
      </c>
      <c r="C560" s="67">
        <v>65.984174311519112</v>
      </c>
      <c r="D560" s="67">
        <v>66.487794917608227</v>
      </c>
      <c r="E560" s="67">
        <v>703587.91065292282</v>
      </c>
      <c r="F560" s="67" t="s">
        <v>588</v>
      </c>
      <c r="G560" s="25">
        <f t="shared" si="4"/>
        <v>-3.4160106935987589E-3</v>
      </c>
    </row>
    <row r="561" spans="1:7">
      <c r="A561" s="67">
        <v>66.32979629609008</v>
      </c>
      <c r="B561" s="67">
        <v>67.33703750826831</v>
      </c>
      <c r="C561" s="67">
        <v>65.697801810017467</v>
      </c>
      <c r="D561" s="67">
        <v>66.319921382245198</v>
      </c>
      <c r="E561" s="67">
        <v>459863.25261484378</v>
      </c>
      <c r="F561" s="67" t="s">
        <v>589</v>
      </c>
      <c r="G561" s="25">
        <f t="shared" si="4"/>
        <v>1.4889815366281312E-4</v>
      </c>
    </row>
    <row r="562" spans="1:7">
      <c r="A562" s="67">
        <v>66.635918625281505</v>
      </c>
      <c r="B562" s="67">
        <v>69.39595704492676</v>
      </c>
      <c r="C562" s="67">
        <v>65.45092896389535</v>
      </c>
      <c r="D562" s="67">
        <v>68.877524068070315</v>
      </c>
      <c r="E562" s="67">
        <v>752188.8410041898</v>
      </c>
      <c r="F562" s="67" t="s">
        <v>590</v>
      </c>
      <c r="G562" s="25">
        <f t="shared" si="4"/>
        <v>-3.2544802867383482E-2</v>
      </c>
    </row>
    <row r="563" spans="1:7">
      <c r="A563" s="67">
        <v>69.499643640298046</v>
      </c>
      <c r="B563" s="67">
        <v>70.294969201365063</v>
      </c>
      <c r="C563" s="67">
        <v>68.902211352682528</v>
      </c>
      <c r="D563" s="67">
        <v>69.272520621865709</v>
      </c>
      <c r="E563" s="67">
        <v>499337.01472790999</v>
      </c>
      <c r="F563" s="67" t="s">
        <v>591</v>
      </c>
      <c r="G563" s="25">
        <f t="shared" si="4"/>
        <v>3.2786885245901232E-3</v>
      </c>
    </row>
    <row r="564" spans="1:7">
      <c r="A564" s="67">
        <v>70.22051235097463</v>
      </c>
      <c r="B564" s="67">
        <v>71.326502701601711</v>
      </c>
      <c r="C564" s="67">
        <v>70.013139160232058</v>
      </c>
      <c r="D564" s="67">
        <v>71.217878649307977</v>
      </c>
      <c r="E564" s="67">
        <v>321920.78330351639</v>
      </c>
      <c r="F564" s="67" t="s">
        <v>592</v>
      </c>
      <c r="G564" s="25">
        <f t="shared" si="4"/>
        <v>-1.4004437049362162E-2</v>
      </c>
    </row>
    <row r="565" spans="1:7">
      <c r="A565" s="67">
        <v>71.731374169242002</v>
      </c>
      <c r="B565" s="67">
        <v>72.76539315438346</v>
      </c>
      <c r="C565" s="67">
        <v>70.992789179855237</v>
      </c>
      <c r="D565" s="67">
        <v>71.800308768251426</v>
      </c>
      <c r="E565" s="67">
        <v>370609.68464478705</v>
      </c>
      <c r="F565" s="67" t="s">
        <v>593</v>
      </c>
      <c r="G565" s="25">
        <f t="shared" si="4"/>
        <v>-9.600877794539997E-4</v>
      </c>
    </row>
    <row r="566" spans="1:7">
      <c r="A566" s="67">
        <v>72.135133963440097</v>
      </c>
      <c r="B566" s="67">
        <v>75.040234921694676</v>
      </c>
      <c r="C566" s="67">
        <v>72.056351564572168</v>
      </c>
      <c r="D566" s="67">
        <v>74.311497732166401</v>
      </c>
      <c r="E566" s="67">
        <v>330791.65364957543</v>
      </c>
      <c r="F566" s="67" t="s">
        <v>594</v>
      </c>
      <c r="G566" s="25">
        <f t="shared" si="4"/>
        <v>-2.9287039491120992E-2</v>
      </c>
    </row>
    <row r="567" spans="1:7">
      <c r="A567" s="67">
        <v>73.188848548298523</v>
      </c>
      <c r="B567" s="67">
        <v>74.050531035916407</v>
      </c>
      <c r="C567" s="67">
        <v>71.928330166411811</v>
      </c>
      <c r="D567" s="67">
        <v>73.00174035098722</v>
      </c>
      <c r="E567" s="67">
        <v>294456.63413843949</v>
      </c>
      <c r="F567" s="67" t="s">
        <v>595</v>
      </c>
      <c r="G567" s="25">
        <f t="shared" si="4"/>
        <v>2.5630648860108796E-3</v>
      </c>
    </row>
    <row r="568" spans="1:7">
      <c r="A568" s="67">
        <v>73.316869946458908</v>
      </c>
      <c r="B568" s="67">
        <v>74.498605929477719</v>
      </c>
      <c r="C568" s="67">
        <v>71.908634566694815</v>
      </c>
      <c r="D568" s="67">
        <v>74.498605929477719</v>
      </c>
      <c r="E568" s="67">
        <v>399334.88256360136</v>
      </c>
      <c r="F568" s="67" t="s">
        <v>596</v>
      </c>
      <c r="G568" s="25">
        <f t="shared" ref="G568:G631" si="5">A568/D568-1</f>
        <v>-1.5862524785194898E-2</v>
      </c>
    </row>
    <row r="569" spans="1:7">
      <c r="A569" s="67">
        <v>75.247038718722962</v>
      </c>
      <c r="B569" s="67">
        <v>75.503081515043718</v>
      </c>
      <c r="C569" s="67">
        <v>73.563064942921159</v>
      </c>
      <c r="D569" s="67">
        <v>74.695561926647514</v>
      </c>
      <c r="E569" s="67">
        <v>472557.32923815813</v>
      </c>
      <c r="F569" s="67" t="s">
        <v>597</v>
      </c>
      <c r="G569" s="25">
        <f t="shared" si="5"/>
        <v>7.382992748846462E-3</v>
      </c>
    </row>
    <row r="570" spans="1:7">
      <c r="A570" s="67">
        <v>75.759124311364459</v>
      </c>
      <c r="B570" s="67">
        <v>77.384011288015316</v>
      </c>
      <c r="C570" s="67">
        <v>75.424299116175789</v>
      </c>
      <c r="D570" s="67">
        <v>76.143188505845558</v>
      </c>
      <c r="E570" s="67">
        <v>338742.66820360243</v>
      </c>
      <c r="F570" s="67" t="s">
        <v>598</v>
      </c>
      <c r="G570" s="25">
        <f t="shared" si="5"/>
        <v>-5.0439730988098841E-3</v>
      </c>
    </row>
    <row r="571" spans="1:7">
      <c r="A571" s="67">
        <v>76.625730698911582</v>
      </c>
      <c r="B571" s="67">
        <v>77.004870993463442</v>
      </c>
      <c r="C571" s="67">
        <v>75.749276511505968</v>
      </c>
      <c r="D571" s="67">
        <v>76.802991096364408</v>
      </c>
      <c r="E571" s="67">
        <v>260754.69007284532</v>
      </c>
      <c r="F571" s="67" t="s">
        <v>599</v>
      </c>
      <c r="G571" s="25">
        <f t="shared" si="5"/>
        <v>-2.307988203615885E-3</v>
      </c>
    </row>
    <row r="572" spans="1:7">
      <c r="A572" s="67">
        <v>76.48786150089272</v>
      </c>
      <c r="B572" s="67">
        <v>76.911316894807797</v>
      </c>
      <c r="C572" s="67">
        <v>75.450395785800794</v>
      </c>
      <c r="D572" s="67">
        <v>75.700037512213513</v>
      </c>
      <c r="E572" s="67">
        <v>251519.12463620733</v>
      </c>
      <c r="F572" s="67" t="s">
        <v>600</v>
      </c>
      <c r="G572" s="25">
        <f t="shared" si="5"/>
        <v>1.040718095485893E-2</v>
      </c>
    </row>
    <row r="573" spans="1:7">
      <c r="A573" s="67">
        <v>76.00531930782671</v>
      </c>
      <c r="B573" s="67">
        <v>76.763599896930444</v>
      </c>
      <c r="C573" s="67">
        <v>73.917585737826812</v>
      </c>
      <c r="D573" s="67">
        <v>73.917585737826812</v>
      </c>
      <c r="E573" s="67">
        <v>511840.2153202187</v>
      </c>
      <c r="F573" s="67" t="s">
        <v>601</v>
      </c>
      <c r="G573" s="25">
        <f t="shared" si="5"/>
        <v>2.8244071409538885E-2</v>
      </c>
    </row>
    <row r="574" spans="1:7">
      <c r="A574" s="67">
        <v>75.276582118298435</v>
      </c>
      <c r="B574" s="67">
        <v>76.497709300751225</v>
      </c>
      <c r="C574" s="67">
        <v>74.38043233117584</v>
      </c>
      <c r="D574" s="67">
        <v>74.705409726506005</v>
      </c>
      <c r="E574" s="67">
        <v>540296.31759959273</v>
      </c>
      <c r="F574" s="67" t="s">
        <v>602</v>
      </c>
      <c r="G574" s="25">
        <f t="shared" si="5"/>
        <v>7.6456630635381995E-3</v>
      </c>
    </row>
    <row r="575" spans="1:7">
      <c r="A575" s="67">
        <v>74.528149329053193</v>
      </c>
      <c r="B575" s="67">
        <v>74.784192125373934</v>
      </c>
      <c r="C575" s="67">
        <v>73.543369343204191</v>
      </c>
      <c r="D575" s="67">
        <v>73.543369343204191</v>
      </c>
      <c r="E575" s="67">
        <v>421241.29852452403</v>
      </c>
      <c r="F575" s="67" t="s">
        <v>603</v>
      </c>
      <c r="G575" s="25">
        <f t="shared" si="5"/>
        <v>1.3390465988216249E-2</v>
      </c>
    </row>
    <row r="576" spans="1:7">
      <c r="A576" s="67">
        <v>73.110066149430608</v>
      </c>
      <c r="B576" s="67">
        <v>73.420271844973058</v>
      </c>
      <c r="C576" s="67">
        <v>72.420720159336312</v>
      </c>
      <c r="D576" s="67">
        <v>72.420720159336312</v>
      </c>
      <c r="E576" s="67">
        <v>516698.15320354764</v>
      </c>
      <c r="F576" s="67" t="s">
        <v>604</v>
      </c>
      <c r="G576" s="25">
        <f t="shared" si="5"/>
        <v>9.5186293173781245E-3</v>
      </c>
    </row>
    <row r="577" spans="1:7">
      <c r="A577" s="67">
        <v>73.385804545468332</v>
      </c>
      <c r="B577" s="67">
        <v>73.615258282171155</v>
      </c>
      <c r="C577" s="67">
        <v>71.997264765421235</v>
      </c>
      <c r="D577" s="67">
        <v>73.011588150845711</v>
      </c>
      <c r="E577" s="67">
        <v>387654.10090140818</v>
      </c>
      <c r="F577" s="67" t="s">
        <v>605</v>
      </c>
      <c r="G577" s="25">
        <f t="shared" si="5"/>
        <v>5.1254383598597908E-3</v>
      </c>
    </row>
    <row r="578" spans="1:7">
      <c r="A578" s="67">
        <v>72.942653551836273</v>
      </c>
      <c r="B578" s="67">
        <v>73.179000748440046</v>
      </c>
      <c r="C578" s="67">
        <v>71.69690686973729</v>
      </c>
      <c r="D578" s="67">
        <v>72.204068562449521</v>
      </c>
      <c r="E578" s="67">
        <v>247565.95737454356</v>
      </c>
      <c r="F578" s="67" t="s">
        <v>606</v>
      </c>
      <c r="G578" s="25">
        <f t="shared" si="5"/>
        <v>1.0229132569558042E-2</v>
      </c>
    </row>
    <row r="579" spans="1:7">
      <c r="A579" s="67">
        <v>71.977569165704253</v>
      </c>
      <c r="B579" s="67">
        <v>73.35133724596362</v>
      </c>
      <c r="C579" s="67">
        <v>71.238984176317501</v>
      </c>
      <c r="D579" s="67">
        <v>73.346413346034382</v>
      </c>
      <c r="E579" s="67">
        <v>387438.82438985596</v>
      </c>
      <c r="F579" s="67" t="s">
        <v>607</v>
      </c>
      <c r="G579" s="25">
        <f t="shared" si="5"/>
        <v>-1.866272824919446E-2</v>
      </c>
    </row>
    <row r="580" spans="1:7">
      <c r="A580" s="67">
        <v>73.838803338958883</v>
      </c>
      <c r="B580" s="67">
        <v>74.774344325515443</v>
      </c>
      <c r="C580" s="67">
        <v>73.449815244548518</v>
      </c>
      <c r="D580" s="67">
        <v>73.45473914447777</v>
      </c>
      <c r="E580" s="67">
        <v>490147.04496036191</v>
      </c>
      <c r="F580" s="67" t="s">
        <v>608</v>
      </c>
      <c r="G580" s="25">
        <f t="shared" si="5"/>
        <v>5.2285829199625322E-3</v>
      </c>
    </row>
    <row r="581" spans="1:7">
      <c r="A581" s="67">
        <v>73.720629740657003</v>
      </c>
      <c r="B581" s="67">
        <v>74.409975730751313</v>
      </c>
      <c r="C581" s="67">
        <v>73.159305148723064</v>
      </c>
      <c r="D581" s="67">
        <v>73.89789013810983</v>
      </c>
      <c r="E581" s="67">
        <v>391426.51712978753</v>
      </c>
      <c r="F581" s="67" t="s">
        <v>609</v>
      </c>
      <c r="G581" s="25">
        <f t="shared" si="5"/>
        <v>-2.3987206823028462E-3</v>
      </c>
    </row>
    <row r="582" spans="1:7">
      <c r="A582" s="67">
        <v>74.163780734289062</v>
      </c>
      <c r="B582" s="67">
        <v>74.587236128204125</v>
      </c>
      <c r="C582" s="67">
        <v>72.785088754100443</v>
      </c>
      <c r="D582" s="67">
        <v>73.484282544053244</v>
      </c>
      <c r="E582" s="67">
        <v>320614.76120251813</v>
      </c>
      <c r="F582" s="67" t="s">
        <v>610</v>
      </c>
      <c r="G582" s="25">
        <f t="shared" si="5"/>
        <v>9.2468507102654307E-3</v>
      </c>
    </row>
    <row r="583" spans="1:7">
      <c r="A583" s="67">
        <v>73.582760542638141</v>
      </c>
      <c r="B583" s="67">
        <v>75.000843722260711</v>
      </c>
      <c r="C583" s="67">
        <v>73.533521543345685</v>
      </c>
      <c r="D583" s="67">
        <v>74.577388328345648</v>
      </c>
      <c r="E583" s="67">
        <v>422630.44129718165</v>
      </c>
      <c r="F583" s="67" t="s">
        <v>611</v>
      </c>
      <c r="G583" s="25">
        <f t="shared" si="5"/>
        <v>-1.3336854615079941E-2</v>
      </c>
    </row>
    <row r="584" spans="1:7">
      <c r="A584" s="67">
        <v>74.350888931600366</v>
      </c>
      <c r="B584" s="67">
        <v>75.247038718722962</v>
      </c>
      <c r="C584" s="67">
        <v>73.36610894575135</v>
      </c>
      <c r="D584" s="67">
        <v>73.36610894575135</v>
      </c>
      <c r="E584" s="67">
        <v>732827.64716001099</v>
      </c>
      <c r="F584" s="67" t="s">
        <v>612</v>
      </c>
      <c r="G584" s="25">
        <f t="shared" si="5"/>
        <v>1.3422818791946289E-2</v>
      </c>
    </row>
    <row r="585" spans="1:7">
      <c r="A585" s="67">
        <v>73.405500145185329</v>
      </c>
      <c r="B585" s="67">
        <v>73.69108634108153</v>
      </c>
      <c r="C585" s="67">
        <v>71.554113771789176</v>
      </c>
      <c r="D585" s="67">
        <v>72.726001954949496</v>
      </c>
      <c r="E585" s="67">
        <v>581248.61210142612</v>
      </c>
      <c r="F585" s="67" t="s">
        <v>613</v>
      </c>
      <c r="G585" s="25">
        <f t="shared" si="5"/>
        <v>9.3432633716996616E-3</v>
      </c>
    </row>
    <row r="586" spans="1:7">
      <c r="A586" s="67">
        <v>71.367005574477858</v>
      </c>
      <c r="B586" s="67">
        <v>74.104693935138116</v>
      </c>
      <c r="C586" s="67">
        <v>70.264051990326962</v>
      </c>
      <c r="D586" s="67">
        <v>72.391176759760839</v>
      </c>
      <c r="E586" s="67">
        <v>501439.92271966388</v>
      </c>
      <c r="F586" s="67" t="s">
        <v>614</v>
      </c>
      <c r="G586" s="25">
        <f t="shared" si="5"/>
        <v>-1.4147735002040696E-2</v>
      </c>
    </row>
    <row r="587" spans="1:7">
      <c r="A587" s="67">
        <v>71.691982969808038</v>
      </c>
      <c r="B587" s="67">
        <v>72.62260005643536</v>
      </c>
      <c r="C587" s="67">
        <v>70.323138789477909</v>
      </c>
      <c r="D587" s="67">
        <v>70.736746383534495</v>
      </c>
      <c r="E587" s="67">
        <v>515274.48495262221</v>
      </c>
      <c r="F587" s="67" t="s">
        <v>615</v>
      </c>
      <c r="G587" s="25">
        <f t="shared" si="5"/>
        <v>1.3504106919114633E-2</v>
      </c>
    </row>
    <row r="588" spans="1:7">
      <c r="A588" s="67">
        <v>70.076943793015658</v>
      </c>
      <c r="B588" s="67">
        <v>70.411768988204315</v>
      </c>
      <c r="C588" s="67">
        <v>68.944446809289303</v>
      </c>
      <c r="D588" s="67">
        <v>69.387597802921348</v>
      </c>
      <c r="E588" s="67">
        <v>324833.97773789259</v>
      </c>
      <c r="F588" s="67" t="s">
        <v>616</v>
      </c>
      <c r="G588" s="25">
        <f t="shared" si="5"/>
        <v>9.9347147317627726E-3</v>
      </c>
    </row>
    <row r="589" spans="1:7">
      <c r="A589" s="67">
        <v>69.269424204619469</v>
      </c>
      <c r="B589" s="67">
        <v>69.417141202496822</v>
      </c>
      <c r="C589" s="67">
        <v>67.477124630374263</v>
      </c>
      <c r="D589" s="67">
        <v>69.111859406883639</v>
      </c>
      <c r="E589" s="67">
        <v>371993.75014122878</v>
      </c>
      <c r="F589" s="67" t="s">
        <v>617</v>
      </c>
      <c r="G589" s="25">
        <f t="shared" si="5"/>
        <v>2.279851809632305E-3</v>
      </c>
    </row>
    <row r="590" spans="1:7">
      <c r="A590" s="67">
        <v>68.343731017921399</v>
      </c>
      <c r="B590" s="67">
        <v>70.136030592166591</v>
      </c>
      <c r="C590" s="67">
        <v>68.013829722661981</v>
      </c>
      <c r="D590" s="67">
        <v>69.96861799457227</v>
      </c>
      <c r="E590" s="67">
        <v>379076.55046234478</v>
      </c>
      <c r="F590" s="67" t="s">
        <v>618</v>
      </c>
      <c r="G590" s="25">
        <f t="shared" si="5"/>
        <v>-2.3223082336382816E-2</v>
      </c>
    </row>
    <row r="591" spans="1:7">
      <c r="A591" s="67">
        <v>70.559485986081683</v>
      </c>
      <c r="B591" s="67">
        <v>71.110962778157116</v>
      </c>
      <c r="C591" s="67">
        <v>69.781509797260952</v>
      </c>
      <c r="D591" s="67">
        <v>69.958770194713779</v>
      </c>
      <c r="E591" s="67">
        <v>234843.31863285718</v>
      </c>
      <c r="F591" s="67" t="s">
        <v>619</v>
      </c>
      <c r="G591" s="25">
        <f t="shared" si="5"/>
        <v>8.5867117117117697E-3</v>
      </c>
    </row>
    <row r="592" spans="1:7">
      <c r="A592" s="67">
        <v>69.673183998817564</v>
      </c>
      <c r="B592" s="67">
        <v>71.071571578723166</v>
      </c>
      <c r="C592" s="67">
        <v>69.633792799383599</v>
      </c>
      <c r="D592" s="67">
        <v>70.982941379996745</v>
      </c>
      <c r="E592" s="67">
        <v>387838.91375566524</v>
      </c>
      <c r="F592" s="67" t="s">
        <v>620</v>
      </c>
      <c r="G592" s="25">
        <f t="shared" si="5"/>
        <v>-1.8451720310765807E-2</v>
      </c>
    </row>
    <row r="593" spans="1:7">
      <c r="A593" s="67">
        <v>70.667811784525071</v>
      </c>
      <c r="B593" s="67">
        <v>70.76136588318073</v>
      </c>
      <c r="C593" s="67">
        <v>68.944446809289303</v>
      </c>
      <c r="D593" s="67">
        <v>69.574706000232666</v>
      </c>
      <c r="E593" s="67">
        <v>522843.68833521701</v>
      </c>
      <c r="F593" s="67" t="s">
        <v>621</v>
      </c>
      <c r="G593" s="25">
        <f t="shared" si="5"/>
        <v>1.571125265392781E-2</v>
      </c>
    </row>
    <row r="594" spans="1:7">
      <c r="A594" s="67">
        <v>69.052772607732692</v>
      </c>
      <c r="B594" s="67">
        <v>69.358054403345889</v>
      </c>
      <c r="C594" s="67">
        <v>66.305236447213943</v>
      </c>
      <c r="D594" s="67">
        <v>67.703624027119545</v>
      </c>
      <c r="E594" s="67">
        <v>684088.84185354423</v>
      </c>
      <c r="F594" s="67" t="s">
        <v>622</v>
      </c>
      <c r="G594" s="25">
        <f t="shared" si="5"/>
        <v>1.9927272727272793E-2</v>
      </c>
    </row>
    <row r="595" spans="1:7">
      <c r="A595" s="67">
        <v>67.29986423292145</v>
      </c>
      <c r="B595" s="67">
        <v>68.127079421034622</v>
      </c>
      <c r="C595" s="67">
        <v>65.182587263346065</v>
      </c>
      <c r="D595" s="67">
        <v>66.738539640987511</v>
      </c>
      <c r="E595" s="67">
        <v>582121.90361055301</v>
      </c>
      <c r="F595" s="67" t="s">
        <v>623</v>
      </c>
      <c r="G595" s="25">
        <f t="shared" si="5"/>
        <v>8.410801239486565E-3</v>
      </c>
    </row>
    <row r="596" spans="1:7">
      <c r="A596" s="67">
        <v>66.945343438015811</v>
      </c>
      <c r="B596" s="67">
        <v>67.762710826270478</v>
      </c>
      <c r="C596" s="67">
        <v>65.556803657968686</v>
      </c>
      <c r="D596" s="67">
        <v>65.556803657968686</v>
      </c>
      <c r="E596" s="67">
        <v>704041.52192660642</v>
      </c>
      <c r="F596" s="67" t="s">
        <v>624</v>
      </c>
      <c r="G596" s="25">
        <f t="shared" si="5"/>
        <v>2.1180712032447424E-2</v>
      </c>
    </row>
    <row r="597" spans="1:7">
      <c r="A597" s="67">
        <v>66.196910648770555</v>
      </c>
      <c r="B597" s="67">
        <v>66.226454048346028</v>
      </c>
      <c r="C597" s="67">
        <v>64.483393473393278</v>
      </c>
      <c r="D597" s="67">
        <v>65.093957064619659</v>
      </c>
      <c r="E597" s="67">
        <v>680204.72554841614</v>
      </c>
      <c r="F597" s="67" t="s">
        <v>625</v>
      </c>
      <c r="G597" s="25">
        <f t="shared" si="5"/>
        <v>1.6944024205748809E-2</v>
      </c>
    </row>
    <row r="598" spans="1:7">
      <c r="A598" s="67">
        <v>64.778827469147984</v>
      </c>
      <c r="B598" s="67">
        <v>65.241674062497012</v>
      </c>
      <c r="C598" s="67">
        <v>61.05635912263871</v>
      </c>
      <c r="D598" s="67">
        <v>61.332097518676434</v>
      </c>
      <c r="E598" s="67">
        <v>1153397.7297687992</v>
      </c>
      <c r="F598" s="67" t="s">
        <v>626</v>
      </c>
      <c r="G598" s="25">
        <f t="shared" si="5"/>
        <v>5.6197816313423354E-2</v>
      </c>
    </row>
    <row r="599" spans="1:7">
      <c r="A599" s="67">
        <v>60.957881124053813</v>
      </c>
      <c r="B599" s="67">
        <v>64.932847058934769</v>
      </c>
      <c r="C599" s="67">
        <v>60.12081813608215</v>
      </c>
      <c r="D599" s="67">
        <v>62.405507703251857</v>
      </c>
      <c r="E599" s="67">
        <v>2651854.2593537229</v>
      </c>
      <c r="F599" s="67" t="s">
        <v>627</v>
      </c>
      <c r="G599" s="25">
        <f t="shared" si="5"/>
        <v>-2.3197096417863272E-2</v>
      </c>
    </row>
    <row r="600" spans="1:7">
      <c r="A600" s="67">
        <v>68.944446809289303</v>
      </c>
      <c r="B600" s="67">
        <v>70.677659584383548</v>
      </c>
      <c r="C600" s="67">
        <v>68.717947412544021</v>
      </c>
      <c r="D600" s="67">
        <v>70.677659584383548</v>
      </c>
      <c r="E600" s="67">
        <v>1210121.0596523175</v>
      </c>
      <c r="F600" s="67" t="s">
        <v>628</v>
      </c>
      <c r="G600" s="25">
        <f t="shared" si="5"/>
        <v>-2.4522781106311564E-2</v>
      </c>
    </row>
    <row r="601" spans="1:7">
      <c r="A601" s="67">
        <v>70.224660790893012</v>
      </c>
      <c r="B601" s="67">
        <v>72.144981763298588</v>
      </c>
      <c r="C601" s="67">
        <v>70.076943793015658</v>
      </c>
      <c r="D601" s="67">
        <v>71.524570372213702</v>
      </c>
      <c r="E601" s="67">
        <v>541107.66633888625</v>
      </c>
      <c r="F601" s="67" t="s">
        <v>629</v>
      </c>
      <c r="G601" s="25">
        <f t="shared" si="5"/>
        <v>-1.8174308137133388E-2</v>
      </c>
    </row>
    <row r="602" spans="1:7">
      <c r="A602" s="67">
        <v>71.50487477249672</v>
      </c>
      <c r="B602" s="67">
        <v>71.967721365845762</v>
      </c>
      <c r="C602" s="67">
        <v>70.461007987496771</v>
      </c>
      <c r="D602" s="67">
        <v>71.928330166411811</v>
      </c>
      <c r="E602" s="67">
        <v>347157.7458037585</v>
      </c>
      <c r="F602" s="67" t="s">
        <v>630</v>
      </c>
      <c r="G602" s="25">
        <f t="shared" si="5"/>
        <v>-5.8871851040528389E-3</v>
      </c>
    </row>
    <row r="603" spans="1:7">
      <c r="A603" s="67">
        <v>71.534418172072193</v>
      </c>
      <c r="B603" s="67">
        <v>71.923406266482544</v>
      </c>
      <c r="C603" s="67">
        <v>70.067095993157167</v>
      </c>
      <c r="D603" s="67">
        <v>70.067095993157167</v>
      </c>
      <c r="E603" s="67">
        <v>514126.00507259608</v>
      </c>
      <c r="F603" s="67" t="s">
        <v>631</v>
      </c>
      <c r="G603" s="25">
        <f t="shared" si="5"/>
        <v>2.0941672522839072E-2</v>
      </c>
    </row>
    <row r="604" spans="1:7">
      <c r="A604" s="67">
        <v>69.998161394147729</v>
      </c>
      <c r="B604" s="67">
        <v>71.682135169949547</v>
      </c>
      <c r="C604" s="67">
        <v>69.495923601364737</v>
      </c>
      <c r="D604" s="67">
        <v>71.682135169949547</v>
      </c>
      <c r="E604" s="67">
        <v>632311.79445951071</v>
      </c>
      <c r="F604" s="67" t="s">
        <v>632</v>
      </c>
      <c r="G604" s="25">
        <f t="shared" si="5"/>
        <v>-2.3492237944772731E-2</v>
      </c>
    </row>
    <row r="605" spans="1:7">
      <c r="A605" s="67">
        <v>71.652591770374087</v>
      </c>
      <c r="B605" s="67">
        <v>76.546948300043667</v>
      </c>
      <c r="C605" s="67">
        <v>71.554113771789176</v>
      </c>
      <c r="D605" s="67">
        <v>76.389383502307808</v>
      </c>
      <c r="E605" s="67">
        <v>952686.90822464053</v>
      </c>
      <c r="F605" s="67" t="s">
        <v>633</v>
      </c>
      <c r="G605" s="25">
        <f t="shared" si="5"/>
        <v>-6.2008508443985755E-2</v>
      </c>
    </row>
    <row r="606" spans="1:7">
      <c r="A606" s="67">
        <v>76.28105770386442</v>
      </c>
      <c r="B606" s="67">
        <v>76.320448903298384</v>
      </c>
      <c r="C606" s="67">
        <v>73.523673743487194</v>
      </c>
      <c r="D606" s="67">
        <v>73.563064942921159</v>
      </c>
      <c r="E606" s="67">
        <v>645357.34796852537</v>
      </c>
      <c r="F606" s="67" t="s">
        <v>634</v>
      </c>
      <c r="G606" s="25">
        <f t="shared" si="5"/>
        <v>3.6947791164658517E-2</v>
      </c>
    </row>
    <row r="607" spans="1:7">
      <c r="A607" s="67">
        <v>74.084998335421133</v>
      </c>
      <c r="B607" s="67">
        <v>75.178104119713538</v>
      </c>
      <c r="C607" s="67">
        <v>73.188848548298523</v>
      </c>
      <c r="D607" s="67">
        <v>73.888042338251338</v>
      </c>
      <c r="E607" s="67">
        <v>620896.0466157851</v>
      </c>
      <c r="F607" s="67" t="s">
        <v>635</v>
      </c>
      <c r="G607" s="25">
        <f t="shared" si="5"/>
        <v>2.6656004264959954E-3</v>
      </c>
    </row>
    <row r="608" spans="1:7">
      <c r="A608" s="67">
        <v>73.444891344619279</v>
      </c>
      <c r="B608" s="67">
        <v>75.138712920279573</v>
      </c>
      <c r="C608" s="67">
        <v>72.750621454595731</v>
      </c>
      <c r="D608" s="67">
        <v>74.912213523534291</v>
      </c>
      <c r="E608" s="67">
        <v>404847.78907877539</v>
      </c>
      <c r="F608" s="67" t="s">
        <v>636</v>
      </c>
      <c r="G608" s="25">
        <f t="shared" si="5"/>
        <v>-1.9587222295254225E-2</v>
      </c>
    </row>
    <row r="609" spans="1:7">
      <c r="A609" s="67">
        <v>74.912213523534291</v>
      </c>
      <c r="B609" s="67">
        <v>79.314180060279398</v>
      </c>
      <c r="C609" s="67">
        <v>74.803887725090902</v>
      </c>
      <c r="D609" s="67">
        <v>79.087680663534115</v>
      </c>
      <c r="E609" s="67">
        <v>523691.59346326458</v>
      </c>
      <c r="F609" s="67" t="s">
        <v>637</v>
      </c>
      <c r="G609" s="25">
        <f t="shared" si="5"/>
        <v>-5.2795417756194896E-2</v>
      </c>
    </row>
    <row r="610" spans="1:7">
      <c r="A610" s="67">
        <v>78.47711707230772</v>
      </c>
      <c r="B610" s="67">
        <v>78.595290670609614</v>
      </c>
      <c r="C610" s="67">
        <v>76.684817498062529</v>
      </c>
      <c r="D610" s="67">
        <v>77.275685489571927</v>
      </c>
      <c r="E610" s="67">
        <v>343032.96660599887</v>
      </c>
      <c r="F610" s="67" t="s">
        <v>638</v>
      </c>
      <c r="G610" s="25">
        <f t="shared" si="5"/>
        <v>1.5547342933605268E-2</v>
      </c>
    </row>
    <row r="611" spans="1:7">
      <c r="A611" s="67">
        <v>79.136919662826557</v>
      </c>
      <c r="B611" s="67">
        <v>79.422505858722786</v>
      </c>
      <c r="C611" s="67">
        <v>77.433250287307771</v>
      </c>
      <c r="D611" s="67">
        <v>77.433250287307771</v>
      </c>
      <c r="E611" s="67">
        <v>240377.54970813781</v>
      </c>
      <c r="F611" s="67" t="s">
        <v>639</v>
      </c>
      <c r="G611" s="25">
        <f t="shared" si="5"/>
        <v>2.200178049090673E-2</v>
      </c>
    </row>
    <row r="612" spans="1:7">
      <c r="A612" s="67">
        <v>77.255989889854959</v>
      </c>
      <c r="B612" s="67">
        <v>77.462793686883245</v>
      </c>
      <c r="C612" s="67">
        <v>76.566643899760649</v>
      </c>
      <c r="D612" s="67">
        <v>76.990099293675726</v>
      </c>
      <c r="E612" s="67">
        <v>258960.38065816261</v>
      </c>
      <c r="F612" s="67" t="s">
        <v>640</v>
      </c>
      <c r="G612" s="25">
        <f t="shared" si="5"/>
        <v>3.4535686876437932E-3</v>
      </c>
    </row>
    <row r="613" spans="1:7">
      <c r="A613" s="67">
        <v>76.714360897638002</v>
      </c>
      <c r="B613" s="67">
        <v>76.886697395161576</v>
      </c>
      <c r="C613" s="67">
        <v>76.192427505138028</v>
      </c>
      <c r="D613" s="67">
        <v>76.33029670315689</v>
      </c>
      <c r="E613" s="67">
        <v>286286.28125188762</v>
      </c>
      <c r="F613" s="67" t="s">
        <v>641</v>
      </c>
      <c r="G613" s="25">
        <f t="shared" si="5"/>
        <v>5.0316088246677992E-3</v>
      </c>
    </row>
    <row r="614" spans="1:7">
      <c r="A614" s="67">
        <v>76.694665297921006</v>
      </c>
      <c r="B614" s="67">
        <v>78.171835276694523</v>
      </c>
      <c r="C614" s="67">
        <v>76.546948300043667</v>
      </c>
      <c r="D614" s="67">
        <v>77.610510684760598</v>
      </c>
      <c r="E614" s="67">
        <v>371387.52336105582</v>
      </c>
      <c r="F614" s="67" t="s">
        <v>642</v>
      </c>
      <c r="G614" s="25">
        <f t="shared" si="5"/>
        <v>-1.1800532927293661E-2</v>
      </c>
    </row>
    <row r="615" spans="1:7">
      <c r="A615" s="67">
        <v>76.8128388962229</v>
      </c>
      <c r="B615" s="67">
        <v>77.610510684760598</v>
      </c>
      <c r="C615" s="67">
        <v>76.015167107685201</v>
      </c>
      <c r="D615" s="67">
        <v>76.310601103439893</v>
      </c>
      <c r="E615" s="67">
        <v>280820.08567789942</v>
      </c>
      <c r="F615" s="67" t="s">
        <v>643</v>
      </c>
      <c r="G615" s="25">
        <f t="shared" si="5"/>
        <v>6.5814943863726771E-3</v>
      </c>
    </row>
    <row r="616" spans="1:7">
      <c r="A616" s="67">
        <v>76.320448903298384</v>
      </c>
      <c r="B616" s="67">
        <v>77.147664091411571</v>
      </c>
      <c r="C616" s="67">
        <v>75.650798512921057</v>
      </c>
      <c r="D616" s="67">
        <v>77.147664091411571</v>
      </c>
      <c r="E616" s="67">
        <v>430983.57612750423</v>
      </c>
      <c r="F616" s="67" t="s">
        <v>644</v>
      </c>
      <c r="G616" s="25">
        <f t="shared" si="5"/>
        <v>-1.0722491702834014E-2</v>
      </c>
    </row>
    <row r="617" spans="1:7">
      <c r="A617" s="67">
        <v>77.768075482496442</v>
      </c>
      <c r="B617" s="67">
        <v>78.861181266788833</v>
      </c>
      <c r="C617" s="67">
        <v>77.236294290137977</v>
      </c>
      <c r="D617" s="67">
        <v>78.861181266788833</v>
      </c>
      <c r="E617" s="67">
        <v>391668.19547766214</v>
      </c>
      <c r="F617" s="67" t="s">
        <v>645</v>
      </c>
      <c r="G617" s="25">
        <f t="shared" si="5"/>
        <v>-1.3861138861138711E-2</v>
      </c>
    </row>
    <row r="618" spans="1:7">
      <c r="A618" s="67">
        <v>78.861181266788833</v>
      </c>
      <c r="B618" s="67">
        <v>79.983830450656711</v>
      </c>
      <c r="C618" s="67">
        <v>78.329400074430382</v>
      </c>
      <c r="D618" s="67">
        <v>79.0088982646662</v>
      </c>
      <c r="E618" s="67">
        <v>414128.03454611287</v>
      </c>
      <c r="F618" s="67" t="s">
        <v>646</v>
      </c>
      <c r="G618" s="25">
        <f t="shared" si="5"/>
        <v>-1.8696248286179662E-3</v>
      </c>
    </row>
    <row r="619" spans="1:7">
      <c r="A619" s="67">
        <v>78.92026806593978</v>
      </c>
      <c r="B619" s="67">
        <v>78.979354865090727</v>
      </c>
      <c r="C619" s="67">
        <v>76.093949506553116</v>
      </c>
      <c r="D619" s="67">
        <v>76.625730698911582</v>
      </c>
      <c r="E619" s="67">
        <v>536246.68208982784</v>
      </c>
      <c r="F619" s="67" t="s">
        <v>647</v>
      </c>
      <c r="G619" s="25">
        <f t="shared" si="5"/>
        <v>2.9944737180310987E-2</v>
      </c>
    </row>
    <row r="620" spans="1:7">
      <c r="A620" s="67">
        <v>75.916689109100304</v>
      </c>
      <c r="B620" s="67">
        <v>76.63065459884082</v>
      </c>
      <c r="C620" s="67">
        <v>75.552320514336159</v>
      </c>
      <c r="D620" s="67">
        <v>75.956080308534254</v>
      </c>
      <c r="E620" s="67">
        <v>346228.60425625724</v>
      </c>
      <c r="F620" s="67" t="s">
        <v>648</v>
      </c>
      <c r="G620" s="25">
        <f t="shared" si="5"/>
        <v>-5.1860495267719298E-4</v>
      </c>
    </row>
    <row r="621" spans="1:7">
      <c r="A621" s="67">
        <v>75.493233715185212</v>
      </c>
      <c r="B621" s="67">
        <v>76.729132597425732</v>
      </c>
      <c r="C621" s="67">
        <v>73.947129137402271</v>
      </c>
      <c r="D621" s="67">
        <v>74.646322927355072</v>
      </c>
      <c r="E621" s="67">
        <v>570105.00626287027</v>
      </c>
      <c r="F621" s="67" t="s">
        <v>649</v>
      </c>
      <c r="G621" s="25">
        <f t="shared" si="5"/>
        <v>1.1345646437994628E-2</v>
      </c>
    </row>
    <row r="622" spans="1:7">
      <c r="A622" s="67">
        <v>74.537997128911684</v>
      </c>
      <c r="B622" s="67">
        <v>74.646322927355072</v>
      </c>
      <c r="C622" s="67">
        <v>73.528597643416447</v>
      </c>
      <c r="D622" s="67">
        <v>74.597083928062617</v>
      </c>
      <c r="E622" s="67">
        <v>509687.45020469674</v>
      </c>
      <c r="F622" s="67" t="s">
        <v>650</v>
      </c>
      <c r="G622" s="25">
        <f t="shared" si="5"/>
        <v>-7.9207920792068176E-4</v>
      </c>
    </row>
    <row r="623" spans="1:7">
      <c r="A623" s="67">
        <v>74.213019733581504</v>
      </c>
      <c r="B623" s="67">
        <v>75.409527416388059</v>
      </c>
      <c r="C623" s="67">
        <v>73.660361205523046</v>
      </c>
      <c r="D623" s="67">
        <v>75.227343119005994</v>
      </c>
      <c r="E623" s="67">
        <v>748019.87305308867</v>
      </c>
      <c r="F623" s="67" t="s">
        <v>651</v>
      </c>
      <c r="G623" s="25">
        <f t="shared" si="5"/>
        <v>-1.3483440240869338E-2</v>
      </c>
    </row>
    <row r="624" spans="1:7">
      <c r="A624" s="67">
        <v>74.931909123251287</v>
      </c>
      <c r="B624" s="67">
        <v>75.128865120421096</v>
      </c>
      <c r="C624" s="67">
        <v>74.291802132449419</v>
      </c>
      <c r="D624" s="67">
        <v>74.547844928770175</v>
      </c>
      <c r="E624" s="67">
        <v>764259.03330187534</v>
      </c>
      <c r="F624" s="67" t="s">
        <v>652</v>
      </c>
      <c r="G624" s="25">
        <f t="shared" si="5"/>
        <v>5.1519154557464475E-3</v>
      </c>
    </row>
    <row r="625" spans="1:7">
      <c r="A625" s="67">
        <v>75.050082721553153</v>
      </c>
      <c r="B625" s="67">
        <v>75.562168314194651</v>
      </c>
      <c r="C625" s="67">
        <v>74.577388328345648</v>
      </c>
      <c r="D625" s="67">
        <v>75.050082721553153</v>
      </c>
      <c r="E625" s="67">
        <v>546233.68440641218</v>
      </c>
      <c r="F625" s="67" t="s">
        <v>653</v>
      </c>
      <c r="G625" s="25">
        <f t="shared" si="5"/>
        <v>0</v>
      </c>
    </row>
    <row r="626" spans="1:7">
      <c r="A626" s="67">
        <v>75.247038718722962</v>
      </c>
      <c r="B626" s="67">
        <v>76.645426298628564</v>
      </c>
      <c r="C626" s="67">
        <v>74.016063736411695</v>
      </c>
      <c r="D626" s="67">
        <v>76.645426298628564</v>
      </c>
      <c r="E626" s="67">
        <v>838557.86253419309</v>
      </c>
      <c r="F626" s="67" t="s">
        <v>654</v>
      </c>
      <c r="G626" s="25">
        <f t="shared" si="5"/>
        <v>-1.8244892714891492E-2</v>
      </c>
    </row>
    <row r="627" spans="1:7">
      <c r="A627" s="67">
        <v>76.261362104147452</v>
      </c>
      <c r="B627" s="67">
        <v>77.708988683345495</v>
      </c>
      <c r="C627" s="67">
        <v>75.512929314902209</v>
      </c>
      <c r="D627" s="67">
        <v>77.127968491694574</v>
      </c>
      <c r="E627" s="67">
        <v>848470.73661802604</v>
      </c>
      <c r="F627" s="67" t="s">
        <v>655</v>
      </c>
      <c r="G627" s="25">
        <f t="shared" si="5"/>
        <v>-1.1235955056179692E-2</v>
      </c>
    </row>
    <row r="628" spans="1:7">
      <c r="A628" s="67">
        <v>77.512032686175687</v>
      </c>
      <c r="B628" s="67">
        <v>83.982037193203695</v>
      </c>
      <c r="C628" s="67">
        <v>77.265837689713436</v>
      </c>
      <c r="D628" s="67">
        <v>83.666907597732006</v>
      </c>
      <c r="E628" s="67">
        <v>640031.28521809471</v>
      </c>
      <c r="F628" s="67" t="s">
        <v>656</v>
      </c>
      <c r="G628" s="25">
        <f t="shared" si="5"/>
        <v>-7.3564030131826774E-2</v>
      </c>
    </row>
    <row r="629" spans="1:7">
      <c r="A629" s="67">
        <v>84.287318988816864</v>
      </c>
      <c r="B629" s="67">
        <v>85.436825495599876</v>
      </c>
      <c r="C629" s="67">
        <v>83.501331633751533</v>
      </c>
      <c r="D629" s="67">
        <v>83.501331633751533</v>
      </c>
      <c r="E629" s="67">
        <v>440218.78694377543</v>
      </c>
      <c r="F629" s="67" t="s">
        <v>657</v>
      </c>
      <c r="G629" s="25">
        <f t="shared" si="5"/>
        <v>9.4128721026005557E-3</v>
      </c>
    </row>
    <row r="630" spans="1:7">
      <c r="A630" s="67">
        <v>83.462032265998275</v>
      </c>
      <c r="B630" s="67">
        <v>83.629054578949649</v>
      </c>
      <c r="C630" s="67">
        <v>81.487239036396659</v>
      </c>
      <c r="D630" s="67">
        <v>82.862716907760969</v>
      </c>
      <c r="E630" s="67">
        <v>250647.28933664417</v>
      </c>
      <c r="F630" s="67" t="s">
        <v>658</v>
      </c>
      <c r="G630" s="25">
        <f t="shared" si="5"/>
        <v>7.2326298316338633E-3</v>
      </c>
    </row>
    <row r="631" spans="1:7">
      <c r="A631" s="67">
        <v>83.412908056306691</v>
      </c>
      <c r="B631" s="67">
        <v>83.963099204852398</v>
      </c>
      <c r="C631" s="67">
        <v>82.194627655955443</v>
      </c>
      <c r="D631" s="67">
        <v>83.432557740183327</v>
      </c>
      <c r="E631" s="67">
        <v>412006.62824033509</v>
      </c>
      <c r="F631" s="67" t="s">
        <v>659</v>
      </c>
      <c r="G631" s="25">
        <f t="shared" si="5"/>
        <v>-2.3551577955727154E-4</v>
      </c>
    </row>
    <row r="632" spans="1:7">
      <c r="A632" s="67">
        <v>83.540631001504806</v>
      </c>
      <c r="B632" s="67">
        <v>84.601713930842976</v>
      </c>
      <c r="C632" s="67">
        <v>83.462032265998275</v>
      </c>
      <c r="D632" s="67">
        <v>83.825551417715971</v>
      </c>
      <c r="E632" s="67">
        <v>200208.81886442448</v>
      </c>
      <c r="F632" s="67" t="s">
        <v>660</v>
      </c>
      <c r="G632" s="25">
        <f t="shared" ref="G632:G695" si="6">A632/D632-1</f>
        <v>-3.3989685888418109E-3</v>
      </c>
    </row>
    <row r="633" spans="1:7">
      <c r="A633" s="67">
        <v>83.511156475689859</v>
      </c>
      <c r="B633" s="67">
        <v>84.871897084146681</v>
      </c>
      <c r="C633" s="67">
        <v>83.186936691725407</v>
      </c>
      <c r="D633" s="67">
        <v>83.550455843443117</v>
      </c>
      <c r="E633" s="67">
        <v>220160.28487585523</v>
      </c>
      <c r="F633" s="67" t="s">
        <v>661</v>
      </c>
      <c r="G633" s="25">
        <f t="shared" si="6"/>
        <v>-4.703668861710808E-4</v>
      </c>
    </row>
    <row r="634" spans="1:7">
      <c r="A634" s="67">
        <v>83.108337956218875</v>
      </c>
      <c r="B634" s="67">
        <v>84.326618356570123</v>
      </c>
      <c r="C634" s="67">
        <v>82.070146908596968</v>
      </c>
      <c r="D634" s="67">
        <v>82.410774178598402</v>
      </c>
      <c r="E634" s="67">
        <v>419457.12978118157</v>
      </c>
      <c r="F634" s="67" t="s">
        <v>662</v>
      </c>
      <c r="G634" s="25">
        <f t="shared" si="6"/>
        <v>8.464473056747801E-3</v>
      </c>
    </row>
    <row r="635" spans="1:7">
      <c r="A635" s="67">
        <v>81.850758188114369</v>
      </c>
      <c r="B635" s="67">
        <v>82.076729552695653</v>
      </c>
      <c r="C635" s="67">
        <v>80.779850416837874</v>
      </c>
      <c r="D635" s="67">
        <v>81.67391103322467</v>
      </c>
      <c r="E635" s="67">
        <v>397838.46137577452</v>
      </c>
      <c r="F635" s="67" t="s">
        <v>663</v>
      </c>
      <c r="G635" s="25">
        <f t="shared" si="6"/>
        <v>2.1652832912306685E-3</v>
      </c>
    </row>
    <row r="636" spans="1:7">
      <c r="A636" s="67">
        <v>81.37916577507518</v>
      </c>
      <c r="B636" s="67">
        <v>81.4479396686434</v>
      </c>
      <c r="C636" s="67">
        <v>78.166442461245708</v>
      </c>
      <c r="D636" s="67">
        <v>78.29416540644381</v>
      </c>
      <c r="E636" s="67">
        <v>394297.43748771376</v>
      </c>
      <c r="F636" s="67" t="s">
        <v>664</v>
      </c>
      <c r="G636" s="25">
        <f t="shared" si="6"/>
        <v>3.9402685405948157E-2</v>
      </c>
    </row>
    <row r="637" spans="1:7">
      <c r="A637" s="67">
        <v>78.549611296840041</v>
      </c>
      <c r="B637" s="67">
        <v>78.861550028381586</v>
      </c>
      <c r="C637" s="67">
        <v>77.724324574021466</v>
      </c>
      <c r="D637" s="67">
        <v>78.83453171305122</v>
      </c>
      <c r="E637" s="67">
        <v>380804.09063976264</v>
      </c>
      <c r="F637" s="67" t="s">
        <v>665</v>
      </c>
      <c r="G637" s="25">
        <f t="shared" si="6"/>
        <v>-3.6141575274177828E-3</v>
      </c>
    </row>
    <row r="638" spans="1:7">
      <c r="A638" s="67">
        <v>78.913130448557752</v>
      </c>
      <c r="B638" s="67">
        <v>79.227525390583878</v>
      </c>
      <c r="C638" s="67">
        <v>77.567127103008403</v>
      </c>
      <c r="D638" s="67">
        <v>79.227525390583878</v>
      </c>
      <c r="E638" s="67">
        <v>773875.04529185896</v>
      </c>
      <c r="F638" s="67" t="s">
        <v>666</v>
      </c>
      <c r="G638" s="25">
        <f t="shared" si="6"/>
        <v>-3.9682539682539542E-3</v>
      </c>
    </row>
    <row r="639" spans="1:7">
      <c r="A639" s="67">
        <v>78.205741828998967</v>
      </c>
      <c r="B639" s="67">
        <v>79.640168751993173</v>
      </c>
      <c r="C639" s="67">
        <v>77.719412153052303</v>
      </c>
      <c r="D639" s="67">
        <v>78.814882029174584</v>
      </c>
      <c r="E639" s="67">
        <v>411296.18424094835</v>
      </c>
      <c r="F639" s="67" t="s">
        <v>667</v>
      </c>
      <c r="G639" s="25">
        <f t="shared" si="6"/>
        <v>-7.7287459486411469E-3</v>
      </c>
    </row>
    <row r="640" spans="1:7">
      <c r="A640" s="67">
        <v>79.070327919570815</v>
      </c>
      <c r="B640" s="67">
        <v>79.291386863182936</v>
      </c>
      <c r="C640" s="67">
        <v>77.832397835342945</v>
      </c>
      <c r="D640" s="67">
        <v>79.109627287324074</v>
      </c>
      <c r="E640" s="67">
        <v>303050.16800201056</v>
      </c>
      <c r="F640" s="67" t="s">
        <v>668</v>
      </c>
      <c r="G640" s="25">
        <f t="shared" si="6"/>
        <v>-4.967709885741467E-4</v>
      </c>
    </row>
    <row r="641" spans="1:7">
      <c r="A641" s="67">
        <v>78.677334242038157</v>
      </c>
      <c r="B641" s="67">
        <v>79.630343910054847</v>
      </c>
      <c r="C641" s="67">
        <v>77.763623941774739</v>
      </c>
      <c r="D641" s="67">
        <v>78.883655922742804</v>
      </c>
      <c r="E641" s="67">
        <v>428507.65706276725</v>
      </c>
      <c r="F641" s="67" t="s">
        <v>669</v>
      </c>
      <c r="G641" s="25">
        <f t="shared" si="6"/>
        <v>-2.6155187445510153E-3</v>
      </c>
    </row>
    <row r="642" spans="1:7">
      <c r="A642" s="67">
        <v>79.384722861596941</v>
      </c>
      <c r="B642" s="67">
        <v>79.905439484327715</v>
      </c>
      <c r="C642" s="67">
        <v>78.765757819482999</v>
      </c>
      <c r="D642" s="67">
        <v>79.365073177720305</v>
      </c>
      <c r="E642" s="67">
        <v>330229.23120490997</v>
      </c>
      <c r="F642" s="67" t="s">
        <v>670</v>
      </c>
      <c r="G642" s="25">
        <f t="shared" si="6"/>
        <v>2.4758603614749575E-4</v>
      </c>
    </row>
    <row r="643" spans="1:7">
      <c r="A643" s="67">
        <v>79.934914010142663</v>
      </c>
      <c r="B643" s="67">
        <v>80.160885374723946</v>
      </c>
      <c r="C643" s="67">
        <v>79.075240340539978</v>
      </c>
      <c r="D643" s="67">
        <v>79.699117803623068</v>
      </c>
      <c r="E643" s="67">
        <v>409294.11640886567</v>
      </c>
      <c r="F643" s="67" t="s">
        <v>671</v>
      </c>
      <c r="G643" s="25">
        <f t="shared" si="6"/>
        <v>2.9585798816567088E-3</v>
      </c>
    </row>
    <row r="644" spans="1:7">
      <c r="A644" s="67">
        <v>80.062636955340778</v>
      </c>
      <c r="B644" s="67">
        <v>80.36720705542858</v>
      </c>
      <c r="C644" s="67">
        <v>79.119452129262399</v>
      </c>
      <c r="D644" s="67">
        <v>79.758066855252977</v>
      </c>
      <c r="E644" s="67">
        <v>460941.76663935388</v>
      </c>
      <c r="F644" s="67" t="s">
        <v>672</v>
      </c>
      <c r="G644" s="25">
        <f t="shared" si="6"/>
        <v>3.818674550381651E-3</v>
      </c>
    </row>
    <row r="645" spans="1:7">
      <c r="A645" s="67">
        <v>79.856315274636131</v>
      </c>
      <c r="B645" s="67">
        <v>80.210009584415531</v>
      </c>
      <c r="C645" s="67">
        <v>78.854181396927856</v>
      </c>
      <c r="D645" s="67">
        <v>79.551745174548316</v>
      </c>
      <c r="E645" s="67">
        <v>540600.04561357095</v>
      </c>
      <c r="F645" s="67" t="s">
        <v>673</v>
      </c>
      <c r="G645" s="25">
        <f t="shared" si="6"/>
        <v>3.8285784858589356E-3</v>
      </c>
    </row>
    <row r="646" spans="1:7">
      <c r="A646" s="67">
        <v>79.6008693842399</v>
      </c>
      <c r="B646" s="67">
        <v>82.233927023708716</v>
      </c>
      <c r="C646" s="67">
        <v>79.104714866354925</v>
      </c>
      <c r="D646" s="67">
        <v>81.821283662299422</v>
      </c>
      <c r="E646" s="67">
        <v>559188.63982675131</v>
      </c>
      <c r="F646" s="67" t="s">
        <v>674</v>
      </c>
      <c r="G646" s="25">
        <f t="shared" si="6"/>
        <v>-2.7137367915465949E-2</v>
      </c>
    </row>
    <row r="647" spans="1:7">
      <c r="A647" s="67">
        <v>82.381299652783454</v>
      </c>
      <c r="B647" s="67">
        <v>83.422732898245002</v>
      </c>
      <c r="C647" s="67">
        <v>81.791809136484474</v>
      </c>
      <c r="D647" s="67">
        <v>81.880232713929317</v>
      </c>
      <c r="E647" s="67">
        <v>455519.79646065319</v>
      </c>
      <c r="F647" s="67" t="s">
        <v>675</v>
      </c>
      <c r="G647" s="25">
        <f t="shared" si="6"/>
        <v>6.1195104391649213E-3</v>
      </c>
    </row>
    <row r="648" spans="1:7">
      <c r="A648" s="67">
        <v>81.526538404149932</v>
      </c>
      <c r="B648" s="67">
        <v>83.977836467759872</v>
      </c>
      <c r="C648" s="67">
        <v>81.300567039568648</v>
      </c>
      <c r="D648" s="67">
        <v>83.471857107936586</v>
      </c>
      <c r="E648" s="67">
        <v>343960.7498234291</v>
      </c>
      <c r="F648" s="67" t="s">
        <v>676</v>
      </c>
      <c r="G648" s="25">
        <f t="shared" si="6"/>
        <v>-2.330508474576265E-2</v>
      </c>
    </row>
    <row r="649" spans="1:7">
      <c r="A649" s="67">
        <v>83.029739220712344</v>
      </c>
      <c r="B649" s="67">
        <v>85.201029289080282</v>
      </c>
      <c r="C649" s="67">
        <v>82.990439852959085</v>
      </c>
      <c r="D649" s="67">
        <v>83.688003630579558</v>
      </c>
      <c r="E649" s="67">
        <v>789454.9397024787</v>
      </c>
      <c r="F649" s="67" t="s">
        <v>677</v>
      </c>
      <c r="G649" s="25">
        <f t="shared" si="6"/>
        <v>-7.8656961728106323E-3</v>
      </c>
    </row>
    <row r="650" spans="1:7">
      <c r="A650" s="67">
        <v>86.124564431282025</v>
      </c>
      <c r="B650" s="67">
        <v>87.043187152514619</v>
      </c>
      <c r="C650" s="67">
        <v>85.220678972956904</v>
      </c>
      <c r="D650" s="67">
        <v>85.485949705291461</v>
      </c>
      <c r="E650" s="67">
        <v>497087.89522133226</v>
      </c>
      <c r="F650" s="67" t="s">
        <v>678</v>
      </c>
      <c r="G650" s="25">
        <f t="shared" si="6"/>
        <v>7.470405700494176E-3</v>
      </c>
    </row>
    <row r="651" spans="1:7">
      <c r="A651" s="67">
        <v>85.397526127846618</v>
      </c>
      <c r="B651" s="67">
        <v>85.505599389168097</v>
      </c>
      <c r="C651" s="67">
        <v>82.734993962562839</v>
      </c>
      <c r="D651" s="67">
        <v>82.734993962562839</v>
      </c>
      <c r="E651" s="67">
        <v>581992.06011652248</v>
      </c>
      <c r="F651" s="67" t="s">
        <v>679</v>
      </c>
      <c r="G651" s="25">
        <f t="shared" si="6"/>
        <v>3.2181451134069894E-2</v>
      </c>
    </row>
    <row r="652" spans="1:7">
      <c r="A652" s="67">
        <v>82.990439852959085</v>
      </c>
      <c r="B652" s="67">
        <v>83.088688272342239</v>
      </c>
      <c r="C652" s="67">
        <v>79.335598651905357</v>
      </c>
      <c r="D652" s="67">
        <v>81.339866407321921</v>
      </c>
      <c r="E652" s="67">
        <v>907409.0001622627</v>
      </c>
      <c r="F652" s="67" t="s">
        <v>680</v>
      </c>
      <c r="G652" s="25">
        <f t="shared" si="6"/>
        <v>2.0292305834037849E-2</v>
      </c>
    </row>
    <row r="653" spans="1:7">
      <c r="A653" s="67">
        <v>81.949006607497537</v>
      </c>
      <c r="B653" s="67">
        <v>82.361649968906832</v>
      </c>
      <c r="C653" s="67">
        <v>80.917398203974301</v>
      </c>
      <c r="D653" s="67">
        <v>82.066904710757328</v>
      </c>
      <c r="E653" s="67">
        <v>558881.25574678741</v>
      </c>
      <c r="F653" s="67" t="s">
        <v>681</v>
      </c>
      <c r="G653" s="25">
        <f t="shared" si="6"/>
        <v>-1.4366096013407326E-3</v>
      </c>
    </row>
    <row r="654" spans="1:7">
      <c r="A654" s="67">
        <v>81.939181765559226</v>
      </c>
      <c r="B654" s="67">
        <v>82.361649968906832</v>
      </c>
      <c r="C654" s="67">
        <v>80.68160199745472</v>
      </c>
      <c r="D654" s="67">
        <v>81.074595674987364</v>
      </c>
      <c r="E654" s="67">
        <v>724029.96858990064</v>
      </c>
      <c r="F654" s="67" t="s">
        <v>682</v>
      </c>
      <c r="G654" s="25">
        <f t="shared" si="6"/>
        <v>1.0664081434803796E-2</v>
      </c>
    </row>
    <row r="655" spans="1:7">
      <c r="A655" s="67">
        <v>81.035296307234105</v>
      </c>
      <c r="B655" s="67">
        <v>82.695694594809581</v>
      </c>
      <c r="C655" s="67">
        <v>78.861844773639731</v>
      </c>
      <c r="D655" s="67">
        <v>79.01137886794092</v>
      </c>
      <c r="E655" s="67">
        <v>922858.61257872568</v>
      </c>
      <c r="F655" s="67" t="s">
        <v>683</v>
      </c>
      <c r="G655" s="25">
        <f t="shared" si="6"/>
        <v>2.5615518527729364E-2</v>
      </c>
    </row>
    <row r="656" spans="1:7">
      <c r="A656" s="67">
        <v>79.492796122918421</v>
      </c>
      <c r="B656" s="67">
        <v>82.803767856131074</v>
      </c>
      <c r="C656" s="67">
        <v>78.60856034846995</v>
      </c>
      <c r="D656" s="67">
        <v>82.450073546351675</v>
      </c>
      <c r="E656" s="67">
        <v>1499127.4254050597</v>
      </c>
      <c r="F656" s="67" t="s">
        <v>684</v>
      </c>
      <c r="G656" s="25">
        <f t="shared" si="6"/>
        <v>-3.5867492850333638E-2</v>
      </c>
    </row>
    <row r="657" spans="1:7">
      <c r="A657" s="67">
        <v>82.292876075338611</v>
      </c>
      <c r="B657" s="67">
        <v>85.181281356784268</v>
      </c>
      <c r="C657" s="67">
        <v>80.848624310406095</v>
      </c>
      <c r="D657" s="67">
        <v>82.2830512334003</v>
      </c>
      <c r="E657" s="67">
        <v>2955783.9385430561</v>
      </c>
      <c r="F657" s="67" t="s">
        <v>685</v>
      </c>
      <c r="G657" s="25">
        <f t="shared" si="6"/>
        <v>1.1940298507462366E-4</v>
      </c>
    </row>
    <row r="658" spans="1:7">
      <c r="A658" s="67">
        <v>93.925488930305292</v>
      </c>
      <c r="B658" s="67">
        <v>95.37956553717612</v>
      </c>
      <c r="C658" s="67">
        <v>93.01177863004186</v>
      </c>
      <c r="D658" s="67">
        <v>94.053211875503408</v>
      </c>
      <c r="E658" s="67">
        <v>861021.48544585845</v>
      </c>
      <c r="F658" s="67" t="s">
        <v>686</v>
      </c>
      <c r="G658" s="25">
        <f t="shared" si="6"/>
        <v>-1.3579860022981949E-3</v>
      </c>
    </row>
    <row r="659" spans="1:7">
      <c r="A659" s="67">
        <v>93.159151259116598</v>
      </c>
      <c r="B659" s="67">
        <v>94.063036717441719</v>
      </c>
      <c r="C659" s="67">
        <v>91.243307081144906</v>
      </c>
      <c r="D659" s="67">
        <v>92.874230842905433</v>
      </c>
      <c r="E659" s="67">
        <v>647482.17222617904</v>
      </c>
      <c r="F659" s="67" t="s">
        <v>687</v>
      </c>
      <c r="G659" s="25">
        <f t="shared" si="6"/>
        <v>3.0678091611127112E-3</v>
      </c>
    </row>
    <row r="660" spans="1:7">
      <c r="A660" s="67">
        <v>93.30652388819135</v>
      </c>
      <c r="B660" s="67">
        <v>93.394947465636207</v>
      </c>
      <c r="C660" s="67">
        <v>89.695894475860058</v>
      </c>
      <c r="D660" s="67">
        <v>90.290297413128215</v>
      </c>
      <c r="E660" s="67">
        <v>413609.70746531227</v>
      </c>
      <c r="F660" s="67" t="s">
        <v>688</v>
      </c>
      <c r="G660" s="25">
        <f t="shared" si="6"/>
        <v>3.3405875952121633E-2</v>
      </c>
    </row>
    <row r="661" spans="1:7">
      <c r="A661" s="67">
        <v>90.427845200264642</v>
      </c>
      <c r="B661" s="67">
        <v>93.390035044667059</v>
      </c>
      <c r="C661" s="67">
        <v>89.651682687137637</v>
      </c>
      <c r="D661" s="67">
        <v>92.343689378236334</v>
      </c>
      <c r="E661" s="67">
        <v>327221.54923042894</v>
      </c>
      <c r="F661" s="67" t="s">
        <v>689</v>
      </c>
      <c r="G661" s="25">
        <f t="shared" si="6"/>
        <v>-2.0746887966804795E-2</v>
      </c>
    </row>
    <row r="662" spans="1:7">
      <c r="A662" s="67">
        <v>92.137367697531701</v>
      </c>
      <c r="B662" s="67">
        <v>92.477994967533135</v>
      </c>
      <c r="C662" s="67">
        <v>89.519047320970358</v>
      </c>
      <c r="D662" s="67">
        <v>90.968211506872038</v>
      </c>
      <c r="E662" s="67">
        <v>702670.84634472802</v>
      </c>
      <c r="F662" s="67" t="s">
        <v>690</v>
      </c>
      <c r="G662" s="25">
        <f t="shared" si="6"/>
        <v>1.2852359866076357E-2</v>
      </c>
    </row>
    <row r="663" spans="1:7">
      <c r="A663" s="67">
        <v>89.484660374186248</v>
      </c>
      <c r="B663" s="67">
        <v>94.731125969247245</v>
      </c>
      <c r="C663" s="67">
        <v>89.4551858483713</v>
      </c>
      <c r="D663" s="67">
        <v>92.864406000967108</v>
      </c>
      <c r="E663" s="67">
        <v>1626946.2756099098</v>
      </c>
      <c r="F663" s="67" t="s">
        <v>691</v>
      </c>
      <c r="G663" s="25">
        <f t="shared" si="6"/>
        <v>-3.6394413880660226E-2</v>
      </c>
    </row>
    <row r="664" spans="1:7">
      <c r="A664" s="67">
        <v>96.578196253650731</v>
      </c>
      <c r="B664" s="67">
        <v>99.928467354616643</v>
      </c>
      <c r="C664" s="67">
        <v>96.46029815039094</v>
      </c>
      <c r="D664" s="67">
        <v>99.29967747056439</v>
      </c>
      <c r="E664" s="67">
        <v>760519.10523462016</v>
      </c>
      <c r="F664" s="67" t="s">
        <v>692</v>
      </c>
      <c r="G664" s="25">
        <f t="shared" si="6"/>
        <v>-2.7406747798555453E-2</v>
      </c>
    </row>
    <row r="665" spans="1:7">
      <c r="A665" s="67">
        <v>98.130521279904727</v>
      </c>
      <c r="B665" s="67">
        <v>101.98677174069395</v>
      </c>
      <c r="C665" s="67">
        <v>97.973323808891664</v>
      </c>
      <c r="D665" s="67">
        <v>101.01902480976976</v>
      </c>
      <c r="E665" s="67">
        <v>737630.18738618353</v>
      </c>
      <c r="F665" s="67" t="s">
        <v>693</v>
      </c>
      <c r="G665" s="25">
        <f t="shared" si="6"/>
        <v>-2.8593658821240986E-2</v>
      </c>
    </row>
    <row r="666" spans="1:7">
      <c r="A666" s="67">
        <v>100.00706609012319</v>
      </c>
      <c r="B666" s="67">
        <v>102.24713005205932</v>
      </c>
      <c r="C666" s="67">
        <v>98.818260215586889</v>
      </c>
      <c r="D666" s="67">
        <v>102.18818100042944</v>
      </c>
      <c r="E666" s="67">
        <v>683658.83565053786</v>
      </c>
      <c r="F666" s="67" t="s">
        <v>694</v>
      </c>
      <c r="G666" s="25">
        <f t="shared" si="6"/>
        <v>-2.1344101528699144E-2</v>
      </c>
    </row>
    <row r="667" spans="1:7">
      <c r="A667" s="67">
        <v>101.78536248095845</v>
      </c>
      <c r="B667" s="67">
        <v>108.46625499901364</v>
      </c>
      <c r="C667" s="67">
        <v>96.244151627747968</v>
      </c>
      <c r="D667" s="67">
        <v>108.25010847637068</v>
      </c>
      <c r="E667" s="67">
        <v>1063778.945820977</v>
      </c>
      <c r="F667" s="67" t="s">
        <v>695</v>
      </c>
      <c r="G667" s="25">
        <f t="shared" si="6"/>
        <v>-5.9720457433291019E-2</v>
      </c>
    </row>
    <row r="668" spans="1:7">
      <c r="A668" s="67">
        <v>107.61149375038011</v>
      </c>
      <c r="B668" s="67">
        <v>108.81012446685472</v>
      </c>
      <c r="C668" s="67">
        <v>106.47672450650457</v>
      </c>
      <c r="D668" s="67">
        <v>107.13990133734092</v>
      </c>
      <c r="E668" s="67">
        <v>264939.63122688548</v>
      </c>
      <c r="F668" s="67" t="s">
        <v>696</v>
      </c>
      <c r="G668" s="25">
        <f t="shared" si="6"/>
        <v>4.4016506189821225E-3</v>
      </c>
    </row>
    <row r="669" spans="1:7">
      <c r="A669" s="67">
        <v>108.54485373452017</v>
      </c>
      <c r="B669" s="67">
        <v>109.14908151372663</v>
      </c>
      <c r="C669" s="67">
        <v>107.65079311813336</v>
      </c>
      <c r="D669" s="67">
        <v>108.17150974086414</v>
      </c>
      <c r="E669" s="67">
        <v>292976.7235006775</v>
      </c>
      <c r="F669" s="67" t="s">
        <v>697</v>
      </c>
      <c r="G669" s="25">
        <f t="shared" si="6"/>
        <v>3.4514078110809976E-3</v>
      </c>
    </row>
    <row r="670" spans="1:7">
      <c r="A670" s="67">
        <v>109.58628697998172</v>
      </c>
      <c r="B670" s="67">
        <v>111.68389073381228</v>
      </c>
      <c r="C670" s="67">
        <v>108.55467857645849</v>
      </c>
      <c r="D670" s="67">
        <v>111.2466852675572</v>
      </c>
      <c r="E670" s="67">
        <v>236894.39632845868</v>
      </c>
      <c r="F670" s="67" t="s">
        <v>698</v>
      </c>
      <c r="G670" s="25">
        <f t="shared" si="6"/>
        <v>-1.492537313432829E-2</v>
      </c>
    </row>
    <row r="671" spans="1:7">
      <c r="A671" s="67">
        <v>109.95963097363774</v>
      </c>
      <c r="B671" s="67">
        <v>110.7063189609498</v>
      </c>
      <c r="C671" s="67">
        <v>108.34835689575385</v>
      </c>
      <c r="D671" s="67">
        <v>110.21507686403397</v>
      </c>
      <c r="E671" s="67">
        <v>250076.28778412848</v>
      </c>
      <c r="F671" s="67" t="s">
        <v>699</v>
      </c>
      <c r="G671" s="25">
        <f t="shared" si="6"/>
        <v>-2.3177036904974413E-3</v>
      </c>
    </row>
    <row r="672" spans="1:7">
      <c r="A672" s="67">
        <v>110.53929664799841</v>
      </c>
      <c r="B672" s="67">
        <v>111.0698381126675</v>
      </c>
      <c r="C672" s="67">
        <v>109.50768824447518</v>
      </c>
      <c r="D672" s="67">
        <v>110.42139854473862</v>
      </c>
      <c r="E672" s="67">
        <v>362190.05072459864</v>
      </c>
      <c r="F672" s="67" t="s">
        <v>700</v>
      </c>
      <c r="G672" s="25">
        <f t="shared" si="6"/>
        <v>1.0677106504137779E-3</v>
      </c>
    </row>
    <row r="673" spans="1:7">
      <c r="A673" s="67">
        <v>110.28385075760218</v>
      </c>
      <c r="B673" s="67">
        <v>111.02071390297593</v>
      </c>
      <c r="C673" s="67">
        <v>108.4957295248286</v>
      </c>
      <c r="D673" s="67">
        <v>108.4957295248286</v>
      </c>
      <c r="E673" s="67">
        <v>413557.79823326541</v>
      </c>
      <c r="F673" s="67" t="s">
        <v>701</v>
      </c>
      <c r="G673" s="25">
        <f t="shared" si="6"/>
        <v>1.6481028705967349E-2</v>
      </c>
    </row>
    <row r="674" spans="1:7">
      <c r="A674" s="67">
        <v>109.60593666385836</v>
      </c>
      <c r="B674" s="67">
        <v>109.73365960905646</v>
      </c>
      <c r="C674" s="67">
        <v>104.43806980430389</v>
      </c>
      <c r="D674" s="67">
        <v>104.87036284958981</v>
      </c>
      <c r="E674" s="67">
        <v>361789.02646133449</v>
      </c>
      <c r="F674" s="67" t="s">
        <v>702</v>
      </c>
      <c r="G674" s="25">
        <f t="shared" si="6"/>
        <v>4.515645493723075E-2</v>
      </c>
    </row>
    <row r="675" spans="1:7">
      <c r="A675" s="67">
        <v>105.00791063672625</v>
      </c>
      <c r="B675" s="67">
        <v>107.61149375038011</v>
      </c>
      <c r="C675" s="67">
        <v>104.99808579478794</v>
      </c>
      <c r="D675" s="67">
        <v>106.12794261769432</v>
      </c>
      <c r="E675" s="67">
        <v>266915.23552890506</v>
      </c>
      <c r="F675" s="67" t="s">
        <v>703</v>
      </c>
      <c r="G675" s="25">
        <f t="shared" si="6"/>
        <v>-1.0553601184965622E-2</v>
      </c>
    </row>
    <row r="676" spans="1:7">
      <c r="A676" s="67">
        <v>107.20867523090914</v>
      </c>
      <c r="B676" s="67">
        <v>107.66061796007169</v>
      </c>
      <c r="C676" s="67">
        <v>105.91179609505136</v>
      </c>
      <c r="D676" s="67">
        <v>106.707608292055</v>
      </c>
      <c r="E676" s="67">
        <v>369183.54745781672</v>
      </c>
      <c r="F676" s="67" t="s">
        <v>704</v>
      </c>
      <c r="G676" s="25">
        <f t="shared" si="6"/>
        <v>4.6957002117669067E-3</v>
      </c>
    </row>
    <row r="677" spans="1:7">
      <c r="A677" s="67">
        <v>106.46198724359708</v>
      </c>
      <c r="B677" s="67">
        <v>107.28236154544651</v>
      </c>
      <c r="C677" s="67">
        <v>105.10615905610942</v>
      </c>
      <c r="D677" s="67">
        <v>106.95322934051291</v>
      </c>
      <c r="E677" s="67">
        <v>561852.29591041186</v>
      </c>
      <c r="F677" s="67" t="s">
        <v>705</v>
      </c>
      <c r="G677" s="25">
        <f t="shared" si="6"/>
        <v>-4.5930553003858954E-3</v>
      </c>
    </row>
    <row r="678" spans="1:7">
      <c r="A678" s="67">
        <v>108.2009842666791</v>
      </c>
      <c r="B678" s="67">
        <v>109.47821371866024</v>
      </c>
      <c r="C678" s="67">
        <v>106.76655734368489</v>
      </c>
      <c r="D678" s="67">
        <v>106.80585671143815</v>
      </c>
      <c r="E678" s="67">
        <v>424556.44845872815</v>
      </c>
      <c r="F678" s="67" t="s">
        <v>706</v>
      </c>
      <c r="G678" s="25">
        <f t="shared" si="6"/>
        <v>1.3062275779597288E-2</v>
      </c>
    </row>
    <row r="679" spans="1:7">
      <c r="A679" s="67">
        <v>107.59184406650348</v>
      </c>
      <c r="B679" s="67">
        <v>109.92033160588447</v>
      </c>
      <c r="C679" s="67">
        <v>107.43464659549041</v>
      </c>
      <c r="D679" s="67">
        <v>109.24241751214063</v>
      </c>
      <c r="E679" s="67">
        <v>251993.87588562505</v>
      </c>
      <c r="F679" s="67" t="s">
        <v>707</v>
      </c>
      <c r="G679" s="25">
        <f t="shared" si="6"/>
        <v>-1.5109272416584107E-2</v>
      </c>
    </row>
    <row r="680" spans="1:7">
      <c r="A680" s="67">
        <v>109.82208318650132</v>
      </c>
      <c r="B680" s="67">
        <v>111.32528400306373</v>
      </c>
      <c r="C680" s="67">
        <v>109.35049077346213</v>
      </c>
      <c r="D680" s="67">
        <v>109.82208318650132</v>
      </c>
      <c r="E680" s="67">
        <v>183343.40758958482</v>
      </c>
      <c r="F680" s="67" t="s">
        <v>708</v>
      </c>
      <c r="G680" s="25">
        <f t="shared" si="6"/>
        <v>0</v>
      </c>
    </row>
    <row r="681" spans="1:7">
      <c r="A681" s="67">
        <v>110.28385075760218</v>
      </c>
      <c r="B681" s="67">
        <v>112.78918545187288</v>
      </c>
      <c r="C681" s="67">
        <v>109.56172487513592</v>
      </c>
      <c r="D681" s="67">
        <v>111.71827768059639</v>
      </c>
      <c r="E681" s="67">
        <v>283753.16544560227</v>
      </c>
      <c r="F681" s="67" t="s">
        <v>709</v>
      </c>
      <c r="G681" s="25">
        <f t="shared" si="6"/>
        <v>-1.2839679887432953E-2</v>
      </c>
    </row>
    <row r="682" spans="1:7">
      <c r="A682" s="67">
        <v>111.62985410315154</v>
      </c>
      <c r="B682" s="67">
        <v>112.11127135812904</v>
      </c>
      <c r="C682" s="67">
        <v>110.45087307055357</v>
      </c>
      <c r="D682" s="67">
        <v>111.27615979337216</v>
      </c>
      <c r="E682" s="67">
        <v>182701.15807151457</v>
      </c>
      <c r="F682" s="67" t="s">
        <v>710</v>
      </c>
      <c r="G682" s="25">
        <f t="shared" si="6"/>
        <v>3.1785272823590116E-3</v>
      </c>
    </row>
    <row r="683" spans="1:7">
      <c r="A683" s="67">
        <v>110.90281579971612</v>
      </c>
      <c r="B683" s="67">
        <v>111.32528400306373</v>
      </c>
      <c r="C683" s="67">
        <v>109.41926466703035</v>
      </c>
      <c r="D683" s="67">
        <v>110.31332528341714</v>
      </c>
      <c r="E683" s="67">
        <v>277236.01225352025</v>
      </c>
      <c r="F683" s="67" t="s">
        <v>711</v>
      </c>
      <c r="G683" s="25">
        <f t="shared" si="6"/>
        <v>5.3437833986462735E-3</v>
      </c>
    </row>
    <row r="684" spans="1:7">
      <c r="A684" s="67">
        <v>109.23259267020234</v>
      </c>
      <c r="B684" s="67">
        <v>109.77295897680973</v>
      </c>
      <c r="C684" s="67">
        <v>107.09077712764935</v>
      </c>
      <c r="D684" s="67">
        <v>107.62131859231843</v>
      </c>
      <c r="E684" s="67">
        <v>326459.19599899533</v>
      </c>
      <c r="F684" s="67" t="s">
        <v>712</v>
      </c>
      <c r="G684" s="25">
        <f t="shared" si="6"/>
        <v>1.4971699835676588E-2</v>
      </c>
    </row>
    <row r="685" spans="1:7">
      <c r="A685" s="67">
        <v>106.51111145328866</v>
      </c>
      <c r="B685" s="67">
        <v>109.11469456694253</v>
      </c>
      <c r="C685" s="67">
        <v>106.30478977258403</v>
      </c>
      <c r="D685" s="67">
        <v>108.40730594738375</v>
      </c>
      <c r="E685" s="67">
        <v>396535.64143420575</v>
      </c>
      <c r="F685" s="67" t="s">
        <v>713</v>
      </c>
      <c r="G685" s="25">
        <f t="shared" si="6"/>
        <v>-1.7491390248323468E-2</v>
      </c>
    </row>
    <row r="686" spans="1:7">
      <c r="A686" s="67">
        <v>108.60380278615008</v>
      </c>
      <c r="B686" s="67">
        <v>110.26420107372556</v>
      </c>
      <c r="C686" s="67">
        <v>107.47394596324368</v>
      </c>
      <c r="D686" s="67">
        <v>107.86693964077635</v>
      </c>
      <c r="E686" s="67">
        <v>357503.97024726839</v>
      </c>
      <c r="F686" s="67" t="s">
        <v>714</v>
      </c>
      <c r="G686" s="25">
        <f t="shared" si="6"/>
        <v>6.8312232443756837E-3</v>
      </c>
    </row>
    <row r="687" spans="1:7">
      <c r="A687" s="67">
        <v>107.05147775989607</v>
      </c>
      <c r="B687" s="67">
        <v>111.26633495143383</v>
      </c>
      <c r="C687" s="67">
        <v>107.02200323408113</v>
      </c>
      <c r="D687" s="67">
        <v>111.23686042561889</v>
      </c>
      <c r="E687" s="67">
        <v>559528.59440525435</v>
      </c>
      <c r="F687" s="67" t="s">
        <v>715</v>
      </c>
      <c r="G687" s="25">
        <f t="shared" si="6"/>
        <v>-3.7625861155272999E-2</v>
      </c>
    </row>
    <row r="688" spans="1:7">
      <c r="A688" s="67">
        <v>111.19756105786563</v>
      </c>
      <c r="B688" s="67">
        <v>113.79131932958116</v>
      </c>
      <c r="C688" s="67">
        <v>109.86138255425458</v>
      </c>
      <c r="D688" s="67">
        <v>113.10358039389901</v>
      </c>
      <c r="E688" s="67">
        <v>1007086.939629227</v>
      </c>
      <c r="F688" s="67" t="s">
        <v>716</v>
      </c>
      <c r="G688" s="25">
        <f t="shared" si="6"/>
        <v>-1.6851980542042955E-2</v>
      </c>
    </row>
    <row r="689" spans="1:7">
      <c r="A689" s="67">
        <v>112.83830966156441</v>
      </c>
      <c r="B689" s="67">
        <v>115.01563297706787</v>
      </c>
      <c r="C689" s="67">
        <v>111.60253156357597</v>
      </c>
      <c r="D689" s="67">
        <v>113.32869779568681</v>
      </c>
      <c r="E689" s="67">
        <v>583060.60058262537</v>
      </c>
      <c r="F689" s="67" t="s">
        <v>717</v>
      </c>
      <c r="G689" s="25">
        <f t="shared" si="6"/>
        <v>-4.3271311120727241E-3</v>
      </c>
    </row>
    <row r="690" spans="1:7">
      <c r="A690" s="67">
        <v>109.17020641832886</v>
      </c>
      <c r="B690" s="67">
        <v>109.47424706148475</v>
      </c>
      <c r="C690" s="67">
        <v>104.58998124562562</v>
      </c>
      <c r="D690" s="67">
        <v>106.76730456112908</v>
      </c>
      <c r="E690" s="67">
        <v>344700.42857482441</v>
      </c>
      <c r="F690" s="67" t="s">
        <v>718</v>
      </c>
      <c r="G690" s="25">
        <f t="shared" si="6"/>
        <v>2.2505970971890665E-2</v>
      </c>
    </row>
    <row r="691" spans="1:7">
      <c r="A691" s="67">
        <v>106.72807351039928</v>
      </c>
      <c r="B691" s="67">
        <v>107.9148127949755</v>
      </c>
      <c r="C691" s="67">
        <v>105.27162075205575</v>
      </c>
      <c r="D691" s="67">
        <v>106.04153012262793</v>
      </c>
      <c r="E691" s="67">
        <v>236351.55896955368</v>
      </c>
      <c r="F691" s="67" t="s">
        <v>719</v>
      </c>
      <c r="G691" s="25">
        <f t="shared" si="6"/>
        <v>6.4742878283388094E-3</v>
      </c>
    </row>
    <row r="692" spans="1:7">
      <c r="A692" s="67">
        <v>106.33576300310138</v>
      </c>
      <c r="B692" s="67">
        <v>107.78731188010369</v>
      </c>
      <c r="C692" s="67">
        <v>105.93364473312101</v>
      </c>
      <c r="D692" s="67">
        <v>107.15961506842702</v>
      </c>
      <c r="E692" s="67">
        <v>348502.51894011575</v>
      </c>
      <c r="F692" s="67" t="s">
        <v>720</v>
      </c>
      <c r="G692" s="25">
        <f t="shared" si="6"/>
        <v>-7.6880834706205547E-3</v>
      </c>
    </row>
    <row r="693" spans="1:7">
      <c r="A693" s="67">
        <v>107.26750045793393</v>
      </c>
      <c r="B693" s="67">
        <v>108.64549111481789</v>
      </c>
      <c r="C693" s="67">
        <v>106.6250920022336</v>
      </c>
      <c r="D693" s="67">
        <v>107.45384794890045</v>
      </c>
      <c r="E693" s="67">
        <v>217368.63635732656</v>
      </c>
      <c r="F693" s="67" t="s">
        <v>721</v>
      </c>
      <c r="G693" s="25">
        <f t="shared" si="6"/>
        <v>-1.7342095655348277E-3</v>
      </c>
    </row>
    <row r="694" spans="1:7">
      <c r="A694" s="67">
        <v>107.47346347426534</v>
      </c>
      <c r="B694" s="67">
        <v>107.66961872791431</v>
      </c>
      <c r="C694" s="67">
        <v>105.4628721243635</v>
      </c>
      <c r="D694" s="67">
        <v>106.28672418968914</v>
      </c>
      <c r="E694" s="67">
        <v>255269.22714805097</v>
      </c>
      <c r="F694" s="67" t="s">
        <v>722</v>
      </c>
      <c r="G694" s="25">
        <f t="shared" si="6"/>
        <v>1.1165451693273098E-2</v>
      </c>
    </row>
    <row r="695" spans="1:7">
      <c r="A695" s="67">
        <v>106.26710866432423</v>
      </c>
      <c r="B695" s="67">
        <v>107.54211781304248</v>
      </c>
      <c r="C695" s="67">
        <v>106.01210683458059</v>
      </c>
      <c r="D695" s="67">
        <v>107.18903835647436</v>
      </c>
      <c r="E695" s="67">
        <v>208923.2851919448</v>
      </c>
      <c r="F695" s="67" t="s">
        <v>723</v>
      </c>
      <c r="G695" s="25">
        <f t="shared" si="6"/>
        <v>-8.6009698966055259E-3</v>
      </c>
    </row>
    <row r="696" spans="1:7">
      <c r="A696" s="67">
        <v>106.36518629114872</v>
      </c>
      <c r="B696" s="67">
        <v>109.25847628247089</v>
      </c>
      <c r="C696" s="67">
        <v>105.15020065004707</v>
      </c>
      <c r="D696" s="67">
        <v>108.9152045885852</v>
      </c>
      <c r="E696" s="67">
        <v>337622.36171618861</v>
      </c>
      <c r="F696" s="67" t="s">
        <v>724</v>
      </c>
      <c r="G696" s="25">
        <f t="shared" ref="G696:G759" si="7">A696/D696-1</f>
        <v>-2.3412877082395256E-2</v>
      </c>
    </row>
    <row r="697" spans="1:7">
      <c r="A697" s="67">
        <v>109.36636167197781</v>
      </c>
      <c r="B697" s="67">
        <v>109.55270916294432</v>
      </c>
      <c r="C697" s="67">
        <v>106.65941917162216</v>
      </c>
      <c r="D697" s="67">
        <v>106.65941917162216</v>
      </c>
      <c r="E697" s="67">
        <v>394526.26712968078</v>
      </c>
      <c r="F697" s="67" t="s">
        <v>725</v>
      </c>
      <c r="G697" s="25">
        <f t="shared" si="7"/>
        <v>2.5379310344827655E-2</v>
      </c>
    </row>
    <row r="698" spans="1:7">
      <c r="A698" s="67">
        <v>107.51269452499514</v>
      </c>
      <c r="B698" s="67">
        <v>107.80692740546858</v>
      </c>
      <c r="C698" s="67">
        <v>104.87440636341663</v>
      </c>
      <c r="D698" s="67">
        <v>105.20787029461985</v>
      </c>
      <c r="E698" s="67">
        <v>230021.87889775724</v>
      </c>
      <c r="F698" s="67" t="s">
        <v>726</v>
      </c>
      <c r="G698" s="25">
        <f t="shared" si="7"/>
        <v>2.1907336627202456E-2</v>
      </c>
    </row>
    <row r="699" spans="1:7">
      <c r="A699" s="67">
        <v>105.20787029461985</v>
      </c>
      <c r="B699" s="67">
        <v>105.74729724215449</v>
      </c>
      <c r="C699" s="67">
        <v>102.75102574266663</v>
      </c>
      <c r="D699" s="67">
        <v>104.47228809343625</v>
      </c>
      <c r="E699" s="67">
        <v>210838.09498170536</v>
      </c>
      <c r="F699" s="67" t="s">
        <v>727</v>
      </c>
      <c r="G699" s="25">
        <f t="shared" si="7"/>
        <v>7.0409312805106428E-3</v>
      </c>
    </row>
    <row r="700" spans="1:7">
      <c r="A700" s="67">
        <v>104.21728626369261</v>
      </c>
      <c r="B700" s="67">
        <v>107.14127455221083</v>
      </c>
      <c r="C700" s="67">
        <v>103.99170772199631</v>
      </c>
      <c r="D700" s="67">
        <v>105.74729724215449</v>
      </c>
      <c r="E700" s="67">
        <v>247911.78974500924</v>
      </c>
      <c r="F700" s="67" t="s">
        <v>728</v>
      </c>
      <c r="G700" s="25">
        <f t="shared" si="7"/>
        <v>-1.4468558708959245E-2</v>
      </c>
    </row>
    <row r="701" spans="1:7">
      <c r="A701" s="67">
        <v>105.24710134534965</v>
      </c>
      <c r="B701" s="67">
        <v>107.08115296696744</v>
      </c>
      <c r="C701" s="67">
        <v>104.90382965146397</v>
      </c>
      <c r="D701" s="67">
        <v>105.44325659899862</v>
      </c>
      <c r="E701" s="67">
        <v>236517.75385545942</v>
      </c>
      <c r="F701" s="67" t="s">
        <v>729</v>
      </c>
      <c r="G701" s="25">
        <f t="shared" si="7"/>
        <v>-1.8602920658543631E-3</v>
      </c>
    </row>
    <row r="702" spans="1:7">
      <c r="A702" s="67">
        <v>105.85518263166144</v>
      </c>
      <c r="B702" s="67">
        <v>106.16903103749976</v>
      </c>
      <c r="C702" s="67">
        <v>105.09998490511292</v>
      </c>
      <c r="D702" s="67">
        <v>105.99249130921569</v>
      </c>
      <c r="E702" s="67">
        <v>287283.66409623664</v>
      </c>
      <c r="F702" s="67" t="s">
        <v>730</v>
      </c>
      <c r="G702" s="25">
        <f t="shared" si="7"/>
        <v>-1.2954566484684182E-3</v>
      </c>
    </row>
    <row r="703" spans="1:7">
      <c r="A703" s="67">
        <v>106.72807351039928</v>
      </c>
      <c r="B703" s="67">
        <v>107.87067786290449</v>
      </c>
      <c r="C703" s="67">
        <v>105.75710500483694</v>
      </c>
      <c r="D703" s="67">
        <v>106.22787761359444</v>
      </c>
      <c r="E703" s="67">
        <v>107841.10854281024</v>
      </c>
      <c r="F703" s="67" t="s">
        <v>731</v>
      </c>
      <c r="G703" s="25">
        <f t="shared" si="7"/>
        <v>4.7087064906286002E-3</v>
      </c>
    </row>
    <row r="704" spans="1:7">
      <c r="A704" s="67">
        <v>105.81595158093162</v>
      </c>
      <c r="B704" s="67">
        <v>107.72846530400899</v>
      </c>
      <c r="C704" s="67">
        <v>105.76691276751939</v>
      </c>
      <c r="D704" s="67">
        <v>107.2184616445217</v>
      </c>
      <c r="E704" s="67">
        <v>211144.99474034112</v>
      </c>
      <c r="F704" s="67" t="s">
        <v>732</v>
      </c>
      <c r="G704" s="25">
        <f t="shared" si="7"/>
        <v>-1.3080863519941532E-2</v>
      </c>
    </row>
    <row r="705" spans="1:7">
      <c r="A705" s="67">
        <v>106.15922327481731</v>
      </c>
      <c r="B705" s="67">
        <v>106.93403652673071</v>
      </c>
      <c r="C705" s="67">
        <v>105.38931390424514</v>
      </c>
      <c r="D705" s="67">
        <v>106.01210683458059</v>
      </c>
      <c r="E705" s="67">
        <v>186437.01516884577</v>
      </c>
      <c r="F705" s="67" t="s">
        <v>733</v>
      </c>
      <c r="G705" s="25">
        <f t="shared" si="7"/>
        <v>1.3877324451845308E-3</v>
      </c>
    </row>
    <row r="706" spans="1:7">
      <c r="A706" s="67">
        <v>106.69865022235196</v>
      </c>
      <c r="B706" s="67">
        <v>107.04192191623763</v>
      </c>
      <c r="C706" s="67">
        <v>104.70277051647378</v>
      </c>
      <c r="D706" s="67">
        <v>105.85518263166144</v>
      </c>
      <c r="E706" s="67">
        <v>326273.18824982812</v>
      </c>
      <c r="F706" s="67" t="s">
        <v>734</v>
      </c>
      <c r="G706" s="25">
        <f t="shared" si="7"/>
        <v>7.9681274900398336E-3</v>
      </c>
    </row>
    <row r="707" spans="1:7">
      <c r="A707" s="67">
        <v>105.53152646314064</v>
      </c>
      <c r="B707" s="67">
        <v>106.44364839260831</v>
      </c>
      <c r="C707" s="67">
        <v>104.85479083805173</v>
      </c>
      <c r="D707" s="67">
        <v>106.4044173418785</v>
      </c>
      <c r="E707" s="67">
        <v>283284.79082922864</v>
      </c>
      <c r="F707" s="67" t="s">
        <v>735</v>
      </c>
      <c r="G707" s="25">
        <f t="shared" si="7"/>
        <v>-8.2035210618489618E-3</v>
      </c>
    </row>
    <row r="708" spans="1:7">
      <c r="A708" s="67">
        <v>105.29614015876189</v>
      </c>
      <c r="B708" s="67">
        <v>106.31614747773648</v>
      </c>
      <c r="C708" s="67">
        <v>103.91324562053671</v>
      </c>
      <c r="D708" s="67">
        <v>105.82575934361408</v>
      </c>
      <c r="E708" s="67">
        <v>235792.81788074176</v>
      </c>
      <c r="F708" s="67" t="s">
        <v>736</v>
      </c>
      <c r="G708" s="25">
        <f t="shared" si="7"/>
        <v>-5.0046339202965973E-3</v>
      </c>
    </row>
    <row r="709" spans="1:7">
      <c r="A709" s="67">
        <v>105.78652829288428</v>
      </c>
      <c r="B709" s="67">
        <v>107.00269086550783</v>
      </c>
      <c r="C709" s="67">
        <v>103.64598408744</v>
      </c>
      <c r="D709" s="67">
        <v>103.64843602811062</v>
      </c>
      <c r="E709" s="67">
        <v>569445.87474520621</v>
      </c>
      <c r="F709" s="67" t="s">
        <v>737</v>
      </c>
      <c r="G709" s="25">
        <f t="shared" si="7"/>
        <v>2.0628311884935524E-2</v>
      </c>
    </row>
    <row r="710" spans="1:7">
      <c r="A710" s="67">
        <v>103.68766707884041</v>
      </c>
      <c r="B710" s="67">
        <v>104.00641936601997</v>
      </c>
      <c r="C710" s="67">
        <v>101.51524764467817</v>
      </c>
      <c r="D710" s="67">
        <v>102.49112003158176</v>
      </c>
      <c r="E710" s="67">
        <v>461622.09941135551</v>
      </c>
      <c r="F710" s="67" t="s">
        <v>738</v>
      </c>
      <c r="G710" s="25">
        <f t="shared" si="7"/>
        <v>1.1674641148325282E-2</v>
      </c>
    </row>
    <row r="711" spans="1:7">
      <c r="A711" s="67">
        <v>99.195711770279217</v>
      </c>
      <c r="B711" s="67">
        <v>100.15687251315913</v>
      </c>
      <c r="C711" s="67">
        <v>96.881079777221487</v>
      </c>
      <c r="D711" s="67">
        <v>98.44051404373073</v>
      </c>
      <c r="E711" s="67">
        <v>420485.29654784082</v>
      </c>
      <c r="F711" s="67" t="s">
        <v>739</v>
      </c>
      <c r="G711" s="25">
        <f t="shared" si="7"/>
        <v>7.671615024409606E-3</v>
      </c>
    </row>
    <row r="712" spans="1:7">
      <c r="A712" s="67">
        <v>96.626077947477839</v>
      </c>
      <c r="B712" s="67">
        <v>96.871272014539031</v>
      </c>
      <c r="C712" s="67">
        <v>94.066251887358902</v>
      </c>
      <c r="D712" s="67">
        <v>95.056835918286154</v>
      </c>
      <c r="E712" s="67">
        <v>259934.91915973599</v>
      </c>
      <c r="F712" s="67" t="s">
        <v>740</v>
      </c>
      <c r="G712" s="25">
        <f t="shared" si="7"/>
        <v>1.6508460586050377E-2</v>
      </c>
    </row>
    <row r="713" spans="1:7">
      <c r="A713" s="67">
        <v>94.860680664637201</v>
      </c>
      <c r="B713" s="67">
        <v>99.274173871738796</v>
      </c>
      <c r="C713" s="67">
        <v>94.811641851224962</v>
      </c>
      <c r="D713" s="67">
        <v>98.724939161521718</v>
      </c>
      <c r="E713" s="67">
        <v>373921.1600789504</v>
      </c>
      <c r="F713" s="67" t="s">
        <v>741</v>
      </c>
      <c r="G713" s="25">
        <f t="shared" si="7"/>
        <v>-3.9141665010927862E-2</v>
      </c>
    </row>
    <row r="714" spans="1:7">
      <c r="A714" s="67">
        <v>98.391475230318477</v>
      </c>
      <c r="B714" s="67">
        <v>99.793985293908548</v>
      </c>
      <c r="C714" s="67">
        <v>96.067035474578304</v>
      </c>
      <c r="D714" s="67">
        <v>99.30359715978615</v>
      </c>
      <c r="E714" s="67">
        <v>408604.9112068981</v>
      </c>
      <c r="F714" s="67" t="s">
        <v>742</v>
      </c>
      <c r="G714" s="25">
        <f t="shared" si="7"/>
        <v>-9.1851851851852961E-3</v>
      </c>
    </row>
    <row r="715" spans="1:7">
      <c r="A715" s="67">
        <v>98.597438246649887</v>
      </c>
      <c r="B715" s="67">
        <v>100.77476156215334</v>
      </c>
      <c r="C715" s="67">
        <v>98.538591670555206</v>
      </c>
      <c r="D715" s="67">
        <v>99.872447395368127</v>
      </c>
      <c r="E715" s="67">
        <v>326749.34169595066</v>
      </c>
      <c r="F715" s="67" t="s">
        <v>743</v>
      </c>
      <c r="G715" s="25">
        <f t="shared" si="7"/>
        <v>-1.2766375331434765E-2</v>
      </c>
    </row>
    <row r="716" spans="1:7">
      <c r="A716" s="67">
        <v>100.55899078313949</v>
      </c>
      <c r="B716" s="67">
        <v>100.8041848502007</v>
      </c>
      <c r="C716" s="67">
        <v>99.666484379036731</v>
      </c>
      <c r="D716" s="67">
        <v>100.03917936096975</v>
      </c>
      <c r="E716" s="67">
        <v>432118.93856124242</v>
      </c>
      <c r="F716" s="67" t="s">
        <v>744</v>
      </c>
      <c r="G716" s="25">
        <f t="shared" si="7"/>
        <v>5.1960784313724862E-3</v>
      </c>
    </row>
    <row r="717" spans="1:7">
      <c r="A717" s="67">
        <v>100.24514237730115</v>
      </c>
      <c r="B717" s="67">
        <v>101.26514969627576</v>
      </c>
      <c r="C717" s="67">
        <v>98.862247839075991</v>
      </c>
      <c r="D717" s="67">
        <v>100.84341590093048</v>
      </c>
      <c r="E717" s="67">
        <v>605526.47859518381</v>
      </c>
      <c r="F717" s="67" t="s">
        <v>745</v>
      </c>
      <c r="G717" s="25">
        <f t="shared" si="7"/>
        <v>-5.9326979186928863E-3</v>
      </c>
    </row>
    <row r="718" spans="1:7">
      <c r="A718" s="67">
        <v>98.32282089154134</v>
      </c>
      <c r="B718" s="67">
        <v>99.234942821009014</v>
      </c>
      <c r="C718" s="67">
        <v>96.253382965544816</v>
      </c>
      <c r="D718" s="67">
        <v>98.195319976669523</v>
      </c>
      <c r="E718" s="67">
        <v>350235.83983606519</v>
      </c>
      <c r="F718" s="67" t="s">
        <v>746</v>
      </c>
      <c r="G718" s="25">
        <f t="shared" si="7"/>
        <v>1.2984418697561395E-3</v>
      </c>
    </row>
    <row r="719" spans="1:7">
      <c r="A719" s="67">
        <v>96.822233201126792</v>
      </c>
      <c r="B719" s="67">
        <v>96.851656489174147</v>
      </c>
      <c r="C719" s="67">
        <v>92.791242738640662</v>
      </c>
      <c r="D719" s="67">
        <v>95.174529070475543</v>
      </c>
      <c r="E719" s="67">
        <v>543008.65267986956</v>
      </c>
      <c r="F719" s="67" t="s">
        <v>747</v>
      </c>
      <c r="G719" s="25">
        <f t="shared" si="7"/>
        <v>1.7312448474855469E-2</v>
      </c>
    </row>
    <row r="720" spans="1:7">
      <c r="A720" s="67">
        <v>95.586455103138348</v>
      </c>
      <c r="B720" s="67">
        <v>97.744162893276908</v>
      </c>
      <c r="C720" s="67">
        <v>94.929335003414337</v>
      </c>
      <c r="D720" s="67">
        <v>96.400499405781545</v>
      </c>
      <c r="E720" s="67">
        <v>362276.30245975143</v>
      </c>
      <c r="F720" s="67" t="s">
        <v>748</v>
      </c>
      <c r="G720" s="25">
        <f t="shared" si="7"/>
        <v>-8.4443992267779766E-3</v>
      </c>
    </row>
    <row r="721" spans="1:7">
      <c r="A721" s="67">
        <v>95.694340492645267</v>
      </c>
      <c r="B721" s="67">
        <v>96.606462422112941</v>
      </c>
      <c r="C721" s="67">
        <v>92.859897077417813</v>
      </c>
      <c r="D721" s="67">
        <v>94.458562394656838</v>
      </c>
      <c r="E721" s="67">
        <v>657093.79485020577</v>
      </c>
      <c r="F721" s="67" t="s">
        <v>749</v>
      </c>
      <c r="G721" s="25">
        <f t="shared" si="7"/>
        <v>1.3082753608140152E-2</v>
      </c>
    </row>
    <row r="722" spans="1:7">
      <c r="A722" s="67">
        <v>93.134514432526345</v>
      </c>
      <c r="B722" s="67">
        <v>93.928943209804629</v>
      </c>
      <c r="C722" s="67">
        <v>91.226904590790213</v>
      </c>
      <c r="D722" s="67">
        <v>92.565664196944354</v>
      </c>
      <c r="E722" s="67">
        <v>532357.90557452396</v>
      </c>
      <c r="F722" s="67" t="s">
        <v>750</v>
      </c>
      <c r="G722" s="25">
        <f t="shared" si="7"/>
        <v>6.1453697817335229E-3</v>
      </c>
    </row>
    <row r="723" spans="1:7">
      <c r="A723" s="67">
        <v>92.565664196944354</v>
      </c>
      <c r="B723" s="67">
        <v>95.910111271659147</v>
      </c>
      <c r="C723" s="67">
        <v>91.614311216746898</v>
      </c>
      <c r="D723" s="67">
        <v>92.8402815520529</v>
      </c>
      <c r="E723" s="67">
        <v>1229896.1945303918</v>
      </c>
      <c r="F723" s="67" t="s">
        <v>751</v>
      </c>
      <c r="G723" s="25">
        <f t="shared" si="7"/>
        <v>-2.957954785548278E-3</v>
      </c>
    </row>
    <row r="724" spans="1:7">
      <c r="A724" s="67">
        <v>89.917568272683411</v>
      </c>
      <c r="B724" s="67">
        <v>92.065468300139514</v>
      </c>
      <c r="C724" s="67">
        <v>89.55468105343283</v>
      </c>
      <c r="D724" s="67">
        <v>91.143538607989413</v>
      </c>
      <c r="E724" s="67">
        <v>641223.71264699835</v>
      </c>
      <c r="F724" s="67" t="s">
        <v>752</v>
      </c>
      <c r="G724" s="25">
        <f t="shared" si="7"/>
        <v>-1.3450984612073613E-2</v>
      </c>
    </row>
    <row r="725" spans="1:7">
      <c r="A725" s="67">
        <v>92.81085826400556</v>
      </c>
      <c r="B725" s="67">
        <v>94.468370157339265</v>
      </c>
      <c r="C725" s="67">
        <v>92.050756656115851</v>
      </c>
      <c r="D725" s="67">
        <v>93.046244568384324</v>
      </c>
      <c r="E725" s="67">
        <v>515581.39850278769</v>
      </c>
      <c r="F725" s="67" t="s">
        <v>753</v>
      </c>
      <c r="G725" s="25">
        <f t="shared" si="7"/>
        <v>-2.5297775903869724E-3</v>
      </c>
    </row>
    <row r="726" spans="1:7">
      <c r="A726" s="67">
        <v>92.398932231342741</v>
      </c>
      <c r="B726" s="67">
        <v>93.654325854696083</v>
      </c>
      <c r="C726" s="67">
        <v>90.064684712920112</v>
      </c>
      <c r="D726" s="67">
        <v>90.849305727515954</v>
      </c>
      <c r="E726" s="67">
        <v>433842.06345192157</v>
      </c>
      <c r="F726" s="67" t="s">
        <v>754</v>
      </c>
      <c r="G726" s="25">
        <f t="shared" si="7"/>
        <v>1.705710892799317E-2</v>
      </c>
    </row>
    <row r="727" spans="1:7">
      <c r="A727" s="67">
        <v>90.692381524596797</v>
      </c>
      <c r="B727" s="67">
        <v>92.349893417930502</v>
      </c>
      <c r="C727" s="67">
        <v>89.858721696588717</v>
      </c>
      <c r="D727" s="67">
        <v>90.859113490198411</v>
      </c>
      <c r="E727" s="67">
        <v>349437.49262340146</v>
      </c>
      <c r="F727" s="67" t="s">
        <v>755</v>
      </c>
      <c r="G727" s="25">
        <f t="shared" si="7"/>
        <v>-1.8350604490500189E-3</v>
      </c>
    </row>
    <row r="728" spans="1:7">
      <c r="A728" s="67">
        <v>91.310270573591012</v>
      </c>
      <c r="B728" s="67">
        <v>93.697774243379342</v>
      </c>
      <c r="C728" s="67">
        <v>90.849305727515954</v>
      </c>
      <c r="D728" s="67">
        <v>92.467586570119877</v>
      </c>
      <c r="E728" s="67">
        <v>279024.89982730115</v>
      </c>
      <c r="F728" s="67" t="s">
        <v>756</v>
      </c>
      <c r="G728" s="25">
        <f t="shared" si="7"/>
        <v>-1.2515910055154844E-2</v>
      </c>
    </row>
    <row r="729" spans="1:7">
      <c r="A729" s="67">
        <v>92.977590229607173</v>
      </c>
      <c r="B729" s="67">
        <v>95.061739799627375</v>
      </c>
      <c r="C729" s="67">
        <v>92.776531094616999</v>
      </c>
      <c r="D729" s="67">
        <v>94.085867412723815</v>
      </c>
      <c r="E729" s="67">
        <v>298441.15266351571</v>
      </c>
      <c r="F729" s="67" t="s">
        <v>757</v>
      </c>
      <c r="G729" s="25">
        <f t="shared" si="7"/>
        <v>-1.1779422495569847E-2</v>
      </c>
    </row>
    <row r="730" spans="1:7">
      <c r="A730" s="67">
        <v>95.076451443651052</v>
      </c>
      <c r="B730" s="67">
        <v>95.900303508976691</v>
      </c>
      <c r="C730" s="67">
        <v>92.202776977693787</v>
      </c>
      <c r="D730" s="67">
        <v>92.202776977693787</v>
      </c>
      <c r="E730" s="67">
        <v>385648.60534083872</v>
      </c>
      <c r="F730" s="67" t="s">
        <v>758</v>
      </c>
      <c r="G730" s="25">
        <f t="shared" si="7"/>
        <v>3.1166897138602323E-2</v>
      </c>
    </row>
    <row r="731" spans="1:7">
      <c r="A731" s="67">
        <v>93.330669686175298</v>
      </c>
      <c r="B731" s="67">
        <v>94.036828599311562</v>
      </c>
      <c r="C731" s="67">
        <v>90.569784491066187</v>
      </c>
      <c r="D731" s="67">
        <v>92.820666026688016</v>
      </c>
      <c r="E731" s="67">
        <v>670032.5255382047</v>
      </c>
      <c r="F731" s="67" t="s">
        <v>759</v>
      </c>
      <c r="G731" s="25">
        <f t="shared" si="7"/>
        <v>5.4945054945052529E-3</v>
      </c>
    </row>
    <row r="732" spans="1:7">
      <c r="A732" s="67">
        <v>91.584887928699558</v>
      </c>
      <c r="B732" s="67">
        <v>92.080179944163191</v>
      </c>
      <c r="C732" s="67">
        <v>89.044677393945534</v>
      </c>
      <c r="D732" s="67">
        <v>89.044677393945534</v>
      </c>
      <c r="E732" s="67">
        <v>380694.3663800045</v>
      </c>
      <c r="F732" s="67" t="s">
        <v>760</v>
      </c>
      <c r="G732" s="25">
        <f t="shared" si="7"/>
        <v>2.852737085582091E-2</v>
      </c>
    </row>
    <row r="733" spans="1:7">
      <c r="A733" s="67">
        <v>89.544873290750374</v>
      </c>
      <c r="B733" s="67">
        <v>95.664917204597941</v>
      </c>
      <c r="C733" s="67">
        <v>89.005446343215738</v>
      </c>
      <c r="D733" s="67">
        <v>95.213760121205326</v>
      </c>
      <c r="E733" s="67">
        <v>426937.32868288073</v>
      </c>
      <c r="F733" s="67" t="s">
        <v>761</v>
      </c>
      <c r="G733" s="25">
        <f t="shared" si="7"/>
        <v>-5.9538524927894465E-2</v>
      </c>
    </row>
    <row r="734" spans="1:7">
      <c r="A734" s="67">
        <v>95.233375646570209</v>
      </c>
      <c r="B734" s="67">
        <v>99.666484379036731</v>
      </c>
      <c r="C734" s="67">
        <v>93.732787956155676</v>
      </c>
      <c r="D734" s="67">
        <v>99.087826380772299</v>
      </c>
      <c r="E734" s="67">
        <v>475153.21800555824</v>
      </c>
      <c r="F734" s="67" t="s">
        <v>762</v>
      </c>
      <c r="G734" s="25">
        <f t="shared" si="7"/>
        <v>-3.8899336830644504E-2</v>
      </c>
    </row>
    <row r="735" spans="1:7">
      <c r="A735" s="67">
        <v>99.548791226847342</v>
      </c>
      <c r="B735" s="67">
        <v>99.705715429766514</v>
      </c>
      <c r="C735" s="67">
        <v>95.390299849489395</v>
      </c>
      <c r="D735" s="67">
        <v>95.390299849489395</v>
      </c>
      <c r="E735" s="67">
        <v>275139.20221879339</v>
      </c>
      <c r="F735" s="67" t="s">
        <v>763</v>
      </c>
      <c r="G735" s="25">
        <f t="shared" si="7"/>
        <v>4.3594488998560443E-2</v>
      </c>
    </row>
    <row r="736" spans="1:7">
      <c r="A736" s="67">
        <v>95.615878391185689</v>
      </c>
      <c r="B736" s="67">
        <v>96.383335821087243</v>
      </c>
      <c r="C736" s="67">
        <v>94.523293628360989</v>
      </c>
      <c r="D736" s="67">
        <v>95.223567883887782</v>
      </c>
      <c r="E736" s="67">
        <v>232791.1139291682</v>
      </c>
      <c r="F736" s="67" t="s">
        <v>764</v>
      </c>
      <c r="G736" s="25">
        <f t="shared" si="7"/>
        <v>4.1198887630031766E-3</v>
      </c>
    </row>
    <row r="737" spans="1:7">
      <c r="A737" s="67">
        <v>96.04741994921342</v>
      </c>
      <c r="B737" s="67">
        <v>96.135689813355441</v>
      </c>
      <c r="C737" s="67">
        <v>93.335573567516533</v>
      </c>
      <c r="D737" s="67">
        <v>93.968174260534425</v>
      </c>
      <c r="E737" s="67">
        <v>267678.78516252176</v>
      </c>
      <c r="F737" s="67" t="s">
        <v>765</v>
      </c>
      <c r="G737" s="25">
        <f t="shared" si="7"/>
        <v>2.2127126604738701E-2</v>
      </c>
    </row>
    <row r="738" spans="1:7">
      <c r="A738" s="67">
        <v>94.811641851224962</v>
      </c>
      <c r="B738" s="67">
        <v>96.180315133560583</v>
      </c>
      <c r="C738" s="67">
        <v>93.605287041283844</v>
      </c>
      <c r="D738" s="67">
        <v>95.243183409252666</v>
      </c>
      <c r="E738" s="67">
        <v>309708.75808771391</v>
      </c>
      <c r="F738" s="67" t="s">
        <v>766</v>
      </c>
      <c r="G738" s="25">
        <f t="shared" si="7"/>
        <v>-4.5309442899803543E-3</v>
      </c>
    </row>
    <row r="739" spans="1:7">
      <c r="A739" s="67">
        <v>95.292222222664904</v>
      </c>
      <c r="B739" s="67">
        <v>99.391867023928185</v>
      </c>
      <c r="C739" s="67">
        <v>94.52721673343396</v>
      </c>
      <c r="D739" s="67">
        <v>98.185512213987067</v>
      </c>
      <c r="E739" s="67">
        <v>324177.90916678339</v>
      </c>
      <c r="F739" s="67" t="s">
        <v>767</v>
      </c>
      <c r="G739" s="25">
        <f t="shared" si="7"/>
        <v>-2.9467585655778672E-2</v>
      </c>
    </row>
    <row r="740" spans="1:7">
      <c r="A740" s="67">
        <v>98.087434587162605</v>
      </c>
      <c r="B740" s="67">
        <v>98.568014958602546</v>
      </c>
      <c r="C740" s="67">
        <v>96.567231371383144</v>
      </c>
      <c r="D740" s="67">
        <v>97.028196217458216</v>
      </c>
      <c r="E740" s="67">
        <v>453422.47197298775</v>
      </c>
      <c r="F740" s="67" t="s">
        <v>768</v>
      </c>
      <c r="G740" s="25">
        <f t="shared" si="7"/>
        <v>1.0916809865561428E-2</v>
      </c>
    </row>
    <row r="741" spans="1:7">
      <c r="A741" s="67">
        <v>97.410698962073681</v>
      </c>
      <c r="B741" s="67">
        <v>99.12215355016086</v>
      </c>
      <c r="C741" s="67">
        <v>96.832040963809249</v>
      </c>
      <c r="D741" s="67">
        <v>98.362051942271151</v>
      </c>
      <c r="E741" s="67">
        <v>284136.15726929787</v>
      </c>
      <c r="F741" s="67" t="s">
        <v>769</v>
      </c>
      <c r="G741" s="25">
        <f t="shared" si="7"/>
        <v>-9.6719513411108737E-3</v>
      </c>
    </row>
    <row r="742" spans="1:7">
      <c r="A742" s="67">
        <v>98.911286652488215</v>
      </c>
      <c r="B742" s="67">
        <v>100.7845693248358</v>
      </c>
      <c r="C742" s="67">
        <v>98.754362449569058</v>
      </c>
      <c r="D742" s="67">
        <v>100.35302776680808</v>
      </c>
      <c r="E742" s="67">
        <v>194394.99728230762</v>
      </c>
      <c r="F742" s="67" t="s">
        <v>770</v>
      </c>
      <c r="G742" s="25">
        <f t="shared" si="7"/>
        <v>-1.4366692728694397E-2</v>
      </c>
    </row>
    <row r="743" spans="1:7">
      <c r="A743" s="67">
        <v>99.5389834641649</v>
      </c>
      <c r="B743" s="67">
        <v>100.0293715982873</v>
      </c>
      <c r="C743" s="67">
        <v>95.645301679233029</v>
      </c>
      <c r="D743" s="67">
        <v>96.272998490909714</v>
      </c>
      <c r="E743" s="67">
        <v>438708.61676743132</v>
      </c>
      <c r="F743" s="67" t="s">
        <v>771</v>
      </c>
      <c r="G743" s="25">
        <f t="shared" si="7"/>
        <v>3.3924205378973005E-2</v>
      </c>
    </row>
    <row r="744" spans="1:7">
      <c r="A744" s="67">
        <v>95.674724967280383</v>
      </c>
      <c r="B744" s="67">
        <v>98.518976145190308</v>
      </c>
      <c r="C744" s="67">
        <v>95.199048477181648</v>
      </c>
      <c r="D744" s="67">
        <v>98.146281163257271</v>
      </c>
      <c r="E744" s="67">
        <v>523911.53480861516</v>
      </c>
      <c r="F744" s="67" t="s">
        <v>772</v>
      </c>
      <c r="G744" s="25">
        <f t="shared" si="7"/>
        <v>-2.518237233936238E-2</v>
      </c>
    </row>
    <row r="745" spans="1:7">
      <c r="A745" s="67">
        <v>97.724547367912024</v>
      </c>
      <c r="B745" s="67">
        <v>100.07841041169955</v>
      </c>
      <c r="C745" s="67">
        <v>97.660796910476108</v>
      </c>
      <c r="D745" s="67">
        <v>99.548791226847342</v>
      </c>
      <c r="E745" s="67">
        <v>356637.91154528072</v>
      </c>
      <c r="F745" s="67" t="s">
        <v>773</v>
      </c>
      <c r="G745" s="25">
        <f t="shared" si="7"/>
        <v>-1.8325123152709288E-2</v>
      </c>
    </row>
    <row r="746" spans="1:7">
      <c r="A746" s="67">
        <v>100.01956383560486</v>
      </c>
      <c r="B746" s="67">
        <v>100.18629580120647</v>
      </c>
      <c r="C746" s="67">
        <v>98.533687789213985</v>
      </c>
      <c r="D746" s="67">
        <v>98.70532363615682</v>
      </c>
      <c r="E746" s="67">
        <v>249934.67719063492</v>
      </c>
      <c r="F746" s="67" t="s">
        <v>774</v>
      </c>
      <c r="G746" s="25">
        <f t="shared" si="7"/>
        <v>1.3314785373608862E-2</v>
      </c>
    </row>
    <row r="747" spans="1:7">
      <c r="A747" s="67">
        <v>99.205519532961674</v>
      </c>
      <c r="B747" s="67">
        <v>100.00485219158118</v>
      </c>
      <c r="C747" s="67">
        <v>98.02858801106791</v>
      </c>
      <c r="D747" s="67">
        <v>99.882255158050583</v>
      </c>
      <c r="E747" s="67">
        <v>372035.91870447365</v>
      </c>
      <c r="F747" s="67" t="s">
        <v>775</v>
      </c>
      <c r="G747" s="25">
        <f t="shared" si="7"/>
        <v>-6.7753338570305521E-3</v>
      </c>
    </row>
    <row r="748" spans="1:7">
      <c r="A748" s="67">
        <v>99.470329125387764</v>
      </c>
      <c r="B748" s="67">
        <v>103.55035840128613</v>
      </c>
      <c r="C748" s="67">
        <v>99.352635973198389</v>
      </c>
      <c r="D748" s="67">
        <v>103.16785565667067</v>
      </c>
      <c r="E748" s="67">
        <v>351727.5154071087</v>
      </c>
      <c r="F748" s="67" t="s">
        <v>776</v>
      </c>
      <c r="G748" s="25">
        <f t="shared" si="7"/>
        <v>-3.5839908736571946E-2</v>
      </c>
    </row>
    <row r="749" spans="1:7">
      <c r="A749" s="67">
        <v>104.07016982345588</v>
      </c>
      <c r="B749" s="67">
        <v>106.12979998676997</v>
      </c>
      <c r="C749" s="67">
        <v>103.80536023102979</v>
      </c>
      <c r="D749" s="67">
        <v>106.08076117335773</v>
      </c>
      <c r="E749" s="67">
        <v>199684.68481653443</v>
      </c>
      <c r="F749" s="67" t="s">
        <v>777</v>
      </c>
      <c r="G749" s="25">
        <f t="shared" si="7"/>
        <v>-1.8953402366863936E-2</v>
      </c>
    </row>
    <row r="750" spans="1:7">
      <c r="A750" s="67">
        <v>105.18825476925495</v>
      </c>
      <c r="B750" s="67">
        <v>106.46816779931443</v>
      </c>
      <c r="C750" s="67">
        <v>104.84498307536929</v>
      </c>
      <c r="D750" s="67">
        <v>106.11018446140507</v>
      </c>
      <c r="E750" s="67">
        <v>270900.72282793361</v>
      </c>
      <c r="F750" s="67" t="s">
        <v>778</v>
      </c>
      <c r="G750" s="25">
        <f t="shared" si="7"/>
        <v>-8.688418522968866E-3</v>
      </c>
    </row>
    <row r="751" spans="1:7">
      <c r="A751" s="67">
        <v>105.89441368239122</v>
      </c>
      <c r="B751" s="67">
        <v>106.84203971276933</v>
      </c>
      <c r="C751" s="67">
        <v>104.64882782172032</v>
      </c>
      <c r="D751" s="67">
        <v>104.64882782172032</v>
      </c>
      <c r="E751" s="67">
        <v>252017.72106735528</v>
      </c>
      <c r="F751" s="67" t="s">
        <v>779</v>
      </c>
      <c r="G751" s="25">
        <f t="shared" si="7"/>
        <v>1.1902530459231508E-2</v>
      </c>
    </row>
    <row r="752" spans="1:7">
      <c r="A752" s="67">
        <v>105.60998856460023</v>
      </c>
      <c r="B752" s="67">
        <v>107.75788859205635</v>
      </c>
      <c r="C752" s="67">
        <v>105.11960043047783</v>
      </c>
      <c r="D752" s="67">
        <v>105.92383697043856</v>
      </c>
      <c r="E752" s="67">
        <v>670625.93304493558</v>
      </c>
      <c r="F752" s="67" t="s">
        <v>780</v>
      </c>
      <c r="G752" s="25">
        <f t="shared" si="7"/>
        <v>-2.962962962962834E-3</v>
      </c>
    </row>
    <row r="753" spans="1:7">
      <c r="A753" s="67">
        <v>105.73748947947205</v>
      </c>
      <c r="B753" s="67">
        <v>107.18903835647436</v>
      </c>
      <c r="C753" s="67">
        <v>105.05094609170068</v>
      </c>
      <c r="D753" s="67">
        <v>105.9728757838508</v>
      </c>
      <c r="E753" s="67">
        <v>143286.50126444869</v>
      </c>
      <c r="F753" s="67" t="s">
        <v>781</v>
      </c>
      <c r="G753" s="25">
        <f t="shared" si="7"/>
        <v>-2.2211938917168217E-3</v>
      </c>
    </row>
    <row r="754" spans="1:7">
      <c r="A754" s="67">
        <v>105.21767805730229</v>
      </c>
      <c r="B754" s="67">
        <v>105.90617445642494</v>
      </c>
      <c r="C754" s="67">
        <v>104.61072829552775</v>
      </c>
      <c r="D754" s="67">
        <v>105.3547312293159</v>
      </c>
      <c r="E754" s="67">
        <v>285613.81998596922</v>
      </c>
      <c r="F754" s="67" t="s">
        <v>782</v>
      </c>
      <c r="G754" s="25">
        <f t="shared" si="7"/>
        <v>-1.3008734435978608E-3</v>
      </c>
    </row>
    <row r="755" spans="1:7">
      <c r="A755" s="67">
        <v>105.46241586446945</v>
      </c>
      <c r="B755" s="67">
        <v>106.76442099859869</v>
      </c>
      <c r="C755" s="67">
        <v>104.78693951668811</v>
      </c>
      <c r="D755" s="67">
        <v>105.96168099109043</v>
      </c>
      <c r="E755" s="67">
        <v>407241.94252475427</v>
      </c>
      <c r="F755" s="67" t="s">
        <v>783</v>
      </c>
      <c r="G755" s="25">
        <f t="shared" si="7"/>
        <v>-4.7117516629711087E-3</v>
      </c>
    </row>
    <row r="756" spans="1:7">
      <c r="A756" s="67">
        <v>106.66652587573184</v>
      </c>
      <c r="B756" s="67">
        <v>107.98321527829113</v>
      </c>
      <c r="C756" s="67">
        <v>105.81483830679015</v>
      </c>
      <c r="D756" s="67">
        <v>106.50989367914485</v>
      </c>
      <c r="E756" s="67">
        <v>216371.3510917949</v>
      </c>
      <c r="F756" s="67" t="s">
        <v>784</v>
      </c>
      <c r="G756" s="25">
        <f t="shared" si="7"/>
        <v>1.4705882352941124E-3</v>
      </c>
    </row>
    <row r="757" spans="1:7">
      <c r="A757" s="67">
        <v>105.65820611020318</v>
      </c>
      <c r="B757" s="67">
        <v>106.78400002317207</v>
      </c>
      <c r="C757" s="67">
        <v>104.25830585320705</v>
      </c>
      <c r="D757" s="67">
        <v>104.25830585320705</v>
      </c>
      <c r="E757" s="67">
        <v>449255.27147877798</v>
      </c>
      <c r="F757" s="67" t="s">
        <v>785</v>
      </c>
      <c r="G757" s="25">
        <f t="shared" si="7"/>
        <v>1.3427230046948457E-2</v>
      </c>
    </row>
    <row r="758" spans="1:7">
      <c r="A758" s="67">
        <v>104.67925488153456</v>
      </c>
      <c r="B758" s="67">
        <v>107.10705392863271</v>
      </c>
      <c r="C758" s="67">
        <v>103.88140963016963</v>
      </c>
      <c r="D758" s="67">
        <v>107.10705392863271</v>
      </c>
      <c r="E758" s="67">
        <v>280381.69008000242</v>
      </c>
      <c r="F758" s="67" t="s">
        <v>786</v>
      </c>
      <c r="G758" s="25">
        <f t="shared" si="7"/>
        <v>-2.2667032263961162E-2</v>
      </c>
    </row>
    <row r="759" spans="1:7">
      <c r="A759" s="67">
        <v>106.59799928972504</v>
      </c>
      <c r="B759" s="67">
        <v>107.30284417436643</v>
      </c>
      <c r="C759" s="67">
        <v>105.05125634842864</v>
      </c>
      <c r="D759" s="67">
        <v>105.87357538051027</v>
      </c>
      <c r="E759" s="67">
        <v>344285.79292798718</v>
      </c>
      <c r="F759" s="67" t="s">
        <v>787</v>
      </c>
      <c r="G759" s="25">
        <f t="shared" si="7"/>
        <v>6.8423485899213876E-3</v>
      </c>
    </row>
    <row r="760" spans="1:7">
      <c r="A760" s="67">
        <v>105.12957244672212</v>
      </c>
      <c r="B760" s="67">
        <v>106.92105319518568</v>
      </c>
      <c r="C760" s="67">
        <v>103.99398902146653</v>
      </c>
      <c r="D760" s="67">
        <v>106.21620831054427</v>
      </c>
      <c r="E760" s="67">
        <v>372250.41383891023</v>
      </c>
      <c r="F760" s="67" t="s">
        <v>788</v>
      </c>
      <c r="G760" s="25">
        <f t="shared" ref="G760:G823" si="8">A760/D760-1</f>
        <v>-1.0230414746543737E-2</v>
      </c>
    </row>
    <row r="761" spans="1:7">
      <c r="A761" s="67">
        <v>108.15453174330813</v>
      </c>
      <c r="B761" s="67">
        <v>110.89549728845736</v>
      </c>
      <c r="C761" s="67">
        <v>107.97832052214777</v>
      </c>
      <c r="D761" s="67">
        <v>109.83832785661814</v>
      </c>
      <c r="E761" s="67">
        <v>212137.22800311228</v>
      </c>
      <c r="F761" s="67" t="s">
        <v>789</v>
      </c>
      <c r="G761" s="25">
        <f t="shared" si="8"/>
        <v>-1.5329768270944677E-2</v>
      </c>
    </row>
    <row r="762" spans="1:7">
      <c r="A762" s="67">
        <v>109.11390394740336</v>
      </c>
      <c r="B762" s="67">
        <v>111.8696516561055</v>
      </c>
      <c r="C762" s="67">
        <v>108.48737516105545</v>
      </c>
      <c r="D762" s="67">
        <v>111.20885957675418</v>
      </c>
      <c r="E762" s="67">
        <v>210504.86884853692</v>
      </c>
      <c r="F762" s="67" t="s">
        <v>790</v>
      </c>
      <c r="G762" s="25">
        <f t="shared" si="8"/>
        <v>-1.8838028169014032E-2</v>
      </c>
    </row>
    <row r="763" spans="1:7">
      <c r="A763" s="67">
        <v>110.98370079416041</v>
      </c>
      <c r="B763" s="67">
        <v>111.60044006822163</v>
      </c>
      <c r="C763" s="67">
        <v>107.48884490781347</v>
      </c>
      <c r="D763" s="67">
        <v>107.48884490781347</v>
      </c>
      <c r="E763" s="67">
        <v>255198.61734048658</v>
      </c>
      <c r="F763" s="67" t="s">
        <v>791</v>
      </c>
      <c r="G763" s="25">
        <f t="shared" si="8"/>
        <v>3.2513661202185684E-2</v>
      </c>
    </row>
    <row r="764" spans="1:7">
      <c r="A764" s="67">
        <v>107.93916247300103</v>
      </c>
      <c r="B764" s="67">
        <v>108.3454272328985</v>
      </c>
      <c r="C764" s="67">
        <v>105.01209829928187</v>
      </c>
      <c r="D764" s="67">
        <v>105.98126001566382</v>
      </c>
      <c r="E764" s="67">
        <v>175581.78075302861</v>
      </c>
      <c r="F764" s="67" t="s">
        <v>792</v>
      </c>
      <c r="G764" s="25">
        <f t="shared" si="8"/>
        <v>1.8474043968224496E-2</v>
      </c>
    </row>
    <row r="765" spans="1:7">
      <c r="A765" s="67">
        <v>105.89315440508364</v>
      </c>
      <c r="B765" s="67">
        <v>107.73847747112397</v>
      </c>
      <c r="C765" s="67">
        <v>104.79672902897478</v>
      </c>
      <c r="D765" s="67">
        <v>106.77421051088538</v>
      </c>
      <c r="E765" s="67">
        <v>212647.97867725976</v>
      </c>
      <c r="F765" s="67" t="s">
        <v>793</v>
      </c>
      <c r="G765" s="25">
        <f t="shared" si="8"/>
        <v>-8.2515815531309933E-3</v>
      </c>
    </row>
    <row r="766" spans="1:7">
      <c r="A766" s="67">
        <v>105.68757464706322</v>
      </c>
      <c r="B766" s="67">
        <v>106.58820977743834</v>
      </c>
      <c r="C766" s="67">
        <v>103.93525194774641</v>
      </c>
      <c r="D766" s="67">
        <v>104.2191478040603</v>
      </c>
      <c r="E766" s="67">
        <v>225622.06730195411</v>
      </c>
      <c r="F766" s="67" t="s">
        <v>794</v>
      </c>
      <c r="G766" s="25">
        <f t="shared" si="8"/>
        <v>1.4089798985534419E-2</v>
      </c>
    </row>
    <row r="767" spans="1:7">
      <c r="A767" s="67">
        <v>103.99398902146653</v>
      </c>
      <c r="B767" s="67">
        <v>104.96315073784845</v>
      </c>
      <c r="C767" s="67">
        <v>103.44577633341211</v>
      </c>
      <c r="D767" s="67">
        <v>104.23872682863369</v>
      </c>
      <c r="E767" s="67">
        <v>270650.86823614454</v>
      </c>
      <c r="F767" s="67" t="s">
        <v>795</v>
      </c>
      <c r="G767" s="25">
        <f t="shared" si="8"/>
        <v>-2.3478587528174E-3</v>
      </c>
    </row>
    <row r="768" spans="1:7">
      <c r="A768" s="67">
        <v>104.94357171327509</v>
      </c>
      <c r="B768" s="67">
        <v>105.75610123307003</v>
      </c>
      <c r="C768" s="67">
        <v>104.02825231446994</v>
      </c>
      <c r="D768" s="67">
        <v>104.75757097982805</v>
      </c>
      <c r="E768" s="67">
        <v>254000.39625893658</v>
      </c>
      <c r="F768" s="67" t="s">
        <v>796</v>
      </c>
      <c r="G768" s="25">
        <f t="shared" si="8"/>
        <v>1.7755349967294443E-3</v>
      </c>
    </row>
    <row r="769" spans="1:7">
      <c r="A769" s="67">
        <v>103.76883023887275</v>
      </c>
      <c r="B769" s="67">
        <v>104.56178073409433</v>
      </c>
      <c r="C769" s="67">
        <v>102.25635059057974</v>
      </c>
      <c r="D769" s="67">
        <v>104.56178073409433</v>
      </c>
      <c r="E769" s="67">
        <v>185621.09600407153</v>
      </c>
      <c r="F769" s="67" t="s">
        <v>797</v>
      </c>
      <c r="G769" s="25">
        <f t="shared" si="8"/>
        <v>-7.5835595917985721E-3</v>
      </c>
    </row>
    <row r="770" spans="1:7">
      <c r="A770" s="67">
        <v>103.94504146003311</v>
      </c>
      <c r="B770" s="67">
        <v>104.46545193319334</v>
      </c>
      <c r="C770" s="67">
        <v>102.72135242419735</v>
      </c>
      <c r="D770" s="67">
        <v>103.11293291566477</v>
      </c>
      <c r="E770" s="67">
        <v>264063.20604099031</v>
      </c>
      <c r="F770" s="67" t="s">
        <v>798</v>
      </c>
      <c r="G770" s="25">
        <f t="shared" si="8"/>
        <v>8.0698756289758755E-3</v>
      </c>
    </row>
    <row r="771" spans="1:7">
      <c r="A771" s="67">
        <v>102.74093144877071</v>
      </c>
      <c r="B771" s="67">
        <v>107.61121381139705</v>
      </c>
      <c r="C771" s="67">
        <v>102.40808803102338</v>
      </c>
      <c r="D771" s="67">
        <v>106.92105319518568</v>
      </c>
      <c r="E771" s="67">
        <v>554103.19136912166</v>
      </c>
      <c r="F771" s="67" t="s">
        <v>799</v>
      </c>
      <c r="G771" s="25">
        <f t="shared" si="8"/>
        <v>-3.9095403772202886E-2</v>
      </c>
    </row>
    <row r="772" spans="1:7">
      <c r="A772" s="67">
        <v>107.58674003068033</v>
      </c>
      <c r="B772" s="67">
        <v>108.6733758945025</v>
      </c>
      <c r="C772" s="67">
        <v>106.91126368289899</v>
      </c>
      <c r="D772" s="67">
        <v>107.77274076412738</v>
      </c>
      <c r="E772" s="67">
        <v>348901.95752093213</v>
      </c>
      <c r="F772" s="67" t="s">
        <v>800</v>
      </c>
      <c r="G772" s="25">
        <f t="shared" si="8"/>
        <v>-1.7258606594605652E-3</v>
      </c>
    </row>
    <row r="773" spans="1:7">
      <c r="A773" s="67">
        <v>107.71400369040725</v>
      </c>
      <c r="B773" s="67">
        <v>110.00161692156006</v>
      </c>
      <c r="C773" s="67">
        <v>107.47416063938344</v>
      </c>
      <c r="D773" s="67">
        <v>109.09432492282998</v>
      </c>
      <c r="E773" s="67">
        <v>235159.82539098422</v>
      </c>
      <c r="F773" s="67" t="s">
        <v>801</v>
      </c>
      <c r="G773" s="25">
        <f t="shared" si="8"/>
        <v>-1.2652548456568491E-2</v>
      </c>
    </row>
    <row r="774" spans="1:7">
      <c r="A774" s="67">
        <v>109.54464248801756</v>
      </c>
      <c r="B774" s="67">
        <v>112.02138909654914</v>
      </c>
      <c r="C774" s="67">
        <v>109.07474589825662</v>
      </c>
      <c r="D774" s="67">
        <v>111.88433592453553</v>
      </c>
      <c r="E774" s="67">
        <v>646284.49454060767</v>
      </c>
      <c r="F774" s="67" t="s">
        <v>802</v>
      </c>
      <c r="G774" s="25">
        <f t="shared" si="8"/>
        <v>-2.0911715810657094E-2</v>
      </c>
    </row>
    <row r="775" spans="1:7">
      <c r="A775" s="67">
        <v>111.99202055968908</v>
      </c>
      <c r="B775" s="67">
        <v>112.38849580729988</v>
      </c>
      <c r="C775" s="67">
        <v>109.59359004945098</v>
      </c>
      <c r="D775" s="67">
        <v>110.04390761463854</v>
      </c>
      <c r="E775" s="67">
        <v>259862.79249680141</v>
      </c>
      <c r="F775" s="67" t="s">
        <v>803</v>
      </c>
      <c r="G775" s="25">
        <f t="shared" si="8"/>
        <v>1.7703051329952979E-2</v>
      </c>
    </row>
    <row r="776" spans="1:7">
      <c r="A776" s="67">
        <v>110.54317274125954</v>
      </c>
      <c r="B776" s="67">
        <v>111.24801762590094</v>
      </c>
      <c r="C776" s="67">
        <v>110.11243420064535</v>
      </c>
      <c r="D776" s="67">
        <v>110.33759298323912</v>
      </c>
      <c r="E776" s="67">
        <v>199241.79498223661</v>
      </c>
      <c r="F776" s="67" t="s">
        <v>804</v>
      </c>
      <c r="G776" s="25">
        <f t="shared" si="8"/>
        <v>1.8631887143998327E-3</v>
      </c>
    </row>
    <row r="777" spans="1:7">
      <c r="A777" s="67">
        <v>110.33759298323912</v>
      </c>
      <c r="B777" s="67">
        <v>112.3346534897231</v>
      </c>
      <c r="C777" s="67">
        <v>109.91664395491162</v>
      </c>
      <c r="D777" s="67">
        <v>111.12075396617402</v>
      </c>
      <c r="E777" s="67">
        <v>175189.52423528334</v>
      </c>
      <c r="F777" s="67" t="s">
        <v>805</v>
      </c>
      <c r="G777" s="25">
        <f t="shared" si="8"/>
        <v>-7.0478371949609375E-3</v>
      </c>
    </row>
    <row r="778" spans="1:7">
      <c r="A778" s="67">
        <v>110.45506713067935</v>
      </c>
      <c r="B778" s="67">
        <v>112.02138909654914</v>
      </c>
      <c r="C778" s="67">
        <v>109.92643346719832</v>
      </c>
      <c r="D778" s="67">
        <v>111.20885957675418</v>
      </c>
      <c r="E778" s="67">
        <v>168761.21625046313</v>
      </c>
      <c r="F778" s="67" t="s">
        <v>806</v>
      </c>
      <c r="G778" s="25">
        <f t="shared" si="8"/>
        <v>-6.7781690140844564E-3</v>
      </c>
    </row>
    <row r="779" spans="1:7">
      <c r="A779" s="67">
        <v>111.19907006446751</v>
      </c>
      <c r="B779" s="67">
        <v>111.64938762965507</v>
      </c>
      <c r="C779" s="67">
        <v>108.83000809108947</v>
      </c>
      <c r="D779" s="67">
        <v>109.41737882829062</v>
      </c>
      <c r="E779" s="67">
        <v>259607.41715972766</v>
      </c>
      <c r="F779" s="67" t="s">
        <v>807</v>
      </c>
      <c r="G779" s="25">
        <f t="shared" si="8"/>
        <v>1.6283439205511341E-2</v>
      </c>
    </row>
    <row r="780" spans="1:7">
      <c r="A780" s="67">
        <v>111.60044006822163</v>
      </c>
      <c r="B780" s="67">
        <v>113.0297088620778</v>
      </c>
      <c r="C780" s="67">
        <v>111.1403329907474</v>
      </c>
      <c r="D780" s="67">
        <v>112.53044373545681</v>
      </c>
      <c r="E780" s="67">
        <v>241207.11337289042</v>
      </c>
      <c r="F780" s="67" t="s">
        <v>808</v>
      </c>
      <c r="G780" s="25">
        <f t="shared" si="8"/>
        <v>-8.2644628099174389E-3</v>
      </c>
    </row>
    <row r="781" spans="1:7">
      <c r="A781" s="67">
        <v>112.44233812487664</v>
      </c>
      <c r="B781" s="67">
        <v>112.83391861634409</v>
      </c>
      <c r="C781" s="67">
        <v>109.74043273375126</v>
      </c>
      <c r="D781" s="67">
        <v>110.69001542555982</v>
      </c>
      <c r="E781" s="67">
        <v>312606.9931146637</v>
      </c>
      <c r="F781" s="67" t="s">
        <v>809</v>
      </c>
      <c r="G781" s="25">
        <f t="shared" si="8"/>
        <v>1.5830901211638881E-2</v>
      </c>
    </row>
    <row r="782" spans="1:7">
      <c r="A782" s="67">
        <v>110.62148883955302</v>
      </c>
      <c r="B782" s="67">
        <v>113.55834252555886</v>
      </c>
      <c r="C782" s="67">
        <v>110.10264468835867</v>
      </c>
      <c r="D782" s="67">
        <v>112.6870759320438</v>
      </c>
      <c r="E782" s="67">
        <v>535283.05052813515</v>
      </c>
      <c r="F782" s="67" t="s">
        <v>810</v>
      </c>
      <c r="G782" s="25">
        <f t="shared" si="8"/>
        <v>-1.8330292763443667E-2</v>
      </c>
    </row>
    <row r="783" spans="1:7">
      <c r="A783" s="67">
        <v>112.86328715320415</v>
      </c>
      <c r="B783" s="67">
        <v>114.49813570508071</v>
      </c>
      <c r="C783" s="67">
        <v>111.69833519108849</v>
      </c>
      <c r="D783" s="67">
        <v>113.98908106617304</v>
      </c>
      <c r="E783" s="67">
        <v>393732.58719355334</v>
      </c>
      <c r="F783" s="67" t="s">
        <v>811</v>
      </c>
      <c r="G783" s="25">
        <f t="shared" si="8"/>
        <v>-9.8763311576776092E-3</v>
      </c>
    </row>
    <row r="784" spans="1:7">
      <c r="A784" s="67">
        <v>115.7120352286298</v>
      </c>
      <c r="B784" s="67">
        <v>117.42519987879987</v>
      </c>
      <c r="C784" s="67">
        <v>114.74287351224787</v>
      </c>
      <c r="D784" s="67">
        <v>117.37625231736645</v>
      </c>
      <c r="E784" s="67">
        <v>338728.82559326256</v>
      </c>
      <c r="F784" s="67" t="s">
        <v>812</v>
      </c>
      <c r="G784" s="25">
        <f t="shared" si="8"/>
        <v>-1.4178482068390452E-2</v>
      </c>
    </row>
    <row r="785" spans="1:7">
      <c r="A785" s="67">
        <v>118.50204623033534</v>
      </c>
      <c r="B785" s="67">
        <v>118.56078330405546</v>
      </c>
      <c r="C785" s="67">
        <v>114.95824278255498</v>
      </c>
      <c r="D785" s="67">
        <v>116.38751157641114</v>
      </c>
      <c r="E785" s="67">
        <v>423084.40693546092</v>
      </c>
      <c r="F785" s="67" t="s">
        <v>813</v>
      </c>
      <c r="G785" s="25">
        <f t="shared" si="8"/>
        <v>1.8168054504163589E-2</v>
      </c>
    </row>
    <row r="786" spans="1:7">
      <c r="A786" s="67">
        <v>116.25045840439753</v>
      </c>
      <c r="B786" s="67">
        <v>117.52309500166673</v>
      </c>
      <c r="C786" s="67">
        <v>115.62392961804963</v>
      </c>
      <c r="D786" s="67">
        <v>115.80993035149666</v>
      </c>
      <c r="E786" s="67">
        <v>270193.23563210841</v>
      </c>
      <c r="F786" s="67" t="s">
        <v>814</v>
      </c>
      <c r="G786" s="25">
        <f t="shared" si="8"/>
        <v>3.8038884192730382E-3</v>
      </c>
    </row>
    <row r="787" spans="1:7">
      <c r="A787" s="67">
        <v>115.73161425320318</v>
      </c>
      <c r="B787" s="67">
        <v>130.75851561326635</v>
      </c>
      <c r="C787" s="67">
        <v>115.02676936856177</v>
      </c>
      <c r="D787" s="67">
        <v>130.75851561326635</v>
      </c>
      <c r="E787" s="67">
        <v>810224.22442711855</v>
      </c>
      <c r="F787" s="67" t="s">
        <v>815</v>
      </c>
      <c r="G787" s="25">
        <f t="shared" si="8"/>
        <v>-0.11492101519802356</v>
      </c>
    </row>
    <row r="788" spans="1:7">
      <c r="A788" s="67">
        <v>120.04878917163174</v>
      </c>
      <c r="B788" s="67">
        <v>120.44036966309919</v>
      </c>
      <c r="C788" s="67">
        <v>116.22108986753747</v>
      </c>
      <c r="D788" s="67">
        <v>116.85740816617208</v>
      </c>
      <c r="E788" s="67">
        <v>1093054.4532389839</v>
      </c>
      <c r="F788" s="67" t="s">
        <v>816</v>
      </c>
      <c r="G788" s="25">
        <f t="shared" si="8"/>
        <v>2.7310044399765365E-2</v>
      </c>
    </row>
    <row r="789" spans="1:7">
      <c r="A789" s="67">
        <v>117.60141109996022</v>
      </c>
      <c r="B789" s="67">
        <v>119.73552477845779</v>
      </c>
      <c r="C789" s="67">
        <v>117.07277743647917</v>
      </c>
      <c r="D789" s="67">
        <v>118.69783647606907</v>
      </c>
      <c r="E789" s="67">
        <v>447679.0948983588</v>
      </c>
      <c r="F789" s="67" t="s">
        <v>817</v>
      </c>
      <c r="G789" s="25">
        <f t="shared" si="8"/>
        <v>-9.2371134020619028E-3</v>
      </c>
    </row>
    <row r="790" spans="1:7">
      <c r="A790" s="67">
        <v>119.04046940610307</v>
      </c>
      <c r="B790" s="67">
        <v>121.2822677197542</v>
      </c>
      <c r="C790" s="67">
        <v>118.5314147671954</v>
      </c>
      <c r="D790" s="67">
        <v>119.44183940985721</v>
      </c>
      <c r="E790" s="67">
        <v>591117.2927245897</v>
      </c>
      <c r="F790" s="67" t="s">
        <v>818</v>
      </c>
      <c r="G790" s="25">
        <f t="shared" si="8"/>
        <v>-3.360380296697052E-3</v>
      </c>
    </row>
    <row r="791" spans="1:7">
      <c r="A791" s="67">
        <v>119.61805063101755</v>
      </c>
      <c r="B791" s="67">
        <v>129.97535463033148</v>
      </c>
      <c r="C791" s="67">
        <v>118.6782574514957</v>
      </c>
      <c r="D791" s="67">
        <v>129.83830145831786</v>
      </c>
      <c r="E791" s="67">
        <v>1016688.0339418006</v>
      </c>
      <c r="F791" s="67" t="s">
        <v>819</v>
      </c>
      <c r="G791" s="25">
        <f t="shared" si="8"/>
        <v>-7.8715222800271434E-2</v>
      </c>
    </row>
    <row r="792" spans="1:7">
      <c r="A792" s="67">
        <v>129.34882584398355</v>
      </c>
      <c r="B792" s="67">
        <v>130.57740963596265</v>
      </c>
      <c r="C792" s="67">
        <v>128.83487644893253</v>
      </c>
      <c r="D792" s="67">
        <v>130.28861902350542</v>
      </c>
      <c r="E792" s="67">
        <v>330176.81630533712</v>
      </c>
      <c r="F792" s="67" t="s">
        <v>820</v>
      </c>
      <c r="G792" s="25">
        <f t="shared" si="8"/>
        <v>-7.213164024344465E-3</v>
      </c>
    </row>
    <row r="793" spans="1:7">
      <c r="A793" s="67">
        <v>130.17114487606517</v>
      </c>
      <c r="B793" s="67">
        <v>132.00178367367548</v>
      </c>
      <c r="C793" s="67">
        <v>128.71250754534896</v>
      </c>
      <c r="D793" s="67">
        <v>131.0130429327202</v>
      </c>
      <c r="E793" s="67">
        <v>259818.86793882473</v>
      </c>
      <c r="F793" s="67" t="s">
        <v>821</v>
      </c>
      <c r="G793" s="25">
        <f t="shared" si="8"/>
        <v>-6.4260629156394078E-3</v>
      </c>
    </row>
    <row r="794" spans="1:7">
      <c r="A794" s="67">
        <v>131.50251854705451</v>
      </c>
      <c r="B794" s="67">
        <v>132.07031025968229</v>
      </c>
      <c r="C794" s="67">
        <v>129.82851194603117</v>
      </c>
      <c r="D794" s="67">
        <v>130.27882951121873</v>
      </c>
      <c r="E794" s="67">
        <v>272313.87243116874</v>
      </c>
      <c r="F794" s="67" t="s">
        <v>822</v>
      </c>
      <c r="G794" s="25">
        <f t="shared" si="8"/>
        <v>9.3928464081756147E-3</v>
      </c>
    </row>
    <row r="795" spans="1:7">
      <c r="A795" s="67">
        <v>130.61167292896604</v>
      </c>
      <c r="B795" s="67">
        <v>132.50104880029647</v>
      </c>
      <c r="C795" s="67">
        <v>129.5935636511507</v>
      </c>
      <c r="D795" s="67">
        <v>130.48440926923914</v>
      </c>
      <c r="E795" s="67">
        <v>319723.79300823476</v>
      </c>
      <c r="F795" s="67" t="s">
        <v>823</v>
      </c>
      <c r="G795" s="25">
        <f t="shared" si="8"/>
        <v>9.7531697801778172E-4</v>
      </c>
    </row>
    <row r="796" spans="1:7">
      <c r="A796" s="67">
        <v>131.84515147708851</v>
      </c>
      <c r="B796" s="67">
        <v>132.35420611599616</v>
      </c>
      <c r="C796" s="67">
        <v>130.27882951121873</v>
      </c>
      <c r="D796" s="67">
        <v>131.17946464159385</v>
      </c>
      <c r="E796" s="67">
        <v>347745.61799466226</v>
      </c>
      <c r="F796" s="67" t="s">
        <v>824</v>
      </c>
      <c r="G796" s="25">
        <f t="shared" si="8"/>
        <v>5.0746268656716165E-3</v>
      </c>
    </row>
    <row r="797" spans="1:7">
      <c r="A797" s="67">
        <v>131.60041366992135</v>
      </c>
      <c r="B797" s="67">
        <v>133.96947564329938</v>
      </c>
      <c r="C797" s="67">
        <v>130.77809463783973</v>
      </c>
      <c r="D797" s="67">
        <v>131.4339919610477</v>
      </c>
      <c r="E797" s="67">
        <v>350698.77839258302</v>
      </c>
      <c r="F797" s="67" t="s">
        <v>825</v>
      </c>
      <c r="G797" s="25">
        <f t="shared" si="8"/>
        <v>1.2661999106211574E-3</v>
      </c>
    </row>
    <row r="798" spans="1:7">
      <c r="A798" s="67">
        <v>131.17946464159385</v>
      </c>
      <c r="B798" s="67">
        <v>134.95821638425471</v>
      </c>
      <c r="C798" s="67">
        <v>131.10114854330035</v>
      </c>
      <c r="D798" s="67">
        <v>134.95821638425471</v>
      </c>
      <c r="E798" s="67">
        <v>511775.2399998231</v>
      </c>
      <c r="F798" s="67" t="s">
        <v>826</v>
      </c>
      <c r="G798" s="25">
        <f t="shared" si="8"/>
        <v>-2.7999419701146278E-2</v>
      </c>
    </row>
    <row r="799" spans="1:7">
      <c r="A799" s="67">
        <v>133.04926148835091</v>
      </c>
      <c r="B799" s="67">
        <v>133.69536929927219</v>
      </c>
      <c r="C799" s="67">
        <v>130.94451634671339</v>
      </c>
      <c r="D799" s="67">
        <v>131.23820171531398</v>
      </c>
      <c r="E799" s="67">
        <v>477205.59137082484</v>
      </c>
      <c r="F799" s="67" t="s">
        <v>827</v>
      </c>
      <c r="G799" s="25">
        <f t="shared" si="8"/>
        <v>1.3799791138296325E-2</v>
      </c>
    </row>
    <row r="800" spans="1:7">
      <c r="A800" s="67">
        <v>130.86620024841991</v>
      </c>
      <c r="B800" s="67">
        <v>130.99346390814682</v>
      </c>
      <c r="C800" s="67">
        <v>128.84956071736255</v>
      </c>
      <c r="D800" s="67">
        <v>128.84956071736255</v>
      </c>
      <c r="E800" s="67">
        <v>479678.64613504696</v>
      </c>
      <c r="F800" s="67" t="s">
        <v>828</v>
      </c>
      <c r="G800" s="25">
        <f t="shared" si="8"/>
        <v>1.5651116851542524E-2</v>
      </c>
    </row>
    <row r="801" spans="1:7">
      <c r="A801" s="67">
        <v>128.87892925422261</v>
      </c>
      <c r="B801" s="67">
        <v>129.50545804057052</v>
      </c>
      <c r="C801" s="67">
        <v>126.83292118630523</v>
      </c>
      <c r="D801" s="67">
        <v>126.83292118630523</v>
      </c>
      <c r="E801" s="67">
        <v>226914.26650754726</v>
      </c>
      <c r="F801" s="67" t="s">
        <v>829</v>
      </c>
      <c r="G801" s="25">
        <f t="shared" si="8"/>
        <v>1.6131522074714244E-2</v>
      </c>
    </row>
    <row r="802" spans="1:7">
      <c r="A802" s="67">
        <v>126.78397362487178</v>
      </c>
      <c r="B802" s="67">
        <v>128.02724168528093</v>
      </c>
      <c r="C802" s="67">
        <v>124.88970299739803</v>
      </c>
      <c r="D802" s="67">
        <v>127.7629248535404</v>
      </c>
      <c r="E802" s="67">
        <v>239028.25099697727</v>
      </c>
      <c r="F802" s="67" t="s">
        <v>830</v>
      </c>
      <c r="G802" s="25">
        <f t="shared" si="8"/>
        <v>-7.6622481035936163E-3</v>
      </c>
    </row>
    <row r="803" spans="1:7">
      <c r="A803" s="67">
        <v>128.45798022589511</v>
      </c>
      <c r="B803" s="67">
        <v>130.68019951497288</v>
      </c>
      <c r="C803" s="67">
        <v>127.87060948869396</v>
      </c>
      <c r="D803" s="67">
        <v>130.68019951497288</v>
      </c>
      <c r="E803" s="67">
        <v>325596.40425958252</v>
      </c>
      <c r="F803" s="67" t="s">
        <v>831</v>
      </c>
      <c r="G803" s="25">
        <f t="shared" si="8"/>
        <v>-1.7005019102554697E-2</v>
      </c>
    </row>
    <row r="804" spans="1:7">
      <c r="A804" s="67">
        <v>131.32630732589416</v>
      </c>
      <c r="B804" s="67">
        <v>133.0296824637775</v>
      </c>
      <c r="C804" s="67">
        <v>129.81872243374448</v>
      </c>
      <c r="D804" s="67">
        <v>132.02136269824888</v>
      </c>
      <c r="E804" s="67">
        <v>164316.6638840317</v>
      </c>
      <c r="F804" s="67" t="s">
        <v>832</v>
      </c>
      <c r="G804" s="25">
        <f t="shared" si="8"/>
        <v>-5.2647189678185491E-3</v>
      </c>
    </row>
    <row r="805" spans="1:7">
      <c r="A805" s="67">
        <v>133.0296824637775</v>
      </c>
      <c r="B805" s="67">
        <v>135.3790675174593</v>
      </c>
      <c r="C805" s="67">
        <v>132.93178734091066</v>
      </c>
      <c r="D805" s="67">
        <v>135.10505906855497</v>
      </c>
      <c r="E805" s="67">
        <v>220521.71106991736</v>
      </c>
      <c r="F805" s="67" t="s">
        <v>833</v>
      </c>
      <c r="G805" s="25">
        <f t="shared" si="8"/>
        <v>-1.5361205709731207E-2</v>
      </c>
    </row>
    <row r="806" spans="1:7">
      <c r="A806" s="67">
        <v>133.46042100439172</v>
      </c>
      <c r="B806" s="67">
        <v>134.40021418391356</v>
      </c>
      <c r="C806" s="67">
        <v>130.96409537128676</v>
      </c>
      <c r="D806" s="67">
        <v>131.70809830507488</v>
      </c>
      <c r="E806" s="67">
        <v>265261.42712254031</v>
      </c>
      <c r="F806" s="67" t="s">
        <v>834</v>
      </c>
      <c r="G806" s="25">
        <f t="shared" si="8"/>
        <v>1.3304593429463552E-2</v>
      </c>
    </row>
    <row r="807" spans="1:7">
      <c r="A807" s="67">
        <v>131.86473050166188</v>
      </c>
      <c r="B807" s="67">
        <v>132.36399562828288</v>
      </c>
      <c r="C807" s="67">
        <v>129.26072023340336</v>
      </c>
      <c r="D807" s="67">
        <v>130.23967146207198</v>
      </c>
      <c r="E807" s="67">
        <v>268532.2744397808</v>
      </c>
      <c r="F807" s="67" t="s">
        <v>835</v>
      </c>
      <c r="G807" s="25">
        <f t="shared" si="8"/>
        <v>1.2477450390860012E-2</v>
      </c>
    </row>
    <row r="808" spans="1:7">
      <c r="A808" s="67">
        <v>130.40609317094567</v>
      </c>
      <c r="B808" s="67">
        <v>131.19904366616723</v>
      </c>
      <c r="C808" s="67">
        <v>127.25387021463273</v>
      </c>
      <c r="D808" s="67">
        <v>128.82019218050252</v>
      </c>
      <c r="E808" s="67">
        <v>328888.70310513716</v>
      </c>
      <c r="F808" s="67" t="s">
        <v>836</v>
      </c>
      <c r="G808" s="25">
        <f t="shared" si="8"/>
        <v>1.2310965878866265E-2</v>
      </c>
    </row>
    <row r="809" spans="1:7">
      <c r="A809" s="67">
        <v>128.70271803306227</v>
      </c>
      <c r="B809" s="67">
        <v>130.20051341292523</v>
      </c>
      <c r="C809" s="67">
        <v>127.48881850951318</v>
      </c>
      <c r="D809" s="67">
        <v>128.67334949620221</v>
      </c>
      <c r="E809" s="67">
        <v>309693.67126932647</v>
      </c>
      <c r="F809" s="67" t="s">
        <v>837</v>
      </c>
      <c r="G809" s="25">
        <f t="shared" si="8"/>
        <v>2.2824102251983724E-4</v>
      </c>
    </row>
    <row r="810" spans="1:7">
      <c r="A810" s="67">
        <v>129.22156218425664</v>
      </c>
      <c r="B810" s="67">
        <v>132.16820538254913</v>
      </c>
      <c r="C810" s="67">
        <v>129.02577193852292</v>
      </c>
      <c r="D810" s="67">
        <v>130.44525122009239</v>
      </c>
      <c r="E810" s="67">
        <v>635661.90201968828</v>
      </c>
      <c r="F810" s="67" t="s">
        <v>838</v>
      </c>
      <c r="G810" s="25">
        <f t="shared" si="8"/>
        <v>-9.3808630393994452E-3</v>
      </c>
    </row>
    <row r="811" spans="1:7">
      <c r="A811" s="67">
        <v>131.67872976821482</v>
      </c>
      <c r="B811" s="67">
        <v>132.59894392316332</v>
      </c>
      <c r="C811" s="67">
        <v>129.43693145456373</v>
      </c>
      <c r="D811" s="67">
        <v>131.04241146958026</v>
      </c>
      <c r="E811" s="67">
        <v>369773.27306929493</v>
      </c>
      <c r="F811" s="67" t="s">
        <v>839</v>
      </c>
      <c r="G811" s="25">
        <f t="shared" si="8"/>
        <v>4.855819512923798E-3</v>
      </c>
    </row>
    <row r="812" spans="1:7">
      <c r="A812" s="67">
        <v>130.58230439210598</v>
      </c>
      <c r="B812" s="67">
        <v>132.69194428988683</v>
      </c>
      <c r="C812" s="67">
        <v>129.3096677948368</v>
      </c>
      <c r="D812" s="67">
        <v>131.34588635046751</v>
      </c>
      <c r="E812" s="67">
        <v>301079.350399155</v>
      </c>
      <c r="F812" s="67" t="s">
        <v>840</v>
      </c>
      <c r="G812" s="25">
        <f t="shared" si="8"/>
        <v>-5.8135201609899045E-3</v>
      </c>
    </row>
    <row r="813" spans="1:7">
      <c r="A813" s="67">
        <v>132.45210123886307</v>
      </c>
      <c r="B813" s="67">
        <v>133.36252588152485</v>
      </c>
      <c r="C813" s="67">
        <v>130.24946097435867</v>
      </c>
      <c r="D813" s="67">
        <v>131.64936123135479</v>
      </c>
      <c r="E813" s="67">
        <v>473704.90625021799</v>
      </c>
      <c r="F813" s="67" t="s">
        <v>841</v>
      </c>
      <c r="G813" s="25">
        <f t="shared" si="8"/>
        <v>6.0975609756099836E-3</v>
      </c>
    </row>
    <row r="814" spans="1:7">
      <c r="A814" s="67">
        <v>132.78494465661035</v>
      </c>
      <c r="B814" s="67">
        <v>134.77221565080765</v>
      </c>
      <c r="C814" s="67">
        <v>131.45357098562107</v>
      </c>
      <c r="D814" s="67">
        <v>134.77221565080765</v>
      </c>
      <c r="E814" s="67">
        <v>772302.00837301626</v>
      </c>
      <c r="F814" s="67" t="s">
        <v>842</v>
      </c>
      <c r="G814" s="25">
        <f t="shared" si="8"/>
        <v>-1.4745405680250068E-2</v>
      </c>
    </row>
    <row r="815" spans="1:7">
      <c r="A815" s="67">
        <v>133.50936856582516</v>
      </c>
      <c r="B815" s="67">
        <v>134.23379247503993</v>
      </c>
      <c r="C815" s="67">
        <v>130.41588268323233</v>
      </c>
      <c r="D815" s="67">
        <v>131.60041366992135</v>
      </c>
      <c r="E815" s="67">
        <v>342125.31757634337</v>
      </c>
      <c r="F815" s="67" t="s">
        <v>843</v>
      </c>
      <c r="G815" s="25">
        <f t="shared" si="8"/>
        <v>1.4505690694041506E-2</v>
      </c>
    </row>
    <row r="816" spans="1:7">
      <c r="A816" s="67">
        <v>132.17799489483585</v>
      </c>
      <c r="B816" s="67">
        <v>135.55537663374255</v>
      </c>
      <c r="C816" s="67">
        <v>131.15988561702048</v>
      </c>
      <c r="D816" s="67">
        <v>131.15988561702048</v>
      </c>
      <c r="E816" s="67">
        <v>684845.14893739438</v>
      </c>
      <c r="F816" s="67" t="s">
        <v>844</v>
      </c>
      <c r="G816" s="25">
        <f t="shared" si="8"/>
        <v>7.7623525899388479E-3</v>
      </c>
    </row>
    <row r="817" spans="1:7">
      <c r="A817" s="67">
        <v>129.54461608971727</v>
      </c>
      <c r="B817" s="67">
        <v>130.3363699494673</v>
      </c>
      <c r="C817" s="67">
        <v>126.77836495009679</v>
      </c>
      <c r="D817" s="67">
        <v>127.37462402966163</v>
      </c>
      <c r="E817" s="67">
        <v>425642.05510333646</v>
      </c>
      <c r="F817" s="67" t="s">
        <v>845</v>
      </c>
      <c r="G817" s="25">
        <f t="shared" si="8"/>
        <v>1.7036298058475952E-2</v>
      </c>
    </row>
    <row r="818" spans="1:7">
      <c r="A818" s="67">
        <v>127.29642611758754</v>
      </c>
      <c r="B818" s="67">
        <v>129.70101191386541</v>
      </c>
      <c r="C818" s="67">
        <v>127.05205764235605</v>
      </c>
      <c r="D818" s="67">
        <v>129.2415991804302</v>
      </c>
      <c r="E818" s="67">
        <v>473734.3877533116</v>
      </c>
      <c r="F818" s="67" t="s">
        <v>846</v>
      </c>
      <c r="G818" s="25">
        <f t="shared" si="8"/>
        <v>-1.5050673120556635E-2</v>
      </c>
    </row>
    <row r="819" spans="1:7">
      <c r="A819" s="67">
        <v>129.4566434386339</v>
      </c>
      <c r="B819" s="67">
        <v>129.61303926278208</v>
      </c>
      <c r="C819" s="67">
        <v>126.0550342634116</v>
      </c>
      <c r="D819" s="67">
        <v>127.97088310922645</v>
      </c>
      <c r="E819" s="67">
        <v>331325.47037133825</v>
      </c>
      <c r="F819" s="67" t="s">
        <v>847</v>
      </c>
      <c r="G819" s="25">
        <f t="shared" si="8"/>
        <v>1.1610143599144473E-2</v>
      </c>
    </row>
    <row r="820" spans="1:7">
      <c r="A820" s="67">
        <v>128.7137632739302</v>
      </c>
      <c r="B820" s="67">
        <v>130.13110043027282</v>
      </c>
      <c r="C820" s="67">
        <v>124.42900642922125</v>
      </c>
      <c r="D820" s="67">
        <v>125.10688457951341</v>
      </c>
      <c r="E820" s="67">
        <v>617775.06225789362</v>
      </c>
      <c r="F820" s="67" t="s">
        <v>848</v>
      </c>
      <c r="G820" s="25">
        <f t="shared" si="8"/>
        <v>2.8830377373232352E-2</v>
      </c>
    </row>
    <row r="821" spans="1:7">
      <c r="A821" s="67">
        <v>125.204631969606</v>
      </c>
      <c r="B821" s="67">
        <v>127.26710190055977</v>
      </c>
      <c r="C821" s="67">
        <v>124.29558124174486</v>
      </c>
      <c r="D821" s="67">
        <v>124.29558124174486</v>
      </c>
      <c r="E821" s="67">
        <v>319951.25363832066</v>
      </c>
      <c r="F821" s="67" t="s">
        <v>849</v>
      </c>
      <c r="G821" s="25">
        <f t="shared" si="8"/>
        <v>7.3136206354198485E-3</v>
      </c>
    </row>
    <row r="822" spans="1:7">
      <c r="A822" s="67">
        <v>124.09031172255041</v>
      </c>
      <c r="B822" s="67">
        <v>124.3004686112495</v>
      </c>
      <c r="C822" s="67">
        <v>122.19889972425868</v>
      </c>
      <c r="D822" s="67">
        <v>122.66319982719851</v>
      </c>
      <c r="E822" s="67">
        <v>236955.68728800729</v>
      </c>
      <c r="F822" s="67" t="s">
        <v>850</v>
      </c>
      <c r="G822" s="25">
        <f t="shared" si="8"/>
        <v>1.1634393178739266E-2</v>
      </c>
    </row>
    <row r="823" spans="1:7">
      <c r="A823" s="67">
        <v>122.79027143431888</v>
      </c>
      <c r="B823" s="67">
        <v>123.15193677766149</v>
      </c>
      <c r="C823" s="67">
        <v>120.57140567921695</v>
      </c>
      <c r="D823" s="67">
        <v>122.8586946073837</v>
      </c>
      <c r="E823" s="67">
        <v>349298.32876004599</v>
      </c>
      <c r="F823" s="67" t="s">
        <v>851</v>
      </c>
      <c r="G823" s="25">
        <f t="shared" si="8"/>
        <v>-5.5692576975097108E-4</v>
      </c>
    </row>
    <row r="824" spans="1:7">
      <c r="A824" s="67">
        <v>123.95346537642078</v>
      </c>
      <c r="B824" s="67">
        <v>124.03166328849485</v>
      </c>
      <c r="C824" s="67">
        <v>120.46554525574668</v>
      </c>
      <c r="D824" s="67">
        <v>122.34063343989294</v>
      </c>
      <c r="E824" s="67">
        <v>456763.09063296363</v>
      </c>
      <c r="F824" s="67" t="s">
        <v>852</v>
      </c>
      <c r="G824" s="25">
        <f t="shared" ref="G824:G887" si="9">A824/D824-1</f>
        <v>1.3183125599232959E-2</v>
      </c>
    </row>
    <row r="825" spans="1:7">
      <c r="A825" s="67">
        <v>121.00149419562439</v>
      </c>
      <c r="B825" s="67">
        <v>121.45113219005032</v>
      </c>
      <c r="C825" s="67">
        <v>117.35551654517056</v>
      </c>
      <c r="D825" s="67">
        <v>118.72398000646689</v>
      </c>
      <c r="E825" s="67">
        <v>351007.8373192178</v>
      </c>
      <c r="F825" s="67" t="s">
        <v>853</v>
      </c>
      <c r="G825" s="25">
        <f t="shared" si="9"/>
        <v>1.9183270212415726E-2</v>
      </c>
    </row>
    <row r="826" spans="1:7">
      <c r="A826" s="67">
        <v>118.56758418231874</v>
      </c>
      <c r="B826" s="67">
        <v>119.29091486900396</v>
      </c>
      <c r="C826" s="67">
        <v>115.05356550848992</v>
      </c>
      <c r="D826" s="67">
        <v>115.75245934765199</v>
      </c>
      <c r="E826" s="67">
        <v>329493.19638601405</v>
      </c>
      <c r="F826" s="67" t="s">
        <v>854</v>
      </c>
      <c r="G826" s="25">
        <f t="shared" si="9"/>
        <v>2.4320216179699372E-2</v>
      </c>
    </row>
    <row r="827" spans="1:7">
      <c r="A827" s="67">
        <v>115.81110778170755</v>
      </c>
      <c r="B827" s="67">
        <v>116.43669107830016</v>
      </c>
      <c r="C827" s="67">
        <v>114.80919703325843</v>
      </c>
      <c r="D827" s="67">
        <v>115.14642552907789</v>
      </c>
      <c r="E827" s="67">
        <v>218259.53593021847</v>
      </c>
      <c r="F827" s="67" t="s">
        <v>855</v>
      </c>
      <c r="G827" s="25">
        <f t="shared" si="9"/>
        <v>5.7724957555178591E-3</v>
      </c>
    </row>
    <row r="828" spans="1:7">
      <c r="A828" s="67">
        <v>115.66448669656864</v>
      </c>
      <c r="B828" s="67">
        <v>116.80813116065202</v>
      </c>
      <c r="C828" s="67">
        <v>114.53061697149454</v>
      </c>
      <c r="D828" s="67">
        <v>114.74566122969824</v>
      </c>
      <c r="E828" s="67">
        <v>191182.59814709413</v>
      </c>
      <c r="F828" s="67" t="s">
        <v>856</v>
      </c>
      <c r="G828" s="25">
        <f t="shared" si="9"/>
        <v>8.0074963795893073E-3</v>
      </c>
    </row>
    <row r="829" spans="1:7">
      <c r="A829" s="67">
        <v>114.74566122969824</v>
      </c>
      <c r="B829" s="67">
        <v>115.00957918294826</v>
      </c>
      <c r="C829" s="67">
        <v>111.04103514518886</v>
      </c>
      <c r="D829" s="67">
        <v>113.25990090029079</v>
      </c>
      <c r="E829" s="67">
        <v>349349.4810209428</v>
      </c>
      <c r="F829" s="67" t="s">
        <v>857</v>
      </c>
      <c r="G829" s="25">
        <f t="shared" si="9"/>
        <v>1.3118149650470423E-2</v>
      </c>
    </row>
    <row r="830" spans="1:7">
      <c r="A830" s="67">
        <v>113.14260403217968</v>
      </c>
      <c r="B830" s="67">
        <v>115.60583826251309</v>
      </c>
      <c r="C830" s="67">
        <v>112.78093868883707</v>
      </c>
      <c r="D830" s="67">
        <v>113.87570945787414</v>
      </c>
      <c r="E830" s="67">
        <v>329517.74947124452</v>
      </c>
      <c r="F830" s="67" t="s">
        <v>858</v>
      </c>
      <c r="G830" s="25">
        <f t="shared" si="9"/>
        <v>-6.4377682403432557E-3</v>
      </c>
    </row>
    <row r="831" spans="1:7">
      <c r="A831" s="67">
        <v>116.05547625693903</v>
      </c>
      <c r="B831" s="67">
        <v>118.94879900367987</v>
      </c>
      <c r="C831" s="67">
        <v>115.05356550848992</v>
      </c>
      <c r="D831" s="67">
        <v>116.51488899037423</v>
      </c>
      <c r="E831" s="67">
        <v>439482.83385679882</v>
      </c>
      <c r="F831" s="67" t="s">
        <v>859</v>
      </c>
      <c r="G831" s="25">
        <f t="shared" si="9"/>
        <v>-3.9429530201342544E-3</v>
      </c>
    </row>
    <row r="832" spans="1:7">
      <c r="A832" s="67">
        <v>117.78560506157798</v>
      </c>
      <c r="B832" s="67">
        <v>118.68390357652893</v>
      </c>
      <c r="C832" s="67">
        <v>116.21187208108718</v>
      </c>
      <c r="D832" s="67">
        <v>116.39759212226312</v>
      </c>
      <c r="E832" s="67">
        <v>513407.05825966963</v>
      </c>
      <c r="F832" s="67" t="s">
        <v>860</v>
      </c>
      <c r="G832" s="25">
        <f t="shared" si="9"/>
        <v>1.1924756466241249E-2</v>
      </c>
    </row>
    <row r="833" spans="1:7">
      <c r="A833" s="67">
        <v>116.28029525415199</v>
      </c>
      <c r="B833" s="67">
        <v>117.12092280894832</v>
      </c>
      <c r="C833" s="67">
        <v>114.81408440276306</v>
      </c>
      <c r="D833" s="67">
        <v>117.12092280894832</v>
      </c>
      <c r="E833" s="67">
        <v>330970.47368071426</v>
      </c>
      <c r="F833" s="67" t="s">
        <v>861</v>
      </c>
      <c r="G833" s="25">
        <f t="shared" si="9"/>
        <v>-7.1774328158905609E-3</v>
      </c>
    </row>
    <row r="834" spans="1:7">
      <c r="A834" s="67">
        <v>116.31939421018905</v>
      </c>
      <c r="B834" s="67">
        <v>116.73970798758721</v>
      </c>
      <c r="C834" s="67">
        <v>114.07120423805934</v>
      </c>
      <c r="D834" s="67">
        <v>115.42011822133716</v>
      </c>
      <c r="E834" s="67">
        <v>295016.57254155527</v>
      </c>
      <c r="F834" s="67" t="s">
        <v>862</v>
      </c>
      <c r="G834" s="25">
        <f t="shared" si="9"/>
        <v>7.791327913279078E-3</v>
      </c>
    </row>
    <row r="835" spans="1:7">
      <c r="A835" s="67">
        <v>116.12389943000385</v>
      </c>
      <c r="B835" s="67">
        <v>117.08182385291128</v>
      </c>
      <c r="C835" s="67">
        <v>115.39079400430937</v>
      </c>
      <c r="D835" s="67">
        <v>117.08182385291128</v>
      </c>
      <c r="E835" s="67">
        <v>360800.42614530562</v>
      </c>
      <c r="F835" s="67" t="s">
        <v>863</v>
      </c>
      <c r="G835" s="25">
        <f t="shared" si="9"/>
        <v>-8.1816663883786944E-3</v>
      </c>
    </row>
    <row r="836" spans="1:7">
      <c r="A836" s="67">
        <v>116.57353742442979</v>
      </c>
      <c r="B836" s="67">
        <v>117.84425349563354</v>
      </c>
      <c r="C836" s="67">
        <v>116.29006999316125</v>
      </c>
      <c r="D836" s="67">
        <v>117.84425349563354</v>
      </c>
      <c r="E836" s="67">
        <v>306506.39338419965</v>
      </c>
      <c r="F836" s="67" t="s">
        <v>864</v>
      </c>
      <c r="G836" s="25">
        <f t="shared" si="9"/>
        <v>-1.0783012607830211E-2</v>
      </c>
    </row>
    <row r="837" spans="1:7">
      <c r="A837" s="67">
        <v>118.66533157241135</v>
      </c>
      <c r="B837" s="67">
        <v>119.35933804206877</v>
      </c>
      <c r="C837" s="67">
        <v>117.68785767148539</v>
      </c>
      <c r="D837" s="67">
        <v>117.68785767148539</v>
      </c>
      <c r="E837" s="67">
        <v>262303.67865281901</v>
      </c>
      <c r="F837" s="67" t="s">
        <v>865</v>
      </c>
      <c r="G837" s="25">
        <f t="shared" si="9"/>
        <v>8.3056478405314493E-3</v>
      </c>
    </row>
    <row r="838" spans="1:7">
      <c r="A838" s="67">
        <v>117.72695662752241</v>
      </c>
      <c r="B838" s="67">
        <v>119.6916791683836</v>
      </c>
      <c r="C838" s="67">
        <v>116.83256800817517</v>
      </c>
      <c r="D838" s="67">
        <v>119.6916791683836</v>
      </c>
      <c r="E838" s="67">
        <v>302820.36146397458</v>
      </c>
      <c r="F838" s="67" t="s">
        <v>866</v>
      </c>
      <c r="G838" s="25">
        <f t="shared" si="9"/>
        <v>-1.6414863209473385E-2</v>
      </c>
    </row>
    <row r="839" spans="1:7">
      <c r="A839" s="67">
        <v>119.4473106931521</v>
      </c>
      <c r="B839" s="67">
        <v>122.36995765692072</v>
      </c>
      <c r="C839" s="67">
        <v>118.87548846111042</v>
      </c>
      <c r="D839" s="67">
        <v>120.94284576156883</v>
      </c>
      <c r="E839" s="67">
        <v>278325.58981092193</v>
      </c>
      <c r="F839" s="67" t="s">
        <v>867</v>
      </c>
      <c r="G839" s="25">
        <f t="shared" si="9"/>
        <v>-1.2365634850076912E-2</v>
      </c>
    </row>
    <row r="840" spans="1:7">
      <c r="A840" s="67">
        <v>121.91054492348552</v>
      </c>
      <c r="B840" s="67">
        <v>122.74139773927259</v>
      </c>
      <c r="C840" s="67">
        <v>119.35933804206877</v>
      </c>
      <c r="D840" s="67">
        <v>120.22928981389288</v>
      </c>
      <c r="E840" s="67">
        <v>334600.23811395286</v>
      </c>
      <c r="F840" s="67" t="s">
        <v>868</v>
      </c>
      <c r="G840" s="25">
        <f t="shared" si="9"/>
        <v>1.3983739837398312E-2</v>
      </c>
    </row>
    <row r="841" spans="1:7">
      <c r="A841" s="67">
        <v>118.89015056962431</v>
      </c>
      <c r="B841" s="67">
        <v>119.7405528634299</v>
      </c>
      <c r="C841" s="67">
        <v>118.12772092690206</v>
      </c>
      <c r="D841" s="67">
        <v>119.1833927399021</v>
      </c>
      <c r="E841" s="67">
        <v>361761.06560494797</v>
      </c>
      <c r="F841" s="67" t="s">
        <v>869</v>
      </c>
      <c r="G841" s="25">
        <f t="shared" si="9"/>
        <v>-2.460428114491986E-3</v>
      </c>
    </row>
    <row r="842" spans="1:7">
      <c r="A842" s="67">
        <v>119.96537186064286</v>
      </c>
      <c r="B842" s="67">
        <v>122.41883135196701</v>
      </c>
      <c r="C842" s="67">
        <v>119.04654639377247</v>
      </c>
      <c r="D842" s="67">
        <v>121.80302279438366</v>
      </c>
      <c r="E842" s="67">
        <v>294198.13636720611</v>
      </c>
      <c r="F842" s="67" t="s">
        <v>870</v>
      </c>
      <c r="G842" s="25">
        <f t="shared" si="9"/>
        <v>-1.5087071663590468E-2</v>
      </c>
    </row>
    <row r="843" spans="1:7">
      <c r="A843" s="67">
        <v>122.53612822007814</v>
      </c>
      <c r="B843" s="67">
        <v>122.93200514995314</v>
      </c>
      <c r="C843" s="67">
        <v>119.91161079609194</v>
      </c>
      <c r="D843" s="67">
        <v>121.46090692905959</v>
      </c>
      <c r="E843" s="67">
        <v>371324.49230221799</v>
      </c>
      <c r="F843" s="67" t="s">
        <v>871</v>
      </c>
      <c r="G843" s="25">
        <f t="shared" si="9"/>
        <v>8.8524062449701901E-3</v>
      </c>
    </row>
    <row r="844" spans="1:7">
      <c r="A844" s="67">
        <v>120.1999655968651</v>
      </c>
      <c r="B844" s="67">
        <v>122.48725452503184</v>
      </c>
      <c r="C844" s="67">
        <v>119.73077812442062</v>
      </c>
      <c r="D844" s="67">
        <v>121.55865431915218</v>
      </c>
      <c r="E844" s="67">
        <v>289121.7859958054</v>
      </c>
      <c r="F844" s="67" t="s">
        <v>872</v>
      </c>
      <c r="G844" s="25">
        <f t="shared" si="9"/>
        <v>-1.1177227404310042E-2</v>
      </c>
    </row>
    <row r="845" spans="1:7">
      <c r="A845" s="67">
        <v>123.66022320614299</v>
      </c>
      <c r="B845" s="67">
        <v>125.21440670861526</v>
      </c>
      <c r="C845" s="67">
        <v>121.16766475878178</v>
      </c>
      <c r="D845" s="67">
        <v>122.25266078880961</v>
      </c>
      <c r="E845" s="67">
        <v>309802.64507639094</v>
      </c>
      <c r="F845" s="67" t="s">
        <v>873</v>
      </c>
      <c r="G845" s="25">
        <f t="shared" si="9"/>
        <v>1.1513552410649996E-2</v>
      </c>
    </row>
    <row r="846" spans="1:7">
      <c r="A846" s="67">
        <v>122.06694074763367</v>
      </c>
      <c r="B846" s="67">
        <v>123.1226125606337</v>
      </c>
      <c r="C846" s="67">
        <v>119.82852551451323</v>
      </c>
      <c r="D846" s="67">
        <v>122.94666725846704</v>
      </c>
      <c r="E846" s="67">
        <v>358853.57109557255</v>
      </c>
      <c r="F846" s="67" t="s">
        <v>874</v>
      </c>
      <c r="G846" s="25">
        <f t="shared" si="9"/>
        <v>-7.1553506121800892E-3</v>
      </c>
    </row>
    <row r="847" spans="1:7">
      <c r="A847" s="67">
        <v>123.01509043153185</v>
      </c>
      <c r="B847" s="67">
        <v>126.16255639251344</v>
      </c>
      <c r="C847" s="67">
        <v>121.10901632472624</v>
      </c>
      <c r="D847" s="67">
        <v>122.87824408540222</v>
      </c>
      <c r="E847" s="67">
        <v>475993.2715945153</v>
      </c>
      <c r="F847" s="67" t="s">
        <v>875</v>
      </c>
      <c r="G847" s="25">
        <f t="shared" si="9"/>
        <v>1.1136743298065799E-3</v>
      </c>
    </row>
    <row r="848" spans="1:7">
      <c r="A848" s="67">
        <v>122.74139773927259</v>
      </c>
      <c r="B848" s="67">
        <v>125.11665931852266</v>
      </c>
      <c r="C848" s="67">
        <v>120.63005411327251</v>
      </c>
      <c r="D848" s="67">
        <v>124.13918541759671</v>
      </c>
      <c r="E848" s="67">
        <v>720204.39556812798</v>
      </c>
      <c r="F848" s="67" t="s">
        <v>876</v>
      </c>
      <c r="G848" s="25">
        <f t="shared" si="9"/>
        <v>-1.1259842519685037E-2</v>
      </c>
    </row>
    <row r="849" spans="1:7">
      <c r="A849" s="67">
        <v>125.29260462068935</v>
      </c>
      <c r="B849" s="67">
        <v>126.7294912550505</v>
      </c>
      <c r="C849" s="67">
        <v>114.36444640833712</v>
      </c>
      <c r="D849" s="67">
        <v>115.33214557025381</v>
      </c>
      <c r="E849" s="67">
        <v>1156972.0674165234</v>
      </c>
      <c r="F849" s="67" t="s">
        <v>877</v>
      </c>
      <c r="G849" s="25">
        <f t="shared" si="9"/>
        <v>8.6363251122976603E-2</v>
      </c>
    </row>
    <row r="850" spans="1:7">
      <c r="A850" s="67">
        <v>111.53954683466111</v>
      </c>
      <c r="B850" s="67">
        <v>113.00575768605005</v>
      </c>
      <c r="C850" s="67">
        <v>111.21698044735554</v>
      </c>
      <c r="D850" s="67">
        <v>111.98918482908704</v>
      </c>
      <c r="E850" s="67">
        <v>554794.35255128914</v>
      </c>
      <c r="F850" s="67" t="s">
        <v>878</v>
      </c>
      <c r="G850" s="25">
        <f t="shared" si="9"/>
        <v>-4.0150126560180022E-3</v>
      </c>
    </row>
    <row r="851" spans="1:7">
      <c r="A851" s="67">
        <v>112.63431760369818</v>
      </c>
      <c r="B851" s="67">
        <v>114.49151801545749</v>
      </c>
      <c r="C851" s="67">
        <v>112.12603117521667</v>
      </c>
      <c r="D851" s="67">
        <v>113.82683576282786</v>
      </c>
      <c r="E851" s="67">
        <v>386557.63559729193</v>
      </c>
      <c r="F851" s="67" t="s">
        <v>879</v>
      </c>
      <c r="G851" s="25">
        <f t="shared" si="9"/>
        <v>-1.0476599398883679E-2</v>
      </c>
    </row>
    <row r="852" spans="1:7">
      <c r="A852" s="67">
        <v>114.68701279564269</v>
      </c>
      <c r="B852" s="67">
        <v>114.76521070771676</v>
      </c>
      <c r="C852" s="67">
        <v>113.04260845211495</v>
      </c>
      <c r="D852" s="67">
        <v>113.92458315292043</v>
      </c>
      <c r="E852" s="67">
        <v>333103.52296011179</v>
      </c>
      <c r="F852" s="67" t="s">
        <v>880</v>
      </c>
      <c r="G852" s="25">
        <f t="shared" si="9"/>
        <v>6.6924066924067827E-3</v>
      </c>
    </row>
    <row r="853" spans="1:7">
      <c r="A853" s="67">
        <v>113.58246728759636</v>
      </c>
      <c r="B853" s="67">
        <v>114.00278106499451</v>
      </c>
      <c r="C853" s="67">
        <v>112.4094986064852</v>
      </c>
      <c r="D853" s="67">
        <v>113.36742302939265</v>
      </c>
      <c r="E853" s="67">
        <v>291566.86406667356</v>
      </c>
      <c r="F853" s="67" t="s">
        <v>881</v>
      </c>
      <c r="G853" s="25">
        <f t="shared" si="9"/>
        <v>1.8968787722020153E-3</v>
      </c>
    </row>
    <row r="854" spans="1:7">
      <c r="A854" s="67">
        <v>112.42904808450372</v>
      </c>
      <c r="B854" s="67">
        <v>112.59521864766114</v>
      </c>
      <c r="C854" s="67">
        <v>110.97261197212404</v>
      </c>
      <c r="D854" s="67">
        <v>111.28540362042035</v>
      </c>
      <c r="E854" s="67">
        <v>337773.72437999176</v>
      </c>
      <c r="F854" s="67" t="s">
        <v>882</v>
      </c>
      <c r="G854" s="25">
        <f t="shared" si="9"/>
        <v>1.0276679841897174E-2</v>
      </c>
    </row>
    <row r="855" spans="1:7">
      <c r="A855" s="67">
        <v>112.02828378512409</v>
      </c>
      <c r="B855" s="67">
        <v>112.52679547459633</v>
      </c>
      <c r="C855" s="67">
        <v>108.69509778296657</v>
      </c>
      <c r="D855" s="67">
        <v>108.69509778296657</v>
      </c>
      <c r="E855" s="67">
        <v>330073.26302458398</v>
      </c>
      <c r="F855" s="67" t="s">
        <v>883</v>
      </c>
      <c r="G855" s="25">
        <f t="shared" si="9"/>
        <v>3.0665467625899279E-2</v>
      </c>
    </row>
    <row r="856" spans="1:7">
      <c r="A856" s="67">
        <v>108.59735039287396</v>
      </c>
      <c r="B856" s="67">
        <v>110.29815498048514</v>
      </c>
      <c r="C856" s="67">
        <v>107.18490060603597</v>
      </c>
      <c r="D856" s="67">
        <v>110.29815498048514</v>
      </c>
      <c r="E856" s="67">
        <v>385158.10973915481</v>
      </c>
      <c r="F856" s="67" t="s">
        <v>884</v>
      </c>
      <c r="G856" s="25">
        <f t="shared" si="9"/>
        <v>-1.5420063807160656E-2</v>
      </c>
    </row>
    <row r="857" spans="1:7">
      <c r="A857" s="67">
        <v>109.46730216469807</v>
      </c>
      <c r="B857" s="67">
        <v>109.70189590092031</v>
      </c>
      <c r="C857" s="67">
        <v>107.08226584643873</v>
      </c>
      <c r="D857" s="67">
        <v>107.87401970618876</v>
      </c>
      <c r="E857" s="67">
        <v>294787.41041273752</v>
      </c>
      <c r="F857" s="67" t="s">
        <v>885</v>
      </c>
      <c r="G857" s="25">
        <f t="shared" si="9"/>
        <v>1.47698441464299E-2</v>
      </c>
    </row>
    <row r="858" spans="1:7">
      <c r="A858" s="67">
        <v>108.03041553033691</v>
      </c>
      <c r="B858" s="67">
        <v>108.16237450696192</v>
      </c>
      <c r="C858" s="67">
        <v>106.31524207638213</v>
      </c>
      <c r="D858" s="67">
        <v>106.8965458052628</v>
      </c>
      <c r="E858" s="67">
        <v>286854.7177928582</v>
      </c>
      <c r="F858" s="67" t="s">
        <v>886</v>
      </c>
      <c r="G858" s="25">
        <f t="shared" si="9"/>
        <v>1.0607168983174819E-2</v>
      </c>
    </row>
    <row r="859" spans="1:7">
      <c r="A859" s="67">
        <v>107.21911219256836</v>
      </c>
      <c r="B859" s="67">
        <v>107.74694809906839</v>
      </c>
      <c r="C859" s="67">
        <v>105.90929716532757</v>
      </c>
      <c r="D859" s="67">
        <v>106.52510572291094</v>
      </c>
      <c r="E859" s="67">
        <v>292214.45168962731</v>
      </c>
      <c r="F859" s="67" t="s">
        <v>887</v>
      </c>
      <c r="G859" s="25">
        <f t="shared" si="9"/>
        <v>6.5149568728206653E-3</v>
      </c>
    </row>
    <row r="860" spans="1:7">
      <c r="A860" s="67">
        <v>105.73335186316092</v>
      </c>
      <c r="B860" s="67">
        <v>107.68829966501283</v>
      </c>
      <c r="C860" s="67">
        <v>105.26416439071645</v>
      </c>
      <c r="D860" s="67">
        <v>107.36573327770726</v>
      </c>
      <c r="E860" s="67">
        <v>279063.20541305409</v>
      </c>
      <c r="F860" s="67" t="s">
        <v>888</v>
      </c>
      <c r="G860" s="25">
        <f t="shared" si="9"/>
        <v>-1.5203932993444913E-2</v>
      </c>
    </row>
    <row r="861" spans="1:7">
      <c r="A861" s="67">
        <v>106.20253933560538</v>
      </c>
      <c r="B861" s="67">
        <v>106.60819100448964</v>
      </c>
      <c r="C861" s="67">
        <v>104.60925687709606</v>
      </c>
      <c r="D861" s="67">
        <v>104.95137274242015</v>
      </c>
      <c r="E861" s="67">
        <v>387578.6347247925</v>
      </c>
      <c r="F861" s="67" t="s">
        <v>889</v>
      </c>
      <c r="G861" s="25">
        <f t="shared" si="9"/>
        <v>1.1921393312843476E-2</v>
      </c>
    </row>
    <row r="862" spans="1:7">
      <c r="A862" s="67">
        <v>104.57015792105902</v>
      </c>
      <c r="B862" s="67">
        <v>104.87317483034607</v>
      </c>
      <c r="C862" s="67">
        <v>101.97007734459596</v>
      </c>
      <c r="D862" s="67">
        <v>102.73250698731822</v>
      </c>
      <c r="E862" s="67">
        <v>491860.70292470983</v>
      </c>
      <c r="F862" s="67" t="s">
        <v>890</v>
      </c>
      <c r="G862" s="25">
        <f t="shared" si="9"/>
        <v>1.788772597526167E-2</v>
      </c>
    </row>
    <row r="863" spans="1:7">
      <c r="A863" s="67">
        <v>103.84682723437381</v>
      </c>
      <c r="B863" s="67">
        <v>104.21826731672569</v>
      </c>
      <c r="C863" s="67">
        <v>102.14602264676265</v>
      </c>
      <c r="D863" s="67">
        <v>103.6806566712164</v>
      </c>
      <c r="E863" s="67">
        <v>335659.08991451707</v>
      </c>
      <c r="F863" s="67" t="s">
        <v>891</v>
      </c>
      <c r="G863" s="25">
        <f t="shared" si="9"/>
        <v>1.6027151880833035E-3</v>
      </c>
    </row>
    <row r="864" spans="1:7">
      <c r="A864" s="67">
        <v>103.21146919877194</v>
      </c>
      <c r="B864" s="67">
        <v>103.27011763282751</v>
      </c>
      <c r="C864" s="67">
        <v>101.13922452880891</v>
      </c>
      <c r="D864" s="67">
        <v>101.76480782540152</v>
      </c>
      <c r="E864" s="67">
        <v>285588.18781305285</v>
      </c>
      <c r="F864" s="67" t="s">
        <v>892</v>
      </c>
      <c r="G864" s="25">
        <f t="shared" si="9"/>
        <v>1.4215733358947213E-2</v>
      </c>
    </row>
    <row r="865" spans="1:7">
      <c r="A865" s="67">
        <v>101.65728569629967</v>
      </c>
      <c r="B865" s="67">
        <v>101.67683517431819</v>
      </c>
      <c r="C865" s="67">
        <v>99.52639259228107</v>
      </c>
      <c r="D865" s="67">
        <v>100.63093810032741</v>
      </c>
      <c r="E865" s="67">
        <v>276453.41706209816</v>
      </c>
      <c r="F865" s="67" t="s">
        <v>893</v>
      </c>
      <c r="G865" s="25">
        <f t="shared" si="9"/>
        <v>1.0199125789218E-2</v>
      </c>
    </row>
    <row r="866" spans="1:7">
      <c r="A866" s="67">
        <v>100.23994853995703</v>
      </c>
      <c r="B866" s="67">
        <v>101.09523820326724</v>
      </c>
      <c r="C866" s="67">
        <v>99.10607881488292</v>
      </c>
      <c r="D866" s="67">
        <v>100.82643288051261</v>
      </c>
      <c r="E866" s="67">
        <v>203755.82387553324</v>
      </c>
      <c r="F866" s="67" t="s">
        <v>894</v>
      </c>
      <c r="G866" s="25">
        <f t="shared" si="9"/>
        <v>-5.8167716917112422E-3</v>
      </c>
    </row>
    <row r="867" spans="1:7">
      <c r="A867" s="67">
        <v>101.52043935017004</v>
      </c>
      <c r="B867" s="67">
        <v>102.21444581982746</v>
      </c>
      <c r="C867" s="67">
        <v>100.27904749599406</v>
      </c>
      <c r="D867" s="67">
        <v>101.12944978979964</v>
      </c>
      <c r="E867" s="67">
        <v>274233.40893917606</v>
      </c>
      <c r="F867" s="67" t="s">
        <v>895</v>
      </c>
      <c r="G867" s="25">
        <f t="shared" si="9"/>
        <v>3.8662284941042291E-3</v>
      </c>
    </row>
    <row r="868" spans="1:7">
      <c r="A868" s="67">
        <v>100.75800970744778</v>
      </c>
      <c r="B868" s="67">
        <v>101.24674665791076</v>
      </c>
      <c r="C868" s="67">
        <v>97.913658403143344</v>
      </c>
      <c r="D868" s="67">
        <v>98.900809295688475</v>
      </c>
      <c r="E868" s="67">
        <v>374103.08311413339</v>
      </c>
      <c r="F868" s="67" t="s">
        <v>896</v>
      </c>
      <c r="G868" s="25">
        <f t="shared" si="9"/>
        <v>1.8778414706463575E-2</v>
      </c>
    </row>
    <row r="869" spans="1:7">
      <c r="A869" s="67">
        <v>97.83536274367917</v>
      </c>
      <c r="B869" s="67">
        <v>99.027880902808846</v>
      </c>
      <c r="C869" s="67">
        <v>96.574421411484678</v>
      </c>
      <c r="D869" s="67">
        <v>96.769916191669878</v>
      </c>
      <c r="E869" s="67">
        <v>332225.75016312231</v>
      </c>
      <c r="F869" s="67" t="s">
        <v>897</v>
      </c>
      <c r="G869" s="25">
        <f t="shared" si="9"/>
        <v>1.1010101010100914E-2</v>
      </c>
    </row>
    <row r="870" spans="1:7">
      <c r="A870" s="67">
        <v>96.202981329132825</v>
      </c>
      <c r="B870" s="67">
        <v>99.164727248938476</v>
      </c>
      <c r="C870" s="67">
        <v>94.551050436567948</v>
      </c>
      <c r="D870" s="67">
        <v>98.118830174947689</v>
      </c>
      <c r="E870" s="67">
        <v>696528.06008942449</v>
      </c>
      <c r="F870" s="67" t="s">
        <v>898</v>
      </c>
      <c r="G870" s="25">
        <f t="shared" si="9"/>
        <v>-1.9525801952580024E-2</v>
      </c>
    </row>
    <row r="871" spans="1:7">
      <c r="A871" s="67">
        <v>98.744413471540312</v>
      </c>
      <c r="B871" s="67">
        <v>99.585041026336626</v>
      </c>
      <c r="C871" s="67">
        <v>96.896987798790249</v>
      </c>
      <c r="D871" s="67">
        <v>97.600769007456933</v>
      </c>
      <c r="E871" s="67">
        <v>731805.72833952738</v>
      </c>
      <c r="F871" s="67" t="s">
        <v>899</v>
      </c>
      <c r="G871" s="25">
        <f t="shared" si="9"/>
        <v>1.1717576364546956E-2</v>
      </c>
    </row>
    <row r="872" spans="1:7">
      <c r="A872" s="67">
        <v>94.814968389817963</v>
      </c>
      <c r="B872" s="67">
        <v>94.922490518919815</v>
      </c>
      <c r="C872" s="67">
        <v>91.921645643077127</v>
      </c>
      <c r="D872" s="67">
        <v>93.85704396691051</v>
      </c>
      <c r="E872" s="67">
        <v>352837.04216888821</v>
      </c>
      <c r="F872" s="67" t="s">
        <v>900</v>
      </c>
      <c r="G872" s="25">
        <f t="shared" si="9"/>
        <v>1.0206207040200033E-2</v>
      </c>
    </row>
    <row r="873" spans="1:7">
      <c r="A873" s="67">
        <v>94.208934571243859</v>
      </c>
      <c r="B873" s="67">
        <v>97.263540511637473</v>
      </c>
      <c r="C873" s="67">
        <v>93.598013383165139</v>
      </c>
      <c r="D873" s="67">
        <v>95.616496988577239</v>
      </c>
      <c r="E873" s="67">
        <v>403895.18290566112</v>
      </c>
      <c r="F873" s="67" t="s">
        <v>901</v>
      </c>
      <c r="G873" s="25">
        <f t="shared" si="9"/>
        <v>-1.4720915968104653E-2</v>
      </c>
    </row>
    <row r="874" spans="1:7">
      <c r="A874" s="67">
        <v>94.6585725656698</v>
      </c>
      <c r="B874" s="67">
        <v>96.984960449873583</v>
      </c>
      <c r="C874" s="67">
        <v>91.931420382086372</v>
      </c>
      <c r="D874" s="67">
        <v>92.205113074345647</v>
      </c>
      <c r="E874" s="67">
        <v>604517.41927865497</v>
      </c>
      <c r="F874" s="67" t="s">
        <v>902</v>
      </c>
      <c r="G874" s="25">
        <f t="shared" si="9"/>
        <v>2.6608714088837138E-2</v>
      </c>
    </row>
    <row r="875" spans="1:7">
      <c r="A875" s="67">
        <v>92.253986769391943</v>
      </c>
      <c r="B875" s="67">
        <v>93.123938541216049</v>
      </c>
      <c r="C875" s="67">
        <v>91.139666522336341</v>
      </c>
      <c r="D875" s="67">
        <v>91.628403472799334</v>
      </c>
      <c r="E875" s="67">
        <v>292338.24016099761</v>
      </c>
      <c r="F875" s="67" t="s">
        <v>903</v>
      </c>
      <c r="G875" s="25">
        <f t="shared" si="9"/>
        <v>6.8273949221249186E-3</v>
      </c>
    </row>
    <row r="876" spans="1:7">
      <c r="A876" s="67">
        <v>91.208089695401171</v>
      </c>
      <c r="B876" s="67">
        <v>91.462232909641912</v>
      </c>
      <c r="C876" s="67">
        <v>88.495599620331632</v>
      </c>
      <c r="D876" s="67">
        <v>88.725305987049239</v>
      </c>
      <c r="E876" s="67">
        <v>298224.84234500403</v>
      </c>
      <c r="F876" s="67" t="s">
        <v>904</v>
      </c>
      <c r="G876" s="25">
        <f t="shared" si="9"/>
        <v>2.7982813704968468E-2</v>
      </c>
    </row>
    <row r="877" spans="1:7">
      <c r="A877" s="67">
        <v>88.187695341539964</v>
      </c>
      <c r="B877" s="67">
        <v>89.80052727806779</v>
      </c>
      <c r="C877" s="67">
        <v>87.91400264928069</v>
      </c>
      <c r="D877" s="67">
        <v>89.438861934725182</v>
      </c>
      <c r="E877" s="67">
        <v>740752.2587703818</v>
      </c>
      <c r="F877" s="67" t="s">
        <v>905</v>
      </c>
      <c r="G877" s="25">
        <f t="shared" si="9"/>
        <v>-1.3989071038251311E-2</v>
      </c>
    </row>
    <row r="878" spans="1:7">
      <c r="A878" s="67">
        <v>89.585483019864085</v>
      </c>
      <c r="B878" s="67">
        <v>90.401673727137251</v>
      </c>
      <c r="C878" s="67">
        <v>86.48689075392879</v>
      </c>
      <c r="D878" s="67">
        <v>87.063600355475103</v>
      </c>
      <c r="E878" s="67">
        <v>498448.09108300268</v>
      </c>
      <c r="F878" s="67" t="s">
        <v>906</v>
      </c>
      <c r="G878" s="25">
        <f t="shared" si="9"/>
        <v>2.8965981812058006E-2</v>
      </c>
    </row>
    <row r="879" spans="1:7">
      <c r="A879" s="67">
        <v>88.324541687669594</v>
      </c>
      <c r="B879" s="67">
        <v>89.438861934725182</v>
      </c>
      <c r="C879" s="67">
        <v>87.855354215225134</v>
      </c>
      <c r="D879" s="67">
        <v>88.832828116151092</v>
      </c>
      <c r="E879" s="67">
        <v>573297.14836288802</v>
      </c>
      <c r="F879" s="67" t="s">
        <v>907</v>
      </c>
      <c r="G879" s="25">
        <f t="shared" si="9"/>
        <v>-5.7218309859154992E-3</v>
      </c>
    </row>
    <row r="880" spans="1:7">
      <c r="A880" s="67">
        <v>91.022369654225244</v>
      </c>
      <c r="B880" s="67">
        <v>92.625426851743811</v>
      </c>
      <c r="C880" s="67">
        <v>89.042985004850166</v>
      </c>
      <c r="D880" s="67">
        <v>90.895298047104859</v>
      </c>
      <c r="E880" s="67">
        <v>675191.42902414163</v>
      </c>
      <c r="F880" s="67" t="s">
        <v>908</v>
      </c>
      <c r="G880" s="25">
        <f t="shared" si="9"/>
        <v>1.3979997849231651E-3</v>
      </c>
    </row>
    <row r="881" spans="1:7">
      <c r="A881" s="67">
        <v>88.099722690456645</v>
      </c>
      <c r="B881" s="67">
        <v>90.352688033254765</v>
      </c>
      <c r="C881" s="67">
        <v>85.837004250936445</v>
      </c>
      <c r="D881" s="67">
        <v>86.744042246088938</v>
      </c>
      <c r="E881" s="67">
        <v>496930.37381992105</v>
      </c>
      <c r="F881" s="67" t="s">
        <v>909</v>
      </c>
      <c r="G881" s="25">
        <f t="shared" si="9"/>
        <v>1.562851360467743E-2</v>
      </c>
    </row>
    <row r="882" spans="1:7">
      <c r="A882" s="67">
        <v>88.128981980622854</v>
      </c>
      <c r="B882" s="67">
        <v>93.312752888402954</v>
      </c>
      <c r="C882" s="67">
        <v>86.880585600197904</v>
      </c>
      <c r="D882" s="67">
        <v>93.278617049875706</v>
      </c>
      <c r="E882" s="67">
        <v>441906.82434710179</v>
      </c>
      <c r="F882" s="67" t="s">
        <v>910</v>
      </c>
      <c r="G882" s="25">
        <f t="shared" si="9"/>
        <v>-5.5207026348807919E-2</v>
      </c>
    </row>
    <row r="883" spans="1:7">
      <c r="A883" s="67">
        <v>93.756518789257129</v>
      </c>
      <c r="B883" s="67">
        <v>95.619360263172467</v>
      </c>
      <c r="C883" s="67">
        <v>93.57120995153781</v>
      </c>
      <c r="D883" s="67">
        <v>94.136889561417846</v>
      </c>
      <c r="E883" s="67">
        <v>251022.83610701538</v>
      </c>
      <c r="F883" s="67" t="s">
        <v>911</v>
      </c>
      <c r="G883" s="25">
        <f t="shared" si="9"/>
        <v>-4.0406133443845471E-3</v>
      </c>
    </row>
    <row r="884" spans="1:7">
      <c r="A884" s="67">
        <v>93.785778079423338</v>
      </c>
      <c r="B884" s="67">
        <v>94.453865204885119</v>
      </c>
      <c r="C884" s="67">
        <v>91.6010844136797</v>
      </c>
      <c r="D884" s="67">
        <v>92.88849318099291</v>
      </c>
      <c r="E884" s="67">
        <v>251823.60741304856</v>
      </c>
      <c r="F884" s="67" t="s">
        <v>912</v>
      </c>
      <c r="G884" s="25">
        <f t="shared" si="9"/>
        <v>9.6598068038640239E-3</v>
      </c>
    </row>
    <row r="885" spans="1:7">
      <c r="A885" s="67">
        <v>92.966517954769472</v>
      </c>
      <c r="B885" s="67">
        <v>95.716891230393159</v>
      </c>
      <c r="C885" s="67">
        <v>92.742196730161879</v>
      </c>
      <c r="D885" s="67">
        <v>95.482816909063501</v>
      </c>
      <c r="E885" s="67">
        <v>309005.44574527873</v>
      </c>
      <c r="F885" s="67" t="s">
        <v>913</v>
      </c>
      <c r="G885" s="25">
        <f t="shared" si="9"/>
        <v>-2.6353421859039994E-2</v>
      </c>
    </row>
    <row r="886" spans="1:7">
      <c r="A886" s="67">
        <v>95.268248781177959</v>
      </c>
      <c r="B886" s="67">
        <v>97.3846707698671</v>
      </c>
      <c r="C886" s="67">
        <v>93.936951078615422</v>
      </c>
      <c r="D886" s="67">
        <v>96.897015933763612</v>
      </c>
      <c r="E886" s="67">
        <v>310317.84942226019</v>
      </c>
      <c r="F886" s="67" t="s">
        <v>914</v>
      </c>
      <c r="G886" s="25">
        <f t="shared" si="9"/>
        <v>-1.6809260191242958E-2</v>
      </c>
    </row>
    <row r="887" spans="1:7">
      <c r="A887" s="67">
        <v>97.267633609202264</v>
      </c>
      <c r="B887" s="67">
        <v>97.65288092972402</v>
      </c>
      <c r="C887" s="67">
        <v>95.204853652484488</v>
      </c>
      <c r="D887" s="67">
        <v>95.765656714003512</v>
      </c>
      <c r="E887" s="67">
        <v>254125.44042462928</v>
      </c>
      <c r="F887" s="67" t="s">
        <v>915</v>
      </c>
      <c r="G887" s="25">
        <f t="shared" si="9"/>
        <v>1.5683878195335677E-2</v>
      </c>
    </row>
    <row r="888" spans="1:7">
      <c r="A888" s="67">
        <v>95.034174459848273</v>
      </c>
      <c r="B888" s="67">
        <v>95.619360263172467</v>
      </c>
      <c r="C888" s="67">
        <v>92.391085248167357</v>
      </c>
      <c r="D888" s="67">
        <v>92.966517954769472</v>
      </c>
      <c r="E888" s="67">
        <v>402119.46131173888</v>
      </c>
      <c r="F888" s="67" t="s">
        <v>916</v>
      </c>
      <c r="G888" s="25">
        <f t="shared" ref="G888:G951" si="10">A888/D888-1</f>
        <v>2.2240872849349502E-2</v>
      </c>
    </row>
    <row r="889" spans="1:7">
      <c r="A889" s="67">
        <v>93.785778079423338</v>
      </c>
      <c r="B889" s="67">
        <v>93.912568336810253</v>
      </c>
      <c r="C889" s="67">
        <v>91.210960544796905</v>
      </c>
      <c r="D889" s="67">
        <v>93.912568336810253</v>
      </c>
      <c r="E889" s="67">
        <v>241056.7706849376</v>
      </c>
      <c r="F889" s="67" t="s">
        <v>917</v>
      </c>
      <c r="G889" s="25">
        <f t="shared" si="10"/>
        <v>-1.3500882750027143E-3</v>
      </c>
    </row>
    <row r="890" spans="1:7">
      <c r="A890" s="67">
        <v>93.815037369589547</v>
      </c>
      <c r="B890" s="67">
        <v>95.068310298375522</v>
      </c>
      <c r="C890" s="67">
        <v>92.264294990780442</v>
      </c>
      <c r="D890" s="67">
        <v>92.264294990780442</v>
      </c>
      <c r="E890" s="67">
        <v>301074.63133789483</v>
      </c>
      <c r="F890" s="67" t="s">
        <v>918</v>
      </c>
      <c r="G890" s="25">
        <f t="shared" si="10"/>
        <v>1.6807610993657462E-2</v>
      </c>
    </row>
    <row r="891" spans="1:7">
      <c r="A891" s="67">
        <v>92.274048087502521</v>
      </c>
      <c r="B891" s="67">
        <v>92.937258664603277</v>
      </c>
      <c r="C891" s="67">
        <v>91.527936188264178</v>
      </c>
      <c r="D891" s="67">
        <v>92.820221503938427</v>
      </c>
      <c r="E891" s="67">
        <v>218675.16141554093</v>
      </c>
      <c r="F891" s="67" t="s">
        <v>919</v>
      </c>
      <c r="G891" s="25">
        <f t="shared" si="10"/>
        <v>-5.8842072081537466E-3</v>
      </c>
    </row>
    <row r="892" spans="1:7">
      <c r="A892" s="67">
        <v>91.630343703845909</v>
      </c>
      <c r="B892" s="67">
        <v>92.410591441611501</v>
      </c>
      <c r="C892" s="67">
        <v>90.645280934916855</v>
      </c>
      <c r="D892" s="67">
        <v>92.205776410448038</v>
      </c>
      <c r="E892" s="67">
        <v>321419.96427722496</v>
      </c>
      <c r="F892" s="67" t="s">
        <v>920</v>
      </c>
      <c r="G892" s="25">
        <f t="shared" si="10"/>
        <v>-6.2407446583457871E-3</v>
      </c>
    </row>
    <row r="893" spans="1:7">
      <c r="A893" s="67">
        <v>93.854049756477835</v>
      </c>
      <c r="B893" s="67">
        <v>94.097877174529586</v>
      </c>
      <c r="C893" s="67">
        <v>91.884899528291939</v>
      </c>
      <c r="D893" s="67">
        <v>93.327382533486059</v>
      </c>
      <c r="E893" s="67">
        <v>159620.07189749432</v>
      </c>
      <c r="F893" s="67" t="s">
        <v>921</v>
      </c>
      <c r="G893" s="25">
        <f t="shared" si="10"/>
        <v>5.6432229073049012E-3</v>
      </c>
    </row>
    <row r="894" spans="1:7">
      <c r="A894" s="67">
        <v>92.829974600660506</v>
      </c>
      <c r="B894" s="67">
        <v>94.078370981085428</v>
      </c>
      <c r="C894" s="67">
        <v>92.093615798144228</v>
      </c>
      <c r="D894" s="67">
        <v>92.313060474390809</v>
      </c>
      <c r="E894" s="67">
        <v>276307.11319636082</v>
      </c>
      <c r="F894" s="67" t="s">
        <v>922</v>
      </c>
      <c r="G894" s="25">
        <f t="shared" si="10"/>
        <v>5.599577390385635E-3</v>
      </c>
    </row>
    <row r="895" spans="1:7">
      <c r="A895" s="67">
        <v>91.952195895674222</v>
      </c>
      <c r="B895" s="67">
        <v>95.068310298375522</v>
      </c>
      <c r="C895" s="67">
        <v>91.537689284986257</v>
      </c>
      <c r="D895" s="67">
        <v>94.448988656524094</v>
      </c>
      <c r="E895" s="67">
        <v>367246.43485744781</v>
      </c>
      <c r="F895" s="67" t="s">
        <v>923</v>
      </c>
      <c r="G895" s="25">
        <f t="shared" si="10"/>
        <v>-2.6435357290375827E-2</v>
      </c>
    </row>
    <row r="896" spans="1:7">
      <c r="A896" s="67">
        <v>96.048496518943537</v>
      </c>
      <c r="B896" s="67">
        <v>96.497138968158751</v>
      </c>
      <c r="C896" s="67">
        <v>94.96590278279379</v>
      </c>
      <c r="D896" s="67">
        <v>96.37034871077185</v>
      </c>
      <c r="E896" s="67">
        <v>172345.26098735101</v>
      </c>
      <c r="F896" s="67" t="s">
        <v>924</v>
      </c>
      <c r="G896" s="25">
        <f t="shared" si="10"/>
        <v>-3.3397429409979251E-3</v>
      </c>
    </row>
    <row r="897" spans="1:7">
      <c r="A897" s="67">
        <v>96.38985490421598</v>
      </c>
      <c r="B897" s="67">
        <v>97.053065481316736</v>
      </c>
      <c r="C897" s="67">
        <v>94.605038204077204</v>
      </c>
      <c r="D897" s="67">
        <v>94.800100138518602</v>
      </c>
      <c r="E897" s="67">
        <v>312728.36586334091</v>
      </c>
      <c r="F897" s="67" t="s">
        <v>925</v>
      </c>
      <c r="G897" s="25">
        <f t="shared" si="10"/>
        <v>1.6769547325102829E-2</v>
      </c>
    </row>
    <row r="898" spans="1:7">
      <c r="A898" s="67">
        <v>96.711707096044279</v>
      </c>
      <c r="B898" s="67">
        <v>96.79948496654292</v>
      </c>
      <c r="C898" s="67">
        <v>93.961333820420606</v>
      </c>
      <c r="D898" s="67">
        <v>93.990593110586815</v>
      </c>
      <c r="E898" s="67">
        <v>211495.90317630343</v>
      </c>
      <c r="F898" s="67" t="s">
        <v>926</v>
      </c>
      <c r="G898" s="25">
        <f t="shared" si="10"/>
        <v>2.8950918335581388E-2</v>
      </c>
    </row>
    <row r="899" spans="1:7">
      <c r="A899" s="67">
        <v>95.073186846736562</v>
      </c>
      <c r="B899" s="67">
        <v>97.350534931339851</v>
      </c>
      <c r="C899" s="67">
        <v>93.766271885979208</v>
      </c>
      <c r="D899" s="67">
        <v>95.151211620513124</v>
      </c>
      <c r="E899" s="67">
        <v>431206.63311821251</v>
      </c>
      <c r="F899" s="67" t="s">
        <v>927</v>
      </c>
      <c r="G899" s="25">
        <f t="shared" si="10"/>
        <v>-8.2000820008198971E-4</v>
      </c>
    </row>
    <row r="900" spans="1:7">
      <c r="A900" s="67">
        <v>96.331336323883562</v>
      </c>
      <c r="B900" s="67">
        <v>96.614176128823587</v>
      </c>
      <c r="C900" s="67">
        <v>95.146335072152084</v>
      </c>
      <c r="D900" s="67">
        <v>95.970471745166989</v>
      </c>
      <c r="E900" s="67">
        <v>304492.00747490977</v>
      </c>
      <c r="F900" s="67" t="s">
        <v>928</v>
      </c>
      <c r="G900" s="25">
        <f t="shared" si="10"/>
        <v>3.7601626016259271E-3</v>
      </c>
    </row>
    <row r="901" spans="1:7">
      <c r="A901" s="67">
        <v>95.492570005785552</v>
      </c>
      <c r="B901" s="67">
        <v>98.028375153523712</v>
      </c>
      <c r="C901" s="67">
        <v>95.151211620513124</v>
      </c>
      <c r="D901" s="67">
        <v>97.452942446921597</v>
      </c>
      <c r="E901" s="67">
        <v>386962.22415797593</v>
      </c>
      <c r="F901" s="67" t="s">
        <v>929</v>
      </c>
      <c r="G901" s="25">
        <f t="shared" si="10"/>
        <v>-2.0116092874299607E-2</v>
      </c>
    </row>
    <row r="902" spans="1:7">
      <c r="A902" s="67">
        <v>98.047881346967856</v>
      </c>
      <c r="B902" s="67">
        <v>102.19294745384752</v>
      </c>
      <c r="C902" s="67">
        <v>97.209115028869846</v>
      </c>
      <c r="D902" s="67">
        <v>102.04665100301646</v>
      </c>
      <c r="E902" s="67">
        <v>320005.02906297939</v>
      </c>
      <c r="F902" s="67" t="s">
        <v>930</v>
      </c>
      <c r="G902" s="25">
        <f t="shared" si="10"/>
        <v>-3.9185701997514921E-2</v>
      </c>
    </row>
    <row r="903" spans="1:7">
      <c r="A903" s="67">
        <v>101.54924307019093</v>
      </c>
      <c r="B903" s="67">
        <v>103.17801022277658</v>
      </c>
      <c r="C903" s="67">
        <v>100.43251349551392</v>
      </c>
      <c r="D903" s="67">
        <v>102.2319598407358</v>
      </c>
      <c r="E903" s="67">
        <v>297878.72332137049</v>
      </c>
      <c r="F903" s="67" t="s">
        <v>931</v>
      </c>
      <c r="G903" s="25">
        <f t="shared" si="10"/>
        <v>-6.6781148635755017E-3</v>
      </c>
    </row>
    <row r="904" spans="1:7">
      <c r="A904" s="67">
        <v>103.03171377194553</v>
      </c>
      <c r="B904" s="67">
        <v>103.07072615883381</v>
      </c>
      <c r="C904" s="67">
        <v>95.648619553338676</v>
      </c>
      <c r="D904" s="67">
        <v>96.565410645213248</v>
      </c>
      <c r="E904" s="67">
        <v>496802.20939834084</v>
      </c>
      <c r="F904" s="67" t="s">
        <v>932</v>
      </c>
      <c r="G904" s="25">
        <f t="shared" si="10"/>
        <v>6.6962933037066907E-2</v>
      </c>
    </row>
    <row r="905" spans="1:7">
      <c r="A905" s="67">
        <v>97.404176963311244</v>
      </c>
      <c r="B905" s="67">
        <v>99.452327274945901</v>
      </c>
      <c r="C905" s="67">
        <v>96.419114194382189</v>
      </c>
      <c r="D905" s="67">
        <v>98.62331405356997</v>
      </c>
      <c r="E905" s="67">
        <v>492787.07439907576</v>
      </c>
      <c r="F905" s="67" t="s">
        <v>933</v>
      </c>
      <c r="G905" s="25">
        <f t="shared" si="10"/>
        <v>-1.2361550632911444E-2</v>
      </c>
    </row>
    <row r="906" spans="1:7">
      <c r="A906" s="67">
        <v>100.07652546515837</v>
      </c>
      <c r="B906" s="67">
        <v>108.41542316252806</v>
      </c>
      <c r="C906" s="67">
        <v>98.993931729008622</v>
      </c>
      <c r="D906" s="67">
        <v>104.2996163458146</v>
      </c>
      <c r="E906" s="67">
        <v>1239283.3111814882</v>
      </c>
      <c r="F906" s="67" t="s">
        <v>934</v>
      </c>
      <c r="G906" s="25">
        <f t="shared" si="10"/>
        <v>-4.0489994389377171E-2</v>
      </c>
    </row>
    <row r="907" spans="1:7">
      <c r="A907" s="67">
        <v>104.6214685376429</v>
      </c>
      <c r="B907" s="67">
        <v>105.69918572543162</v>
      </c>
      <c r="C907" s="67">
        <v>97.799177380555079</v>
      </c>
      <c r="D907" s="67">
        <v>98.028375153523712</v>
      </c>
      <c r="E907" s="67">
        <v>1296359.5420303363</v>
      </c>
      <c r="F907" s="67" t="s">
        <v>935</v>
      </c>
      <c r="G907" s="25">
        <f t="shared" si="10"/>
        <v>6.7256989354292918E-2</v>
      </c>
    </row>
    <row r="908" spans="1:7">
      <c r="A908" s="67">
        <v>96.838497353431194</v>
      </c>
      <c r="B908" s="67">
        <v>97.833313219082314</v>
      </c>
      <c r="C908" s="67">
        <v>93.371271468735372</v>
      </c>
      <c r="D908" s="67">
        <v>93.541950661371587</v>
      </c>
      <c r="E908" s="67">
        <v>528688.49217212654</v>
      </c>
      <c r="F908" s="67" t="s">
        <v>936</v>
      </c>
      <c r="G908" s="25">
        <f t="shared" si="10"/>
        <v>3.524137211969558E-2</v>
      </c>
    </row>
    <row r="909" spans="1:7">
      <c r="A909" s="67">
        <v>93.395654210540556</v>
      </c>
      <c r="B909" s="67">
        <v>93.619975435148149</v>
      </c>
      <c r="C909" s="67">
        <v>91.197013616484355</v>
      </c>
      <c r="D909" s="67">
        <v>92.137504733393541</v>
      </c>
      <c r="E909" s="67">
        <v>481990.50352515822</v>
      </c>
      <c r="F909" s="67" t="s">
        <v>937</v>
      </c>
      <c r="G909" s="25">
        <f t="shared" si="10"/>
        <v>1.3655128612257927E-2</v>
      </c>
    </row>
    <row r="910" spans="1:7">
      <c r="A910" s="67">
        <v>91.591331316957636</v>
      </c>
      <c r="B910" s="67">
        <v>93.932074530254397</v>
      </c>
      <c r="C910" s="67">
        <v>91.523059639903153</v>
      </c>
      <c r="D910" s="67">
        <v>92.644665762941173</v>
      </c>
      <c r="E910" s="67">
        <v>280736.47560617316</v>
      </c>
      <c r="F910" s="67" t="s">
        <v>938</v>
      </c>
      <c r="G910" s="25">
        <f t="shared" si="10"/>
        <v>-1.1369617854510961E-2</v>
      </c>
    </row>
    <row r="911" spans="1:7">
      <c r="A911" s="67">
        <v>93.561456854815745</v>
      </c>
      <c r="B911" s="67">
        <v>94.273432915526826</v>
      </c>
      <c r="C911" s="67">
        <v>92.464233473582894</v>
      </c>
      <c r="D911" s="67">
        <v>93.239604662987432</v>
      </c>
      <c r="E911" s="67">
        <v>255152.80642801631</v>
      </c>
      <c r="F911" s="67" t="s">
        <v>939</v>
      </c>
      <c r="G911" s="25">
        <f t="shared" si="10"/>
        <v>3.451882845188381E-3</v>
      </c>
    </row>
    <row r="912" spans="1:7">
      <c r="A912" s="67">
        <v>93.766271885979208</v>
      </c>
      <c r="B912" s="67">
        <v>94.195408141750278</v>
      </c>
      <c r="C912" s="67">
        <v>92.420344538333566</v>
      </c>
      <c r="D912" s="67">
        <v>93.815037369589547</v>
      </c>
      <c r="E912" s="67">
        <v>221988.98069991905</v>
      </c>
      <c r="F912" s="67" t="s">
        <v>940</v>
      </c>
      <c r="G912" s="25">
        <f t="shared" si="10"/>
        <v>-5.1980455348776822E-4</v>
      </c>
    </row>
    <row r="913" spans="1:7">
      <c r="A913" s="67">
        <v>93.366394920374347</v>
      </c>
      <c r="B913" s="67">
        <v>94.117383367973716</v>
      </c>
      <c r="C913" s="67">
        <v>92.137504733393541</v>
      </c>
      <c r="D913" s="67">
        <v>93.785778079423338</v>
      </c>
      <c r="E913" s="67">
        <v>301868.22543631954</v>
      </c>
      <c r="F913" s="67" t="s">
        <v>941</v>
      </c>
      <c r="G913" s="25">
        <f t="shared" si="10"/>
        <v>-4.4717138103159693E-3</v>
      </c>
    </row>
    <row r="914" spans="1:7">
      <c r="A914" s="67">
        <v>95.248742587733815</v>
      </c>
      <c r="B914" s="67">
        <v>96.701953999322228</v>
      </c>
      <c r="C914" s="67">
        <v>94.69769262293687</v>
      </c>
      <c r="D914" s="67">
        <v>96.701953999322228</v>
      </c>
      <c r="E914" s="67">
        <v>238477.07720737098</v>
      </c>
      <c r="F914" s="67" t="s">
        <v>942</v>
      </c>
      <c r="G914" s="25">
        <f t="shared" si="10"/>
        <v>-1.5027735753908367E-2</v>
      </c>
    </row>
    <row r="915" spans="1:7">
      <c r="A915" s="67">
        <v>96.52639825832496</v>
      </c>
      <c r="B915" s="67">
        <v>97.023806191150527</v>
      </c>
      <c r="C915" s="67">
        <v>93.551703758093666</v>
      </c>
      <c r="D915" s="67">
        <v>94.566025817188915</v>
      </c>
      <c r="E915" s="67">
        <v>556517.60201636876</v>
      </c>
      <c r="F915" s="67" t="s">
        <v>943</v>
      </c>
      <c r="G915" s="25">
        <f t="shared" si="10"/>
        <v>2.0730198019802026E-2</v>
      </c>
    </row>
    <row r="916" spans="1:7">
      <c r="A916" s="67">
        <v>94.244173625360617</v>
      </c>
      <c r="B916" s="67">
        <v>94.253926722082696</v>
      </c>
      <c r="C916" s="67">
        <v>91.815652541565242</v>
      </c>
      <c r="D916" s="67">
        <v>93.922321433532318</v>
      </c>
      <c r="E916" s="67">
        <v>337250.83363081352</v>
      </c>
      <c r="F916" s="67" t="s">
        <v>944</v>
      </c>
      <c r="G916" s="25">
        <f t="shared" si="10"/>
        <v>3.4267912772585341E-3</v>
      </c>
    </row>
    <row r="917" spans="1:7">
      <c r="A917" s="67">
        <v>93.463925887595039</v>
      </c>
      <c r="B917" s="67">
        <v>94.819606331962746</v>
      </c>
      <c r="C917" s="67">
        <v>92.14725783011562</v>
      </c>
      <c r="D917" s="67">
        <v>92.761702923606009</v>
      </c>
      <c r="E917" s="67">
        <v>522838.04265583272</v>
      </c>
      <c r="F917" s="67" t="s">
        <v>945</v>
      </c>
      <c r="G917" s="25">
        <f t="shared" si="10"/>
        <v>7.570181894648309E-3</v>
      </c>
    </row>
    <row r="918" spans="1:7">
      <c r="A918" s="67">
        <v>93.366394920374347</v>
      </c>
      <c r="B918" s="67">
        <v>96.877509740319468</v>
      </c>
      <c r="C918" s="67">
        <v>92.664171956385317</v>
      </c>
      <c r="D918" s="67">
        <v>94.263679818804775</v>
      </c>
      <c r="E918" s="67">
        <v>446826.28750503686</v>
      </c>
      <c r="F918" s="67" t="s">
        <v>946</v>
      </c>
      <c r="G918" s="25">
        <f t="shared" si="10"/>
        <v>-9.5188825659596743E-3</v>
      </c>
    </row>
    <row r="919" spans="1:7">
      <c r="A919" s="67">
        <v>93.639481628592293</v>
      </c>
      <c r="B919" s="67">
        <v>93.74579038286285</v>
      </c>
      <c r="C919" s="67">
        <v>91.810775993204203</v>
      </c>
      <c r="D919" s="67">
        <v>93.43466659742883</v>
      </c>
      <c r="E919" s="67">
        <v>296963.11669360142</v>
      </c>
      <c r="F919" s="67" t="s">
        <v>947</v>
      </c>
      <c r="G919" s="25">
        <f t="shared" si="10"/>
        <v>2.192066805845494E-3</v>
      </c>
    </row>
    <row r="920" spans="1:7">
      <c r="A920" s="67">
        <v>93.619975435148149</v>
      </c>
      <c r="B920" s="67">
        <v>94.507507236856512</v>
      </c>
      <c r="C920" s="67">
        <v>92.059479959616979</v>
      </c>
      <c r="D920" s="67">
        <v>92.956764858047407</v>
      </c>
      <c r="E920" s="67">
        <v>309008.52169139666</v>
      </c>
      <c r="F920" s="67" t="s">
        <v>948</v>
      </c>
      <c r="G920" s="25">
        <f t="shared" si="10"/>
        <v>7.1346133669079048E-3</v>
      </c>
    </row>
    <row r="921" spans="1:7">
      <c r="A921" s="67">
        <v>93.317629436763994</v>
      </c>
      <c r="B921" s="67">
        <v>93.356641823652268</v>
      </c>
      <c r="C921" s="67">
        <v>89.313983232354332</v>
      </c>
      <c r="D921" s="67">
        <v>92.898246277714989</v>
      </c>
      <c r="E921" s="67">
        <v>668410.26863276248</v>
      </c>
      <c r="F921" s="67" t="s">
        <v>949</v>
      </c>
      <c r="G921" s="25">
        <f t="shared" si="10"/>
        <v>4.5144356955379994E-3</v>
      </c>
    </row>
    <row r="922" spans="1:7">
      <c r="A922" s="67">
        <v>92.644665762941173</v>
      </c>
      <c r="B922" s="67">
        <v>94.302692205693035</v>
      </c>
      <c r="C922" s="67">
        <v>92.332566667834939</v>
      </c>
      <c r="D922" s="67">
        <v>93.941827626976448</v>
      </c>
      <c r="E922" s="67">
        <v>377886.13247935119</v>
      </c>
      <c r="F922" s="67" t="s">
        <v>950</v>
      </c>
      <c r="G922" s="25">
        <f t="shared" si="10"/>
        <v>-1.3808139534883579E-2</v>
      </c>
    </row>
    <row r="923" spans="1:7">
      <c r="A923" s="67">
        <v>93.288370146597785</v>
      </c>
      <c r="B923" s="67">
        <v>94.956149686071726</v>
      </c>
      <c r="C923" s="67">
        <v>91.659602994012133</v>
      </c>
      <c r="D923" s="67">
        <v>92.16676402355975</v>
      </c>
      <c r="E923" s="67">
        <v>343350.43478265929</v>
      </c>
      <c r="F923" s="67" t="s">
        <v>951</v>
      </c>
      <c r="G923" s="25">
        <f t="shared" si="10"/>
        <v>1.2169312169312274E-2</v>
      </c>
    </row>
    <row r="924" spans="1:7">
      <c r="A924" s="67">
        <v>92.829974600660506</v>
      </c>
      <c r="B924" s="67">
        <v>93.561456854815745</v>
      </c>
      <c r="C924" s="67">
        <v>90.547749967696163</v>
      </c>
      <c r="D924" s="67">
        <v>92.088739249783188</v>
      </c>
      <c r="E924" s="67">
        <v>338955.93309551675</v>
      </c>
      <c r="F924" s="67" t="s">
        <v>952</v>
      </c>
      <c r="G924" s="25">
        <f t="shared" si="10"/>
        <v>8.0491421309045741E-3</v>
      </c>
    </row>
    <row r="925" spans="1:7">
      <c r="A925" s="67">
        <v>91.113429577576213</v>
      </c>
      <c r="B925" s="67">
        <v>92.800715310494297</v>
      </c>
      <c r="C925" s="67">
        <v>89.845527003707147</v>
      </c>
      <c r="D925" s="67">
        <v>91.581578220235571</v>
      </c>
      <c r="E925" s="67">
        <v>419302.72164184187</v>
      </c>
      <c r="F925" s="67" t="s">
        <v>953</v>
      </c>
      <c r="G925" s="25">
        <f t="shared" si="10"/>
        <v>-5.1118210862620694E-3</v>
      </c>
    </row>
    <row r="926" spans="1:7">
      <c r="A926" s="67">
        <v>90.850095966080332</v>
      </c>
      <c r="B926" s="67">
        <v>91.844911831731451</v>
      </c>
      <c r="C926" s="67">
        <v>89.104291652829829</v>
      </c>
      <c r="D926" s="67">
        <v>91.844911831731451</v>
      </c>
      <c r="E926" s="67">
        <v>748195.18435487989</v>
      </c>
      <c r="F926" s="67" t="s">
        <v>954</v>
      </c>
      <c r="G926" s="25">
        <f t="shared" si="10"/>
        <v>-1.0831474992035628E-2</v>
      </c>
    </row>
    <row r="927" spans="1:7">
      <c r="A927" s="67">
        <v>92.059479959616979</v>
      </c>
      <c r="B927" s="67">
        <v>92.332566667834939</v>
      </c>
      <c r="C927" s="67">
        <v>88.216759851121481</v>
      </c>
      <c r="D927" s="67">
        <v>88.24601914128769</v>
      </c>
      <c r="E927" s="67">
        <v>467666.84776935301</v>
      </c>
      <c r="F927" s="67" t="s">
        <v>955</v>
      </c>
      <c r="G927" s="25">
        <f t="shared" si="10"/>
        <v>4.3213969938107777E-2</v>
      </c>
    </row>
    <row r="928" spans="1:7">
      <c r="A928" s="67">
        <v>87.534043080576595</v>
      </c>
      <c r="B928" s="67">
        <v>89.757749133208506</v>
      </c>
      <c r="C928" s="67">
        <v>85.934535218157137</v>
      </c>
      <c r="D928" s="67">
        <v>88.421574882284943</v>
      </c>
      <c r="E928" s="67">
        <v>662143.54107517609</v>
      </c>
      <c r="F928" s="67" t="s">
        <v>956</v>
      </c>
      <c r="G928" s="25">
        <f t="shared" si="10"/>
        <v>-1.0037502757555661E-2</v>
      </c>
    </row>
    <row r="929" spans="1:7">
      <c r="A929" s="67">
        <v>86.451449344426848</v>
      </c>
      <c r="B929" s="67">
        <v>87.036635147751028</v>
      </c>
      <c r="C929" s="67">
        <v>85.500522414025042</v>
      </c>
      <c r="D929" s="67">
        <v>86.022313088655778</v>
      </c>
      <c r="E929" s="67">
        <v>241385.89691955561</v>
      </c>
      <c r="F929" s="67" t="s">
        <v>957</v>
      </c>
      <c r="G929" s="25">
        <f t="shared" si="10"/>
        <v>4.9886621315191615E-3</v>
      </c>
    </row>
    <row r="930" spans="1:7">
      <c r="A930" s="67">
        <v>86.948857277252401</v>
      </c>
      <c r="B930" s="67">
        <v>87.631574047797287</v>
      </c>
      <c r="C930" s="67">
        <v>83.935150390132833</v>
      </c>
      <c r="D930" s="67">
        <v>84.647126450843928</v>
      </c>
      <c r="E930" s="67">
        <v>227809.69607040624</v>
      </c>
      <c r="F930" s="67" t="s">
        <v>958</v>
      </c>
      <c r="G930" s="25">
        <f t="shared" si="10"/>
        <v>2.7192072819449242E-2</v>
      </c>
    </row>
    <row r="931" spans="1:7">
      <c r="A931" s="67">
        <v>83.408483167141057</v>
      </c>
      <c r="B931" s="67">
        <v>86.217375023097176</v>
      </c>
      <c r="C931" s="67">
        <v>83.115890265478967</v>
      </c>
      <c r="D931" s="67">
        <v>85.602929929606759</v>
      </c>
      <c r="E931" s="67">
        <v>302373.7059150319</v>
      </c>
      <c r="F931" s="67" t="s">
        <v>959</v>
      </c>
      <c r="G931" s="25">
        <f t="shared" si="10"/>
        <v>-2.5635182864304329E-2</v>
      </c>
    </row>
    <row r="932" spans="1:7">
      <c r="A932" s="67">
        <v>84.988484836116371</v>
      </c>
      <c r="B932" s="67">
        <v>85.466386575497779</v>
      </c>
      <c r="C932" s="67">
        <v>83.301199103198286</v>
      </c>
      <c r="D932" s="67">
        <v>84.237496388517002</v>
      </c>
      <c r="E932" s="67">
        <v>194541.28817429952</v>
      </c>
      <c r="F932" s="67" t="s">
        <v>960</v>
      </c>
      <c r="G932" s="25">
        <f t="shared" si="10"/>
        <v>8.915132569178974E-3</v>
      </c>
    </row>
    <row r="933" spans="1:7">
      <c r="A933" s="67">
        <v>84.666632644288072</v>
      </c>
      <c r="B933" s="67">
        <v>85.43712728533157</v>
      </c>
      <c r="C933" s="67">
        <v>83.65611429291441</v>
      </c>
      <c r="D933" s="67">
        <v>84.266755678683211</v>
      </c>
      <c r="E933" s="67">
        <v>200528.10463515468</v>
      </c>
      <c r="F933" s="67" t="s">
        <v>961</v>
      </c>
      <c r="G933" s="25">
        <f t="shared" si="10"/>
        <v>4.745370370370372E-3</v>
      </c>
    </row>
    <row r="934" spans="1:7">
      <c r="A934" s="67">
        <v>84.354533549181824</v>
      </c>
      <c r="B934" s="67">
        <v>85.0079910295605</v>
      </c>
      <c r="C934" s="67">
        <v>82.613605784292361</v>
      </c>
      <c r="D934" s="67">
        <v>84.637373354121863</v>
      </c>
      <c r="E934" s="67">
        <v>213094.36984225191</v>
      </c>
      <c r="F934" s="67" t="s">
        <v>962</v>
      </c>
      <c r="G934" s="25">
        <f t="shared" si="10"/>
        <v>-3.3417838211571294E-3</v>
      </c>
    </row>
    <row r="935" spans="1:7">
      <c r="A935" s="67">
        <v>85.612683026328838</v>
      </c>
      <c r="B935" s="67">
        <v>85.929658669796112</v>
      </c>
      <c r="C935" s="67">
        <v>83.388976973696913</v>
      </c>
      <c r="D935" s="67">
        <v>83.7498415524135</v>
      </c>
      <c r="E935" s="67">
        <v>268581.36186350527</v>
      </c>
      <c r="F935" s="67" t="s">
        <v>963</v>
      </c>
      <c r="G935" s="25">
        <f t="shared" si="10"/>
        <v>2.2242925352276677E-2</v>
      </c>
    </row>
    <row r="936" spans="1:7">
      <c r="A936" s="67">
        <v>82.862309750705137</v>
      </c>
      <c r="B936" s="67">
        <v>83.681569875359017</v>
      </c>
      <c r="C936" s="67">
        <v>81.321320468618111</v>
      </c>
      <c r="D936" s="67">
        <v>82.442926591656146</v>
      </c>
      <c r="E936" s="67">
        <v>259475.53603907392</v>
      </c>
      <c r="F936" s="67" t="s">
        <v>964</v>
      </c>
      <c r="G936" s="25">
        <f t="shared" si="10"/>
        <v>5.0869513782088038E-3</v>
      </c>
    </row>
    <row r="937" spans="1:7">
      <c r="A937" s="67">
        <v>82.637988526097544</v>
      </c>
      <c r="B937" s="67">
        <v>83.296322554837261</v>
      </c>
      <c r="C937" s="67">
        <v>81.00405223224918</v>
      </c>
      <c r="D937" s="67">
        <v>82.32588943099131</v>
      </c>
      <c r="E937" s="67">
        <v>390978.38447261363</v>
      </c>
      <c r="F937" s="67" t="s">
        <v>965</v>
      </c>
      <c r="G937" s="25">
        <f t="shared" si="10"/>
        <v>3.791020021324476E-3</v>
      </c>
    </row>
    <row r="938" spans="1:7">
      <c r="A938" s="67">
        <v>82.862309750705137</v>
      </c>
      <c r="B938" s="67">
        <v>83.876631809800415</v>
      </c>
      <c r="C938" s="67">
        <v>80.921443503013251</v>
      </c>
      <c r="D938" s="67">
        <v>83.028112394980326</v>
      </c>
      <c r="E938" s="67">
        <v>819809.36187241529</v>
      </c>
      <c r="F938" s="67" t="s">
        <v>966</v>
      </c>
      <c r="G938" s="25">
        <f t="shared" si="10"/>
        <v>-1.9969458475272983E-3</v>
      </c>
    </row>
    <row r="939" spans="1:7">
      <c r="A939" s="67">
        <v>84.15947161474044</v>
      </c>
      <c r="B939" s="67">
        <v>89.567563747128133</v>
      </c>
      <c r="C939" s="67">
        <v>83.437742457307266</v>
      </c>
      <c r="D939" s="67">
        <v>88.997007588887058</v>
      </c>
      <c r="E939" s="67">
        <v>607556.77595110226</v>
      </c>
      <c r="F939" s="67" t="s">
        <v>967</v>
      </c>
      <c r="G939" s="25">
        <f t="shared" si="10"/>
        <v>-5.43561643835615E-2</v>
      </c>
    </row>
    <row r="940" spans="1:7">
      <c r="A940" s="67">
        <v>90.606268548028623</v>
      </c>
      <c r="B940" s="67">
        <v>92.844661863393455</v>
      </c>
      <c r="C940" s="67">
        <v>89.370286152153255</v>
      </c>
      <c r="D940" s="67">
        <v>90.966357907456882</v>
      </c>
      <c r="E940" s="67">
        <v>515749.61919140565</v>
      </c>
      <c r="F940" s="67" t="s">
        <v>968</v>
      </c>
      <c r="G940" s="25">
        <f t="shared" si="10"/>
        <v>-3.9584893548731959E-3</v>
      </c>
    </row>
    <row r="941" spans="1:7">
      <c r="A941" s="67">
        <v>91.521090163873382</v>
      </c>
      <c r="B941" s="67">
        <v>94.878680136920622</v>
      </c>
      <c r="C941" s="67">
        <v>91.491893729325156</v>
      </c>
      <c r="D941" s="67">
        <v>93.263144091918178</v>
      </c>
      <c r="E941" s="67">
        <v>655636.56303217786</v>
      </c>
      <c r="F941" s="67" t="s">
        <v>969</v>
      </c>
      <c r="G941" s="25">
        <f t="shared" si="10"/>
        <v>-1.8678910570802398E-2</v>
      </c>
    </row>
    <row r="942" spans="1:7">
      <c r="A942" s="67">
        <v>90.032072001913306</v>
      </c>
      <c r="B942" s="67">
        <v>90.1877863195039</v>
      </c>
      <c r="C942" s="67">
        <v>88.630643143597922</v>
      </c>
      <c r="D942" s="67">
        <v>88.893411054532066</v>
      </c>
      <c r="E942" s="67">
        <v>278602.51177454798</v>
      </c>
      <c r="F942" s="67" t="s">
        <v>970</v>
      </c>
      <c r="G942" s="25">
        <f t="shared" si="10"/>
        <v>1.2809283993869158E-2</v>
      </c>
    </row>
    <row r="943" spans="1:7">
      <c r="A943" s="67">
        <v>88.66957172299557</v>
      </c>
      <c r="B943" s="67">
        <v>89.272964703659142</v>
      </c>
      <c r="C943" s="67">
        <v>86.917785650101365</v>
      </c>
      <c r="D943" s="67">
        <v>86.917785650101365</v>
      </c>
      <c r="E943" s="67">
        <v>486450.83619834133</v>
      </c>
      <c r="F943" s="67" t="s">
        <v>971</v>
      </c>
      <c r="G943" s="25">
        <f t="shared" si="10"/>
        <v>2.0154517971111785E-2</v>
      </c>
    </row>
    <row r="944" spans="1:7">
      <c r="A944" s="67">
        <v>87.472517906517851</v>
      </c>
      <c r="B944" s="67">
        <v>87.472517906517851</v>
      </c>
      <c r="C944" s="67">
        <v>84.007874340127074</v>
      </c>
      <c r="D944" s="67">
        <v>85.146535287508314</v>
      </c>
      <c r="E944" s="67">
        <v>334461.72969739133</v>
      </c>
      <c r="F944" s="67" t="s">
        <v>972</v>
      </c>
      <c r="G944" s="25">
        <f t="shared" si="10"/>
        <v>2.7317407703737473E-2</v>
      </c>
    </row>
    <row r="945" spans="1:7">
      <c r="A945" s="67">
        <v>84.669660189887111</v>
      </c>
      <c r="B945" s="67">
        <v>84.854570942025944</v>
      </c>
      <c r="C945" s="67">
        <v>83.380150997339982</v>
      </c>
      <c r="D945" s="67">
        <v>83.900820746783538</v>
      </c>
      <c r="E945" s="67">
        <v>308342.10201682406</v>
      </c>
      <c r="F945" s="67" t="s">
        <v>973</v>
      </c>
      <c r="G945" s="25">
        <f t="shared" si="10"/>
        <v>9.1636701078761096E-3</v>
      </c>
    </row>
    <row r="946" spans="1:7">
      <c r="A946" s="67">
        <v>83.521267097656448</v>
      </c>
      <c r="B946" s="67">
        <v>86.294928379738977</v>
      </c>
      <c r="C946" s="67">
        <v>82.24635612238346</v>
      </c>
      <c r="D946" s="67">
        <v>86.294928379738977</v>
      </c>
      <c r="E946" s="67">
        <v>483332.304726645</v>
      </c>
      <c r="F946" s="67" t="s">
        <v>974</v>
      </c>
      <c r="G946" s="25">
        <f t="shared" si="10"/>
        <v>-3.2141648810195322E-2</v>
      </c>
    </row>
    <row r="947" spans="1:7">
      <c r="A947" s="67">
        <v>86.645285594317812</v>
      </c>
      <c r="B947" s="67">
        <v>88.659839578146162</v>
      </c>
      <c r="C947" s="67">
        <v>86.18787478639544</v>
      </c>
      <c r="D947" s="67">
        <v>86.7134106082637</v>
      </c>
      <c r="E947" s="67">
        <v>615307.32358156471</v>
      </c>
      <c r="F947" s="67" t="s">
        <v>975</v>
      </c>
      <c r="G947" s="25">
        <f t="shared" si="10"/>
        <v>-7.8563411896748203E-4</v>
      </c>
    </row>
    <row r="948" spans="1:7">
      <c r="A948" s="67">
        <v>87.861803700494349</v>
      </c>
      <c r="B948" s="67">
        <v>87.988321583536703</v>
      </c>
      <c r="C948" s="67">
        <v>83.691579632521183</v>
      </c>
      <c r="D948" s="67">
        <v>83.715909994644704</v>
      </c>
      <c r="E948" s="67">
        <v>593932.79584705806</v>
      </c>
      <c r="F948" s="67" t="s">
        <v>976</v>
      </c>
      <c r="G948" s="25">
        <f t="shared" si="10"/>
        <v>4.9523366658916546E-2</v>
      </c>
    </row>
    <row r="949" spans="1:7">
      <c r="A949" s="67">
        <v>85.117338852960074</v>
      </c>
      <c r="B949" s="67">
        <v>85.662338964527166</v>
      </c>
      <c r="C949" s="67">
        <v>81.136891609550446</v>
      </c>
      <c r="D949" s="67">
        <v>81.136891609550446</v>
      </c>
      <c r="E949" s="67">
        <v>552151.66678540478</v>
      </c>
      <c r="F949" s="67" t="s">
        <v>977</v>
      </c>
      <c r="G949" s="25">
        <f t="shared" si="10"/>
        <v>4.9058414297708852E-2</v>
      </c>
    </row>
    <row r="950" spans="1:7">
      <c r="A950" s="67">
        <v>80.630820077381003</v>
      </c>
      <c r="B950" s="67">
        <v>80.737873670724539</v>
      </c>
      <c r="C950" s="67">
        <v>76.105372722404283</v>
      </c>
      <c r="D950" s="67">
        <v>77.516533725569076</v>
      </c>
      <c r="E950" s="67">
        <v>497133.98997469293</v>
      </c>
      <c r="F950" s="67" t="s">
        <v>978</v>
      </c>
      <c r="G950" s="25">
        <f t="shared" si="10"/>
        <v>4.0175768989328065E-2</v>
      </c>
    </row>
    <row r="951" spans="1:7">
      <c r="A951" s="67">
        <v>77.61385517406319</v>
      </c>
      <c r="B951" s="67">
        <v>79.297516233011521</v>
      </c>
      <c r="C951" s="67">
        <v>77.58465873951495</v>
      </c>
      <c r="D951" s="67">
        <v>78.810908990540909</v>
      </c>
      <c r="E951" s="67">
        <v>375342.7488515632</v>
      </c>
      <c r="F951" s="67" t="s">
        <v>979</v>
      </c>
      <c r="G951" s="25">
        <f t="shared" si="10"/>
        <v>-1.5188935539639514E-2</v>
      </c>
    </row>
    <row r="952" spans="1:7">
      <c r="A952" s="67">
        <v>78.810908990540909</v>
      </c>
      <c r="B952" s="67">
        <v>81.487248824129296</v>
      </c>
      <c r="C952" s="67">
        <v>77.652783753460838</v>
      </c>
      <c r="D952" s="67">
        <v>80.007962807018615</v>
      </c>
      <c r="E952" s="67">
        <v>396537.46010911872</v>
      </c>
      <c r="F952" s="67" t="s">
        <v>980</v>
      </c>
      <c r="G952" s="25">
        <f t="shared" ref="G952:G1015" si="11">A952/D952-1</f>
        <v>-1.4961683493492139E-2</v>
      </c>
    </row>
    <row r="953" spans="1:7">
      <c r="A953" s="67">
        <v>80.883855843465724</v>
      </c>
      <c r="B953" s="67">
        <v>81.46291846200576</v>
      </c>
      <c r="C953" s="67">
        <v>79.900909213675078</v>
      </c>
      <c r="D953" s="67">
        <v>80.951980857411613</v>
      </c>
      <c r="E953" s="67">
        <v>111180.0139375586</v>
      </c>
      <c r="F953" s="67" t="s">
        <v>981</v>
      </c>
      <c r="G953" s="25">
        <f t="shared" si="11"/>
        <v>-8.4154844914641203E-4</v>
      </c>
    </row>
    <row r="954" spans="1:7">
      <c r="A954" s="67">
        <v>80.922784422863373</v>
      </c>
      <c r="B954" s="67">
        <v>82.538320467865816</v>
      </c>
      <c r="C954" s="67">
        <v>80.076087820964503</v>
      </c>
      <c r="D954" s="67">
        <v>80.44590932524217</v>
      </c>
      <c r="E954" s="67">
        <v>316269.43984355801</v>
      </c>
      <c r="F954" s="67" t="s">
        <v>982</v>
      </c>
      <c r="G954" s="25">
        <f t="shared" si="11"/>
        <v>5.927897411081462E-3</v>
      </c>
    </row>
    <row r="955" spans="1:7">
      <c r="A955" s="67">
        <v>79.852248489428021</v>
      </c>
      <c r="B955" s="67">
        <v>80.81573082951985</v>
      </c>
      <c r="C955" s="67">
        <v>79.063944756625617</v>
      </c>
      <c r="D955" s="67">
        <v>79.949569937922149</v>
      </c>
      <c r="E955" s="67">
        <v>458858.76845222519</v>
      </c>
      <c r="F955" s="67" t="s">
        <v>983</v>
      </c>
      <c r="G955" s="25">
        <f t="shared" si="11"/>
        <v>-1.2172854534389099E-3</v>
      </c>
    </row>
    <row r="956" spans="1:7">
      <c r="A956" s="67">
        <v>79.969034227620966</v>
      </c>
      <c r="B956" s="67">
        <v>81.8181417490093</v>
      </c>
      <c r="C956" s="67">
        <v>79.774391330632724</v>
      </c>
      <c r="D956" s="67">
        <v>80.767070105272765</v>
      </c>
      <c r="E956" s="67">
        <v>330034.13427349029</v>
      </c>
      <c r="F956" s="67" t="s">
        <v>984</v>
      </c>
      <c r="G956" s="25">
        <f t="shared" si="11"/>
        <v>-9.8807085190985022E-3</v>
      </c>
    </row>
    <row r="957" spans="1:7">
      <c r="A957" s="67">
        <v>81.788945314461074</v>
      </c>
      <c r="B957" s="67">
        <v>83.112517013981147</v>
      </c>
      <c r="C957" s="67">
        <v>80.382650383720986</v>
      </c>
      <c r="D957" s="67">
        <v>82.95680269639054</v>
      </c>
      <c r="E957" s="67">
        <v>414874.63066723844</v>
      </c>
      <c r="F957" s="67" t="s">
        <v>985</v>
      </c>
      <c r="G957" s="25">
        <f t="shared" si="11"/>
        <v>-1.4077897700609854E-2</v>
      </c>
    </row>
    <row r="958" spans="1:7">
      <c r="A958" s="67">
        <v>81.360730941086928</v>
      </c>
      <c r="B958" s="67">
        <v>84.046802919524723</v>
      </c>
      <c r="C958" s="67">
        <v>81.029838016206909</v>
      </c>
      <c r="D958" s="67">
        <v>82.947070551541145</v>
      </c>
      <c r="E958" s="67">
        <v>428361.89396130323</v>
      </c>
      <c r="F958" s="67" t="s">
        <v>986</v>
      </c>
      <c r="G958" s="25">
        <f t="shared" si="11"/>
        <v>-1.9124721342250517E-2</v>
      </c>
    </row>
    <row r="959" spans="1:7">
      <c r="A959" s="67">
        <v>84.718320914134168</v>
      </c>
      <c r="B959" s="67">
        <v>87.521178630764922</v>
      </c>
      <c r="C959" s="67">
        <v>84.523678017145926</v>
      </c>
      <c r="D959" s="67">
        <v>87.248678574981383</v>
      </c>
      <c r="E959" s="67">
        <v>446861.41311004176</v>
      </c>
      <c r="F959" s="67" t="s">
        <v>987</v>
      </c>
      <c r="G959" s="25">
        <f t="shared" si="11"/>
        <v>-2.900167317345248E-2</v>
      </c>
    </row>
    <row r="960" spans="1:7">
      <c r="A960" s="67">
        <v>87.676892948355516</v>
      </c>
      <c r="B960" s="67">
        <v>89.51947993269475</v>
      </c>
      <c r="C960" s="67">
        <v>86.236535510642497</v>
      </c>
      <c r="D960" s="67">
        <v>88.611178853899091</v>
      </c>
      <c r="E960" s="67">
        <v>612482.66360934288</v>
      </c>
      <c r="F960" s="67" t="s">
        <v>988</v>
      </c>
      <c r="G960" s="25">
        <f t="shared" si="11"/>
        <v>-1.0543657331136713E-2</v>
      </c>
    </row>
    <row r="961" spans="1:7">
      <c r="A961" s="67">
        <v>86.703678463414292</v>
      </c>
      <c r="B961" s="67">
        <v>87.842339410795532</v>
      </c>
      <c r="C961" s="67">
        <v>85.195196011755385</v>
      </c>
      <c r="D961" s="67">
        <v>85.691535399075406</v>
      </c>
      <c r="E961" s="67">
        <v>474303.46253824432</v>
      </c>
      <c r="F961" s="67" t="s">
        <v>989</v>
      </c>
      <c r="G961" s="25">
        <f t="shared" si="11"/>
        <v>1.1811470755252795E-2</v>
      </c>
    </row>
    <row r="962" spans="1:7">
      <c r="A962" s="67">
        <v>86.616089159769572</v>
      </c>
      <c r="B962" s="67">
        <v>86.625821304618995</v>
      </c>
      <c r="C962" s="67">
        <v>79.691668099412723</v>
      </c>
      <c r="D962" s="67">
        <v>79.930105648223318</v>
      </c>
      <c r="E962" s="67">
        <v>667361.62485212088</v>
      </c>
      <c r="F962" s="67" t="s">
        <v>990</v>
      </c>
      <c r="G962" s="25">
        <f t="shared" si="11"/>
        <v>8.3647875319615261E-2</v>
      </c>
    </row>
    <row r="963" spans="1:7">
      <c r="A963" s="67">
        <v>78.976355452980911</v>
      </c>
      <c r="B963" s="67">
        <v>79.462962695451537</v>
      </c>
      <c r="C963" s="67">
        <v>75.355997568999541</v>
      </c>
      <c r="D963" s="67">
        <v>75.647961914481911</v>
      </c>
      <c r="E963" s="67">
        <v>469903.61022793007</v>
      </c>
      <c r="F963" s="67" t="s">
        <v>991</v>
      </c>
      <c r="G963" s="25">
        <f t="shared" si="11"/>
        <v>4.3998456194519253E-2</v>
      </c>
    </row>
    <row r="964" spans="1:7">
      <c r="A964" s="67">
        <v>71.86215756806051</v>
      </c>
      <c r="B964" s="67">
        <v>74.557961691347728</v>
      </c>
      <c r="C964" s="67">
        <v>71.667514671072269</v>
      </c>
      <c r="D964" s="67">
        <v>74.051890159178285</v>
      </c>
      <c r="E964" s="67">
        <v>276167.28291526611</v>
      </c>
      <c r="F964" s="67" t="s">
        <v>992</v>
      </c>
      <c r="G964" s="25">
        <f t="shared" si="11"/>
        <v>-2.9570245761598168E-2</v>
      </c>
    </row>
    <row r="965" spans="1:7">
      <c r="A965" s="67">
        <v>74.791533167733618</v>
      </c>
      <c r="B965" s="67">
        <v>75.628497624783066</v>
      </c>
      <c r="C965" s="67">
        <v>71.686978960771086</v>
      </c>
      <c r="D965" s="67">
        <v>73.779390103394732</v>
      </c>
      <c r="E965" s="67">
        <v>374107.6665355899</v>
      </c>
      <c r="F965" s="67" t="s">
        <v>993</v>
      </c>
      <c r="G965" s="25">
        <f t="shared" si="11"/>
        <v>1.3718506793299223E-2</v>
      </c>
    </row>
    <row r="966" spans="1:7">
      <c r="A966" s="67">
        <v>73.38037216456884</v>
      </c>
      <c r="B966" s="67">
        <v>74.762336733185379</v>
      </c>
      <c r="C966" s="67">
        <v>72.129791551419345</v>
      </c>
      <c r="D966" s="67">
        <v>74.762336733185379</v>
      </c>
      <c r="E966" s="67">
        <v>414679.40134940576</v>
      </c>
      <c r="F966" s="67" t="s">
        <v>994</v>
      </c>
      <c r="G966" s="25">
        <f t="shared" si="11"/>
        <v>-1.8484769591252115E-2</v>
      </c>
    </row>
    <row r="967" spans="1:7">
      <c r="A967" s="67">
        <v>73.866979407039452</v>
      </c>
      <c r="B967" s="67">
        <v>73.993497290081805</v>
      </c>
      <c r="C967" s="67">
        <v>70.596978737636917</v>
      </c>
      <c r="D967" s="67">
        <v>72.15412191354288</v>
      </c>
      <c r="E967" s="67">
        <v>360720.0729458924</v>
      </c>
      <c r="F967" s="67" t="s">
        <v>995</v>
      </c>
      <c r="G967" s="25">
        <f t="shared" si="11"/>
        <v>2.3738872403560984E-2</v>
      </c>
    </row>
    <row r="968" spans="1:7">
      <c r="A968" s="67">
        <v>70.888943083119287</v>
      </c>
      <c r="B968" s="67">
        <v>72.465550548724067</v>
      </c>
      <c r="C968" s="67">
        <v>69.185817734472124</v>
      </c>
      <c r="D968" s="67">
        <v>71.33662174619225</v>
      </c>
      <c r="E968" s="67">
        <v>419033.01513707545</v>
      </c>
      <c r="F968" s="67" t="s">
        <v>996</v>
      </c>
      <c r="G968" s="25">
        <f t="shared" si="11"/>
        <v>-6.2755798090040615E-3</v>
      </c>
    </row>
    <row r="969" spans="1:7">
      <c r="A969" s="67">
        <v>73.341443585171177</v>
      </c>
      <c r="B969" s="67">
        <v>77.477605146171413</v>
      </c>
      <c r="C969" s="67">
        <v>73.26358642637588</v>
      </c>
      <c r="D969" s="67">
        <v>76.650372833971375</v>
      </c>
      <c r="E969" s="67">
        <v>449002.77046984906</v>
      </c>
      <c r="F969" s="67" t="s">
        <v>997</v>
      </c>
      <c r="G969" s="25">
        <f t="shared" si="11"/>
        <v>-4.3169121381412046E-2</v>
      </c>
    </row>
    <row r="970" spans="1:7">
      <c r="A970" s="67">
        <v>76.942337179453745</v>
      </c>
      <c r="B970" s="67">
        <v>78.703855397197373</v>
      </c>
      <c r="C970" s="67">
        <v>76.669837123670192</v>
      </c>
      <c r="D970" s="67">
        <v>78.703855397197373</v>
      </c>
      <c r="E970" s="67">
        <v>383210.49036022188</v>
      </c>
      <c r="F970" s="67" t="s">
        <v>998</v>
      </c>
      <c r="G970" s="25">
        <f t="shared" si="11"/>
        <v>-2.2381600098924204E-2</v>
      </c>
    </row>
    <row r="971" spans="1:7">
      <c r="A971" s="67">
        <v>77.594390884364373</v>
      </c>
      <c r="B971" s="67">
        <v>78.003140968039688</v>
      </c>
      <c r="C971" s="67">
        <v>75.346265424150118</v>
      </c>
      <c r="D971" s="67">
        <v>77.545730160117301</v>
      </c>
      <c r="E971" s="67">
        <v>483176.12127237883</v>
      </c>
      <c r="F971" s="67" t="s">
        <v>999</v>
      </c>
      <c r="G971" s="25">
        <f t="shared" si="11"/>
        <v>6.2751004016070588E-4</v>
      </c>
    </row>
    <row r="972" spans="1:7">
      <c r="A972" s="67">
        <v>77.964212388642025</v>
      </c>
      <c r="B972" s="67">
        <v>79.394837681505635</v>
      </c>
      <c r="C972" s="67">
        <v>75.988586984211324</v>
      </c>
      <c r="D972" s="67">
        <v>75.988586984211324</v>
      </c>
      <c r="E972" s="67">
        <v>608722.95795697486</v>
      </c>
      <c r="F972" s="67" t="s">
        <v>1000</v>
      </c>
      <c r="G972" s="25">
        <f t="shared" si="11"/>
        <v>2.59989754098362E-2</v>
      </c>
    </row>
    <row r="973" spans="1:7">
      <c r="A973" s="67">
        <v>75.793944087223082</v>
      </c>
      <c r="B973" s="67">
        <v>78.051801692286745</v>
      </c>
      <c r="C973" s="67">
        <v>73.964300855533565</v>
      </c>
      <c r="D973" s="67">
        <v>74.937515340474803</v>
      </c>
      <c r="E973" s="67">
        <v>1213517.6965346101</v>
      </c>
      <c r="F973" s="67" t="s">
        <v>1001</v>
      </c>
      <c r="G973" s="25">
        <f t="shared" si="11"/>
        <v>1.1428571428571344E-2</v>
      </c>
    </row>
    <row r="974" spans="1:7">
      <c r="A974" s="67">
        <v>81.156355899249263</v>
      </c>
      <c r="B974" s="67">
        <v>83.346088490367038</v>
      </c>
      <c r="C974" s="67">
        <v>79.093141191173856</v>
      </c>
      <c r="D974" s="67">
        <v>79.316980522710338</v>
      </c>
      <c r="E974" s="67">
        <v>735842.93193421245</v>
      </c>
      <c r="F974" s="67" t="s">
        <v>1002</v>
      </c>
      <c r="G974" s="25">
        <f t="shared" si="11"/>
        <v>2.3190184049079798E-2</v>
      </c>
    </row>
    <row r="975" spans="1:7">
      <c r="A975" s="67">
        <v>78.343766037769115</v>
      </c>
      <c r="B975" s="67">
        <v>78.382694617166763</v>
      </c>
      <c r="C975" s="67">
        <v>75.823140521771322</v>
      </c>
      <c r="D975" s="67">
        <v>75.823140521771322</v>
      </c>
      <c r="E975" s="67">
        <v>233346.30085547225</v>
      </c>
      <c r="F975" s="67" t="s">
        <v>1003</v>
      </c>
      <c r="G975" s="25">
        <f t="shared" si="11"/>
        <v>3.3243486073674777E-2</v>
      </c>
    </row>
    <row r="976" spans="1:7">
      <c r="A976" s="67">
        <v>75.609033335084249</v>
      </c>
      <c r="B976" s="67">
        <v>76.523854950929007</v>
      </c>
      <c r="C976" s="67">
        <v>74.265997345865358</v>
      </c>
      <c r="D976" s="67">
        <v>75.94965840481369</v>
      </c>
      <c r="E976" s="67">
        <v>284699.8316272815</v>
      </c>
      <c r="F976" s="67" t="s">
        <v>1004</v>
      </c>
      <c r="G976" s="25">
        <f t="shared" si="11"/>
        <v>-4.4848795489493831E-3</v>
      </c>
    </row>
    <row r="977" spans="1:7">
      <c r="A977" s="67">
        <v>75.10296180291482</v>
      </c>
      <c r="B977" s="67">
        <v>75.433854727794838</v>
      </c>
      <c r="C977" s="67">
        <v>72.105461189295823</v>
      </c>
      <c r="D977" s="67">
        <v>74.519033111950066</v>
      </c>
      <c r="E977" s="67">
        <v>320338.4298362821</v>
      </c>
      <c r="F977" s="67" t="s">
        <v>1005</v>
      </c>
      <c r="G977" s="25">
        <f t="shared" si="11"/>
        <v>7.8359670889385225E-3</v>
      </c>
    </row>
    <row r="978" spans="1:7">
      <c r="A978" s="67">
        <v>74.801265312583027</v>
      </c>
      <c r="B978" s="67">
        <v>78.061533837136153</v>
      </c>
      <c r="C978" s="67">
        <v>74.596890270745376</v>
      </c>
      <c r="D978" s="67">
        <v>76.572515675176078</v>
      </c>
      <c r="E978" s="67">
        <v>199410.30780251807</v>
      </c>
      <c r="F978" s="67" t="s">
        <v>1006</v>
      </c>
      <c r="G978" s="25">
        <f t="shared" si="11"/>
        <v>-2.3131672597864861E-2</v>
      </c>
    </row>
    <row r="979" spans="1:7">
      <c r="A979" s="67">
        <v>76.572515675176078</v>
      </c>
      <c r="B979" s="67">
        <v>78.849837569938543</v>
      </c>
      <c r="C979" s="67">
        <v>75.86206910116897</v>
      </c>
      <c r="D979" s="67">
        <v>77.652783753460838</v>
      </c>
      <c r="E979" s="67">
        <v>303496.3048436708</v>
      </c>
      <c r="F979" s="67" t="s">
        <v>1007</v>
      </c>
      <c r="G979" s="25">
        <f t="shared" si="11"/>
        <v>-1.3911517734051859E-2</v>
      </c>
    </row>
    <row r="980" spans="1:7">
      <c r="A980" s="67">
        <v>78.499480355359708</v>
      </c>
      <c r="B980" s="67">
        <v>80.810864757095132</v>
      </c>
      <c r="C980" s="67">
        <v>78.003140968039688</v>
      </c>
      <c r="D980" s="67">
        <v>78.849837569938543</v>
      </c>
      <c r="E980" s="67">
        <v>418075.36395696964</v>
      </c>
      <c r="F980" s="67" t="s">
        <v>1008</v>
      </c>
      <c r="G980" s="25">
        <f t="shared" si="11"/>
        <v>-4.4433473216488606E-3</v>
      </c>
    </row>
    <row r="981" spans="1:7">
      <c r="A981" s="67">
        <v>76.484926371531358</v>
      </c>
      <c r="B981" s="67">
        <v>77.866890940147911</v>
      </c>
      <c r="C981" s="67">
        <v>75.638229769632488</v>
      </c>
      <c r="D981" s="67">
        <v>75.638229769632488</v>
      </c>
      <c r="E981" s="67">
        <v>324928.3738508019</v>
      </c>
      <c r="F981" s="67" t="s">
        <v>1009</v>
      </c>
      <c r="G981" s="25">
        <f t="shared" si="11"/>
        <v>1.1194029850746245E-2</v>
      </c>
    </row>
    <row r="982" spans="1:7">
      <c r="A982" s="67">
        <v>74.032425869479454</v>
      </c>
      <c r="B982" s="67">
        <v>76.864480020658448</v>
      </c>
      <c r="C982" s="67">
        <v>73.915640131286509</v>
      </c>
      <c r="D982" s="67">
        <v>76.1248370121031</v>
      </c>
      <c r="E982" s="67">
        <v>374645.06092099258</v>
      </c>
      <c r="F982" s="67" t="s">
        <v>1010</v>
      </c>
      <c r="G982" s="25">
        <f t="shared" si="11"/>
        <v>-2.7486576323190959E-2</v>
      </c>
    </row>
    <row r="983" spans="1:7">
      <c r="A983" s="67">
        <v>75.774479797524265</v>
      </c>
      <c r="B983" s="67">
        <v>76.553051385477247</v>
      </c>
      <c r="C983" s="67">
        <v>71.064121690408697</v>
      </c>
      <c r="D983" s="67">
        <v>71.618853946825212</v>
      </c>
      <c r="E983" s="67">
        <v>282746.51092622883</v>
      </c>
      <c r="F983" s="67" t="s">
        <v>1011</v>
      </c>
      <c r="G983" s="25">
        <f t="shared" si="11"/>
        <v>5.8024188069031091E-2</v>
      </c>
    </row>
    <row r="984" spans="1:7">
      <c r="A984" s="67">
        <v>73.32197929547236</v>
      </c>
      <c r="B984" s="67">
        <v>74.66501528469125</v>
      </c>
      <c r="C984" s="67">
        <v>71.239300297698122</v>
      </c>
      <c r="D984" s="67">
        <v>74.304925925262992</v>
      </c>
      <c r="E984" s="67">
        <v>583089.34852553846</v>
      </c>
      <c r="F984" s="67" t="s">
        <v>1012</v>
      </c>
      <c r="G984" s="25">
        <f t="shared" si="11"/>
        <v>-1.3228552717747033E-2</v>
      </c>
    </row>
    <row r="985" spans="1:7">
      <c r="A985" s="67">
        <v>75.24894397565599</v>
      </c>
      <c r="B985" s="67">
        <v>76.046979853307803</v>
      </c>
      <c r="C985" s="67">
        <v>72.300104086284065</v>
      </c>
      <c r="D985" s="67">
        <v>73.954568710684157</v>
      </c>
      <c r="E985" s="67">
        <v>357070.31222514593</v>
      </c>
      <c r="F985" s="67" t="s">
        <v>1013</v>
      </c>
      <c r="G985" s="25">
        <f t="shared" si="11"/>
        <v>1.7502302934596647E-2</v>
      </c>
    </row>
    <row r="986" spans="1:7">
      <c r="A986" s="67">
        <v>74.217336621618301</v>
      </c>
      <c r="B986" s="67">
        <v>77.750105201954966</v>
      </c>
      <c r="C986" s="67">
        <v>73.390104309418234</v>
      </c>
      <c r="D986" s="67">
        <v>77.750105201954966</v>
      </c>
      <c r="E986" s="67">
        <v>422936.5739710044</v>
      </c>
      <c r="F986" s="67" t="s">
        <v>1014</v>
      </c>
      <c r="G986" s="25">
        <f t="shared" si="11"/>
        <v>-4.5437476530229004E-2</v>
      </c>
    </row>
    <row r="987" spans="1:7">
      <c r="A987" s="67">
        <v>77.789033781352614</v>
      </c>
      <c r="B987" s="67">
        <v>79.336444812409169</v>
      </c>
      <c r="C987" s="67">
        <v>76.922872889754913</v>
      </c>
      <c r="D987" s="67">
        <v>78.499480355359708</v>
      </c>
      <c r="E987" s="67">
        <v>417558.52002607565</v>
      </c>
      <c r="F987" s="67" t="s">
        <v>1015</v>
      </c>
      <c r="G987" s="25">
        <f t="shared" si="11"/>
        <v>-9.0503347384081057E-3</v>
      </c>
    </row>
    <row r="988" spans="1:7">
      <c r="A988" s="67">
        <v>79.628409157891525</v>
      </c>
      <c r="B988" s="67">
        <v>82.144168601464614</v>
      </c>
      <c r="C988" s="67">
        <v>79.492159129999777</v>
      </c>
      <c r="D988" s="67">
        <v>81.302338071990462</v>
      </c>
      <c r="E988" s="67">
        <v>259871.80001258649</v>
      </c>
      <c r="F988" s="67" t="s">
        <v>1016</v>
      </c>
      <c r="G988" s="25">
        <f t="shared" si="11"/>
        <v>-2.0588939430213338E-2</v>
      </c>
    </row>
    <row r="989" spans="1:7">
      <c r="A989" s="67">
        <v>82.110106094491684</v>
      </c>
      <c r="B989" s="67">
        <v>82.791356233950538</v>
      </c>
      <c r="C989" s="67">
        <v>79.489726093787411</v>
      </c>
      <c r="D989" s="67">
        <v>81.370463085936336</v>
      </c>
      <c r="E989" s="67">
        <v>293238.54547564947</v>
      </c>
      <c r="F989" s="67" t="s">
        <v>1017</v>
      </c>
      <c r="G989" s="25">
        <f t="shared" si="11"/>
        <v>9.0898217916519641E-3</v>
      </c>
    </row>
    <row r="990" spans="1:7">
      <c r="A990" s="67">
        <v>82.947070551541145</v>
      </c>
      <c r="B990" s="67">
        <v>83.170909883077613</v>
      </c>
      <c r="C990" s="67">
        <v>80.572427208284537</v>
      </c>
      <c r="D990" s="67">
        <v>81.088230885303375</v>
      </c>
      <c r="E990" s="67">
        <v>602494.11519538553</v>
      </c>
      <c r="F990" s="67" t="s">
        <v>1018</v>
      </c>
      <c r="G990" s="25">
        <f t="shared" si="11"/>
        <v>2.2923667786846069E-2</v>
      </c>
    </row>
    <row r="991" spans="1:7">
      <c r="A991" s="67">
        <v>79.521355564547989</v>
      </c>
      <c r="B991" s="67">
        <v>80.864391553766907</v>
      </c>
      <c r="C991" s="67">
        <v>77.711176622557304</v>
      </c>
      <c r="D991" s="67">
        <v>79.01528403237856</v>
      </c>
      <c r="E991" s="67">
        <v>222152.46828457926</v>
      </c>
      <c r="F991" s="67" t="s">
        <v>1019</v>
      </c>
      <c r="G991" s="25">
        <f t="shared" si="11"/>
        <v>6.4047296465079562E-3</v>
      </c>
    </row>
    <row r="992" spans="1:7">
      <c r="A992" s="67">
        <v>78.022605257738505</v>
      </c>
      <c r="B992" s="67">
        <v>81.419123810183393</v>
      </c>
      <c r="C992" s="67">
        <v>77.87662308499732</v>
      </c>
      <c r="D992" s="67">
        <v>79.949569937922149</v>
      </c>
      <c r="E992" s="67">
        <v>403964.39436856564</v>
      </c>
      <c r="F992" s="67" t="s">
        <v>1020</v>
      </c>
      <c r="G992" s="25">
        <f t="shared" si="11"/>
        <v>-2.4102251978088907E-2</v>
      </c>
    </row>
    <row r="993" spans="1:7">
      <c r="A993" s="67">
        <v>79.793855620331541</v>
      </c>
      <c r="B993" s="67">
        <v>80.027427096717446</v>
      </c>
      <c r="C993" s="67">
        <v>76.762292499739615</v>
      </c>
      <c r="D993" s="67">
        <v>77.64305160861143</v>
      </c>
      <c r="E993" s="67">
        <v>351416.8821898005</v>
      </c>
      <c r="F993" s="67" t="s">
        <v>1021</v>
      </c>
      <c r="G993" s="25">
        <f t="shared" si="11"/>
        <v>2.7701178240160385E-2</v>
      </c>
    </row>
    <row r="994" spans="1:7">
      <c r="A994" s="67">
        <v>78.655194672950302</v>
      </c>
      <c r="B994" s="67">
        <v>78.888766149336206</v>
      </c>
      <c r="C994" s="67">
        <v>75.171086816860694</v>
      </c>
      <c r="D994" s="67">
        <v>76.44599779213371</v>
      </c>
      <c r="E994" s="67">
        <v>422630.37219882471</v>
      </c>
      <c r="F994" s="67" t="s">
        <v>1022</v>
      </c>
      <c r="G994" s="25">
        <f t="shared" si="11"/>
        <v>2.8898790579248823E-2</v>
      </c>
    </row>
    <row r="995" spans="1:7">
      <c r="A995" s="67">
        <v>75.696622638728968</v>
      </c>
      <c r="B995" s="67">
        <v>79.190462639667984</v>
      </c>
      <c r="C995" s="67">
        <v>75.025104644119523</v>
      </c>
      <c r="D995" s="67">
        <v>78.781712555992669</v>
      </c>
      <c r="E995" s="67">
        <v>536537.43144968874</v>
      </c>
      <c r="F995" s="67" t="s">
        <v>1023</v>
      </c>
      <c r="G995" s="25">
        <f t="shared" si="11"/>
        <v>-3.9159975293390992E-2</v>
      </c>
    </row>
    <row r="996" spans="1:7">
      <c r="A996" s="67">
        <v>77.769569491653783</v>
      </c>
      <c r="B996" s="67">
        <v>80.835195119218668</v>
      </c>
      <c r="C996" s="67">
        <v>77.691712332858486</v>
      </c>
      <c r="D996" s="67">
        <v>79.647873447590371</v>
      </c>
      <c r="E996" s="67">
        <v>298527.20494346536</v>
      </c>
      <c r="F996" s="67" t="s">
        <v>1024</v>
      </c>
      <c r="G996" s="25">
        <f t="shared" si="11"/>
        <v>-2.3582600195503511E-2</v>
      </c>
    </row>
    <row r="997" spans="1:7">
      <c r="A997" s="67">
        <v>79.900909213675078</v>
      </c>
      <c r="B997" s="67">
        <v>80.309659297350393</v>
      </c>
      <c r="C997" s="67">
        <v>77.969078461066729</v>
      </c>
      <c r="D997" s="67">
        <v>79.764659185783302</v>
      </c>
      <c r="E997" s="67">
        <v>339790.46255149919</v>
      </c>
      <c r="F997" s="67" t="s">
        <v>1025</v>
      </c>
      <c r="G997" s="25">
        <f t="shared" si="11"/>
        <v>1.708150317228041E-3</v>
      </c>
    </row>
    <row r="998" spans="1:7">
      <c r="A998" s="67">
        <v>81.020105871357501</v>
      </c>
      <c r="B998" s="67">
        <v>84.085731498922385</v>
      </c>
      <c r="C998" s="67">
        <v>80.835195119218668</v>
      </c>
      <c r="D998" s="67">
        <v>84.027338629825906</v>
      </c>
      <c r="E998" s="67">
        <v>342419.89320588834</v>
      </c>
      <c r="F998" s="67" t="s">
        <v>1026</v>
      </c>
      <c r="G998" s="25">
        <f t="shared" si="11"/>
        <v>-3.5788742182070843E-2</v>
      </c>
    </row>
    <row r="999" spans="1:7">
      <c r="A999" s="67">
        <v>84.153856512868259</v>
      </c>
      <c r="B999" s="67">
        <v>87.672026875930811</v>
      </c>
      <c r="C999" s="67">
        <v>83.978677905578849</v>
      </c>
      <c r="D999" s="67">
        <v>86.470106987028387</v>
      </c>
      <c r="E999" s="67">
        <v>175885.17500367513</v>
      </c>
      <c r="F999" s="67" t="s">
        <v>1027</v>
      </c>
      <c r="G999" s="25">
        <f t="shared" si="11"/>
        <v>-2.678671918964548E-2</v>
      </c>
    </row>
    <row r="1000" spans="1:7">
      <c r="A1000" s="67">
        <v>86.061356903353087</v>
      </c>
      <c r="B1000" s="67">
        <v>86.917785650101365</v>
      </c>
      <c r="C1000" s="67">
        <v>84.630731610489462</v>
      </c>
      <c r="D1000" s="67">
        <v>86.178142641546017</v>
      </c>
      <c r="E1000" s="67">
        <v>196809.64778444113</v>
      </c>
      <c r="F1000" s="67" t="s">
        <v>1028</v>
      </c>
      <c r="G1000" s="25">
        <f t="shared" si="11"/>
        <v>-1.3551665725576312E-3</v>
      </c>
    </row>
    <row r="1001" spans="1:7">
      <c r="A1001" s="67">
        <v>86.908053505251942</v>
      </c>
      <c r="B1001" s="67">
        <v>88.270553784169678</v>
      </c>
      <c r="C1001" s="67">
        <v>84.562606596543574</v>
      </c>
      <c r="D1001" s="67">
        <v>87.248678574981383</v>
      </c>
      <c r="E1001" s="67">
        <v>476260.89333019871</v>
      </c>
      <c r="F1001" s="67" t="s">
        <v>1029</v>
      </c>
      <c r="G1001" s="25">
        <f t="shared" si="11"/>
        <v>-3.9040713887340539E-3</v>
      </c>
    </row>
    <row r="1002" spans="1:7">
      <c r="A1002" s="67">
        <v>89.039393227273237</v>
      </c>
      <c r="B1002" s="67">
        <v>90.119661305557997</v>
      </c>
      <c r="C1002" s="67">
        <v>87.092964257390776</v>
      </c>
      <c r="D1002" s="67">
        <v>89.010196792724997</v>
      </c>
      <c r="E1002" s="67">
        <v>675259.16451981722</v>
      </c>
      <c r="F1002" s="67" t="s">
        <v>1030</v>
      </c>
      <c r="G1002" s="25">
        <f t="shared" si="11"/>
        <v>3.2801224579048771E-4</v>
      </c>
    </row>
    <row r="1003" spans="1:7">
      <c r="A1003" s="67">
        <v>90.109929160708603</v>
      </c>
      <c r="B1003" s="67">
        <v>93.647563813469972</v>
      </c>
      <c r="C1003" s="67">
        <v>89.89582197402153</v>
      </c>
      <c r="D1003" s="67">
        <v>90.538143534082735</v>
      </c>
      <c r="E1003" s="67">
        <v>409991.84267596953</v>
      </c>
      <c r="F1003" s="67" t="s">
        <v>1031</v>
      </c>
      <c r="G1003" s="25">
        <f t="shared" si="11"/>
        <v>-4.7296570998601739E-3</v>
      </c>
    </row>
    <row r="1004" spans="1:7">
      <c r="A1004" s="67">
        <v>90.97609005230629</v>
      </c>
      <c r="B1004" s="67">
        <v>92.37265283819697</v>
      </c>
      <c r="C1004" s="67">
        <v>90.15858988495566</v>
      </c>
      <c r="D1004" s="67">
        <v>91.598947322668678</v>
      </c>
      <c r="E1004" s="67">
        <v>374982.08837493538</v>
      </c>
      <c r="F1004" s="67" t="s">
        <v>1032</v>
      </c>
      <c r="G1004" s="25">
        <f t="shared" si="11"/>
        <v>-6.7998300042498849E-3</v>
      </c>
    </row>
    <row r="1005" spans="1:7">
      <c r="A1005" s="67">
        <v>91.725465205711004</v>
      </c>
      <c r="B1005" s="67">
        <v>95.88200296198886</v>
      </c>
      <c r="C1005" s="67">
        <v>91.706042132083539</v>
      </c>
      <c r="D1005" s="67">
        <v>93.716330252526319</v>
      </c>
      <c r="E1005" s="67">
        <v>586604.37675981282</v>
      </c>
      <c r="F1005" s="67" t="s">
        <v>1033</v>
      </c>
      <c r="G1005" s="25">
        <f t="shared" si="11"/>
        <v>-2.1243523316062052E-2</v>
      </c>
    </row>
    <row r="1006" spans="1:7">
      <c r="A1006" s="67">
        <v>96.387002876302986</v>
      </c>
      <c r="B1006" s="67">
        <v>97.095945063705514</v>
      </c>
      <c r="C1006" s="67">
        <v>94.978830038311656</v>
      </c>
      <c r="D1006" s="67">
        <v>96.056810624636043</v>
      </c>
      <c r="E1006" s="67">
        <v>432477.38031128701</v>
      </c>
      <c r="F1006" s="67" t="s">
        <v>1034</v>
      </c>
      <c r="G1006" s="25">
        <f t="shared" si="11"/>
        <v>3.4374684056213134E-3</v>
      </c>
    </row>
    <row r="1007" spans="1:7">
      <c r="A1007" s="67">
        <v>95.182772311400058</v>
      </c>
      <c r="B1007" s="67">
        <v>95.192483848213783</v>
      </c>
      <c r="C1007" s="67">
        <v>91.170645107542413</v>
      </c>
      <c r="D1007" s="67">
        <v>91.356426806789131</v>
      </c>
      <c r="E1007" s="67">
        <v>298042.4268079687</v>
      </c>
      <c r="F1007" s="67" t="s">
        <v>1035</v>
      </c>
      <c r="G1007" s="25">
        <f t="shared" si="11"/>
        <v>4.1883703624960189E-2</v>
      </c>
    </row>
    <row r="1008" spans="1:7">
      <c r="A1008" s="67">
        <v>90.676619229827807</v>
      </c>
      <c r="B1008" s="67">
        <v>90.725176913896476</v>
      </c>
      <c r="C1008" s="67">
        <v>86.937677556540478</v>
      </c>
      <c r="D1008" s="67">
        <v>86.937677556540478</v>
      </c>
      <c r="E1008" s="67">
        <v>311573.75583657005</v>
      </c>
      <c r="F1008" s="67" t="s">
        <v>1036</v>
      </c>
      <c r="G1008" s="25">
        <f t="shared" si="11"/>
        <v>4.3007149240393394E-2</v>
      </c>
    </row>
    <row r="1009" spans="1:7">
      <c r="A1009" s="67">
        <v>87.869985090658886</v>
      </c>
      <c r="B1009" s="67">
        <v>88.015658142864879</v>
      </c>
      <c r="C1009" s="67">
        <v>83.553206976954428</v>
      </c>
      <c r="D1009" s="67">
        <v>83.567774282175023</v>
      </c>
      <c r="E1009" s="67">
        <v>403544.78134274273</v>
      </c>
      <c r="F1009" s="67" t="s">
        <v>1037</v>
      </c>
      <c r="G1009" s="25">
        <f t="shared" si="11"/>
        <v>5.1481696687972311E-2</v>
      </c>
    </row>
    <row r="1010" spans="1:7">
      <c r="A1010" s="67">
        <v>83.684312723939826</v>
      </c>
      <c r="B1010" s="67">
        <v>85.422677813598085</v>
      </c>
      <c r="C1010" s="67">
        <v>83.218158956880629</v>
      </c>
      <c r="D1010" s="67">
        <v>85.422677813598085</v>
      </c>
      <c r="E1010" s="67">
        <v>223035.76061586704</v>
      </c>
      <c r="F1010" s="67" t="s">
        <v>1038</v>
      </c>
      <c r="G1010" s="25">
        <f t="shared" si="11"/>
        <v>-2.0350159163255999E-2</v>
      </c>
    </row>
    <row r="1011" spans="1:7">
      <c r="A1011" s="67">
        <v>85.422677813598085</v>
      </c>
      <c r="B1011" s="67">
        <v>87.65633128075676</v>
      </c>
      <c r="C1011" s="67">
        <v>84.684601015754367</v>
      </c>
      <c r="D1011" s="67">
        <v>86.248158442765416</v>
      </c>
      <c r="E1011" s="67">
        <v>355551.34745688317</v>
      </c>
      <c r="F1011" s="67" t="s">
        <v>1039</v>
      </c>
      <c r="G1011" s="25">
        <f t="shared" si="11"/>
        <v>-9.5709942574034867E-3</v>
      </c>
    </row>
    <row r="1012" spans="1:7">
      <c r="A1012" s="67">
        <v>85.12162017237236</v>
      </c>
      <c r="B1012" s="67">
        <v>85.743158528451289</v>
      </c>
      <c r="C1012" s="67">
        <v>83.528928134920108</v>
      </c>
      <c r="D1012" s="67">
        <v>85.344985519088212</v>
      </c>
      <c r="E1012" s="67">
        <v>603690.24104499526</v>
      </c>
      <c r="F1012" s="67" t="s">
        <v>1040</v>
      </c>
      <c r="G1012" s="25">
        <f t="shared" si="11"/>
        <v>-2.6172052799270373E-3</v>
      </c>
    </row>
    <row r="1013" spans="1:7">
      <c r="A1013" s="67">
        <v>86.01508155923581</v>
      </c>
      <c r="B1013" s="67">
        <v>87.96710045879621</v>
      </c>
      <c r="C1013" s="67">
        <v>85.811139286147423</v>
      </c>
      <c r="D1013" s="67">
        <v>87.306715955462352</v>
      </c>
      <c r="E1013" s="67">
        <v>340555.78055607493</v>
      </c>
      <c r="F1013" s="67" t="s">
        <v>1041</v>
      </c>
      <c r="G1013" s="25">
        <f t="shared" si="11"/>
        <v>-1.4794215795328247E-2</v>
      </c>
    </row>
    <row r="1014" spans="1:7">
      <c r="A1014" s="67">
        <v>86.646331452128479</v>
      </c>
      <c r="B1014" s="67">
        <v>88.5789272780614</v>
      </c>
      <c r="C1014" s="67">
        <v>86.55892762080488</v>
      </c>
      <c r="D1014" s="67">
        <v>88.540081130806485</v>
      </c>
      <c r="E1014" s="67">
        <v>532417.27845670679</v>
      </c>
      <c r="F1014" s="67" t="s">
        <v>1042</v>
      </c>
      <c r="G1014" s="25">
        <f t="shared" si="11"/>
        <v>-2.138861467588038E-2</v>
      </c>
    </row>
    <row r="1015" spans="1:7">
      <c r="A1015" s="67">
        <v>88.239023489580745</v>
      </c>
      <c r="B1015" s="67">
        <v>89.045081045120611</v>
      </c>
      <c r="C1015" s="67">
        <v>87.491235154923288</v>
      </c>
      <c r="D1015" s="67">
        <v>88.889696456100879</v>
      </c>
      <c r="E1015" s="67">
        <v>248872.04222736057</v>
      </c>
      <c r="F1015" s="67" t="s">
        <v>1043</v>
      </c>
      <c r="G1015" s="25">
        <f t="shared" si="11"/>
        <v>-7.3200043701519002E-3</v>
      </c>
    </row>
    <row r="1016" spans="1:7">
      <c r="A1016" s="67">
        <v>89.249023318209012</v>
      </c>
      <c r="B1016" s="67">
        <v>93.803734083849932</v>
      </c>
      <c r="C1016" s="67">
        <v>89.210177170954069</v>
      </c>
      <c r="D1016" s="67">
        <v>93.38613800085939</v>
      </c>
      <c r="E1016" s="67">
        <v>223731.83994189507</v>
      </c>
      <c r="F1016" s="67" t="s">
        <v>1044</v>
      </c>
      <c r="G1016" s="25">
        <f t="shared" ref="G1016:G1079" si="12">A1016/D1016-1</f>
        <v>-4.4301164725457531E-2</v>
      </c>
    </row>
    <row r="1017" spans="1:7">
      <c r="A1017" s="67">
        <v>93.590080273947791</v>
      </c>
      <c r="B1017" s="67">
        <v>94.240753240467924</v>
      </c>
      <c r="C1017" s="67">
        <v>93.017099601937531</v>
      </c>
      <c r="D1017" s="67">
        <v>93.667772568457664</v>
      </c>
      <c r="E1017" s="67">
        <v>228701.18731972249</v>
      </c>
      <c r="F1017" s="67" t="s">
        <v>1045</v>
      </c>
      <c r="G1017" s="25">
        <f t="shared" si="12"/>
        <v>-8.2944530845008302E-4</v>
      </c>
    </row>
    <row r="1018" spans="1:7">
      <c r="A1018" s="67">
        <v>92.706330423898052</v>
      </c>
      <c r="B1018" s="67">
        <v>93.104503433261129</v>
      </c>
      <c r="C1018" s="67">
        <v>89.423830980856209</v>
      </c>
      <c r="D1018" s="67">
        <v>89.511234812179808</v>
      </c>
      <c r="E1018" s="67">
        <v>274123.45245248731</v>
      </c>
      <c r="F1018" s="67" t="s">
        <v>1046</v>
      </c>
      <c r="G1018" s="25">
        <f t="shared" si="12"/>
        <v>3.5694911576434674E-2</v>
      </c>
    </row>
    <row r="1019" spans="1:7">
      <c r="A1019" s="67">
        <v>90.2396000732098</v>
      </c>
      <c r="B1019" s="67">
        <v>91.929407478799391</v>
      </c>
      <c r="C1019" s="67">
        <v>90.191042389141145</v>
      </c>
      <c r="D1019" s="67">
        <v>91.647772911201145</v>
      </c>
      <c r="E1019" s="67">
        <v>291259.77219177532</v>
      </c>
      <c r="F1019" s="67" t="s">
        <v>1047</v>
      </c>
      <c r="G1019" s="25">
        <f t="shared" si="12"/>
        <v>-1.5365052453110262E-2</v>
      </c>
    </row>
    <row r="1020" spans="1:7">
      <c r="A1020" s="67">
        <v>92.1916189727702</v>
      </c>
      <c r="B1020" s="67">
        <v>94.54181088169365</v>
      </c>
      <c r="C1020" s="67">
        <v>91.842003647475792</v>
      </c>
      <c r="D1020" s="67">
        <v>94.289310924536593</v>
      </c>
      <c r="E1020" s="67">
        <v>340727.74098129192</v>
      </c>
      <c r="F1020" s="67" t="s">
        <v>1048</v>
      </c>
      <c r="G1020" s="25">
        <f t="shared" si="12"/>
        <v>-2.2247399320218353E-2</v>
      </c>
    </row>
    <row r="1021" spans="1:7">
      <c r="A1021" s="67">
        <v>95.425560731743388</v>
      </c>
      <c r="B1021" s="67">
        <v>97.227050810690912</v>
      </c>
      <c r="C1021" s="67">
        <v>93.871714841546051</v>
      </c>
      <c r="D1021" s="67">
        <v>97.134791210960444</v>
      </c>
      <c r="E1021" s="67">
        <v>258482.2616797566</v>
      </c>
      <c r="F1021" s="67" t="s">
        <v>1049</v>
      </c>
      <c r="G1021" s="25">
        <f t="shared" si="12"/>
        <v>-1.7596480703859219E-2</v>
      </c>
    </row>
    <row r="1022" spans="1:7">
      <c r="A1022" s="67">
        <v>97.387291168117514</v>
      </c>
      <c r="B1022" s="67">
        <v>98.51382943851057</v>
      </c>
      <c r="C1022" s="67">
        <v>96.474406707626585</v>
      </c>
      <c r="D1022" s="67">
        <v>98.51382943851057</v>
      </c>
      <c r="E1022" s="67">
        <v>183044.14986989496</v>
      </c>
      <c r="F1022" s="67" t="s">
        <v>1050</v>
      </c>
      <c r="G1022" s="25">
        <f t="shared" si="12"/>
        <v>-1.1435331230283841E-2</v>
      </c>
    </row>
    <row r="1023" spans="1:7">
      <c r="A1023" s="67">
        <v>98.329310239049647</v>
      </c>
      <c r="B1023" s="67">
        <v>99.732627308634093</v>
      </c>
      <c r="C1023" s="67">
        <v>98.212771797284844</v>
      </c>
      <c r="D1023" s="67">
        <v>99.475271583070182</v>
      </c>
      <c r="E1023" s="67">
        <v>272677.74923689064</v>
      </c>
      <c r="F1023" s="67" t="s">
        <v>1051</v>
      </c>
      <c r="G1023" s="25">
        <f t="shared" si="12"/>
        <v>-1.1520062481694904E-2</v>
      </c>
    </row>
    <row r="1024" spans="1:7">
      <c r="A1024" s="67">
        <v>100.06767532870791</v>
      </c>
      <c r="B1024" s="67">
        <v>100.58238677983576</v>
      </c>
      <c r="C1024" s="67">
        <v>97.989989142777802</v>
      </c>
      <c r="D1024" s="67">
        <v>99.251906236354316</v>
      </c>
      <c r="E1024" s="67">
        <v>215921.54158697985</v>
      </c>
      <c r="F1024" s="67" t="s">
        <v>1052</v>
      </c>
      <c r="G1024" s="25">
        <f t="shared" si="12"/>
        <v>8.219178082191636E-3</v>
      </c>
    </row>
    <row r="1025" spans="1:7">
      <c r="A1025" s="67">
        <v>100.23277145454136</v>
      </c>
      <c r="B1025" s="67">
        <v>101.05825208370869</v>
      </c>
      <c r="C1025" s="67">
        <v>99.067387036893379</v>
      </c>
      <c r="D1025" s="67">
        <v>99.679213856158569</v>
      </c>
      <c r="E1025" s="67">
        <v>246156.7150339642</v>
      </c>
      <c r="F1025" s="67" t="s">
        <v>1053</v>
      </c>
      <c r="G1025" s="25">
        <f t="shared" si="12"/>
        <v>5.5533904910365361E-3</v>
      </c>
    </row>
    <row r="1026" spans="1:7">
      <c r="A1026" s="67">
        <v>100.17450223365897</v>
      </c>
      <c r="B1026" s="67">
        <v>100.1842137704727</v>
      </c>
      <c r="C1026" s="67">
        <v>97.503829609882317</v>
      </c>
      <c r="D1026" s="67">
        <v>98.51382943851057</v>
      </c>
      <c r="E1026" s="67">
        <v>268935.80800791737</v>
      </c>
      <c r="F1026" s="67" t="s">
        <v>1054</v>
      </c>
      <c r="G1026" s="25">
        <f t="shared" si="12"/>
        <v>1.6857255520504877E-2</v>
      </c>
    </row>
    <row r="1027" spans="1:7">
      <c r="A1027" s="67">
        <v>97.639791125274584</v>
      </c>
      <c r="B1027" s="67">
        <v>100.85430981062029</v>
      </c>
      <c r="C1027" s="67">
        <v>97.105656600519239</v>
      </c>
      <c r="D1027" s="67">
        <v>99.193637015471907</v>
      </c>
      <c r="E1027" s="67">
        <v>233302.93067478068</v>
      </c>
      <c r="F1027" s="67" t="s">
        <v>1055</v>
      </c>
      <c r="G1027" s="25">
        <f t="shared" si="12"/>
        <v>-1.5664773839827673E-2</v>
      </c>
    </row>
    <row r="1028" spans="1:7">
      <c r="A1028" s="67">
        <v>97.940848766500309</v>
      </c>
      <c r="B1028" s="67">
        <v>97.940848766500309</v>
      </c>
      <c r="C1028" s="67">
        <v>95.33815690041979</v>
      </c>
      <c r="D1028" s="67">
        <v>96.620079759832578</v>
      </c>
      <c r="E1028" s="67">
        <v>335468.01731657115</v>
      </c>
      <c r="F1028" s="67" t="s">
        <v>1056</v>
      </c>
      <c r="G1028" s="25">
        <f t="shared" si="12"/>
        <v>1.366971554930152E-2</v>
      </c>
    </row>
    <row r="1029" spans="1:7">
      <c r="A1029" s="67">
        <v>94.590368565762333</v>
      </c>
      <c r="B1029" s="67">
        <v>98.076810281892577</v>
      </c>
      <c r="C1029" s="67">
        <v>94.046522504193263</v>
      </c>
      <c r="D1029" s="67">
        <v>97.095945063705514</v>
      </c>
      <c r="E1029" s="67">
        <v>298848.68437051302</v>
      </c>
      <c r="F1029" s="67" t="s">
        <v>1057</v>
      </c>
      <c r="G1029" s="25">
        <f t="shared" si="12"/>
        <v>-2.5805161032206314E-2</v>
      </c>
    </row>
    <row r="1030" spans="1:7">
      <c r="A1030" s="67">
        <v>97.61065651483338</v>
      </c>
      <c r="B1030" s="67">
        <v>98.105944892333767</v>
      </c>
      <c r="C1030" s="67">
        <v>94.396137829487657</v>
      </c>
      <c r="D1030" s="67">
        <v>94.396137829487657</v>
      </c>
      <c r="E1030" s="67">
        <v>283028.32525055023</v>
      </c>
      <c r="F1030" s="67" t="s">
        <v>1058</v>
      </c>
      <c r="G1030" s="25">
        <f t="shared" si="12"/>
        <v>3.4053497942386768E-2</v>
      </c>
    </row>
    <row r="1031" spans="1:7">
      <c r="A1031" s="67">
        <v>94.211618630026734</v>
      </c>
      <c r="B1031" s="67">
        <v>95.755752983410318</v>
      </c>
      <c r="C1031" s="67">
        <v>92.84229193929032</v>
      </c>
      <c r="D1031" s="67">
        <v>92.881138086545263</v>
      </c>
      <c r="E1031" s="67">
        <v>362317.52682275634</v>
      </c>
      <c r="F1031" s="67" t="s">
        <v>1059</v>
      </c>
      <c r="G1031" s="25">
        <f t="shared" si="12"/>
        <v>1.4324550397323499E-2</v>
      </c>
    </row>
    <row r="1032" spans="1:7">
      <c r="A1032" s="67">
        <v>93.745464862967523</v>
      </c>
      <c r="B1032" s="67">
        <v>98.028252597823908</v>
      </c>
      <c r="C1032" s="67">
        <v>93.376426464045664</v>
      </c>
      <c r="D1032" s="67">
        <v>97.64950266208831</v>
      </c>
      <c r="E1032" s="67">
        <v>377137.01448576758</v>
      </c>
      <c r="F1032" s="67" t="s">
        <v>1060</v>
      </c>
      <c r="G1032" s="25">
        <f t="shared" si="12"/>
        <v>-3.9980109398309316E-2</v>
      </c>
    </row>
    <row r="1033" spans="1:7">
      <c r="A1033" s="67">
        <v>97.183348895029113</v>
      </c>
      <c r="B1033" s="67">
        <v>97.698060346156979</v>
      </c>
      <c r="C1033" s="67">
        <v>95.600368394390586</v>
      </c>
      <c r="D1033" s="67">
        <v>96.173349066400846</v>
      </c>
      <c r="E1033" s="67">
        <v>335638.94803864311</v>
      </c>
      <c r="F1033" s="67" t="s">
        <v>1061</v>
      </c>
      <c r="G1033" s="25">
        <f t="shared" si="12"/>
        <v>1.0501868120771585E-2</v>
      </c>
    </row>
    <row r="1034" spans="1:7">
      <c r="A1034" s="67">
        <v>95.61979146801805</v>
      </c>
      <c r="B1034" s="67">
        <v>97.251329652725246</v>
      </c>
      <c r="C1034" s="67">
        <v>93.405561074486869</v>
      </c>
      <c r="D1034" s="67">
        <v>95.192483848213783</v>
      </c>
      <c r="E1034" s="67">
        <v>562236.45183310634</v>
      </c>
      <c r="F1034" s="67" t="s">
        <v>1062</v>
      </c>
      <c r="G1034" s="25">
        <f t="shared" si="12"/>
        <v>4.4888798204447689E-3</v>
      </c>
    </row>
    <row r="1035" spans="1:7">
      <c r="A1035" s="67">
        <v>94.755464691595776</v>
      </c>
      <c r="B1035" s="67">
        <v>96.153925992773395</v>
      </c>
      <c r="C1035" s="67">
        <v>92.764599644780461</v>
      </c>
      <c r="D1035" s="67">
        <v>93.38613800085939</v>
      </c>
      <c r="E1035" s="67">
        <v>374391.8259011659</v>
      </c>
      <c r="F1035" s="67" t="s">
        <v>1063</v>
      </c>
      <c r="G1035" s="25">
        <f t="shared" si="12"/>
        <v>1.4663061564059721E-2</v>
      </c>
    </row>
    <row r="1036" spans="1:7">
      <c r="A1036" s="67">
        <v>94.813733912478185</v>
      </c>
      <c r="B1036" s="67">
        <v>98.290464091794703</v>
      </c>
      <c r="C1036" s="67">
        <v>94.201907093212995</v>
      </c>
      <c r="D1036" s="67">
        <v>96.367579802675522</v>
      </c>
      <c r="E1036" s="67">
        <v>422547.95288393728</v>
      </c>
      <c r="F1036" s="67" t="s">
        <v>1064</v>
      </c>
      <c r="G1036" s="25">
        <f t="shared" si="12"/>
        <v>-1.6124156001209422E-2</v>
      </c>
    </row>
    <row r="1037" spans="1:7">
      <c r="A1037" s="67">
        <v>96.74632973841112</v>
      </c>
      <c r="B1037" s="67">
        <v>99.737483077040977</v>
      </c>
      <c r="C1037" s="67">
        <v>95.804310667478987</v>
      </c>
      <c r="D1037" s="67">
        <v>96.280175971351923</v>
      </c>
      <c r="E1037" s="67">
        <v>683544.74964381289</v>
      </c>
      <c r="F1037" s="67" t="s">
        <v>1065</v>
      </c>
      <c r="G1037" s="25">
        <f t="shared" si="12"/>
        <v>4.8416380875528908E-3</v>
      </c>
    </row>
    <row r="1038" spans="1:7">
      <c r="A1038" s="67">
        <v>100.92229056831644</v>
      </c>
      <c r="B1038" s="67">
        <v>101.64094429253269</v>
      </c>
      <c r="C1038" s="67">
        <v>99.213060089099372</v>
      </c>
      <c r="D1038" s="67">
        <v>100.3298868226787</v>
      </c>
      <c r="E1038" s="67">
        <v>398804.02806310792</v>
      </c>
      <c r="F1038" s="67" t="s">
        <v>1066</v>
      </c>
      <c r="G1038" s="25">
        <f t="shared" si="12"/>
        <v>5.9045590939890147E-3</v>
      </c>
    </row>
    <row r="1039" spans="1:7">
      <c r="A1039" s="67">
        <v>99.203348552285647</v>
      </c>
      <c r="B1039" s="67">
        <v>99.494694656697646</v>
      </c>
      <c r="C1039" s="67">
        <v>97.445560388999922</v>
      </c>
      <c r="D1039" s="67">
        <v>99.494694656697646</v>
      </c>
      <c r="E1039" s="67">
        <v>526710.66362705082</v>
      </c>
      <c r="F1039" s="67" t="s">
        <v>1067</v>
      </c>
      <c r="G1039" s="25">
        <f t="shared" si="12"/>
        <v>-2.9282576866764831E-3</v>
      </c>
    </row>
    <row r="1040" spans="1:7">
      <c r="A1040" s="67">
        <v>99.611233098462435</v>
      </c>
      <c r="B1040" s="67">
        <v>100.38815604356111</v>
      </c>
      <c r="C1040" s="67">
        <v>98.649790953902837</v>
      </c>
      <c r="D1040" s="67">
        <v>99.815175371550836</v>
      </c>
      <c r="E1040" s="67">
        <v>472475.16927612916</v>
      </c>
      <c r="F1040" s="67" t="s">
        <v>1068</v>
      </c>
      <c r="G1040" s="25">
        <f t="shared" si="12"/>
        <v>-2.0431990659661725E-3</v>
      </c>
    </row>
    <row r="1041" spans="1:7">
      <c r="A1041" s="67">
        <v>99.115944720962048</v>
      </c>
      <c r="B1041" s="67">
        <v>99.897237857626891</v>
      </c>
      <c r="C1041" s="67">
        <v>97.766041103853112</v>
      </c>
      <c r="D1041" s="67">
        <v>99.543252340766301</v>
      </c>
      <c r="E1041" s="67">
        <v>252019.84474166195</v>
      </c>
      <c r="F1041" s="67" t="s">
        <v>1069</v>
      </c>
      <c r="G1041" s="25">
        <f t="shared" si="12"/>
        <v>-4.2926829268291611E-3</v>
      </c>
    </row>
    <row r="1042" spans="1:7">
      <c r="A1042" s="67">
        <v>99.203348552285647</v>
      </c>
      <c r="B1042" s="67">
        <v>99.30046392042297</v>
      </c>
      <c r="C1042" s="67">
        <v>96.338445192234317</v>
      </c>
      <c r="D1042" s="67">
        <v>97.134791210960444</v>
      </c>
      <c r="E1042" s="67">
        <v>239517.18915492747</v>
      </c>
      <c r="F1042" s="67" t="s">
        <v>1070</v>
      </c>
      <c r="G1042" s="25">
        <f t="shared" si="12"/>
        <v>2.1295740851829725E-2</v>
      </c>
    </row>
    <row r="1043" spans="1:7">
      <c r="A1043" s="67">
        <v>97.057098916450585</v>
      </c>
      <c r="B1043" s="67">
        <v>97.377579631303774</v>
      </c>
      <c r="C1043" s="67">
        <v>94.79431083885072</v>
      </c>
      <c r="D1043" s="67">
        <v>95.464406878998318</v>
      </c>
      <c r="E1043" s="67">
        <v>248532.24018950664</v>
      </c>
      <c r="F1043" s="67" t="s">
        <v>1071</v>
      </c>
      <c r="G1043" s="25">
        <f t="shared" si="12"/>
        <v>1.6683621566632834E-2</v>
      </c>
    </row>
    <row r="1044" spans="1:7">
      <c r="A1044" s="67">
        <v>95.62950300483179</v>
      </c>
      <c r="B1044" s="67">
        <v>96.042243319415448</v>
      </c>
      <c r="C1044" s="67">
        <v>93.143349580516059</v>
      </c>
      <c r="D1044" s="67">
        <v>93.716330252526319</v>
      </c>
      <c r="E1044" s="67">
        <v>358508.65488935733</v>
      </c>
      <c r="F1044" s="67" t="s">
        <v>1072</v>
      </c>
      <c r="G1044" s="25">
        <f t="shared" si="12"/>
        <v>2.0414507772020807E-2</v>
      </c>
    </row>
    <row r="1045" spans="1:7">
      <c r="A1045" s="67">
        <v>92.735465034339256</v>
      </c>
      <c r="B1045" s="67">
        <v>94.969118501497931</v>
      </c>
      <c r="C1045" s="67">
        <v>92.23046512002513</v>
      </c>
      <c r="D1045" s="67">
        <v>93.687195642085129</v>
      </c>
      <c r="E1045" s="67">
        <v>265708.71835145011</v>
      </c>
      <c r="F1045" s="67" t="s">
        <v>1073</v>
      </c>
      <c r="G1045" s="25">
        <f t="shared" si="12"/>
        <v>-1.0158598528039908E-2</v>
      </c>
    </row>
    <row r="1046" spans="1:7">
      <c r="A1046" s="67">
        <v>93.308445706349531</v>
      </c>
      <c r="B1046" s="67">
        <v>93.764887936594988</v>
      </c>
      <c r="C1046" s="67">
        <v>90.78344613477887</v>
      </c>
      <c r="D1046" s="67">
        <v>93.036522675564996</v>
      </c>
      <c r="E1046" s="67">
        <v>300111.10042629758</v>
      </c>
      <c r="F1046" s="67" t="s">
        <v>1074</v>
      </c>
      <c r="G1046" s="25">
        <f t="shared" si="12"/>
        <v>2.9227557411273253E-3</v>
      </c>
    </row>
    <row r="1047" spans="1:7">
      <c r="A1047" s="67">
        <v>90.997099944681011</v>
      </c>
      <c r="B1047" s="67">
        <v>92.1916189727702</v>
      </c>
      <c r="C1047" s="67">
        <v>89.66661940119954</v>
      </c>
      <c r="D1047" s="67">
        <v>90.259023146837265</v>
      </c>
      <c r="E1047" s="67">
        <v>260147.29166524083</v>
      </c>
      <c r="F1047" s="67" t="s">
        <v>1075</v>
      </c>
      <c r="G1047" s="25">
        <f t="shared" si="12"/>
        <v>8.1773187002369685E-3</v>
      </c>
    </row>
    <row r="1048" spans="1:7">
      <c r="A1048" s="67">
        <v>91.919695941985665</v>
      </c>
      <c r="B1048" s="67">
        <v>92.259599730466334</v>
      </c>
      <c r="C1048" s="67">
        <v>88.035081216492358</v>
      </c>
      <c r="D1048" s="67">
        <v>88.627484962130083</v>
      </c>
      <c r="E1048" s="67">
        <v>419600.9424829132</v>
      </c>
      <c r="F1048" s="67" t="s">
        <v>1076</v>
      </c>
      <c r="G1048" s="25">
        <f t="shared" si="12"/>
        <v>3.7146614069690997E-2</v>
      </c>
    </row>
    <row r="1049" spans="1:7">
      <c r="A1049" s="67">
        <v>90.016234726493934</v>
      </c>
      <c r="B1049" s="67">
        <v>91.191330680955673</v>
      </c>
      <c r="C1049" s="67">
        <v>89.074215655561815</v>
      </c>
      <c r="D1049" s="67">
        <v>89.754023232523139</v>
      </c>
      <c r="E1049" s="67">
        <v>474162.85273080366</v>
      </c>
      <c r="F1049" s="67" t="s">
        <v>1077</v>
      </c>
      <c r="G1049" s="25">
        <f t="shared" si="12"/>
        <v>2.9214455745509849E-3</v>
      </c>
    </row>
    <row r="1050" spans="1:7">
      <c r="A1050" s="67">
        <v>89.98710011605273</v>
      </c>
      <c r="B1050" s="67">
        <v>92.667484276643137</v>
      </c>
      <c r="C1050" s="67">
        <v>89.346138686346336</v>
      </c>
      <c r="D1050" s="67">
        <v>91.861426721103271</v>
      </c>
      <c r="E1050" s="67">
        <v>312645.67681052745</v>
      </c>
      <c r="F1050" s="67" t="s">
        <v>1078</v>
      </c>
      <c r="G1050" s="25">
        <f t="shared" si="12"/>
        <v>-2.0403848186912099E-2</v>
      </c>
    </row>
    <row r="1051" spans="1:7">
      <c r="A1051" s="67">
        <v>92.648061203015672</v>
      </c>
      <c r="B1051" s="67">
        <v>95.08080117485585</v>
      </c>
      <c r="C1051" s="67">
        <v>92.434407393113531</v>
      </c>
      <c r="D1051" s="67">
        <v>93.813445620663657</v>
      </c>
      <c r="E1051" s="67">
        <v>468962.85184849356</v>
      </c>
      <c r="F1051" s="67" t="s">
        <v>1079</v>
      </c>
      <c r="G1051" s="25">
        <f t="shared" si="12"/>
        <v>-1.2422360248447117E-2</v>
      </c>
    </row>
    <row r="1052" spans="1:7">
      <c r="A1052" s="67">
        <v>93.92027252561472</v>
      </c>
      <c r="B1052" s="67">
        <v>94.007676356938319</v>
      </c>
      <c r="C1052" s="67">
        <v>91.298157585906736</v>
      </c>
      <c r="D1052" s="67">
        <v>91.667195984828595</v>
      </c>
      <c r="E1052" s="67">
        <v>306331.53712531447</v>
      </c>
      <c r="F1052" s="67" t="s">
        <v>1080</v>
      </c>
      <c r="G1052" s="25">
        <f t="shared" si="12"/>
        <v>2.4578874880813562E-2</v>
      </c>
    </row>
    <row r="1053" spans="1:7">
      <c r="A1053" s="67">
        <v>91.249599901838067</v>
      </c>
      <c r="B1053" s="67">
        <v>94.84918102184831</v>
      </c>
      <c r="C1053" s="67">
        <v>90.890273039729934</v>
      </c>
      <c r="D1053" s="67">
        <v>94.172772482771791</v>
      </c>
      <c r="E1053" s="67">
        <v>474554.13992590818</v>
      </c>
      <c r="F1053" s="67" t="s">
        <v>1081</v>
      </c>
      <c r="G1053" s="25">
        <f t="shared" si="12"/>
        <v>-3.1040527998349998E-2</v>
      </c>
    </row>
    <row r="1054" spans="1:7">
      <c r="A1054" s="67">
        <v>94.18248401958553</v>
      </c>
      <c r="B1054" s="67">
        <v>94.561233955321129</v>
      </c>
      <c r="C1054" s="67">
        <v>90.327003904533413</v>
      </c>
      <c r="D1054" s="67">
        <v>92.152772825515271</v>
      </c>
      <c r="E1054" s="67">
        <v>858628.26449962088</v>
      </c>
      <c r="F1054" s="67" t="s">
        <v>1082</v>
      </c>
      <c r="G1054" s="25">
        <f t="shared" si="12"/>
        <v>2.202550321424801E-2</v>
      </c>
    </row>
    <row r="1055" spans="1:7">
      <c r="A1055" s="67">
        <v>94.095080188261932</v>
      </c>
      <c r="B1055" s="67">
        <v>95.726618372969114</v>
      </c>
      <c r="C1055" s="67">
        <v>91.172004722696343</v>
      </c>
      <c r="D1055" s="67">
        <v>92.541234298064609</v>
      </c>
      <c r="E1055" s="67">
        <v>631457.2160533861</v>
      </c>
      <c r="F1055" s="67" t="s">
        <v>1083</v>
      </c>
      <c r="G1055" s="25">
        <f t="shared" si="12"/>
        <v>1.6790848987301876E-2</v>
      </c>
    </row>
    <row r="1056" spans="1:7">
      <c r="A1056" s="67">
        <v>92.997676528310066</v>
      </c>
      <c r="B1056" s="67">
        <v>96.853156643362183</v>
      </c>
      <c r="C1056" s="67">
        <v>91.744888279338468</v>
      </c>
      <c r="D1056" s="67">
        <v>96.629791296646317</v>
      </c>
      <c r="E1056" s="67">
        <v>1184597.2703034573</v>
      </c>
      <c r="F1056" s="67" t="s">
        <v>1084</v>
      </c>
      <c r="G1056" s="25">
        <f t="shared" si="12"/>
        <v>-3.758793969849239E-2</v>
      </c>
    </row>
    <row r="1057" spans="1:7">
      <c r="A1057" s="67">
        <v>97.115368137332979</v>
      </c>
      <c r="B1057" s="67">
        <v>97.999117987382704</v>
      </c>
      <c r="C1057" s="67">
        <v>94.133926335516861</v>
      </c>
      <c r="D1057" s="67">
        <v>95.08565694326272</v>
      </c>
      <c r="E1057" s="67">
        <v>1181651.2896055782</v>
      </c>
      <c r="F1057" s="67" t="s">
        <v>1085</v>
      </c>
      <c r="G1057" s="25">
        <f t="shared" si="12"/>
        <v>2.1346134204881961E-2</v>
      </c>
    </row>
    <row r="1058" spans="1:7">
      <c r="A1058" s="67">
        <v>94.677772397085917</v>
      </c>
      <c r="B1058" s="67">
        <v>96.81431049610724</v>
      </c>
      <c r="C1058" s="67">
        <v>94.046522504193263</v>
      </c>
      <c r="D1058" s="67">
        <v>95.250753069096191</v>
      </c>
      <c r="E1058" s="67">
        <v>1383289.8188680981</v>
      </c>
      <c r="F1058" s="67" t="s">
        <v>1086</v>
      </c>
      <c r="G1058" s="25">
        <f t="shared" si="12"/>
        <v>-6.015497553018001E-3</v>
      </c>
    </row>
    <row r="1059" spans="1:7">
      <c r="A1059" s="67">
        <v>94.561233955321129</v>
      </c>
      <c r="B1059" s="67">
        <v>94.930272354242987</v>
      </c>
      <c r="C1059" s="67">
        <v>91.278734512279257</v>
      </c>
      <c r="D1059" s="67">
        <v>92.269311267280074</v>
      </c>
      <c r="E1059" s="67">
        <v>763209.79286394839</v>
      </c>
      <c r="F1059" s="67" t="s">
        <v>1087</v>
      </c>
      <c r="G1059" s="25">
        <f t="shared" si="12"/>
        <v>2.483949057993895E-2</v>
      </c>
    </row>
    <row r="1060" spans="1:7">
      <c r="A1060" s="67">
        <v>91.356426806789131</v>
      </c>
      <c r="B1060" s="67">
        <v>91.424407564485264</v>
      </c>
      <c r="C1060" s="67">
        <v>88.190465805512076</v>
      </c>
      <c r="D1060" s="67">
        <v>89.802580916591808</v>
      </c>
      <c r="E1060" s="67">
        <v>1006840.6460831984</v>
      </c>
      <c r="F1060" s="67" t="s">
        <v>1088</v>
      </c>
      <c r="G1060" s="25">
        <f t="shared" si="12"/>
        <v>1.7302909051584159E-2</v>
      </c>
    </row>
    <row r="1061" spans="1:7">
      <c r="A1061" s="67">
        <v>88.608061888502604</v>
      </c>
      <c r="B1061" s="67">
        <v>88.986811824238202</v>
      </c>
      <c r="C1061" s="67">
        <v>86.379264189750813</v>
      </c>
      <c r="D1061" s="67">
        <v>87.258158271393683</v>
      </c>
      <c r="E1061" s="67">
        <v>1131069.1820131589</v>
      </c>
      <c r="F1061" s="67" t="s">
        <v>1089</v>
      </c>
      <c r="G1061" s="25">
        <f t="shared" si="12"/>
        <v>1.5470228158040999E-2</v>
      </c>
    </row>
    <row r="1062" spans="1:7">
      <c r="A1062" s="67">
        <v>87.083350608746485</v>
      </c>
      <c r="B1062" s="67">
        <v>89.229600244581533</v>
      </c>
      <c r="C1062" s="67">
        <v>84.723447163009283</v>
      </c>
      <c r="D1062" s="67">
        <v>85.995658485608345</v>
      </c>
      <c r="E1062" s="67">
        <v>713426.73491205822</v>
      </c>
      <c r="F1062" s="67" t="s">
        <v>1090</v>
      </c>
      <c r="G1062" s="25">
        <f t="shared" si="12"/>
        <v>1.2648221343873667E-2</v>
      </c>
    </row>
    <row r="1063" spans="1:7">
      <c r="A1063" s="67">
        <v>86.830850651589415</v>
      </c>
      <c r="B1063" s="67">
        <v>88.714888793453667</v>
      </c>
      <c r="C1063" s="67">
        <v>86.024793096049549</v>
      </c>
      <c r="D1063" s="67">
        <v>88.103061974188478</v>
      </c>
      <c r="E1063" s="67">
        <v>663502.60762930138</v>
      </c>
      <c r="F1063" s="67" t="s">
        <v>1091</v>
      </c>
      <c r="G1063" s="25">
        <f t="shared" si="12"/>
        <v>-1.4440035273368568E-2</v>
      </c>
    </row>
    <row r="1064" spans="1:7">
      <c r="A1064" s="67">
        <v>86.364696884530233</v>
      </c>
      <c r="B1064" s="67">
        <v>89.064504118748076</v>
      </c>
      <c r="C1064" s="67">
        <v>85.801427749333683</v>
      </c>
      <c r="D1064" s="67">
        <v>86.403543031785148</v>
      </c>
      <c r="E1064" s="67">
        <v>569945.83927981032</v>
      </c>
      <c r="F1064" s="67" t="s">
        <v>1092</v>
      </c>
      <c r="G1064" s="25">
        <f t="shared" si="12"/>
        <v>-4.4958974935349616E-4</v>
      </c>
    </row>
    <row r="1065" spans="1:7">
      <c r="A1065" s="67">
        <v>85.684889307568895</v>
      </c>
      <c r="B1065" s="67">
        <v>89.423830980856209</v>
      </c>
      <c r="C1065" s="67">
        <v>85.092485561931156</v>
      </c>
      <c r="D1065" s="67">
        <v>89.423830980856209</v>
      </c>
      <c r="E1065" s="67">
        <v>570688.25524736394</v>
      </c>
      <c r="F1065" s="67" t="s">
        <v>1093</v>
      </c>
      <c r="G1065" s="25">
        <f t="shared" si="12"/>
        <v>-4.1811468288444731E-2</v>
      </c>
    </row>
    <row r="1066" spans="1:7">
      <c r="A1066" s="67">
        <v>91.579792153504997</v>
      </c>
      <c r="B1066" s="67">
        <v>93.298734169535791</v>
      </c>
      <c r="C1066" s="67">
        <v>89.802580916591808</v>
      </c>
      <c r="D1066" s="67">
        <v>90.560080788063004</v>
      </c>
      <c r="E1066" s="67">
        <v>346712.37566010107</v>
      </c>
      <c r="F1066" s="67" t="s">
        <v>1094</v>
      </c>
      <c r="G1066" s="25">
        <f t="shared" si="12"/>
        <v>1.1260053619302823E-2</v>
      </c>
    </row>
    <row r="1067" spans="1:7">
      <c r="A1067" s="67">
        <v>90.666907693014068</v>
      </c>
      <c r="B1067" s="67">
        <v>94.143637872330586</v>
      </c>
      <c r="C1067" s="67">
        <v>89.710321316861339</v>
      </c>
      <c r="D1067" s="67">
        <v>94.095080188261932</v>
      </c>
      <c r="E1067" s="67">
        <v>307098.66596834833</v>
      </c>
      <c r="F1067" s="67" t="s">
        <v>1095</v>
      </c>
      <c r="G1067" s="25">
        <f t="shared" si="12"/>
        <v>-3.6433068428114446E-2</v>
      </c>
    </row>
    <row r="1068" spans="1:7">
      <c r="A1068" s="67">
        <v>93.512387979437946</v>
      </c>
      <c r="B1068" s="67">
        <v>98.203029059554851</v>
      </c>
      <c r="C1068" s="67">
        <v>92.746766811402352</v>
      </c>
      <c r="D1068" s="67">
        <v>96.710552352244932</v>
      </c>
      <c r="E1068" s="67">
        <v>453579.12568040198</v>
      </c>
      <c r="F1068" s="67" t="s">
        <v>1096</v>
      </c>
      <c r="G1068" s="25">
        <f t="shared" si="12"/>
        <v>-3.3069445836256262E-2</v>
      </c>
    </row>
    <row r="1069" spans="1:7">
      <c r="A1069" s="67">
        <v>99.559826066200245</v>
      </c>
      <c r="B1069" s="67">
        <v>101.67739853728608</v>
      </c>
      <c r="C1069" s="67">
        <v>96.652403909102986</v>
      </c>
      <c r="D1069" s="67">
        <v>98.425931424932315</v>
      </c>
      <c r="E1069" s="67">
        <v>771102.6740741072</v>
      </c>
      <c r="F1069" s="67" t="s">
        <v>1097</v>
      </c>
      <c r="G1069" s="25">
        <f t="shared" si="12"/>
        <v>1.1520283576211154E-2</v>
      </c>
    </row>
    <row r="1070" spans="1:7">
      <c r="A1070" s="67">
        <v>100.04439642571646</v>
      </c>
      <c r="B1070" s="67">
        <v>105.26806490130119</v>
      </c>
      <c r="C1070" s="67">
        <v>99.879642503480937</v>
      </c>
      <c r="D1070" s="67">
        <v>104.91917424244951</v>
      </c>
      <c r="E1070" s="67">
        <v>359823.90704639815</v>
      </c>
      <c r="F1070" s="67" t="s">
        <v>1098</v>
      </c>
      <c r="G1070" s="25">
        <f t="shared" si="12"/>
        <v>-4.6462220580084979E-2</v>
      </c>
    </row>
    <row r="1071" spans="1:7">
      <c r="A1071" s="67">
        <v>105.26806490130119</v>
      </c>
      <c r="B1071" s="67">
        <v>107.81690499235643</v>
      </c>
      <c r="C1071" s="67">
        <v>104.66719765550108</v>
      </c>
      <c r="D1071" s="67">
        <v>106.96406115960791</v>
      </c>
      <c r="E1071" s="67">
        <v>832237.24291066651</v>
      </c>
      <c r="F1071" s="67" t="s">
        <v>1099</v>
      </c>
      <c r="G1071" s="25">
        <f t="shared" si="12"/>
        <v>-1.5855757905227752E-2</v>
      </c>
    </row>
    <row r="1072" spans="1:7">
      <c r="A1072" s="67">
        <v>107.40017448317249</v>
      </c>
      <c r="B1072" s="67">
        <v>107.79752217797579</v>
      </c>
      <c r="C1072" s="67">
        <v>106.22751421314327</v>
      </c>
      <c r="D1072" s="67">
        <v>107.09004945308212</v>
      </c>
      <c r="E1072" s="67">
        <v>307907.81373619946</v>
      </c>
      <c r="F1072" s="67" t="s">
        <v>1100</v>
      </c>
      <c r="G1072" s="25">
        <f t="shared" si="12"/>
        <v>2.8959276018099001E-3</v>
      </c>
    </row>
    <row r="1073" spans="1:7">
      <c r="A1073" s="67">
        <v>107.42924870474346</v>
      </c>
      <c r="B1073" s="67">
        <v>108.77635430419852</v>
      </c>
      <c r="C1073" s="67">
        <v>105.25837349411086</v>
      </c>
      <c r="D1073" s="67">
        <v>108.61160038196302</v>
      </c>
      <c r="E1073" s="67">
        <v>468942.21971577086</v>
      </c>
      <c r="F1073" s="67" t="s">
        <v>1101</v>
      </c>
      <c r="G1073" s="25">
        <f t="shared" si="12"/>
        <v>-1.0886053359507541E-2</v>
      </c>
    </row>
    <row r="1074" spans="1:7">
      <c r="A1074" s="67">
        <v>107.63276825574027</v>
      </c>
      <c r="B1074" s="67">
        <v>111.91637023386356</v>
      </c>
      <c r="C1074" s="67">
        <v>107.15788930341438</v>
      </c>
      <c r="D1074" s="67">
        <v>111.48025691029898</v>
      </c>
      <c r="E1074" s="67">
        <v>564201.86383863003</v>
      </c>
      <c r="F1074" s="67" t="s">
        <v>1102</v>
      </c>
      <c r="G1074" s="25">
        <f t="shared" si="12"/>
        <v>-3.4512735808050143E-2</v>
      </c>
    </row>
    <row r="1075" spans="1:7">
      <c r="A1075" s="67">
        <v>112.08112415609908</v>
      </c>
      <c r="B1075" s="67">
        <v>112.81767110256371</v>
      </c>
      <c r="C1075" s="67">
        <v>108.82481134015015</v>
      </c>
      <c r="D1075" s="67">
        <v>109.43536999314057</v>
      </c>
      <c r="E1075" s="67">
        <v>2799964.9036614592</v>
      </c>
      <c r="F1075" s="67" t="s">
        <v>1103</v>
      </c>
      <c r="G1075" s="25">
        <f t="shared" si="12"/>
        <v>2.4176408076514555E-2</v>
      </c>
    </row>
    <row r="1076" spans="1:7">
      <c r="A1076" s="67">
        <v>108.34024098063395</v>
      </c>
      <c r="B1076" s="67">
        <v>112.75952265942176</v>
      </c>
      <c r="C1076" s="67">
        <v>105.04516253592372</v>
      </c>
      <c r="D1076" s="67">
        <v>108.75697148981787</v>
      </c>
      <c r="E1076" s="67">
        <v>987758.51762346539</v>
      </c>
      <c r="F1076" s="67" t="s">
        <v>1104</v>
      </c>
      <c r="G1076" s="25">
        <f t="shared" si="12"/>
        <v>-3.8317590447334293E-3</v>
      </c>
    </row>
    <row r="1077" spans="1:7">
      <c r="A1077" s="67">
        <v>112.70137421627983</v>
      </c>
      <c r="B1077" s="67">
        <v>113.71897197126385</v>
      </c>
      <c r="C1077" s="67">
        <v>109.98778020298904</v>
      </c>
      <c r="D1077" s="67">
        <v>111.09260062268601</v>
      </c>
      <c r="E1077" s="67">
        <v>269038.32939794008</v>
      </c>
      <c r="F1077" s="67" t="s">
        <v>1105</v>
      </c>
      <c r="G1077" s="25">
        <f t="shared" si="12"/>
        <v>1.4481374858239748E-2</v>
      </c>
    </row>
    <row r="1078" spans="1:7">
      <c r="A1078" s="67">
        <v>112.41063200057009</v>
      </c>
      <c r="B1078" s="67">
        <v>113.51545242026704</v>
      </c>
      <c r="C1078" s="67">
        <v>111.79038194038934</v>
      </c>
      <c r="D1078" s="67">
        <v>111.92606164105388</v>
      </c>
      <c r="E1078" s="67">
        <v>207118.52887618248</v>
      </c>
      <c r="F1078" s="67" t="s">
        <v>1106</v>
      </c>
      <c r="G1078" s="25">
        <f t="shared" si="12"/>
        <v>4.3293791670275805E-3</v>
      </c>
    </row>
    <row r="1079" spans="1:7">
      <c r="A1079" s="67">
        <v>112.03266712014745</v>
      </c>
      <c r="B1079" s="67">
        <v>112.49785466528301</v>
      </c>
      <c r="C1079" s="67">
        <v>108.77635430419852</v>
      </c>
      <c r="D1079" s="67">
        <v>109.71642080165996</v>
      </c>
      <c r="E1079" s="67">
        <v>234893.64911555775</v>
      </c>
      <c r="F1079" s="67" t="s">
        <v>1107</v>
      </c>
      <c r="G1079" s="25">
        <f t="shared" si="12"/>
        <v>2.1111209257132835E-2</v>
      </c>
    </row>
    <row r="1080" spans="1:7">
      <c r="A1080" s="67">
        <v>108.55345193882107</v>
      </c>
      <c r="B1080" s="67">
        <v>109.22215903495344</v>
      </c>
      <c r="C1080" s="67">
        <v>104.83195157773659</v>
      </c>
      <c r="D1080" s="67">
        <v>105.9949204405755</v>
      </c>
      <c r="E1080" s="67">
        <v>208418.64966902047</v>
      </c>
      <c r="F1080" s="67" t="s">
        <v>1108</v>
      </c>
      <c r="G1080" s="25">
        <f t="shared" ref="G1080:G1143" si="13">A1080/D1080-1</f>
        <v>2.4138246319831635E-2</v>
      </c>
    </row>
    <row r="1081" spans="1:7">
      <c r="A1081" s="67">
        <v>106.46010798571105</v>
      </c>
      <c r="B1081" s="67">
        <v>107.69091669888222</v>
      </c>
      <c r="C1081" s="67">
        <v>104.85734306457525</v>
      </c>
      <c r="D1081" s="67">
        <v>107.69091669888222</v>
      </c>
      <c r="E1081" s="67">
        <v>203272.85411831966</v>
      </c>
      <c r="F1081" s="67" t="s">
        <v>1109</v>
      </c>
      <c r="G1081" s="25">
        <f t="shared" si="13"/>
        <v>-1.1429085673146155E-2</v>
      </c>
    </row>
    <row r="1082" spans="1:7">
      <c r="A1082" s="67">
        <v>108.85388556172111</v>
      </c>
      <c r="B1082" s="67">
        <v>111.26220024851669</v>
      </c>
      <c r="C1082" s="67">
        <v>107.41955729755314</v>
      </c>
      <c r="D1082" s="67">
        <v>110.5692646344085</v>
      </c>
      <c r="E1082" s="67">
        <v>262350.96205001709</v>
      </c>
      <c r="F1082" s="67" t="s">
        <v>1110</v>
      </c>
      <c r="G1082" s="25">
        <f t="shared" si="13"/>
        <v>-1.5514067841178036E-2</v>
      </c>
    </row>
    <row r="1083" spans="1:7">
      <c r="A1083" s="67">
        <v>108.97987385519534</v>
      </c>
      <c r="B1083" s="67">
        <v>109.50320984347283</v>
      </c>
      <c r="C1083" s="67">
        <v>106.52794783604332</v>
      </c>
      <c r="D1083" s="67">
        <v>109.50320984347283</v>
      </c>
      <c r="E1083" s="67">
        <v>215858.22976137116</v>
      </c>
      <c r="F1083" s="67" t="s">
        <v>1111</v>
      </c>
      <c r="G1083" s="25">
        <f t="shared" si="13"/>
        <v>-4.7791839985839024E-3</v>
      </c>
    </row>
    <row r="1084" spans="1:7">
      <c r="A1084" s="67">
        <v>108.26270972311134</v>
      </c>
      <c r="B1084" s="67">
        <v>109.43536999314057</v>
      </c>
      <c r="C1084" s="67">
        <v>107.72968232764352</v>
      </c>
      <c r="D1084" s="67">
        <v>108.1657956512081</v>
      </c>
      <c r="E1084" s="67">
        <v>207421.89039451134</v>
      </c>
      <c r="F1084" s="67" t="s">
        <v>1112</v>
      </c>
      <c r="G1084" s="25">
        <f t="shared" si="13"/>
        <v>8.9597706298727431E-4</v>
      </c>
    </row>
    <row r="1085" spans="1:7">
      <c r="A1085" s="67">
        <v>109.16401059181149</v>
      </c>
      <c r="B1085" s="67">
        <v>113.57360086340898</v>
      </c>
      <c r="C1085" s="67">
        <v>108.45653786691783</v>
      </c>
      <c r="D1085" s="67">
        <v>111.60624520377318</v>
      </c>
      <c r="E1085" s="67">
        <v>280390.65397159365</v>
      </c>
      <c r="F1085" s="67" t="s">
        <v>1113</v>
      </c>
      <c r="G1085" s="25">
        <f t="shared" si="13"/>
        <v>-2.1882598124348784E-2</v>
      </c>
    </row>
    <row r="1086" spans="1:7">
      <c r="A1086" s="67">
        <v>113.99033137259293</v>
      </c>
      <c r="B1086" s="67">
        <v>115.05154045993343</v>
      </c>
      <c r="C1086" s="67">
        <v>110.58864744878915</v>
      </c>
      <c r="D1086" s="67">
        <v>113.51545242026704</v>
      </c>
      <c r="E1086" s="67">
        <v>237679.62224306772</v>
      </c>
      <c r="F1086" s="67" t="s">
        <v>1114</v>
      </c>
      <c r="G1086" s="25">
        <f t="shared" si="13"/>
        <v>4.1833859813882324E-3</v>
      </c>
    </row>
    <row r="1087" spans="1:7">
      <c r="A1087" s="67">
        <v>111.67408505410546</v>
      </c>
      <c r="B1087" s="67">
        <v>114.37798766020589</v>
      </c>
      <c r="C1087" s="67">
        <v>110.93753810764082</v>
      </c>
      <c r="D1087" s="67">
        <v>110.93753810764082</v>
      </c>
      <c r="E1087" s="67">
        <v>336913.92136117449</v>
      </c>
      <c r="F1087" s="67" t="s">
        <v>1115</v>
      </c>
      <c r="G1087" s="25">
        <f t="shared" si="13"/>
        <v>6.6392941382023007E-3</v>
      </c>
    </row>
    <row r="1088" spans="1:7">
      <c r="A1088" s="67">
        <v>112.24587807833457</v>
      </c>
      <c r="B1088" s="67">
        <v>113.95156574383164</v>
      </c>
      <c r="C1088" s="67">
        <v>110.81154981416661</v>
      </c>
      <c r="D1088" s="67">
        <v>111.71285068286674</v>
      </c>
      <c r="E1088" s="67">
        <v>446689.51732025977</v>
      </c>
      <c r="F1088" s="67" t="s">
        <v>1116</v>
      </c>
      <c r="G1088" s="25">
        <f t="shared" si="13"/>
        <v>4.7714062635551002E-3</v>
      </c>
    </row>
    <row r="1089" spans="1:7">
      <c r="A1089" s="67">
        <v>110.21068256836651</v>
      </c>
      <c r="B1089" s="67">
        <v>110.45296774812461</v>
      </c>
      <c r="C1089" s="67">
        <v>107.27418618969828</v>
      </c>
      <c r="D1089" s="67">
        <v>107.44863151912412</v>
      </c>
      <c r="E1089" s="67">
        <v>349995.6129576824</v>
      </c>
      <c r="F1089" s="67" t="s">
        <v>1117</v>
      </c>
      <c r="G1089" s="25">
        <f t="shared" si="13"/>
        <v>2.5705781545954709E-2</v>
      </c>
    </row>
    <row r="1090" spans="1:7">
      <c r="A1090" s="67">
        <v>108.30147535187264</v>
      </c>
      <c r="B1090" s="67">
        <v>109.59043250818576</v>
      </c>
      <c r="C1090" s="67">
        <v>103.8337366371332</v>
      </c>
      <c r="D1090" s="67">
        <v>106.13060014124004</v>
      </c>
      <c r="E1090" s="67">
        <v>702068.32365820836</v>
      </c>
      <c r="F1090" s="67" t="s">
        <v>1118</v>
      </c>
      <c r="G1090" s="25">
        <f t="shared" si="13"/>
        <v>2.0454752990594294E-2</v>
      </c>
    </row>
    <row r="1091" spans="1:7">
      <c r="A1091" s="67">
        <v>105.93677199743355</v>
      </c>
      <c r="B1091" s="67">
        <v>108.53406912444042</v>
      </c>
      <c r="C1091" s="67">
        <v>103.77558819399125</v>
      </c>
      <c r="D1091" s="67">
        <v>106.94467834522726</v>
      </c>
      <c r="E1091" s="67">
        <v>417090.10060331499</v>
      </c>
      <c r="F1091" s="67" t="s">
        <v>1119</v>
      </c>
      <c r="G1091" s="25">
        <f t="shared" si="13"/>
        <v>-9.424558223833146E-3</v>
      </c>
    </row>
    <row r="1092" spans="1:7">
      <c r="A1092" s="67">
        <v>105.23899067973021</v>
      </c>
      <c r="B1092" s="67">
        <v>111.17013188020859</v>
      </c>
      <c r="C1092" s="67">
        <v>104.73503750583335</v>
      </c>
      <c r="D1092" s="67">
        <v>111.17013188020859</v>
      </c>
      <c r="E1092" s="67">
        <v>449162.84235234914</v>
      </c>
      <c r="F1092" s="67" t="s">
        <v>1120</v>
      </c>
      <c r="G1092" s="25">
        <f t="shared" si="13"/>
        <v>-5.3351930956324511E-2</v>
      </c>
    </row>
    <row r="1093" spans="1:7">
      <c r="A1093" s="67">
        <v>113.36038990522187</v>
      </c>
      <c r="B1093" s="67">
        <v>119.56289050702934</v>
      </c>
      <c r="C1093" s="67">
        <v>112.43001481495075</v>
      </c>
      <c r="D1093" s="67">
        <v>117.84751143434195</v>
      </c>
      <c r="E1093" s="67">
        <v>439044.6006899926</v>
      </c>
      <c r="F1093" s="67" t="s">
        <v>1121</v>
      </c>
      <c r="G1093" s="25">
        <f t="shared" si="13"/>
        <v>-3.807565789473677E-2</v>
      </c>
    </row>
    <row r="1094" spans="1:7">
      <c r="A1094" s="67">
        <v>119.15585140503572</v>
      </c>
      <c r="B1094" s="67">
        <v>134.31321225070272</v>
      </c>
      <c r="C1094" s="67">
        <v>118.32239038666785</v>
      </c>
      <c r="D1094" s="67">
        <v>133.18900901662514</v>
      </c>
      <c r="E1094" s="67">
        <v>714084.12257296895</v>
      </c>
      <c r="F1094" s="67" t="s">
        <v>1122</v>
      </c>
      <c r="G1094" s="25">
        <f t="shared" si="13"/>
        <v>-0.10536273011715058</v>
      </c>
    </row>
    <row r="1095" spans="1:7">
      <c r="A1095" s="67">
        <v>135.12729045468996</v>
      </c>
      <c r="B1095" s="67">
        <v>135.88322021553526</v>
      </c>
      <c r="C1095" s="67">
        <v>129.06046955354702</v>
      </c>
      <c r="D1095" s="67">
        <v>130.77584862623439</v>
      </c>
      <c r="E1095" s="67">
        <v>261452.22775592035</v>
      </c>
      <c r="F1095" s="67" t="s">
        <v>1123</v>
      </c>
      <c r="G1095" s="25">
        <f t="shared" si="13"/>
        <v>3.3274047724914935E-2</v>
      </c>
    </row>
    <row r="1096" spans="1:7">
      <c r="A1096" s="67">
        <v>130.22343841638593</v>
      </c>
      <c r="B1096" s="67">
        <v>132.30709096230564</v>
      </c>
      <c r="C1096" s="67">
        <v>128.97324688883413</v>
      </c>
      <c r="D1096" s="67">
        <v>129.68071961372777</v>
      </c>
      <c r="E1096" s="67">
        <v>232938.30871680539</v>
      </c>
      <c r="F1096" s="67" t="s">
        <v>1124</v>
      </c>
      <c r="G1096" s="25">
        <f t="shared" si="13"/>
        <v>4.1850384874075885E-3</v>
      </c>
    </row>
    <row r="1097" spans="1:7">
      <c r="A1097" s="67">
        <v>129.90362197910522</v>
      </c>
      <c r="B1097" s="67">
        <v>130.34942670986013</v>
      </c>
      <c r="C1097" s="67">
        <v>127.21910218738545</v>
      </c>
      <c r="D1097" s="67">
        <v>128.82787578097924</v>
      </c>
      <c r="E1097" s="67">
        <v>270507.67226222681</v>
      </c>
      <c r="F1097" s="67" t="s">
        <v>1125</v>
      </c>
      <c r="G1097" s="25">
        <f t="shared" si="13"/>
        <v>8.3502595350937181E-3</v>
      </c>
    </row>
    <row r="1098" spans="1:7">
      <c r="A1098" s="67">
        <v>128.85695000255024</v>
      </c>
      <c r="B1098" s="67">
        <v>131.74498934526682</v>
      </c>
      <c r="C1098" s="67">
        <v>127.96534054104039</v>
      </c>
      <c r="D1098" s="67">
        <v>130.93091114127958</v>
      </c>
      <c r="E1098" s="67">
        <v>277335.37010842439</v>
      </c>
      <c r="F1098" s="67" t="s">
        <v>1126</v>
      </c>
      <c r="G1098" s="25">
        <f t="shared" si="13"/>
        <v>-1.5840118430791805E-2</v>
      </c>
    </row>
    <row r="1099" spans="1:7">
      <c r="A1099" s="67">
        <v>132.19079407602175</v>
      </c>
      <c r="B1099" s="67">
        <v>136.29025931752886</v>
      </c>
      <c r="C1099" s="67">
        <v>131.31856742889255</v>
      </c>
      <c r="D1099" s="67">
        <v>136.29025931752886</v>
      </c>
      <c r="E1099" s="67">
        <v>359732.07311738021</v>
      </c>
      <c r="F1099" s="67" t="s">
        <v>1127</v>
      </c>
      <c r="G1099" s="25">
        <f t="shared" si="13"/>
        <v>-3.0078930526914571E-2</v>
      </c>
    </row>
    <row r="1100" spans="1:7">
      <c r="A1100" s="67">
        <v>134.71055994550602</v>
      </c>
      <c r="B1100" s="67">
        <v>136.4501675361692</v>
      </c>
      <c r="C1100" s="67">
        <v>133.7026535977123</v>
      </c>
      <c r="D1100" s="67">
        <v>134.29382943632206</v>
      </c>
      <c r="E1100" s="67">
        <v>191641.9322319151</v>
      </c>
      <c r="F1100" s="67" t="s">
        <v>1128</v>
      </c>
      <c r="G1100" s="25">
        <f t="shared" si="13"/>
        <v>3.1031247744823798E-3</v>
      </c>
    </row>
    <row r="1101" spans="1:7">
      <c r="A1101" s="67">
        <v>135.35988422725774</v>
      </c>
      <c r="B1101" s="67">
        <v>138.70826541151473</v>
      </c>
      <c r="C1101" s="67">
        <v>134.74932557426732</v>
      </c>
      <c r="D1101" s="67">
        <v>137.92810713269364</v>
      </c>
      <c r="E1101" s="67">
        <v>200315.5952355628</v>
      </c>
      <c r="F1101" s="67" t="s">
        <v>1129</v>
      </c>
      <c r="G1101" s="25">
        <f t="shared" si="13"/>
        <v>-1.8620011242270862E-2</v>
      </c>
    </row>
    <row r="1102" spans="1:7">
      <c r="A1102" s="67">
        <v>140.27342767275209</v>
      </c>
      <c r="B1102" s="67">
        <v>141.13111720909578</v>
      </c>
      <c r="C1102" s="67">
        <v>135.95106006586752</v>
      </c>
      <c r="D1102" s="67">
        <v>135.95106006586752</v>
      </c>
      <c r="E1102" s="67">
        <v>338261.50688137009</v>
      </c>
      <c r="F1102" s="67" t="s">
        <v>1130</v>
      </c>
      <c r="G1102" s="25">
        <f t="shared" si="13"/>
        <v>3.1793555745651458E-2</v>
      </c>
    </row>
    <row r="1103" spans="1:7">
      <c r="A1103" s="67">
        <v>136.51316168290631</v>
      </c>
      <c r="B1103" s="67">
        <v>145.57462740585942</v>
      </c>
      <c r="C1103" s="67">
        <v>135.786306143632</v>
      </c>
      <c r="D1103" s="67">
        <v>144.32443587830758</v>
      </c>
      <c r="E1103" s="67">
        <v>523681.43246184627</v>
      </c>
      <c r="F1103" s="67" t="s">
        <v>1131</v>
      </c>
      <c r="G1103" s="25">
        <f t="shared" si="13"/>
        <v>-5.4123019070641876E-2</v>
      </c>
    </row>
    <row r="1104" spans="1:7">
      <c r="A1104" s="67">
        <v>146.09796339413691</v>
      </c>
      <c r="B1104" s="67">
        <v>150.71107321673122</v>
      </c>
      <c r="C1104" s="67">
        <v>145.73938132809494</v>
      </c>
      <c r="D1104" s="67">
        <v>150.55601070168603</v>
      </c>
      <c r="E1104" s="67">
        <v>282024.05969783373</v>
      </c>
      <c r="F1104" s="67" t="s">
        <v>1132</v>
      </c>
      <c r="G1104" s="25">
        <f t="shared" si="13"/>
        <v>-2.9610556807209587E-2</v>
      </c>
    </row>
    <row r="1105" spans="1:7">
      <c r="A1105" s="67">
        <v>149.42211606041812</v>
      </c>
      <c r="B1105" s="67">
        <v>150.21681145002469</v>
      </c>
      <c r="C1105" s="67">
        <v>146.00104932223368</v>
      </c>
      <c r="D1105" s="67">
        <v>146.00104932223368</v>
      </c>
      <c r="E1105" s="67">
        <v>490534.54329587216</v>
      </c>
      <c r="F1105" s="67" t="s">
        <v>1133</v>
      </c>
      <c r="G1105" s="25">
        <f t="shared" si="13"/>
        <v>2.3431795552605328E-2</v>
      </c>
    </row>
    <row r="1106" spans="1:7">
      <c r="A1106" s="67">
        <v>145.14820548948515</v>
      </c>
      <c r="B1106" s="67">
        <v>147.02833848440804</v>
      </c>
      <c r="C1106" s="67">
        <v>137.74397039607749</v>
      </c>
      <c r="D1106" s="67">
        <v>137.74397039607749</v>
      </c>
      <c r="E1106" s="67">
        <v>316029.44132384058</v>
      </c>
      <c r="F1106" s="67" t="s">
        <v>1134</v>
      </c>
      <c r="G1106" s="25">
        <f t="shared" si="13"/>
        <v>5.3753605853795738E-2</v>
      </c>
    </row>
    <row r="1107" spans="1:7">
      <c r="A1107" s="67">
        <v>138.32545482749691</v>
      </c>
      <c r="B1107" s="67">
        <v>140.48663863093924</v>
      </c>
      <c r="C1107" s="67">
        <v>137.33693129408388</v>
      </c>
      <c r="D1107" s="67">
        <v>138.80033377982281</v>
      </c>
      <c r="E1107" s="67">
        <v>199239.38413482468</v>
      </c>
      <c r="F1107" s="67" t="s">
        <v>1135</v>
      </c>
      <c r="G1107" s="25">
        <f t="shared" si="13"/>
        <v>-3.4213098729228841E-3</v>
      </c>
    </row>
    <row r="1108" spans="1:7">
      <c r="A1108" s="67">
        <v>139.68225183414231</v>
      </c>
      <c r="B1108" s="67">
        <v>143.33591234489452</v>
      </c>
      <c r="C1108" s="67">
        <v>139.41089243281323</v>
      </c>
      <c r="D1108" s="67">
        <v>142.57029117685894</v>
      </c>
      <c r="E1108" s="67">
        <v>276464.49554560275</v>
      </c>
      <c r="F1108" s="67" t="s">
        <v>1136</v>
      </c>
      <c r="G1108" s="25">
        <f t="shared" si="13"/>
        <v>-2.025695058119803E-2</v>
      </c>
    </row>
    <row r="1109" spans="1:7">
      <c r="A1109" s="67">
        <v>142.48306851214602</v>
      </c>
      <c r="B1109" s="67">
        <v>143.83986551879138</v>
      </c>
      <c r="C1109" s="67">
        <v>141.23287698459418</v>
      </c>
      <c r="D1109" s="67">
        <v>141.57207623625555</v>
      </c>
      <c r="E1109" s="67">
        <v>162566.69119970183</v>
      </c>
      <c r="F1109" s="67" t="s">
        <v>1137</v>
      </c>
      <c r="G1109" s="25">
        <f t="shared" si="13"/>
        <v>6.4348302300107907E-3</v>
      </c>
    </row>
    <row r="1110" spans="1:7">
      <c r="A1110" s="67">
        <v>141.32009964930711</v>
      </c>
      <c r="B1110" s="67">
        <v>142.34738881148147</v>
      </c>
      <c r="C1110" s="67">
        <v>139.13953303148415</v>
      </c>
      <c r="D1110" s="67">
        <v>139.3527439896713</v>
      </c>
      <c r="E1110" s="67">
        <v>191149.74364605499</v>
      </c>
      <c r="F1110" s="67" t="s">
        <v>1138</v>
      </c>
      <c r="G1110" s="25">
        <f t="shared" si="13"/>
        <v>1.4117810696154143E-2</v>
      </c>
    </row>
    <row r="1111" spans="1:7">
      <c r="A1111" s="67">
        <v>138.81002518701314</v>
      </c>
      <c r="B1111" s="67">
        <v>140.86770476166276</v>
      </c>
      <c r="C1111" s="67">
        <v>138.64527126477762</v>
      </c>
      <c r="D1111" s="67">
        <v>140.36065033746502</v>
      </c>
      <c r="E1111" s="67">
        <v>183005.41553663422</v>
      </c>
      <c r="F1111" s="67" t="s">
        <v>1139</v>
      </c>
      <c r="G1111" s="25">
        <f t="shared" si="13"/>
        <v>-1.1047434923703747E-2</v>
      </c>
    </row>
    <row r="1112" spans="1:7">
      <c r="A1112" s="67">
        <v>140.84522069698124</v>
      </c>
      <c r="B1112" s="67">
        <v>142.97733027885255</v>
      </c>
      <c r="C1112" s="67">
        <v>140.51571285251021</v>
      </c>
      <c r="D1112" s="67">
        <v>141.83374423039427</v>
      </c>
      <c r="E1112" s="67">
        <v>181458.68452991665</v>
      </c>
      <c r="F1112" s="67" t="s">
        <v>1140</v>
      </c>
      <c r="G1112" s="25">
        <f t="shared" si="13"/>
        <v>-6.9695934403823934E-3</v>
      </c>
    </row>
    <row r="1113" spans="1:7">
      <c r="A1113" s="67">
        <v>143.36498656646552</v>
      </c>
      <c r="B1113" s="67">
        <v>143.40375219522679</v>
      </c>
      <c r="C1113" s="67">
        <v>139.41573813640838</v>
      </c>
      <c r="D1113" s="67">
        <v>140.29281048713273</v>
      </c>
      <c r="E1113" s="67">
        <v>256812.03473576764</v>
      </c>
      <c r="F1113" s="67" t="s">
        <v>1141</v>
      </c>
      <c r="G1113" s="25">
        <f t="shared" si="13"/>
        <v>2.189831445150614E-2</v>
      </c>
    </row>
    <row r="1114" spans="1:7">
      <c r="A1114" s="67">
        <v>140.73861521788766</v>
      </c>
      <c r="B1114" s="67">
        <v>141.28133402054581</v>
      </c>
      <c r="C1114" s="67">
        <v>137.47261099474841</v>
      </c>
      <c r="D1114" s="67">
        <v>138.955396294868</v>
      </c>
      <c r="E1114" s="67">
        <v>210680.44711179895</v>
      </c>
      <c r="F1114" s="67" t="s">
        <v>1142</v>
      </c>
      <c r="G1114" s="25">
        <f t="shared" si="13"/>
        <v>1.2833031106151527E-2</v>
      </c>
    </row>
    <row r="1115" spans="1:7">
      <c r="A1115" s="67">
        <v>140.5544784812715</v>
      </c>
      <c r="B1115" s="67">
        <v>143.81079129722039</v>
      </c>
      <c r="C1115" s="67">
        <v>140.46725581655858</v>
      </c>
      <c r="D1115" s="67">
        <v>142.54121695528795</v>
      </c>
      <c r="E1115" s="67">
        <v>122896.49754775809</v>
      </c>
      <c r="F1115" s="67" t="s">
        <v>1143</v>
      </c>
      <c r="G1115" s="25">
        <f t="shared" si="13"/>
        <v>-1.3937992929018206E-2</v>
      </c>
    </row>
    <row r="1116" spans="1:7">
      <c r="A1116" s="67">
        <v>141.79497860163298</v>
      </c>
      <c r="B1116" s="67">
        <v>145.47771333395619</v>
      </c>
      <c r="C1116" s="67">
        <v>139.97008662769494</v>
      </c>
      <c r="D1116" s="67">
        <v>145.47771333395619</v>
      </c>
      <c r="E1116" s="67">
        <v>268588.44632994215</v>
      </c>
      <c r="F1116" s="67" t="s">
        <v>1144</v>
      </c>
      <c r="G1116" s="25">
        <f t="shared" si="13"/>
        <v>-2.5314769169275997E-2</v>
      </c>
    </row>
    <row r="1117" spans="1:7">
      <c r="A1117" s="67">
        <v>145.17727971105614</v>
      </c>
      <c r="B1117" s="67">
        <v>147.45476040078231</v>
      </c>
      <c r="C1117" s="67">
        <v>143.52974048870101</v>
      </c>
      <c r="D1117" s="67">
        <v>144.87684608815607</v>
      </c>
      <c r="E1117" s="67">
        <v>334954.45359482587</v>
      </c>
      <c r="F1117" s="67" t="s">
        <v>1145</v>
      </c>
      <c r="G1117" s="25">
        <f t="shared" si="13"/>
        <v>2.0737173055056513E-3</v>
      </c>
    </row>
    <row r="1118" spans="1:7">
      <c r="A1118" s="67">
        <v>143.96585381226561</v>
      </c>
      <c r="B1118" s="67">
        <v>146.81512752622092</v>
      </c>
      <c r="C1118" s="67">
        <v>143.6848030037462</v>
      </c>
      <c r="D1118" s="67">
        <v>144.77993201625281</v>
      </c>
      <c r="E1118" s="67">
        <v>193399.15898604452</v>
      </c>
      <c r="F1118" s="67" t="s">
        <v>1146</v>
      </c>
      <c r="G1118" s="25">
        <f t="shared" si="13"/>
        <v>-5.6228663230468712E-3</v>
      </c>
    </row>
    <row r="1119" spans="1:7">
      <c r="A1119" s="67">
        <v>144.83808045939477</v>
      </c>
      <c r="B1119" s="67">
        <v>146.03012354380465</v>
      </c>
      <c r="C1119" s="67">
        <v>143.82048270441075</v>
      </c>
      <c r="D1119" s="67">
        <v>144.38258432144954</v>
      </c>
      <c r="E1119" s="67">
        <v>134034.19900640348</v>
      </c>
      <c r="F1119" s="67" t="s">
        <v>1147</v>
      </c>
      <c r="G1119" s="25">
        <f t="shared" si="13"/>
        <v>3.1547858772988935E-3</v>
      </c>
    </row>
    <row r="1120" spans="1:7">
      <c r="A1120" s="67">
        <v>145.27419378295937</v>
      </c>
      <c r="B1120" s="67">
        <v>146.32086575951436</v>
      </c>
      <c r="C1120" s="67">
        <v>144.01431084821721</v>
      </c>
      <c r="D1120" s="67">
        <v>144.98345156724963</v>
      </c>
      <c r="E1120" s="67">
        <v>184416.97525457258</v>
      </c>
      <c r="F1120" s="67" t="s">
        <v>1148</v>
      </c>
      <c r="G1120" s="25">
        <f t="shared" si="13"/>
        <v>2.0053475935830622E-3</v>
      </c>
    </row>
    <row r="1121" spans="1:7">
      <c r="A1121" s="67">
        <v>143.19054123703967</v>
      </c>
      <c r="B1121" s="67">
        <v>143.30683812332356</v>
      </c>
      <c r="C1121" s="67">
        <v>139.69194324133264</v>
      </c>
      <c r="D1121" s="67">
        <v>139.94391982828108</v>
      </c>
      <c r="E1121" s="67">
        <v>303693.7714203659</v>
      </c>
      <c r="F1121" s="67" t="s">
        <v>1149</v>
      </c>
      <c r="G1121" s="25">
        <f t="shared" si="13"/>
        <v>2.3199445983379308E-2</v>
      </c>
    </row>
    <row r="1122" spans="1:7">
      <c r="A1122" s="67">
        <v>140.2055878224198</v>
      </c>
      <c r="B1122" s="67">
        <v>140.28311907994242</v>
      </c>
      <c r="C1122" s="67">
        <v>138.49990015692276</v>
      </c>
      <c r="D1122" s="67">
        <v>139.58533776223908</v>
      </c>
      <c r="E1122" s="67">
        <v>161073.61597173632</v>
      </c>
      <c r="F1122" s="67" t="s">
        <v>1150</v>
      </c>
      <c r="G1122" s="25">
        <f t="shared" si="13"/>
        <v>4.4435187113793795E-3</v>
      </c>
    </row>
    <row r="1123" spans="1:7">
      <c r="A1123" s="67">
        <v>138.37391186344857</v>
      </c>
      <c r="B1123" s="67">
        <v>139.39150961843259</v>
      </c>
      <c r="C1123" s="67">
        <v>134.86407183540075</v>
      </c>
      <c r="D1123" s="67">
        <v>135.06914201154802</v>
      </c>
      <c r="E1123" s="67">
        <v>203193.40229209067</v>
      </c>
      <c r="F1123" s="67" t="s">
        <v>1151</v>
      </c>
      <c r="G1123" s="25">
        <f t="shared" si="13"/>
        <v>2.4467245461720522E-2</v>
      </c>
    </row>
    <row r="1124" spans="1:7">
      <c r="A1124" s="67">
        <v>134.60395446641243</v>
      </c>
      <c r="B1124" s="67">
        <v>137.29816566532256</v>
      </c>
      <c r="C1124" s="67">
        <v>134.12422981049141</v>
      </c>
      <c r="D1124" s="67">
        <v>137.29816566532256</v>
      </c>
      <c r="E1124" s="67">
        <v>198261.19801449895</v>
      </c>
      <c r="F1124" s="67" t="s">
        <v>1152</v>
      </c>
      <c r="G1124" s="25">
        <f t="shared" si="13"/>
        <v>-1.9623067692524865E-2</v>
      </c>
    </row>
    <row r="1125" spans="1:7">
      <c r="A1125" s="67">
        <v>138.54835719287439</v>
      </c>
      <c r="B1125" s="67">
        <v>141.0293574335974</v>
      </c>
      <c r="C1125" s="67">
        <v>137.38538833003548</v>
      </c>
      <c r="D1125" s="67">
        <v>138.89724785172606</v>
      </c>
      <c r="E1125" s="67">
        <v>265122.48939093994</v>
      </c>
      <c r="F1125" s="67" t="s">
        <v>1153</v>
      </c>
      <c r="G1125" s="25">
        <f t="shared" si="13"/>
        <v>-2.5118615685180146E-3</v>
      </c>
    </row>
    <row r="1126" spans="1:7">
      <c r="A1126" s="67">
        <v>138.68403689353892</v>
      </c>
      <c r="B1126" s="67">
        <v>140.5544784812715</v>
      </c>
      <c r="C1126" s="67">
        <v>137.73427898888716</v>
      </c>
      <c r="D1126" s="67">
        <v>140.40910737341662</v>
      </c>
      <c r="E1126" s="67">
        <v>207290.84647332848</v>
      </c>
      <c r="F1126" s="67" t="s">
        <v>1154</v>
      </c>
      <c r="G1126" s="25">
        <f t="shared" si="13"/>
        <v>-1.2286029817780264E-2</v>
      </c>
    </row>
    <row r="1127" spans="1:7">
      <c r="A1127" s="67">
        <v>140.72892381069732</v>
      </c>
      <c r="B1127" s="67">
        <v>142.23109192519757</v>
      </c>
      <c r="C1127" s="67">
        <v>138.24792356997435</v>
      </c>
      <c r="D1127" s="67">
        <v>142.23109192519757</v>
      </c>
      <c r="E1127" s="67">
        <v>466064.41265924292</v>
      </c>
      <c r="F1127" s="67" t="s">
        <v>1155</v>
      </c>
      <c r="G1127" s="25">
        <f t="shared" si="13"/>
        <v>-1.0561460888525498E-2</v>
      </c>
    </row>
    <row r="1128" spans="1:7">
      <c r="A1128" s="67">
        <v>140.74830662507796</v>
      </c>
      <c r="B1128" s="67">
        <v>140.87429491855221</v>
      </c>
      <c r="C1128" s="67">
        <v>136.21272806000627</v>
      </c>
      <c r="D1128" s="67">
        <v>136.49377886852568</v>
      </c>
      <c r="E1128" s="67">
        <v>286376.36882814375</v>
      </c>
      <c r="F1128" s="67" t="s">
        <v>1156</v>
      </c>
      <c r="G1128" s="25">
        <f t="shared" si="13"/>
        <v>3.1170122124396293E-2</v>
      </c>
    </row>
    <row r="1129" spans="1:7">
      <c r="A1129" s="67">
        <v>137.42415395879681</v>
      </c>
      <c r="B1129" s="67">
        <v>137.64705632417423</v>
      </c>
      <c r="C1129" s="67">
        <v>134.34228647227371</v>
      </c>
      <c r="D1129" s="67">
        <v>135.12729045468996</v>
      </c>
      <c r="E1129" s="67">
        <v>362985.47062517243</v>
      </c>
      <c r="F1129" s="67" t="s">
        <v>1157</v>
      </c>
      <c r="G1129" s="25">
        <f t="shared" si="13"/>
        <v>1.6997776662124542E-2</v>
      </c>
    </row>
    <row r="1130" spans="1:7">
      <c r="A1130" s="67">
        <v>134.1484583284672</v>
      </c>
      <c r="B1130" s="67">
        <v>135.11275334390447</v>
      </c>
      <c r="C1130" s="67">
        <v>131.54146979427</v>
      </c>
      <c r="D1130" s="67">
        <v>133.11147775910251</v>
      </c>
      <c r="E1130" s="67">
        <v>216599.092244909</v>
      </c>
      <c r="F1130" s="67" t="s">
        <v>1158</v>
      </c>
      <c r="G1130" s="25">
        <f t="shared" si="13"/>
        <v>7.7903167091373238E-3</v>
      </c>
    </row>
    <row r="1131" spans="1:7">
      <c r="A1131" s="67">
        <v>131.84190341717004</v>
      </c>
      <c r="B1131" s="67">
        <v>135.67970066453844</v>
      </c>
      <c r="C1131" s="67">
        <v>130.29127826671819</v>
      </c>
      <c r="D1131" s="67">
        <v>134.16784114284786</v>
      </c>
      <c r="E1131" s="67">
        <v>383205.44447950029</v>
      </c>
      <c r="F1131" s="67" t="s">
        <v>1159</v>
      </c>
      <c r="G1131" s="25">
        <f t="shared" si="13"/>
        <v>-1.7336030049118878E-2</v>
      </c>
    </row>
    <row r="1132" spans="1:7">
      <c r="A1132" s="67">
        <v>133.63481374738012</v>
      </c>
      <c r="B1132" s="67">
        <v>135.32835364207136</v>
      </c>
      <c r="C1132" s="67">
        <v>132.78320511462107</v>
      </c>
      <c r="D1132" s="67">
        <v>133.07352623942529</v>
      </c>
      <c r="E1132" s="67">
        <v>237196.65610430375</v>
      </c>
      <c r="F1132" s="67" t="s">
        <v>1160</v>
      </c>
      <c r="G1132" s="25">
        <f t="shared" si="13"/>
        <v>4.2178750636319151E-3</v>
      </c>
    </row>
    <row r="1133" spans="1:7">
      <c r="A1133" s="67">
        <v>133.00578464363764</v>
      </c>
      <c r="B1133" s="67">
        <v>133.57674952241925</v>
      </c>
      <c r="C1133" s="67">
        <v>129.47354429185302</v>
      </c>
      <c r="D1133" s="67">
        <v>129.74451067500362</v>
      </c>
      <c r="E1133" s="67">
        <v>180892.10709491424</v>
      </c>
      <c r="F1133" s="67" t="s">
        <v>1161</v>
      </c>
      <c r="G1133" s="25">
        <f t="shared" si="13"/>
        <v>2.5136122920862203E-2</v>
      </c>
    </row>
    <row r="1134" spans="1:7">
      <c r="A1134" s="67">
        <v>131.78643591945993</v>
      </c>
      <c r="B1134" s="67">
        <v>134.87351721321141</v>
      </c>
      <c r="C1134" s="67">
        <v>131.59288850292378</v>
      </c>
      <c r="D1134" s="67">
        <v>133.57674952241925</v>
      </c>
      <c r="E1134" s="67">
        <v>165877.69847087906</v>
      </c>
      <c r="F1134" s="67" t="s">
        <v>1162</v>
      </c>
      <c r="G1134" s="25">
        <f t="shared" si="13"/>
        <v>-1.3402883431138046E-2</v>
      </c>
    </row>
    <row r="1135" spans="1:7">
      <c r="A1135" s="67">
        <v>131.05095573662257</v>
      </c>
      <c r="B1135" s="67">
        <v>136.0638338249087</v>
      </c>
      <c r="C1135" s="67">
        <v>130.90579517422049</v>
      </c>
      <c r="D1135" s="67">
        <v>135.48319157530028</v>
      </c>
      <c r="E1135" s="67">
        <v>261699.17897375469</v>
      </c>
      <c r="F1135" s="67" t="s">
        <v>1163</v>
      </c>
      <c r="G1135" s="25">
        <f t="shared" si="13"/>
        <v>-3.2714285714285918E-2</v>
      </c>
    </row>
    <row r="1136" spans="1:7">
      <c r="A1136" s="67">
        <v>135.74448058762408</v>
      </c>
      <c r="B1136" s="67">
        <v>137.62189052802466</v>
      </c>
      <c r="C1136" s="67">
        <v>134.292874963603</v>
      </c>
      <c r="D1136" s="67">
        <v>137.62189052802466</v>
      </c>
      <c r="E1136" s="67">
        <v>275250.38026044413</v>
      </c>
      <c r="F1136" s="67" t="s">
        <v>1164</v>
      </c>
      <c r="G1136" s="25">
        <f t="shared" si="13"/>
        <v>-1.3641797341959028E-2</v>
      </c>
    </row>
    <row r="1137" spans="1:7">
      <c r="A1137" s="67">
        <v>138.20253277763308</v>
      </c>
      <c r="B1137" s="67">
        <v>139.13156037700659</v>
      </c>
      <c r="C1137" s="67">
        <v>137.13802198668429</v>
      </c>
      <c r="D1137" s="67">
        <v>137.19608621164514</v>
      </c>
      <c r="E1137" s="67">
        <v>195577.91407115568</v>
      </c>
      <c r="F1137" s="67" t="s">
        <v>1165</v>
      </c>
      <c r="G1137" s="25">
        <f t="shared" si="13"/>
        <v>7.3358256330675609E-3</v>
      </c>
    </row>
    <row r="1138" spans="1:7">
      <c r="A1138" s="67">
        <v>139.05414141039211</v>
      </c>
      <c r="B1138" s="67">
        <v>140.72832656342973</v>
      </c>
      <c r="C1138" s="67">
        <v>137.62189052802466</v>
      </c>
      <c r="D1138" s="67">
        <v>140.72832656342973</v>
      </c>
      <c r="E1138" s="67">
        <v>191509.66033730665</v>
      </c>
      <c r="F1138" s="67" t="s">
        <v>1166</v>
      </c>
      <c r="G1138" s="25">
        <f t="shared" si="13"/>
        <v>-1.1896575436666113E-2</v>
      </c>
    </row>
    <row r="1139" spans="1:7">
      <c r="A1139" s="67">
        <v>138.99607718543126</v>
      </c>
      <c r="B1139" s="67">
        <v>141.76864392731153</v>
      </c>
      <c r="C1139" s="67">
        <v>138.27027437342073</v>
      </c>
      <c r="D1139" s="67">
        <v>140.24445802208939</v>
      </c>
      <c r="E1139" s="67">
        <v>310722.82480592793</v>
      </c>
      <c r="F1139" s="67" t="s">
        <v>1167</v>
      </c>
      <c r="G1139" s="25">
        <f t="shared" si="13"/>
        <v>-8.9014628760696324E-3</v>
      </c>
    </row>
    <row r="1140" spans="1:7">
      <c r="A1140" s="67">
        <v>139.88639530149754</v>
      </c>
      <c r="B1140" s="67">
        <v>142.81863866202011</v>
      </c>
      <c r="C1140" s="67">
        <v>138.3525320254486</v>
      </c>
      <c r="D1140" s="67">
        <v>140.66058496764211</v>
      </c>
      <c r="E1140" s="67">
        <v>227222.87275680286</v>
      </c>
      <c r="F1140" s="67" t="s">
        <v>1168</v>
      </c>
      <c r="G1140" s="25">
        <f t="shared" si="13"/>
        <v>-5.503955968352181E-3</v>
      </c>
    </row>
    <row r="1141" spans="1:7">
      <c r="A1141" s="67">
        <v>141.44445200461348</v>
      </c>
      <c r="B1141" s="67">
        <v>143.27347509088005</v>
      </c>
      <c r="C1141" s="67">
        <v>139.53800995173248</v>
      </c>
      <c r="D1141" s="67">
        <v>143.05089556186346</v>
      </c>
      <c r="E1141" s="67">
        <v>308338.91285165068</v>
      </c>
      <c r="F1141" s="67" t="s">
        <v>1169</v>
      </c>
      <c r="G1141" s="25">
        <f t="shared" si="13"/>
        <v>-1.1229874171289289E-2</v>
      </c>
    </row>
    <row r="1142" spans="1:7">
      <c r="A1142" s="67">
        <v>143.51540936155024</v>
      </c>
      <c r="B1142" s="67">
        <v>145.68314042675502</v>
      </c>
      <c r="C1142" s="67">
        <v>140.78639078839058</v>
      </c>
      <c r="D1142" s="67">
        <v>143.57347358651108</v>
      </c>
      <c r="E1142" s="67">
        <v>299709.50291226193</v>
      </c>
      <c r="F1142" s="67" t="s">
        <v>1170</v>
      </c>
      <c r="G1142" s="25">
        <f t="shared" si="13"/>
        <v>-4.0442167700194265E-4</v>
      </c>
    </row>
    <row r="1143" spans="1:7">
      <c r="A1143" s="67">
        <v>143.44766776576256</v>
      </c>
      <c r="B1143" s="67">
        <v>143.90250419462248</v>
      </c>
      <c r="C1143" s="67">
        <v>134.36061655939065</v>
      </c>
      <c r="D1143" s="67">
        <v>134.36061655939065</v>
      </c>
      <c r="E1143" s="67">
        <v>558894.56927883998</v>
      </c>
      <c r="F1143" s="67" t="s">
        <v>1171</v>
      </c>
      <c r="G1143" s="25">
        <f t="shared" si="13"/>
        <v>6.7631806395851202E-2</v>
      </c>
    </row>
    <row r="1144" spans="1:7">
      <c r="A1144" s="67">
        <v>137.32189203239363</v>
      </c>
      <c r="B1144" s="67">
        <v>139.16059248948702</v>
      </c>
      <c r="C1144" s="67">
        <v>136.70254029947796</v>
      </c>
      <c r="D1144" s="67">
        <v>139.08317352287253</v>
      </c>
      <c r="E1144" s="67">
        <v>179486.76671441266</v>
      </c>
      <c r="F1144" s="67" t="s">
        <v>1172</v>
      </c>
      <c r="G1144" s="25">
        <f t="shared" ref="G1144:G1207" si="14">A1144/D1144-1</f>
        <v>-1.2663512385193365E-2</v>
      </c>
    </row>
    <row r="1145" spans="1:7">
      <c r="A1145" s="67">
        <v>137.35092414487406</v>
      </c>
      <c r="B1145" s="67">
        <v>138.38640282334242</v>
      </c>
      <c r="C1145" s="67">
        <v>135.03803251726714</v>
      </c>
      <c r="D1145" s="67">
        <v>135.03803251726714</v>
      </c>
      <c r="E1145" s="67">
        <v>174148.53994553685</v>
      </c>
      <c r="F1145" s="67" t="s">
        <v>1173</v>
      </c>
      <c r="G1145" s="25">
        <f t="shared" si="14"/>
        <v>1.7127705317471653E-2</v>
      </c>
    </row>
    <row r="1146" spans="1:7">
      <c r="A1146" s="67">
        <v>134.90254932569184</v>
      </c>
      <c r="B1146" s="67">
        <v>136.30092941016548</v>
      </c>
      <c r="C1146" s="67">
        <v>133.78965168060901</v>
      </c>
      <c r="D1146" s="67">
        <v>134.36061655939065</v>
      </c>
      <c r="E1146" s="67">
        <v>273686.93908713612</v>
      </c>
      <c r="F1146" s="67" t="s">
        <v>1174</v>
      </c>
      <c r="G1146" s="25">
        <f t="shared" si="14"/>
        <v>4.0334197637568181E-3</v>
      </c>
    </row>
    <row r="1147" spans="1:7">
      <c r="A1147" s="67">
        <v>134.87351721321141</v>
      </c>
      <c r="B1147" s="67">
        <v>138.50253127326411</v>
      </c>
      <c r="C1147" s="67">
        <v>134.26384285112258</v>
      </c>
      <c r="D1147" s="67">
        <v>137.82511531538759</v>
      </c>
      <c r="E1147" s="67">
        <v>190671.62280158108</v>
      </c>
      <c r="F1147" s="67" t="s">
        <v>1175</v>
      </c>
      <c r="G1147" s="25">
        <f t="shared" si="14"/>
        <v>-2.141553152647091E-2</v>
      </c>
    </row>
    <row r="1148" spans="1:7">
      <c r="A1148" s="67">
        <v>139.45091361429121</v>
      </c>
      <c r="B1148" s="67">
        <v>140.23478065126258</v>
      </c>
      <c r="C1148" s="67">
        <v>135.44448209199305</v>
      </c>
      <c r="D1148" s="67">
        <v>137.19608621164514</v>
      </c>
      <c r="E1148" s="67">
        <v>228371.94518556591</v>
      </c>
      <c r="F1148" s="67" t="s">
        <v>1176</v>
      </c>
      <c r="G1148" s="25">
        <f t="shared" si="14"/>
        <v>1.6435070889468939E-2</v>
      </c>
    </row>
    <row r="1149" spans="1:7">
      <c r="A1149" s="67">
        <v>138.33801596920839</v>
      </c>
      <c r="B1149" s="67">
        <v>139.52833258090567</v>
      </c>
      <c r="C1149" s="67">
        <v>136.49931551211503</v>
      </c>
      <c r="D1149" s="67">
        <v>136.49931551211503</v>
      </c>
      <c r="E1149" s="67">
        <v>206572.63587155033</v>
      </c>
      <c r="F1149" s="67" t="s">
        <v>1177</v>
      </c>
      <c r="G1149" s="25">
        <f t="shared" si="14"/>
        <v>1.3470400567174634E-2</v>
      </c>
    </row>
    <row r="1150" spans="1:7">
      <c r="A1150" s="67">
        <v>134.65093768419484</v>
      </c>
      <c r="B1150" s="67">
        <v>138.12511381101862</v>
      </c>
      <c r="C1150" s="67">
        <v>133.81868379308943</v>
      </c>
      <c r="D1150" s="67">
        <v>135.17351570884244</v>
      </c>
      <c r="E1150" s="67">
        <v>240539.50620057035</v>
      </c>
      <c r="F1150" s="67" t="s">
        <v>1178</v>
      </c>
      <c r="G1150" s="25">
        <f t="shared" si="14"/>
        <v>-3.8659793814433963E-3</v>
      </c>
    </row>
    <row r="1151" spans="1:7">
      <c r="A1151" s="67">
        <v>135.5122236877807</v>
      </c>
      <c r="B1151" s="67">
        <v>138.39608019416923</v>
      </c>
      <c r="C1151" s="67">
        <v>134.33158444691023</v>
      </c>
      <c r="D1151" s="67">
        <v>137.41866574066171</v>
      </c>
      <c r="E1151" s="67">
        <v>211402.46009100942</v>
      </c>
      <c r="F1151" s="67" t="s">
        <v>1179</v>
      </c>
      <c r="G1151" s="25">
        <f t="shared" si="14"/>
        <v>-1.3873239436619667E-2</v>
      </c>
    </row>
    <row r="1152" spans="1:7">
      <c r="A1152" s="67">
        <v>136.26705861227165</v>
      </c>
      <c r="B1152" s="67">
        <v>139.07833483745912</v>
      </c>
      <c r="C1152" s="67">
        <v>134.48642238013915</v>
      </c>
      <c r="D1152" s="67">
        <v>134.48642238013915</v>
      </c>
      <c r="E1152" s="67">
        <v>217452.6570967717</v>
      </c>
      <c r="F1152" s="67" t="s">
        <v>1180</v>
      </c>
      <c r="G1152" s="25">
        <f t="shared" si="14"/>
        <v>1.3240267683672702E-2</v>
      </c>
    </row>
    <row r="1153" spans="1:7">
      <c r="A1153" s="67">
        <v>137.12834461585749</v>
      </c>
      <c r="B1153" s="67">
        <v>138.40575756499604</v>
      </c>
      <c r="C1153" s="67">
        <v>135.72512584597044</v>
      </c>
      <c r="D1153" s="67">
        <v>136.44125128715419</v>
      </c>
      <c r="E1153" s="67">
        <v>197218.8556330943</v>
      </c>
      <c r="F1153" s="67" t="s">
        <v>1181</v>
      </c>
      <c r="G1153" s="25">
        <f t="shared" si="14"/>
        <v>5.0358181431306992E-3</v>
      </c>
    </row>
    <row r="1154" spans="1:7">
      <c r="A1154" s="67">
        <v>134.41868078435149</v>
      </c>
      <c r="B1154" s="67">
        <v>134.80577561742379</v>
      </c>
      <c r="C1154" s="67">
        <v>130.38321714957289</v>
      </c>
      <c r="D1154" s="67">
        <v>131.07998784910299</v>
      </c>
      <c r="E1154" s="67">
        <v>217719.25843366099</v>
      </c>
      <c r="F1154" s="67" t="s">
        <v>1182</v>
      </c>
      <c r="G1154" s="25">
        <f t="shared" si="14"/>
        <v>2.5470653377630326E-2</v>
      </c>
    </row>
    <row r="1155" spans="1:7">
      <c r="A1155" s="67">
        <v>131.70901695284547</v>
      </c>
      <c r="B1155" s="67">
        <v>134.95093617982587</v>
      </c>
      <c r="C1155" s="67">
        <v>130.05418654146143</v>
      </c>
      <c r="D1155" s="67">
        <v>133.17029994769337</v>
      </c>
      <c r="E1155" s="67">
        <v>330580.49105011817</v>
      </c>
      <c r="F1155" s="67" t="s">
        <v>1183</v>
      </c>
      <c r="G1155" s="25">
        <f t="shared" si="14"/>
        <v>-1.0973039750018287E-2</v>
      </c>
    </row>
    <row r="1156" spans="1:7">
      <c r="A1156" s="67">
        <v>134.54448660509999</v>
      </c>
      <c r="B1156" s="67">
        <v>136.14125279152316</v>
      </c>
      <c r="C1156" s="67">
        <v>131.47676005300212</v>
      </c>
      <c r="D1156" s="67">
        <v>132.50256136064365</v>
      </c>
      <c r="E1156" s="67">
        <v>177173.12177916046</v>
      </c>
      <c r="F1156" s="67" t="s">
        <v>1184</v>
      </c>
      <c r="G1156" s="25">
        <f t="shared" si="14"/>
        <v>1.5410458661992532E-2</v>
      </c>
    </row>
    <row r="1157" spans="1:7">
      <c r="A1157" s="67">
        <v>133.2186868018274</v>
      </c>
      <c r="B1157" s="67">
        <v>134.682389139382</v>
      </c>
      <c r="C1157" s="67">
        <v>132.03804756095693</v>
      </c>
      <c r="D1157" s="67">
        <v>132.30901394410753</v>
      </c>
      <c r="E1157" s="67">
        <v>222147.11397075601</v>
      </c>
      <c r="F1157" s="67" t="s">
        <v>1185</v>
      </c>
      <c r="G1157" s="25">
        <f t="shared" si="14"/>
        <v>6.8753657109419386E-3</v>
      </c>
    </row>
    <row r="1158" spans="1:7">
      <c r="A1158" s="67">
        <v>134.54448660509999</v>
      </c>
      <c r="B1158" s="67">
        <v>134.63158294254126</v>
      </c>
      <c r="C1158" s="67">
        <v>129.78805884372426</v>
      </c>
      <c r="D1158" s="67">
        <v>134.26384285112258</v>
      </c>
      <c r="E1158" s="67">
        <v>237221.45622866554</v>
      </c>
      <c r="F1158" s="67" t="s">
        <v>1186</v>
      </c>
      <c r="G1158" s="25">
        <f t="shared" si="14"/>
        <v>2.0902407380711807E-3</v>
      </c>
    </row>
    <row r="1159" spans="1:7">
      <c r="A1159" s="67">
        <v>134.82513035907738</v>
      </c>
      <c r="B1159" s="67">
        <v>135.48319157530028</v>
      </c>
      <c r="C1159" s="67">
        <v>131.91224174020843</v>
      </c>
      <c r="D1159" s="67">
        <v>132.70578614800661</v>
      </c>
      <c r="E1159" s="67">
        <v>359145.06762232771</v>
      </c>
      <c r="F1159" s="67" t="s">
        <v>1187</v>
      </c>
      <c r="G1159" s="25">
        <f t="shared" si="14"/>
        <v>1.597024721067597E-2</v>
      </c>
    </row>
    <row r="1160" spans="1:7">
      <c r="A1160" s="67">
        <v>133.14126783521294</v>
      </c>
      <c r="B1160" s="67">
        <v>133.58642689324606</v>
      </c>
      <c r="C1160" s="67">
        <v>128.38000138842381</v>
      </c>
      <c r="D1160" s="67">
        <v>129.63805959590874</v>
      </c>
      <c r="E1160" s="67">
        <v>428228.91404764587</v>
      </c>
      <c r="F1160" s="67" t="s">
        <v>1188</v>
      </c>
      <c r="G1160" s="25">
        <f t="shared" si="14"/>
        <v>2.7022991937891927E-2</v>
      </c>
    </row>
    <row r="1161" spans="1:7">
      <c r="A1161" s="67">
        <v>130.76063461181838</v>
      </c>
      <c r="B1161" s="67">
        <v>130.81869883677922</v>
      </c>
      <c r="C1161" s="67">
        <v>122.58325626316633</v>
      </c>
      <c r="D1161" s="67">
        <v>124.83808366581239</v>
      </c>
      <c r="E1161" s="67">
        <v>410137.22332571825</v>
      </c>
      <c r="F1161" s="67" t="s">
        <v>1189</v>
      </c>
      <c r="G1161" s="25">
        <f t="shared" si="14"/>
        <v>4.7441860465116337E-2</v>
      </c>
    </row>
    <row r="1162" spans="1:7">
      <c r="A1162" s="67">
        <v>125.85420760262716</v>
      </c>
      <c r="B1162" s="67">
        <v>128.52516195082592</v>
      </c>
      <c r="C1162" s="67">
        <v>121.45100387642989</v>
      </c>
      <c r="D1162" s="67">
        <v>126.12517398577776</v>
      </c>
      <c r="E1162" s="67">
        <v>663297.92614941078</v>
      </c>
      <c r="F1162" s="67" t="s">
        <v>1190</v>
      </c>
      <c r="G1162" s="25">
        <f t="shared" si="14"/>
        <v>-2.1483925420088257E-3</v>
      </c>
    </row>
    <row r="1163" spans="1:7">
      <c r="A1163" s="67">
        <v>117.94779563712569</v>
      </c>
      <c r="B1163" s="67">
        <v>122.12841983430638</v>
      </c>
      <c r="C1163" s="67">
        <v>115.49942081794347</v>
      </c>
      <c r="D1163" s="67">
        <v>121.96390453025067</v>
      </c>
      <c r="E1163" s="67">
        <v>251773.96253646232</v>
      </c>
      <c r="F1163" s="67" t="s">
        <v>1191</v>
      </c>
      <c r="G1163" s="25">
        <f t="shared" si="14"/>
        <v>-3.2928667777513354E-2</v>
      </c>
    </row>
    <row r="1164" spans="1:7">
      <c r="A1164" s="67">
        <v>119.989720881582</v>
      </c>
      <c r="B1164" s="67">
        <v>121.18003749327929</v>
      </c>
      <c r="C1164" s="67">
        <v>114.8510369725474</v>
      </c>
      <c r="D1164" s="67">
        <v>118.6252115950022</v>
      </c>
      <c r="E1164" s="67">
        <v>286454.86977939896</v>
      </c>
      <c r="F1164" s="67" t="s">
        <v>1192</v>
      </c>
      <c r="G1164" s="25">
        <f t="shared" si="14"/>
        <v>1.1502692119432112E-2</v>
      </c>
    </row>
    <row r="1165" spans="1:7">
      <c r="A1165" s="67">
        <v>121.03487693087718</v>
      </c>
      <c r="B1165" s="67">
        <v>121.62519655131243</v>
      </c>
      <c r="C1165" s="67">
        <v>113.82523566490585</v>
      </c>
      <c r="D1165" s="67">
        <v>117.63811977066787</v>
      </c>
      <c r="E1165" s="67">
        <v>523026.35608208249</v>
      </c>
      <c r="F1165" s="67" t="s">
        <v>1193</v>
      </c>
      <c r="G1165" s="25">
        <f t="shared" si="14"/>
        <v>2.8874629812438268E-2</v>
      </c>
    </row>
    <row r="1166" spans="1:7">
      <c r="A1166" s="67">
        <v>120.3961704563079</v>
      </c>
      <c r="B1166" s="67">
        <v>122.50583729655187</v>
      </c>
      <c r="C1166" s="67">
        <v>117.42521761247811</v>
      </c>
      <c r="D1166" s="67">
        <v>120.86068425599466</v>
      </c>
      <c r="E1166" s="67">
        <v>515645.219068904</v>
      </c>
      <c r="F1166" s="67" t="s">
        <v>1194</v>
      </c>
      <c r="G1166" s="25">
        <f t="shared" si="14"/>
        <v>-3.843382176315302E-3</v>
      </c>
    </row>
    <row r="1167" spans="1:7">
      <c r="A1167" s="67">
        <v>123.18325325442838</v>
      </c>
      <c r="B1167" s="67">
        <v>129.98644494567381</v>
      </c>
      <c r="C1167" s="67">
        <v>122.66067522978078</v>
      </c>
      <c r="D1167" s="67">
        <v>126.77355783117383</v>
      </c>
      <c r="E1167" s="67">
        <v>444299.3946340874</v>
      </c>
      <c r="F1167" s="67" t="s">
        <v>1195</v>
      </c>
      <c r="G1167" s="25">
        <f t="shared" si="14"/>
        <v>-2.8320610687022851E-2</v>
      </c>
    </row>
    <row r="1168" spans="1:7">
      <c r="A1168" s="67">
        <v>126.14452872743135</v>
      </c>
      <c r="B1168" s="67">
        <v>130.67837695979051</v>
      </c>
      <c r="C1168" s="67">
        <v>125.96065868172202</v>
      </c>
      <c r="D1168" s="67">
        <v>128.41871087173104</v>
      </c>
      <c r="E1168" s="67">
        <v>269451.28451384499</v>
      </c>
      <c r="F1168" s="67" t="s">
        <v>1196</v>
      </c>
      <c r="G1168" s="25">
        <f t="shared" si="14"/>
        <v>-1.7709118311981964E-2</v>
      </c>
    </row>
    <row r="1169" spans="1:7">
      <c r="A1169" s="67">
        <v>128.25419556767531</v>
      </c>
      <c r="B1169" s="67">
        <v>129.1541910545684</v>
      </c>
      <c r="C1169" s="67">
        <v>127.24774900168738</v>
      </c>
      <c r="D1169" s="67">
        <v>129.03806260464671</v>
      </c>
      <c r="E1169" s="67">
        <v>192660.79944309985</v>
      </c>
      <c r="F1169" s="67" t="s">
        <v>1197</v>
      </c>
      <c r="G1169" s="25">
        <f t="shared" si="14"/>
        <v>-6.074696265186863E-3</v>
      </c>
    </row>
    <row r="1170" spans="1:7">
      <c r="A1170" s="67">
        <v>130.87676306174006</v>
      </c>
      <c r="B1170" s="67">
        <v>132.05740230261054</v>
      </c>
      <c r="C1170" s="67">
        <v>127.99774524076491</v>
      </c>
      <c r="D1170" s="67">
        <v>130.1412828789027</v>
      </c>
      <c r="E1170" s="67">
        <v>150032.48568072382</v>
      </c>
      <c r="F1170" s="67" t="s">
        <v>1198</v>
      </c>
      <c r="G1170" s="25">
        <f t="shared" si="14"/>
        <v>5.6513979773946676E-3</v>
      </c>
    </row>
    <row r="1171" spans="1:7">
      <c r="A1171" s="67">
        <v>132.12514389839819</v>
      </c>
      <c r="B1171" s="67">
        <v>134.27352022194938</v>
      </c>
      <c r="C1171" s="67">
        <v>131.29289000729275</v>
      </c>
      <c r="D1171" s="67">
        <v>133.71223271399455</v>
      </c>
      <c r="E1171" s="67">
        <v>134628.50843650548</v>
      </c>
      <c r="F1171" s="67" t="s">
        <v>1199</v>
      </c>
      <c r="G1171" s="25">
        <f t="shared" si="14"/>
        <v>-1.186943620178027E-2</v>
      </c>
    </row>
    <row r="1172" spans="1:7">
      <c r="A1172" s="67">
        <v>132.42514239402922</v>
      </c>
      <c r="B1172" s="67">
        <v>134.34126181773703</v>
      </c>
      <c r="C1172" s="67">
        <v>131.65095272788463</v>
      </c>
      <c r="D1172" s="67">
        <v>132.98642990198402</v>
      </c>
      <c r="E1172" s="67">
        <v>201614.677676222</v>
      </c>
      <c r="F1172" s="67" t="s">
        <v>1200</v>
      </c>
      <c r="G1172" s="25">
        <f t="shared" si="14"/>
        <v>-4.2206374617959064E-3</v>
      </c>
    </row>
    <row r="1173" spans="1:7">
      <c r="A1173" s="67">
        <v>131.92191911103524</v>
      </c>
      <c r="B1173" s="67">
        <v>133.7702969389554</v>
      </c>
      <c r="C1173" s="67">
        <v>127.15097529341929</v>
      </c>
      <c r="D1173" s="67">
        <v>128.72838673818887</v>
      </c>
      <c r="E1173" s="67">
        <v>302586.31733822986</v>
      </c>
      <c r="F1173" s="67" t="s">
        <v>1201</v>
      </c>
      <c r="G1173" s="25">
        <f t="shared" si="14"/>
        <v>2.4808299503833897E-2</v>
      </c>
    </row>
    <row r="1174" spans="1:7">
      <c r="A1174" s="67">
        <v>129.14451368374156</v>
      </c>
      <c r="B1174" s="67">
        <v>135.99609222912105</v>
      </c>
      <c r="C1174" s="67">
        <v>126.63807463959854</v>
      </c>
      <c r="D1174" s="67">
        <v>135.96706011664062</v>
      </c>
      <c r="E1174" s="67">
        <v>761040.38295181026</v>
      </c>
      <c r="F1174" s="67" t="s">
        <v>1202</v>
      </c>
      <c r="G1174" s="25">
        <f t="shared" si="14"/>
        <v>-5.0177935943060525E-2</v>
      </c>
    </row>
    <row r="1175" spans="1:7">
      <c r="A1175" s="67">
        <v>138.31866122755477</v>
      </c>
      <c r="B1175" s="67">
        <v>140.78639078839058</v>
      </c>
      <c r="C1175" s="67">
        <v>137.94608245072268</v>
      </c>
      <c r="D1175" s="67">
        <v>139.83800844736351</v>
      </c>
      <c r="E1175" s="67">
        <v>107652.17316196572</v>
      </c>
      <c r="F1175" s="67" t="s">
        <v>1203</v>
      </c>
      <c r="G1175" s="25">
        <f t="shared" si="14"/>
        <v>-1.0865051903114264E-2</v>
      </c>
    </row>
    <row r="1176" spans="1:7">
      <c r="A1176" s="67">
        <v>140.70897182177615</v>
      </c>
      <c r="B1176" s="67">
        <v>142.59605913300354</v>
      </c>
      <c r="C1176" s="67">
        <v>138.86059399385599</v>
      </c>
      <c r="D1176" s="67">
        <v>141.32832355469179</v>
      </c>
      <c r="E1176" s="67">
        <v>178851.26352764174</v>
      </c>
      <c r="F1176" s="67" t="s">
        <v>1204</v>
      </c>
      <c r="G1176" s="25">
        <f t="shared" si="14"/>
        <v>-4.382360996987078E-3</v>
      </c>
    </row>
    <row r="1177" spans="1:7">
      <c r="A1177" s="67">
        <v>141.34767829634541</v>
      </c>
      <c r="B1177" s="67">
        <v>146.81452185011705</v>
      </c>
      <c r="C1177" s="67">
        <v>141.26058195890414</v>
      </c>
      <c r="D1177" s="67">
        <v>145.50894775187251</v>
      </c>
      <c r="E1177" s="67">
        <v>259772.00264314041</v>
      </c>
      <c r="F1177" s="67" t="s">
        <v>1205</v>
      </c>
      <c r="G1177" s="25">
        <f t="shared" si="14"/>
        <v>-2.8598031391327661E-2</v>
      </c>
    </row>
    <row r="1178" spans="1:7">
      <c r="A1178" s="67">
        <v>145.16056240210744</v>
      </c>
      <c r="B1178" s="67">
        <v>146.02184840569325</v>
      </c>
      <c r="C1178" s="67">
        <v>141.27993670055778</v>
      </c>
      <c r="D1178" s="67">
        <v>141.27993670055778</v>
      </c>
      <c r="E1178" s="67">
        <v>352430.43395137246</v>
      </c>
      <c r="F1178" s="67" t="s">
        <v>1206</v>
      </c>
      <c r="G1178" s="25">
        <f t="shared" si="14"/>
        <v>2.7467634769504645E-2</v>
      </c>
    </row>
    <row r="1179" spans="1:7">
      <c r="A1179" s="67">
        <v>141.15413087980929</v>
      </c>
      <c r="B1179" s="67">
        <v>141.15413087980929</v>
      </c>
      <c r="C1179" s="67">
        <v>135.15416096718883</v>
      </c>
      <c r="D1179" s="67">
        <v>137.31221466156683</v>
      </c>
      <c r="E1179" s="67">
        <v>168431.07794162861</v>
      </c>
      <c r="F1179" s="67" t="s">
        <v>1207</v>
      </c>
      <c r="G1179" s="25">
        <f t="shared" si="14"/>
        <v>2.7979420677990197E-2</v>
      </c>
    </row>
    <row r="1180" spans="1:7">
      <c r="A1180" s="67">
        <v>137.18640884081833</v>
      </c>
      <c r="B1180" s="67">
        <v>139.13156037700659</v>
      </c>
      <c r="C1180" s="67">
        <v>136.92511982849456</v>
      </c>
      <c r="D1180" s="67">
        <v>138.40575756499604</v>
      </c>
      <c r="E1180" s="67">
        <v>115211.04439973705</v>
      </c>
      <c r="F1180" s="67" t="s">
        <v>1208</v>
      </c>
      <c r="G1180" s="25">
        <f t="shared" si="14"/>
        <v>-8.8099566494196369E-3</v>
      </c>
    </row>
    <row r="1181" spans="1:7">
      <c r="A1181" s="67">
        <v>138.69607868980023</v>
      </c>
      <c r="B1181" s="67">
        <v>140.7767134175638</v>
      </c>
      <c r="C1181" s="67">
        <v>138.51220864409092</v>
      </c>
      <c r="D1181" s="67">
        <v>138.92833558964364</v>
      </c>
      <c r="E1181" s="67">
        <v>86210.39897416599</v>
      </c>
      <c r="F1181" s="67" t="s">
        <v>1209</v>
      </c>
      <c r="G1181" s="25">
        <f t="shared" si="14"/>
        <v>-1.6717748676513544E-3</v>
      </c>
    </row>
    <row r="1182" spans="1:7">
      <c r="A1182" s="67">
        <v>139.27672093940868</v>
      </c>
      <c r="B1182" s="67">
        <v>139.7025252557882</v>
      </c>
      <c r="C1182" s="67">
        <v>137.57350367389063</v>
      </c>
      <c r="D1182" s="67">
        <v>138.33801596920839</v>
      </c>
      <c r="E1182" s="67">
        <v>125777.96405489079</v>
      </c>
      <c r="F1182" s="67" t="s">
        <v>1210</v>
      </c>
      <c r="G1182" s="25">
        <f t="shared" si="14"/>
        <v>6.7855893669115375E-3</v>
      </c>
    </row>
    <row r="1183" spans="1:7">
      <c r="A1183" s="67">
        <v>138.69607868980023</v>
      </c>
      <c r="B1183" s="67">
        <v>139.79929896405628</v>
      </c>
      <c r="C1183" s="67">
        <v>137.9605985069629</v>
      </c>
      <c r="D1183" s="67">
        <v>138.33801596920839</v>
      </c>
      <c r="E1183" s="67">
        <v>85195.660552362635</v>
      </c>
      <c r="F1183" s="67" t="s">
        <v>1211</v>
      </c>
      <c r="G1183" s="25">
        <f t="shared" si="14"/>
        <v>2.5883175935641489E-3</v>
      </c>
    </row>
    <row r="1184" spans="1:7">
      <c r="A1184" s="67">
        <v>138.77349765641472</v>
      </c>
      <c r="B1184" s="67">
        <v>139.37833333309015</v>
      </c>
      <c r="C1184" s="67">
        <v>137.56866498847722</v>
      </c>
      <c r="D1184" s="67">
        <v>138.33801596920839</v>
      </c>
      <c r="E1184" s="67">
        <v>114229.3728104161</v>
      </c>
      <c r="F1184" s="67" t="s">
        <v>1212</v>
      </c>
      <c r="G1184" s="25">
        <f t="shared" si="14"/>
        <v>3.1479538300105414E-3</v>
      </c>
    </row>
    <row r="1185" spans="1:7">
      <c r="A1185" s="67">
        <v>137.43802048231532</v>
      </c>
      <c r="B1185" s="67">
        <v>138.51220864409092</v>
      </c>
      <c r="C1185" s="67">
        <v>136.02512434160147</v>
      </c>
      <c r="D1185" s="67">
        <v>136.57673447872946</v>
      </c>
      <c r="E1185" s="67">
        <v>128787.04581078827</v>
      </c>
      <c r="F1185" s="67" t="s">
        <v>1213</v>
      </c>
      <c r="G1185" s="25">
        <f t="shared" si="14"/>
        <v>6.3062424714803722E-3</v>
      </c>
    </row>
    <row r="1186" spans="1:7">
      <c r="A1186" s="67">
        <v>135.36706312537859</v>
      </c>
      <c r="B1186" s="67">
        <v>136.20899438731081</v>
      </c>
      <c r="C1186" s="67">
        <v>131.17192287195766</v>
      </c>
      <c r="D1186" s="67">
        <v>132.71546351883342</v>
      </c>
      <c r="E1186" s="67">
        <v>207471.64037966533</v>
      </c>
      <c r="F1186" s="67" t="s">
        <v>1214</v>
      </c>
      <c r="G1186" s="25">
        <f t="shared" si="14"/>
        <v>1.9979582907977411E-2</v>
      </c>
    </row>
    <row r="1187" spans="1:7">
      <c r="A1187" s="67">
        <v>131.67030746953824</v>
      </c>
      <c r="B1187" s="67">
        <v>133.26707365596144</v>
      </c>
      <c r="C1187" s="67">
        <v>129.12515894208798</v>
      </c>
      <c r="D1187" s="67">
        <v>130.05418654146143</v>
      </c>
      <c r="E1187" s="67">
        <v>196065.64985027094</v>
      </c>
      <c r="F1187" s="67" t="s">
        <v>1215</v>
      </c>
      <c r="G1187" s="25">
        <f t="shared" si="14"/>
        <v>1.2426519830344596E-2</v>
      </c>
    </row>
    <row r="1188" spans="1:7">
      <c r="A1188" s="67">
        <v>128.6316130299208</v>
      </c>
      <c r="B1188" s="67">
        <v>129.09612682960756</v>
      </c>
      <c r="C1188" s="67">
        <v>124.10260348297506</v>
      </c>
      <c r="D1188" s="67">
        <v>128.46709772586507</v>
      </c>
      <c r="E1188" s="67">
        <v>216721.05342809882</v>
      </c>
      <c r="F1188" s="67" t="s">
        <v>1216</v>
      </c>
      <c r="G1188" s="25">
        <f t="shared" si="14"/>
        <v>1.2806026365348444E-3</v>
      </c>
    </row>
    <row r="1189" spans="1:7">
      <c r="A1189" s="67">
        <v>130.08321865394186</v>
      </c>
      <c r="B1189" s="67">
        <v>132.63804455221896</v>
      </c>
      <c r="C1189" s="67">
        <v>126.81226731448105</v>
      </c>
      <c r="D1189" s="67">
        <v>127.45097378905032</v>
      </c>
      <c r="E1189" s="67">
        <v>418706.69963123265</v>
      </c>
      <c r="F1189" s="67" t="s">
        <v>1217</v>
      </c>
      <c r="G1189" s="25">
        <f t="shared" si="14"/>
        <v>2.0652999240698522E-2</v>
      </c>
    </row>
    <row r="1190" spans="1:7">
      <c r="A1190" s="67">
        <v>127.9445197012175</v>
      </c>
      <c r="B1190" s="67">
        <v>131.5735337612702</v>
      </c>
      <c r="C1190" s="67">
        <v>126.4735593355428</v>
      </c>
      <c r="D1190" s="67">
        <v>131.4477279405217</v>
      </c>
      <c r="E1190" s="67">
        <v>273632.17214583716</v>
      </c>
      <c r="F1190" s="67" t="s">
        <v>1218</v>
      </c>
      <c r="G1190" s="25">
        <f t="shared" si="14"/>
        <v>-2.6650960759773246E-2</v>
      </c>
    </row>
    <row r="1191" spans="1:7">
      <c r="A1191" s="67">
        <v>130.64450616189669</v>
      </c>
      <c r="B1191" s="67">
        <v>130.96385939918133</v>
      </c>
      <c r="C1191" s="67">
        <v>128.05097078031235</v>
      </c>
      <c r="D1191" s="67">
        <v>129.35741584193133</v>
      </c>
      <c r="E1191" s="67">
        <v>236629.35325952774</v>
      </c>
      <c r="F1191" s="67" t="s">
        <v>1219</v>
      </c>
      <c r="G1191" s="25">
        <f t="shared" si="14"/>
        <v>9.9498765616818918E-3</v>
      </c>
    </row>
    <row r="1192" spans="1:7">
      <c r="A1192" s="67">
        <v>129.53160851681386</v>
      </c>
      <c r="B1192" s="67">
        <v>132.83159196875511</v>
      </c>
      <c r="C1192" s="67">
        <v>129.28967424614368</v>
      </c>
      <c r="D1192" s="67">
        <v>131.84450014442078</v>
      </c>
      <c r="E1192" s="67">
        <v>247627.17507546762</v>
      </c>
      <c r="F1192" s="67" t="s">
        <v>1220</v>
      </c>
      <c r="G1192" s="25">
        <f t="shared" si="14"/>
        <v>-1.7542571931884909E-2</v>
      </c>
    </row>
    <row r="1193" spans="1:7">
      <c r="A1193" s="67">
        <v>132.0767570442641</v>
      </c>
      <c r="B1193" s="67">
        <v>133.38129042156697</v>
      </c>
      <c r="C1193" s="67">
        <v>130.63693872412981</v>
      </c>
      <c r="D1193" s="67">
        <v>131.77719752799456</v>
      </c>
      <c r="E1193" s="67">
        <v>136202.14943626407</v>
      </c>
      <c r="F1193" s="67" t="s">
        <v>1221</v>
      </c>
      <c r="G1193" s="25">
        <f t="shared" si="14"/>
        <v>2.2732272493950489E-3</v>
      </c>
    </row>
    <row r="1194" spans="1:7">
      <c r="A1194" s="67">
        <v>132.31833729932018</v>
      </c>
      <c r="B1194" s="67">
        <v>134.60851811725189</v>
      </c>
      <c r="C1194" s="67">
        <v>131.3906691199048</v>
      </c>
      <c r="D1194" s="67">
        <v>134.60851811725189</v>
      </c>
      <c r="E1194" s="67">
        <v>206718.05313064897</v>
      </c>
      <c r="F1194" s="67" t="s">
        <v>1222</v>
      </c>
      <c r="G1194" s="25">
        <f t="shared" si="14"/>
        <v>-1.7013639626704991E-2</v>
      </c>
    </row>
    <row r="1195" spans="1:7">
      <c r="A1195" s="67">
        <v>133.35230079096024</v>
      </c>
      <c r="B1195" s="67">
        <v>140.35812818758677</v>
      </c>
      <c r="C1195" s="67">
        <v>133.06240448489291</v>
      </c>
      <c r="D1195" s="67">
        <v>138.44481256754256</v>
      </c>
      <c r="E1195" s="67">
        <v>225593.76794824161</v>
      </c>
      <c r="F1195" s="67" t="s">
        <v>1223</v>
      </c>
      <c r="G1195" s="25">
        <f t="shared" si="14"/>
        <v>-3.6783695121099913E-2</v>
      </c>
    </row>
    <row r="1196" spans="1:7">
      <c r="A1196" s="67">
        <v>139.54641853059832</v>
      </c>
      <c r="B1196" s="67">
        <v>141.10219537315953</v>
      </c>
      <c r="C1196" s="67">
        <v>138.37717009612683</v>
      </c>
      <c r="D1196" s="67">
        <v>138.37717009612683</v>
      </c>
      <c r="E1196" s="67">
        <v>139653.38347774826</v>
      </c>
      <c r="F1196" s="67" t="s">
        <v>1224</v>
      </c>
      <c r="G1196" s="25">
        <f t="shared" si="14"/>
        <v>8.4497206703912919E-3</v>
      </c>
    </row>
    <row r="1197" spans="1:7">
      <c r="A1197" s="67">
        <v>137.64276612075633</v>
      </c>
      <c r="B1197" s="67">
        <v>139.96193656929478</v>
      </c>
      <c r="C1197" s="67">
        <v>135.33325888242015</v>
      </c>
      <c r="D1197" s="67">
        <v>135.54584950686953</v>
      </c>
      <c r="E1197" s="67">
        <v>311624.18461112154</v>
      </c>
      <c r="F1197" s="67" t="s">
        <v>1225</v>
      </c>
      <c r="G1197" s="25">
        <f t="shared" si="14"/>
        <v>1.5470164682398035E-2</v>
      </c>
    </row>
    <row r="1198" spans="1:7">
      <c r="A1198" s="67">
        <v>133.33297437055575</v>
      </c>
      <c r="B1198" s="67">
        <v>134.05771513572401</v>
      </c>
      <c r="C1198" s="67">
        <v>128.84924483671477</v>
      </c>
      <c r="D1198" s="67">
        <v>129.612638442692</v>
      </c>
      <c r="E1198" s="67">
        <v>272580.22384615702</v>
      </c>
      <c r="F1198" s="67" t="s">
        <v>1226</v>
      </c>
      <c r="G1198" s="25">
        <f t="shared" si="14"/>
        <v>2.8703496607768608E-2</v>
      </c>
    </row>
    <row r="1199" spans="1:7">
      <c r="A1199" s="67">
        <v>127.41908972678274</v>
      </c>
      <c r="B1199" s="67">
        <v>131.3906691199048</v>
      </c>
      <c r="C1199" s="67">
        <v>123.86302837235712</v>
      </c>
      <c r="D1199" s="67">
        <v>131.3906691199048</v>
      </c>
      <c r="E1199" s="67">
        <v>257648.33299620938</v>
      </c>
      <c r="F1199" s="67" t="s">
        <v>1227</v>
      </c>
      <c r="G1199" s="25">
        <f t="shared" si="14"/>
        <v>-3.0227256012355541E-2</v>
      </c>
    </row>
    <row r="1200" spans="1:7">
      <c r="A1200" s="67">
        <v>130.61761230372531</v>
      </c>
      <c r="B1200" s="67">
        <v>131.88349284021922</v>
      </c>
      <c r="C1200" s="67">
        <v>126.55906401878306</v>
      </c>
      <c r="D1200" s="67">
        <v>127.70898603285004</v>
      </c>
      <c r="E1200" s="67">
        <v>215434.61814756689</v>
      </c>
      <c r="F1200" s="67" t="s">
        <v>1228</v>
      </c>
      <c r="G1200" s="25">
        <f t="shared" si="14"/>
        <v>2.277542372881336E-2</v>
      </c>
    </row>
    <row r="1201" spans="1:7">
      <c r="A1201" s="67">
        <v>126.75232822282791</v>
      </c>
      <c r="B1201" s="67">
        <v>133.34746918585913</v>
      </c>
      <c r="C1201" s="67">
        <v>126.69434896161448</v>
      </c>
      <c r="D1201" s="67">
        <v>129.33240534682693</v>
      </c>
      <c r="E1201" s="67">
        <v>335065.66992077662</v>
      </c>
      <c r="F1201" s="67" t="s">
        <v>1229</v>
      </c>
      <c r="G1201" s="25">
        <f t="shared" si="14"/>
        <v>-1.9949193066347903E-2</v>
      </c>
    </row>
    <row r="1202" spans="1:7">
      <c r="A1202" s="67">
        <v>127.032561318693</v>
      </c>
      <c r="B1202" s="67">
        <v>128.91688730813047</v>
      </c>
      <c r="C1202" s="67">
        <v>126.04701051016617</v>
      </c>
      <c r="D1202" s="67">
        <v>127.05188773909747</v>
      </c>
      <c r="E1202" s="67">
        <v>191967.26151826049</v>
      </c>
      <c r="F1202" s="67" t="s">
        <v>1230</v>
      </c>
      <c r="G1202" s="25">
        <f t="shared" si="14"/>
        <v>-1.52114390021163E-4</v>
      </c>
    </row>
    <row r="1203" spans="1:7">
      <c r="A1203" s="67">
        <v>128.22113617356894</v>
      </c>
      <c r="B1203" s="67">
        <v>132.77250817882563</v>
      </c>
      <c r="C1203" s="67">
        <v>128.11484086134428</v>
      </c>
      <c r="D1203" s="67">
        <v>131.92214568102821</v>
      </c>
      <c r="E1203" s="67">
        <v>245352.21219233682</v>
      </c>
      <c r="F1203" s="67" t="s">
        <v>1231</v>
      </c>
      <c r="G1203" s="25">
        <f t="shared" si="14"/>
        <v>-2.8054497509522491E-2</v>
      </c>
    </row>
    <row r="1204" spans="1:7">
      <c r="A1204" s="67">
        <v>130.53064341190515</v>
      </c>
      <c r="B1204" s="67">
        <v>135.99035717617269</v>
      </c>
      <c r="C1204" s="67">
        <v>130.366368838467</v>
      </c>
      <c r="D1204" s="67">
        <v>134.04805192552178</v>
      </c>
      <c r="E1204" s="67">
        <v>161296.29464524455</v>
      </c>
      <c r="F1204" s="67" t="s">
        <v>1232</v>
      </c>
      <c r="G1204" s="25">
        <f t="shared" si="14"/>
        <v>-2.6239907727796941E-2</v>
      </c>
    </row>
    <row r="1205" spans="1:7">
      <c r="A1205" s="67">
        <v>137.65242933095857</v>
      </c>
      <c r="B1205" s="67">
        <v>139.18887975311529</v>
      </c>
      <c r="C1205" s="67">
        <v>136.93735177599257</v>
      </c>
      <c r="D1205" s="67">
        <v>136.93735177599257</v>
      </c>
      <c r="E1205" s="67">
        <v>97005.030458963796</v>
      </c>
      <c r="F1205" s="67" t="s">
        <v>1233</v>
      </c>
      <c r="G1205" s="25">
        <f t="shared" si="14"/>
        <v>5.2219321148823106E-3</v>
      </c>
    </row>
    <row r="1206" spans="1:7">
      <c r="A1206" s="67">
        <v>138.03895773904833</v>
      </c>
      <c r="B1206" s="67">
        <v>139.28551185513771</v>
      </c>
      <c r="C1206" s="67">
        <v>134.95639368453266</v>
      </c>
      <c r="D1206" s="67">
        <v>138.26121157369994</v>
      </c>
      <c r="E1206" s="67">
        <v>193392.25380465444</v>
      </c>
      <c r="F1206" s="67" t="s">
        <v>1234</v>
      </c>
      <c r="G1206" s="25">
        <f t="shared" si="14"/>
        <v>-1.6074923119933082E-3</v>
      </c>
    </row>
    <row r="1207" spans="1:7">
      <c r="A1207" s="67">
        <v>138.17424268187975</v>
      </c>
      <c r="B1207" s="67">
        <v>140.0972215121262</v>
      </c>
      <c r="C1207" s="67">
        <v>135.33325888242015</v>
      </c>
      <c r="D1207" s="67">
        <v>137.15960561064418</v>
      </c>
      <c r="E1207" s="67">
        <v>184687.07216838308</v>
      </c>
      <c r="F1207" s="67" t="s">
        <v>1235</v>
      </c>
      <c r="G1207" s="25">
        <f t="shared" si="14"/>
        <v>7.397491897985109E-3</v>
      </c>
    </row>
    <row r="1208" spans="1:7">
      <c r="A1208" s="67">
        <v>137.22724808205987</v>
      </c>
      <c r="B1208" s="67">
        <v>138.20323231248648</v>
      </c>
      <c r="C1208" s="67">
        <v>136.14496853940858</v>
      </c>
      <c r="D1208" s="67">
        <v>137.2079216616554</v>
      </c>
      <c r="E1208" s="67">
        <v>275539.90281426639</v>
      </c>
      <c r="F1208" s="67" t="s">
        <v>1236</v>
      </c>
      <c r="G1208" s="25">
        <f t="shared" ref="G1208:G1271" si="15">A1208/D1208-1</f>
        <v>1.4085498978788635E-4</v>
      </c>
    </row>
    <row r="1209" spans="1:7">
      <c r="A1209" s="67">
        <v>137.6814189615653</v>
      </c>
      <c r="B1209" s="67">
        <v>141.88491539954126</v>
      </c>
      <c r="C1209" s="67">
        <v>137.14994240044194</v>
      </c>
      <c r="D1209" s="67">
        <v>141.88491539954126</v>
      </c>
      <c r="E1209" s="67">
        <v>448819.79272199573</v>
      </c>
      <c r="F1209" s="67" t="s">
        <v>1237</v>
      </c>
      <c r="G1209" s="25">
        <f t="shared" si="15"/>
        <v>-2.9626098208813123E-2</v>
      </c>
    </row>
    <row r="1210" spans="1:7">
      <c r="A1210" s="67">
        <v>141.29545957720438</v>
      </c>
      <c r="B1210" s="67">
        <v>147.04506964753926</v>
      </c>
      <c r="C1210" s="67">
        <v>139.74934594484543</v>
      </c>
      <c r="D1210" s="67">
        <v>145.80817874165209</v>
      </c>
      <c r="E1210" s="67">
        <v>405972.74796828924</v>
      </c>
      <c r="F1210" s="67" t="s">
        <v>1238</v>
      </c>
      <c r="G1210" s="25">
        <f t="shared" si="15"/>
        <v>-3.0949698455828734E-2</v>
      </c>
    </row>
    <row r="1211" spans="1:7">
      <c r="A1211" s="67">
        <v>146.59089876803381</v>
      </c>
      <c r="B1211" s="67">
        <v>148.11768597998829</v>
      </c>
      <c r="C1211" s="67">
        <v>145.38299749275336</v>
      </c>
      <c r="D1211" s="67">
        <v>146.18504393953958</v>
      </c>
      <c r="E1211" s="67">
        <v>159902.34794243221</v>
      </c>
      <c r="F1211" s="67" t="s">
        <v>1239</v>
      </c>
      <c r="G1211" s="25">
        <f t="shared" si="15"/>
        <v>2.7763088313061957E-3</v>
      </c>
    </row>
    <row r="1212" spans="1:7">
      <c r="A1212" s="67">
        <v>145.81784195185435</v>
      </c>
      <c r="B1212" s="67">
        <v>147.67317831068507</v>
      </c>
      <c r="C1212" s="67">
        <v>145.21872291931524</v>
      </c>
      <c r="D1212" s="67">
        <v>147.18035459037068</v>
      </c>
      <c r="E1212" s="67">
        <v>194907.27828343489</v>
      </c>
      <c r="F1212" s="67" t="s">
        <v>1240</v>
      </c>
      <c r="G1212" s="25">
        <f t="shared" si="15"/>
        <v>-9.2574354934016334E-3</v>
      </c>
    </row>
    <row r="1213" spans="1:7">
      <c r="A1213" s="67">
        <v>146.44595061500019</v>
      </c>
      <c r="B1213" s="67">
        <v>147.88576893513445</v>
      </c>
      <c r="C1213" s="67">
        <v>145.33468144174216</v>
      </c>
      <c r="D1213" s="67">
        <v>146.49426666601138</v>
      </c>
      <c r="E1213" s="67">
        <v>132147.59622051142</v>
      </c>
      <c r="F1213" s="67" t="s">
        <v>1241</v>
      </c>
      <c r="G1213" s="25">
        <f t="shared" si="15"/>
        <v>-3.2981530342990339E-4</v>
      </c>
    </row>
    <row r="1214" spans="1:7">
      <c r="A1214" s="67">
        <v>146.00144294569697</v>
      </c>
      <c r="B1214" s="67">
        <v>151.02631225086358</v>
      </c>
      <c r="C1214" s="67">
        <v>143.36821816558563</v>
      </c>
      <c r="D1214" s="67">
        <v>151.02631225086358</v>
      </c>
      <c r="E1214" s="67">
        <v>355706.84359137435</v>
      </c>
      <c r="F1214" s="67" t="s">
        <v>1242</v>
      </c>
      <c r="G1214" s="25">
        <f t="shared" si="15"/>
        <v>-3.3271482500479843E-2</v>
      </c>
    </row>
    <row r="1215" spans="1:7">
      <c r="A1215" s="67">
        <v>150.48517247953794</v>
      </c>
      <c r="B1215" s="67">
        <v>151.78004264663858</v>
      </c>
      <c r="C1215" s="67">
        <v>148.37859265544887</v>
      </c>
      <c r="D1215" s="67">
        <v>151.56745202218923</v>
      </c>
      <c r="E1215" s="67">
        <v>194095.95369916994</v>
      </c>
      <c r="F1215" s="67" t="s">
        <v>1243</v>
      </c>
      <c r="G1215" s="25">
        <f t="shared" si="15"/>
        <v>-7.1405801721391438E-3</v>
      </c>
    </row>
    <row r="1216" spans="1:7">
      <c r="A1216" s="67">
        <v>151.74138980582961</v>
      </c>
      <c r="B1216" s="67">
        <v>153.12322886475044</v>
      </c>
      <c r="C1216" s="67">
        <v>150.22426580407739</v>
      </c>
      <c r="D1216" s="67">
        <v>150.52382532034693</v>
      </c>
      <c r="E1216" s="67">
        <v>160482.9003554075</v>
      </c>
      <c r="F1216" s="67" t="s">
        <v>1244</v>
      </c>
      <c r="G1216" s="25">
        <f t="shared" si="15"/>
        <v>8.0888489439558953E-3</v>
      </c>
    </row>
    <row r="1217" spans="1:7">
      <c r="A1217" s="67">
        <v>150.32089790609982</v>
      </c>
      <c r="B1217" s="67">
        <v>152.67872119544722</v>
      </c>
      <c r="C1217" s="67">
        <v>149.93920110311117</v>
      </c>
      <c r="D1217" s="67">
        <v>151.60610486299819</v>
      </c>
      <c r="E1217" s="67">
        <v>186421.48543780661</v>
      </c>
      <c r="F1217" s="67" t="s">
        <v>1245</v>
      </c>
      <c r="G1217" s="25">
        <f t="shared" si="15"/>
        <v>-8.4772770731085245E-3</v>
      </c>
    </row>
    <row r="1218" spans="1:7">
      <c r="A1218" s="67">
        <v>151.28721892632416</v>
      </c>
      <c r="B1218" s="67">
        <v>153.75133752789625</v>
      </c>
      <c r="C1218" s="67">
        <v>150.45618284893121</v>
      </c>
      <c r="D1218" s="67">
        <v>150.52382532034693</v>
      </c>
      <c r="E1218" s="67">
        <v>355235.98557372059</v>
      </c>
      <c r="F1218" s="67" t="s">
        <v>1246</v>
      </c>
      <c r="G1218" s="25">
        <f t="shared" si="15"/>
        <v>5.0715798934326539E-3</v>
      </c>
    </row>
    <row r="1219" spans="1:7">
      <c r="A1219" s="67">
        <v>149.36424009607771</v>
      </c>
      <c r="B1219" s="67">
        <v>150.34988753670655</v>
      </c>
      <c r="C1219" s="67">
        <v>146.89045828430335</v>
      </c>
      <c r="D1219" s="67">
        <v>147.96307461675241</v>
      </c>
      <c r="E1219" s="67">
        <v>318658.07899791852</v>
      </c>
      <c r="F1219" s="67" t="s">
        <v>1247</v>
      </c>
      <c r="G1219" s="25">
        <f t="shared" si="15"/>
        <v>9.4696969696970168E-3</v>
      </c>
    </row>
    <row r="1220" spans="1:7">
      <c r="A1220" s="67">
        <v>147.05473285774153</v>
      </c>
      <c r="B1220" s="67">
        <v>147.73115757189854</v>
      </c>
      <c r="C1220" s="67">
        <v>142.52268727288933</v>
      </c>
      <c r="D1220" s="67">
        <v>144.13644337666398</v>
      </c>
      <c r="E1220" s="67">
        <v>222624.77530505779</v>
      </c>
      <c r="F1220" s="67" t="s">
        <v>1248</v>
      </c>
      <c r="G1220" s="25">
        <f t="shared" si="15"/>
        <v>2.0246714936980492E-2</v>
      </c>
    </row>
    <row r="1221" spans="1:7">
      <c r="A1221" s="67">
        <v>144.31038116030436</v>
      </c>
      <c r="B1221" s="67">
        <v>144.92882661324794</v>
      </c>
      <c r="C1221" s="67">
        <v>140.68667733446304</v>
      </c>
      <c r="D1221" s="67">
        <v>142.05885318318161</v>
      </c>
      <c r="E1221" s="67">
        <v>176579.00058966386</v>
      </c>
      <c r="F1221" s="67" t="s">
        <v>1249</v>
      </c>
      <c r="G1221" s="25">
        <f t="shared" si="15"/>
        <v>1.5849261954969052E-2</v>
      </c>
    </row>
    <row r="1222" spans="1:7">
      <c r="A1222" s="67">
        <v>141.38242846902457</v>
      </c>
      <c r="B1222" s="67">
        <v>143.4986715033159</v>
      </c>
      <c r="C1222" s="67">
        <v>140.63836128345181</v>
      </c>
      <c r="D1222" s="67">
        <v>141.79794650772106</v>
      </c>
      <c r="E1222" s="67">
        <v>171951.13893043829</v>
      </c>
      <c r="F1222" s="67" t="s">
        <v>1250</v>
      </c>
      <c r="G1222" s="25">
        <f t="shared" si="15"/>
        <v>-2.9303530053156335E-3</v>
      </c>
    </row>
    <row r="1223" spans="1:7">
      <c r="A1223" s="67">
        <v>141.35343883841784</v>
      </c>
      <c r="B1223" s="67">
        <v>141.63367193428292</v>
      </c>
      <c r="C1223" s="67">
        <v>138.65740319199193</v>
      </c>
      <c r="D1223" s="67">
        <v>140.0778950917217</v>
      </c>
      <c r="E1223" s="67">
        <v>273273.57521281199</v>
      </c>
      <c r="F1223" s="67" t="s">
        <v>1251</v>
      </c>
      <c r="G1223" s="25">
        <f t="shared" si="15"/>
        <v>9.1059602649006255E-3</v>
      </c>
    </row>
    <row r="1224" spans="1:7">
      <c r="A1224" s="67">
        <v>140.78330943648547</v>
      </c>
      <c r="B1224" s="67">
        <v>142.87056284017007</v>
      </c>
      <c r="C1224" s="67">
        <v>130.55963304251188</v>
      </c>
      <c r="D1224" s="67">
        <v>132.38597977073587</v>
      </c>
      <c r="E1224" s="67">
        <v>440296.74517606955</v>
      </c>
      <c r="F1224" s="67" t="s">
        <v>1252</v>
      </c>
      <c r="G1224" s="25">
        <f t="shared" si="15"/>
        <v>6.3430656934306606E-2</v>
      </c>
    </row>
    <row r="1225" spans="1:7">
      <c r="A1225" s="67">
        <v>135.02403615594835</v>
      </c>
      <c r="B1225" s="67">
        <v>138.22255873289095</v>
      </c>
      <c r="C1225" s="67">
        <v>134.2123264989599</v>
      </c>
      <c r="D1225" s="67">
        <v>138.16457947167748</v>
      </c>
      <c r="E1225" s="67">
        <v>233268.23620960495</v>
      </c>
      <c r="F1225" s="67" t="s">
        <v>1253</v>
      </c>
      <c r="G1225" s="25">
        <f t="shared" si="15"/>
        <v>-2.2730451811442176E-2</v>
      </c>
    </row>
    <row r="1226" spans="1:7">
      <c r="A1226" s="67">
        <v>138.6767296123964</v>
      </c>
      <c r="B1226" s="67">
        <v>140.76398301608097</v>
      </c>
      <c r="C1226" s="67">
        <v>138.20410200140469</v>
      </c>
      <c r="D1226" s="67">
        <v>140.42577065900247</v>
      </c>
      <c r="E1226" s="67">
        <v>245978.29812789842</v>
      </c>
      <c r="F1226" s="67" t="s">
        <v>1254</v>
      </c>
      <c r="G1226" s="25">
        <f t="shared" si="15"/>
        <v>-1.2455271125791367E-2</v>
      </c>
    </row>
    <row r="1227" spans="1:7">
      <c r="A1227" s="67">
        <v>139.19854296331755</v>
      </c>
      <c r="B1227" s="67">
        <v>141.18916426497972</v>
      </c>
      <c r="C1227" s="67">
        <v>139.15022691230632</v>
      </c>
      <c r="D1227" s="67">
        <v>140.8122990670922</v>
      </c>
      <c r="E1227" s="67">
        <v>206702.5303388582</v>
      </c>
      <c r="F1227" s="67" t="s">
        <v>1255</v>
      </c>
      <c r="G1227" s="25">
        <f t="shared" si="15"/>
        <v>-1.1460334888827806E-2</v>
      </c>
    </row>
    <row r="1228" spans="1:7">
      <c r="A1228" s="67">
        <v>141.17950105477746</v>
      </c>
      <c r="B1228" s="67">
        <v>142.15548528520407</v>
      </c>
      <c r="C1228" s="67">
        <v>139.47742320975431</v>
      </c>
      <c r="D1228" s="67">
        <v>140.08755830192393</v>
      </c>
      <c r="E1228" s="67">
        <v>219843.09101614938</v>
      </c>
      <c r="F1228" s="67" t="s">
        <v>1256</v>
      </c>
      <c r="G1228" s="25">
        <f t="shared" si="15"/>
        <v>7.7947161481686233E-3</v>
      </c>
    </row>
    <row r="1229" spans="1:7">
      <c r="A1229" s="67">
        <v>140.14553756313742</v>
      </c>
      <c r="B1229" s="67">
        <v>141.4983869914515</v>
      </c>
      <c r="C1229" s="67">
        <v>139.1937113582164</v>
      </c>
      <c r="D1229" s="67">
        <v>140.11654793253069</v>
      </c>
      <c r="E1229" s="67">
        <v>199317.82085758948</v>
      </c>
      <c r="F1229" s="67" t="s">
        <v>1257</v>
      </c>
      <c r="G1229" s="25">
        <f t="shared" si="15"/>
        <v>2.068965517241228E-4</v>
      </c>
    </row>
    <row r="1230" spans="1:7">
      <c r="A1230" s="67">
        <v>140.17452719374415</v>
      </c>
      <c r="B1230" s="67">
        <v>140.29048571617108</v>
      </c>
      <c r="C1230" s="67">
        <v>137.82636711459898</v>
      </c>
      <c r="D1230" s="67">
        <v>139.7686723652499</v>
      </c>
      <c r="E1230" s="67">
        <v>223800.36807001309</v>
      </c>
      <c r="F1230" s="67" t="s">
        <v>1258</v>
      </c>
      <c r="G1230" s="25">
        <f t="shared" si="15"/>
        <v>2.9037610619471188E-3</v>
      </c>
    </row>
    <row r="1231" spans="1:7">
      <c r="A1231" s="67">
        <v>139.30483827554221</v>
      </c>
      <c r="B1231" s="67">
        <v>141.87042058423788</v>
      </c>
      <c r="C1231" s="67">
        <v>137.2562377126666</v>
      </c>
      <c r="D1231" s="67">
        <v>137.2562377126666</v>
      </c>
      <c r="E1231" s="67">
        <v>382923.47186454799</v>
      </c>
      <c r="F1231" s="67" t="s">
        <v>1259</v>
      </c>
      <c r="G1231" s="25">
        <f t="shared" si="15"/>
        <v>1.4925373134328179E-2</v>
      </c>
    </row>
    <row r="1232" spans="1:7">
      <c r="A1232" s="67">
        <v>136.6088026291163</v>
      </c>
      <c r="B1232" s="67">
        <v>136.90353054028472</v>
      </c>
      <c r="C1232" s="67">
        <v>134.54087564583617</v>
      </c>
      <c r="D1232" s="67">
        <v>136.17395817001531</v>
      </c>
      <c r="E1232" s="67">
        <v>216905.14395654711</v>
      </c>
      <c r="F1232" s="67" t="s">
        <v>1260</v>
      </c>
      <c r="G1232" s="25">
        <f t="shared" si="15"/>
        <v>3.193301163781026E-3</v>
      </c>
    </row>
    <row r="1233" spans="1:7">
      <c r="A1233" s="67">
        <v>137.24657450246437</v>
      </c>
      <c r="B1233" s="67">
        <v>139.1019108612951</v>
      </c>
      <c r="C1233" s="67">
        <v>135.50719666606051</v>
      </c>
      <c r="D1233" s="67">
        <v>136.5894762087118</v>
      </c>
      <c r="E1233" s="67">
        <v>328590.59603844781</v>
      </c>
      <c r="F1233" s="67" t="s">
        <v>1261</v>
      </c>
      <c r="G1233" s="25">
        <f t="shared" si="15"/>
        <v>4.8107534488859294E-3</v>
      </c>
    </row>
    <row r="1234" spans="1:7">
      <c r="A1234" s="67">
        <v>134.44424354381374</v>
      </c>
      <c r="B1234" s="67">
        <v>134.73413984988105</v>
      </c>
      <c r="C1234" s="67">
        <v>132.49227508296059</v>
      </c>
      <c r="D1234" s="67">
        <v>132.49227508296059</v>
      </c>
      <c r="E1234" s="67">
        <v>255325.08849152215</v>
      </c>
      <c r="F1234" s="67" t="s">
        <v>1262</v>
      </c>
      <c r="G1234" s="25">
        <f t="shared" si="15"/>
        <v>1.4732696375173049E-2</v>
      </c>
    </row>
    <row r="1235" spans="1:7">
      <c r="A1235" s="67">
        <v>131.40033233010703</v>
      </c>
      <c r="B1235" s="67">
        <v>132.60823360538748</v>
      </c>
      <c r="C1235" s="67">
        <v>130.27939994664681</v>
      </c>
      <c r="D1235" s="67">
        <v>132.60823360538748</v>
      </c>
      <c r="E1235" s="67">
        <v>193790.67212728452</v>
      </c>
      <c r="F1235" s="67" t="s">
        <v>1263</v>
      </c>
      <c r="G1235" s="25">
        <f t="shared" si="15"/>
        <v>-9.108795452889451E-3</v>
      </c>
    </row>
    <row r="1236" spans="1:7">
      <c r="A1236" s="67">
        <v>132.4342958217471</v>
      </c>
      <c r="B1236" s="67">
        <v>132.4342958217471</v>
      </c>
      <c r="C1236" s="67">
        <v>130.89784539959038</v>
      </c>
      <c r="D1236" s="67">
        <v>131.62258616475864</v>
      </c>
      <c r="E1236" s="67">
        <v>81705.766869967658</v>
      </c>
      <c r="F1236" s="67" t="s">
        <v>1264</v>
      </c>
      <c r="G1236" s="25">
        <f t="shared" si="15"/>
        <v>6.1669480948536304E-3</v>
      </c>
    </row>
    <row r="1237" spans="1:7">
      <c r="A1237" s="67">
        <v>130.91717181999485</v>
      </c>
      <c r="B1237" s="67">
        <v>134.62784453765636</v>
      </c>
      <c r="C1237" s="67">
        <v>130.91717181999485</v>
      </c>
      <c r="D1237" s="67">
        <v>133.89344056228586</v>
      </c>
      <c r="E1237" s="67">
        <v>160877.17926689339</v>
      </c>
      <c r="F1237" s="67" t="s">
        <v>1265</v>
      </c>
      <c r="G1237" s="25">
        <f t="shared" si="15"/>
        <v>-2.222863741339498E-2</v>
      </c>
    </row>
    <row r="1238" spans="1:7">
      <c r="A1238" s="67">
        <v>133.58421783581409</v>
      </c>
      <c r="B1238" s="67">
        <v>134.18333686835319</v>
      </c>
      <c r="C1238" s="67">
        <v>131.86416641981475</v>
      </c>
      <c r="D1238" s="67">
        <v>133.35230079096024</v>
      </c>
      <c r="E1238" s="67">
        <v>223577.87472101187</v>
      </c>
      <c r="F1238" s="67" t="s">
        <v>1266</v>
      </c>
      <c r="G1238" s="25">
        <f t="shared" si="15"/>
        <v>1.7391304347826875E-3</v>
      </c>
    </row>
    <row r="1239" spans="1:7">
      <c r="A1239" s="67">
        <v>133.35230079096024</v>
      </c>
      <c r="B1239" s="67">
        <v>134.11569439693747</v>
      </c>
      <c r="C1239" s="67">
        <v>131.76753431779233</v>
      </c>
      <c r="D1239" s="67">
        <v>132.25069482790448</v>
      </c>
      <c r="E1239" s="67">
        <v>381506.75840044249</v>
      </c>
      <c r="F1239" s="67" t="s">
        <v>1267</v>
      </c>
      <c r="G1239" s="25">
        <f t="shared" si="15"/>
        <v>8.3296799649277276E-3</v>
      </c>
    </row>
    <row r="1240" spans="1:7">
      <c r="A1240" s="67">
        <v>131.61292295455638</v>
      </c>
      <c r="B1240" s="67">
        <v>131.97046173203941</v>
      </c>
      <c r="C1240" s="67">
        <v>125.82466004341256</v>
      </c>
      <c r="D1240" s="67">
        <v>127.55437466961413</v>
      </c>
      <c r="E1240" s="67">
        <v>290979.90638216562</v>
      </c>
      <c r="F1240" s="67" t="s">
        <v>1268</v>
      </c>
      <c r="G1240" s="25">
        <f t="shared" si="15"/>
        <v>3.1818181818181746E-2</v>
      </c>
    </row>
    <row r="1241" spans="1:7">
      <c r="A1241" s="67">
        <v>126.16287240049107</v>
      </c>
      <c r="B1241" s="67">
        <v>128.91350518455968</v>
      </c>
      <c r="C1241" s="67">
        <v>125.6797118903789</v>
      </c>
      <c r="D1241" s="67">
        <v>125.73769115159236</v>
      </c>
      <c r="E1241" s="67">
        <v>125402.42576102301</v>
      </c>
      <c r="F1241" s="67" t="s">
        <v>1269</v>
      </c>
      <c r="G1241" s="25">
        <f t="shared" si="15"/>
        <v>3.3814940055332254E-3</v>
      </c>
    </row>
    <row r="1242" spans="1:7">
      <c r="A1242" s="67">
        <v>125.48644768633405</v>
      </c>
      <c r="B1242" s="67">
        <v>129.55465918147854</v>
      </c>
      <c r="C1242" s="67">
        <v>124.38484172327827</v>
      </c>
      <c r="D1242" s="67">
        <v>129.55465918147854</v>
      </c>
      <c r="E1242" s="67">
        <v>213435.28256491397</v>
      </c>
      <c r="F1242" s="67" t="s">
        <v>1270</v>
      </c>
      <c r="G1242" s="25">
        <f t="shared" si="15"/>
        <v>-3.1401506675617141E-2</v>
      </c>
    </row>
    <row r="1243" spans="1:7">
      <c r="A1243" s="67">
        <v>129.09082509177085</v>
      </c>
      <c r="B1243" s="67">
        <v>129.94601919466939</v>
      </c>
      <c r="C1243" s="67">
        <v>124.0804506019076</v>
      </c>
      <c r="D1243" s="67">
        <v>126.67502254120998</v>
      </c>
      <c r="E1243" s="67">
        <v>218124.20053851663</v>
      </c>
      <c r="F1243" s="67" t="s">
        <v>1271</v>
      </c>
      <c r="G1243" s="25">
        <f t="shared" si="15"/>
        <v>1.9070867343046638E-2</v>
      </c>
    </row>
    <row r="1244" spans="1:7">
      <c r="A1244" s="67">
        <v>126.42377907595166</v>
      </c>
      <c r="B1244" s="67">
        <v>129.07149867136636</v>
      </c>
      <c r="C1244" s="67">
        <v>125.80050201790695</v>
      </c>
      <c r="D1244" s="67">
        <v>128.58833816125417</v>
      </c>
      <c r="E1244" s="67">
        <v>342342.75471229589</v>
      </c>
      <c r="F1244" s="67" t="s">
        <v>1272</v>
      </c>
      <c r="G1244" s="25">
        <f t="shared" si="15"/>
        <v>-1.6833245660178631E-2</v>
      </c>
    </row>
    <row r="1245" spans="1:7">
      <c r="A1245" s="67">
        <v>127.36111046556928</v>
      </c>
      <c r="B1245" s="67">
        <v>128.6366542122654</v>
      </c>
      <c r="C1245" s="67">
        <v>125.42846842512058</v>
      </c>
      <c r="D1245" s="67">
        <v>126.70401217181671</v>
      </c>
      <c r="E1245" s="67">
        <v>169307.09006207486</v>
      </c>
      <c r="F1245" s="67" t="s">
        <v>1273</v>
      </c>
      <c r="G1245" s="25">
        <f t="shared" si="15"/>
        <v>5.1860890787065461E-3</v>
      </c>
    </row>
    <row r="1246" spans="1:7">
      <c r="A1246" s="67">
        <v>126.05657708826638</v>
      </c>
      <c r="B1246" s="67">
        <v>127.91191344709715</v>
      </c>
      <c r="C1246" s="67">
        <v>124.69406444975006</v>
      </c>
      <c r="D1246" s="67">
        <v>126.00826103725518</v>
      </c>
      <c r="E1246" s="67">
        <v>389695.54849647376</v>
      </c>
      <c r="F1246" s="67" t="s">
        <v>1274</v>
      </c>
      <c r="G1246" s="25">
        <f t="shared" si="15"/>
        <v>3.8343558282183388E-4</v>
      </c>
    </row>
    <row r="1247" spans="1:7">
      <c r="A1247" s="67">
        <v>126.89727637586157</v>
      </c>
      <c r="B1247" s="67">
        <v>127.04222452889523</v>
      </c>
      <c r="C1247" s="67">
        <v>123.40885749285167</v>
      </c>
      <c r="D1247" s="67">
        <v>125.70870152098563</v>
      </c>
      <c r="E1247" s="67">
        <v>309617.60505896626</v>
      </c>
      <c r="F1247" s="67" t="s">
        <v>1275</v>
      </c>
      <c r="G1247" s="25">
        <f t="shared" si="15"/>
        <v>9.4549926973632736E-3</v>
      </c>
    </row>
    <row r="1248" spans="1:7">
      <c r="A1248" s="67">
        <v>125.39947879451384</v>
      </c>
      <c r="B1248" s="67">
        <v>126.31748376372697</v>
      </c>
      <c r="C1248" s="67">
        <v>124.52012666610969</v>
      </c>
      <c r="D1248" s="67">
        <v>125.82466004341256</v>
      </c>
      <c r="E1248" s="67">
        <v>121652.11926436973</v>
      </c>
      <c r="F1248" s="67" t="s">
        <v>1276</v>
      </c>
      <c r="G1248" s="25">
        <f t="shared" si="15"/>
        <v>-3.3791567467936767E-3</v>
      </c>
    </row>
    <row r="1249" spans="1:7">
      <c r="A1249" s="67">
        <v>126.51074796777182</v>
      </c>
      <c r="B1249" s="67">
        <v>128.84924483671477</v>
      </c>
      <c r="C1249" s="67">
        <v>125.37532076900823</v>
      </c>
      <c r="D1249" s="67">
        <v>125.90196572503049</v>
      </c>
      <c r="E1249" s="67">
        <v>185808.85258846369</v>
      </c>
      <c r="F1249" s="67" t="s">
        <v>1277</v>
      </c>
      <c r="G1249" s="25">
        <f t="shared" si="15"/>
        <v>4.835367257655987E-3</v>
      </c>
    </row>
    <row r="1250" spans="1:7">
      <c r="A1250" s="67">
        <v>125.24486743127795</v>
      </c>
      <c r="B1250" s="67">
        <v>126.33681018413147</v>
      </c>
      <c r="C1250" s="67">
        <v>122.18162979716675</v>
      </c>
      <c r="D1250" s="67">
        <v>123.98865010498629</v>
      </c>
      <c r="E1250" s="67">
        <v>135641.25922622374</v>
      </c>
      <c r="F1250" s="67" t="s">
        <v>1278</v>
      </c>
      <c r="G1250" s="25">
        <f t="shared" si="15"/>
        <v>1.0131712259371817E-2</v>
      </c>
    </row>
    <row r="1251" spans="1:7">
      <c r="A1251" s="67">
        <v>123.13828760718887</v>
      </c>
      <c r="B1251" s="67">
        <v>125.84398646381703</v>
      </c>
      <c r="C1251" s="67">
        <v>122.79041203990809</v>
      </c>
      <c r="D1251" s="67">
        <v>125.62173262916544</v>
      </c>
      <c r="E1251" s="67">
        <v>152067.47749923076</v>
      </c>
      <c r="F1251" s="67" t="s">
        <v>1279</v>
      </c>
      <c r="G1251" s="25">
        <f t="shared" si="15"/>
        <v>-1.976923076923065E-2</v>
      </c>
    </row>
    <row r="1252" spans="1:7">
      <c r="A1252" s="67">
        <v>124.6360851885366</v>
      </c>
      <c r="B1252" s="67">
        <v>124.72305408035679</v>
      </c>
      <c r="C1252" s="67">
        <v>121.8820702808972</v>
      </c>
      <c r="D1252" s="67">
        <v>123.44751033366065</v>
      </c>
      <c r="E1252" s="67">
        <v>213952.70895794011</v>
      </c>
      <c r="F1252" s="67" t="s">
        <v>1280</v>
      </c>
      <c r="G1252" s="25">
        <f t="shared" si="15"/>
        <v>9.6281800391389005E-3</v>
      </c>
    </row>
    <row r="1253" spans="1:7">
      <c r="A1253" s="67">
        <v>125.65072225977217</v>
      </c>
      <c r="B1253" s="67">
        <v>128.81542360100693</v>
      </c>
      <c r="C1253" s="67">
        <v>123.88718639786273</v>
      </c>
      <c r="D1253" s="67">
        <v>127.68965961244554</v>
      </c>
      <c r="E1253" s="67">
        <v>543330.82796657365</v>
      </c>
      <c r="F1253" s="67" t="s">
        <v>1281</v>
      </c>
      <c r="G1253" s="25">
        <f t="shared" si="15"/>
        <v>-1.596791281973664E-2</v>
      </c>
    </row>
    <row r="1254" spans="1:7">
      <c r="A1254" s="67">
        <v>127.24515194314235</v>
      </c>
      <c r="B1254" s="67">
        <v>127.66066998183882</v>
      </c>
      <c r="C1254" s="67">
        <v>123.36054144184045</v>
      </c>
      <c r="D1254" s="67">
        <v>124.42349456408724</v>
      </c>
      <c r="E1254" s="67">
        <v>295583.966427312</v>
      </c>
      <c r="F1254" s="67" t="s">
        <v>1282</v>
      </c>
      <c r="G1254" s="25">
        <f t="shared" si="15"/>
        <v>2.267785026405722E-2</v>
      </c>
    </row>
    <row r="1255" spans="1:7">
      <c r="A1255" s="67">
        <v>123.99831331518853</v>
      </c>
      <c r="B1255" s="67">
        <v>124.74238050076129</v>
      </c>
      <c r="C1255" s="67">
        <v>120.22966133631357</v>
      </c>
      <c r="D1255" s="67">
        <v>120.71282184642574</v>
      </c>
      <c r="E1255" s="67">
        <v>290221.35928998934</v>
      </c>
      <c r="F1255" s="67" t="s">
        <v>1283</v>
      </c>
      <c r="G1255" s="25">
        <f t="shared" si="15"/>
        <v>2.7217419148254818E-2</v>
      </c>
    </row>
    <row r="1256" spans="1:7">
      <c r="A1256" s="67">
        <v>120.81911715865041</v>
      </c>
      <c r="B1256" s="67">
        <v>121.56318434422316</v>
      </c>
      <c r="C1256" s="67">
        <v>117.01181233896649</v>
      </c>
      <c r="D1256" s="67">
        <v>118.53859955092096</v>
      </c>
      <c r="E1256" s="67">
        <v>233443.12633044776</v>
      </c>
      <c r="F1256" s="67" t="s">
        <v>1284</v>
      </c>
      <c r="G1256" s="25">
        <f t="shared" si="15"/>
        <v>1.9238607646531181E-2</v>
      </c>
    </row>
    <row r="1257" spans="1:7">
      <c r="A1257" s="67">
        <v>118.53859955092094</v>
      </c>
      <c r="B1257" s="67">
        <v>120.11113896060597</v>
      </c>
      <c r="C1257" s="67">
        <v>118.12858160667788</v>
      </c>
      <c r="D1257" s="67">
        <v>119.96642674499078</v>
      </c>
      <c r="E1257" s="67">
        <v>161943.82692832194</v>
      </c>
      <c r="F1257" s="67" t="s">
        <v>1285</v>
      </c>
      <c r="G1257" s="25">
        <f t="shared" si="15"/>
        <v>-1.1901889827100831E-2</v>
      </c>
    </row>
    <row r="1258" spans="1:7">
      <c r="A1258" s="67">
        <v>118.63507436133105</v>
      </c>
      <c r="B1258" s="67">
        <v>123.6807069457806</v>
      </c>
      <c r="C1258" s="67">
        <v>118.50965710779789</v>
      </c>
      <c r="D1258" s="67">
        <v>123.6807069457806</v>
      </c>
      <c r="E1258" s="67">
        <v>242367.9290023871</v>
      </c>
      <c r="F1258" s="67" t="s">
        <v>1286</v>
      </c>
      <c r="G1258" s="25">
        <f t="shared" si="15"/>
        <v>-4.0795631825273015E-2</v>
      </c>
    </row>
    <row r="1259" spans="1:7">
      <c r="A1259" s="67">
        <v>123.08256312123783</v>
      </c>
      <c r="B1259" s="67">
        <v>125.20500895026059</v>
      </c>
      <c r="C1259" s="67">
        <v>122.47477181565404</v>
      </c>
      <c r="D1259" s="67">
        <v>124.11484359262617</v>
      </c>
      <c r="E1259" s="67">
        <v>180183.82131151189</v>
      </c>
      <c r="F1259" s="67" t="s">
        <v>1287</v>
      </c>
      <c r="G1259" s="25">
        <f t="shared" si="15"/>
        <v>-8.3171395258453407E-3</v>
      </c>
    </row>
    <row r="1260" spans="1:7">
      <c r="A1260" s="67">
        <v>124.46215291010262</v>
      </c>
      <c r="B1260" s="67">
        <v>124.97346940527628</v>
      </c>
      <c r="C1260" s="67">
        <v>123.24657029893504</v>
      </c>
      <c r="D1260" s="67">
        <v>123.72894435098567</v>
      </c>
      <c r="E1260" s="67">
        <v>136440.79676386178</v>
      </c>
      <c r="F1260" s="67" t="s">
        <v>1288</v>
      </c>
      <c r="G1260" s="25">
        <f t="shared" si="15"/>
        <v>5.9259259259258901E-3</v>
      </c>
    </row>
    <row r="1261" spans="1:7">
      <c r="A1261" s="67">
        <v>124.09554863054414</v>
      </c>
      <c r="B1261" s="67">
        <v>124.94452696215323</v>
      </c>
      <c r="C1261" s="67">
        <v>123.27551274205808</v>
      </c>
      <c r="D1261" s="67">
        <v>123.98942633909301</v>
      </c>
      <c r="E1261" s="67">
        <v>266580.46686662157</v>
      </c>
      <c r="F1261" s="67" t="s">
        <v>1289</v>
      </c>
      <c r="G1261" s="25">
        <f t="shared" si="15"/>
        <v>8.5589791472129306E-4</v>
      </c>
    </row>
    <row r="1262" spans="1:7">
      <c r="A1262" s="67">
        <v>124.88664207590716</v>
      </c>
      <c r="B1262" s="67">
        <v>126.16010957332084</v>
      </c>
      <c r="C1262" s="67">
        <v>124.11001985210568</v>
      </c>
      <c r="D1262" s="67">
        <v>125.60055567294209</v>
      </c>
      <c r="E1262" s="67">
        <v>164119.52438870244</v>
      </c>
      <c r="F1262" s="67" t="s">
        <v>1290</v>
      </c>
      <c r="G1262" s="25">
        <f t="shared" si="15"/>
        <v>-5.6840003072432532E-3</v>
      </c>
    </row>
    <row r="1263" spans="1:7">
      <c r="A1263" s="67">
        <v>126.50741889079727</v>
      </c>
      <c r="B1263" s="67">
        <v>128.46585754212282</v>
      </c>
      <c r="C1263" s="67">
        <v>122.89868213259612</v>
      </c>
      <c r="D1263" s="67">
        <v>124.80946222757908</v>
      </c>
      <c r="E1263" s="67">
        <v>160341.33608804169</v>
      </c>
      <c r="F1263" s="67" t="s">
        <v>1291</v>
      </c>
      <c r="G1263" s="25">
        <f t="shared" si="15"/>
        <v>1.3604390507845565E-2</v>
      </c>
    </row>
    <row r="1264" spans="1:7">
      <c r="A1264" s="67">
        <v>124.4428579480206</v>
      </c>
      <c r="B1264" s="67">
        <v>126.93190805660183</v>
      </c>
      <c r="C1264" s="67">
        <v>124.36567809969249</v>
      </c>
      <c r="D1264" s="67">
        <v>126.93190805660183</v>
      </c>
      <c r="E1264" s="67">
        <v>133189.17078329311</v>
      </c>
      <c r="F1264" s="67" t="s">
        <v>1292</v>
      </c>
      <c r="G1264" s="25">
        <f t="shared" si="15"/>
        <v>-1.9609333434673526E-2</v>
      </c>
    </row>
    <row r="1265" spans="1:7">
      <c r="A1265" s="67">
        <v>126.71001599265854</v>
      </c>
      <c r="B1265" s="67">
        <v>127.98348349007219</v>
      </c>
      <c r="C1265" s="67">
        <v>125.32077872275273</v>
      </c>
      <c r="D1265" s="67">
        <v>127.5204044001036</v>
      </c>
      <c r="E1265" s="67">
        <v>235638.71132121026</v>
      </c>
      <c r="F1265" s="67" t="s">
        <v>1293</v>
      </c>
      <c r="G1265" s="25">
        <f t="shared" si="15"/>
        <v>-6.3549704947799546E-3</v>
      </c>
    </row>
    <row r="1266" spans="1:7">
      <c r="A1266" s="67">
        <v>127.80982883133396</v>
      </c>
      <c r="B1266" s="67">
        <v>130.26028901575117</v>
      </c>
      <c r="C1266" s="67">
        <v>127.75194394508789</v>
      </c>
      <c r="D1266" s="67">
        <v>130.26028901575117</v>
      </c>
      <c r="E1266" s="67">
        <v>129885.71780271539</v>
      </c>
      <c r="F1266" s="67" t="s">
        <v>1294</v>
      </c>
      <c r="G1266" s="25">
        <f t="shared" si="15"/>
        <v>-1.8812027847726509E-2</v>
      </c>
    </row>
    <row r="1267" spans="1:7">
      <c r="A1267" s="67">
        <v>129.71038259641344</v>
      </c>
      <c r="B1267" s="67">
        <v>130.38570626928433</v>
      </c>
      <c r="C1267" s="67">
        <v>128.07031081944132</v>
      </c>
      <c r="D1267" s="67">
        <v>128.07031081944132</v>
      </c>
      <c r="E1267" s="67">
        <v>178340.85319118958</v>
      </c>
      <c r="F1267" s="67" t="s">
        <v>1295</v>
      </c>
      <c r="G1267" s="25">
        <f t="shared" si="15"/>
        <v>1.2806026365348222E-2</v>
      </c>
    </row>
    <row r="1268" spans="1:7">
      <c r="A1268" s="67">
        <v>127.38533966552941</v>
      </c>
      <c r="B1268" s="67">
        <v>128.80052865943554</v>
      </c>
      <c r="C1268" s="67">
        <v>125.92857002833652</v>
      </c>
      <c r="D1268" s="67">
        <v>128.58162731461496</v>
      </c>
      <c r="E1268" s="67">
        <v>151862.43888655884</v>
      </c>
      <c r="F1268" s="67" t="s">
        <v>1296</v>
      </c>
      <c r="G1268" s="25">
        <f t="shared" si="15"/>
        <v>-9.3037214885953734E-3</v>
      </c>
    </row>
    <row r="1269" spans="1:7">
      <c r="A1269" s="67">
        <v>129.11223877187066</v>
      </c>
      <c r="B1269" s="67">
        <v>129.5270804566342</v>
      </c>
      <c r="C1269" s="67">
        <v>127.39498714657044</v>
      </c>
      <c r="D1269" s="67">
        <v>128.0799583004823</v>
      </c>
      <c r="E1269" s="67">
        <v>210120.13305674738</v>
      </c>
      <c r="F1269" s="67" t="s">
        <v>1297</v>
      </c>
      <c r="G1269" s="25">
        <f t="shared" si="15"/>
        <v>8.0596565230492967E-3</v>
      </c>
    </row>
    <row r="1270" spans="1:7">
      <c r="A1270" s="67">
        <v>127.73264898300587</v>
      </c>
      <c r="B1270" s="67">
        <v>127.78571012873145</v>
      </c>
      <c r="C1270" s="67">
        <v>125.27254131754766</v>
      </c>
      <c r="D1270" s="67">
        <v>125.41725353316286</v>
      </c>
      <c r="E1270" s="67">
        <v>335368.37089865172</v>
      </c>
      <c r="F1270" s="67" t="s">
        <v>1298</v>
      </c>
      <c r="G1270" s="25">
        <f t="shared" si="15"/>
        <v>1.8461538461538529E-2</v>
      </c>
    </row>
    <row r="1271" spans="1:7">
      <c r="A1271" s="67">
        <v>124.70333993612793</v>
      </c>
      <c r="B1271" s="67">
        <v>125.41725353316286</v>
      </c>
      <c r="C1271" s="67">
        <v>122.64842647439227</v>
      </c>
      <c r="D1271" s="67">
        <v>124.24026084615933</v>
      </c>
      <c r="E1271" s="67">
        <v>167077.80954921982</v>
      </c>
      <c r="F1271" s="67" t="s">
        <v>1299</v>
      </c>
      <c r="G1271" s="25">
        <f t="shared" si="15"/>
        <v>3.7272868457836061E-3</v>
      </c>
    </row>
    <row r="1272" spans="1:7">
      <c r="A1272" s="67">
        <v>123.16939045060694</v>
      </c>
      <c r="B1272" s="67">
        <v>124.81910970862008</v>
      </c>
      <c r="C1272" s="67">
        <v>122.22393730858771</v>
      </c>
      <c r="D1272" s="67">
        <v>123.04397319707378</v>
      </c>
      <c r="E1272" s="67">
        <v>198266.26161467427</v>
      </c>
      <c r="F1272" s="67" t="s">
        <v>1300</v>
      </c>
      <c r="G1272" s="25">
        <f t="shared" ref="G1272:G1335" si="16">A1272/D1272-1</f>
        <v>1.0192880664889881E-3</v>
      </c>
    </row>
    <row r="1273" spans="1:7">
      <c r="A1273" s="67">
        <v>122.57124662606417</v>
      </c>
      <c r="B1273" s="67">
        <v>123.02467823499175</v>
      </c>
      <c r="C1273" s="67">
        <v>120.08499428698482</v>
      </c>
      <c r="D1273" s="67">
        <v>120.31373606246723</v>
      </c>
      <c r="E1273" s="67">
        <v>225471.29045943209</v>
      </c>
      <c r="F1273" s="67" t="s">
        <v>1301</v>
      </c>
      <c r="G1273" s="25">
        <f t="shared" si="16"/>
        <v>1.8763531392831378E-2</v>
      </c>
    </row>
    <row r="1274" spans="1:7">
      <c r="A1274" s="67">
        <v>120.87328996284597</v>
      </c>
      <c r="B1274" s="67">
        <v>122.16605242234164</v>
      </c>
      <c r="C1274" s="67">
        <v>119.84100949145761</v>
      </c>
      <c r="D1274" s="67">
        <v>122.16605242234164</v>
      </c>
      <c r="E1274" s="67">
        <v>171123.42516992733</v>
      </c>
      <c r="F1274" s="67" t="s">
        <v>1302</v>
      </c>
      <c r="G1274" s="25">
        <f t="shared" si="16"/>
        <v>-1.058201058201047E-2</v>
      </c>
    </row>
    <row r="1275" spans="1:7">
      <c r="A1275" s="67">
        <v>121.96345532048038</v>
      </c>
      <c r="B1275" s="67">
        <v>122.19499486546468</v>
      </c>
      <c r="C1275" s="67">
        <v>119.95677926394977</v>
      </c>
      <c r="D1275" s="67">
        <v>120.24620369518014</v>
      </c>
      <c r="E1275" s="67">
        <v>360390.44650302775</v>
      </c>
      <c r="F1275" s="67" t="s">
        <v>1303</v>
      </c>
      <c r="G1275" s="25">
        <f t="shared" si="16"/>
        <v>1.4281129653401781E-2</v>
      </c>
    </row>
    <row r="1276" spans="1:7">
      <c r="A1276" s="67">
        <v>121.74156325653709</v>
      </c>
      <c r="B1276" s="67">
        <v>122.54230418294112</v>
      </c>
      <c r="C1276" s="67">
        <v>118.29741252489562</v>
      </c>
      <c r="D1276" s="67">
        <v>119.08850597025864</v>
      </c>
      <c r="E1276" s="67">
        <v>196546.64175437353</v>
      </c>
      <c r="F1276" s="67" t="s">
        <v>1304</v>
      </c>
      <c r="G1276" s="25">
        <f t="shared" si="16"/>
        <v>2.2278029812054623E-2</v>
      </c>
    </row>
    <row r="1277" spans="1:7">
      <c r="A1277" s="67">
        <v>119.11744841338168</v>
      </c>
      <c r="B1277" s="67">
        <v>120.16902384685204</v>
      </c>
      <c r="C1277" s="67">
        <v>117.42913923120449</v>
      </c>
      <c r="D1277" s="67">
        <v>118.76531535538473</v>
      </c>
      <c r="E1277" s="67">
        <v>153119.76190677873</v>
      </c>
      <c r="F1277" s="67" t="s">
        <v>1305</v>
      </c>
      <c r="G1277" s="25">
        <f t="shared" si="16"/>
        <v>2.9649486210958642E-3</v>
      </c>
    </row>
    <row r="1278" spans="1:7">
      <c r="A1278" s="67">
        <v>119.17533329962775</v>
      </c>
      <c r="B1278" s="67">
        <v>122.38794448628492</v>
      </c>
      <c r="C1278" s="67">
        <v>118.76049161486421</v>
      </c>
      <c r="D1278" s="67">
        <v>122.11781501713658</v>
      </c>
      <c r="E1278" s="67">
        <v>185007.87847235554</v>
      </c>
      <c r="F1278" s="67" t="s">
        <v>1306</v>
      </c>
      <c r="G1278" s="25">
        <f t="shared" si="16"/>
        <v>-2.409543371780698E-2</v>
      </c>
    </row>
    <row r="1279" spans="1:7">
      <c r="A1279" s="67">
        <v>121.43284386322469</v>
      </c>
      <c r="B1279" s="67">
        <v>121.44249134426569</v>
      </c>
      <c r="C1279" s="67">
        <v>118.43247725946979</v>
      </c>
      <c r="D1279" s="67">
        <v>120.69963530410773</v>
      </c>
      <c r="E1279" s="67">
        <v>181751.06979178599</v>
      </c>
      <c r="F1279" s="67" t="s">
        <v>1307</v>
      </c>
      <c r="G1279" s="25">
        <f t="shared" si="16"/>
        <v>6.0746543042122791E-3</v>
      </c>
    </row>
    <row r="1280" spans="1:7">
      <c r="A1280" s="67">
        <v>119.71559223792445</v>
      </c>
      <c r="B1280" s="67">
        <v>121.84768554798822</v>
      </c>
      <c r="C1280" s="67">
        <v>119.22357070483282</v>
      </c>
      <c r="D1280" s="67">
        <v>121.84768554798822</v>
      </c>
      <c r="E1280" s="67">
        <v>491713.84528599458</v>
      </c>
      <c r="F1280" s="67" t="s">
        <v>1308</v>
      </c>
      <c r="G1280" s="25">
        <f t="shared" si="16"/>
        <v>-1.7498020585906549E-2</v>
      </c>
    </row>
    <row r="1281" spans="1:7">
      <c r="A1281" s="67">
        <v>121.87662799111126</v>
      </c>
      <c r="B1281" s="67">
        <v>124.71298741716896</v>
      </c>
      <c r="C1281" s="67">
        <v>121.24954172344546</v>
      </c>
      <c r="D1281" s="67">
        <v>124.71298741716896</v>
      </c>
      <c r="E1281" s="67">
        <v>320471.21801604639</v>
      </c>
      <c r="F1281" s="67" t="s">
        <v>1309</v>
      </c>
      <c r="G1281" s="25">
        <f t="shared" si="16"/>
        <v>-2.274309584590406E-2</v>
      </c>
    </row>
    <row r="1282" spans="1:7">
      <c r="A1282" s="67">
        <v>124.47180039114365</v>
      </c>
      <c r="B1282" s="67">
        <v>125.21465643130159</v>
      </c>
      <c r="C1282" s="67">
        <v>121.18683309667887</v>
      </c>
      <c r="D1282" s="67">
        <v>123.02467823499175</v>
      </c>
      <c r="E1282" s="67">
        <v>191880.13867355743</v>
      </c>
      <c r="F1282" s="67" t="s">
        <v>1310</v>
      </c>
      <c r="G1282" s="25">
        <f t="shared" si="16"/>
        <v>1.1762860727729141E-2</v>
      </c>
    </row>
    <row r="1283" spans="1:7">
      <c r="A1283" s="67">
        <v>122.14675746025961</v>
      </c>
      <c r="B1283" s="67">
        <v>123.70000190786263</v>
      </c>
      <c r="C1283" s="67">
        <v>121.48108126842975</v>
      </c>
      <c r="D1283" s="67">
        <v>123.48775732496036</v>
      </c>
      <c r="E1283" s="67">
        <v>216968.55283794508</v>
      </c>
      <c r="F1283" s="67" t="s">
        <v>1311</v>
      </c>
      <c r="G1283" s="25">
        <f t="shared" si="16"/>
        <v>-1.0859375000000004E-2</v>
      </c>
    </row>
    <row r="1284" spans="1:7">
      <c r="A1284" s="67">
        <v>123.54564221120643</v>
      </c>
      <c r="B1284" s="67">
        <v>129.44025312726507</v>
      </c>
      <c r="C1284" s="67">
        <v>123.40092999559124</v>
      </c>
      <c r="D1284" s="67">
        <v>127.65546913467776</v>
      </c>
      <c r="E1284" s="67">
        <v>254974.3284845918</v>
      </c>
      <c r="F1284" s="67" t="s">
        <v>1312</v>
      </c>
      <c r="G1284" s="25">
        <f t="shared" si="16"/>
        <v>-3.2194679564691575E-2</v>
      </c>
    </row>
    <row r="1285" spans="1:7">
      <c r="A1285" s="67">
        <v>129.15082869603472</v>
      </c>
      <c r="B1285" s="67">
        <v>132.21872766707671</v>
      </c>
      <c r="C1285" s="67">
        <v>128.66845464398409</v>
      </c>
      <c r="D1285" s="67">
        <v>131.33115941130353</v>
      </c>
      <c r="E1285" s="67">
        <v>261733.60582577394</v>
      </c>
      <c r="F1285" s="67" t="s">
        <v>1313</v>
      </c>
      <c r="G1285" s="25">
        <f t="shared" si="16"/>
        <v>-1.6601777712480503E-2</v>
      </c>
    </row>
    <row r="1286" spans="1:7">
      <c r="A1286" s="67">
        <v>131.21538963881139</v>
      </c>
      <c r="B1286" s="67">
        <v>133.98421669758199</v>
      </c>
      <c r="C1286" s="67">
        <v>130.84396161873241</v>
      </c>
      <c r="D1286" s="67">
        <v>133.0870009607678</v>
      </c>
      <c r="E1286" s="67">
        <v>178711.93451125448</v>
      </c>
      <c r="F1286" s="67" t="s">
        <v>1314</v>
      </c>
      <c r="G1286" s="25">
        <f t="shared" si="16"/>
        <v>-1.4063066328379725E-2</v>
      </c>
    </row>
    <row r="1287" spans="1:7">
      <c r="A1287" s="67">
        <v>133.07735347972681</v>
      </c>
      <c r="B1287" s="67">
        <v>135.13226694146246</v>
      </c>
      <c r="C1287" s="67">
        <v>132.60462690871719</v>
      </c>
      <c r="D1287" s="67">
        <v>133.57902249385947</v>
      </c>
      <c r="E1287" s="67">
        <v>169710.62114968026</v>
      </c>
      <c r="F1287" s="67" t="s">
        <v>1315</v>
      </c>
      <c r="G1287" s="25">
        <f t="shared" si="16"/>
        <v>-3.7555972844143248E-3</v>
      </c>
    </row>
    <row r="1288" spans="1:7">
      <c r="A1288" s="67">
        <v>133.18347577117797</v>
      </c>
      <c r="B1288" s="67">
        <v>134.83319502919107</v>
      </c>
      <c r="C1288" s="67">
        <v>126.42059156142815</v>
      </c>
      <c r="D1288" s="67">
        <v>129.88403725515167</v>
      </c>
      <c r="E1288" s="67">
        <v>548752.56841596996</v>
      </c>
      <c r="F1288" s="67" t="s">
        <v>1316</v>
      </c>
      <c r="G1288" s="25">
        <f t="shared" si="16"/>
        <v>2.5402956250464293E-2</v>
      </c>
    </row>
    <row r="1289" spans="1:7">
      <c r="A1289" s="67">
        <v>134.2157562425663</v>
      </c>
      <c r="B1289" s="67">
        <v>135.1612093845855</v>
      </c>
      <c r="C1289" s="67">
        <v>131.12856230944226</v>
      </c>
      <c r="D1289" s="67">
        <v>132.05472048937946</v>
      </c>
      <c r="E1289" s="67">
        <v>312419.37529463822</v>
      </c>
      <c r="F1289" s="67" t="s">
        <v>1317</v>
      </c>
      <c r="G1289" s="25">
        <f t="shared" si="16"/>
        <v>1.6364699006429229E-2</v>
      </c>
    </row>
    <row r="1290" spans="1:7">
      <c r="A1290" s="67">
        <v>131.52410903212382</v>
      </c>
      <c r="B1290" s="67">
        <v>132.53709454143009</v>
      </c>
      <c r="C1290" s="67">
        <v>128.35973525067169</v>
      </c>
      <c r="D1290" s="67">
        <v>128.35973525067169</v>
      </c>
      <c r="E1290" s="67">
        <v>293816.59191138484</v>
      </c>
      <c r="F1290" s="67" t="s">
        <v>1318</v>
      </c>
      <c r="G1290" s="25">
        <f t="shared" si="16"/>
        <v>2.4652386320932029E-2</v>
      </c>
    </row>
    <row r="1291" spans="1:7">
      <c r="A1291" s="67">
        <v>129.51743297559318</v>
      </c>
      <c r="B1291" s="67">
        <v>129.87438977411065</v>
      </c>
      <c r="C1291" s="67">
        <v>127.55899432426764</v>
      </c>
      <c r="D1291" s="67">
        <v>129.66214519120837</v>
      </c>
      <c r="E1291" s="67">
        <v>183478.98197208816</v>
      </c>
      <c r="F1291" s="67" t="s">
        <v>1319</v>
      </c>
      <c r="G1291" s="25">
        <f t="shared" si="16"/>
        <v>-1.1160714285713969E-3</v>
      </c>
    </row>
    <row r="1292" spans="1:7">
      <c r="A1292" s="67">
        <v>129.05435388562461</v>
      </c>
      <c r="B1292" s="67">
        <v>129.67179267224938</v>
      </c>
      <c r="C1292" s="67">
        <v>127.23580370939371</v>
      </c>
      <c r="D1292" s="67">
        <v>129.47884305142915</v>
      </c>
      <c r="E1292" s="67">
        <v>189334.39643311221</v>
      </c>
      <c r="F1292" s="67" t="s">
        <v>1320</v>
      </c>
      <c r="G1292" s="25">
        <f t="shared" si="16"/>
        <v>-3.2784442291929894E-3</v>
      </c>
    </row>
    <row r="1293" spans="1:7">
      <c r="A1293" s="67">
        <v>128.60092227669702</v>
      </c>
      <c r="B1293" s="67">
        <v>129.44990060830611</v>
      </c>
      <c r="C1293" s="67">
        <v>126.93190805660183</v>
      </c>
      <c r="D1293" s="67">
        <v>128.37903021275369</v>
      </c>
      <c r="E1293" s="67">
        <v>244744.71522280277</v>
      </c>
      <c r="F1293" s="67" t="s">
        <v>1321</v>
      </c>
      <c r="G1293" s="25">
        <f t="shared" si="16"/>
        <v>1.728413616893576E-3</v>
      </c>
    </row>
    <row r="1294" spans="1:7">
      <c r="A1294" s="67">
        <v>129.65249771016735</v>
      </c>
      <c r="B1294" s="67">
        <v>129.7489725205775</v>
      </c>
      <c r="C1294" s="67">
        <v>126.9801454618069</v>
      </c>
      <c r="D1294" s="67">
        <v>128.32114532650763</v>
      </c>
      <c r="E1294" s="67">
        <v>211590.9833170046</v>
      </c>
      <c r="F1294" s="67" t="s">
        <v>1322</v>
      </c>
      <c r="G1294" s="25">
        <f t="shared" si="16"/>
        <v>1.0375159762423758E-2</v>
      </c>
    </row>
    <row r="1295" spans="1:7">
      <c r="A1295" s="67">
        <v>126.77754835994563</v>
      </c>
      <c r="B1295" s="67">
        <v>127.838771274457</v>
      </c>
      <c r="C1295" s="67">
        <v>122.30111715691581</v>
      </c>
      <c r="D1295" s="67">
        <v>122.86067105729454</v>
      </c>
      <c r="E1295" s="67">
        <v>332600.80909816769</v>
      </c>
      <c r="F1295" s="67" t="s">
        <v>1323</v>
      </c>
      <c r="G1295" s="25">
        <f t="shared" si="16"/>
        <v>3.1880643894778293E-2</v>
      </c>
    </row>
    <row r="1296" spans="1:7">
      <c r="A1296" s="67">
        <v>122.14675746025961</v>
      </c>
      <c r="B1296" s="67">
        <v>124.01354504169552</v>
      </c>
      <c r="C1296" s="67">
        <v>120.32338354350824</v>
      </c>
      <c r="D1296" s="67">
        <v>122.8992609814586</v>
      </c>
      <c r="E1296" s="67">
        <v>218210.32775816225</v>
      </c>
      <c r="F1296" s="67" t="s">
        <v>1324</v>
      </c>
      <c r="G1296" s="25">
        <f t="shared" si="16"/>
        <v>-6.1229295863098887E-3</v>
      </c>
    </row>
    <row r="1297" spans="1:7">
      <c r="A1297" s="67">
        <v>124.58757016363577</v>
      </c>
      <c r="B1297" s="67">
        <v>126.52671385287931</v>
      </c>
      <c r="C1297" s="67">
        <v>124.02319252273655</v>
      </c>
      <c r="D1297" s="67">
        <v>125.29183627962971</v>
      </c>
      <c r="E1297" s="67">
        <v>189604.93337315953</v>
      </c>
      <c r="F1297" s="67" t="s">
        <v>1325</v>
      </c>
      <c r="G1297" s="25">
        <f t="shared" si="16"/>
        <v>-5.6210056210057591E-3</v>
      </c>
    </row>
    <row r="1298" spans="1:7">
      <c r="A1298" s="67">
        <v>123.81577168035479</v>
      </c>
      <c r="B1298" s="67">
        <v>127.42392958969347</v>
      </c>
      <c r="C1298" s="67">
        <v>121.63544096508595</v>
      </c>
      <c r="D1298" s="67">
        <v>127.42392958969347</v>
      </c>
      <c r="E1298" s="67">
        <v>322757.82525644632</v>
      </c>
      <c r="F1298" s="67" t="s">
        <v>1326</v>
      </c>
      <c r="G1298" s="25">
        <f t="shared" si="16"/>
        <v>-2.8316172016959462E-2</v>
      </c>
    </row>
    <row r="1299" spans="1:7">
      <c r="A1299" s="67">
        <v>127.3756921844884</v>
      </c>
      <c r="B1299" s="67">
        <v>128.78422441647623</v>
      </c>
      <c r="C1299" s="67">
        <v>125.87068514209045</v>
      </c>
      <c r="D1299" s="67">
        <v>128.78422441647623</v>
      </c>
      <c r="E1299" s="67">
        <v>368105.41372437699</v>
      </c>
      <c r="F1299" s="67" t="s">
        <v>1327</v>
      </c>
      <c r="G1299" s="25">
        <f t="shared" si="16"/>
        <v>-1.0937148850101219E-2</v>
      </c>
    </row>
    <row r="1300" spans="1:7">
      <c r="A1300" s="67">
        <v>128.17643311089245</v>
      </c>
      <c r="B1300" s="67">
        <v>132.87475637786554</v>
      </c>
      <c r="C1300" s="67">
        <v>127.71335402092384</v>
      </c>
      <c r="D1300" s="67">
        <v>132.87475637786554</v>
      </c>
      <c r="E1300" s="67">
        <v>195314.195694158</v>
      </c>
      <c r="F1300" s="67" t="s">
        <v>1328</v>
      </c>
      <c r="G1300" s="25">
        <f t="shared" si="16"/>
        <v>-3.5359035794670701E-2</v>
      </c>
    </row>
    <row r="1301" spans="1:7">
      <c r="A1301" s="67">
        <v>132.35379240165088</v>
      </c>
      <c r="B1301" s="67">
        <v>133.68032104479008</v>
      </c>
      <c r="C1301" s="67">
        <v>129.03023518302206</v>
      </c>
      <c r="D1301" s="67">
        <v>129.83579984994662</v>
      </c>
      <c r="E1301" s="67">
        <v>128138.11136240975</v>
      </c>
      <c r="F1301" s="67" t="s">
        <v>1329</v>
      </c>
      <c r="G1301" s="25">
        <f t="shared" si="16"/>
        <v>1.9393669193044971E-2</v>
      </c>
    </row>
    <row r="1302" spans="1:7">
      <c r="A1302" s="67">
        <v>130.72336810571974</v>
      </c>
      <c r="B1302" s="67">
        <v>133.12076714441139</v>
      </c>
      <c r="C1302" s="67">
        <v>130.54006596594053</v>
      </c>
      <c r="D1302" s="67">
        <v>132.73004416225038</v>
      </c>
      <c r="E1302" s="67">
        <v>167959.90508937408</v>
      </c>
      <c r="F1302" s="67" t="s">
        <v>1330</v>
      </c>
      <c r="G1302" s="25">
        <f t="shared" si="16"/>
        <v>-1.5118476522750668E-2</v>
      </c>
    </row>
    <row r="1303" spans="1:7">
      <c r="A1303" s="67">
        <v>131.58199391836985</v>
      </c>
      <c r="B1303" s="67">
        <v>133.0677059986858</v>
      </c>
      <c r="C1303" s="67">
        <v>130.33746886407926</v>
      </c>
      <c r="D1303" s="67">
        <v>131.8424759064772</v>
      </c>
      <c r="E1303" s="67">
        <v>151936.03322657172</v>
      </c>
      <c r="F1303" s="67" t="s">
        <v>1331</v>
      </c>
      <c r="G1303" s="25">
        <f t="shared" si="16"/>
        <v>-1.9757061320065938E-3</v>
      </c>
    </row>
    <row r="1304" spans="1:7">
      <c r="A1304" s="67">
        <v>133.78161959572071</v>
      </c>
      <c r="B1304" s="67">
        <v>134.1482238752792</v>
      </c>
      <c r="C1304" s="67">
        <v>131.12856230944226</v>
      </c>
      <c r="D1304" s="67">
        <v>132.56603698455314</v>
      </c>
      <c r="E1304" s="67">
        <v>98325.147877195835</v>
      </c>
      <c r="F1304" s="67" t="s">
        <v>1332</v>
      </c>
      <c r="G1304" s="25">
        <f t="shared" si="16"/>
        <v>9.1696383087112032E-3</v>
      </c>
    </row>
    <row r="1305" spans="1:7">
      <c r="A1305" s="67">
        <v>132.94228874515264</v>
      </c>
      <c r="B1305" s="67">
        <v>133.62725989906451</v>
      </c>
      <c r="C1305" s="67">
        <v>130.38570626928433</v>
      </c>
      <c r="D1305" s="67">
        <v>133.62725989906451</v>
      </c>
      <c r="E1305" s="67">
        <v>172810.91229022245</v>
      </c>
      <c r="F1305" s="67" t="s">
        <v>1333</v>
      </c>
      <c r="G1305" s="25">
        <f t="shared" si="16"/>
        <v>-5.1259836834884887E-3</v>
      </c>
    </row>
    <row r="1306" spans="1:7">
      <c r="A1306" s="67">
        <v>133.97456921654097</v>
      </c>
      <c r="B1306" s="67">
        <v>134.87178495335516</v>
      </c>
      <c r="C1306" s="67">
        <v>133.25100813846504</v>
      </c>
      <c r="D1306" s="67">
        <v>134.87178495335516</v>
      </c>
      <c r="E1306" s="67">
        <v>136772.48956391978</v>
      </c>
      <c r="F1306" s="67" t="s">
        <v>1334</v>
      </c>
      <c r="G1306" s="25">
        <f t="shared" si="16"/>
        <v>-6.6523605150216047E-3</v>
      </c>
    </row>
    <row r="1307" spans="1:7">
      <c r="A1307" s="67">
        <v>133.86844692508981</v>
      </c>
      <c r="B1307" s="67">
        <v>135.23356549239313</v>
      </c>
      <c r="C1307" s="67">
        <v>131.92930323584631</v>
      </c>
      <c r="D1307" s="67">
        <v>133.10629592284985</v>
      </c>
      <c r="E1307" s="67">
        <v>199577.48471490361</v>
      </c>
      <c r="F1307" s="67" t="s">
        <v>1335</v>
      </c>
      <c r="G1307" s="25">
        <f t="shared" si="16"/>
        <v>5.7258824382109275E-3</v>
      </c>
    </row>
    <row r="1308" spans="1:7">
      <c r="A1308" s="67">
        <v>132.58533194663516</v>
      </c>
      <c r="B1308" s="67">
        <v>132.94711248567316</v>
      </c>
      <c r="C1308" s="67">
        <v>130.89219902393748</v>
      </c>
      <c r="D1308" s="67">
        <v>132.21872766707671</v>
      </c>
      <c r="E1308" s="67">
        <v>138816.54644427728</v>
      </c>
      <c r="F1308" s="67" t="s">
        <v>1336</v>
      </c>
      <c r="G1308" s="25">
        <f t="shared" si="16"/>
        <v>2.7727106895292231E-3</v>
      </c>
    </row>
    <row r="1309" spans="1:7">
      <c r="A1309" s="67">
        <v>132.28626003436378</v>
      </c>
      <c r="B1309" s="67">
        <v>135.6966445823617</v>
      </c>
      <c r="C1309" s="67">
        <v>131.4469291837957</v>
      </c>
      <c r="D1309" s="67">
        <v>134.83319502919107</v>
      </c>
      <c r="E1309" s="67">
        <v>221882.78897880451</v>
      </c>
      <c r="F1309" s="67" t="s">
        <v>1337</v>
      </c>
      <c r="G1309" s="25">
        <f t="shared" si="16"/>
        <v>-1.8889524899828203E-2</v>
      </c>
    </row>
    <row r="1310" spans="1:7">
      <c r="A1310" s="67">
        <v>134.44729578755059</v>
      </c>
      <c r="B1310" s="67">
        <v>136.05842512139969</v>
      </c>
      <c r="C1310" s="67">
        <v>133.11594340389084</v>
      </c>
      <c r="D1310" s="67">
        <v>135.79794313329234</v>
      </c>
      <c r="E1310" s="67">
        <v>206894.42057618324</v>
      </c>
      <c r="F1310" s="67" t="s">
        <v>1338</v>
      </c>
      <c r="G1310" s="25">
        <f t="shared" si="16"/>
        <v>-9.9460073884626299E-3</v>
      </c>
    </row>
    <row r="1311" spans="1:7">
      <c r="A1311" s="67">
        <v>136.01983519723564</v>
      </c>
      <c r="B1311" s="67">
        <v>138.52335652737838</v>
      </c>
      <c r="C1311" s="67">
        <v>135.03579213105235</v>
      </c>
      <c r="D1311" s="67">
        <v>137.06176314966498</v>
      </c>
      <c r="E1311" s="67">
        <v>374769.32938554243</v>
      </c>
      <c r="F1311" s="67" t="s">
        <v>1339</v>
      </c>
      <c r="G1311" s="25">
        <f t="shared" si="16"/>
        <v>-7.6018863940310322E-3</v>
      </c>
    </row>
    <row r="1312" spans="1:7">
      <c r="A1312" s="67">
        <v>136.26102222326094</v>
      </c>
      <c r="B1312" s="67">
        <v>138.62465507830902</v>
      </c>
      <c r="C1312" s="67">
        <v>135.78829565225132</v>
      </c>
      <c r="D1312" s="67">
        <v>137.59237460692069</v>
      </c>
      <c r="E1312" s="67">
        <v>282605.37526942411</v>
      </c>
      <c r="F1312" s="67" t="s">
        <v>1340</v>
      </c>
      <c r="G1312" s="25">
        <f t="shared" si="16"/>
        <v>-9.6760622633572657E-3</v>
      </c>
    </row>
    <row r="1313" spans="1:7">
      <c r="A1313" s="67">
        <v>137.04246818758295</v>
      </c>
      <c r="B1313" s="67">
        <v>139.40610104263104</v>
      </c>
      <c r="C1313" s="67">
        <v>135.46992877789791</v>
      </c>
      <c r="D1313" s="67">
        <v>136.26102222326094</v>
      </c>
      <c r="E1313" s="67">
        <v>233550.08322084497</v>
      </c>
      <c r="F1313" s="67" t="s">
        <v>1341</v>
      </c>
      <c r="G1313" s="25">
        <f t="shared" si="16"/>
        <v>5.734919286321194E-3</v>
      </c>
    </row>
    <row r="1314" spans="1:7">
      <c r="A1314" s="67">
        <v>136.15489993180981</v>
      </c>
      <c r="B1314" s="67">
        <v>136.56974161657334</v>
      </c>
      <c r="C1314" s="67">
        <v>132.53709454143009</v>
      </c>
      <c r="D1314" s="67">
        <v>135.0743820552164</v>
      </c>
      <c r="E1314" s="67">
        <v>192491.69727366438</v>
      </c>
      <c r="F1314" s="67" t="s">
        <v>1342</v>
      </c>
      <c r="G1314" s="25">
        <f t="shared" si="16"/>
        <v>7.99942861224201E-3</v>
      </c>
    </row>
    <row r="1315" spans="1:7">
      <c r="A1315" s="67">
        <v>133.39572035408023</v>
      </c>
      <c r="B1315" s="67">
        <v>134.53412311691969</v>
      </c>
      <c r="C1315" s="67">
        <v>130.26993649679216</v>
      </c>
      <c r="D1315" s="67">
        <v>131.20574215777037</v>
      </c>
      <c r="E1315" s="67">
        <v>157345.73548751778</v>
      </c>
      <c r="F1315" s="67" t="s">
        <v>1343</v>
      </c>
      <c r="G1315" s="25">
        <f t="shared" si="16"/>
        <v>1.6691176470588376E-2</v>
      </c>
    </row>
    <row r="1316" spans="1:7">
      <c r="A1316" s="67">
        <v>130.63654077635064</v>
      </c>
      <c r="B1316" s="67">
        <v>133.03876355556275</v>
      </c>
      <c r="C1316" s="67">
        <v>130.5883033711456</v>
      </c>
      <c r="D1316" s="67">
        <v>132.83616645370148</v>
      </c>
      <c r="E1316" s="67">
        <v>232475.191240657</v>
      </c>
      <c r="F1316" s="67" t="s">
        <v>1344</v>
      </c>
      <c r="G1316" s="25">
        <f t="shared" si="16"/>
        <v>-1.6558936741956409E-2</v>
      </c>
    </row>
    <row r="1317" spans="1:7">
      <c r="A1317" s="67">
        <v>133.40536783512124</v>
      </c>
      <c r="B1317" s="67">
        <v>133.85879944404883</v>
      </c>
      <c r="C1317" s="67">
        <v>131.59164139941089</v>
      </c>
      <c r="D1317" s="67">
        <v>131.89071331168228</v>
      </c>
      <c r="E1317" s="67">
        <v>162955.48996849888</v>
      </c>
      <c r="F1317" s="67" t="s">
        <v>1345</v>
      </c>
      <c r="G1317" s="25">
        <f t="shared" si="16"/>
        <v>1.1484163557896165E-2</v>
      </c>
    </row>
    <row r="1318" spans="1:7">
      <c r="A1318" s="67">
        <v>132.16084278083062</v>
      </c>
      <c r="B1318" s="67">
        <v>132.91334630202959</v>
      </c>
      <c r="C1318" s="67">
        <v>130.59795085218659</v>
      </c>
      <c r="D1318" s="67">
        <v>131.92930323584631</v>
      </c>
      <c r="E1318" s="67">
        <v>328062.8369773741</v>
      </c>
      <c r="F1318" s="67" t="s">
        <v>1346</v>
      </c>
      <c r="G1318" s="25">
        <f t="shared" si="16"/>
        <v>1.7550274223034901E-3</v>
      </c>
    </row>
    <row r="1319" spans="1:7">
      <c r="A1319" s="67">
        <v>131.95824567896935</v>
      </c>
      <c r="B1319" s="67">
        <v>133.23171317638301</v>
      </c>
      <c r="C1319" s="67">
        <v>131.28292200609849</v>
      </c>
      <c r="D1319" s="67">
        <v>132.20908018603566</v>
      </c>
      <c r="E1319" s="67">
        <v>355437.85838216159</v>
      </c>
      <c r="F1319" s="67" t="s">
        <v>1347</v>
      </c>
      <c r="G1319" s="25">
        <f t="shared" si="16"/>
        <v>-1.897256275539938E-3</v>
      </c>
    </row>
    <row r="1320" spans="1:7">
      <c r="A1320" s="67">
        <v>132.15119529978961</v>
      </c>
      <c r="B1320" s="67">
        <v>132.20425644551517</v>
      </c>
      <c r="C1320" s="67">
        <v>131.19609467672939</v>
      </c>
      <c r="D1320" s="67">
        <v>132.04507300833848</v>
      </c>
      <c r="E1320" s="67">
        <v>128724.79300251235</v>
      </c>
      <c r="F1320" s="67" t="s">
        <v>1348</v>
      </c>
      <c r="G1320" s="25">
        <f t="shared" si="16"/>
        <v>8.0368232629490777E-4</v>
      </c>
    </row>
    <row r="1321" spans="1:7">
      <c r="A1321" s="67">
        <v>131.96789316001042</v>
      </c>
      <c r="B1321" s="67">
        <v>132.21826512462306</v>
      </c>
      <c r="C1321" s="67">
        <v>131.30318882918039</v>
      </c>
      <c r="D1321" s="67">
        <v>131.42842297846721</v>
      </c>
      <c r="E1321" s="67">
        <v>109559.49378133468</v>
      </c>
      <c r="F1321" s="67" t="s">
        <v>1349</v>
      </c>
      <c r="G1321" s="25">
        <f t="shared" si="16"/>
        <v>4.104669061056887E-3</v>
      </c>
    </row>
    <row r="1322" spans="1:7">
      <c r="A1322" s="67">
        <v>131.25502184868546</v>
      </c>
      <c r="B1322" s="67">
        <v>131.90045938731751</v>
      </c>
      <c r="C1322" s="67">
        <v>128.54803754487034</v>
      </c>
      <c r="D1322" s="67">
        <v>128.81777263564197</v>
      </c>
      <c r="E1322" s="67">
        <v>178589.14782722094</v>
      </c>
      <c r="F1322" s="67" t="s">
        <v>1350</v>
      </c>
      <c r="G1322" s="25">
        <f t="shared" si="16"/>
        <v>1.8920131618306968E-2</v>
      </c>
    </row>
    <row r="1323" spans="1:7">
      <c r="A1323" s="67">
        <v>128.70217188245414</v>
      </c>
      <c r="B1323" s="67">
        <v>130.17608148559901</v>
      </c>
      <c r="C1323" s="67">
        <v>128.13380151261396</v>
      </c>
      <c r="D1323" s="67">
        <v>129.45357677817503</v>
      </c>
      <c r="E1323" s="67">
        <v>136533.36647689933</v>
      </c>
      <c r="F1323" s="67" t="s">
        <v>1351</v>
      </c>
      <c r="G1323" s="25">
        <f t="shared" si="16"/>
        <v>-5.8044351838070218E-3</v>
      </c>
    </row>
    <row r="1324" spans="1:7">
      <c r="A1324" s="67">
        <v>129.23200866789838</v>
      </c>
      <c r="B1324" s="67">
        <v>130.0412139402132</v>
      </c>
      <c r="C1324" s="67">
        <v>127.17046190271533</v>
      </c>
      <c r="D1324" s="67">
        <v>128.18196849310888</v>
      </c>
      <c r="E1324" s="67">
        <v>160249.82094969388</v>
      </c>
      <c r="F1324" s="67" t="s">
        <v>1352</v>
      </c>
      <c r="G1324" s="25">
        <f t="shared" si="16"/>
        <v>8.1917931760109308E-3</v>
      </c>
    </row>
    <row r="1325" spans="1:7">
      <c r="A1325" s="67">
        <v>127.76773246085249</v>
      </c>
      <c r="B1325" s="67">
        <v>131.29355543308139</v>
      </c>
      <c r="C1325" s="67">
        <v>127.44019699348695</v>
      </c>
      <c r="D1325" s="67">
        <v>129.95451337532234</v>
      </c>
      <c r="E1325" s="67">
        <v>253389.35251057666</v>
      </c>
      <c r="F1325" s="67" t="s">
        <v>1353</v>
      </c>
      <c r="G1325" s="25">
        <f t="shared" si="16"/>
        <v>-1.6827279466271383E-2</v>
      </c>
    </row>
    <row r="1326" spans="1:7">
      <c r="A1326" s="67">
        <v>129.89671299872842</v>
      </c>
      <c r="B1326" s="67">
        <v>130.97565336181486</v>
      </c>
      <c r="C1326" s="67">
        <v>128.95264018102779</v>
      </c>
      <c r="D1326" s="67">
        <v>128.95264018102779</v>
      </c>
      <c r="E1326" s="67">
        <v>148338.13385400001</v>
      </c>
      <c r="F1326" s="67" t="s">
        <v>1354</v>
      </c>
      <c r="G1326" s="25">
        <f t="shared" si="16"/>
        <v>7.321081727177603E-3</v>
      </c>
    </row>
    <row r="1327" spans="1:7">
      <c r="A1327" s="67">
        <v>128.44207018778152</v>
      </c>
      <c r="B1327" s="67">
        <v>129.10677451861156</v>
      </c>
      <c r="C1327" s="67">
        <v>125.86032003325325</v>
      </c>
      <c r="D1327" s="67">
        <v>127.56543114277376</v>
      </c>
      <c r="E1327" s="67">
        <v>271598.9224480635</v>
      </c>
      <c r="F1327" s="67" t="s">
        <v>1355</v>
      </c>
      <c r="G1327" s="25">
        <f t="shared" si="16"/>
        <v>6.872073704878634E-3</v>
      </c>
    </row>
    <row r="1328" spans="1:7">
      <c r="A1328" s="67">
        <v>128.29756924629672</v>
      </c>
      <c r="B1328" s="67">
        <v>133.39363578266037</v>
      </c>
      <c r="C1328" s="67">
        <v>127.72919887645654</v>
      </c>
      <c r="D1328" s="67">
        <v>133.14316748408672</v>
      </c>
      <c r="E1328" s="67">
        <v>526851.58461761801</v>
      </c>
      <c r="F1328" s="67" t="s">
        <v>1356</v>
      </c>
      <c r="G1328" s="25">
        <f t="shared" si="16"/>
        <v>-3.6393893350698203E-2</v>
      </c>
    </row>
    <row r="1329" spans="1:7">
      <c r="A1329" s="67">
        <v>133.37436899046239</v>
      </c>
      <c r="B1329" s="67">
        <v>135.38774877515047</v>
      </c>
      <c r="C1329" s="67">
        <v>131.9100927834165</v>
      </c>
      <c r="D1329" s="67">
        <v>133.07573371139381</v>
      </c>
      <c r="E1329" s="67">
        <v>230287.4269058127</v>
      </c>
      <c r="F1329" s="67" t="s">
        <v>1357</v>
      </c>
      <c r="G1329" s="25">
        <f t="shared" si="16"/>
        <v>2.2441001882149703E-3</v>
      </c>
    </row>
    <row r="1330" spans="1:7">
      <c r="A1330" s="67">
        <v>132.64223088693944</v>
      </c>
      <c r="B1330" s="67">
        <v>134.03907332129242</v>
      </c>
      <c r="C1330" s="67">
        <v>132.14129428979214</v>
      </c>
      <c r="D1330" s="67">
        <v>132.14129428979214</v>
      </c>
      <c r="E1330" s="67">
        <v>104724.23116767524</v>
      </c>
      <c r="F1330" s="67" t="s">
        <v>1358</v>
      </c>
      <c r="G1330" s="25">
        <f t="shared" si="16"/>
        <v>3.7909163811331581E-3</v>
      </c>
    </row>
    <row r="1331" spans="1:7">
      <c r="A1331" s="67">
        <v>131.52475693945706</v>
      </c>
      <c r="B1331" s="67">
        <v>133.33583540606645</v>
      </c>
      <c r="C1331" s="67">
        <v>131.52475693945706</v>
      </c>
      <c r="D1331" s="67">
        <v>133.33583540606645</v>
      </c>
      <c r="E1331" s="67">
        <v>136728.52091471985</v>
      </c>
      <c r="F1331" s="67" t="s">
        <v>1359</v>
      </c>
      <c r="G1331" s="25">
        <f t="shared" si="16"/>
        <v>-1.3582833610288336E-2</v>
      </c>
    </row>
    <row r="1332" spans="1:7">
      <c r="A1332" s="67">
        <v>132.51699673765262</v>
      </c>
      <c r="B1332" s="67">
        <v>132.83489880891915</v>
      </c>
      <c r="C1332" s="67">
        <v>131.25502184868546</v>
      </c>
      <c r="D1332" s="67">
        <v>131.43805637456617</v>
      </c>
      <c r="E1332" s="67">
        <v>164911.72829145953</v>
      </c>
      <c r="F1332" s="67" t="s">
        <v>1360</v>
      </c>
      <c r="G1332" s="25">
        <f t="shared" si="16"/>
        <v>8.2087364409264563E-3</v>
      </c>
    </row>
    <row r="1333" spans="1:7">
      <c r="A1333" s="67">
        <v>133.27803502947253</v>
      </c>
      <c r="B1333" s="67">
        <v>135.32031500245756</v>
      </c>
      <c r="C1333" s="67">
        <v>133.02756673089888</v>
      </c>
      <c r="D1333" s="67">
        <v>134.42440916525186</v>
      </c>
      <c r="E1333" s="67">
        <v>123879.46968417533</v>
      </c>
      <c r="F1333" s="67" t="s">
        <v>1361</v>
      </c>
      <c r="G1333" s="25">
        <f t="shared" si="16"/>
        <v>-8.5280206392430724E-3</v>
      </c>
    </row>
    <row r="1334" spans="1:7">
      <c r="A1334" s="67">
        <v>133.31656861386847</v>
      </c>
      <c r="B1334" s="67">
        <v>135.71528424251599</v>
      </c>
      <c r="C1334" s="67">
        <v>133.09500050359179</v>
      </c>
      <c r="D1334" s="67">
        <v>134.04870671739141</v>
      </c>
      <c r="E1334" s="67">
        <v>200380.00930981836</v>
      </c>
      <c r="F1334" s="67" t="s">
        <v>1362</v>
      </c>
      <c r="G1334" s="25">
        <f t="shared" si="16"/>
        <v>-5.4617319439453915E-3</v>
      </c>
    </row>
    <row r="1335" spans="1:7">
      <c r="A1335" s="67">
        <v>133.75970483442183</v>
      </c>
      <c r="B1335" s="67">
        <v>137.28552780665072</v>
      </c>
      <c r="C1335" s="67">
        <v>133.73080464612485</v>
      </c>
      <c r="D1335" s="67">
        <v>134.52074312624171</v>
      </c>
      <c r="E1335" s="67">
        <v>175968.05763840815</v>
      </c>
      <c r="F1335" s="67" t="s">
        <v>1363</v>
      </c>
      <c r="G1335" s="25">
        <f t="shared" si="16"/>
        <v>-5.6574047550843609E-3</v>
      </c>
    </row>
    <row r="1336" spans="1:7">
      <c r="A1336" s="67">
        <v>133.94273936030257</v>
      </c>
      <c r="B1336" s="67">
        <v>136.08828933946876</v>
      </c>
      <c r="C1336" s="67">
        <v>133.01793333479992</v>
      </c>
      <c r="D1336" s="67">
        <v>134.61707708723159</v>
      </c>
      <c r="E1336" s="67">
        <v>158218.3462964239</v>
      </c>
      <c r="F1336" s="67" t="s">
        <v>1364</v>
      </c>
      <c r="G1336" s="25">
        <f t="shared" ref="G1336:G1399" si="17">A1336/D1336-1</f>
        <v>-5.0093029912694487E-3</v>
      </c>
    </row>
    <row r="1337" spans="1:7">
      <c r="A1337" s="67">
        <v>134.92534576239916</v>
      </c>
      <c r="B1337" s="67">
        <v>134.93497915849812</v>
      </c>
      <c r="C1337" s="67">
        <v>131.38988939407125</v>
      </c>
      <c r="D1337" s="67">
        <v>132.37249579616784</v>
      </c>
      <c r="E1337" s="67">
        <v>262589.63858718972</v>
      </c>
      <c r="F1337" s="67" t="s">
        <v>1365</v>
      </c>
      <c r="G1337" s="25">
        <f t="shared" si="17"/>
        <v>1.9285350411178293E-2</v>
      </c>
    </row>
    <row r="1338" spans="1:7">
      <c r="A1338" s="67">
        <v>134.06797350958936</v>
      </c>
      <c r="B1338" s="67">
        <v>137.50709591692743</v>
      </c>
      <c r="C1338" s="67">
        <v>133.97163954859951</v>
      </c>
      <c r="D1338" s="67">
        <v>137.13139346906695</v>
      </c>
      <c r="E1338" s="67">
        <v>293254.83671301906</v>
      </c>
      <c r="F1338" s="67" t="s">
        <v>1366</v>
      </c>
      <c r="G1338" s="25">
        <f t="shared" si="17"/>
        <v>-2.2339304531085458E-2</v>
      </c>
    </row>
    <row r="1339" spans="1:7">
      <c r="A1339" s="67">
        <v>137.2277274300568</v>
      </c>
      <c r="B1339" s="67">
        <v>137.805731195996</v>
      </c>
      <c r="C1339" s="67">
        <v>135.38774877515047</v>
      </c>
      <c r="D1339" s="67">
        <v>135.81161820350584</v>
      </c>
      <c r="E1339" s="67">
        <v>289296.73101403163</v>
      </c>
      <c r="F1339" s="67" t="s">
        <v>1367</v>
      </c>
      <c r="G1339" s="25">
        <f t="shared" si="17"/>
        <v>1.0427010923535374E-2</v>
      </c>
    </row>
    <row r="1340" spans="1:7">
      <c r="A1340" s="67">
        <v>136.90982535879027</v>
      </c>
      <c r="B1340" s="67">
        <v>138.07546628676761</v>
      </c>
      <c r="C1340" s="67">
        <v>133.58842305178186</v>
      </c>
      <c r="D1340" s="67">
        <v>136.01391952158457</v>
      </c>
      <c r="E1340" s="67">
        <v>230841.7485536646</v>
      </c>
      <c r="F1340" s="67" t="s">
        <v>1368</v>
      </c>
      <c r="G1340" s="25">
        <f t="shared" si="17"/>
        <v>6.5868687584105245E-3</v>
      </c>
    </row>
    <row r="1341" spans="1:7">
      <c r="A1341" s="67">
        <v>135.57078330103121</v>
      </c>
      <c r="B1341" s="67">
        <v>136.79422460560244</v>
      </c>
      <c r="C1341" s="67">
        <v>132.24726164688101</v>
      </c>
      <c r="D1341" s="67">
        <v>132.40139598446478</v>
      </c>
      <c r="E1341" s="67">
        <v>255692.79771017097</v>
      </c>
      <c r="F1341" s="67" t="s">
        <v>1369</v>
      </c>
      <c r="G1341" s="25">
        <f t="shared" si="17"/>
        <v>2.3937718277066367E-2</v>
      </c>
    </row>
    <row r="1342" spans="1:7">
      <c r="A1342" s="67">
        <v>132.02569353660434</v>
      </c>
      <c r="B1342" s="67">
        <v>135.66711726202109</v>
      </c>
      <c r="C1342" s="67">
        <v>131.90045938731751</v>
      </c>
      <c r="D1342" s="67">
        <v>135.01204632729002</v>
      </c>
      <c r="E1342" s="67">
        <v>341923.03172779118</v>
      </c>
      <c r="F1342" s="67" t="s">
        <v>1370</v>
      </c>
      <c r="G1342" s="25">
        <f t="shared" si="17"/>
        <v>-2.2119158044951792E-2</v>
      </c>
    </row>
    <row r="1343" spans="1:7">
      <c r="A1343" s="67">
        <v>136.35108838504908</v>
      </c>
      <c r="B1343" s="67">
        <v>137.99839911797571</v>
      </c>
      <c r="C1343" s="67">
        <v>134.78084482091435</v>
      </c>
      <c r="D1343" s="67">
        <v>136.07171989817849</v>
      </c>
      <c r="E1343" s="67">
        <v>319099.30500247347</v>
      </c>
      <c r="F1343" s="67" t="s">
        <v>1371</v>
      </c>
      <c r="G1343" s="25">
        <f t="shared" si="17"/>
        <v>2.0530973451327039E-3</v>
      </c>
    </row>
    <row r="1344" spans="1:7">
      <c r="A1344" s="67">
        <v>137.98876572187672</v>
      </c>
      <c r="B1344" s="67">
        <v>141.09071926575024</v>
      </c>
      <c r="C1344" s="67">
        <v>137.08322648857205</v>
      </c>
      <c r="D1344" s="67">
        <v>138.22960062435138</v>
      </c>
      <c r="E1344" s="67">
        <v>355637.82126228418</v>
      </c>
      <c r="F1344" s="67" t="s">
        <v>1372</v>
      </c>
      <c r="G1344" s="25">
        <f t="shared" si="17"/>
        <v>-1.7422816921039974E-3</v>
      </c>
    </row>
    <row r="1345" spans="1:7">
      <c r="A1345" s="67">
        <v>138.38373496193515</v>
      </c>
      <c r="B1345" s="67">
        <v>138.92310880951737</v>
      </c>
      <c r="C1345" s="67">
        <v>137.00134262173066</v>
      </c>
      <c r="D1345" s="67">
        <v>137.26626101445277</v>
      </c>
      <c r="E1345" s="67">
        <v>246544.41440957403</v>
      </c>
      <c r="F1345" s="67" t="s">
        <v>1373</v>
      </c>
      <c r="G1345" s="25">
        <f t="shared" si="17"/>
        <v>8.1409221699768608E-3</v>
      </c>
    </row>
    <row r="1346" spans="1:7">
      <c r="A1346" s="67">
        <v>137.29516120274974</v>
      </c>
      <c r="B1346" s="67">
        <v>137.3047945988487</v>
      </c>
      <c r="C1346" s="67">
        <v>133.04683352309686</v>
      </c>
      <c r="D1346" s="67">
        <v>135.88868537229774</v>
      </c>
      <c r="E1346" s="67">
        <v>218995.45895575103</v>
      </c>
      <c r="F1346" s="67" t="s">
        <v>1374</v>
      </c>
      <c r="G1346" s="25">
        <f t="shared" si="17"/>
        <v>1.035020558627564E-2</v>
      </c>
    </row>
    <row r="1347" spans="1:7">
      <c r="A1347" s="67">
        <v>136.21622083966329</v>
      </c>
      <c r="B1347" s="67">
        <v>140.25261380513845</v>
      </c>
      <c r="C1347" s="67">
        <v>135.30104821025958</v>
      </c>
      <c r="D1347" s="67">
        <v>139.14477325375506</v>
      </c>
      <c r="E1347" s="67">
        <v>654141.06668605073</v>
      </c>
      <c r="F1347" s="67" t="s">
        <v>1375</v>
      </c>
      <c r="G1347" s="25">
        <f t="shared" si="17"/>
        <v>-2.1046801440044338E-2</v>
      </c>
    </row>
    <row r="1348" spans="1:7">
      <c r="A1348" s="67">
        <v>139.53974249381346</v>
      </c>
      <c r="B1348" s="67">
        <v>140.32968097393032</v>
      </c>
      <c r="C1348" s="67">
        <v>137.00134262173066</v>
      </c>
      <c r="D1348" s="67">
        <v>139.29890759133883</v>
      </c>
      <c r="E1348" s="67">
        <v>287466.63913170411</v>
      </c>
      <c r="F1348" s="67" t="s">
        <v>1376</v>
      </c>
      <c r="G1348" s="25">
        <f t="shared" si="17"/>
        <v>1.7289073305668534E-3</v>
      </c>
    </row>
    <row r="1349" spans="1:7">
      <c r="A1349" s="67">
        <v>139.77094400018916</v>
      </c>
      <c r="B1349" s="67">
        <v>140.50308210371207</v>
      </c>
      <c r="C1349" s="67">
        <v>136.46187244018742</v>
      </c>
      <c r="D1349" s="67">
        <v>136.49558932653389</v>
      </c>
      <c r="E1349" s="67">
        <v>383713.07086491038</v>
      </c>
      <c r="F1349" s="67" t="s">
        <v>1377</v>
      </c>
      <c r="G1349" s="25">
        <f t="shared" si="17"/>
        <v>2.3996047709788915E-2</v>
      </c>
    </row>
    <row r="1350" spans="1:7">
      <c r="A1350" s="67">
        <v>135.7827180152089</v>
      </c>
      <c r="B1350" s="67">
        <v>138.36446816973717</v>
      </c>
      <c r="C1350" s="67">
        <v>134.45330935354883</v>
      </c>
      <c r="D1350" s="67">
        <v>135.18544745707177</v>
      </c>
      <c r="E1350" s="67">
        <v>318231.49058748438</v>
      </c>
      <c r="F1350" s="67" t="s">
        <v>1378</v>
      </c>
      <c r="G1350" s="25">
        <f t="shared" si="17"/>
        <v>4.4181572008834546E-3</v>
      </c>
    </row>
    <row r="1351" spans="1:7">
      <c r="A1351" s="67">
        <v>136.90019196269131</v>
      </c>
      <c r="B1351" s="67">
        <v>141.56275567460054</v>
      </c>
      <c r="C1351" s="67">
        <v>134.73267784041943</v>
      </c>
      <c r="D1351" s="67">
        <v>137.92133194918381</v>
      </c>
      <c r="E1351" s="67">
        <v>864304.74927490309</v>
      </c>
      <c r="F1351" s="67" t="s">
        <v>1379</v>
      </c>
      <c r="G1351" s="25">
        <f t="shared" si="17"/>
        <v>-7.403785709296451E-3</v>
      </c>
    </row>
    <row r="1352" spans="1:7">
      <c r="A1352" s="67">
        <v>131.43805637456617</v>
      </c>
      <c r="B1352" s="67">
        <v>135.09874689218091</v>
      </c>
      <c r="C1352" s="67">
        <v>130.34948261538077</v>
      </c>
      <c r="D1352" s="67">
        <v>130.6673846866473</v>
      </c>
      <c r="E1352" s="67">
        <v>452549.64658401679</v>
      </c>
      <c r="F1352" s="67" t="s">
        <v>1380</v>
      </c>
      <c r="G1352" s="25">
        <f t="shared" si="17"/>
        <v>5.8979652020052509E-3</v>
      </c>
    </row>
    <row r="1353" spans="1:7">
      <c r="A1353" s="67">
        <v>130.6673846866473</v>
      </c>
      <c r="B1353" s="67">
        <v>131.54402373165505</v>
      </c>
      <c r="C1353" s="67">
        <v>127.86406642184234</v>
      </c>
      <c r="D1353" s="67">
        <v>128.93337338882981</v>
      </c>
      <c r="E1353" s="67">
        <v>380212.7476503849</v>
      </c>
      <c r="F1353" s="67" t="s">
        <v>1381</v>
      </c>
      <c r="G1353" s="25">
        <f t="shared" si="17"/>
        <v>1.3448894202032324E-2</v>
      </c>
    </row>
    <row r="1354" spans="1:7">
      <c r="A1354" s="67">
        <v>129.43430998597708</v>
      </c>
      <c r="B1354" s="67">
        <v>130.58068412175643</v>
      </c>
      <c r="C1354" s="67">
        <v>127.59433133107072</v>
      </c>
      <c r="D1354" s="67">
        <v>129.19347508350245</v>
      </c>
      <c r="E1354" s="67">
        <v>401585.27275829262</v>
      </c>
      <c r="F1354" s="67" t="s">
        <v>1382</v>
      </c>
      <c r="G1354" s="25">
        <f t="shared" si="17"/>
        <v>1.8641413764819426E-3</v>
      </c>
    </row>
    <row r="1355" spans="1:7">
      <c r="A1355" s="67">
        <v>128.114534720416</v>
      </c>
      <c r="B1355" s="67">
        <v>129.89671299872842</v>
      </c>
      <c r="C1355" s="67">
        <v>128.01820075942612</v>
      </c>
      <c r="D1355" s="67">
        <v>128.25903566190075</v>
      </c>
      <c r="E1355" s="67">
        <v>357446.11397868494</v>
      </c>
      <c r="F1355" s="67" t="s">
        <v>1383</v>
      </c>
      <c r="G1355" s="25">
        <f t="shared" si="17"/>
        <v>-1.1266336187468751E-3</v>
      </c>
    </row>
    <row r="1356" spans="1:7">
      <c r="A1356" s="67">
        <v>127.94113359063424</v>
      </c>
      <c r="B1356" s="67">
        <v>129.7618454533426</v>
      </c>
      <c r="C1356" s="67">
        <v>126.48649077968734</v>
      </c>
      <c r="D1356" s="67">
        <v>126.99706077293361</v>
      </c>
      <c r="E1356" s="67">
        <v>179410.24974379558</v>
      </c>
      <c r="F1356" s="67" t="s">
        <v>1384</v>
      </c>
      <c r="G1356" s="25">
        <f t="shared" si="17"/>
        <v>7.4338162785405615E-3</v>
      </c>
    </row>
    <row r="1357" spans="1:7">
      <c r="A1357" s="67">
        <v>126.86219322754779</v>
      </c>
      <c r="B1357" s="67">
        <v>127.8255328374464</v>
      </c>
      <c r="C1357" s="67">
        <v>123.97217439785196</v>
      </c>
      <c r="D1357" s="67">
        <v>123.97217439785196</v>
      </c>
      <c r="E1357" s="67">
        <v>200121.5334852582</v>
      </c>
      <c r="F1357" s="67" t="s">
        <v>1385</v>
      </c>
      <c r="G1357" s="25">
        <f t="shared" si="17"/>
        <v>2.3311834641386309E-2</v>
      </c>
    </row>
    <row r="1358" spans="1:7">
      <c r="A1358" s="67">
        <v>123.38453723581382</v>
      </c>
      <c r="B1358" s="67">
        <v>125.26304947511611</v>
      </c>
      <c r="C1358" s="67">
        <v>122.0840287624507</v>
      </c>
      <c r="D1358" s="67">
        <v>125.15708211802725</v>
      </c>
      <c r="E1358" s="67">
        <v>274177.45236054313</v>
      </c>
      <c r="F1358" s="67" t="s">
        <v>1386</v>
      </c>
      <c r="G1358" s="25">
        <f t="shared" si="17"/>
        <v>-1.4162561576354538E-2</v>
      </c>
    </row>
    <row r="1359" spans="1:7">
      <c r="A1359" s="67">
        <v>125.15708211802725</v>
      </c>
      <c r="B1359" s="67">
        <v>125.50388437759075</v>
      </c>
      <c r="C1359" s="67">
        <v>123.72170609927834</v>
      </c>
      <c r="D1359" s="67">
        <v>125.04148136483943</v>
      </c>
      <c r="E1359" s="67">
        <v>227007.17146159548</v>
      </c>
      <c r="F1359" s="67" t="s">
        <v>1387</v>
      </c>
      <c r="G1359" s="25">
        <f t="shared" si="17"/>
        <v>9.2449922958381947E-4</v>
      </c>
    </row>
    <row r="1360" spans="1:7">
      <c r="A1360" s="67">
        <v>125.43645060489786</v>
      </c>
      <c r="B1360" s="67">
        <v>128.56730433706835</v>
      </c>
      <c r="C1360" s="67">
        <v>123.69280591098138</v>
      </c>
      <c r="D1360" s="67">
        <v>127.67139849986262</v>
      </c>
      <c r="E1360" s="67">
        <v>324878.16008410556</v>
      </c>
      <c r="F1360" s="67" t="s">
        <v>1388</v>
      </c>
      <c r="G1360" s="25">
        <f t="shared" si="17"/>
        <v>-1.7505470459518557E-2</v>
      </c>
    </row>
    <row r="1361" spans="1:7">
      <c r="A1361" s="67">
        <v>126.47685738358834</v>
      </c>
      <c r="B1361" s="67">
        <v>126.80439285095387</v>
      </c>
      <c r="C1361" s="67">
        <v>124.57907835208808</v>
      </c>
      <c r="D1361" s="67">
        <v>126.33235644210355</v>
      </c>
      <c r="E1361" s="67">
        <v>389195.04206773033</v>
      </c>
      <c r="F1361" s="67" t="s">
        <v>1389</v>
      </c>
      <c r="G1361" s="25">
        <f t="shared" si="17"/>
        <v>1.1438157694068085E-3</v>
      </c>
    </row>
    <row r="1362" spans="1:7">
      <c r="A1362" s="67">
        <v>125.66765211127351</v>
      </c>
      <c r="B1362" s="67">
        <v>129.35724281718518</v>
      </c>
      <c r="C1362" s="67">
        <v>125.09928174143334</v>
      </c>
      <c r="D1362" s="67">
        <v>127.17046190271533</v>
      </c>
      <c r="E1362" s="67">
        <v>367837.04973710718</v>
      </c>
      <c r="F1362" s="67" t="s">
        <v>1390</v>
      </c>
      <c r="G1362" s="25">
        <f t="shared" si="17"/>
        <v>-1.1817286569199226E-2</v>
      </c>
    </row>
    <row r="1363" spans="1:7">
      <c r="A1363" s="67">
        <v>127.0548611495275</v>
      </c>
      <c r="B1363" s="67">
        <v>129.62697790795681</v>
      </c>
      <c r="C1363" s="67">
        <v>126.78897941719551</v>
      </c>
      <c r="D1363" s="67">
        <v>128.89483980443387</v>
      </c>
      <c r="E1363" s="67">
        <v>315655.03678604541</v>
      </c>
      <c r="F1363" s="67" t="s">
        <v>1391</v>
      </c>
      <c r="G1363" s="25">
        <f t="shared" si="17"/>
        <v>-1.4275037369207988E-2</v>
      </c>
    </row>
    <row r="1364" spans="1:7">
      <c r="A1364" s="67">
        <v>129.50174375866999</v>
      </c>
      <c r="B1364" s="67">
        <v>130.77335204373614</v>
      </c>
      <c r="C1364" s="67">
        <v>127.62323151936768</v>
      </c>
      <c r="D1364" s="67">
        <v>128.39390320728657</v>
      </c>
      <c r="E1364" s="67">
        <v>302055.47141430818</v>
      </c>
      <c r="F1364" s="67" t="s">
        <v>1392</v>
      </c>
      <c r="G1364" s="25">
        <f t="shared" si="17"/>
        <v>8.6284513805523488E-3</v>
      </c>
    </row>
    <row r="1365" spans="1:7">
      <c r="A1365" s="67">
        <v>129.17420829130447</v>
      </c>
      <c r="B1365" s="67">
        <v>131.19722147209154</v>
      </c>
      <c r="C1365" s="67">
        <v>128.6444678398212</v>
      </c>
      <c r="D1365" s="67">
        <v>131.0141869462108</v>
      </c>
      <c r="E1365" s="67">
        <v>194887.65755179516</v>
      </c>
      <c r="F1365" s="67" t="s">
        <v>1393</v>
      </c>
      <c r="G1365" s="25">
        <f t="shared" si="17"/>
        <v>-1.4044117647058707E-2</v>
      </c>
    </row>
    <row r="1366" spans="1:7">
      <c r="A1366" s="67">
        <v>130.70591827104326</v>
      </c>
      <c r="B1366" s="67">
        <v>131.30318882918039</v>
      </c>
      <c r="C1366" s="67">
        <v>128.40083925247785</v>
      </c>
      <c r="D1366" s="67">
        <v>130.03158054411421</v>
      </c>
      <c r="E1366" s="67">
        <v>474865.76415989705</v>
      </c>
      <c r="F1366" s="67" t="s">
        <v>1394</v>
      </c>
      <c r="G1366" s="25">
        <f t="shared" si="17"/>
        <v>5.1859534745890556E-3</v>
      </c>
    </row>
    <row r="1367" spans="1:7">
      <c r="A1367" s="67">
        <v>129.02970734981966</v>
      </c>
      <c r="B1367" s="67">
        <v>129.15494149910649</v>
      </c>
      <c r="C1367" s="67">
        <v>127.09339473392346</v>
      </c>
      <c r="D1367" s="67">
        <v>128.31683603849467</v>
      </c>
      <c r="E1367" s="67">
        <v>216021.42989002878</v>
      </c>
      <c r="F1367" s="67" t="s">
        <v>1395</v>
      </c>
      <c r="G1367" s="25">
        <f t="shared" si="17"/>
        <v>5.5555555555557579E-3</v>
      </c>
    </row>
    <row r="1368" spans="1:7">
      <c r="A1368" s="67">
        <v>127.08376133782446</v>
      </c>
      <c r="B1368" s="67">
        <v>128.18196849310888</v>
      </c>
      <c r="C1368" s="67">
        <v>126.07225474743093</v>
      </c>
      <c r="D1368" s="67">
        <v>126.22638908501472</v>
      </c>
      <c r="E1368" s="67">
        <v>158360.55990270802</v>
      </c>
      <c r="F1368" s="67" t="s">
        <v>1396</v>
      </c>
      <c r="G1368" s="25">
        <f t="shared" si="17"/>
        <v>6.7923376326031182E-3</v>
      </c>
    </row>
    <row r="1369" spans="1:7">
      <c r="A1369" s="67">
        <v>126.35162323430153</v>
      </c>
      <c r="B1369" s="67">
        <v>126.42869040309343</v>
      </c>
      <c r="C1369" s="67">
        <v>123.50977138510063</v>
      </c>
      <c r="D1369" s="67">
        <v>126.09152153962889</v>
      </c>
      <c r="E1369" s="67">
        <v>452731.30630007311</v>
      </c>
      <c r="F1369" s="67" t="s">
        <v>1397</v>
      </c>
      <c r="G1369" s="25">
        <f t="shared" si="17"/>
        <v>2.0628008251204477E-3</v>
      </c>
    </row>
    <row r="1370" spans="1:7">
      <c r="A1370" s="67">
        <v>124.7813796701668</v>
      </c>
      <c r="B1370" s="67">
        <v>126.23602248111369</v>
      </c>
      <c r="C1370" s="67">
        <v>122.45009781421216</v>
      </c>
      <c r="D1370" s="67">
        <v>125.99518757863903</v>
      </c>
      <c r="E1370" s="67">
        <v>262529.43136701104</v>
      </c>
      <c r="F1370" s="67" t="s">
        <v>1398</v>
      </c>
      <c r="G1370" s="25">
        <f t="shared" si="17"/>
        <v>-9.6337640492391019E-3</v>
      </c>
    </row>
    <row r="1371" spans="1:7">
      <c r="A1371" s="67">
        <v>125.80251965665933</v>
      </c>
      <c r="B1371" s="67">
        <v>128.44688688583102</v>
      </c>
      <c r="C1371" s="67">
        <v>125.25341607901713</v>
      </c>
      <c r="D1371" s="67">
        <v>126.15895531232181</v>
      </c>
      <c r="E1371" s="67">
        <v>499664.91054038733</v>
      </c>
      <c r="F1371" s="67" t="s">
        <v>1399</v>
      </c>
      <c r="G1371" s="25">
        <f t="shared" si="17"/>
        <v>-2.8252901649358231E-3</v>
      </c>
    </row>
    <row r="1372" spans="1:7">
      <c r="A1372" s="67">
        <v>125.29194966341306</v>
      </c>
      <c r="B1372" s="67">
        <v>125.8121530527583</v>
      </c>
      <c r="C1372" s="67">
        <v>122.29596347662839</v>
      </c>
      <c r="D1372" s="67">
        <v>122.37303064542027</v>
      </c>
      <c r="E1372" s="67">
        <v>232200.56322976598</v>
      </c>
      <c r="F1372" s="67" t="s">
        <v>1400</v>
      </c>
      <c r="G1372" s="25">
        <f t="shared" si="17"/>
        <v>2.3852633236243426E-2</v>
      </c>
    </row>
    <row r="1373" spans="1:7">
      <c r="A1373" s="67">
        <v>123.0473683723493</v>
      </c>
      <c r="B1373" s="67">
        <v>126.21675568891574</v>
      </c>
      <c r="C1373" s="67">
        <v>121.82392706777806</v>
      </c>
      <c r="D1373" s="67">
        <v>123.66390572268442</v>
      </c>
      <c r="E1373" s="67">
        <v>279039.70441773091</v>
      </c>
      <c r="F1373" s="67" t="s">
        <v>1401</v>
      </c>
      <c r="G1373" s="25">
        <f t="shared" si="17"/>
        <v>-4.9855885331464567E-3</v>
      </c>
    </row>
    <row r="1374" spans="1:7">
      <c r="A1374" s="67">
        <v>124.48274439109822</v>
      </c>
      <c r="B1374" s="67">
        <v>124.63687872868201</v>
      </c>
      <c r="C1374" s="67">
        <v>121.39042424332369</v>
      </c>
      <c r="D1374" s="67">
        <v>122.34413045712331</v>
      </c>
      <c r="E1374" s="67">
        <v>252621.19142553848</v>
      </c>
      <c r="F1374" s="67" t="s">
        <v>1402</v>
      </c>
      <c r="G1374" s="25">
        <f t="shared" si="17"/>
        <v>1.7480314960629961E-2</v>
      </c>
    </row>
    <row r="1375" spans="1:7">
      <c r="A1375" s="67">
        <v>121.00508839936425</v>
      </c>
      <c r="B1375" s="67">
        <v>121.86246065217401</v>
      </c>
      <c r="C1375" s="67">
        <v>114.28097792227196</v>
      </c>
      <c r="D1375" s="67">
        <v>115.37918507755637</v>
      </c>
      <c r="E1375" s="67">
        <v>284078.42591337342</v>
      </c>
      <c r="F1375" s="67" t="s">
        <v>1403</v>
      </c>
      <c r="G1375" s="25">
        <f t="shared" si="17"/>
        <v>4.8760123570176228E-2</v>
      </c>
    </row>
    <row r="1376" spans="1:7">
      <c r="A1376" s="67">
        <v>116.43885864844485</v>
      </c>
      <c r="B1376" s="67">
        <v>119.31924408204168</v>
      </c>
      <c r="C1376" s="67">
        <v>116.43885864844485</v>
      </c>
      <c r="D1376" s="67">
        <v>118.59673937461773</v>
      </c>
      <c r="E1376" s="67">
        <v>261948.12027563076</v>
      </c>
      <c r="F1376" s="67" t="s">
        <v>1404</v>
      </c>
      <c r="G1376" s="25">
        <f t="shared" si="17"/>
        <v>-1.8195110064170184E-2</v>
      </c>
    </row>
    <row r="1377" spans="1:7">
      <c r="A1377" s="67">
        <v>117.70083353741202</v>
      </c>
      <c r="B1377" s="67">
        <v>120.99545500326526</v>
      </c>
      <c r="C1377" s="67">
        <v>116.31362449915802</v>
      </c>
      <c r="D1377" s="67">
        <v>119.75274690649606</v>
      </c>
      <c r="E1377" s="67">
        <v>267875.41729666886</v>
      </c>
      <c r="F1377" s="67" t="s">
        <v>1405</v>
      </c>
      <c r="G1377" s="25">
        <f t="shared" si="17"/>
        <v>-1.713458289759473E-2</v>
      </c>
    </row>
    <row r="1378" spans="1:7">
      <c r="A1378" s="67">
        <v>120.80278708128554</v>
      </c>
      <c r="B1378" s="67">
        <v>121.84319385997604</v>
      </c>
      <c r="C1378" s="67">
        <v>120.05619888361412</v>
      </c>
      <c r="D1378" s="67">
        <v>120.7546201007906</v>
      </c>
      <c r="E1378" s="67">
        <v>208480.99459041047</v>
      </c>
      <c r="F1378" s="67" t="s">
        <v>1406</v>
      </c>
      <c r="G1378" s="25">
        <f t="shared" si="17"/>
        <v>3.9888312724389863E-4</v>
      </c>
    </row>
    <row r="1379" spans="1:7">
      <c r="A1379" s="67">
        <v>120.93765462667135</v>
      </c>
      <c r="B1379" s="67">
        <v>122.18036272344055</v>
      </c>
      <c r="C1379" s="67">
        <v>117.67193334911506</v>
      </c>
      <c r="D1379" s="67">
        <v>118.7508737122015</v>
      </c>
      <c r="E1379" s="67">
        <v>410458.57134600426</v>
      </c>
      <c r="F1379" s="67" t="s">
        <v>1407</v>
      </c>
      <c r="G1379" s="25">
        <f t="shared" si="17"/>
        <v>1.8414861685730477E-2</v>
      </c>
    </row>
    <row r="1380" spans="1:7">
      <c r="A1380" s="67">
        <v>118.39443805653903</v>
      </c>
      <c r="B1380" s="67">
        <v>121.5927255614024</v>
      </c>
      <c r="C1380" s="67">
        <v>116.77602751190936</v>
      </c>
      <c r="D1380" s="67">
        <v>120.57158557490988</v>
      </c>
      <c r="E1380" s="67">
        <v>246498.73996667989</v>
      </c>
      <c r="F1380" s="67" t="s">
        <v>1408</v>
      </c>
      <c r="G1380" s="25">
        <f t="shared" si="17"/>
        <v>-1.8056887184403903E-2</v>
      </c>
    </row>
    <row r="1381" spans="1:7">
      <c r="A1381" s="67">
        <v>121.26519009403687</v>
      </c>
      <c r="B1381" s="67">
        <v>121.96842800926285</v>
      </c>
      <c r="C1381" s="67">
        <v>118.80867408879541</v>
      </c>
      <c r="D1381" s="67">
        <v>120.33075067243522</v>
      </c>
      <c r="E1381" s="67">
        <v>393714.73580321192</v>
      </c>
      <c r="F1381" s="67" t="s">
        <v>1409</v>
      </c>
      <c r="G1381" s="25">
        <f t="shared" si="17"/>
        <v>7.7655912256824333E-3</v>
      </c>
    </row>
    <row r="1382" spans="1:7">
      <c r="A1382" s="67">
        <v>120.67755293199872</v>
      </c>
      <c r="B1382" s="67">
        <v>122.2863300805294</v>
      </c>
      <c r="C1382" s="67">
        <v>118.53893899802381</v>
      </c>
      <c r="D1382" s="67">
        <v>122.2863300805294</v>
      </c>
      <c r="E1382" s="67">
        <v>229009.58056029645</v>
      </c>
      <c r="F1382" s="67" t="s">
        <v>1410</v>
      </c>
      <c r="G1382" s="25">
        <f t="shared" si="17"/>
        <v>-1.3155821648022648E-2</v>
      </c>
    </row>
    <row r="1383" spans="1:7">
      <c r="A1383" s="67">
        <v>121.58309216530341</v>
      </c>
      <c r="B1383" s="67">
        <v>121.72759310678821</v>
      </c>
      <c r="C1383" s="67">
        <v>119.02060880297311</v>
      </c>
      <c r="D1383" s="67">
        <v>119.8587142635849</v>
      </c>
      <c r="E1383" s="67">
        <v>151297.63014243779</v>
      </c>
      <c r="F1383" s="67" t="s">
        <v>1411</v>
      </c>
      <c r="G1383" s="25">
        <f t="shared" si="17"/>
        <v>1.4386754541070523E-2</v>
      </c>
    </row>
    <row r="1384" spans="1:7">
      <c r="A1384" s="67">
        <v>120.1380827504555</v>
      </c>
      <c r="B1384" s="67">
        <v>120.59085236710786</v>
      </c>
      <c r="C1384" s="67">
        <v>118.39443805653903</v>
      </c>
      <c r="D1384" s="67">
        <v>119.7238467181991</v>
      </c>
      <c r="E1384" s="67">
        <v>162432.85170893083</v>
      </c>
      <c r="F1384" s="67" t="s">
        <v>1412</v>
      </c>
      <c r="G1384" s="25">
        <f t="shared" si="17"/>
        <v>3.4599291921466602E-3</v>
      </c>
    </row>
    <row r="1385" spans="1:7">
      <c r="A1385" s="67">
        <v>119.88761445188184</v>
      </c>
      <c r="B1385" s="67">
        <v>121.74387675346331</v>
      </c>
      <c r="C1385" s="67">
        <v>118.87773081630641</v>
      </c>
      <c r="D1385" s="67">
        <v>120.22424233040698</v>
      </c>
      <c r="E1385" s="67">
        <v>170177.82440060683</v>
      </c>
      <c r="F1385" s="67" t="s">
        <v>1413</v>
      </c>
      <c r="G1385" s="25">
        <f t="shared" si="17"/>
        <v>-2.7999999999999137E-3</v>
      </c>
    </row>
    <row r="1386" spans="1:7">
      <c r="A1386" s="67">
        <v>119.07008960403506</v>
      </c>
      <c r="B1386" s="67">
        <v>120.20500645163412</v>
      </c>
      <c r="C1386" s="67">
        <v>117.73319602932094</v>
      </c>
      <c r="D1386" s="67">
        <v>118.87773081630641</v>
      </c>
      <c r="E1386" s="67">
        <v>172335.25118053338</v>
      </c>
      <c r="F1386" s="67" t="s">
        <v>1414</v>
      </c>
      <c r="G1386" s="25">
        <f t="shared" si="17"/>
        <v>1.6181229773462036E-3</v>
      </c>
    </row>
    <row r="1387" spans="1:7">
      <c r="A1387" s="67">
        <v>118.6661361498049</v>
      </c>
      <c r="B1387" s="67">
        <v>120.7051392997286</v>
      </c>
      <c r="C1387" s="67">
        <v>117.91593687766316</v>
      </c>
      <c r="D1387" s="67">
        <v>119.50289687642453</v>
      </c>
      <c r="E1387" s="67">
        <v>188763.92614420544</v>
      </c>
      <c r="F1387" s="67" t="s">
        <v>1415</v>
      </c>
      <c r="G1387" s="25">
        <f t="shared" si="17"/>
        <v>-7.0020120724345603E-3</v>
      </c>
    </row>
    <row r="1388" spans="1:7">
      <c r="A1388" s="67">
        <v>118.3102723925069</v>
      </c>
      <c r="B1388" s="67">
        <v>119.80105299740394</v>
      </c>
      <c r="C1388" s="67">
        <v>117.51198342343299</v>
      </c>
      <c r="D1388" s="67">
        <v>119.38748160378734</v>
      </c>
      <c r="E1388" s="67">
        <v>225869.58731144349</v>
      </c>
      <c r="F1388" s="67" t="s">
        <v>1416</v>
      </c>
      <c r="G1388" s="25">
        <f t="shared" si="17"/>
        <v>-9.0227986788044001E-3</v>
      </c>
    </row>
    <row r="1389" spans="1:7">
      <c r="A1389" s="67">
        <v>118.9931460889436</v>
      </c>
      <c r="B1389" s="67">
        <v>119.11817930096723</v>
      </c>
      <c r="C1389" s="67">
        <v>113.47244888113133</v>
      </c>
      <c r="D1389" s="67">
        <v>115.24214972823491</v>
      </c>
      <c r="E1389" s="67">
        <v>322220.78716483823</v>
      </c>
      <c r="F1389" s="67" t="s">
        <v>1417</v>
      </c>
      <c r="G1389" s="25">
        <f t="shared" si="17"/>
        <v>3.2548823234852309E-2</v>
      </c>
    </row>
    <row r="1390" spans="1:7">
      <c r="A1390" s="67">
        <v>113.92449203229366</v>
      </c>
      <c r="B1390" s="67">
        <v>119.95494002758686</v>
      </c>
      <c r="C1390" s="67">
        <v>112.58759845757953</v>
      </c>
      <c r="D1390" s="67">
        <v>117.92555481704959</v>
      </c>
      <c r="E1390" s="67">
        <v>473131.49076601421</v>
      </c>
      <c r="F1390" s="67" t="s">
        <v>1418</v>
      </c>
      <c r="G1390" s="25">
        <f t="shared" si="17"/>
        <v>-3.3928717070385694E-2</v>
      </c>
    </row>
    <row r="1391" spans="1:7">
      <c r="A1391" s="67">
        <v>117.97364451398175</v>
      </c>
      <c r="B1391" s="67">
        <v>120.21462439102054</v>
      </c>
      <c r="C1391" s="67">
        <v>110.60630294397441</v>
      </c>
      <c r="D1391" s="67">
        <v>110.60630294397441</v>
      </c>
      <c r="E1391" s="67">
        <v>261605.93230077156</v>
      </c>
      <c r="F1391" s="67" t="s">
        <v>1419</v>
      </c>
      <c r="G1391" s="25">
        <f t="shared" si="17"/>
        <v>6.6608695652173866E-2</v>
      </c>
    </row>
    <row r="1392" spans="1:7">
      <c r="A1392" s="67">
        <v>117.74281396870738</v>
      </c>
      <c r="B1392" s="67">
        <v>118.30065445312046</v>
      </c>
      <c r="C1392" s="67">
        <v>115.91540548528519</v>
      </c>
      <c r="D1392" s="67">
        <v>117.35809639325007</v>
      </c>
      <c r="E1392" s="67">
        <v>153981.00783304253</v>
      </c>
      <c r="F1392" s="67" t="s">
        <v>1420</v>
      </c>
      <c r="G1392" s="25">
        <f t="shared" si="17"/>
        <v>3.2781511227668592E-3</v>
      </c>
    </row>
    <row r="1393" spans="1:7">
      <c r="A1393" s="67">
        <v>117.86784718073099</v>
      </c>
      <c r="B1393" s="67">
        <v>121.75349469284976</v>
      </c>
      <c r="C1393" s="67">
        <v>117.32924257509077</v>
      </c>
      <c r="D1393" s="67">
        <v>119.64716596722103</v>
      </c>
      <c r="E1393" s="67">
        <v>301907.70427354902</v>
      </c>
      <c r="F1393" s="67" t="s">
        <v>1421</v>
      </c>
      <c r="G1393" s="25">
        <f t="shared" si="17"/>
        <v>-1.4871382636656105E-2</v>
      </c>
    </row>
    <row r="1394" spans="1:7">
      <c r="A1394" s="67">
        <v>118.35836208943905</v>
      </c>
      <c r="B1394" s="67">
        <v>120.13768087592908</v>
      </c>
      <c r="C1394" s="67">
        <v>115.17482415252988</v>
      </c>
      <c r="D1394" s="67">
        <v>118.58919263471344</v>
      </c>
      <c r="E1394" s="67">
        <v>334407.38923111255</v>
      </c>
      <c r="F1394" s="67" t="s">
        <v>1422</v>
      </c>
      <c r="G1394" s="25">
        <f t="shared" si="17"/>
        <v>-1.94647201946474E-3</v>
      </c>
    </row>
    <row r="1395" spans="1:7">
      <c r="A1395" s="67">
        <v>117.7812857262531</v>
      </c>
      <c r="B1395" s="67">
        <v>121.62846148082612</v>
      </c>
      <c r="C1395" s="67">
        <v>117.03108645411137</v>
      </c>
      <c r="D1395" s="67">
        <v>120.81093663297936</v>
      </c>
      <c r="E1395" s="67">
        <v>196485.95443071847</v>
      </c>
      <c r="F1395" s="67" t="s">
        <v>1423</v>
      </c>
      <c r="G1395" s="25">
        <f t="shared" si="17"/>
        <v>-2.5077621208502543E-2</v>
      </c>
    </row>
    <row r="1396" spans="1:7">
      <c r="A1396" s="67">
        <v>121.55151796573466</v>
      </c>
      <c r="B1396" s="67">
        <v>124.24454099393579</v>
      </c>
      <c r="C1396" s="67">
        <v>120.40698317874919</v>
      </c>
      <c r="D1396" s="67">
        <v>120.40698317874919</v>
      </c>
      <c r="E1396" s="67">
        <v>428653.14849204879</v>
      </c>
      <c r="F1396" s="67" t="s">
        <v>1424</v>
      </c>
      <c r="G1396" s="25">
        <f t="shared" si="17"/>
        <v>9.5055515616262465E-3</v>
      </c>
    </row>
    <row r="1397" spans="1:7">
      <c r="A1397" s="67">
        <v>120.07035530022405</v>
      </c>
      <c r="B1397" s="67">
        <v>121.07062099641304</v>
      </c>
      <c r="C1397" s="67">
        <v>117.17535554490786</v>
      </c>
      <c r="D1397" s="67">
        <v>118.30065445312046</v>
      </c>
      <c r="E1397" s="67">
        <v>364971.10856736364</v>
      </c>
      <c r="F1397" s="67" t="s">
        <v>1425</v>
      </c>
      <c r="G1397" s="25">
        <f t="shared" si="17"/>
        <v>1.4959349593495874E-2</v>
      </c>
    </row>
    <row r="1398" spans="1:7">
      <c r="A1398" s="67">
        <v>118.76231554366923</v>
      </c>
      <c r="B1398" s="67">
        <v>119.91165930034791</v>
      </c>
      <c r="C1398" s="67">
        <v>114.88628597093691</v>
      </c>
      <c r="D1398" s="67">
        <v>115.81922609142086</v>
      </c>
      <c r="E1398" s="67">
        <v>193099.5741790458</v>
      </c>
      <c r="F1398" s="67" t="s">
        <v>1426</v>
      </c>
      <c r="G1398" s="25">
        <f t="shared" si="17"/>
        <v>2.5411061285500747E-2</v>
      </c>
    </row>
    <row r="1399" spans="1:7">
      <c r="A1399" s="67">
        <v>116.80025590883699</v>
      </c>
      <c r="B1399" s="67">
        <v>118.77193348305565</v>
      </c>
      <c r="C1399" s="67">
        <v>114.92956669817586</v>
      </c>
      <c r="D1399" s="67">
        <v>115.799990212648</v>
      </c>
      <c r="E1399" s="67">
        <v>180261.0653219214</v>
      </c>
      <c r="F1399" s="67" t="s">
        <v>1427</v>
      </c>
      <c r="G1399" s="25">
        <f t="shared" si="17"/>
        <v>8.6378737541528139E-3</v>
      </c>
    </row>
    <row r="1400" spans="1:7">
      <c r="A1400" s="67">
        <v>115.5595417279872</v>
      </c>
      <c r="B1400" s="67">
        <v>116.60789712110832</v>
      </c>
      <c r="C1400" s="67">
        <v>113.31856185094838</v>
      </c>
      <c r="D1400" s="67">
        <v>115.51145203105501</v>
      </c>
      <c r="E1400" s="67">
        <v>149727.49797440178</v>
      </c>
      <c r="F1400" s="67" t="s">
        <v>1428</v>
      </c>
      <c r="G1400" s="25">
        <f t="shared" ref="G1400:G1463" si="18">A1400/D1400-1</f>
        <v>4.1631973355560348E-4</v>
      </c>
    </row>
    <row r="1401" spans="1:7">
      <c r="A1401" s="67">
        <v>116.28088718196963</v>
      </c>
      <c r="B1401" s="67">
        <v>117.64663457484305</v>
      </c>
      <c r="C1401" s="67">
        <v>114.39577106222885</v>
      </c>
      <c r="D1401" s="67">
        <v>115.05940887989269</v>
      </c>
      <c r="E1401" s="67">
        <v>214034.41187245361</v>
      </c>
      <c r="F1401" s="67" t="s">
        <v>1429</v>
      </c>
      <c r="G1401" s="25">
        <f t="shared" si="18"/>
        <v>1.0616066204129471E-2</v>
      </c>
    </row>
    <row r="1402" spans="1:7">
      <c r="A1402" s="67">
        <v>116.07891045485454</v>
      </c>
      <c r="B1402" s="67">
        <v>118.64690027103204</v>
      </c>
      <c r="C1402" s="67">
        <v>115.21579657431607</v>
      </c>
      <c r="D1402" s="67">
        <v>118.64690027103204</v>
      </c>
      <c r="E1402" s="67">
        <v>225821.76001897285</v>
      </c>
      <c r="F1402" s="67" t="s">
        <v>1430</v>
      </c>
      <c r="G1402" s="25">
        <f t="shared" si="18"/>
        <v>-2.1643968871595365E-2</v>
      </c>
    </row>
    <row r="1403" spans="1:7">
      <c r="A1403" s="67">
        <v>118.14676742293754</v>
      </c>
      <c r="B1403" s="67">
        <v>119.56060451274313</v>
      </c>
      <c r="C1403" s="67">
        <v>116.59827918172191</v>
      </c>
      <c r="D1403" s="67">
        <v>118.17562124109685</v>
      </c>
      <c r="E1403" s="67">
        <v>169951.16462324586</v>
      </c>
      <c r="F1403" s="67" t="s">
        <v>1431</v>
      </c>
      <c r="G1403" s="25">
        <f t="shared" si="18"/>
        <v>-2.4416049483200197E-4</v>
      </c>
    </row>
    <row r="1404" spans="1:7">
      <c r="A1404" s="67">
        <v>118.46415942268982</v>
      </c>
      <c r="B1404" s="67">
        <v>118.67575408919133</v>
      </c>
      <c r="C1404" s="67">
        <v>113.96777275953259</v>
      </c>
      <c r="D1404" s="67">
        <v>115.04979094050626</v>
      </c>
      <c r="E1404" s="67">
        <v>352184.58589770738</v>
      </c>
      <c r="F1404" s="67" t="s">
        <v>1432</v>
      </c>
      <c r="G1404" s="25">
        <f t="shared" si="18"/>
        <v>2.9677311486373537E-2</v>
      </c>
    </row>
    <row r="1405" spans="1:7">
      <c r="A1405" s="67">
        <v>114.41500694100171</v>
      </c>
      <c r="B1405" s="67">
        <v>114.87185906185726</v>
      </c>
      <c r="C1405" s="67">
        <v>113.03964160874186</v>
      </c>
      <c r="D1405" s="67">
        <v>113.03964160874186</v>
      </c>
      <c r="E1405" s="67">
        <v>365685.39878317545</v>
      </c>
      <c r="F1405" s="67" t="s">
        <v>1433</v>
      </c>
      <c r="G1405" s="25">
        <f t="shared" si="18"/>
        <v>1.2167106270739358E-2</v>
      </c>
    </row>
    <row r="1406" spans="1:7">
      <c r="A1406" s="67">
        <v>112.28944233660012</v>
      </c>
      <c r="B1406" s="67">
        <v>112.50103700310163</v>
      </c>
      <c r="C1406" s="67">
        <v>110.13983288373244</v>
      </c>
      <c r="D1406" s="67">
        <v>110.78904379231663</v>
      </c>
      <c r="E1406" s="67">
        <v>141778.80991052781</v>
      </c>
      <c r="F1406" s="67" t="s">
        <v>1434</v>
      </c>
      <c r="G1406" s="25">
        <f t="shared" si="18"/>
        <v>1.3542842260612975E-2</v>
      </c>
    </row>
    <row r="1407" spans="1:7">
      <c r="A1407" s="67">
        <v>110.72171821661161</v>
      </c>
      <c r="B1407" s="67">
        <v>111.54886100384481</v>
      </c>
      <c r="C1407" s="67">
        <v>109.49543094484146</v>
      </c>
      <c r="D1407" s="67">
        <v>109.72145252042262</v>
      </c>
      <c r="E1407" s="67">
        <v>160301.48850541533</v>
      </c>
      <c r="F1407" s="67" t="s">
        <v>1435</v>
      </c>
      <c r="G1407" s="25">
        <f t="shared" si="18"/>
        <v>9.1164095371669696E-3</v>
      </c>
    </row>
    <row r="1408" spans="1:7">
      <c r="A1408" s="67">
        <v>109.240555551101</v>
      </c>
      <c r="B1408" s="67">
        <v>114.31882754713739</v>
      </c>
      <c r="C1408" s="67">
        <v>108.63462536975574</v>
      </c>
      <c r="D1408" s="67">
        <v>112.69339579083028</v>
      </c>
      <c r="E1408" s="67">
        <v>314953.1181567965</v>
      </c>
      <c r="F1408" s="67" t="s">
        <v>1436</v>
      </c>
      <c r="G1408" s="25">
        <f t="shared" si="18"/>
        <v>-3.0639242126824229E-2</v>
      </c>
    </row>
    <row r="1409" spans="1:7">
      <c r="A1409" s="67">
        <v>111.24108694347896</v>
      </c>
      <c r="B1409" s="67">
        <v>112.44332936678303</v>
      </c>
      <c r="C1409" s="67">
        <v>108.96163530889446</v>
      </c>
      <c r="D1409" s="67">
        <v>109.31749906619245</v>
      </c>
      <c r="E1409" s="67">
        <v>160512.55242653584</v>
      </c>
      <c r="F1409" s="67" t="s">
        <v>1437</v>
      </c>
      <c r="G1409" s="25">
        <f t="shared" si="18"/>
        <v>1.7596339961287955E-2</v>
      </c>
    </row>
    <row r="1410" spans="1:7">
      <c r="A1410" s="67">
        <v>109.45215021760251</v>
      </c>
      <c r="B1410" s="67">
        <v>110.3658544593136</v>
      </c>
      <c r="C1410" s="67">
        <v>107.10537300731296</v>
      </c>
      <c r="D1410" s="67">
        <v>108.61538949098288</v>
      </c>
      <c r="E1410" s="67">
        <v>141986.75466040024</v>
      </c>
      <c r="F1410" s="67" t="s">
        <v>1438</v>
      </c>
      <c r="G1410" s="25">
        <f t="shared" si="18"/>
        <v>7.7038873638537453E-3</v>
      </c>
    </row>
    <row r="1411" spans="1:7">
      <c r="A1411" s="67">
        <v>109.29826318741959</v>
      </c>
      <c r="B1411" s="67">
        <v>111.12567167084178</v>
      </c>
      <c r="C1411" s="67">
        <v>108.34608718816277</v>
      </c>
      <c r="D1411" s="67">
        <v>109.81763191428695</v>
      </c>
      <c r="E1411" s="67">
        <v>190295.43922701597</v>
      </c>
      <c r="F1411" s="67" t="s">
        <v>1439</v>
      </c>
      <c r="G1411" s="25">
        <f t="shared" si="18"/>
        <v>-4.729374671571196E-3</v>
      </c>
    </row>
    <row r="1412" spans="1:7">
      <c r="A1412" s="67">
        <v>107.74015700681751</v>
      </c>
      <c r="B1412" s="67">
        <v>108.55768185466428</v>
      </c>
      <c r="C1412" s="67">
        <v>104.29693470647466</v>
      </c>
      <c r="D1412" s="67">
        <v>108.55768185466428</v>
      </c>
      <c r="E1412" s="67">
        <v>421889.74550244771</v>
      </c>
      <c r="F1412" s="67" t="s">
        <v>1440</v>
      </c>
      <c r="G1412" s="25">
        <f t="shared" si="18"/>
        <v>-7.5307876317888267E-3</v>
      </c>
    </row>
    <row r="1413" spans="1:7">
      <c r="A1413" s="67">
        <v>107.62474173418033</v>
      </c>
      <c r="B1413" s="67">
        <v>109.09628646030451</v>
      </c>
      <c r="C1413" s="67">
        <v>105.30681834205008</v>
      </c>
      <c r="D1413" s="67">
        <v>109.09628646030451</v>
      </c>
      <c r="E1413" s="67">
        <v>408489.78582066775</v>
      </c>
      <c r="F1413" s="67" t="s">
        <v>1441</v>
      </c>
      <c r="G1413" s="25">
        <f t="shared" si="18"/>
        <v>-1.3488495107114473E-2</v>
      </c>
    </row>
    <row r="1414" spans="1:7">
      <c r="A1414" s="67">
        <v>109.49062197514824</v>
      </c>
      <c r="B1414" s="67">
        <v>110.8948411255674</v>
      </c>
      <c r="C1414" s="67">
        <v>102.09442658698161</v>
      </c>
      <c r="D1414" s="67">
        <v>105.816569129531</v>
      </c>
      <c r="E1414" s="67">
        <v>660202.74664625793</v>
      </c>
      <c r="F1414" s="67" t="s">
        <v>1442</v>
      </c>
      <c r="G1414" s="25">
        <f t="shared" si="18"/>
        <v>3.4720959825486286E-2</v>
      </c>
    </row>
    <row r="1415" spans="1:7">
      <c r="A1415" s="67">
        <v>110.57744912581512</v>
      </c>
      <c r="B1415" s="67">
        <v>114.52561324394568</v>
      </c>
      <c r="C1415" s="67">
        <v>109.52909373269397</v>
      </c>
      <c r="D1415" s="67">
        <v>112.31829615475941</v>
      </c>
      <c r="E1415" s="67">
        <v>429314.41279664316</v>
      </c>
      <c r="F1415" s="67" t="s">
        <v>1443</v>
      </c>
      <c r="G1415" s="25">
        <f t="shared" si="18"/>
        <v>-1.5499229320088959E-2</v>
      </c>
    </row>
    <row r="1416" spans="1:7">
      <c r="A1416" s="67">
        <v>114.76125275891327</v>
      </c>
      <c r="B1416" s="67">
        <v>115.42489057657713</v>
      </c>
      <c r="C1416" s="67">
        <v>112.1932629427358</v>
      </c>
      <c r="D1416" s="67">
        <v>114.71316306198112</v>
      </c>
      <c r="E1416" s="67">
        <v>372231.49950915988</v>
      </c>
      <c r="F1416" s="67" t="s">
        <v>1444</v>
      </c>
      <c r="G1416" s="25">
        <f t="shared" si="18"/>
        <v>4.1921690282542556E-4</v>
      </c>
    </row>
    <row r="1417" spans="1:7">
      <c r="A1417" s="67">
        <v>113.53015651744992</v>
      </c>
      <c r="B1417" s="67">
        <v>116.6271329998812</v>
      </c>
      <c r="C1417" s="67">
        <v>112.69339579083028</v>
      </c>
      <c r="D1417" s="67">
        <v>114.89590391032333</v>
      </c>
      <c r="E1417" s="67">
        <v>323172.13439550466</v>
      </c>
      <c r="F1417" s="67" t="s">
        <v>1445</v>
      </c>
      <c r="G1417" s="25">
        <f t="shared" si="18"/>
        <v>-1.1886824041519972E-2</v>
      </c>
    </row>
    <row r="1418" spans="1:7">
      <c r="A1418" s="67">
        <v>115.70381081878367</v>
      </c>
      <c r="B1418" s="67">
        <v>115.79037227326157</v>
      </c>
      <c r="C1418" s="67">
        <v>113.19352863892478</v>
      </c>
      <c r="D1418" s="67">
        <v>113.99181760799867</v>
      </c>
      <c r="E1418" s="67">
        <v>241507.03250185095</v>
      </c>
      <c r="F1418" s="67" t="s">
        <v>1446</v>
      </c>
      <c r="G1418" s="25">
        <f t="shared" si="18"/>
        <v>1.5018562267971713E-2</v>
      </c>
    </row>
    <row r="1419" spans="1:7">
      <c r="A1419" s="67">
        <v>115.40565469780425</v>
      </c>
      <c r="B1419" s="67">
        <v>116.91567118147418</v>
      </c>
      <c r="C1419" s="67">
        <v>113.74175118395144</v>
      </c>
      <c r="D1419" s="67">
        <v>115.33832912209924</v>
      </c>
      <c r="E1419" s="67">
        <v>235762.55878662481</v>
      </c>
      <c r="F1419" s="67" t="s">
        <v>1447</v>
      </c>
      <c r="G1419" s="25">
        <f t="shared" si="18"/>
        <v>5.8372248165428076E-4</v>
      </c>
    </row>
    <row r="1420" spans="1:7">
      <c r="A1420" s="67">
        <v>114.99208330418766</v>
      </c>
      <c r="B1420" s="67">
        <v>115.54992378860075</v>
      </c>
      <c r="C1420" s="67">
        <v>112.08265663979181</v>
      </c>
      <c r="D1420" s="67">
        <v>112.51065494248807</v>
      </c>
      <c r="E1420" s="67">
        <v>244965.15369222959</v>
      </c>
      <c r="F1420" s="67" t="s">
        <v>1448</v>
      </c>
      <c r="G1420" s="25">
        <f t="shared" si="18"/>
        <v>2.2055052145665721E-2</v>
      </c>
    </row>
    <row r="1421" spans="1:7">
      <c r="A1421" s="67">
        <v>112.51065494248807</v>
      </c>
      <c r="B1421" s="67">
        <v>114.03990730493084</v>
      </c>
      <c r="C1421" s="67">
        <v>111.08719991329605</v>
      </c>
      <c r="D1421" s="67">
        <v>111.92396063991568</v>
      </c>
      <c r="E1421" s="67">
        <v>206037.89651610897</v>
      </c>
      <c r="F1421" s="67" t="s">
        <v>1449</v>
      </c>
      <c r="G1421" s="25">
        <f t="shared" si="18"/>
        <v>5.241900833548252E-3</v>
      </c>
    </row>
    <row r="1422" spans="1:7">
      <c r="A1422" s="67">
        <v>110.50050561072366</v>
      </c>
      <c r="B1422" s="67">
        <v>114.443860759161</v>
      </c>
      <c r="C1422" s="67">
        <v>109.75030633858192</v>
      </c>
      <c r="D1422" s="67">
        <v>113.09734924506046</v>
      </c>
      <c r="E1422" s="67">
        <v>263702.01537948573</v>
      </c>
      <c r="F1422" s="67" t="s">
        <v>1450</v>
      </c>
      <c r="G1422" s="25">
        <f t="shared" si="18"/>
        <v>-2.2961136151033235E-2</v>
      </c>
    </row>
    <row r="1423" spans="1:7">
      <c r="A1423" s="67">
        <v>113.93410997168007</v>
      </c>
      <c r="B1423" s="67">
        <v>116.19432572749173</v>
      </c>
      <c r="C1423" s="67">
        <v>112.31829615475941</v>
      </c>
      <c r="D1423" s="67">
        <v>113.30894391156197</v>
      </c>
      <c r="E1423" s="67">
        <v>240793.78200978847</v>
      </c>
      <c r="F1423" s="67" t="s">
        <v>1451</v>
      </c>
      <c r="G1423" s="25">
        <f t="shared" si="18"/>
        <v>5.517358458534849E-3</v>
      </c>
    </row>
    <row r="1424" spans="1:7">
      <c r="A1424" s="67">
        <v>112.60683433635239</v>
      </c>
      <c r="B1424" s="67">
        <v>113.27047215401623</v>
      </c>
      <c r="C1424" s="67">
        <v>110.3947082774729</v>
      </c>
      <c r="D1424" s="67">
        <v>111.97205033684784</v>
      </c>
      <c r="E1424" s="67">
        <v>158644.16884893199</v>
      </c>
      <c r="F1424" s="67" t="s">
        <v>1452</v>
      </c>
      <c r="G1424" s="25">
        <f t="shared" si="18"/>
        <v>5.6691290156329899E-3</v>
      </c>
    </row>
    <row r="1425" spans="1:7">
      <c r="A1425" s="67">
        <v>112.37600379107801</v>
      </c>
      <c r="B1425" s="67">
        <v>113.98700863830547</v>
      </c>
      <c r="C1425" s="67">
        <v>111.3661201555026</v>
      </c>
      <c r="D1425" s="67">
        <v>112.18364500334935</v>
      </c>
      <c r="E1425" s="67">
        <v>389744.60634341667</v>
      </c>
      <c r="F1425" s="67" t="s">
        <v>1453</v>
      </c>
      <c r="G1425" s="25">
        <f t="shared" si="18"/>
        <v>1.7146776406036235E-3</v>
      </c>
    </row>
    <row r="1426" spans="1:7">
      <c r="A1426" s="67">
        <v>111.91434270052925</v>
      </c>
      <c r="B1426" s="67">
        <v>112.52989082126093</v>
      </c>
      <c r="C1426" s="67">
        <v>106.80721688633355</v>
      </c>
      <c r="D1426" s="67">
        <v>107.172698583018</v>
      </c>
      <c r="E1426" s="67">
        <v>592910.78586378729</v>
      </c>
      <c r="F1426" s="67" t="s">
        <v>1454</v>
      </c>
      <c r="G1426" s="25">
        <f t="shared" si="18"/>
        <v>4.424302252535206E-2</v>
      </c>
    </row>
    <row r="1427" spans="1:7">
      <c r="A1427" s="67">
        <v>108.58653567282359</v>
      </c>
      <c r="B1427" s="67">
        <v>112.4337114273966</v>
      </c>
      <c r="C1427" s="67">
        <v>107.22078827995016</v>
      </c>
      <c r="D1427" s="67">
        <v>111.09681785268248</v>
      </c>
      <c r="E1427" s="67">
        <v>430040.13997369795</v>
      </c>
      <c r="F1427" s="67" t="s">
        <v>1455</v>
      </c>
      <c r="G1427" s="25">
        <f t="shared" si="18"/>
        <v>-2.2595446281707177E-2</v>
      </c>
    </row>
    <row r="1428" spans="1:7">
      <c r="A1428" s="67">
        <v>110.75057203477091</v>
      </c>
      <c r="B1428" s="67">
        <v>110.91888597403347</v>
      </c>
      <c r="C1428" s="67">
        <v>108.42303070325423</v>
      </c>
      <c r="D1428" s="67">
        <v>110.73133615599804</v>
      </c>
      <c r="E1428" s="67">
        <v>315946.05433743738</v>
      </c>
      <c r="F1428" s="67" t="s">
        <v>1456</v>
      </c>
      <c r="G1428" s="25">
        <f t="shared" si="18"/>
        <v>1.7371666811438757E-4</v>
      </c>
    </row>
    <row r="1429" spans="1:7">
      <c r="A1429" s="67">
        <v>111.09681785268248</v>
      </c>
      <c r="B1429" s="67">
        <v>112.50103700310163</v>
      </c>
      <c r="C1429" s="67">
        <v>108.59615361221</v>
      </c>
      <c r="D1429" s="67">
        <v>109.75992427796835</v>
      </c>
      <c r="E1429" s="67">
        <v>424526.48493083025</v>
      </c>
      <c r="F1429" s="67" t="s">
        <v>1457</v>
      </c>
      <c r="G1429" s="25">
        <f t="shared" si="18"/>
        <v>1.2180161233789066E-2</v>
      </c>
    </row>
    <row r="1430" spans="1:7">
      <c r="A1430" s="67">
        <v>107.78824670374966</v>
      </c>
      <c r="B1430" s="67">
        <v>109.6541269447176</v>
      </c>
      <c r="C1430" s="67">
        <v>106.53791458351344</v>
      </c>
      <c r="D1430" s="67">
        <v>107.54779821908886</v>
      </c>
      <c r="E1430" s="67">
        <v>186981.83963779864</v>
      </c>
      <c r="F1430" s="67" t="s">
        <v>1458</v>
      </c>
      <c r="G1430" s="25">
        <f t="shared" si="18"/>
        <v>2.23573600429261E-3</v>
      </c>
    </row>
    <row r="1431" spans="1:7">
      <c r="A1431" s="67">
        <v>107.09575506792653</v>
      </c>
      <c r="B1431" s="67">
        <v>108.53844597589141</v>
      </c>
      <c r="C1431" s="67">
        <v>104.72012403947768</v>
      </c>
      <c r="D1431" s="67">
        <v>107.81710052190897</v>
      </c>
      <c r="E1431" s="67">
        <v>384533.51091161335</v>
      </c>
      <c r="F1431" s="67" t="s">
        <v>1459</v>
      </c>
      <c r="G1431" s="25">
        <f t="shared" si="18"/>
        <v>-6.6904549509365641E-3</v>
      </c>
    </row>
    <row r="1432" spans="1:7">
      <c r="A1432" s="67">
        <v>107.72092112804465</v>
      </c>
      <c r="B1432" s="67">
        <v>108.8895007634962</v>
      </c>
      <c r="C1432" s="67">
        <v>106.22052258376117</v>
      </c>
      <c r="D1432" s="67">
        <v>107.33620355258734</v>
      </c>
      <c r="E1432" s="67">
        <v>163879.17792697065</v>
      </c>
      <c r="F1432" s="67" t="s">
        <v>1460</v>
      </c>
      <c r="G1432" s="25">
        <f t="shared" si="18"/>
        <v>3.5842293906811484E-3</v>
      </c>
    </row>
    <row r="1433" spans="1:7">
      <c r="A1433" s="67">
        <v>107.45161882522454</v>
      </c>
      <c r="B1433" s="67">
        <v>110.56783118642868</v>
      </c>
      <c r="C1433" s="67">
        <v>106.95148597713005</v>
      </c>
      <c r="D1433" s="67">
        <v>108.49035627895925</v>
      </c>
      <c r="E1433" s="67">
        <v>256315.81786401669</v>
      </c>
      <c r="F1433" s="67" t="s">
        <v>1461</v>
      </c>
      <c r="G1433" s="25">
        <f t="shared" si="18"/>
        <v>-9.5744680851063135E-3</v>
      </c>
    </row>
    <row r="1434" spans="1:7">
      <c r="A1434" s="67">
        <v>107.80748258252254</v>
      </c>
      <c r="B1434" s="67">
        <v>108.97125324828087</v>
      </c>
      <c r="C1434" s="67">
        <v>106.35517373517122</v>
      </c>
      <c r="D1434" s="67">
        <v>108.97125324828087</v>
      </c>
      <c r="E1434" s="67">
        <v>265782.50260195951</v>
      </c>
      <c r="F1434" s="67" t="s">
        <v>1462</v>
      </c>
      <c r="G1434" s="25">
        <f t="shared" si="18"/>
        <v>-1.0679611650485366E-2</v>
      </c>
    </row>
    <row r="1435" spans="1:7">
      <c r="A1435" s="67">
        <v>107.84595434006827</v>
      </c>
      <c r="B1435" s="67">
        <v>110.26005712606285</v>
      </c>
      <c r="C1435" s="67">
        <v>107.26887797688232</v>
      </c>
      <c r="D1435" s="67">
        <v>110.26005712606285</v>
      </c>
      <c r="E1435" s="67">
        <v>207187.83098290357</v>
      </c>
      <c r="F1435" s="67" t="s">
        <v>1463</v>
      </c>
      <c r="G1435" s="25">
        <f t="shared" si="18"/>
        <v>-2.1894626657362193E-2</v>
      </c>
    </row>
    <row r="1436" spans="1:7">
      <c r="A1436" s="67">
        <v>108.50959215773211</v>
      </c>
      <c r="B1436" s="67">
        <v>109.39444258128391</v>
      </c>
      <c r="C1436" s="67">
        <v>107.51894440092957</v>
      </c>
      <c r="D1436" s="67">
        <v>109.00010706644018</v>
      </c>
      <c r="E1436" s="67">
        <v>61707.604524646347</v>
      </c>
      <c r="F1436" s="67" t="s">
        <v>1464</v>
      </c>
      <c r="G1436" s="25">
        <f t="shared" si="18"/>
        <v>-4.5001323568341078E-3</v>
      </c>
    </row>
    <row r="1437" spans="1:7">
      <c r="A1437" s="67">
        <v>108.06716694595622</v>
      </c>
      <c r="B1437" s="67">
        <v>110.11578803526635</v>
      </c>
      <c r="C1437" s="67">
        <v>107.53818027970243</v>
      </c>
      <c r="D1437" s="67">
        <v>108.84622003625726</v>
      </c>
      <c r="E1437" s="67">
        <v>193936.55179728236</v>
      </c>
      <c r="F1437" s="67" t="s">
        <v>1465</v>
      </c>
      <c r="G1437" s="25">
        <f t="shared" si="18"/>
        <v>-7.1573738623310623E-3</v>
      </c>
    </row>
    <row r="1438" spans="1:7">
      <c r="A1438" s="67">
        <v>107.37467531013307</v>
      </c>
      <c r="B1438" s="67">
        <v>107.46123676461097</v>
      </c>
      <c r="C1438" s="67">
        <v>104.04686828242743</v>
      </c>
      <c r="D1438" s="67">
        <v>105.65306415996164</v>
      </c>
      <c r="E1438" s="67">
        <v>160352.43496913408</v>
      </c>
      <c r="F1438" s="67" t="s">
        <v>1466</v>
      </c>
      <c r="G1438" s="25">
        <f t="shared" si="18"/>
        <v>1.6294947655894454E-2</v>
      </c>
    </row>
    <row r="1439" spans="1:7">
      <c r="A1439" s="67">
        <v>105.32605422082295</v>
      </c>
      <c r="B1439" s="67">
        <v>105.89351264462246</v>
      </c>
      <c r="C1439" s="67">
        <v>101.03645325447403</v>
      </c>
      <c r="D1439" s="67">
        <v>104.83553931211488</v>
      </c>
      <c r="E1439" s="67">
        <v>448849.78232340945</v>
      </c>
      <c r="F1439" s="67" t="s">
        <v>1467</v>
      </c>
      <c r="G1439" s="25">
        <f t="shared" si="18"/>
        <v>4.6788990825690213E-3</v>
      </c>
    </row>
    <row r="1440" spans="1:7">
      <c r="A1440" s="67">
        <v>106.20128670498831</v>
      </c>
      <c r="B1440" s="67">
        <v>109.03857882398592</v>
      </c>
      <c r="C1440" s="67">
        <v>104.44120379727116</v>
      </c>
      <c r="D1440" s="67">
        <v>105.94160234155463</v>
      </c>
      <c r="E1440" s="67">
        <v>781418.93996564962</v>
      </c>
      <c r="F1440" s="67" t="s">
        <v>1468</v>
      </c>
      <c r="G1440" s="25">
        <f t="shared" si="18"/>
        <v>2.451202905129346E-3</v>
      </c>
    </row>
    <row r="1441" spans="1:7">
      <c r="A1441" s="67">
        <v>106.7591271894014</v>
      </c>
      <c r="B1441" s="67">
        <v>106.7591271894014</v>
      </c>
      <c r="C1441" s="67">
        <v>102.81577204096405</v>
      </c>
      <c r="D1441" s="67">
        <v>104.57585494868121</v>
      </c>
      <c r="E1441" s="67">
        <v>204055.14332607525</v>
      </c>
      <c r="F1441" s="67" t="s">
        <v>1469</v>
      </c>
      <c r="G1441" s="25">
        <f t="shared" si="18"/>
        <v>2.0877402740733908E-2</v>
      </c>
    </row>
    <row r="1442" spans="1:7">
      <c r="A1442" s="67">
        <v>104.37387822156612</v>
      </c>
      <c r="B1442" s="67">
        <v>106.79759894694713</v>
      </c>
      <c r="C1442" s="67">
        <v>103.93145300979022</v>
      </c>
      <c r="D1442" s="67">
        <v>105.79733325075814</v>
      </c>
      <c r="E1442" s="67">
        <v>246020.47329783221</v>
      </c>
      <c r="F1442" s="67" t="s">
        <v>1470</v>
      </c>
      <c r="G1442" s="25">
        <f t="shared" si="18"/>
        <v>-1.3454545454545497E-2</v>
      </c>
    </row>
    <row r="1443" spans="1:7">
      <c r="A1443" s="67">
        <v>105.53764888732447</v>
      </c>
      <c r="B1443" s="67">
        <v>105.55688476609733</v>
      </c>
      <c r="C1443" s="67">
        <v>102.45029034427961</v>
      </c>
      <c r="D1443" s="67">
        <v>102.70997470771329</v>
      </c>
      <c r="E1443" s="67">
        <v>276218.20987430785</v>
      </c>
      <c r="F1443" s="67" t="s">
        <v>1471</v>
      </c>
      <c r="G1443" s="25">
        <f t="shared" si="18"/>
        <v>2.7530667665511821E-2</v>
      </c>
    </row>
    <row r="1444" spans="1:7">
      <c r="A1444" s="67">
        <v>101.38269907238559</v>
      </c>
      <c r="B1444" s="67">
        <v>101.98862925373085</v>
      </c>
      <c r="C1444" s="67">
        <v>99.738031437305622</v>
      </c>
      <c r="D1444" s="67">
        <v>100.34396161865088</v>
      </c>
      <c r="E1444" s="67">
        <v>283806.11379715317</v>
      </c>
      <c r="F1444" s="67" t="s">
        <v>1472</v>
      </c>
      <c r="G1444" s="25">
        <f t="shared" si="18"/>
        <v>1.0351768427106167E-2</v>
      </c>
    </row>
    <row r="1445" spans="1:7">
      <c r="A1445" s="67">
        <v>99.420639437553376</v>
      </c>
      <c r="B1445" s="67">
        <v>99.929405865108691</v>
      </c>
      <c r="C1445" s="67">
        <v>97.61595852471568</v>
      </c>
      <c r="D1445" s="67">
        <v>98.479901514903943</v>
      </c>
      <c r="E1445" s="67">
        <v>186699.81912215293</v>
      </c>
      <c r="F1445" s="67" t="s">
        <v>1473</v>
      </c>
      <c r="G1445" s="25">
        <f t="shared" si="18"/>
        <v>9.5525879715372408E-3</v>
      </c>
    </row>
    <row r="1446" spans="1:7">
      <c r="A1446" s="67">
        <v>99.603027402148683</v>
      </c>
      <c r="B1446" s="67">
        <v>100.36137736020282</v>
      </c>
      <c r="C1446" s="67">
        <v>96.540829470259183</v>
      </c>
      <c r="D1446" s="67">
        <v>96.540829470259183</v>
      </c>
      <c r="E1446" s="67">
        <v>186431.05138789606</v>
      </c>
      <c r="F1446" s="67" t="s">
        <v>1474</v>
      </c>
      <c r="G1446" s="25">
        <f t="shared" si="18"/>
        <v>3.1719200556826088E-2</v>
      </c>
    </row>
    <row r="1447" spans="1:7">
      <c r="A1447" s="67">
        <v>97.11679146371803</v>
      </c>
      <c r="B1447" s="67">
        <v>99.705932611646659</v>
      </c>
      <c r="C1447" s="67">
        <v>95.628889647282691</v>
      </c>
      <c r="D1447" s="67">
        <v>98.950270476228667</v>
      </c>
      <c r="E1447" s="67">
        <v>174330.25293391253</v>
      </c>
      <c r="F1447" s="67" t="s">
        <v>1475</v>
      </c>
      <c r="G1447" s="25">
        <f t="shared" si="18"/>
        <v>-1.852929763290645E-2</v>
      </c>
    </row>
    <row r="1448" spans="1:7">
      <c r="A1448" s="67">
        <v>97.827144588983927</v>
      </c>
      <c r="B1448" s="67">
        <v>98.259116084078059</v>
      </c>
      <c r="C1448" s="67">
        <v>94.02579543215559</v>
      </c>
      <c r="D1448" s="67">
        <v>94.02579543215559</v>
      </c>
      <c r="E1448" s="67">
        <v>251133.23733632211</v>
      </c>
      <c r="F1448" s="67" t="s">
        <v>1476</v>
      </c>
      <c r="G1448" s="25">
        <f t="shared" si="18"/>
        <v>4.0428790199081188E-2</v>
      </c>
    </row>
    <row r="1449" spans="1:7">
      <c r="A1449" s="67">
        <v>95.657687746955631</v>
      </c>
      <c r="B1449" s="67">
        <v>99.708620434282807</v>
      </c>
      <c r="C1449" s="67">
        <v>94.870539689228551</v>
      </c>
      <c r="D1449" s="67">
        <v>97.884740788329808</v>
      </c>
      <c r="E1449" s="67">
        <v>175801.18332449661</v>
      </c>
      <c r="F1449" s="67" t="s">
        <v>1477</v>
      </c>
      <c r="G1449" s="25">
        <f t="shared" si="18"/>
        <v>-2.2751789742080919E-2</v>
      </c>
    </row>
    <row r="1450" spans="1:7">
      <c r="A1450" s="67">
        <v>98.172721785059224</v>
      </c>
      <c r="B1450" s="67">
        <v>98.969469209343956</v>
      </c>
      <c r="C1450" s="67">
        <v>94.992067669848353</v>
      </c>
      <c r="D1450" s="67">
        <v>96.617624402720367</v>
      </c>
      <c r="E1450" s="67">
        <v>314590.54947685299</v>
      </c>
      <c r="F1450" s="67" t="s">
        <v>1478</v>
      </c>
      <c r="G1450" s="25">
        <f t="shared" si="18"/>
        <v>1.6095380029806261E-2</v>
      </c>
    </row>
    <row r="1451" spans="1:7">
      <c r="A1451" s="67">
        <v>96.310444672875647</v>
      </c>
      <c r="B1451" s="67">
        <v>97.111991780439212</v>
      </c>
      <c r="C1451" s="67">
        <v>94.467366293807359</v>
      </c>
      <c r="D1451" s="67">
        <v>95.350508017110911</v>
      </c>
      <c r="E1451" s="67">
        <v>145678.36237964573</v>
      </c>
      <c r="F1451" s="67" t="s">
        <v>1479</v>
      </c>
      <c r="G1451" s="25">
        <f t="shared" si="18"/>
        <v>1.0067451927917137E-2</v>
      </c>
    </row>
    <row r="1452" spans="1:7">
      <c r="A1452" s="67">
        <v>95.628889647282691</v>
      </c>
      <c r="B1452" s="67">
        <v>96.454435171240362</v>
      </c>
      <c r="C1452" s="67">
        <v>94.860940322670899</v>
      </c>
      <c r="D1452" s="67">
        <v>95.264113718092091</v>
      </c>
      <c r="E1452" s="67">
        <v>351789.87902173057</v>
      </c>
      <c r="F1452" s="67" t="s">
        <v>1480</v>
      </c>
      <c r="G1452" s="25">
        <f t="shared" si="18"/>
        <v>3.8291011688835752E-3</v>
      </c>
    </row>
    <row r="1453" spans="1:7">
      <c r="A1453" s="67">
        <v>95.302511184322682</v>
      </c>
      <c r="B1453" s="67">
        <v>99.756617267071036</v>
      </c>
      <c r="C1453" s="67">
        <v>94.928135888574431</v>
      </c>
      <c r="D1453" s="67">
        <v>98.873475543767483</v>
      </c>
      <c r="E1453" s="67">
        <v>343264.31647460582</v>
      </c>
      <c r="F1453" s="67" t="s">
        <v>1481</v>
      </c>
      <c r="G1453" s="25">
        <f t="shared" si="18"/>
        <v>-3.6116504854368903E-2</v>
      </c>
    </row>
    <row r="1454" spans="1:7">
      <c r="A1454" s="67">
        <v>97.807945855868638</v>
      </c>
      <c r="B1454" s="67">
        <v>100.1981881287228</v>
      </c>
      <c r="C1454" s="67">
        <v>97.279980695198034</v>
      </c>
      <c r="D1454" s="67">
        <v>100.1981881287228</v>
      </c>
      <c r="E1454" s="67">
        <v>209630.4988371224</v>
      </c>
      <c r="F1454" s="67" t="s">
        <v>1482</v>
      </c>
      <c r="G1454" s="25">
        <f t="shared" si="18"/>
        <v>-2.3855144663728511E-2</v>
      </c>
    </row>
    <row r="1455" spans="1:7">
      <c r="A1455" s="67">
        <v>100.59176215758636</v>
      </c>
      <c r="B1455" s="67">
        <v>101.37891021531344</v>
      </c>
      <c r="C1455" s="67">
        <v>99.55503056936044</v>
      </c>
      <c r="D1455" s="67">
        <v>99.967803331339283</v>
      </c>
      <c r="E1455" s="67">
        <v>53856.678656378666</v>
      </c>
      <c r="F1455" s="67" t="s">
        <v>1483</v>
      </c>
      <c r="G1455" s="25">
        <f t="shared" si="18"/>
        <v>6.2415978490493185E-3</v>
      </c>
    </row>
    <row r="1456" spans="1:7">
      <c r="A1456" s="67">
        <v>100.2557843280687</v>
      </c>
      <c r="B1456" s="67">
        <v>102.51163546911583</v>
      </c>
      <c r="C1456" s="67">
        <v>99.939005231666343</v>
      </c>
      <c r="D1456" s="67">
        <v>101.88767664286874</v>
      </c>
      <c r="E1456" s="67">
        <v>149869.26391032548</v>
      </c>
      <c r="F1456" s="67" t="s">
        <v>1484</v>
      </c>
      <c r="G1456" s="25">
        <f t="shared" si="18"/>
        <v>-1.6016581872997926E-2</v>
      </c>
    </row>
    <row r="1457" spans="1:7">
      <c r="A1457" s="67">
        <v>102.44443990321228</v>
      </c>
      <c r="B1457" s="67">
        <v>102.86681203174876</v>
      </c>
      <c r="C1457" s="67">
        <v>99.564629935918092</v>
      </c>
      <c r="D1457" s="67">
        <v>100.79334885529695</v>
      </c>
      <c r="E1457" s="67">
        <v>443567.80985802558</v>
      </c>
      <c r="F1457" s="67" t="s">
        <v>1485</v>
      </c>
      <c r="G1457" s="25">
        <f t="shared" si="18"/>
        <v>1.6380952380952163E-2</v>
      </c>
    </row>
    <row r="1458" spans="1:7">
      <c r="A1458" s="67">
        <v>99.180655273612189</v>
      </c>
      <c r="B1458" s="67">
        <v>100.29418179429929</v>
      </c>
      <c r="C1458" s="67">
        <v>98.259116084078059</v>
      </c>
      <c r="D1458" s="67">
        <v>98.556696447365127</v>
      </c>
      <c r="E1458" s="67">
        <v>333616.80489726923</v>
      </c>
      <c r="F1458" s="67" t="s">
        <v>1486</v>
      </c>
      <c r="G1458" s="25">
        <f t="shared" si="18"/>
        <v>6.3309632804127158E-3</v>
      </c>
    </row>
    <row r="1459" spans="1:7">
      <c r="A1459" s="67">
        <v>97.174387663063911</v>
      </c>
      <c r="B1459" s="67">
        <v>98.259116084078059</v>
      </c>
      <c r="C1459" s="67">
        <v>95.859274444666227</v>
      </c>
      <c r="D1459" s="67">
        <v>96.252848473529767</v>
      </c>
      <c r="E1459" s="67">
        <v>287893.99627607514</v>
      </c>
      <c r="F1459" s="67" t="s">
        <v>1487</v>
      </c>
      <c r="G1459" s="25">
        <f t="shared" si="18"/>
        <v>9.5741497955519339E-3</v>
      </c>
    </row>
    <row r="1460" spans="1:7">
      <c r="A1460" s="67">
        <v>96.75201553452743</v>
      </c>
      <c r="B1460" s="67">
        <v>97.188786712900381</v>
      </c>
      <c r="C1460" s="67">
        <v>95.292911817765031</v>
      </c>
      <c r="D1460" s="67">
        <v>95.792078878762695</v>
      </c>
      <c r="E1460" s="67">
        <v>190072.95836061699</v>
      </c>
      <c r="F1460" s="67" t="s">
        <v>1488</v>
      </c>
      <c r="G1460" s="25">
        <f t="shared" si="18"/>
        <v>1.0021044192805029E-2</v>
      </c>
    </row>
    <row r="1461" spans="1:7">
      <c r="A1461" s="67">
        <v>95.830476344993286</v>
      </c>
      <c r="B1461" s="67">
        <v>99.094260974593382</v>
      </c>
      <c r="C1461" s="67">
        <v>95.830476344993286</v>
      </c>
      <c r="D1461" s="67">
        <v>96.339242772548587</v>
      </c>
      <c r="E1461" s="67">
        <v>420860.06151953276</v>
      </c>
      <c r="F1461" s="67" t="s">
        <v>1489</v>
      </c>
      <c r="G1461" s="25">
        <f t="shared" si="18"/>
        <v>-5.2809884416101793E-3</v>
      </c>
    </row>
    <row r="1462" spans="1:7">
      <c r="A1462" s="67">
        <v>96.166454174510946</v>
      </c>
      <c r="B1462" s="67">
        <v>96.176053541068583</v>
      </c>
      <c r="C1462" s="67">
        <v>91.612130704900736</v>
      </c>
      <c r="D1462" s="67">
        <v>93.075458142948492</v>
      </c>
      <c r="E1462" s="67">
        <v>331969.82122339291</v>
      </c>
      <c r="F1462" s="67" t="s">
        <v>1490</v>
      </c>
      <c r="G1462" s="25">
        <f t="shared" si="18"/>
        <v>3.3209570957095869E-2</v>
      </c>
    </row>
    <row r="1463" spans="1:7">
      <c r="A1463" s="67">
        <v>94.275378962654415</v>
      </c>
      <c r="B1463" s="67">
        <v>94.313776428885006</v>
      </c>
      <c r="C1463" s="67">
        <v>90.166850075981358</v>
      </c>
      <c r="D1463" s="67">
        <v>93.459432805254394</v>
      </c>
      <c r="E1463" s="67">
        <v>283952.06950697443</v>
      </c>
      <c r="F1463" s="67" t="s">
        <v>1491</v>
      </c>
      <c r="G1463" s="25">
        <f t="shared" si="18"/>
        <v>8.7304847986853229E-3</v>
      </c>
    </row>
    <row r="1464" spans="1:7">
      <c r="A1464" s="67">
        <v>91.289975963226084</v>
      </c>
      <c r="B1464" s="67">
        <v>91.817941123896702</v>
      </c>
      <c r="C1464" s="67">
        <v>89.485295050388402</v>
      </c>
      <c r="D1464" s="67">
        <v>90.070856410404886</v>
      </c>
      <c r="E1464" s="67">
        <v>238314.68318891618</v>
      </c>
      <c r="F1464" s="67" t="s">
        <v>1492</v>
      </c>
      <c r="G1464" s="25">
        <f t="shared" ref="G1464:G1502" si="19">A1464/D1464-1</f>
        <v>1.3535116700415406E-2</v>
      </c>
    </row>
    <row r="1465" spans="1:7">
      <c r="A1465" s="67">
        <v>89.437298217600159</v>
      </c>
      <c r="B1465" s="67">
        <v>91.184382931091974</v>
      </c>
      <c r="C1465" s="67">
        <v>88.520558711344847</v>
      </c>
      <c r="D1465" s="67">
        <v>90.166850075981358</v>
      </c>
      <c r="E1465" s="67">
        <v>339855.75823240244</v>
      </c>
      <c r="F1465" s="67" t="s">
        <v>1493</v>
      </c>
      <c r="G1465" s="25">
        <f t="shared" si="19"/>
        <v>-8.0911316938145905E-3</v>
      </c>
    </row>
    <row r="1466" spans="1:7">
      <c r="A1466" s="67">
        <v>91.35717152912963</v>
      </c>
      <c r="B1466" s="67">
        <v>91.808341757339051</v>
      </c>
      <c r="C1466" s="67">
        <v>89.187714687101334</v>
      </c>
      <c r="D1466" s="67">
        <v>90.886802567804921</v>
      </c>
      <c r="E1466" s="67">
        <v>389754.88408861897</v>
      </c>
      <c r="F1466" s="67" t="s">
        <v>1494</v>
      </c>
      <c r="G1466" s="25">
        <f t="shared" si="19"/>
        <v>5.1753274186732146E-3</v>
      </c>
    </row>
    <row r="1467" spans="1:7">
      <c r="A1467" s="67">
        <v>90.310840574346059</v>
      </c>
      <c r="B1467" s="67">
        <v>90.93479940059315</v>
      </c>
      <c r="C1467" s="67">
        <v>87.354235674590697</v>
      </c>
      <c r="D1467" s="67">
        <v>88.986127989390738</v>
      </c>
      <c r="E1467" s="67">
        <v>331240.60644052544</v>
      </c>
      <c r="F1467" s="67" t="s">
        <v>1495</v>
      </c>
      <c r="G1467" s="25">
        <f t="shared" si="19"/>
        <v>1.4886731391585695E-2</v>
      </c>
    </row>
    <row r="1468" spans="1:7">
      <c r="A1468" s="67">
        <v>89.120519121197802</v>
      </c>
      <c r="B1468" s="67">
        <v>92.269111352106123</v>
      </c>
      <c r="C1468" s="67">
        <v>81.565817640329357</v>
      </c>
      <c r="D1468" s="67">
        <v>81.978590402308186</v>
      </c>
      <c r="E1468" s="67">
        <v>784659.06627968641</v>
      </c>
      <c r="F1468" s="67" t="s">
        <v>1496</v>
      </c>
      <c r="G1468" s="25">
        <f t="shared" si="19"/>
        <v>8.7119437939110034E-2</v>
      </c>
    </row>
    <row r="1469" spans="1:7">
      <c r="A1469" s="67">
        <v>77.082913457908049</v>
      </c>
      <c r="B1469" s="67">
        <v>79.521152563550473</v>
      </c>
      <c r="C1469" s="67">
        <v>76.170973634931542</v>
      </c>
      <c r="D1469" s="67">
        <v>79.329165232397528</v>
      </c>
      <c r="E1469" s="67">
        <v>254782.43645687174</v>
      </c>
      <c r="F1469" s="67" t="s">
        <v>1497</v>
      </c>
      <c r="G1469" s="25">
        <f t="shared" si="19"/>
        <v>-2.8315585672797683E-2</v>
      </c>
    </row>
    <row r="1470" spans="1:7">
      <c r="A1470" s="67">
        <v>78.71480577270809</v>
      </c>
      <c r="B1470" s="67">
        <v>79.665143061915174</v>
      </c>
      <c r="C1470" s="67">
        <v>77.06371472479276</v>
      </c>
      <c r="D1470" s="67">
        <v>78.542017174670434</v>
      </c>
      <c r="E1470" s="67">
        <v>274568.11698687426</v>
      </c>
      <c r="F1470" s="67" t="s">
        <v>1498</v>
      </c>
      <c r="G1470" s="25">
        <f t="shared" si="19"/>
        <v>2.1999511121975068E-3</v>
      </c>
    </row>
    <row r="1471" spans="1:7">
      <c r="A1471" s="67">
        <v>78.21563871171044</v>
      </c>
      <c r="B1471" s="67">
        <v>79.924325958971664</v>
      </c>
      <c r="C1471" s="67">
        <v>76.122976802143313</v>
      </c>
      <c r="D1471" s="67">
        <v>76.122976802143313</v>
      </c>
      <c r="E1471" s="67">
        <v>268414.58595487691</v>
      </c>
      <c r="F1471" s="67" t="s">
        <v>1499</v>
      </c>
      <c r="G1471" s="25">
        <f t="shared" si="19"/>
        <v>2.7490542244640759E-2</v>
      </c>
    </row>
    <row r="1472" spans="1:7">
      <c r="A1472" s="67">
        <v>77.841263415962189</v>
      </c>
      <c r="B1472" s="67">
        <v>78.599613374016329</v>
      </c>
      <c r="C1472" s="67">
        <v>76.142175535258602</v>
      </c>
      <c r="D1472" s="67">
        <v>76.142175535258602</v>
      </c>
      <c r="E1472" s="67">
        <v>242941.03011850821</v>
      </c>
      <c r="F1472" s="67" t="s">
        <v>1500</v>
      </c>
      <c r="G1472" s="25">
        <f t="shared" si="19"/>
        <v>2.231467473524984E-2</v>
      </c>
    </row>
    <row r="1473" spans="1:7">
      <c r="A1473" s="67">
        <v>74.587078152919744</v>
      </c>
      <c r="B1473" s="67">
        <v>77.418891287425708</v>
      </c>
      <c r="C1473" s="67">
        <v>73.396756699771473</v>
      </c>
      <c r="D1473" s="67">
        <v>75.882992638202126</v>
      </c>
      <c r="E1473" s="67">
        <v>394420.81696356664</v>
      </c>
      <c r="F1473" s="67" t="s">
        <v>1501</v>
      </c>
      <c r="G1473" s="25">
        <f t="shared" si="19"/>
        <v>-1.7077798861479976E-2</v>
      </c>
    </row>
    <row r="1474" spans="1:7">
      <c r="A1474" s="67">
        <v>74.846261049976221</v>
      </c>
      <c r="B1474" s="67">
        <v>79.674742428472825</v>
      </c>
      <c r="C1474" s="67">
        <v>73.367958600098532</v>
      </c>
      <c r="D1474" s="67">
        <v>78.983588036322217</v>
      </c>
      <c r="E1474" s="67">
        <v>417722.35448239447</v>
      </c>
      <c r="F1474" s="67" t="s">
        <v>1502</v>
      </c>
      <c r="G1474" s="25">
        <f t="shared" si="19"/>
        <v>-5.2382109868740812E-2</v>
      </c>
    </row>
    <row r="1475" spans="1:7">
      <c r="A1475" s="67">
        <v>79.789934827164601</v>
      </c>
      <c r="B1475" s="67">
        <v>84.186444710567073</v>
      </c>
      <c r="C1475" s="67">
        <v>75.998185036893901</v>
      </c>
      <c r="D1475" s="67">
        <v>83.495290318416465</v>
      </c>
      <c r="E1475" s="67">
        <v>758164.60974730318</v>
      </c>
      <c r="F1475" s="67" t="s">
        <v>1503</v>
      </c>
      <c r="G1475" s="25">
        <f t="shared" si="19"/>
        <v>-4.4378017935157499E-2</v>
      </c>
    </row>
    <row r="1476" spans="1:7">
      <c r="A1476" s="67">
        <v>76.24776856739274</v>
      </c>
      <c r="B1476" s="67">
        <v>77.188506490042172</v>
      </c>
      <c r="C1476" s="67">
        <v>75.412623676877416</v>
      </c>
      <c r="D1476" s="67">
        <v>75.4894186093386</v>
      </c>
      <c r="E1476" s="67">
        <v>419434.96748672891</v>
      </c>
      <c r="F1476" s="67" t="s">
        <v>1504</v>
      </c>
      <c r="G1476" s="25">
        <f t="shared" si="19"/>
        <v>1.0045778229908375E-2</v>
      </c>
    </row>
    <row r="1477" spans="1:7">
      <c r="A1477" s="67">
        <v>77.601279252021001</v>
      </c>
      <c r="B1477" s="67">
        <v>79.991521524875182</v>
      </c>
      <c r="C1477" s="67">
        <v>77.265301422503342</v>
      </c>
      <c r="D1477" s="67">
        <v>79.127578534686933</v>
      </c>
      <c r="E1477" s="67">
        <v>306674.40214112465</v>
      </c>
      <c r="F1477" s="67" t="s">
        <v>1505</v>
      </c>
      <c r="G1477" s="25">
        <f t="shared" si="19"/>
        <v>-1.9289093776537758E-2</v>
      </c>
    </row>
    <row r="1478" spans="1:7">
      <c r="A1478" s="67">
        <v>79.569149396338702</v>
      </c>
      <c r="B1478" s="67">
        <v>80.567483518334029</v>
      </c>
      <c r="C1478" s="67">
        <v>77.48608685332924</v>
      </c>
      <c r="D1478" s="67">
        <v>79.76113672749166</v>
      </c>
      <c r="E1478" s="67">
        <v>276325.52461358486</v>
      </c>
      <c r="F1478" s="67" t="s">
        <v>1506</v>
      </c>
      <c r="G1478" s="25">
        <f t="shared" si="19"/>
        <v>-2.4070285232881128E-3</v>
      </c>
    </row>
    <row r="1479" spans="1:7">
      <c r="A1479" s="67">
        <v>81.085849312446982</v>
      </c>
      <c r="B1479" s="67">
        <v>83.466492218743525</v>
      </c>
      <c r="C1479" s="67">
        <v>80.89866166457287</v>
      </c>
      <c r="D1479" s="67">
        <v>83.034520723649393</v>
      </c>
      <c r="E1479" s="67">
        <v>197188.01117059527</v>
      </c>
      <c r="F1479" s="67" t="s">
        <v>1507</v>
      </c>
      <c r="G1479" s="25">
        <f t="shared" si="19"/>
        <v>-2.3468208092485621E-2</v>
      </c>
    </row>
    <row r="1480" spans="1:7">
      <c r="A1480" s="67">
        <v>82.19937583313407</v>
      </c>
      <c r="B1480" s="67">
        <v>82.564151762324684</v>
      </c>
      <c r="C1480" s="67">
        <v>80.577082884891681</v>
      </c>
      <c r="D1480" s="67">
        <v>81.018653746543464</v>
      </c>
      <c r="E1480" s="67">
        <v>223466.82847433051</v>
      </c>
      <c r="F1480" s="67" t="s">
        <v>1508</v>
      </c>
      <c r="G1480" s="25">
        <f t="shared" si="19"/>
        <v>1.4573459715639725E-2</v>
      </c>
    </row>
    <row r="1481" spans="1:7">
      <c r="A1481" s="67">
        <v>80.461890486199906</v>
      </c>
      <c r="B1481" s="67">
        <v>80.951458180639918</v>
      </c>
      <c r="C1481" s="67">
        <v>78.666808939919861</v>
      </c>
      <c r="D1481" s="67">
        <v>79.665143061915174</v>
      </c>
      <c r="E1481" s="67">
        <v>172041.56025111279</v>
      </c>
      <c r="F1481" s="67" t="s">
        <v>1509</v>
      </c>
      <c r="G1481" s="25">
        <f t="shared" si="19"/>
        <v>1.0001204964453558E-2</v>
      </c>
    </row>
    <row r="1482" spans="1:7">
      <c r="A1482" s="67">
        <v>79.684341795030477</v>
      </c>
      <c r="B1482" s="67">
        <v>80.049117724221077</v>
      </c>
      <c r="C1482" s="67">
        <v>77.754869116943368</v>
      </c>
      <c r="D1482" s="67">
        <v>78.590014007458677</v>
      </c>
      <c r="E1482" s="67">
        <v>263709.06713457359</v>
      </c>
      <c r="F1482" s="67" t="s">
        <v>1510</v>
      </c>
      <c r="G1482" s="25">
        <f t="shared" si="19"/>
        <v>1.3924514474166427E-2</v>
      </c>
    </row>
    <row r="1483" spans="1:7">
      <c r="A1483" s="67">
        <v>77.658875451366896</v>
      </c>
      <c r="B1483" s="67">
        <v>81.114647412119922</v>
      </c>
      <c r="C1483" s="67">
        <v>77.466888120213937</v>
      </c>
      <c r="D1483" s="67">
        <v>80.106713923566957</v>
      </c>
      <c r="E1483" s="67">
        <v>174906.33261237782</v>
      </c>
      <c r="F1483" s="67" t="s">
        <v>1511</v>
      </c>
      <c r="G1483" s="25">
        <f t="shared" si="19"/>
        <v>-3.0557219892150878E-2</v>
      </c>
    </row>
    <row r="1484" spans="1:7">
      <c r="A1484" s="67">
        <v>79.223572200263405</v>
      </c>
      <c r="B1484" s="67">
        <v>81.201041711138757</v>
      </c>
      <c r="C1484" s="67">
        <v>79.012386135995158</v>
      </c>
      <c r="D1484" s="67">
        <v>80.932259447524629</v>
      </c>
      <c r="E1484" s="67">
        <v>169450.76430112508</v>
      </c>
      <c r="F1484" s="67" t="s">
        <v>1512</v>
      </c>
      <c r="G1484" s="25">
        <f t="shared" si="19"/>
        <v>-2.1112560787569734E-2</v>
      </c>
    </row>
    <row r="1485" spans="1:7">
      <c r="A1485" s="67">
        <v>80.855464515063446</v>
      </c>
      <c r="B1485" s="67">
        <v>81.431426508522293</v>
      </c>
      <c r="C1485" s="67">
        <v>76.343762232969212</v>
      </c>
      <c r="D1485" s="67">
        <v>76.497352097891564</v>
      </c>
      <c r="E1485" s="67">
        <v>434687.01553810399</v>
      </c>
      <c r="F1485" s="67" t="s">
        <v>1513</v>
      </c>
      <c r="G1485" s="25">
        <f t="shared" si="19"/>
        <v>5.6970761701593542E-2</v>
      </c>
    </row>
    <row r="1486" spans="1:7">
      <c r="A1486" s="67">
        <v>77.994853280884541</v>
      </c>
      <c r="B1486" s="67">
        <v>80.341898404229312</v>
      </c>
      <c r="C1486" s="67">
        <v>77.692473234318655</v>
      </c>
      <c r="D1486" s="67">
        <v>79.185174734032813</v>
      </c>
      <c r="E1486" s="67">
        <v>179626.43572833852</v>
      </c>
      <c r="F1486" s="67" t="s">
        <v>1514</v>
      </c>
      <c r="G1486" s="25">
        <f t="shared" si="19"/>
        <v>-1.5032125106073546E-2</v>
      </c>
    </row>
    <row r="1487" spans="1:7">
      <c r="A1487" s="67">
        <v>79.645944328799885</v>
      </c>
      <c r="B1487" s="67">
        <v>82.607348911834094</v>
      </c>
      <c r="C1487" s="67">
        <v>79.357963332070469</v>
      </c>
      <c r="D1487" s="67">
        <v>82.573751128882321</v>
      </c>
      <c r="E1487" s="67">
        <v>266052.97179379046</v>
      </c>
      <c r="F1487" s="67" t="s">
        <v>1515</v>
      </c>
      <c r="G1487" s="25">
        <f t="shared" si="19"/>
        <v>-3.5456870495233717E-2</v>
      </c>
    </row>
    <row r="1488" spans="1:7">
      <c r="A1488" s="67">
        <v>83.418495385955296</v>
      </c>
      <c r="B1488" s="67">
        <v>84.061652945317647</v>
      </c>
      <c r="C1488" s="67">
        <v>82.477757463305849</v>
      </c>
      <c r="D1488" s="67">
        <v>82.765738460035266</v>
      </c>
      <c r="E1488" s="67">
        <v>142581.2830232672</v>
      </c>
      <c r="F1488" s="67" t="s">
        <v>1516</v>
      </c>
      <c r="G1488" s="25">
        <f t="shared" si="19"/>
        <v>7.8868012062167647E-3</v>
      </c>
    </row>
    <row r="1489" spans="1:7">
      <c r="A1489" s="67">
        <v>82.506555562978789</v>
      </c>
      <c r="B1489" s="67">
        <v>82.612148595112913</v>
      </c>
      <c r="C1489" s="67">
        <v>80.596281618006969</v>
      </c>
      <c r="D1489" s="67">
        <v>81.354631576061109</v>
      </c>
      <c r="E1489" s="67">
        <v>158685.47063519311</v>
      </c>
      <c r="F1489" s="67" t="s">
        <v>1517</v>
      </c>
      <c r="G1489" s="25">
        <f t="shared" si="19"/>
        <v>1.4159292035398341E-2</v>
      </c>
    </row>
    <row r="1490" spans="1:7">
      <c r="A1490" s="67">
        <v>80.673076550468153</v>
      </c>
      <c r="B1490" s="67">
        <v>81.853798637058773</v>
      </c>
      <c r="C1490" s="67">
        <v>80.145111389797535</v>
      </c>
      <c r="D1490" s="67">
        <v>81.796202437712878</v>
      </c>
      <c r="E1490" s="67">
        <v>113633.53961423704</v>
      </c>
      <c r="F1490" s="67" t="s">
        <v>1518</v>
      </c>
      <c r="G1490" s="25">
        <f t="shared" si="19"/>
        <v>-1.3730782771974925E-2</v>
      </c>
    </row>
    <row r="1491" spans="1:7">
      <c r="A1491" s="67">
        <v>80.62507971767991</v>
      </c>
      <c r="B1491" s="67">
        <v>81.181842978023454</v>
      </c>
      <c r="C1491" s="67">
        <v>79.281168399609285</v>
      </c>
      <c r="D1491" s="67">
        <v>79.434758264531638</v>
      </c>
      <c r="E1491" s="67">
        <v>248998.72149332863</v>
      </c>
      <c r="F1491" s="67" t="s">
        <v>1519</v>
      </c>
      <c r="G1491" s="25">
        <f t="shared" si="19"/>
        <v>1.4984894259818748E-2</v>
      </c>
    </row>
    <row r="1492" spans="1:7">
      <c r="A1492" s="67">
        <v>79.146777267802221</v>
      </c>
      <c r="B1492" s="67">
        <v>80.999455013428161</v>
      </c>
      <c r="C1492" s="67">
        <v>77.59167988546335</v>
      </c>
      <c r="D1492" s="67">
        <v>79.012386135995158</v>
      </c>
      <c r="E1492" s="67">
        <v>303805.46283824317</v>
      </c>
      <c r="F1492" s="67" t="s">
        <v>1520</v>
      </c>
      <c r="G1492" s="25">
        <f t="shared" si="19"/>
        <v>1.7008868910217689E-3</v>
      </c>
    </row>
    <row r="1493" spans="1:7">
      <c r="A1493" s="67">
        <v>77.572481152348061</v>
      </c>
      <c r="B1493" s="67">
        <v>77.817264999568067</v>
      </c>
      <c r="C1493" s="67">
        <v>75.921390104432732</v>
      </c>
      <c r="D1493" s="67">
        <v>76.842929293966861</v>
      </c>
      <c r="E1493" s="67">
        <v>191932.45605692902</v>
      </c>
      <c r="F1493" s="67" t="s">
        <v>1521</v>
      </c>
      <c r="G1493" s="25">
        <f t="shared" si="19"/>
        <v>9.4940662086195893E-3</v>
      </c>
    </row>
    <row r="1494" spans="1:7">
      <c r="A1494" s="67">
        <v>75.902191371317414</v>
      </c>
      <c r="B1494" s="67">
        <v>76.362960966084501</v>
      </c>
      <c r="C1494" s="67">
        <v>73.435154166002064</v>
      </c>
      <c r="D1494" s="67">
        <v>73.915122493884425</v>
      </c>
      <c r="E1494" s="67">
        <v>291203.58965488931</v>
      </c>
      <c r="F1494" s="67" t="s">
        <v>1522</v>
      </c>
      <c r="G1494" s="25">
        <f t="shared" si="19"/>
        <v>2.6883116883116731E-2</v>
      </c>
    </row>
    <row r="1495" spans="1:7">
      <c r="A1495" s="67">
        <v>75.163040146378577</v>
      </c>
      <c r="B1495" s="67">
        <v>76.871727393639802</v>
      </c>
      <c r="C1495" s="67">
        <v>73.963119326672668</v>
      </c>
      <c r="D1495" s="67">
        <v>75.873393271644488</v>
      </c>
      <c r="E1495" s="67">
        <v>230620.42549426033</v>
      </c>
      <c r="F1495" s="67" t="s">
        <v>1523</v>
      </c>
      <c r="G1495" s="25">
        <f t="shared" si="19"/>
        <v>-9.3623481781377471E-3</v>
      </c>
    </row>
    <row r="1496" spans="1:7">
      <c r="A1496" s="67">
        <v>75.51821670901154</v>
      </c>
      <c r="B1496" s="67">
        <v>76.497352097891564</v>
      </c>
      <c r="C1496" s="67">
        <v>74.529481953573864</v>
      </c>
      <c r="D1496" s="67">
        <v>74.529481953573864</v>
      </c>
      <c r="E1496" s="67">
        <v>277371.42695929762</v>
      </c>
      <c r="F1496" s="67" t="s">
        <v>1524</v>
      </c>
      <c r="G1496" s="25">
        <f t="shared" si="19"/>
        <v>1.3266357547655927E-2</v>
      </c>
    </row>
    <row r="1497" spans="1:7">
      <c r="A1497" s="67">
        <v>74.0303148925762</v>
      </c>
      <c r="B1497" s="67">
        <v>75.345428110973884</v>
      </c>
      <c r="C1497" s="67">
        <v>72.734400407293805</v>
      </c>
      <c r="D1497" s="67">
        <v>74.999850914898573</v>
      </c>
      <c r="E1497" s="67">
        <v>244616.14064829517</v>
      </c>
      <c r="F1497" s="67" t="s">
        <v>1525</v>
      </c>
      <c r="G1497" s="25">
        <f t="shared" si="19"/>
        <v>-1.292717266094956E-2</v>
      </c>
    </row>
    <row r="1498" spans="1:7">
      <c r="A1498" s="67">
        <v>74.990251548340936</v>
      </c>
      <c r="B1498" s="67">
        <v>76.69893879560216</v>
      </c>
      <c r="C1498" s="67">
        <v>74.855860416533872</v>
      </c>
      <c r="D1498" s="67">
        <v>75.134242046705637</v>
      </c>
      <c r="E1498" s="67">
        <v>173095.79648005831</v>
      </c>
      <c r="F1498" s="67" t="s">
        <v>1526</v>
      </c>
      <c r="G1498" s="25">
        <f t="shared" si="19"/>
        <v>-1.9164430816404066E-3</v>
      </c>
    </row>
    <row r="1499" spans="1:7">
      <c r="A1499" s="67">
        <v>73.857526294538545</v>
      </c>
      <c r="B1499" s="67">
        <v>74.111909508316202</v>
      </c>
      <c r="C1499" s="67">
        <v>69.485014827530193</v>
      </c>
      <c r="D1499" s="67">
        <v>69.979382205249024</v>
      </c>
      <c r="E1499" s="67">
        <v>236369.76318946824</v>
      </c>
      <c r="F1499" s="67" t="s">
        <v>1527</v>
      </c>
      <c r="G1499" s="25">
        <f t="shared" si="19"/>
        <v>5.541838134430721E-2</v>
      </c>
    </row>
    <row r="1500" spans="1:7">
      <c r="A1500" s="67">
        <v>70.353757500997276</v>
      </c>
      <c r="B1500" s="67">
        <v>71.39048908922318</v>
      </c>
      <c r="C1500" s="67">
        <v>68.616272154063111</v>
      </c>
      <c r="D1500" s="67">
        <v>70.15217080328668</v>
      </c>
      <c r="E1500" s="67">
        <v>137753.8811606846</v>
      </c>
      <c r="F1500" s="67" t="s">
        <v>1528</v>
      </c>
      <c r="G1500" s="25">
        <f t="shared" si="19"/>
        <v>2.8735632183909399E-3</v>
      </c>
    </row>
    <row r="1501" spans="1:7">
      <c r="A1501" s="67">
        <v>70.478549266246688</v>
      </c>
      <c r="B1501" s="67">
        <v>72.676804207947924</v>
      </c>
      <c r="C1501" s="67">
        <v>70.401754333785505</v>
      </c>
      <c r="D1501" s="67">
        <v>72.312028278757325</v>
      </c>
      <c r="E1501" s="67">
        <v>211881.68904537469</v>
      </c>
      <c r="F1501" s="67" t="s">
        <v>1529</v>
      </c>
      <c r="G1501" s="25">
        <f t="shared" si="19"/>
        <v>-2.5355104208150792E-2</v>
      </c>
    </row>
    <row r="1502" spans="1:7">
      <c r="A1502" s="67">
        <v>72.504015609910269</v>
      </c>
      <c r="B1502" s="67">
        <v>72.734400407293805</v>
      </c>
      <c r="C1502" s="67">
        <v>69.979382205249024</v>
      </c>
      <c r="D1502" s="67">
        <v>70.257763835420789</v>
      </c>
      <c r="E1502" s="67">
        <v>295225.73005010543</v>
      </c>
      <c r="F1502" s="67" t="s">
        <v>1530</v>
      </c>
      <c r="G1502" s="25">
        <f t="shared" si="19"/>
        <v>3.1971580817051537E-2</v>
      </c>
    </row>
    <row r="1503" spans="1:7">
      <c r="A1503" s="67">
        <v>70.353757500997276</v>
      </c>
      <c r="B1503" s="67">
        <v>72.844793122706761</v>
      </c>
      <c r="C1503" s="67">
        <v>66.809095405920417</v>
      </c>
      <c r="D1503" s="67">
        <v>72.48481687679498</v>
      </c>
      <c r="E1503" s="67">
        <v>933613.68650521524</v>
      </c>
      <c r="F1503" s="67" t="s">
        <v>1531</v>
      </c>
      <c r="G1503" s="25">
        <f>A1503/D1503-1</f>
        <v>-2.9400079459674155E-2</v>
      </c>
    </row>
    <row r="1504" spans="1: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row r="1614" spans="7:7">
      <c r="G1614" s="25"/>
    </row>
    <row r="1615" spans="7:7">
      <c r="G1615" s="25"/>
    </row>
    <row r="1616" spans="7:7">
      <c r="G1616" s="25"/>
    </row>
    <row r="1617" spans="7:7">
      <c r="G1617" s="25"/>
    </row>
    <row r="1618" spans="7:7">
      <c r="G1618" s="25"/>
    </row>
  </sheetData>
  <sortState xmlns:xlrd2="http://schemas.microsoft.com/office/spreadsheetml/2017/richdata2" ref="I272:I326">
    <sortCondition ref="I27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11</v>
      </c>
      <c r="C2" s="4"/>
      <c r="D2" s="4"/>
      <c r="E2" s="4"/>
      <c r="F2" s="4"/>
      <c r="G2" s="3" t="s">
        <v>11</v>
      </c>
      <c r="H2" s="5"/>
      <c r="I2" s="5"/>
      <c r="J2" s="5"/>
      <c r="K2" s="5"/>
      <c r="L2" s="5"/>
      <c r="M2" s="5"/>
      <c r="N2" s="5"/>
      <c r="O2" s="5"/>
      <c r="P2" s="5"/>
      <c r="Q2" s="5"/>
      <c r="R2" s="5"/>
      <c r="S2" s="5"/>
      <c r="T2" s="5"/>
      <c r="U2" s="5"/>
      <c r="V2" s="5"/>
      <c r="W2" s="5"/>
      <c r="X2" s="5"/>
      <c r="Y2" s="5"/>
      <c r="Z2" s="6"/>
    </row>
    <row r="3" spans="2:26" ht="15">
      <c r="B3" s="7" t="s">
        <v>12</v>
      </c>
      <c r="C3" s="8"/>
      <c r="D3" s="8"/>
      <c r="E3" s="8"/>
      <c r="F3" s="9"/>
      <c r="G3" s="10" t="s">
        <v>13</v>
      </c>
      <c r="H3" s="10"/>
      <c r="I3" s="10"/>
      <c r="J3" s="10"/>
      <c r="K3" s="10"/>
      <c r="L3" s="10"/>
      <c r="M3" s="10"/>
      <c r="N3" s="10"/>
      <c r="O3" s="10"/>
      <c r="P3" s="10"/>
      <c r="Q3" s="10"/>
      <c r="R3" s="10"/>
      <c r="S3" s="10"/>
      <c r="T3" s="10"/>
      <c r="U3" s="10"/>
      <c r="V3" s="10"/>
      <c r="W3" s="10"/>
      <c r="X3" s="10"/>
      <c r="Y3" s="10"/>
      <c r="Z3" s="11"/>
    </row>
    <row r="4" spans="2:26" ht="15">
      <c r="B4" s="12" t="s">
        <v>12</v>
      </c>
      <c r="C4" s="13"/>
      <c r="D4" s="13"/>
      <c r="E4" s="13"/>
      <c r="F4" s="14"/>
      <c r="G4" s="15" t="s">
        <v>14</v>
      </c>
      <c r="H4" s="15"/>
      <c r="I4" s="15"/>
      <c r="J4" s="15"/>
      <c r="K4" s="15"/>
      <c r="L4" s="15"/>
      <c r="M4" s="15"/>
      <c r="N4" s="15"/>
      <c r="O4" s="15"/>
      <c r="P4" s="15"/>
      <c r="Q4" s="15"/>
      <c r="R4" s="15"/>
      <c r="S4" s="15"/>
      <c r="T4" s="15"/>
      <c r="U4" s="15"/>
      <c r="V4" s="15"/>
      <c r="W4" s="15"/>
      <c r="X4" s="15"/>
      <c r="Y4" s="15"/>
      <c r="Z4" s="16"/>
    </row>
    <row r="5" spans="2:26" ht="15">
      <c r="B5" s="12" t="s">
        <v>12</v>
      </c>
      <c r="C5" s="13"/>
      <c r="D5" s="13"/>
      <c r="E5" s="13"/>
      <c r="F5" s="14"/>
      <c r="G5" s="17" t="s">
        <v>13</v>
      </c>
      <c r="H5" s="17"/>
      <c r="I5" s="17"/>
      <c r="J5" s="17"/>
      <c r="K5" s="17"/>
      <c r="L5" s="17"/>
      <c r="M5" s="17"/>
      <c r="N5" s="17"/>
      <c r="O5" s="17"/>
      <c r="P5" s="17"/>
      <c r="Q5" s="17"/>
      <c r="R5" s="17"/>
      <c r="S5" s="17"/>
      <c r="T5" s="17"/>
      <c r="U5" s="17"/>
      <c r="V5" s="17"/>
      <c r="W5" s="17"/>
      <c r="X5" s="17"/>
      <c r="Y5" s="17"/>
      <c r="Z5" s="18"/>
    </row>
    <row r="6" spans="2:26" ht="15">
      <c r="B6" s="12" t="s">
        <v>12</v>
      </c>
      <c r="C6" s="13"/>
      <c r="D6" s="13"/>
      <c r="E6" s="13"/>
      <c r="F6" s="14"/>
      <c r="G6" s="15" t="s">
        <v>14</v>
      </c>
      <c r="H6" s="15"/>
      <c r="I6" s="15"/>
      <c r="J6" s="15"/>
      <c r="K6" s="15"/>
      <c r="L6" s="15"/>
      <c r="M6" s="15"/>
      <c r="N6" s="15"/>
      <c r="O6" s="15"/>
      <c r="P6" s="15"/>
      <c r="Q6" s="15"/>
      <c r="R6" s="15"/>
      <c r="S6" s="15"/>
      <c r="T6" s="15"/>
      <c r="U6" s="15"/>
      <c r="V6" s="15"/>
      <c r="W6" s="15"/>
      <c r="X6" s="15"/>
      <c r="Y6" s="15"/>
      <c r="Z6" s="16"/>
    </row>
    <row r="7" spans="2:26" ht="15">
      <c r="B7" s="12" t="s">
        <v>12</v>
      </c>
      <c r="C7" s="13"/>
      <c r="D7" s="13"/>
      <c r="E7" s="13"/>
      <c r="F7" s="14"/>
      <c r="G7" s="17" t="s">
        <v>13</v>
      </c>
      <c r="H7" s="17"/>
      <c r="I7" s="17"/>
      <c r="J7" s="17"/>
      <c r="K7" s="17"/>
      <c r="L7" s="17"/>
      <c r="M7" s="17"/>
      <c r="N7" s="17"/>
      <c r="O7" s="17"/>
      <c r="P7" s="17"/>
      <c r="Q7" s="17"/>
      <c r="R7" s="17"/>
      <c r="S7" s="17"/>
      <c r="T7" s="17"/>
      <c r="U7" s="17"/>
      <c r="V7" s="17"/>
      <c r="W7" s="17"/>
      <c r="X7" s="17"/>
      <c r="Y7" s="17"/>
      <c r="Z7" s="18"/>
    </row>
    <row r="8" spans="2:26" ht="15">
      <c r="B8" s="19" t="s">
        <v>12</v>
      </c>
      <c r="C8" s="20"/>
      <c r="D8" s="20"/>
      <c r="E8" s="20"/>
      <c r="F8" s="21"/>
      <c r="G8" s="22" t="s">
        <v>14</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2025-09-20T09:36:22Z</dcterms:modified>
</cp:coreProperties>
</file>